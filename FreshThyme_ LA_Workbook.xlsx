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uki/Desktop/"/>
    </mc:Choice>
  </mc:AlternateContent>
  <xr:revisionPtr revIDLastSave="0" documentId="8_{EC957A4C-93F2-9443-AE3E-75DA1C0C473B}" xr6:coauthVersionLast="47" xr6:coauthVersionMax="47" xr10:uidLastSave="{00000000-0000-0000-0000-000000000000}"/>
  <bookViews>
    <workbookView xWindow="0" yWindow="0" windowWidth="33600" windowHeight="21000" tabRatio="500" firstSheet="2" activeTab="8" xr2:uid="{00000000-000D-0000-FFFF-FFFF00000000}"/>
  </bookViews>
  <sheets>
    <sheet name="00_README_METHODOLOGY" sheetId="1" r:id="rId1"/>
    <sheet name="03_EXECUTIVE_DASHBOARD" sheetId="2" r:id="rId2"/>
    <sheet name="04_SLA_TREND" sheetId="3" r:id="rId3"/>
    <sheet name="05_EXCEPTIONS_MITIGATIONS" sheetId="4" r:id="rId4"/>
    <sheet name="06_STORE_ANALYSIS" sheetId="5" r:id="rId5"/>
    <sheet name="07_TECHNICIAN_ANALYSIS" sheetId="6" r:id="rId6"/>
    <sheet name="08_RESOLUTION_ANALYSIS" sheetId="7" r:id="rId7"/>
    <sheet name="09_ADVANCED_INSIGHTS" sheetId="8" r:id="rId8"/>
    <sheet name="02_CLEAN_DATA" sheetId="9" r:id="rId9"/>
    <sheet name="01_RAW_DATA"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570" i="9" l="1"/>
  <c r="W570" i="9" s="1"/>
  <c r="F101" i="6" s="1"/>
  <c r="M101" i="6" s="1"/>
  <c r="L570" i="9"/>
  <c r="V569" i="9"/>
  <c r="W569" i="9" s="1"/>
  <c r="F93" i="6" s="1"/>
  <c r="M93" i="6" s="1"/>
  <c r="L569" i="9"/>
  <c r="V568" i="9"/>
  <c r="W568" i="9" s="1"/>
  <c r="F99" i="6" s="1"/>
  <c r="M99" i="6" s="1"/>
  <c r="L568" i="9"/>
  <c r="W567" i="9"/>
  <c r="V567" i="9"/>
  <c r="L567" i="9"/>
  <c r="V566" i="9"/>
  <c r="W566" i="9" s="1"/>
  <c r="L566" i="9"/>
  <c r="V565" i="9"/>
  <c r="W565" i="9" s="1"/>
  <c r="L565" i="9"/>
  <c r="W564" i="9"/>
  <c r="V564" i="9"/>
  <c r="L564" i="9"/>
  <c r="W563" i="9"/>
  <c r="V563" i="9"/>
  <c r="L563" i="9"/>
  <c r="W562" i="9"/>
  <c r="V562" i="9"/>
  <c r="L562" i="9"/>
  <c r="W561" i="9"/>
  <c r="V561" i="9"/>
  <c r="L561" i="9"/>
  <c r="W560" i="9"/>
  <c r="V560" i="9"/>
  <c r="L560" i="9"/>
  <c r="W559" i="9"/>
  <c r="V559" i="9"/>
  <c r="L559" i="9"/>
  <c r="V558" i="9"/>
  <c r="W558" i="9" s="1"/>
  <c r="L558" i="9"/>
  <c r="W557" i="9"/>
  <c r="V557" i="9"/>
  <c r="L557" i="9"/>
  <c r="W556" i="9"/>
  <c r="V556" i="9"/>
  <c r="L556" i="9"/>
  <c r="V555" i="9"/>
  <c r="W555" i="9" s="1"/>
  <c r="L555" i="9"/>
  <c r="W554" i="9"/>
  <c r="V554" i="9"/>
  <c r="L554" i="9"/>
  <c r="V553" i="9"/>
  <c r="W553" i="9" s="1"/>
  <c r="L553" i="9"/>
  <c r="W552" i="9"/>
  <c r="V552" i="9"/>
  <c r="L552" i="9"/>
  <c r="V551" i="9"/>
  <c r="W551" i="9" s="1"/>
  <c r="L551" i="9"/>
  <c r="V550" i="9"/>
  <c r="W550" i="9" s="1"/>
  <c r="L550" i="9"/>
  <c r="W549" i="9"/>
  <c r="V549" i="9"/>
  <c r="L549" i="9"/>
  <c r="W548" i="9"/>
  <c r="V548" i="9"/>
  <c r="L548" i="9"/>
  <c r="W547" i="9"/>
  <c r="V547" i="9"/>
  <c r="L547" i="9"/>
  <c r="W546" i="9"/>
  <c r="V546" i="9"/>
  <c r="L546" i="9"/>
  <c r="W545" i="9"/>
  <c r="V545" i="9"/>
  <c r="L545" i="9"/>
  <c r="V544" i="9"/>
  <c r="W544" i="9" s="1"/>
  <c r="L544" i="9"/>
  <c r="W543" i="9"/>
  <c r="V543" i="9"/>
  <c r="L543" i="9"/>
  <c r="V542" i="9"/>
  <c r="W542" i="9" s="1"/>
  <c r="L542" i="9"/>
  <c r="W541" i="9"/>
  <c r="V541" i="9"/>
  <c r="L541" i="9"/>
  <c r="W540" i="9"/>
  <c r="V540" i="9"/>
  <c r="L540" i="9"/>
  <c r="V539" i="9"/>
  <c r="W539" i="9" s="1"/>
  <c r="L539" i="9"/>
  <c r="V538" i="9"/>
  <c r="W538" i="9" s="1"/>
  <c r="L538" i="9"/>
  <c r="W537" i="9"/>
  <c r="V537" i="9"/>
  <c r="L537" i="9"/>
  <c r="W536" i="9"/>
  <c r="V536" i="9"/>
  <c r="L536" i="9"/>
  <c r="W535" i="9"/>
  <c r="V535" i="9"/>
  <c r="L535" i="9"/>
  <c r="V534" i="9"/>
  <c r="W534" i="9" s="1"/>
  <c r="L534" i="9"/>
  <c r="W533" i="9"/>
  <c r="V533" i="9"/>
  <c r="L533" i="9"/>
  <c r="W532" i="9"/>
  <c r="V532" i="9"/>
  <c r="L532" i="9"/>
  <c r="W531" i="9"/>
  <c r="V531" i="9"/>
  <c r="L531" i="9"/>
  <c r="W530" i="9"/>
  <c r="V530" i="9"/>
  <c r="L530" i="9"/>
  <c r="W529" i="9"/>
  <c r="V529" i="9"/>
  <c r="L529" i="9"/>
  <c r="V528" i="9"/>
  <c r="W528" i="9" s="1"/>
  <c r="F113" i="6" s="1"/>
  <c r="M113" i="6" s="1"/>
  <c r="L528" i="9"/>
  <c r="W527" i="9"/>
  <c r="V527" i="9"/>
  <c r="L527" i="9"/>
  <c r="V526" i="9"/>
  <c r="W526" i="9" s="1"/>
  <c r="L526" i="9"/>
  <c r="W525" i="9"/>
  <c r="V525" i="9"/>
  <c r="L525" i="9"/>
  <c r="W524" i="9"/>
  <c r="V524" i="9"/>
  <c r="L524" i="9"/>
  <c r="V523" i="9"/>
  <c r="W523" i="9" s="1"/>
  <c r="L523" i="9"/>
  <c r="V522" i="9"/>
  <c r="W522" i="9" s="1"/>
  <c r="L522" i="9"/>
  <c r="W521" i="9"/>
  <c r="V521" i="9"/>
  <c r="L521" i="9"/>
  <c r="V520" i="9"/>
  <c r="W520" i="9" s="1"/>
  <c r="L520" i="9"/>
  <c r="W519" i="9"/>
  <c r="V519" i="9"/>
  <c r="L519" i="9"/>
  <c r="V518" i="9"/>
  <c r="W518" i="9" s="1"/>
  <c r="F74" i="6" s="1"/>
  <c r="L518" i="9"/>
  <c r="W517" i="9"/>
  <c r="V517" i="9"/>
  <c r="L517" i="9"/>
  <c r="W516" i="9"/>
  <c r="V516" i="9"/>
  <c r="L516" i="9"/>
  <c r="W515" i="9"/>
  <c r="V515" i="9"/>
  <c r="L515" i="9"/>
  <c r="W514" i="9"/>
  <c r="V514" i="9"/>
  <c r="L514" i="9"/>
  <c r="W513" i="9"/>
  <c r="V513" i="9"/>
  <c r="L513" i="9"/>
  <c r="V512" i="9"/>
  <c r="W512" i="9" s="1"/>
  <c r="L512" i="9"/>
  <c r="W511" i="9"/>
  <c r="V511" i="9"/>
  <c r="L511" i="9"/>
  <c r="W510" i="9"/>
  <c r="V510" i="9"/>
  <c r="L510" i="9"/>
  <c r="W509" i="9"/>
  <c r="V509" i="9"/>
  <c r="L509" i="9"/>
  <c r="W508" i="9"/>
  <c r="V508" i="9"/>
  <c r="L508" i="9"/>
  <c r="V507" i="9"/>
  <c r="W507" i="9" s="1"/>
  <c r="L507" i="9"/>
  <c r="V506" i="9"/>
  <c r="W506" i="9" s="1"/>
  <c r="L506" i="9"/>
  <c r="V505" i="9"/>
  <c r="W505" i="9" s="1"/>
  <c r="L505" i="9"/>
  <c r="V504" i="9"/>
  <c r="W504" i="9" s="1"/>
  <c r="L504" i="9"/>
  <c r="W503" i="9"/>
  <c r="V503" i="9"/>
  <c r="L503" i="9"/>
  <c r="V502" i="9"/>
  <c r="W502" i="9" s="1"/>
  <c r="L502" i="9"/>
  <c r="W501" i="9"/>
  <c r="V501" i="9"/>
  <c r="L501" i="9"/>
  <c r="W500" i="9"/>
  <c r="V500" i="9"/>
  <c r="L500" i="9"/>
  <c r="W499" i="9"/>
  <c r="V499" i="9"/>
  <c r="L499" i="9"/>
  <c r="W498" i="9"/>
  <c r="V498" i="9"/>
  <c r="L498" i="9"/>
  <c r="W497" i="9"/>
  <c r="V497" i="9"/>
  <c r="L497" i="9"/>
  <c r="V496" i="9"/>
  <c r="W496" i="9" s="1"/>
  <c r="L496" i="9"/>
  <c r="W495" i="9"/>
  <c r="V495" i="9"/>
  <c r="L495" i="9"/>
  <c r="V494" i="9"/>
  <c r="W494" i="9" s="1"/>
  <c r="L494" i="9"/>
  <c r="W493" i="9"/>
  <c r="V493" i="9"/>
  <c r="L493" i="9"/>
  <c r="W492" i="9"/>
  <c r="V492" i="9"/>
  <c r="L492" i="9"/>
  <c r="W491" i="9"/>
  <c r="V491" i="9"/>
  <c r="L491" i="9"/>
  <c r="V490" i="9"/>
  <c r="W490" i="9" s="1"/>
  <c r="L490" i="9"/>
  <c r="V489" i="9"/>
  <c r="W489" i="9" s="1"/>
  <c r="L489" i="9"/>
  <c r="V488" i="9"/>
  <c r="W488" i="9" s="1"/>
  <c r="L488" i="9"/>
  <c r="W487" i="9"/>
  <c r="V487" i="9"/>
  <c r="L487" i="9"/>
  <c r="V486" i="9"/>
  <c r="W486" i="9" s="1"/>
  <c r="L486" i="9"/>
  <c r="W485" i="9"/>
  <c r="V485" i="9"/>
  <c r="L485" i="9"/>
  <c r="W484" i="9"/>
  <c r="V484" i="9"/>
  <c r="L484" i="9"/>
  <c r="W483" i="9"/>
  <c r="V483" i="9"/>
  <c r="L483" i="9"/>
  <c r="W482" i="9"/>
  <c r="V482" i="9"/>
  <c r="L482" i="9"/>
  <c r="W481" i="9"/>
  <c r="V481" i="9"/>
  <c r="L481" i="9"/>
  <c r="W480" i="9"/>
  <c r="V480" i="9"/>
  <c r="L480" i="9"/>
  <c r="W479" i="9"/>
  <c r="V479" i="9"/>
  <c r="L479" i="9"/>
  <c r="V478" i="9"/>
  <c r="W478" i="9" s="1"/>
  <c r="L478" i="9"/>
  <c r="W477" i="9"/>
  <c r="V477" i="9"/>
  <c r="L477" i="9"/>
  <c r="W476" i="9"/>
  <c r="V476" i="9"/>
  <c r="L476" i="9"/>
  <c r="V475" i="9"/>
  <c r="W475" i="9" s="1"/>
  <c r="L475" i="9"/>
  <c r="W474" i="9"/>
  <c r="V474" i="9"/>
  <c r="L474" i="9"/>
  <c r="V473" i="9"/>
  <c r="W473" i="9" s="1"/>
  <c r="L473" i="9"/>
  <c r="V472" i="9"/>
  <c r="W472" i="9" s="1"/>
  <c r="L472" i="9"/>
  <c r="V471" i="9"/>
  <c r="W471" i="9" s="1"/>
  <c r="L471" i="9"/>
  <c r="V470" i="9"/>
  <c r="W470" i="9" s="1"/>
  <c r="F62" i="6" s="1"/>
  <c r="L470" i="9"/>
  <c r="W469" i="9"/>
  <c r="V469" i="9"/>
  <c r="L469" i="9"/>
  <c r="W468" i="9"/>
  <c r="V468" i="9"/>
  <c r="L468" i="9"/>
  <c r="W467" i="9"/>
  <c r="V467" i="9"/>
  <c r="L467" i="9"/>
  <c r="W466" i="9"/>
  <c r="V466" i="9"/>
  <c r="L466" i="9"/>
  <c r="W465" i="9"/>
  <c r="V465" i="9"/>
  <c r="L465" i="9"/>
  <c r="W464" i="9"/>
  <c r="V464" i="9"/>
  <c r="L464" i="9"/>
  <c r="W463" i="9"/>
  <c r="V463" i="9"/>
  <c r="L463" i="9"/>
  <c r="W462" i="9"/>
  <c r="V462" i="9"/>
  <c r="L462" i="9"/>
  <c r="W461" i="9"/>
  <c r="V461" i="9"/>
  <c r="L461" i="9"/>
  <c r="W460" i="9"/>
  <c r="V460" i="9"/>
  <c r="L460" i="9"/>
  <c r="V459" i="9"/>
  <c r="W459" i="9" s="1"/>
  <c r="L459" i="9"/>
  <c r="W458" i="9"/>
  <c r="V458" i="9"/>
  <c r="L458" i="9"/>
  <c r="V457" i="9"/>
  <c r="W457" i="9" s="1"/>
  <c r="L457" i="9"/>
  <c r="V456" i="9"/>
  <c r="W456" i="9" s="1"/>
  <c r="L456" i="9"/>
  <c r="V455" i="9"/>
  <c r="W455" i="9" s="1"/>
  <c r="L455" i="9"/>
  <c r="W454" i="9"/>
  <c r="V454" i="9"/>
  <c r="L454" i="9"/>
  <c r="W453" i="9"/>
  <c r="V453" i="9"/>
  <c r="L453" i="9"/>
  <c r="W452" i="9"/>
  <c r="V452" i="9"/>
  <c r="L452" i="9"/>
  <c r="W451" i="9"/>
  <c r="V451" i="9"/>
  <c r="L451" i="9"/>
  <c r="W450" i="9"/>
  <c r="V450" i="9"/>
  <c r="L450" i="9"/>
  <c r="W449" i="9"/>
  <c r="V449" i="9"/>
  <c r="L449" i="9"/>
  <c r="V448" i="9"/>
  <c r="W448" i="9" s="1"/>
  <c r="L448" i="9"/>
  <c r="W447" i="9"/>
  <c r="V447" i="9"/>
  <c r="L447" i="9"/>
  <c r="V446" i="9"/>
  <c r="W446" i="9" s="1"/>
  <c r="L446" i="9"/>
  <c r="W445" i="9"/>
  <c r="V445" i="9"/>
  <c r="L445" i="9"/>
  <c r="W444" i="9"/>
  <c r="V444" i="9"/>
  <c r="L444" i="9"/>
  <c r="V443" i="9"/>
  <c r="W443" i="9" s="1"/>
  <c r="L443" i="9"/>
  <c r="W442" i="9"/>
  <c r="V442" i="9"/>
  <c r="L442" i="9"/>
  <c r="V441" i="9"/>
  <c r="W441" i="9" s="1"/>
  <c r="L441" i="9"/>
  <c r="V440" i="9"/>
  <c r="W440" i="9" s="1"/>
  <c r="L440" i="9"/>
  <c r="V439" i="9"/>
  <c r="W439" i="9" s="1"/>
  <c r="F123" i="6" s="1"/>
  <c r="M123" i="6" s="1"/>
  <c r="L439" i="9"/>
  <c r="V438" i="9"/>
  <c r="W438" i="9" s="1"/>
  <c r="L438" i="9"/>
  <c r="W437" i="9"/>
  <c r="V437" i="9"/>
  <c r="L437" i="9"/>
  <c r="W436" i="9"/>
  <c r="V436" i="9"/>
  <c r="L436" i="9"/>
  <c r="W435" i="9"/>
  <c r="V435" i="9"/>
  <c r="L435" i="9"/>
  <c r="W434" i="9"/>
  <c r="V434" i="9"/>
  <c r="L434" i="9"/>
  <c r="W433" i="9"/>
  <c r="V433" i="9"/>
  <c r="L433" i="9"/>
  <c r="W432" i="9"/>
  <c r="V432" i="9"/>
  <c r="L432" i="9"/>
  <c r="W431" i="9"/>
  <c r="V431" i="9"/>
  <c r="L431" i="9"/>
  <c r="V430" i="9"/>
  <c r="W430" i="9" s="1"/>
  <c r="L430" i="9"/>
  <c r="W429" i="9"/>
  <c r="V429" i="9"/>
  <c r="L429" i="9"/>
  <c r="W428" i="9"/>
  <c r="V428" i="9"/>
  <c r="L428" i="9"/>
  <c r="V427" i="9"/>
  <c r="W427" i="9" s="1"/>
  <c r="F70" i="6" s="1"/>
  <c r="L427" i="9"/>
  <c r="W426" i="9"/>
  <c r="V426" i="9"/>
  <c r="L426" i="9"/>
  <c r="V425" i="9"/>
  <c r="W425" i="9" s="1"/>
  <c r="L425" i="9"/>
  <c r="V424" i="9"/>
  <c r="W424" i="9" s="1"/>
  <c r="L424" i="9"/>
  <c r="V423" i="9"/>
  <c r="W423" i="9" s="1"/>
  <c r="L423" i="9"/>
  <c r="W422" i="9"/>
  <c r="V422" i="9"/>
  <c r="L422" i="9"/>
  <c r="W421" i="9"/>
  <c r="V421" i="9"/>
  <c r="L421" i="9"/>
  <c r="W420" i="9"/>
  <c r="V420" i="9"/>
  <c r="L420" i="9"/>
  <c r="W419" i="9"/>
  <c r="V419" i="9"/>
  <c r="L419" i="9"/>
  <c r="W418" i="9"/>
  <c r="V418" i="9"/>
  <c r="L418" i="9"/>
  <c r="W417" i="9"/>
  <c r="V417" i="9"/>
  <c r="L417" i="9"/>
  <c r="V416" i="9"/>
  <c r="W416" i="9" s="1"/>
  <c r="L416" i="9"/>
  <c r="V415" i="9"/>
  <c r="W415" i="9" s="1"/>
  <c r="L415" i="9"/>
  <c r="V414" i="9"/>
  <c r="W414" i="9" s="1"/>
  <c r="L414" i="9"/>
  <c r="W413" i="9"/>
  <c r="V413" i="9"/>
  <c r="L413" i="9"/>
  <c r="W412" i="9"/>
  <c r="V412" i="9"/>
  <c r="L412" i="9"/>
  <c r="V411" i="9"/>
  <c r="W411" i="9" s="1"/>
  <c r="L411" i="9"/>
  <c r="W410" i="9"/>
  <c r="V410" i="9"/>
  <c r="L410" i="9"/>
  <c r="W409" i="9"/>
  <c r="V409" i="9"/>
  <c r="L409" i="9"/>
  <c r="V408" i="9"/>
  <c r="W408" i="9" s="1"/>
  <c r="L408" i="9"/>
  <c r="V407" i="9"/>
  <c r="W407" i="9" s="1"/>
  <c r="L407" i="9"/>
  <c r="V406" i="9"/>
  <c r="W406" i="9" s="1"/>
  <c r="L406" i="9"/>
  <c r="W405" i="9"/>
  <c r="V405" i="9"/>
  <c r="L405" i="9"/>
  <c r="W404" i="9"/>
  <c r="V404" i="9"/>
  <c r="L404" i="9"/>
  <c r="W403" i="9"/>
  <c r="V403" i="9"/>
  <c r="L403" i="9"/>
  <c r="W402" i="9"/>
  <c r="V402" i="9"/>
  <c r="L402" i="9"/>
  <c r="W401" i="9"/>
  <c r="V401" i="9"/>
  <c r="L401" i="9"/>
  <c r="V400" i="9"/>
  <c r="W400" i="9" s="1"/>
  <c r="L400" i="9"/>
  <c r="V399" i="9"/>
  <c r="W399" i="9" s="1"/>
  <c r="L399" i="9"/>
  <c r="V398" i="9"/>
  <c r="W398" i="9" s="1"/>
  <c r="L398" i="9"/>
  <c r="W397" i="9"/>
  <c r="V397" i="9"/>
  <c r="L397" i="9"/>
  <c r="W396" i="9"/>
  <c r="V396" i="9"/>
  <c r="L396" i="9"/>
  <c r="V395" i="9"/>
  <c r="W395" i="9" s="1"/>
  <c r="L395" i="9"/>
  <c r="W394" i="9"/>
  <c r="V394" i="9"/>
  <c r="L394" i="9"/>
  <c r="V393" i="9"/>
  <c r="W393" i="9" s="1"/>
  <c r="L393" i="9"/>
  <c r="V392" i="9"/>
  <c r="W392" i="9" s="1"/>
  <c r="L392" i="9"/>
  <c r="W391" i="9"/>
  <c r="V391" i="9"/>
  <c r="L391" i="9"/>
  <c r="V390" i="9"/>
  <c r="W390" i="9" s="1"/>
  <c r="F100" i="6" s="1"/>
  <c r="M100" i="6" s="1"/>
  <c r="L390" i="9"/>
  <c r="W389" i="9"/>
  <c r="V389" i="9"/>
  <c r="L389" i="9"/>
  <c r="W388" i="9"/>
  <c r="V388" i="9"/>
  <c r="L388" i="9"/>
  <c r="W387" i="9"/>
  <c r="V387" i="9"/>
  <c r="L387" i="9"/>
  <c r="W386" i="9"/>
  <c r="V386" i="9"/>
  <c r="L386" i="9"/>
  <c r="W385" i="9"/>
  <c r="V385" i="9"/>
  <c r="L385" i="9"/>
  <c r="V384" i="9"/>
  <c r="W384" i="9" s="1"/>
  <c r="L384" i="9"/>
  <c r="V383" i="9"/>
  <c r="W383" i="9" s="1"/>
  <c r="F127" i="6" s="1"/>
  <c r="M127" i="6" s="1"/>
  <c r="L383" i="9"/>
  <c r="W382" i="9"/>
  <c r="V382" i="9"/>
  <c r="L382" i="9"/>
  <c r="W381" i="9"/>
  <c r="V381" i="9"/>
  <c r="L381" i="9"/>
  <c r="W380" i="9"/>
  <c r="V380" i="9"/>
  <c r="L380" i="9"/>
  <c r="V379" i="9"/>
  <c r="W379" i="9" s="1"/>
  <c r="L379" i="9"/>
  <c r="W378" i="9"/>
  <c r="V378" i="9"/>
  <c r="L378" i="9"/>
  <c r="V377" i="9"/>
  <c r="W377" i="9" s="1"/>
  <c r="L377" i="9"/>
  <c r="V376" i="9"/>
  <c r="W376" i="9" s="1"/>
  <c r="L376" i="9"/>
  <c r="V375" i="9"/>
  <c r="W375" i="9" s="1"/>
  <c r="L375" i="9"/>
  <c r="V374" i="9"/>
  <c r="W374" i="9" s="1"/>
  <c r="L374" i="9"/>
  <c r="W373" i="9"/>
  <c r="V373" i="9"/>
  <c r="L373" i="9"/>
  <c r="W372" i="9"/>
  <c r="V372" i="9"/>
  <c r="L372" i="9"/>
  <c r="W371" i="9"/>
  <c r="V371" i="9"/>
  <c r="L371" i="9"/>
  <c r="W370" i="9"/>
  <c r="V370" i="9"/>
  <c r="L370" i="9"/>
  <c r="W369" i="9"/>
  <c r="V369" i="9"/>
  <c r="L369" i="9"/>
  <c r="V368" i="9"/>
  <c r="W368" i="9" s="1"/>
  <c r="L368" i="9"/>
  <c r="V367" i="9"/>
  <c r="W367" i="9" s="1"/>
  <c r="L367" i="9"/>
  <c r="V366" i="9"/>
  <c r="W366" i="9" s="1"/>
  <c r="L366" i="9"/>
  <c r="W365" i="9"/>
  <c r="V365" i="9"/>
  <c r="L365" i="9"/>
  <c r="W364" i="9"/>
  <c r="V364" i="9"/>
  <c r="L364" i="9"/>
  <c r="V363" i="9"/>
  <c r="W363" i="9" s="1"/>
  <c r="L363" i="9"/>
  <c r="W362" i="9"/>
  <c r="V362" i="9"/>
  <c r="L362" i="9"/>
  <c r="W361" i="9"/>
  <c r="V361" i="9"/>
  <c r="L361" i="9"/>
  <c r="W360" i="9"/>
  <c r="V360" i="9"/>
  <c r="L360" i="9"/>
  <c r="V359" i="9"/>
  <c r="W359" i="9" s="1"/>
  <c r="L359" i="9"/>
  <c r="V358" i="9"/>
  <c r="W358" i="9" s="1"/>
  <c r="L358" i="9"/>
  <c r="W357" i="9"/>
  <c r="V357" i="9"/>
  <c r="L357" i="9"/>
  <c r="W356" i="9"/>
  <c r="V356" i="9"/>
  <c r="L356" i="9"/>
  <c r="W355" i="9"/>
  <c r="V355" i="9"/>
  <c r="L355" i="9"/>
  <c r="W354" i="9"/>
  <c r="V354" i="9"/>
  <c r="L354" i="9"/>
  <c r="W353" i="9"/>
  <c r="V353" i="9"/>
  <c r="L353" i="9"/>
  <c r="W352" i="9"/>
  <c r="V352" i="9"/>
  <c r="L352" i="9"/>
  <c r="V351" i="9"/>
  <c r="W351" i="9" s="1"/>
  <c r="L351" i="9"/>
  <c r="W350" i="9"/>
  <c r="V350" i="9"/>
  <c r="L350" i="9"/>
  <c r="W349" i="9"/>
  <c r="V349" i="9"/>
  <c r="L349" i="9"/>
  <c r="W348" i="9"/>
  <c r="V348" i="9"/>
  <c r="L348" i="9"/>
  <c r="V347" i="9"/>
  <c r="W347" i="9" s="1"/>
  <c r="L347" i="9"/>
  <c r="W346" i="9"/>
  <c r="V346" i="9"/>
  <c r="L346" i="9"/>
  <c r="V345" i="9"/>
  <c r="W345" i="9" s="1"/>
  <c r="L345" i="9"/>
  <c r="W344" i="9"/>
  <c r="V344" i="9"/>
  <c r="L344" i="9"/>
  <c r="V343" i="9"/>
  <c r="W343" i="9" s="1"/>
  <c r="L343" i="9"/>
  <c r="V342" i="9"/>
  <c r="W342" i="9" s="1"/>
  <c r="L342" i="9"/>
  <c r="W341" i="9"/>
  <c r="V341" i="9"/>
  <c r="L341" i="9"/>
  <c r="W340" i="9"/>
  <c r="V340" i="9"/>
  <c r="L340" i="9"/>
  <c r="W339" i="9"/>
  <c r="V339" i="9"/>
  <c r="L339" i="9"/>
  <c r="W338" i="9"/>
  <c r="V338" i="9"/>
  <c r="L338" i="9"/>
  <c r="W337" i="9"/>
  <c r="V337" i="9"/>
  <c r="L337" i="9"/>
  <c r="V336" i="9"/>
  <c r="W336" i="9" s="1"/>
  <c r="F112" i="6" s="1"/>
  <c r="M112" i="6" s="1"/>
  <c r="L336" i="9"/>
  <c r="W335" i="9"/>
  <c r="V335" i="9"/>
  <c r="L335" i="9"/>
  <c r="W334" i="9"/>
  <c r="V334" i="9"/>
  <c r="L334" i="9"/>
  <c r="W333" i="9"/>
  <c r="V333" i="9"/>
  <c r="L333" i="9"/>
  <c r="W332" i="9"/>
  <c r="V332" i="9"/>
  <c r="L332" i="9"/>
  <c r="V331" i="9"/>
  <c r="W331" i="9" s="1"/>
  <c r="L331" i="9"/>
  <c r="W330" i="9"/>
  <c r="V330" i="9"/>
  <c r="L330" i="9"/>
  <c r="V329" i="9"/>
  <c r="W329" i="9" s="1"/>
  <c r="L329" i="9"/>
  <c r="W328" i="9"/>
  <c r="V328" i="9"/>
  <c r="L328" i="9"/>
  <c r="W327" i="9"/>
  <c r="V327" i="9"/>
  <c r="L327" i="9"/>
  <c r="V326" i="9"/>
  <c r="W326" i="9" s="1"/>
  <c r="L326" i="9"/>
  <c r="W325" i="9"/>
  <c r="V325" i="9"/>
  <c r="L325" i="9"/>
  <c r="W324" i="9"/>
  <c r="V324" i="9"/>
  <c r="L324" i="9"/>
  <c r="W323" i="9"/>
  <c r="V323" i="9"/>
  <c r="L323" i="9"/>
  <c r="W322" i="9"/>
  <c r="V322" i="9"/>
  <c r="L322" i="9"/>
  <c r="W321" i="9"/>
  <c r="V321" i="9"/>
  <c r="L321" i="9"/>
  <c r="V320" i="9"/>
  <c r="W320" i="9" s="1"/>
  <c r="L320" i="9"/>
  <c r="V319" i="9"/>
  <c r="W319" i="9" s="1"/>
  <c r="L319" i="9"/>
  <c r="V318" i="9"/>
  <c r="W318" i="9" s="1"/>
  <c r="L318" i="9"/>
  <c r="W317" i="9"/>
  <c r="V317" i="9"/>
  <c r="L317" i="9"/>
  <c r="W316" i="9"/>
  <c r="V316" i="9"/>
  <c r="L316" i="9"/>
  <c r="V315" i="9"/>
  <c r="W315" i="9" s="1"/>
  <c r="L315" i="9"/>
  <c r="W314" i="9"/>
  <c r="V314" i="9"/>
  <c r="L314" i="9"/>
  <c r="V313" i="9"/>
  <c r="W313" i="9" s="1"/>
  <c r="L313" i="9"/>
  <c r="W312" i="9"/>
  <c r="V312" i="9"/>
  <c r="L312" i="9"/>
  <c r="V311" i="9"/>
  <c r="W311" i="9" s="1"/>
  <c r="L311" i="9"/>
  <c r="V310" i="9"/>
  <c r="W310" i="9" s="1"/>
  <c r="L310" i="9"/>
  <c r="W309" i="9"/>
  <c r="V309" i="9"/>
  <c r="L309" i="9"/>
  <c r="W308" i="9"/>
  <c r="V308" i="9"/>
  <c r="L308" i="9"/>
  <c r="W307" i="9"/>
  <c r="V307" i="9"/>
  <c r="L307" i="9"/>
  <c r="W306" i="9"/>
  <c r="V306" i="9"/>
  <c r="L306" i="9"/>
  <c r="W305" i="9"/>
  <c r="V305" i="9"/>
  <c r="L305" i="9"/>
  <c r="V304" i="9"/>
  <c r="W304" i="9" s="1"/>
  <c r="L304" i="9"/>
  <c r="V303" i="9"/>
  <c r="W303" i="9" s="1"/>
  <c r="L303" i="9"/>
  <c r="V302" i="9"/>
  <c r="W302" i="9" s="1"/>
  <c r="L302" i="9"/>
  <c r="W301" i="9"/>
  <c r="V301" i="9"/>
  <c r="L301" i="9"/>
  <c r="W300" i="9"/>
  <c r="V300" i="9"/>
  <c r="L300" i="9"/>
  <c r="W299" i="9"/>
  <c r="V299" i="9"/>
  <c r="L299" i="9"/>
  <c r="W298" i="9"/>
  <c r="V298" i="9"/>
  <c r="L298" i="9"/>
  <c r="V297" i="9"/>
  <c r="W297" i="9" s="1"/>
  <c r="L297" i="9"/>
  <c r="V296" i="9"/>
  <c r="W296" i="9" s="1"/>
  <c r="L296" i="9"/>
  <c r="V295" i="9"/>
  <c r="W295" i="9" s="1"/>
  <c r="L295" i="9"/>
  <c r="W294" i="9"/>
  <c r="V294" i="9"/>
  <c r="L294" i="9"/>
  <c r="W293" i="9"/>
  <c r="V293" i="9"/>
  <c r="L293" i="9"/>
  <c r="W292" i="9"/>
  <c r="V292" i="9"/>
  <c r="L292" i="9"/>
  <c r="W291" i="9"/>
  <c r="V291" i="9"/>
  <c r="L291" i="9"/>
  <c r="W290" i="9"/>
  <c r="V290" i="9"/>
  <c r="L290" i="9"/>
  <c r="W289" i="9"/>
  <c r="V289" i="9"/>
  <c r="L289" i="9"/>
  <c r="W288" i="9"/>
  <c r="V288" i="9"/>
  <c r="L288" i="9"/>
  <c r="W287" i="9"/>
  <c r="V287" i="9"/>
  <c r="L287" i="9"/>
  <c r="V286" i="9"/>
  <c r="W286" i="9" s="1"/>
  <c r="L286" i="9"/>
  <c r="W285" i="9"/>
  <c r="V285" i="9"/>
  <c r="L285" i="9"/>
  <c r="W284" i="9"/>
  <c r="V284" i="9"/>
  <c r="L284" i="9"/>
  <c r="V283" i="9"/>
  <c r="W283" i="9" s="1"/>
  <c r="L283" i="9"/>
  <c r="W282" i="9"/>
  <c r="V282" i="9"/>
  <c r="L282" i="9"/>
  <c r="V281" i="9"/>
  <c r="W281" i="9" s="1"/>
  <c r="L281" i="9"/>
  <c r="V280" i="9"/>
  <c r="W280" i="9" s="1"/>
  <c r="L280" i="9"/>
  <c r="V279" i="9"/>
  <c r="W279" i="9" s="1"/>
  <c r="L279" i="9"/>
  <c r="W278" i="9"/>
  <c r="V278" i="9"/>
  <c r="L278" i="9"/>
  <c r="W277" i="9"/>
  <c r="V277" i="9"/>
  <c r="L277" i="9"/>
  <c r="W276" i="9"/>
  <c r="V276" i="9"/>
  <c r="L276" i="9"/>
  <c r="W275" i="9"/>
  <c r="V275" i="9"/>
  <c r="L275" i="9"/>
  <c r="W274" i="9"/>
  <c r="V274" i="9"/>
  <c r="L274" i="9"/>
  <c r="W273" i="9"/>
  <c r="V273" i="9"/>
  <c r="L273" i="9"/>
  <c r="V272" i="9"/>
  <c r="W272" i="9" s="1"/>
  <c r="L272" i="9"/>
  <c r="W271" i="9"/>
  <c r="V271" i="9"/>
  <c r="L271" i="9"/>
  <c r="V270" i="9"/>
  <c r="W270" i="9" s="1"/>
  <c r="L270" i="9"/>
  <c r="W269" i="9"/>
  <c r="V269" i="9"/>
  <c r="L269" i="9"/>
  <c r="W268" i="9"/>
  <c r="V268" i="9"/>
  <c r="L268" i="9"/>
  <c r="W267" i="9"/>
  <c r="V267" i="9"/>
  <c r="L267" i="9"/>
  <c r="W266" i="9"/>
  <c r="V266" i="9"/>
  <c r="L266" i="9"/>
  <c r="V265" i="9"/>
  <c r="W265" i="9" s="1"/>
  <c r="F82" i="6" s="1"/>
  <c r="L265" i="9"/>
  <c r="V264" i="9"/>
  <c r="W264" i="9" s="1"/>
  <c r="L264" i="9"/>
  <c r="V263" i="9"/>
  <c r="W263" i="9" s="1"/>
  <c r="L263" i="9"/>
  <c r="W262" i="9"/>
  <c r="V262" i="9"/>
  <c r="L262" i="9"/>
  <c r="W261" i="9"/>
  <c r="V261" i="9"/>
  <c r="L261" i="9"/>
  <c r="W260" i="9"/>
  <c r="V260" i="9"/>
  <c r="L260" i="9"/>
  <c r="W259" i="9"/>
  <c r="V259" i="9"/>
  <c r="L259" i="9"/>
  <c r="W258" i="9"/>
  <c r="V258" i="9"/>
  <c r="L258" i="9"/>
  <c r="W257" i="9"/>
  <c r="V257" i="9"/>
  <c r="L257" i="9"/>
  <c r="V256" i="9"/>
  <c r="W256" i="9" s="1"/>
  <c r="F116" i="6" s="1"/>
  <c r="M116" i="6" s="1"/>
  <c r="L256" i="9"/>
  <c r="V255" i="9"/>
  <c r="W255" i="9" s="1"/>
  <c r="L255" i="9"/>
  <c r="V254" i="9"/>
  <c r="W254" i="9" s="1"/>
  <c r="L254" i="9"/>
  <c r="W253" i="9"/>
  <c r="V253" i="9"/>
  <c r="L253" i="9"/>
  <c r="W252" i="9"/>
  <c r="V252" i="9"/>
  <c r="L252" i="9"/>
  <c r="V251" i="9"/>
  <c r="W251" i="9" s="1"/>
  <c r="L251" i="9"/>
  <c r="W250" i="9"/>
  <c r="V250" i="9"/>
  <c r="L250" i="9"/>
  <c r="W249" i="9"/>
  <c r="V249" i="9"/>
  <c r="L249" i="9"/>
  <c r="V248" i="9"/>
  <c r="W248" i="9" s="1"/>
  <c r="L248" i="9"/>
  <c r="V247" i="9"/>
  <c r="W247" i="9" s="1"/>
  <c r="L247" i="9"/>
  <c r="W246" i="9"/>
  <c r="V246" i="9"/>
  <c r="L246" i="9"/>
  <c r="W245" i="9"/>
  <c r="V245" i="9"/>
  <c r="L245" i="9"/>
  <c r="W244" i="9"/>
  <c r="V244" i="9"/>
  <c r="L244" i="9"/>
  <c r="W243" i="9"/>
  <c r="V243" i="9"/>
  <c r="L243" i="9"/>
  <c r="W242" i="9"/>
  <c r="V242" i="9"/>
  <c r="L242" i="9"/>
  <c r="W241" i="9"/>
  <c r="V241" i="9"/>
  <c r="L241" i="9"/>
  <c r="W240" i="9"/>
  <c r="V240" i="9"/>
  <c r="L240" i="9"/>
  <c r="W239" i="9"/>
  <c r="V239" i="9"/>
  <c r="L239" i="9"/>
  <c r="V238" i="9"/>
  <c r="W238" i="9" s="1"/>
  <c r="L238" i="9"/>
  <c r="W237" i="9"/>
  <c r="V237" i="9"/>
  <c r="L237" i="9"/>
  <c r="W236" i="9"/>
  <c r="V236" i="9"/>
  <c r="L236" i="9"/>
  <c r="W235" i="9"/>
  <c r="V235" i="9"/>
  <c r="L235" i="9"/>
  <c r="W234" i="9"/>
  <c r="V234" i="9"/>
  <c r="L234" i="9"/>
  <c r="V233" i="9"/>
  <c r="W233" i="9" s="1"/>
  <c r="L233" i="9"/>
  <c r="V232" i="9"/>
  <c r="W232" i="9" s="1"/>
  <c r="L232" i="9"/>
  <c r="V231" i="9"/>
  <c r="W231" i="9" s="1"/>
  <c r="L231" i="9"/>
  <c r="W230" i="9"/>
  <c r="V230" i="9"/>
  <c r="L230" i="9"/>
  <c r="W229" i="9"/>
  <c r="V229" i="9"/>
  <c r="L229" i="9"/>
  <c r="W228" i="9"/>
  <c r="V228" i="9"/>
  <c r="L228" i="9"/>
  <c r="W227" i="9"/>
  <c r="V227" i="9"/>
  <c r="L227" i="9"/>
  <c r="W226" i="9"/>
  <c r="V226" i="9"/>
  <c r="L226" i="9"/>
  <c r="W225" i="9"/>
  <c r="V225" i="9"/>
  <c r="L225" i="9"/>
  <c r="V224" i="9"/>
  <c r="W224" i="9" s="1"/>
  <c r="L224" i="9"/>
  <c r="V223" i="9"/>
  <c r="W223" i="9" s="1"/>
  <c r="F87" i="6" s="1"/>
  <c r="M87" i="6" s="1"/>
  <c r="L223" i="9"/>
  <c r="V222" i="9"/>
  <c r="W222" i="9" s="1"/>
  <c r="L222" i="9"/>
  <c r="W221" i="9"/>
  <c r="V221" i="9"/>
  <c r="L221" i="9"/>
  <c r="W220" i="9"/>
  <c r="V220" i="9"/>
  <c r="L220" i="9"/>
  <c r="W219" i="9"/>
  <c r="V219" i="9"/>
  <c r="L219" i="9"/>
  <c r="W218" i="9"/>
  <c r="V218" i="9"/>
  <c r="L218" i="9"/>
  <c r="V217" i="9"/>
  <c r="W217" i="9" s="1"/>
  <c r="L217" i="9"/>
  <c r="W216" i="9"/>
  <c r="V216" i="9"/>
  <c r="L216" i="9"/>
  <c r="V215" i="9"/>
  <c r="W215" i="9" s="1"/>
  <c r="F86" i="6" s="1"/>
  <c r="L215" i="9"/>
  <c r="V214" i="9"/>
  <c r="W214" i="9" s="1"/>
  <c r="L214" i="9"/>
  <c r="W213" i="9"/>
  <c r="V213" i="9"/>
  <c r="L213" i="9"/>
  <c r="W212" i="9"/>
  <c r="V212" i="9"/>
  <c r="L212" i="9"/>
  <c r="W211" i="9"/>
  <c r="V211" i="9"/>
  <c r="L211" i="9"/>
  <c r="W210" i="9"/>
  <c r="V210" i="9"/>
  <c r="L210" i="9"/>
  <c r="W209" i="9"/>
  <c r="V209" i="9"/>
  <c r="L209" i="9"/>
  <c r="W208" i="9"/>
  <c r="V208" i="9"/>
  <c r="L208" i="9"/>
  <c r="V207" i="9"/>
  <c r="W207" i="9" s="1"/>
  <c r="L207" i="9"/>
  <c r="V206" i="9"/>
  <c r="W206" i="9" s="1"/>
  <c r="L206" i="9"/>
  <c r="W205" i="9"/>
  <c r="V205" i="9"/>
  <c r="L205" i="9"/>
  <c r="W204" i="9"/>
  <c r="V204" i="9"/>
  <c r="L204" i="9"/>
  <c r="W203" i="9"/>
  <c r="V203" i="9"/>
  <c r="L203" i="9"/>
  <c r="W202" i="9"/>
  <c r="V202" i="9"/>
  <c r="L202" i="9"/>
  <c r="V201" i="9"/>
  <c r="W201" i="9" s="1"/>
  <c r="L201" i="9"/>
  <c r="W200" i="9"/>
  <c r="V200" i="9"/>
  <c r="L200" i="9"/>
  <c r="V199" i="9"/>
  <c r="W199" i="9" s="1"/>
  <c r="L199" i="9"/>
  <c r="V198" i="9"/>
  <c r="W198" i="9" s="1"/>
  <c r="L198" i="9"/>
  <c r="W197" i="9"/>
  <c r="V197" i="9"/>
  <c r="L197" i="9"/>
  <c r="W196" i="9"/>
  <c r="V196" i="9"/>
  <c r="L196" i="9"/>
  <c r="W195" i="9"/>
  <c r="V195" i="9"/>
  <c r="L195" i="9"/>
  <c r="W194" i="9"/>
  <c r="V194" i="9"/>
  <c r="L194" i="9"/>
  <c r="W193" i="9"/>
  <c r="V193" i="9"/>
  <c r="L193" i="9"/>
  <c r="V192" i="9"/>
  <c r="W192" i="9" s="1"/>
  <c r="L192" i="9"/>
  <c r="V191" i="9"/>
  <c r="W191" i="9" s="1"/>
  <c r="L191" i="9"/>
  <c r="V190" i="9"/>
  <c r="W190" i="9" s="1"/>
  <c r="L190" i="9"/>
  <c r="W189" i="9"/>
  <c r="V189" i="9"/>
  <c r="L189" i="9"/>
  <c r="W188" i="9"/>
  <c r="V188" i="9"/>
  <c r="L188" i="9"/>
  <c r="W187" i="9"/>
  <c r="V187" i="9"/>
  <c r="L187" i="9"/>
  <c r="W186" i="9"/>
  <c r="V186" i="9"/>
  <c r="L186" i="9"/>
  <c r="W185" i="9"/>
  <c r="V185" i="9"/>
  <c r="L185" i="9"/>
  <c r="V184" i="9"/>
  <c r="W184" i="9" s="1"/>
  <c r="L184" i="9"/>
  <c r="V183" i="9"/>
  <c r="W183" i="9" s="1"/>
  <c r="L183" i="9"/>
  <c r="V182" i="9"/>
  <c r="W182" i="9" s="1"/>
  <c r="L182" i="9"/>
  <c r="W181" i="9"/>
  <c r="V181" i="9"/>
  <c r="L181" i="9"/>
  <c r="W180" i="9"/>
  <c r="V180" i="9"/>
  <c r="L180" i="9"/>
  <c r="W179" i="9"/>
  <c r="V179" i="9"/>
  <c r="L179" i="9"/>
  <c r="W178" i="9"/>
  <c r="V178" i="9"/>
  <c r="L178" i="9"/>
  <c r="W177" i="9"/>
  <c r="V177" i="9"/>
  <c r="L177" i="9"/>
  <c r="V176" i="9"/>
  <c r="W176" i="9" s="1"/>
  <c r="L176" i="9"/>
  <c r="V175" i="9"/>
  <c r="W175" i="9" s="1"/>
  <c r="L175" i="9"/>
  <c r="W174" i="9"/>
  <c r="V174" i="9"/>
  <c r="L174" i="9"/>
  <c r="W173" i="9"/>
  <c r="V173" i="9"/>
  <c r="L173" i="9"/>
  <c r="W172" i="9"/>
  <c r="V172" i="9"/>
  <c r="L172" i="9"/>
  <c r="V171" i="9"/>
  <c r="W171" i="9" s="1"/>
  <c r="L171" i="9"/>
  <c r="W170" i="9"/>
  <c r="V170" i="9"/>
  <c r="L170" i="9"/>
  <c r="V169" i="9"/>
  <c r="W169" i="9" s="1"/>
  <c r="F78" i="6" s="1"/>
  <c r="L169" i="9"/>
  <c r="V168" i="9"/>
  <c r="W168" i="9" s="1"/>
  <c r="L168" i="9"/>
  <c r="V167" i="9"/>
  <c r="W167" i="9" s="1"/>
  <c r="F83" i="6" s="1"/>
  <c r="L167" i="9"/>
  <c r="V166" i="9"/>
  <c r="W166" i="9" s="1"/>
  <c r="L166" i="9"/>
  <c r="W165" i="9"/>
  <c r="V165" i="9"/>
  <c r="L165" i="9"/>
  <c r="W164" i="9"/>
  <c r="V164" i="9"/>
  <c r="L164" i="9"/>
  <c r="W163" i="9"/>
  <c r="V163" i="9"/>
  <c r="L163" i="9"/>
  <c r="W162" i="9"/>
  <c r="V162" i="9"/>
  <c r="L162" i="9"/>
  <c r="W161" i="9"/>
  <c r="V161" i="9"/>
  <c r="L161" i="9"/>
  <c r="W160" i="9"/>
  <c r="V160" i="9"/>
  <c r="L160" i="9"/>
  <c r="V159" i="9"/>
  <c r="W159" i="9" s="1"/>
  <c r="L159" i="9"/>
  <c r="W158" i="9"/>
  <c r="V158" i="9"/>
  <c r="L158" i="9"/>
  <c r="W157" i="9"/>
  <c r="V157" i="9"/>
  <c r="L157" i="9"/>
  <c r="W156" i="9"/>
  <c r="V156" i="9"/>
  <c r="L156" i="9"/>
  <c r="V155" i="9"/>
  <c r="W155" i="9" s="1"/>
  <c r="L155" i="9"/>
  <c r="W154" i="9"/>
  <c r="V154" i="9"/>
  <c r="L154" i="9"/>
  <c r="W153" i="9"/>
  <c r="V153" i="9"/>
  <c r="L153" i="9"/>
  <c r="W152" i="9"/>
  <c r="V152" i="9"/>
  <c r="L152" i="9"/>
  <c r="W151" i="9"/>
  <c r="V151" i="9"/>
  <c r="L151" i="9"/>
  <c r="W150" i="9"/>
  <c r="V150" i="9"/>
  <c r="L150" i="9"/>
  <c r="W149" i="9"/>
  <c r="V149" i="9"/>
  <c r="L149" i="9"/>
  <c r="W148" i="9"/>
  <c r="V148" i="9"/>
  <c r="L148" i="9"/>
  <c r="W147" i="9"/>
  <c r="V147" i="9"/>
  <c r="L147" i="9"/>
  <c r="W146" i="9"/>
  <c r="V146" i="9"/>
  <c r="L146" i="9"/>
  <c r="W145" i="9"/>
  <c r="V145" i="9"/>
  <c r="L145" i="9"/>
  <c r="V144" i="9"/>
  <c r="W144" i="9" s="1"/>
  <c r="L144" i="9"/>
  <c r="V143" i="9"/>
  <c r="W143" i="9" s="1"/>
  <c r="L143" i="9"/>
  <c r="W142" i="9"/>
  <c r="V142" i="9"/>
  <c r="L142" i="9"/>
  <c r="W141" i="9"/>
  <c r="V141" i="9"/>
  <c r="L141" i="9"/>
  <c r="W140" i="9"/>
  <c r="V140" i="9"/>
  <c r="L140" i="9"/>
  <c r="V139" i="9"/>
  <c r="W139" i="9" s="1"/>
  <c r="L139" i="9"/>
  <c r="W138" i="9"/>
  <c r="V138" i="9"/>
  <c r="L138" i="9"/>
  <c r="V137" i="9"/>
  <c r="W137" i="9" s="1"/>
  <c r="L137" i="9"/>
  <c r="V136" i="9"/>
  <c r="W136" i="9" s="1"/>
  <c r="L136" i="9"/>
  <c r="W135" i="9"/>
  <c r="V135" i="9"/>
  <c r="L135" i="9"/>
  <c r="W134" i="9"/>
  <c r="V134" i="9"/>
  <c r="L134" i="9"/>
  <c r="W133" i="9"/>
  <c r="V133" i="9"/>
  <c r="L133" i="9"/>
  <c r="W132" i="9"/>
  <c r="V132" i="9"/>
  <c r="L132" i="9"/>
  <c r="W131" i="9"/>
  <c r="V131" i="9"/>
  <c r="L131" i="9"/>
  <c r="W130" i="9"/>
  <c r="V130" i="9"/>
  <c r="L130" i="9"/>
  <c r="W129" i="9"/>
  <c r="V129" i="9"/>
  <c r="L129" i="9"/>
  <c r="V128" i="9"/>
  <c r="W128" i="9" s="1"/>
  <c r="L128" i="9"/>
  <c r="W127" i="9"/>
  <c r="V127" i="9"/>
  <c r="L127" i="9"/>
  <c r="W126" i="9"/>
  <c r="V126" i="9"/>
  <c r="L126" i="9"/>
  <c r="W125" i="9"/>
  <c r="V125" i="9"/>
  <c r="L125" i="9"/>
  <c r="W124" i="9"/>
  <c r="V124" i="9"/>
  <c r="L124" i="9"/>
  <c r="V123" i="9"/>
  <c r="W123" i="9" s="1"/>
  <c r="L123" i="9"/>
  <c r="W122" i="9"/>
  <c r="V122" i="9"/>
  <c r="L122" i="9"/>
  <c r="V121" i="9"/>
  <c r="W121" i="9" s="1"/>
  <c r="L121" i="9"/>
  <c r="V120" i="9"/>
  <c r="W120" i="9" s="1"/>
  <c r="L120" i="9"/>
  <c r="V119" i="9"/>
  <c r="W119" i="9" s="1"/>
  <c r="L119" i="9"/>
  <c r="W118" i="9"/>
  <c r="V118" i="9"/>
  <c r="L118" i="9"/>
  <c r="W117" i="9"/>
  <c r="V117" i="9"/>
  <c r="L117" i="9"/>
  <c r="W116" i="9"/>
  <c r="V116" i="9"/>
  <c r="L116" i="9"/>
  <c r="W115" i="9"/>
  <c r="V115" i="9"/>
  <c r="L115" i="9"/>
  <c r="W114" i="9"/>
  <c r="V114" i="9"/>
  <c r="L114" i="9"/>
  <c r="W113" i="9"/>
  <c r="V113" i="9"/>
  <c r="L113" i="9"/>
  <c r="V112" i="9"/>
  <c r="W112" i="9" s="1"/>
  <c r="L112" i="9"/>
  <c r="W111" i="9"/>
  <c r="V111" i="9"/>
  <c r="L111" i="9"/>
  <c r="W110" i="9"/>
  <c r="V110" i="9"/>
  <c r="L110" i="9"/>
  <c r="W109" i="9"/>
  <c r="V109" i="9"/>
  <c r="L109" i="9"/>
  <c r="W108" i="9"/>
  <c r="V108" i="9"/>
  <c r="L108" i="9"/>
  <c r="W107" i="9"/>
  <c r="V107" i="9"/>
  <c r="L107" i="9"/>
  <c r="W106" i="9"/>
  <c r="V106" i="9"/>
  <c r="L106" i="9"/>
  <c r="W105" i="9"/>
  <c r="V105" i="9"/>
  <c r="L105" i="9"/>
  <c r="V104" i="9"/>
  <c r="W104" i="9" s="1"/>
  <c r="L104" i="9"/>
  <c r="V103" i="9"/>
  <c r="W103" i="9" s="1"/>
  <c r="L103" i="9"/>
  <c r="W102" i="9"/>
  <c r="V102" i="9"/>
  <c r="L102" i="9"/>
  <c r="W101" i="9"/>
  <c r="V101" i="9"/>
  <c r="L101" i="9"/>
  <c r="W100" i="9"/>
  <c r="V100" i="9"/>
  <c r="L100" i="9"/>
  <c r="W99" i="9"/>
  <c r="V99" i="9"/>
  <c r="L99" i="9"/>
  <c r="W98" i="9"/>
  <c r="V98" i="9"/>
  <c r="L98" i="9"/>
  <c r="W97" i="9"/>
  <c r="V97" i="9"/>
  <c r="L97" i="9"/>
  <c r="V96" i="9"/>
  <c r="W96" i="9" s="1"/>
  <c r="L96" i="9"/>
  <c r="V95" i="9"/>
  <c r="W95" i="9" s="1"/>
  <c r="L95" i="9"/>
  <c r="W94" i="9"/>
  <c r="V94" i="9"/>
  <c r="L94" i="9"/>
  <c r="W93" i="9"/>
  <c r="V93" i="9"/>
  <c r="L93" i="9"/>
  <c r="W92" i="9"/>
  <c r="V92" i="9"/>
  <c r="L92" i="9"/>
  <c r="V91" i="9"/>
  <c r="W91" i="9" s="1"/>
  <c r="F102" i="6" s="1"/>
  <c r="M102" i="6" s="1"/>
  <c r="L91" i="9"/>
  <c r="W90" i="9"/>
  <c r="V90" i="9"/>
  <c r="L90" i="9"/>
  <c r="V89" i="9"/>
  <c r="W89" i="9" s="1"/>
  <c r="L89" i="9"/>
  <c r="V88" i="9"/>
  <c r="W88" i="9" s="1"/>
  <c r="L88" i="9"/>
  <c r="V87" i="9"/>
  <c r="W87" i="9" s="1"/>
  <c r="L87" i="9"/>
  <c r="W86" i="9"/>
  <c r="V86" i="9"/>
  <c r="L86" i="9"/>
  <c r="W85" i="9"/>
  <c r="V85" i="9"/>
  <c r="L85" i="9"/>
  <c r="W84" i="9"/>
  <c r="V84" i="9"/>
  <c r="L84" i="9"/>
  <c r="W83" i="9"/>
  <c r="V83" i="9"/>
  <c r="L83" i="9"/>
  <c r="W82" i="9"/>
  <c r="V82" i="9"/>
  <c r="L82" i="9"/>
  <c r="W81" i="9"/>
  <c r="V81" i="9"/>
  <c r="L81" i="9"/>
  <c r="V80" i="9"/>
  <c r="W80" i="9" s="1"/>
  <c r="L80" i="9"/>
  <c r="W79" i="9"/>
  <c r="V79" i="9"/>
  <c r="L79" i="9"/>
  <c r="W78" i="9"/>
  <c r="V78" i="9"/>
  <c r="L78" i="9"/>
  <c r="W77" i="9"/>
  <c r="V77" i="9"/>
  <c r="L77" i="9"/>
  <c r="W76" i="9"/>
  <c r="V76" i="9"/>
  <c r="L76" i="9"/>
  <c r="V75" i="9"/>
  <c r="W75" i="9" s="1"/>
  <c r="L75" i="9"/>
  <c r="W74" i="9"/>
  <c r="V74" i="9"/>
  <c r="L74" i="9"/>
  <c r="V73" i="9"/>
  <c r="W73" i="9" s="1"/>
  <c r="F94" i="6" s="1"/>
  <c r="L73" i="9"/>
  <c r="V72" i="9"/>
  <c r="W72" i="9" s="1"/>
  <c r="L72" i="9"/>
  <c r="W71" i="9"/>
  <c r="V71" i="9"/>
  <c r="L71" i="9"/>
  <c r="W70" i="9"/>
  <c r="V70" i="9"/>
  <c r="L70" i="9"/>
  <c r="W69" i="9"/>
  <c r="V69" i="9"/>
  <c r="L69" i="9"/>
  <c r="W68" i="9"/>
  <c r="V68" i="9"/>
  <c r="L68" i="9"/>
  <c r="W67" i="9"/>
  <c r="V67" i="9"/>
  <c r="L67" i="9"/>
  <c r="W66" i="9"/>
  <c r="V66" i="9"/>
  <c r="L66" i="9"/>
  <c r="W65" i="9"/>
  <c r="V65" i="9"/>
  <c r="L65" i="9"/>
  <c r="V64" i="9"/>
  <c r="W64" i="9" s="1"/>
  <c r="L64" i="9"/>
  <c r="W63" i="9"/>
  <c r="V63" i="9"/>
  <c r="L63" i="9"/>
  <c r="W62" i="9"/>
  <c r="V62" i="9"/>
  <c r="L62" i="9"/>
  <c r="W61" i="9"/>
  <c r="V61" i="9"/>
  <c r="L61" i="9"/>
  <c r="W60" i="9"/>
  <c r="V60" i="9"/>
  <c r="L60" i="9"/>
  <c r="W59" i="9"/>
  <c r="V59" i="9"/>
  <c r="L59" i="9"/>
  <c r="W58" i="9"/>
  <c r="V58" i="9"/>
  <c r="L58" i="9"/>
  <c r="V57" i="9"/>
  <c r="W57" i="9" s="1"/>
  <c r="L57" i="9"/>
  <c r="V56" i="9"/>
  <c r="W56" i="9" s="1"/>
  <c r="L56" i="9"/>
  <c r="V55" i="9"/>
  <c r="W55" i="9" s="1"/>
  <c r="L55" i="9"/>
  <c r="W54" i="9"/>
  <c r="V54" i="9"/>
  <c r="L54" i="9"/>
  <c r="W53" i="9"/>
  <c r="V53" i="9"/>
  <c r="L53" i="9"/>
  <c r="W52" i="9"/>
  <c r="V52" i="9"/>
  <c r="L52" i="9"/>
  <c r="W51" i="9"/>
  <c r="V51" i="9"/>
  <c r="L51" i="9"/>
  <c r="W50" i="9"/>
  <c r="V50" i="9"/>
  <c r="L50" i="9"/>
  <c r="W49" i="9"/>
  <c r="V49" i="9"/>
  <c r="L49" i="9"/>
  <c r="V48" i="9"/>
  <c r="W48" i="9" s="1"/>
  <c r="L48" i="9"/>
  <c r="W47" i="9"/>
  <c r="V47" i="9"/>
  <c r="L47" i="9"/>
  <c r="W46" i="9"/>
  <c r="V46" i="9"/>
  <c r="L46" i="9"/>
  <c r="W45" i="9"/>
  <c r="V45" i="9"/>
  <c r="L45" i="9"/>
  <c r="W44" i="9"/>
  <c r="V44" i="9"/>
  <c r="L44" i="9"/>
  <c r="V43" i="9"/>
  <c r="W43" i="9" s="1"/>
  <c r="L43" i="9"/>
  <c r="W42" i="9"/>
  <c r="V42" i="9"/>
  <c r="L42" i="9"/>
  <c r="V41" i="9"/>
  <c r="W41" i="9" s="1"/>
  <c r="L41" i="9"/>
  <c r="W40" i="9"/>
  <c r="V40" i="9"/>
  <c r="L40" i="9"/>
  <c r="W39" i="9"/>
  <c r="V39" i="9"/>
  <c r="L39" i="9"/>
  <c r="W38" i="9"/>
  <c r="V38" i="9"/>
  <c r="L38" i="9"/>
  <c r="W37" i="9"/>
  <c r="V37" i="9"/>
  <c r="L37" i="9"/>
  <c r="W36" i="9"/>
  <c r="V36" i="9"/>
  <c r="L36" i="9"/>
  <c r="W35" i="9"/>
  <c r="V35" i="9"/>
  <c r="L35" i="9"/>
  <c r="W34" i="9"/>
  <c r="V34" i="9"/>
  <c r="L34" i="9"/>
  <c r="W33" i="9"/>
  <c r="V33" i="9"/>
  <c r="L33" i="9"/>
  <c r="V32" i="9"/>
  <c r="W32" i="9" s="1"/>
  <c r="L32" i="9"/>
  <c r="W31" i="9"/>
  <c r="V31" i="9"/>
  <c r="L31" i="9"/>
  <c r="W30" i="9"/>
  <c r="V30" i="9"/>
  <c r="L30" i="9"/>
  <c r="W29" i="9"/>
  <c r="V29" i="9"/>
  <c r="L29" i="9"/>
  <c r="W28" i="9"/>
  <c r="V28" i="9"/>
  <c r="L28" i="9"/>
  <c r="V27" i="9"/>
  <c r="W27" i="9" s="1"/>
  <c r="L27" i="9"/>
  <c r="W26" i="9"/>
  <c r="V26" i="9"/>
  <c r="L26" i="9"/>
  <c r="V25" i="9"/>
  <c r="W25" i="9" s="1"/>
  <c r="L25" i="9"/>
  <c r="V24" i="9"/>
  <c r="W24" i="9" s="1"/>
  <c r="L24" i="9"/>
  <c r="W23" i="9"/>
  <c r="V23" i="9"/>
  <c r="L23" i="9"/>
  <c r="W22" i="9"/>
  <c r="V22" i="9"/>
  <c r="L22" i="9"/>
  <c r="W21" i="9"/>
  <c r="V21" i="9"/>
  <c r="L21" i="9"/>
  <c r="W20" i="9"/>
  <c r="V20" i="9"/>
  <c r="L20" i="9"/>
  <c r="W19" i="9"/>
  <c r="V19" i="9"/>
  <c r="L19" i="9"/>
  <c r="W18" i="9"/>
  <c r="V18" i="9"/>
  <c r="L18" i="9"/>
  <c r="W17" i="9"/>
  <c r="V17" i="9"/>
  <c r="L17" i="9"/>
  <c r="V16" i="9"/>
  <c r="W16" i="9" s="1"/>
  <c r="L16" i="9"/>
  <c r="W15" i="9"/>
  <c r="V15" i="9"/>
  <c r="L15" i="9"/>
  <c r="W14" i="9"/>
  <c r="V14" i="9"/>
  <c r="L14" i="9"/>
  <c r="W13" i="9"/>
  <c r="V13" i="9"/>
  <c r="L13" i="9"/>
  <c r="W12" i="9"/>
  <c r="V12" i="9"/>
  <c r="L12" i="9"/>
  <c r="W11" i="9"/>
  <c r="V11" i="9"/>
  <c r="L11" i="9"/>
  <c r="B20" i="7" s="1"/>
  <c r="W10" i="9"/>
  <c r="V10" i="9"/>
  <c r="L10" i="9"/>
  <c r="V9" i="9"/>
  <c r="W9" i="9" s="1"/>
  <c r="L9" i="9"/>
  <c r="V8" i="9"/>
  <c r="W8" i="9" s="1"/>
  <c r="L8" i="9"/>
  <c r="V7" i="9"/>
  <c r="W7" i="9" s="1"/>
  <c r="L7" i="9"/>
  <c r="W6" i="9"/>
  <c r="V6" i="9"/>
  <c r="L6" i="9"/>
  <c r="W5" i="9"/>
  <c r="V5" i="9"/>
  <c r="L5" i="9"/>
  <c r="W4" i="9"/>
  <c r="V4" i="9"/>
  <c r="L4" i="9"/>
  <c r="W3" i="9"/>
  <c r="V3" i="9"/>
  <c r="L3" i="9"/>
  <c r="C25" i="7" s="1" a="1"/>
  <c r="C25" i="7" s="1"/>
  <c r="W2" i="9"/>
  <c r="V2" i="9"/>
  <c r="L2" i="9"/>
  <c r="B27" i="7" s="1"/>
  <c r="B22" i="7"/>
  <c r="G13" i="7" a="1"/>
  <c r="G13" i="7" s="1"/>
  <c r="F13" i="7"/>
  <c r="C13" i="7"/>
  <c r="B13" i="7"/>
  <c r="G12" i="7" a="1"/>
  <c r="G12" i="7" s="1"/>
  <c r="F12" i="7"/>
  <c r="C12" i="7"/>
  <c r="B12" i="7"/>
  <c r="B8" i="7"/>
  <c r="B7" i="7"/>
  <c r="B6" i="7"/>
  <c r="B5" i="7" a="1"/>
  <c r="B5" i="7"/>
  <c r="B4" i="7"/>
  <c r="J152" i="6" a="1"/>
  <c r="J152" i="6" s="1"/>
  <c r="I152" i="6"/>
  <c r="H152" i="6"/>
  <c r="F152" i="6"/>
  <c r="M152" i="6" s="1"/>
  <c r="E152" i="6"/>
  <c r="G152" i="6" s="1"/>
  <c r="D152" i="6"/>
  <c r="C152" i="6"/>
  <c r="L152" i="6" s="1"/>
  <c r="J151" i="6" a="1"/>
  <c r="J151" i="6" s="1"/>
  <c r="I151" i="6"/>
  <c r="H151" i="6"/>
  <c r="F151" i="6"/>
  <c r="M151" i="6" s="1"/>
  <c r="E151" i="6"/>
  <c r="G151" i="6" s="1"/>
  <c r="D151" i="6"/>
  <c r="C151" i="6"/>
  <c r="L151" i="6" s="1"/>
  <c r="L150" i="6"/>
  <c r="K150" i="6"/>
  <c r="J150" i="6" a="1"/>
  <c r="J150" i="6" s="1"/>
  <c r="I150" i="6"/>
  <c r="H150" i="6"/>
  <c r="G150" i="6"/>
  <c r="F150" i="6"/>
  <c r="M150" i="6" s="1"/>
  <c r="E150" i="6"/>
  <c r="D150" i="6"/>
  <c r="C150" i="6"/>
  <c r="L149" i="6"/>
  <c r="J149" i="6" a="1"/>
  <c r="J149" i="6" s="1"/>
  <c r="I149" i="6"/>
  <c r="H149" i="6"/>
  <c r="F149" i="6"/>
  <c r="M149" i="6" s="1"/>
  <c r="E149" i="6"/>
  <c r="D149" i="6"/>
  <c r="G149" i="6" s="1"/>
  <c r="C149" i="6"/>
  <c r="K149" i="6" s="1"/>
  <c r="M148" i="6"/>
  <c r="J148" i="6" a="1"/>
  <c r="J148" i="6" s="1"/>
  <c r="I148" i="6"/>
  <c r="H148" i="6"/>
  <c r="F148" i="6"/>
  <c r="E148" i="6"/>
  <c r="D148" i="6"/>
  <c r="G148" i="6" s="1"/>
  <c r="C148" i="6"/>
  <c r="L148" i="6" s="1"/>
  <c r="M147" i="6"/>
  <c r="K147" i="6"/>
  <c r="J147" i="6" a="1"/>
  <c r="J147" i="6" s="1"/>
  <c r="I147" i="6"/>
  <c r="H147" i="6"/>
  <c r="F147" i="6"/>
  <c r="E147" i="6"/>
  <c r="D147" i="6"/>
  <c r="G147" i="6" s="1"/>
  <c r="C147" i="6"/>
  <c r="L147" i="6" s="1"/>
  <c r="K146" i="6"/>
  <c r="J146" i="6" a="1"/>
  <c r="J146" i="6" s="1"/>
  <c r="I146" i="6"/>
  <c r="H146" i="6"/>
  <c r="G146" i="6"/>
  <c r="F146" i="6"/>
  <c r="M146" i="6" s="1"/>
  <c r="E146" i="6"/>
  <c r="D146" i="6"/>
  <c r="C146" i="6"/>
  <c r="L146" i="6" s="1"/>
  <c r="L145" i="6"/>
  <c r="J145" i="6" a="1"/>
  <c r="J145" i="6" s="1"/>
  <c r="I145" i="6"/>
  <c r="H145" i="6"/>
  <c r="F145" i="6"/>
  <c r="M145" i="6" s="1"/>
  <c r="E145" i="6"/>
  <c r="D145" i="6"/>
  <c r="G145" i="6" s="1"/>
  <c r="C145" i="6"/>
  <c r="K145" i="6" s="1"/>
  <c r="J144" i="6" a="1"/>
  <c r="J144" i="6" s="1"/>
  <c r="I144" i="6"/>
  <c r="H144" i="6"/>
  <c r="D144" i="6"/>
  <c r="C144" i="6"/>
  <c r="L144" i="6" s="1"/>
  <c r="L143" i="6"/>
  <c r="K143" i="6"/>
  <c r="J143" i="6" a="1"/>
  <c r="J143" i="6" s="1"/>
  <c r="I143" i="6"/>
  <c r="H143" i="6"/>
  <c r="F143" i="6"/>
  <c r="M143" i="6" s="1"/>
  <c r="E143" i="6"/>
  <c r="D143" i="6"/>
  <c r="G143" i="6" s="1"/>
  <c r="C143" i="6"/>
  <c r="L142" i="6"/>
  <c r="K142" i="6"/>
  <c r="J142" i="6" a="1"/>
  <c r="J142" i="6" s="1"/>
  <c r="I142" i="6"/>
  <c r="H142" i="6"/>
  <c r="G142" i="6"/>
  <c r="F142" i="6"/>
  <c r="M142" i="6" s="1"/>
  <c r="E142" i="6"/>
  <c r="D142" i="6"/>
  <c r="C142" i="6"/>
  <c r="L141" i="6"/>
  <c r="J141" i="6" a="1"/>
  <c r="J141" i="6" s="1"/>
  <c r="I141" i="6"/>
  <c r="H141" i="6"/>
  <c r="F141" i="6"/>
  <c r="M141" i="6" s="1"/>
  <c r="E141" i="6"/>
  <c r="D141" i="6"/>
  <c r="G141" i="6" s="1"/>
  <c r="C141" i="6"/>
  <c r="K141" i="6" s="1"/>
  <c r="J140" i="6" a="1"/>
  <c r="J140" i="6" s="1"/>
  <c r="I140" i="6"/>
  <c r="H140" i="6"/>
  <c r="D140" i="6"/>
  <c r="C140" i="6"/>
  <c r="L140" i="6" s="1"/>
  <c r="K139" i="6"/>
  <c r="J139" i="6" a="1"/>
  <c r="J139" i="6" s="1"/>
  <c r="I139" i="6"/>
  <c r="H139" i="6"/>
  <c r="F139" i="6"/>
  <c r="M139" i="6" s="1"/>
  <c r="E139" i="6"/>
  <c r="D139" i="6"/>
  <c r="G139" i="6" s="1"/>
  <c r="C139" i="6"/>
  <c r="L139" i="6" s="1"/>
  <c r="L138" i="6"/>
  <c r="K138" i="6"/>
  <c r="J138" i="6" a="1"/>
  <c r="J138" i="6" s="1"/>
  <c r="I138" i="6"/>
  <c r="H138" i="6"/>
  <c r="F138" i="6"/>
  <c r="M138" i="6" s="1"/>
  <c r="E138" i="6"/>
  <c r="G138" i="6" s="1"/>
  <c r="D138" i="6"/>
  <c r="C138" i="6"/>
  <c r="L137" i="6"/>
  <c r="J137" i="6" a="1"/>
  <c r="J137" i="6" s="1"/>
  <c r="I137" i="6"/>
  <c r="H137" i="6"/>
  <c r="F137" i="6"/>
  <c r="M137" i="6" s="1"/>
  <c r="E137" i="6"/>
  <c r="D137" i="6"/>
  <c r="G137" i="6" s="1"/>
  <c r="C137" i="6"/>
  <c r="K137" i="6" s="1"/>
  <c r="L136" i="6"/>
  <c r="J136" i="6" a="1"/>
  <c r="J136" i="6" s="1"/>
  <c r="I136" i="6"/>
  <c r="H136" i="6"/>
  <c r="F136" i="6"/>
  <c r="M136" i="6" s="1"/>
  <c r="E136" i="6"/>
  <c r="D136" i="6"/>
  <c r="G136" i="6" s="1"/>
  <c r="C136" i="6"/>
  <c r="K136" i="6" s="1"/>
  <c r="K135" i="6"/>
  <c r="J135" i="6" a="1"/>
  <c r="J135" i="6" s="1"/>
  <c r="I135" i="6"/>
  <c r="H135" i="6"/>
  <c r="D135" i="6"/>
  <c r="C135" i="6"/>
  <c r="L135" i="6" s="1"/>
  <c r="L134" i="6"/>
  <c r="K134" i="6"/>
  <c r="J134" i="6" a="1"/>
  <c r="J134" i="6" s="1"/>
  <c r="I134" i="6"/>
  <c r="H134" i="6"/>
  <c r="D134" i="6"/>
  <c r="C134" i="6"/>
  <c r="L133" i="6"/>
  <c r="K133" i="6"/>
  <c r="J133" i="6" a="1"/>
  <c r="J133" i="6" s="1"/>
  <c r="I133" i="6"/>
  <c r="H133" i="6"/>
  <c r="D133" i="6"/>
  <c r="C133" i="6"/>
  <c r="L132" i="6"/>
  <c r="J132" i="6" a="1"/>
  <c r="J132" i="6" s="1"/>
  <c r="I132" i="6"/>
  <c r="H132" i="6"/>
  <c r="D132" i="6"/>
  <c r="C132" i="6"/>
  <c r="K132" i="6" s="1"/>
  <c r="L131" i="6"/>
  <c r="K131" i="6"/>
  <c r="J131" i="6" a="1"/>
  <c r="J131" i="6" s="1"/>
  <c r="I131" i="6"/>
  <c r="H131" i="6"/>
  <c r="D131" i="6"/>
  <c r="C131" i="6"/>
  <c r="M130" i="6"/>
  <c r="L130" i="6"/>
  <c r="K130" i="6"/>
  <c r="J130" i="6" a="1"/>
  <c r="J130" i="6" s="1"/>
  <c r="I130" i="6"/>
  <c r="H130" i="6"/>
  <c r="F130" i="6"/>
  <c r="E130" i="6"/>
  <c r="G130" i="6" s="1"/>
  <c r="D130" i="6"/>
  <c r="C130" i="6"/>
  <c r="L129" i="6"/>
  <c r="K129" i="6"/>
  <c r="J129" i="6" a="1"/>
  <c r="J129" i="6" s="1"/>
  <c r="I129" i="6"/>
  <c r="H129" i="6"/>
  <c r="D129" i="6"/>
  <c r="C129" i="6"/>
  <c r="L128" i="6"/>
  <c r="J128" i="6" a="1"/>
  <c r="J128" i="6"/>
  <c r="I128" i="6"/>
  <c r="H128" i="6"/>
  <c r="F128" i="6"/>
  <c r="M128" i="6" s="1"/>
  <c r="E128" i="6"/>
  <c r="D128" i="6"/>
  <c r="G128" i="6" s="1"/>
  <c r="C128" i="6"/>
  <c r="K128" i="6" s="1"/>
  <c r="L127" i="6"/>
  <c r="K127" i="6"/>
  <c r="J127" i="6" a="1"/>
  <c r="J127" i="6" s="1"/>
  <c r="I127" i="6"/>
  <c r="H127" i="6"/>
  <c r="E127" i="6"/>
  <c r="D127" i="6"/>
  <c r="G127" i="6" s="1"/>
  <c r="C127" i="6"/>
  <c r="L126" i="6"/>
  <c r="K126" i="6"/>
  <c r="J126" i="6" a="1"/>
  <c r="J126" i="6" s="1"/>
  <c r="I126" i="6"/>
  <c r="H126" i="6"/>
  <c r="F126" i="6"/>
  <c r="M126" i="6" s="1"/>
  <c r="E126" i="6"/>
  <c r="D126" i="6"/>
  <c r="G126" i="6" s="1"/>
  <c r="C126" i="6"/>
  <c r="L125" i="6"/>
  <c r="K125" i="6"/>
  <c r="J125" i="6" a="1"/>
  <c r="J125" i="6" s="1"/>
  <c r="I125" i="6"/>
  <c r="H125" i="6"/>
  <c r="D125" i="6"/>
  <c r="C125" i="6"/>
  <c r="L124" i="6"/>
  <c r="J124" i="6" a="1"/>
  <c r="J124" i="6"/>
  <c r="I124" i="6"/>
  <c r="H124" i="6"/>
  <c r="F124" i="6"/>
  <c r="M124" i="6" s="1"/>
  <c r="E124" i="6"/>
  <c r="D124" i="6"/>
  <c r="G124" i="6" s="1"/>
  <c r="C124" i="6"/>
  <c r="K124" i="6" s="1"/>
  <c r="L123" i="6"/>
  <c r="K123" i="6"/>
  <c r="J123" i="6" a="1"/>
  <c r="J123" i="6" s="1"/>
  <c r="I123" i="6"/>
  <c r="H123" i="6"/>
  <c r="E123" i="6"/>
  <c r="D123" i="6"/>
  <c r="C123" i="6"/>
  <c r="L122" i="6"/>
  <c r="K122" i="6"/>
  <c r="J122" i="6" a="1"/>
  <c r="J122" i="6" s="1"/>
  <c r="I122" i="6"/>
  <c r="H122" i="6"/>
  <c r="D122" i="6"/>
  <c r="C122" i="6"/>
  <c r="M121" i="6"/>
  <c r="L121" i="6"/>
  <c r="K121" i="6"/>
  <c r="J121" i="6" a="1"/>
  <c r="J121" i="6"/>
  <c r="I121" i="6"/>
  <c r="H121" i="6"/>
  <c r="F121" i="6"/>
  <c r="E121" i="6"/>
  <c r="D121" i="6"/>
  <c r="G121" i="6" s="1"/>
  <c r="C121" i="6"/>
  <c r="L120" i="6"/>
  <c r="J120" i="6" a="1"/>
  <c r="J120" i="6"/>
  <c r="I120" i="6"/>
  <c r="H120" i="6"/>
  <c r="F120" i="6"/>
  <c r="M120" i="6" s="1"/>
  <c r="E120" i="6"/>
  <c r="D120" i="6"/>
  <c r="C120" i="6"/>
  <c r="K120" i="6" s="1"/>
  <c r="L119" i="6"/>
  <c r="K119" i="6"/>
  <c r="J119" i="6" a="1"/>
  <c r="J119" i="6"/>
  <c r="I119" i="6"/>
  <c r="H119" i="6"/>
  <c r="F119" i="6"/>
  <c r="M119" i="6" s="1"/>
  <c r="E119" i="6"/>
  <c r="D119" i="6"/>
  <c r="G119" i="6" s="1"/>
  <c r="C119" i="6"/>
  <c r="M118" i="6"/>
  <c r="L118" i="6"/>
  <c r="K118" i="6"/>
  <c r="J118" i="6" a="1"/>
  <c r="J118" i="6" s="1"/>
  <c r="I118" i="6"/>
  <c r="H118" i="6"/>
  <c r="F118" i="6"/>
  <c r="E118" i="6"/>
  <c r="D118" i="6"/>
  <c r="G118" i="6" s="1"/>
  <c r="C118" i="6"/>
  <c r="L117" i="6"/>
  <c r="K117" i="6"/>
  <c r="J117" i="6" a="1"/>
  <c r="J117" i="6"/>
  <c r="I117" i="6"/>
  <c r="H117" i="6"/>
  <c r="D117" i="6"/>
  <c r="C117" i="6"/>
  <c r="L116" i="6"/>
  <c r="J116" i="6" a="1"/>
  <c r="J116" i="6"/>
  <c r="I116" i="6"/>
  <c r="H116" i="6"/>
  <c r="E116" i="6"/>
  <c r="D116" i="6"/>
  <c r="G116" i="6" s="1"/>
  <c r="C116" i="6"/>
  <c r="K116" i="6" s="1"/>
  <c r="L115" i="6"/>
  <c r="K115" i="6"/>
  <c r="J115" i="6" a="1"/>
  <c r="J115" i="6" s="1"/>
  <c r="I115" i="6"/>
  <c r="H115" i="6"/>
  <c r="F115" i="6"/>
  <c r="M115" i="6" s="1"/>
  <c r="E115" i="6"/>
  <c r="D115" i="6"/>
  <c r="C115" i="6"/>
  <c r="M114" i="6"/>
  <c r="L114" i="6"/>
  <c r="K114" i="6"/>
  <c r="J114" i="6" a="1"/>
  <c r="J114" i="6" s="1"/>
  <c r="I114" i="6"/>
  <c r="H114" i="6"/>
  <c r="F114" i="6"/>
  <c r="E114" i="6"/>
  <c r="D114" i="6"/>
  <c r="G114" i="6" s="1"/>
  <c r="C114" i="6"/>
  <c r="L113" i="6"/>
  <c r="K113" i="6"/>
  <c r="J113" i="6" a="1"/>
  <c r="J113" i="6"/>
  <c r="I113" i="6"/>
  <c r="H113" i="6"/>
  <c r="E113" i="6"/>
  <c r="D113" i="6"/>
  <c r="C113" i="6"/>
  <c r="L112" i="6"/>
  <c r="K112" i="6"/>
  <c r="J112" i="6" a="1"/>
  <c r="J112" i="6"/>
  <c r="I112" i="6"/>
  <c r="H112" i="6"/>
  <c r="E112" i="6"/>
  <c r="D112" i="6"/>
  <c r="G112" i="6" s="1"/>
  <c r="C112" i="6"/>
  <c r="L111" i="6"/>
  <c r="K111" i="6"/>
  <c r="J111" i="6" a="1"/>
  <c r="J111" i="6" s="1"/>
  <c r="I111" i="6"/>
  <c r="H111" i="6"/>
  <c r="F111" i="6"/>
  <c r="M111" i="6" s="1"/>
  <c r="E111" i="6"/>
  <c r="D111" i="6"/>
  <c r="G111" i="6" s="1"/>
  <c r="C111" i="6"/>
  <c r="M110" i="6"/>
  <c r="L110" i="6"/>
  <c r="K110" i="6"/>
  <c r="J110" i="6" a="1"/>
  <c r="J110" i="6" s="1"/>
  <c r="I110" i="6"/>
  <c r="H110" i="6"/>
  <c r="F110" i="6"/>
  <c r="E110" i="6"/>
  <c r="D110" i="6"/>
  <c r="C110" i="6"/>
  <c r="M109" i="6"/>
  <c r="L109" i="6"/>
  <c r="K109" i="6"/>
  <c r="J109" i="6" a="1"/>
  <c r="J109" i="6"/>
  <c r="I109" i="6"/>
  <c r="H109" i="6"/>
  <c r="F109" i="6"/>
  <c r="E109" i="6"/>
  <c r="D109" i="6"/>
  <c r="G109" i="6" s="1"/>
  <c r="C109" i="6"/>
  <c r="L108" i="6"/>
  <c r="K108" i="6"/>
  <c r="J108" i="6" a="1"/>
  <c r="J108" i="6"/>
  <c r="I108" i="6"/>
  <c r="H108" i="6"/>
  <c r="F108" i="6"/>
  <c r="M108" i="6" s="1"/>
  <c r="E108" i="6"/>
  <c r="D108" i="6"/>
  <c r="G108" i="6" s="1"/>
  <c r="C108" i="6"/>
  <c r="L107" i="6"/>
  <c r="K107" i="6"/>
  <c r="J107" i="6" a="1"/>
  <c r="J107" i="6" s="1"/>
  <c r="I107" i="6"/>
  <c r="H107" i="6"/>
  <c r="F107" i="6"/>
  <c r="M107" i="6" s="1"/>
  <c r="E107" i="6"/>
  <c r="D107" i="6"/>
  <c r="C107" i="6"/>
  <c r="M106" i="6"/>
  <c r="L106" i="6"/>
  <c r="K106" i="6"/>
  <c r="J106" i="6" a="1"/>
  <c r="J106" i="6" s="1"/>
  <c r="I106" i="6"/>
  <c r="H106" i="6"/>
  <c r="F106" i="6"/>
  <c r="E106" i="6"/>
  <c r="D106" i="6"/>
  <c r="C106" i="6"/>
  <c r="M105" i="6"/>
  <c r="L105" i="6"/>
  <c r="K105" i="6"/>
  <c r="J105" i="6" a="1"/>
  <c r="J105" i="6"/>
  <c r="I105" i="6"/>
  <c r="H105" i="6"/>
  <c r="F105" i="6"/>
  <c r="E105" i="6"/>
  <c r="D105" i="6"/>
  <c r="G105" i="6" s="1"/>
  <c r="C105" i="6"/>
  <c r="L104" i="6"/>
  <c r="K104" i="6"/>
  <c r="J104" i="6" a="1"/>
  <c r="J104" i="6" s="1"/>
  <c r="I104" i="6"/>
  <c r="H104" i="6"/>
  <c r="F104" i="6"/>
  <c r="M104" i="6" s="1"/>
  <c r="E104" i="6"/>
  <c r="D104" i="6"/>
  <c r="C104" i="6"/>
  <c r="L103" i="6"/>
  <c r="K103" i="6"/>
  <c r="J103" i="6" a="1"/>
  <c r="J103" i="6" s="1"/>
  <c r="I103" i="6"/>
  <c r="H103" i="6"/>
  <c r="F103" i="6"/>
  <c r="M103" i="6" s="1"/>
  <c r="E103" i="6"/>
  <c r="D103" i="6"/>
  <c r="G103" i="6" s="1"/>
  <c r="C103" i="6"/>
  <c r="L102" i="6"/>
  <c r="K102" i="6"/>
  <c r="J102" i="6" a="1"/>
  <c r="J102" i="6" s="1"/>
  <c r="I102" i="6"/>
  <c r="H102" i="6"/>
  <c r="E102" i="6"/>
  <c r="D102" i="6"/>
  <c r="G102" i="6" s="1"/>
  <c r="C102" i="6"/>
  <c r="L101" i="6"/>
  <c r="K101" i="6"/>
  <c r="J101" i="6" a="1"/>
  <c r="J101" i="6"/>
  <c r="I101" i="6"/>
  <c r="H101" i="6"/>
  <c r="E101" i="6"/>
  <c r="D101" i="6"/>
  <c r="C101" i="6"/>
  <c r="L100" i="6"/>
  <c r="K100" i="6"/>
  <c r="J100" i="6" a="1"/>
  <c r="J100" i="6" s="1"/>
  <c r="I100" i="6"/>
  <c r="H100" i="6"/>
  <c r="E100" i="6"/>
  <c r="D100" i="6"/>
  <c r="C100" i="6"/>
  <c r="L99" i="6"/>
  <c r="K99" i="6"/>
  <c r="J99" i="6" a="1"/>
  <c r="J99" i="6" s="1"/>
  <c r="I99" i="6"/>
  <c r="H99" i="6"/>
  <c r="E99" i="6"/>
  <c r="D99" i="6"/>
  <c r="C99" i="6"/>
  <c r="M98" i="6"/>
  <c r="L98" i="6"/>
  <c r="K98" i="6"/>
  <c r="J98" i="6" a="1"/>
  <c r="J98" i="6" s="1"/>
  <c r="I98" i="6"/>
  <c r="H98" i="6"/>
  <c r="F98" i="6"/>
  <c r="E98" i="6"/>
  <c r="D98" i="6"/>
  <c r="C98" i="6"/>
  <c r="L97" i="6"/>
  <c r="K97" i="6"/>
  <c r="J97" i="6" a="1"/>
  <c r="J97" i="6"/>
  <c r="I97" i="6"/>
  <c r="H97" i="6"/>
  <c r="E97" i="6"/>
  <c r="D97" i="6"/>
  <c r="C97" i="6"/>
  <c r="L96" i="6"/>
  <c r="K96" i="6"/>
  <c r="J96" i="6" a="1"/>
  <c r="J96" i="6" s="1"/>
  <c r="I96" i="6"/>
  <c r="H96" i="6"/>
  <c r="F96" i="6"/>
  <c r="M96" i="6" s="1"/>
  <c r="E96" i="6"/>
  <c r="D96" i="6"/>
  <c r="C96" i="6"/>
  <c r="L95" i="6"/>
  <c r="K95" i="6"/>
  <c r="J95" i="6" a="1"/>
  <c r="J95" i="6" s="1"/>
  <c r="I95" i="6"/>
  <c r="H95" i="6"/>
  <c r="G95" i="6"/>
  <c r="F95" i="6"/>
  <c r="M95" i="6" s="1"/>
  <c r="E95" i="6"/>
  <c r="D95" i="6"/>
  <c r="C95" i="6"/>
  <c r="M94" i="6"/>
  <c r="L94" i="6"/>
  <c r="K94" i="6"/>
  <c r="J94" i="6" a="1"/>
  <c r="J94" i="6" s="1"/>
  <c r="I94" i="6"/>
  <c r="H94" i="6"/>
  <c r="E94" i="6"/>
  <c r="D94" i="6"/>
  <c r="G94" i="6" s="1"/>
  <c r="C94" i="6"/>
  <c r="L93" i="6"/>
  <c r="K93" i="6"/>
  <c r="J93" i="6" a="1"/>
  <c r="J93" i="6"/>
  <c r="I93" i="6"/>
  <c r="H93" i="6"/>
  <c r="E93" i="6"/>
  <c r="D93" i="6"/>
  <c r="C93" i="6"/>
  <c r="L92" i="6"/>
  <c r="K92" i="6"/>
  <c r="J92" i="6" a="1"/>
  <c r="J92" i="6" s="1"/>
  <c r="I92" i="6"/>
  <c r="H92" i="6"/>
  <c r="F92" i="6"/>
  <c r="M92" i="6" s="1"/>
  <c r="E92" i="6"/>
  <c r="D92" i="6"/>
  <c r="G92" i="6" s="1"/>
  <c r="C92" i="6"/>
  <c r="L91" i="6"/>
  <c r="K91" i="6"/>
  <c r="J91" i="6" a="1"/>
  <c r="J91" i="6" s="1"/>
  <c r="I91" i="6"/>
  <c r="H91" i="6"/>
  <c r="F91" i="6"/>
  <c r="M91" i="6" s="1"/>
  <c r="E91" i="6"/>
  <c r="D91" i="6"/>
  <c r="G91" i="6" s="1"/>
  <c r="C91" i="6"/>
  <c r="M90" i="6"/>
  <c r="J90" i="6" a="1"/>
  <c r="J90" i="6" s="1"/>
  <c r="I90" i="6"/>
  <c r="H90" i="6"/>
  <c r="F90" i="6"/>
  <c r="E90" i="6"/>
  <c r="D90" i="6"/>
  <c r="G90" i="6" s="1"/>
  <c r="C90" i="6"/>
  <c r="L90" i="6" s="1"/>
  <c r="M89" i="6"/>
  <c r="J89" i="6" a="1"/>
  <c r="J89" i="6"/>
  <c r="I89" i="6"/>
  <c r="H89" i="6"/>
  <c r="F89" i="6"/>
  <c r="E89" i="6"/>
  <c r="D89" i="6"/>
  <c r="G89" i="6" s="1"/>
  <c r="C89" i="6"/>
  <c r="L89" i="6" s="1"/>
  <c r="L88" i="6"/>
  <c r="K88" i="6"/>
  <c r="J88" i="6" a="1"/>
  <c r="J88" i="6" s="1"/>
  <c r="I88" i="6"/>
  <c r="H88" i="6"/>
  <c r="F88" i="6"/>
  <c r="M88" i="6" s="1"/>
  <c r="E88" i="6"/>
  <c r="D88" i="6"/>
  <c r="C88" i="6"/>
  <c r="L87" i="6"/>
  <c r="K87" i="6"/>
  <c r="J87" i="6" a="1"/>
  <c r="J87" i="6" s="1"/>
  <c r="I87" i="6"/>
  <c r="H87" i="6"/>
  <c r="G87" i="6"/>
  <c r="E87" i="6"/>
  <c r="D87" i="6"/>
  <c r="C87" i="6"/>
  <c r="M86" i="6"/>
  <c r="K86" i="6"/>
  <c r="J86" i="6" a="1"/>
  <c r="J86" i="6" s="1"/>
  <c r="I86" i="6"/>
  <c r="H86" i="6"/>
  <c r="E86" i="6"/>
  <c r="D86" i="6"/>
  <c r="G86" i="6" s="1"/>
  <c r="C86" i="6"/>
  <c r="L86" i="6" s="1"/>
  <c r="L85" i="6"/>
  <c r="J85" i="6" a="1"/>
  <c r="J85" i="6"/>
  <c r="I85" i="6"/>
  <c r="H85" i="6"/>
  <c r="F85" i="6"/>
  <c r="M85" i="6" s="1"/>
  <c r="E85" i="6"/>
  <c r="D85" i="6"/>
  <c r="G85" i="6" s="1"/>
  <c r="C85" i="6"/>
  <c r="K85" i="6" s="1"/>
  <c r="J84" i="6" a="1"/>
  <c r="J84" i="6" s="1"/>
  <c r="I84" i="6"/>
  <c r="H84" i="6"/>
  <c r="F84" i="6"/>
  <c r="M84" i="6" s="1"/>
  <c r="E84" i="6"/>
  <c r="D84" i="6"/>
  <c r="G84" i="6" s="1"/>
  <c r="C84" i="6"/>
  <c r="K84" i="6" s="1"/>
  <c r="M83" i="6"/>
  <c r="L83" i="6"/>
  <c r="K83" i="6"/>
  <c r="J83" i="6" a="1"/>
  <c r="J83" i="6" s="1"/>
  <c r="I83" i="6"/>
  <c r="H83" i="6"/>
  <c r="G83" i="6"/>
  <c r="E83" i="6"/>
  <c r="D83" i="6"/>
  <c r="C83" i="6"/>
  <c r="M82" i="6"/>
  <c r="J82" i="6" a="1"/>
  <c r="J82" i="6"/>
  <c r="I82" i="6"/>
  <c r="H82" i="6"/>
  <c r="E82" i="6"/>
  <c r="D82" i="6"/>
  <c r="G82" i="6" s="1"/>
  <c r="C82" i="6"/>
  <c r="L82" i="6" s="1"/>
  <c r="M81" i="6"/>
  <c r="L81" i="6"/>
  <c r="K81" i="6"/>
  <c r="J81" i="6" a="1"/>
  <c r="J81" i="6"/>
  <c r="I81" i="6"/>
  <c r="H81" i="6"/>
  <c r="F81" i="6"/>
  <c r="E81" i="6"/>
  <c r="D81" i="6"/>
  <c r="G81" i="6" s="1"/>
  <c r="C81" i="6"/>
  <c r="J80" i="6" a="1"/>
  <c r="J80" i="6"/>
  <c r="I80" i="6"/>
  <c r="H80" i="6"/>
  <c r="F80" i="6"/>
  <c r="M80" i="6" s="1"/>
  <c r="E80" i="6"/>
  <c r="D80" i="6"/>
  <c r="C80" i="6"/>
  <c r="L80" i="6" s="1"/>
  <c r="M79" i="6"/>
  <c r="L79" i="6"/>
  <c r="K79" i="6"/>
  <c r="J79" i="6" a="1"/>
  <c r="J79" i="6" s="1"/>
  <c r="I79" i="6"/>
  <c r="H79" i="6"/>
  <c r="F79" i="6"/>
  <c r="E79" i="6"/>
  <c r="D79" i="6"/>
  <c r="G79" i="6" s="1"/>
  <c r="C79" i="6"/>
  <c r="M78" i="6"/>
  <c r="J78" i="6" a="1"/>
  <c r="J78" i="6"/>
  <c r="I78" i="6"/>
  <c r="H78" i="6"/>
  <c r="E78" i="6"/>
  <c r="D78" i="6"/>
  <c r="G78" i="6" s="1"/>
  <c r="C78" i="6"/>
  <c r="K78" i="6" s="1"/>
  <c r="J77" i="6" a="1"/>
  <c r="J77" i="6"/>
  <c r="I77" i="6"/>
  <c r="H77" i="6"/>
  <c r="F77" i="6"/>
  <c r="M77" i="6" s="1"/>
  <c r="E77" i="6"/>
  <c r="D77" i="6"/>
  <c r="G77" i="6" s="1"/>
  <c r="C77" i="6"/>
  <c r="L77" i="6" s="1"/>
  <c r="K76" i="6"/>
  <c r="J76" i="6" a="1"/>
  <c r="J76" i="6" s="1"/>
  <c r="I76" i="6"/>
  <c r="H76" i="6"/>
  <c r="F76" i="6"/>
  <c r="M76" i="6" s="1"/>
  <c r="E76" i="6"/>
  <c r="D76" i="6"/>
  <c r="C76" i="6"/>
  <c r="L76" i="6" s="1"/>
  <c r="L75" i="6"/>
  <c r="K75" i="6"/>
  <c r="J75" i="6" a="1"/>
  <c r="J75" i="6" s="1"/>
  <c r="I75" i="6"/>
  <c r="H75" i="6"/>
  <c r="F75" i="6"/>
  <c r="M75" i="6" s="1"/>
  <c r="E75" i="6"/>
  <c r="D75" i="6"/>
  <c r="G75" i="6" s="1"/>
  <c r="C75" i="6"/>
  <c r="M74" i="6"/>
  <c r="K74" i="6"/>
  <c r="J74" i="6" a="1"/>
  <c r="J74" i="6" s="1"/>
  <c r="I74" i="6"/>
  <c r="H74" i="6"/>
  <c r="E74" i="6"/>
  <c r="D74" i="6"/>
  <c r="G74" i="6" s="1"/>
  <c r="C74" i="6"/>
  <c r="L74" i="6" s="1"/>
  <c r="L73" i="6"/>
  <c r="K73" i="6"/>
  <c r="J73" i="6" a="1"/>
  <c r="J73" i="6" s="1"/>
  <c r="I73" i="6"/>
  <c r="H73" i="6"/>
  <c r="G73" i="6"/>
  <c r="F73" i="6"/>
  <c r="M73" i="6" s="1"/>
  <c r="E73" i="6"/>
  <c r="D73" i="6"/>
  <c r="C73" i="6"/>
  <c r="K72" i="6"/>
  <c r="J72" i="6" a="1"/>
  <c r="J72" i="6"/>
  <c r="I72" i="6"/>
  <c r="H72" i="6"/>
  <c r="G72" i="6"/>
  <c r="F72" i="6"/>
  <c r="M72" i="6" s="1"/>
  <c r="E72" i="6"/>
  <c r="D72" i="6"/>
  <c r="C72" i="6"/>
  <c r="L72" i="6" s="1"/>
  <c r="M71" i="6"/>
  <c r="J71" i="6" a="1"/>
  <c r="J71" i="6" s="1"/>
  <c r="I71" i="6"/>
  <c r="H71" i="6"/>
  <c r="F71" i="6"/>
  <c r="E71" i="6"/>
  <c r="G71" i="6" s="1"/>
  <c r="D71" i="6"/>
  <c r="C71" i="6"/>
  <c r="L71" i="6" s="1"/>
  <c r="M70" i="6"/>
  <c r="L70" i="6"/>
  <c r="J70" i="6" a="1"/>
  <c r="J70" i="6" s="1"/>
  <c r="I70" i="6"/>
  <c r="H70" i="6"/>
  <c r="G70" i="6"/>
  <c r="E70" i="6"/>
  <c r="D70" i="6"/>
  <c r="C70" i="6"/>
  <c r="K70" i="6" s="1"/>
  <c r="M69" i="6"/>
  <c r="L69" i="6"/>
  <c r="K69" i="6"/>
  <c r="J69" i="6" a="1"/>
  <c r="J69" i="6"/>
  <c r="I69" i="6"/>
  <c r="H69" i="6"/>
  <c r="F69" i="6"/>
  <c r="E69" i="6"/>
  <c r="D69" i="6"/>
  <c r="G69" i="6" s="1"/>
  <c r="C69" i="6"/>
  <c r="L68" i="6"/>
  <c r="J68" i="6" a="1"/>
  <c r="J68" i="6" s="1"/>
  <c r="I68" i="6"/>
  <c r="H68" i="6"/>
  <c r="F68" i="6"/>
  <c r="M68" i="6" s="1"/>
  <c r="E68" i="6"/>
  <c r="D68" i="6"/>
  <c r="G68" i="6" s="1"/>
  <c r="C68" i="6"/>
  <c r="K68" i="6" s="1"/>
  <c r="J67" i="6" a="1"/>
  <c r="J67" i="6" s="1"/>
  <c r="I67" i="6"/>
  <c r="H67" i="6"/>
  <c r="F67" i="6"/>
  <c r="M67" i="6" s="1"/>
  <c r="E67" i="6"/>
  <c r="D67" i="6"/>
  <c r="G67" i="6" s="1"/>
  <c r="C67" i="6"/>
  <c r="L67" i="6" s="1"/>
  <c r="M66" i="6"/>
  <c r="K66" i="6"/>
  <c r="J66" i="6" a="1"/>
  <c r="J66" i="6" s="1"/>
  <c r="I66" i="6"/>
  <c r="H66" i="6"/>
  <c r="F66" i="6"/>
  <c r="E66" i="6"/>
  <c r="D66" i="6"/>
  <c r="G66" i="6" s="1"/>
  <c r="C66" i="6"/>
  <c r="L66" i="6" s="1"/>
  <c r="M65" i="6"/>
  <c r="K65" i="6"/>
  <c r="J65" i="6" a="1"/>
  <c r="J65" i="6" s="1"/>
  <c r="I65" i="6"/>
  <c r="H65" i="6"/>
  <c r="G65" i="6"/>
  <c r="F65" i="6"/>
  <c r="E65" i="6"/>
  <c r="D65" i="6"/>
  <c r="C65" i="6"/>
  <c r="L65" i="6" s="1"/>
  <c r="J64" i="6" a="1"/>
  <c r="J64" i="6" s="1"/>
  <c r="I64" i="6"/>
  <c r="H64" i="6"/>
  <c r="F64" i="6"/>
  <c r="M64" i="6" s="1"/>
  <c r="E64" i="6"/>
  <c r="G64" i="6" s="1"/>
  <c r="D64" i="6"/>
  <c r="C64" i="6"/>
  <c r="L64" i="6" s="1"/>
  <c r="M63" i="6"/>
  <c r="L63" i="6"/>
  <c r="J63" i="6" a="1"/>
  <c r="J63" i="6" s="1"/>
  <c r="I63" i="6"/>
  <c r="H63" i="6"/>
  <c r="G63" i="6"/>
  <c r="F63" i="6"/>
  <c r="E63" i="6"/>
  <c r="D63" i="6"/>
  <c r="C63" i="6"/>
  <c r="K63" i="6" s="1"/>
  <c r="M62" i="6"/>
  <c r="L62" i="6"/>
  <c r="J62" i="6" a="1"/>
  <c r="J62" i="6"/>
  <c r="I62" i="6"/>
  <c r="H62" i="6"/>
  <c r="E62" i="6"/>
  <c r="D62" i="6"/>
  <c r="G62" i="6" s="1"/>
  <c r="C62" i="6"/>
  <c r="K62" i="6" s="1"/>
  <c r="M61" i="6"/>
  <c r="L61" i="6"/>
  <c r="J61" i="6" a="1"/>
  <c r="J61" i="6" s="1"/>
  <c r="I61" i="6"/>
  <c r="H61" i="6"/>
  <c r="F61" i="6"/>
  <c r="E61" i="6"/>
  <c r="D61" i="6"/>
  <c r="G61" i="6" s="1"/>
  <c r="C61" i="6"/>
  <c r="K61" i="6" s="1"/>
  <c r="J60" i="6" a="1"/>
  <c r="J60" i="6"/>
  <c r="I60" i="6"/>
  <c r="H60" i="6"/>
  <c r="F60" i="6"/>
  <c r="M60" i="6" s="1"/>
  <c r="E60" i="6"/>
  <c r="D60" i="6"/>
  <c r="G60" i="6" s="1"/>
  <c r="C60" i="6"/>
  <c r="L60" i="6" s="1"/>
  <c r="K59" i="6"/>
  <c r="J59" i="6" a="1"/>
  <c r="J59" i="6" s="1"/>
  <c r="I59" i="6"/>
  <c r="H59" i="6"/>
  <c r="F59" i="6"/>
  <c r="M59" i="6" s="1"/>
  <c r="E59" i="6"/>
  <c r="D59" i="6"/>
  <c r="G59" i="6" s="1"/>
  <c r="C59" i="6"/>
  <c r="L59" i="6" s="1"/>
  <c r="M58" i="6"/>
  <c r="K58" i="6"/>
  <c r="J58" i="6" a="1"/>
  <c r="J58" i="6" s="1"/>
  <c r="I58" i="6"/>
  <c r="H58" i="6"/>
  <c r="G58" i="6"/>
  <c r="F58" i="6"/>
  <c r="E58" i="6"/>
  <c r="D58" i="6"/>
  <c r="C58" i="6"/>
  <c r="L58" i="6" s="1"/>
  <c r="M57" i="6"/>
  <c r="J57" i="6" a="1"/>
  <c r="J57" i="6"/>
  <c r="I57" i="6"/>
  <c r="H57" i="6"/>
  <c r="F57" i="6"/>
  <c r="E57" i="6"/>
  <c r="D57" i="6"/>
  <c r="G57" i="6" s="1"/>
  <c r="C57" i="6"/>
  <c r="L57" i="6" s="1"/>
  <c r="J56" i="6" a="1"/>
  <c r="J56" i="6"/>
  <c r="I56" i="6"/>
  <c r="H56" i="6"/>
  <c r="F56" i="6"/>
  <c r="M56" i="6" s="1"/>
  <c r="E56" i="6"/>
  <c r="D56" i="6"/>
  <c r="G56" i="6" s="1"/>
  <c r="C56" i="6"/>
  <c r="L56" i="6" s="1"/>
  <c r="K55" i="6"/>
  <c r="J55" i="6" a="1"/>
  <c r="J55" i="6" s="1"/>
  <c r="I55" i="6"/>
  <c r="H55" i="6"/>
  <c r="F55" i="6"/>
  <c r="M55" i="6" s="1"/>
  <c r="E55" i="6"/>
  <c r="D55" i="6"/>
  <c r="G55" i="6" s="1"/>
  <c r="C55" i="6"/>
  <c r="L55" i="6" s="1"/>
  <c r="M54" i="6"/>
  <c r="K54" i="6"/>
  <c r="J54" i="6" a="1"/>
  <c r="J54" i="6" s="1"/>
  <c r="I54" i="6"/>
  <c r="H54" i="6"/>
  <c r="G54" i="6"/>
  <c r="F54" i="6"/>
  <c r="E54" i="6"/>
  <c r="D54" i="6"/>
  <c r="C54" i="6"/>
  <c r="L54" i="6" s="1"/>
  <c r="M53" i="6"/>
  <c r="J53" i="6" a="1"/>
  <c r="J53" i="6"/>
  <c r="I53" i="6"/>
  <c r="H53" i="6"/>
  <c r="F53" i="6"/>
  <c r="E53" i="6"/>
  <c r="D53" i="6"/>
  <c r="G53" i="6" s="1"/>
  <c r="C53" i="6"/>
  <c r="L53" i="6" s="1"/>
  <c r="J52" i="6" a="1"/>
  <c r="J52" i="6"/>
  <c r="I52" i="6"/>
  <c r="H52" i="6"/>
  <c r="F52" i="6"/>
  <c r="M52" i="6" s="1"/>
  <c r="E52" i="6"/>
  <c r="D52" i="6"/>
  <c r="G52" i="6" s="1"/>
  <c r="C52" i="6"/>
  <c r="L52" i="6" s="1"/>
  <c r="K51" i="6"/>
  <c r="J51" i="6" a="1"/>
  <c r="J51" i="6" s="1"/>
  <c r="I51" i="6"/>
  <c r="H51" i="6"/>
  <c r="F51" i="6"/>
  <c r="M51" i="6" s="1"/>
  <c r="E51" i="6"/>
  <c r="D51" i="6"/>
  <c r="G51" i="6" s="1"/>
  <c r="C51" i="6"/>
  <c r="L51" i="6" s="1"/>
  <c r="M50" i="6"/>
  <c r="K50" i="6"/>
  <c r="J50" i="6" a="1"/>
  <c r="J50" i="6" s="1"/>
  <c r="I50" i="6"/>
  <c r="H50" i="6"/>
  <c r="G50" i="6"/>
  <c r="F50" i="6"/>
  <c r="E50" i="6"/>
  <c r="D50" i="6"/>
  <c r="C50" i="6"/>
  <c r="L50" i="6" s="1"/>
  <c r="M49" i="6"/>
  <c r="J49" i="6" a="1"/>
  <c r="J49" i="6"/>
  <c r="I49" i="6"/>
  <c r="H49" i="6"/>
  <c r="F49" i="6"/>
  <c r="E49" i="6"/>
  <c r="D49" i="6"/>
  <c r="G49" i="6" s="1"/>
  <c r="C49" i="6"/>
  <c r="L49" i="6" s="1"/>
  <c r="J48" i="6" a="1"/>
  <c r="J48" i="6"/>
  <c r="I48" i="6"/>
  <c r="H48" i="6"/>
  <c r="F48" i="6"/>
  <c r="M48" i="6" s="1"/>
  <c r="E48" i="6"/>
  <c r="D48" i="6"/>
  <c r="G48" i="6" s="1"/>
  <c r="C48" i="6"/>
  <c r="L48" i="6" s="1"/>
  <c r="K47" i="6"/>
  <c r="J47" i="6" a="1"/>
  <c r="J47" i="6" s="1"/>
  <c r="I47" i="6"/>
  <c r="H47" i="6"/>
  <c r="F47" i="6"/>
  <c r="M47" i="6" s="1"/>
  <c r="E47" i="6"/>
  <c r="D47" i="6"/>
  <c r="G47" i="6" s="1"/>
  <c r="C47" i="6"/>
  <c r="L47" i="6" s="1"/>
  <c r="M46" i="6"/>
  <c r="K46" i="6"/>
  <c r="J46" i="6" a="1"/>
  <c r="J46" i="6" s="1"/>
  <c r="I46" i="6"/>
  <c r="H46" i="6"/>
  <c r="G46" i="6"/>
  <c r="F46" i="6"/>
  <c r="E46" i="6"/>
  <c r="D46" i="6"/>
  <c r="C46" i="6"/>
  <c r="L46" i="6" s="1"/>
  <c r="M45" i="6"/>
  <c r="J45" i="6" a="1"/>
  <c r="J45" i="6"/>
  <c r="I45" i="6"/>
  <c r="H45" i="6"/>
  <c r="F45" i="6"/>
  <c r="E45" i="6"/>
  <c r="D45" i="6"/>
  <c r="G45" i="6" s="1"/>
  <c r="C45" i="6"/>
  <c r="L45" i="6" s="1"/>
  <c r="J44" i="6" a="1"/>
  <c r="J44" i="6"/>
  <c r="I44" i="6"/>
  <c r="H44" i="6"/>
  <c r="F44" i="6"/>
  <c r="M44" i="6" s="1"/>
  <c r="E44" i="6"/>
  <c r="D44" i="6"/>
  <c r="G44" i="6" s="1"/>
  <c r="C44" i="6"/>
  <c r="L44" i="6" s="1"/>
  <c r="K43" i="6"/>
  <c r="J43" i="6" a="1"/>
  <c r="J43" i="6" s="1"/>
  <c r="I43" i="6"/>
  <c r="H43" i="6"/>
  <c r="F43" i="6"/>
  <c r="M43" i="6" s="1"/>
  <c r="E43" i="6"/>
  <c r="D43" i="6"/>
  <c r="G43" i="6" s="1"/>
  <c r="C43" i="6"/>
  <c r="L43" i="6" s="1"/>
  <c r="M42" i="6"/>
  <c r="K42" i="6"/>
  <c r="J42" i="6" a="1"/>
  <c r="J42" i="6" s="1"/>
  <c r="I42" i="6"/>
  <c r="H42" i="6"/>
  <c r="G42" i="6"/>
  <c r="F42" i="6"/>
  <c r="E42" i="6"/>
  <c r="D42" i="6"/>
  <c r="C42" i="6"/>
  <c r="L42" i="6" s="1"/>
  <c r="M41" i="6"/>
  <c r="J41" i="6" a="1"/>
  <c r="J41" i="6"/>
  <c r="I41" i="6"/>
  <c r="H41" i="6"/>
  <c r="F41" i="6"/>
  <c r="E41" i="6"/>
  <c r="D41" i="6"/>
  <c r="G41" i="6" s="1"/>
  <c r="C41" i="6"/>
  <c r="L41" i="6" s="1"/>
  <c r="J40" i="6" a="1"/>
  <c r="J40" i="6"/>
  <c r="I40" i="6"/>
  <c r="H40" i="6"/>
  <c r="F40" i="6"/>
  <c r="M40" i="6" s="1"/>
  <c r="E40" i="6"/>
  <c r="D40" i="6"/>
  <c r="G40" i="6" s="1"/>
  <c r="C40" i="6"/>
  <c r="L40" i="6" s="1"/>
  <c r="L39" i="6"/>
  <c r="K39" i="6"/>
  <c r="J39" i="6" a="1"/>
  <c r="J39" i="6" s="1"/>
  <c r="I39" i="6"/>
  <c r="H39" i="6"/>
  <c r="F39" i="6"/>
  <c r="M39" i="6" s="1"/>
  <c r="E39" i="6"/>
  <c r="D39" i="6"/>
  <c r="G39" i="6" s="1"/>
  <c r="C39" i="6"/>
  <c r="M38" i="6"/>
  <c r="K38" i="6"/>
  <c r="J38" i="6" a="1"/>
  <c r="J38" i="6" s="1"/>
  <c r="I38" i="6"/>
  <c r="H38" i="6"/>
  <c r="G38" i="6"/>
  <c r="F38" i="6"/>
  <c r="E38" i="6"/>
  <c r="D38" i="6"/>
  <c r="C38" i="6"/>
  <c r="L38" i="6" s="1"/>
  <c r="M37" i="6"/>
  <c r="J37" i="6" a="1"/>
  <c r="J37" i="6"/>
  <c r="I37" i="6"/>
  <c r="H37" i="6"/>
  <c r="F37" i="6"/>
  <c r="E37" i="6"/>
  <c r="D37" i="6"/>
  <c r="G37" i="6" s="1"/>
  <c r="C37" i="6"/>
  <c r="L37" i="6" s="1"/>
  <c r="J36" i="6" a="1"/>
  <c r="J36" i="6"/>
  <c r="I36" i="6"/>
  <c r="H36" i="6"/>
  <c r="F36" i="6"/>
  <c r="M36" i="6" s="1"/>
  <c r="E36" i="6"/>
  <c r="D36" i="6"/>
  <c r="G36" i="6" s="1"/>
  <c r="C36" i="6"/>
  <c r="L36" i="6" s="1"/>
  <c r="L35" i="6"/>
  <c r="K35" i="6"/>
  <c r="J35" i="6" a="1"/>
  <c r="J35" i="6" s="1"/>
  <c r="I35" i="6"/>
  <c r="H35" i="6"/>
  <c r="F35" i="6"/>
  <c r="M35" i="6" s="1"/>
  <c r="E35" i="6"/>
  <c r="D35" i="6"/>
  <c r="G35" i="6" s="1"/>
  <c r="C35" i="6"/>
  <c r="M34" i="6"/>
  <c r="K34" i="6"/>
  <c r="J34" i="6" a="1"/>
  <c r="J34" i="6" s="1"/>
  <c r="I34" i="6"/>
  <c r="H34" i="6"/>
  <c r="G34" i="6"/>
  <c r="F34" i="6"/>
  <c r="E34" i="6"/>
  <c r="D34" i="6"/>
  <c r="C34" i="6"/>
  <c r="L34" i="6" s="1"/>
  <c r="M33" i="6"/>
  <c r="J33" i="6" a="1"/>
  <c r="J33" i="6"/>
  <c r="I33" i="6"/>
  <c r="H33" i="6"/>
  <c r="F33" i="6"/>
  <c r="E33" i="6"/>
  <c r="D33" i="6"/>
  <c r="G33" i="6" s="1"/>
  <c r="C33" i="6"/>
  <c r="J32" i="6" a="1"/>
  <c r="J32" i="6"/>
  <c r="I32" i="6"/>
  <c r="H32" i="6"/>
  <c r="F32" i="6"/>
  <c r="M32" i="6" s="1"/>
  <c r="E32" i="6"/>
  <c r="D32" i="6"/>
  <c r="G32" i="6" s="1"/>
  <c r="C32" i="6"/>
  <c r="L32" i="6" s="1"/>
  <c r="L31" i="6"/>
  <c r="K31" i="6"/>
  <c r="J31" i="6" a="1"/>
  <c r="J31" i="6" s="1"/>
  <c r="I31" i="6"/>
  <c r="H31" i="6"/>
  <c r="F31" i="6"/>
  <c r="M31" i="6" s="1"/>
  <c r="E31" i="6"/>
  <c r="D31" i="6"/>
  <c r="G31" i="6" s="1"/>
  <c r="C31" i="6"/>
  <c r="M30" i="6"/>
  <c r="K30" i="6"/>
  <c r="J30" i="6" a="1"/>
  <c r="J30" i="6" s="1"/>
  <c r="I30" i="6"/>
  <c r="H30" i="6"/>
  <c r="G30" i="6"/>
  <c r="F30" i="6"/>
  <c r="E30" i="6"/>
  <c r="D30" i="6"/>
  <c r="C30" i="6"/>
  <c r="L30" i="6" s="1"/>
  <c r="M29" i="6"/>
  <c r="J29" i="6" a="1"/>
  <c r="J29" i="6"/>
  <c r="I29" i="6"/>
  <c r="H29" i="6"/>
  <c r="F29" i="6"/>
  <c r="E29" i="6"/>
  <c r="D29" i="6"/>
  <c r="G29" i="6" s="1"/>
  <c r="C29" i="6"/>
  <c r="J28" i="6" a="1"/>
  <c r="J28" i="6"/>
  <c r="I28" i="6"/>
  <c r="H28" i="6"/>
  <c r="F28" i="6"/>
  <c r="M28" i="6" s="1"/>
  <c r="E28" i="6"/>
  <c r="D28" i="6"/>
  <c r="G28" i="6" s="1"/>
  <c r="C28" i="6"/>
  <c r="L27" i="6"/>
  <c r="K27" i="6"/>
  <c r="J27" i="6" a="1"/>
  <c r="J27" i="6" s="1"/>
  <c r="I27" i="6"/>
  <c r="H27" i="6"/>
  <c r="F27" i="6"/>
  <c r="M27" i="6" s="1"/>
  <c r="E27" i="6"/>
  <c r="D27" i="6"/>
  <c r="C27" i="6"/>
  <c r="M26" i="6"/>
  <c r="K26" i="6"/>
  <c r="J26" i="6" a="1"/>
  <c r="J26" i="6" s="1"/>
  <c r="I26" i="6"/>
  <c r="H26" i="6"/>
  <c r="G26" i="6"/>
  <c r="F26" i="6"/>
  <c r="E26" i="6"/>
  <c r="D26" i="6"/>
  <c r="C26" i="6"/>
  <c r="L26" i="6" s="1"/>
  <c r="M25" i="6"/>
  <c r="L25" i="6"/>
  <c r="J25" i="6" a="1"/>
  <c r="J25" i="6"/>
  <c r="I25" i="6"/>
  <c r="H25" i="6"/>
  <c r="F25" i="6"/>
  <c r="E25" i="6"/>
  <c r="D25" i="6"/>
  <c r="G25" i="6" s="1"/>
  <c r="C25" i="6"/>
  <c r="K25" i="6" s="1"/>
  <c r="J24" i="6" a="1"/>
  <c r="J24" i="6"/>
  <c r="I24" i="6"/>
  <c r="H24" i="6"/>
  <c r="F24" i="6"/>
  <c r="M24" i="6" s="1"/>
  <c r="E24" i="6"/>
  <c r="D24" i="6"/>
  <c r="G24" i="6" s="1"/>
  <c r="C24" i="6"/>
  <c r="L23" i="6"/>
  <c r="K23" i="6"/>
  <c r="J23" i="6" a="1"/>
  <c r="J23" i="6" s="1"/>
  <c r="I23" i="6"/>
  <c r="H23" i="6"/>
  <c r="F23" i="6"/>
  <c r="M23" i="6" s="1"/>
  <c r="E23" i="6"/>
  <c r="D23" i="6"/>
  <c r="C23" i="6"/>
  <c r="M22" i="6"/>
  <c r="K22" i="6"/>
  <c r="J22" i="6" a="1"/>
  <c r="J22" i="6" s="1"/>
  <c r="I22" i="6"/>
  <c r="H22" i="6"/>
  <c r="G22" i="6"/>
  <c r="F22" i="6"/>
  <c r="E22" i="6"/>
  <c r="D22" i="6"/>
  <c r="C22" i="6"/>
  <c r="L22" i="6" s="1"/>
  <c r="M21" i="6"/>
  <c r="J21" i="6" a="1"/>
  <c r="J21" i="6"/>
  <c r="I21" i="6"/>
  <c r="H21" i="6"/>
  <c r="F21" i="6"/>
  <c r="E21" i="6"/>
  <c r="D21" i="6"/>
  <c r="G21" i="6" s="1"/>
  <c r="C21" i="6"/>
  <c r="L21" i="6" s="1"/>
  <c r="J20" i="6" a="1"/>
  <c r="J20" i="6"/>
  <c r="I20" i="6"/>
  <c r="H20" i="6"/>
  <c r="F20" i="6"/>
  <c r="M20" i="6" s="1"/>
  <c r="E20" i="6"/>
  <c r="D20" i="6"/>
  <c r="G20" i="6" s="1"/>
  <c r="C20" i="6"/>
  <c r="L19" i="6"/>
  <c r="K19" i="6"/>
  <c r="J19" i="6" a="1"/>
  <c r="J19" i="6" s="1"/>
  <c r="I19" i="6"/>
  <c r="H19" i="6"/>
  <c r="F19" i="6"/>
  <c r="M19" i="6" s="1"/>
  <c r="E19" i="6"/>
  <c r="D19" i="6"/>
  <c r="C19" i="6"/>
  <c r="M18" i="6"/>
  <c r="K18" i="6"/>
  <c r="J18" i="6" a="1"/>
  <c r="J18" i="6" s="1"/>
  <c r="I18" i="6"/>
  <c r="L18" i="6" s="1"/>
  <c r="H18" i="6"/>
  <c r="G18" i="6"/>
  <c r="F18" i="6"/>
  <c r="E18" i="6"/>
  <c r="D18" i="6"/>
  <c r="C18" i="6"/>
  <c r="M17" i="6"/>
  <c r="J17" i="6" a="1"/>
  <c r="J17" i="6"/>
  <c r="I17" i="6"/>
  <c r="H17" i="6"/>
  <c r="F17" i="6"/>
  <c r="E17" i="6"/>
  <c r="D17" i="6"/>
  <c r="G17" i="6" s="1"/>
  <c r="C17" i="6"/>
  <c r="K17" i="6" s="1"/>
  <c r="J16" i="6" a="1"/>
  <c r="J16" i="6"/>
  <c r="I16" i="6"/>
  <c r="H16" i="6"/>
  <c r="F16" i="6"/>
  <c r="M16" i="6" s="1"/>
  <c r="E16" i="6"/>
  <c r="D16" i="6"/>
  <c r="G16" i="6" s="1"/>
  <c r="C16" i="6"/>
  <c r="L15" i="6"/>
  <c r="K15" i="6"/>
  <c r="J15" i="6" a="1"/>
  <c r="J15" i="6" s="1"/>
  <c r="I15" i="6"/>
  <c r="H15" i="6"/>
  <c r="F15" i="6"/>
  <c r="M15" i="6" s="1"/>
  <c r="E15" i="6"/>
  <c r="D15" i="6"/>
  <c r="G15" i="6" s="1"/>
  <c r="C15" i="6"/>
  <c r="M14" i="6"/>
  <c r="K14" i="6"/>
  <c r="J14" i="6" a="1"/>
  <c r="J14" i="6" s="1"/>
  <c r="I14" i="6"/>
  <c r="L14" i="6" s="1"/>
  <c r="H14" i="6"/>
  <c r="G14" i="6"/>
  <c r="F14" i="6"/>
  <c r="E14" i="6"/>
  <c r="D14" i="6"/>
  <c r="C14" i="6"/>
  <c r="K13" i="6"/>
  <c r="J13" i="6" a="1"/>
  <c r="J13" i="6"/>
  <c r="I13" i="6"/>
  <c r="H13" i="6"/>
  <c r="F13" i="6"/>
  <c r="M13" i="6" s="1"/>
  <c r="E13" i="6"/>
  <c r="D13" i="6"/>
  <c r="G13" i="6" s="1"/>
  <c r="C13" i="6"/>
  <c r="L13" i="6" s="1"/>
  <c r="J12" i="6" a="1"/>
  <c r="J12" i="6"/>
  <c r="I12" i="6"/>
  <c r="H12" i="6"/>
  <c r="F12" i="6"/>
  <c r="M12" i="6" s="1"/>
  <c r="E12" i="6"/>
  <c r="D12" i="6"/>
  <c r="G12" i="6" s="1"/>
  <c r="C12" i="6"/>
  <c r="M11" i="6"/>
  <c r="L11" i="6"/>
  <c r="K11" i="6"/>
  <c r="J11" i="6" a="1"/>
  <c r="J11" i="6" s="1"/>
  <c r="I11" i="6"/>
  <c r="H11" i="6"/>
  <c r="F11" i="6"/>
  <c r="E11" i="6"/>
  <c r="D11" i="6"/>
  <c r="G11" i="6" s="1"/>
  <c r="C11" i="6"/>
  <c r="M10" i="6"/>
  <c r="K10" i="6"/>
  <c r="J10" i="6" a="1"/>
  <c r="J10" i="6" s="1"/>
  <c r="I10" i="6"/>
  <c r="L10" i="6" s="1"/>
  <c r="H10" i="6"/>
  <c r="G10" i="6"/>
  <c r="F10" i="6"/>
  <c r="E10" i="6"/>
  <c r="D10" i="6"/>
  <c r="C10" i="6"/>
  <c r="J9" i="6" a="1"/>
  <c r="J9" i="6"/>
  <c r="I9" i="6"/>
  <c r="H9" i="6"/>
  <c r="F9" i="6"/>
  <c r="M9" i="6" s="1"/>
  <c r="E9" i="6"/>
  <c r="G9" i="6" s="1"/>
  <c r="D9" i="6"/>
  <c r="C9" i="6"/>
  <c r="L9" i="6" s="1"/>
  <c r="J8" i="6" a="1"/>
  <c r="J8" i="6"/>
  <c r="I8" i="6"/>
  <c r="H8" i="6"/>
  <c r="F8" i="6"/>
  <c r="M8" i="6" s="1"/>
  <c r="E8" i="6"/>
  <c r="D8" i="6"/>
  <c r="G8" i="6" s="1"/>
  <c r="C8" i="6"/>
  <c r="M7" i="6"/>
  <c r="L7" i="6"/>
  <c r="K7" i="6"/>
  <c r="J7" i="6" a="1"/>
  <c r="J7" i="6" s="1"/>
  <c r="I7" i="6"/>
  <c r="H7" i="6"/>
  <c r="F7" i="6"/>
  <c r="E7" i="6"/>
  <c r="D7" i="6"/>
  <c r="C7" i="6"/>
  <c r="M6" i="6"/>
  <c r="K6" i="6"/>
  <c r="J6" i="6" a="1"/>
  <c r="J6" i="6" s="1"/>
  <c r="I6" i="6"/>
  <c r="L6" i="6" s="1"/>
  <c r="H6" i="6"/>
  <c r="G6" i="6"/>
  <c r="F6" i="6"/>
  <c r="E6" i="6"/>
  <c r="D6" i="6"/>
  <c r="C6" i="6"/>
  <c r="J5" i="6" a="1"/>
  <c r="J5" i="6"/>
  <c r="I5" i="6"/>
  <c r="H5" i="6"/>
  <c r="G5" i="6"/>
  <c r="F5" i="6"/>
  <c r="M5" i="6" s="1"/>
  <c r="E5" i="6"/>
  <c r="D5" i="6"/>
  <c r="C5" i="6"/>
  <c r="L5" i="6" s="1"/>
  <c r="J4" i="6" a="1"/>
  <c r="J4" i="6"/>
  <c r="I4" i="6"/>
  <c r="H4" i="6"/>
  <c r="F4" i="6"/>
  <c r="M4" i="6" s="1"/>
  <c r="E4" i="6"/>
  <c r="D4" i="6"/>
  <c r="G4" i="6" s="1"/>
  <c r="C4" i="6"/>
  <c r="K4" i="6" s="1"/>
  <c r="M3" i="6"/>
  <c r="K3" i="6"/>
  <c r="J3" i="6" a="1"/>
  <c r="J3" i="6" s="1"/>
  <c r="I3" i="6"/>
  <c r="L3" i="6" s="1"/>
  <c r="H3" i="6"/>
  <c r="F3" i="6"/>
  <c r="E3" i="6"/>
  <c r="D3" i="6"/>
  <c r="C3" i="6"/>
  <c r="M2" i="6"/>
  <c r="K2" i="6"/>
  <c r="J2" i="6" a="1"/>
  <c r="J2" i="6" s="1"/>
  <c r="I2" i="6"/>
  <c r="L2" i="6" s="1"/>
  <c r="H2" i="6"/>
  <c r="G2" i="6"/>
  <c r="F2" i="6"/>
  <c r="E2" i="6"/>
  <c r="D2" i="6"/>
  <c r="C2" i="6"/>
  <c r="M70" i="5" a="1"/>
  <c r="M70" i="5"/>
  <c r="L70" i="5"/>
  <c r="J70" i="5"/>
  <c r="H70" i="5"/>
  <c r="P70" i="5" s="1"/>
  <c r="G70" i="5"/>
  <c r="I70" i="5" s="1"/>
  <c r="F70" i="5"/>
  <c r="E70" i="5"/>
  <c r="M69" i="5" a="1"/>
  <c r="M69" i="5" s="1"/>
  <c r="L69" i="5"/>
  <c r="J69" i="5"/>
  <c r="H69" i="5"/>
  <c r="P69" i="5" s="1"/>
  <c r="G69" i="5"/>
  <c r="F69" i="5"/>
  <c r="I69" i="5" s="1"/>
  <c r="E69" i="5"/>
  <c r="P68" i="5"/>
  <c r="M68" i="5" a="1"/>
  <c r="M68" i="5"/>
  <c r="L68" i="5"/>
  <c r="J68" i="5"/>
  <c r="H68" i="5"/>
  <c r="G68" i="5"/>
  <c r="F68" i="5"/>
  <c r="E68" i="5"/>
  <c r="P67" i="5"/>
  <c r="M67" i="5" a="1"/>
  <c r="M67" i="5" s="1"/>
  <c r="L67" i="5"/>
  <c r="J67" i="5"/>
  <c r="H67" i="5"/>
  <c r="G67" i="5"/>
  <c r="F67" i="5"/>
  <c r="E67" i="5"/>
  <c r="Q66" i="5"/>
  <c r="O66" i="5"/>
  <c r="M66" i="5" a="1"/>
  <c r="M66" i="5"/>
  <c r="L66" i="5"/>
  <c r="J66" i="5"/>
  <c r="I66" i="5"/>
  <c r="H66" i="5"/>
  <c r="P66" i="5" s="1"/>
  <c r="G66" i="5"/>
  <c r="F66" i="5"/>
  <c r="E66" i="5"/>
  <c r="K66" i="5" s="1"/>
  <c r="P65" i="5"/>
  <c r="O65" i="5"/>
  <c r="N65" i="5"/>
  <c r="M65" i="5" a="1"/>
  <c r="M65" i="5"/>
  <c r="L65" i="5"/>
  <c r="J65" i="5"/>
  <c r="K65" i="5" s="1"/>
  <c r="H65" i="5"/>
  <c r="G65" i="5"/>
  <c r="F65" i="5"/>
  <c r="E65" i="5"/>
  <c r="P64" i="5"/>
  <c r="M64" i="5" a="1"/>
  <c r="M64" i="5" s="1"/>
  <c r="L64" i="5"/>
  <c r="J64" i="5"/>
  <c r="I64" i="5"/>
  <c r="H64" i="5"/>
  <c r="G64" i="5"/>
  <c r="F64" i="5"/>
  <c r="E64" i="5"/>
  <c r="Q64" i="5" s="1"/>
  <c r="P63" i="5"/>
  <c r="M63" i="5" a="1"/>
  <c r="M63" i="5" s="1"/>
  <c r="L63" i="5"/>
  <c r="N63" i="5" s="1"/>
  <c r="K63" i="5"/>
  <c r="J63" i="5"/>
  <c r="H63" i="5"/>
  <c r="G63" i="5"/>
  <c r="F63" i="5"/>
  <c r="I63" i="5" s="1"/>
  <c r="E63" i="5"/>
  <c r="M62" i="5" a="1"/>
  <c r="M62" i="5"/>
  <c r="L62" i="5"/>
  <c r="J62" i="5"/>
  <c r="H62" i="5"/>
  <c r="P62" i="5" s="1"/>
  <c r="G62" i="5"/>
  <c r="I62" i="5" s="1"/>
  <c r="F62" i="5"/>
  <c r="E62" i="5"/>
  <c r="M61" i="5" a="1"/>
  <c r="M61" i="5" s="1"/>
  <c r="L61" i="5"/>
  <c r="J61" i="5"/>
  <c r="I61" i="5"/>
  <c r="Q61" i="5" s="1"/>
  <c r="H61" i="5"/>
  <c r="P61" i="5" s="1"/>
  <c r="G61" i="5"/>
  <c r="F61" i="5"/>
  <c r="E61" i="5"/>
  <c r="O60" i="5"/>
  <c r="M60" i="5" a="1"/>
  <c r="M60" i="5"/>
  <c r="L60" i="5"/>
  <c r="J60" i="5"/>
  <c r="H60" i="5"/>
  <c r="P60" i="5" s="1"/>
  <c r="G60" i="5"/>
  <c r="F60" i="5"/>
  <c r="I60" i="5" s="1"/>
  <c r="E60" i="5"/>
  <c r="Q59" i="5"/>
  <c r="P59" i="5"/>
  <c r="M59" i="5" a="1"/>
  <c r="M59" i="5" s="1"/>
  <c r="L59" i="5"/>
  <c r="J59" i="5"/>
  <c r="H59" i="5"/>
  <c r="G59" i="5"/>
  <c r="F59" i="5"/>
  <c r="I59" i="5" s="1"/>
  <c r="E59" i="5"/>
  <c r="O59" i="5" s="1"/>
  <c r="P58" i="5"/>
  <c r="M58" i="5" a="1"/>
  <c r="M58" i="5"/>
  <c r="L58" i="5"/>
  <c r="J58" i="5"/>
  <c r="I58" i="5"/>
  <c r="H58" i="5"/>
  <c r="G58" i="5"/>
  <c r="F58" i="5"/>
  <c r="E58" i="5"/>
  <c r="K58" i="5" s="1"/>
  <c r="P57" i="5"/>
  <c r="O57" i="5"/>
  <c r="N57" i="5"/>
  <c r="M57" i="5" a="1"/>
  <c r="M57" i="5" s="1"/>
  <c r="L57" i="5"/>
  <c r="J57" i="5"/>
  <c r="K57" i="5" s="1"/>
  <c r="H57" i="5"/>
  <c r="G57" i="5"/>
  <c r="F57" i="5"/>
  <c r="I57" i="5" s="1"/>
  <c r="Q57" i="5" s="1"/>
  <c r="E57" i="5"/>
  <c r="O56" i="5"/>
  <c r="N56" i="5"/>
  <c r="M56" i="5" a="1"/>
  <c r="M56" i="5"/>
  <c r="L56" i="5"/>
  <c r="J56" i="5"/>
  <c r="I56" i="5"/>
  <c r="H56" i="5"/>
  <c r="P56" i="5" s="1"/>
  <c r="G56" i="5"/>
  <c r="F56" i="5"/>
  <c r="E56" i="5"/>
  <c r="Q56" i="5" s="1"/>
  <c r="P55" i="5"/>
  <c r="O55" i="5"/>
  <c r="N55" i="5"/>
  <c r="M55" i="5" a="1"/>
  <c r="M55" i="5"/>
  <c r="L55" i="5"/>
  <c r="J55" i="5"/>
  <c r="K55" i="5" s="1"/>
  <c r="H55" i="5"/>
  <c r="G55" i="5"/>
  <c r="F55" i="5"/>
  <c r="I55" i="5" s="1"/>
  <c r="Q55" i="5" s="1"/>
  <c r="E55" i="5"/>
  <c r="P54" i="5"/>
  <c r="M54" i="5" a="1"/>
  <c r="M54" i="5"/>
  <c r="L54" i="5"/>
  <c r="J54" i="5"/>
  <c r="K54" i="5" s="1"/>
  <c r="I54" i="5"/>
  <c r="O54" i="5" s="1"/>
  <c r="H54" i="5"/>
  <c r="G54" i="5"/>
  <c r="F54" i="5"/>
  <c r="E54" i="5"/>
  <c r="M53" i="5" a="1"/>
  <c r="M53" i="5" s="1"/>
  <c r="L53" i="5"/>
  <c r="K53" i="5"/>
  <c r="J53" i="5"/>
  <c r="H53" i="5"/>
  <c r="P53" i="5" s="1"/>
  <c r="G53" i="5"/>
  <c r="F53" i="5"/>
  <c r="I53" i="5" s="1"/>
  <c r="Q53" i="5" s="1"/>
  <c r="E53" i="5"/>
  <c r="N53" i="5" s="1"/>
  <c r="P52" i="5"/>
  <c r="M52" i="5" a="1"/>
  <c r="M52" i="5"/>
  <c r="L52" i="5"/>
  <c r="J52" i="5"/>
  <c r="H52" i="5"/>
  <c r="G52" i="5"/>
  <c r="F52" i="5"/>
  <c r="I52" i="5" s="1"/>
  <c r="O52" i="5" s="1"/>
  <c r="E52" i="5"/>
  <c r="P51" i="5"/>
  <c r="M51" i="5" a="1"/>
  <c r="M51" i="5" s="1"/>
  <c r="L51" i="5"/>
  <c r="J51" i="5"/>
  <c r="H51" i="5"/>
  <c r="G51" i="5"/>
  <c r="F51" i="5"/>
  <c r="E51" i="5"/>
  <c r="N50" i="5"/>
  <c r="M50" i="5" a="1"/>
  <c r="M50" i="5"/>
  <c r="L50" i="5"/>
  <c r="J50" i="5"/>
  <c r="I50" i="5"/>
  <c r="H50" i="5"/>
  <c r="P50" i="5" s="1"/>
  <c r="G50" i="5"/>
  <c r="F50" i="5"/>
  <c r="E50" i="5"/>
  <c r="K50" i="5" s="1"/>
  <c r="P49" i="5"/>
  <c r="O49" i="5"/>
  <c r="N49" i="5"/>
  <c r="M49" i="5" a="1"/>
  <c r="M49" i="5" s="1"/>
  <c r="L49" i="5"/>
  <c r="K49" i="5"/>
  <c r="J49" i="5"/>
  <c r="H49" i="5"/>
  <c r="G49" i="5"/>
  <c r="F49" i="5"/>
  <c r="E49" i="5"/>
  <c r="M48" i="5" a="1"/>
  <c r="M48" i="5" s="1"/>
  <c r="L48" i="5"/>
  <c r="J48" i="5"/>
  <c r="I48" i="5"/>
  <c r="H48" i="5"/>
  <c r="P48" i="5" s="1"/>
  <c r="G48" i="5"/>
  <c r="F48" i="5"/>
  <c r="E48" i="5"/>
  <c r="Q48" i="5" s="1"/>
  <c r="P47" i="5"/>
  <c r="M47" i="5" a="1"/>
  <c r="M47" i="5" s="1"/>
  <c r="L47" i="5"/>
  <c r="N47" i="5" s="1"/>
  <c r="K47" i="5"/>
  <c r="J47" i="5"/>
  <c r="I47" i="5"/>
  <c r="O47" i="5" s="1"/>
  <c r="H47" i="5"/>
  <c r="G47" i="5"/>
  <c r="F47" i="5"/>
  <c r="E47" i="5"/>
  <c r="M46" i="5" a="1"/>
  <c r="M46" i="5"/>
  <c r="L46" i="5"/>
  <c r="J46" i="5"/>
  <c r="H46" i="5"/>
  <c r="P46" i="5" s="1"/>
  <c r="G46" i="5"/>
  <c r="I46" i="5" s="1"/>
  <c r="F46" i="5"/>
  <c r="E46" i="5"/>
  <c r="O46" i="5" s="1"/>
  <c r="M45" i="5" a="1"/>
  <c r="M45" i="5" s="1"/>
  <c r="L45" i="5"/>
  <c r="J45" i="5"/>
  <c r="I45" i="5"/>
  <c r="H45" i="5"/>
  <c r="P45" i="5" s="1"/>
  <c r="G45" i="5"/>
  <c r="F45" i="5"/>
  <c r="E45" i="5"/>
  <c r="O45" i="5" s="1"/>
  <c r="M44" i="5" a="1"/>
  <c r="M44" i="5"/>
  <c r="L44" i="5"/>
  <c r="J44" i="5"/>
  <c r="H44" i="5"/>
  <c r="P44" i="5" s="1"/>
  <c r="G44" i="5"/>
  <c r="I44" i="5" s="1"/>
  <c r="O44" i="5" s="1"/>
  <c r="F44" i="5"/>
  <c r="E44" i="5"/>
  <c r="P43" i="5"/>
  <c r="N43" i="5"/>
  <c r="M43" i="5" a="1"/>
  <c r="M43" i="5" s="1"/>
  <c r="L43" i="5"/>
  <c r="J43" i="5"/>
  <c r="K43" i="5" s="1"/>
  <c r="H43" i="5"/>
  <c r="G43" i="5"/>
  <c r="F43" i="5"/>
  <c r="I43" i="5" s="1"/>
  <c r="Q43" i="5" s="1"/>
  <c r="E43" i="5"/>
  <c r="O42" i="5"/>
  <c r="M42" i="5" a="1"/>
  <c r="M42" i="5"/>
  <c r="L42" i="5"/>
  <c r="J42" i="5"/>
  <c r="I42" i="5"/>
  <c r="H42" i="5"/>
  <c r="P42" i="5" s="1"/>
  <c r="G42" i="5"/>
  <c r="F42" i="5"/>
  <c r="E42" i="5"/>
  <c r="K42" i="5" s="1"/>
  <c r="P41" i="5"/>
  <c r="N41" i="5"/>
  <c r="M41" i="5" a="1"/>
  <c r="M41" i="5"/>
  <c r="L41" i="5"/>
  <c r="J41" i="5"/>
  <c r="K41" i="5" s="1"/>
  <c r="H41" i="5"/>
  <c r="G41" i="5"/>
  <c r="F41" i="5"/>
  <c r="I41" i="5" s="1"/>
  <c r="Q41" i="5" s="1"/>
  <c r="E41" i="5"/>
  <c r="P40" i="5"/>
  <c r="N40" i="5"/>
  <c r="M40" i="5" a="1"/>
  <c r="M40" i="5"/>
  <c r="L40" i="5"/>
  <c r="J40" i="5"/>
  <c r="I40" i="5"/>
  <c r="H40" i="5"/>
  <c r="G40" i="5"/>
  <c r="F40" i="5"/>
  <c r="E40" i="5"/>
  <c r="N39" i="5"/>
  <c r="M39" i="5" a="1"/>
  <c r="M39" i="5" s="1"/>
  <c r="L39" i="5"/>
  <c r="K39" i="5"/>
  <c r="J39" i="5"/>
  <c r="I39" i="5"/>
  <c r="O39" i="5" s="1"/>
  <c r="H39" i="5"/>
  <c r="P39" i="5" s="1"/>
  <c r="G39" i="5"/>
  <c r="F39" i="5"/>
  <c r="E39" i="5"/>
  <c r="M38" i="5" a="1"/>
  <c r="M38" i="5"/>
  <c r="L38" i="5"/>
  <c r="J38" i="5"/>
  <c r="H38" i="5"/>
  <c r="P38" i="5" s="1"/>
  <c r="G38" i="5"/>
  <c r="I38" i="5" s="1"/>
  <c r="F38" i="5"/>
  <c r="E38" i="5"/>
  <c r="M37" i="5" a="1"/>
  <c r="M37" i="5" s="1"/>
  <c r="L37" i="5"/>
  <c r="J37" i="5"/>
  <c r="I37" i="5"/>
  <c r="H37" i="5"/>
  <c r="P37" i="5" s="1"/>
  <c r="G37" i="5"/>
  <c r="F37" i="5"/>
  <c r="E37" i="5"/>
  <c r="O37" i="5" s="1"/>
  <c r="M36" i="5" a="1"/>
  <c r="M36" i="5"/>
  <c r="L36" i="5"/>
  <c r="J36" i="5"/>
  <c r="H36" i="5"/>
  <c r="P36" i="5" s="1"/>
  <c r="G36" i="5"/>
  <c r="I36" i="5" s="1"/>
  <c r="O36" i="5" s="1"/>
  <c r="F36" i="5"/>
  <c r="E36" i="5"/>
  <c r="P35" i="5"/>
  <c r="N35" i="5"/>
  <c r="M35" i="5" a="1"/>
  <c r="M35" i="5" s="1"/>
  <c r="L35" i="5"/>
  <c r="J35" i="5"/>
  <c r="K35" i="5" s="1"/>
  <c r="H35" i="5"/>
  <c r="G35" i="5"/>
  <c r="F35" i="5"/>
  <c r="I35" i="5" s="1"/>
  <c r="Q35" i="5" s="1"/>
  <c r="E35" i="5"/>
  <c r="O34" i="5"/>
  <c r="M34" i="5" a="1"/>
  <c r="M34" i="5"/>
  <c r="L34" i="5"/>
  <c r="J34" i="5"/>
  <c r="I34" i="5"/>
  <c r="H34" i="5"/>
  <c r="P34" i="5" s="1"/>
  <c r="G34" i="5"/>
  <c r="F34" i="5"/>
  <c r="E34" i="5"/>
  <c r="K34" i="5" s="1"/>
  <c r="P33" i="5"/>
  <c r="N33" i="5"/>
  <c r="M33" i="5" a="1"/>
  <c r="M33" i="5" s="1"/>
  <c r="L33" i="5"/>
  <c r="J33" i="5"/>
  <c r="K33" i="5" s="1"/>
  <c r="H33" i="5"/>
  <c r="G33" i="5"/>
  <c r="F33" i="5"/>
  <c r="I33" i="5" s="1"/>
  <c r="Q33" i="5" s="1"/>
  <c r="E33" i="5"/>
  <c r="P32" i="5"/>
  <c r="N32" i="5"/>
  <c r="M32" i="5" a="1"/>
  <c r="M32" i="5"/>
  <c r="L32" i="5"/>
  <c r="J32" i="5"/>
  <c r="I32" i="5"/>
  <c r="H32" i="5"/>
  <c r="G32" i="5"/>
  <c r="F32" i="5"/>
  <c r="E32" i="5"/>
  <c r="N31" i="5"/>
  <c r="M31" i="5" a="1"/>
  <c r="M31" i="5" s="1"/>
  <c r="L31" i="5"/>
  <c r="K31" i="5"/>
  <c r="J31" i="5"/>
  <c r="I31" i="5"/>
  <c r="O31" i="5" s="1"/>
  <c r="H31" i="5"/>
  <c r="P31" i="5" s="1"/>
  <c r="G31" i="5"/>
  <c r="F31" i="5"/>
  <c r="E31" i="5"/>
  <c r="M30" i="5" a="1"/>
  <c r="M30" i="5"/>
  <c r="L30" i="5"/>
  <c r="J30" i="5"/>
  <c r="H30" i="5"/>
  <c r="P30" i="5" s="1"/>
  <c r="G30" i="5"/>
  <c r="I30" i="5" s="1"/>
  <c r="F30" i="5"/>
  <c r="E30" i="5"/>
  <c r="M29" i="5" a="1"/>
  <c r="M29" i="5" s="1"/>
  <c r="L29" i="5"/>
  <c r="J29" i="5"/>
  <c r="H29" i="5"/>
  <c r="P29" i="5" s="1"/>
  <c r="G29" i="5"/>
  <c r="F29" i="5"/>
  <c r="I29" i="5" s="1"/>
  <c r="E29" i="5"/>
  <c r="M28" i="5" a="1"/>
  <c r="M28" i="5"/>
  <c r="L28" i="5"/>
  <c r="J28" i="5"/>
  <c r="H28" i="5"/>
  <c r="P28" i="5" s="1"/>
  <c r="G28" i="5"/>
  <c r="I28" i="5" s="1"/>
  <c r="O28" i="5" s="1"/>
  <c r="F28" i="5"/>
  <c r="E28" i="5"/>
  <c r="P27" i="5"/>
  <c r="N27" i="5"/>
  <c r="M27" i="5" a="1"/>
  <c r="M27" i="5" s="1"/>
  <c r="L27" i="5"/>
  <c r="J27" i="5"/>
  <c r="K27" i="5" s="1"/>
  <c r="H27" i="5"/>
  <c r="G27" i="5"/>
  <c r="F27" i="5"/>
  <c r="I27" i="5" s="1"/>
  <c r="Q27" i="5" s="1"/>
  <c r="E27" i="5"/>
  <c r="P26" i="5"/>
  <c r="O26" i="5"/>
  <c r="M26" i="5" a="1"/>
  <c r="M26" i="5"/>
  <c r="L26" i="5"/>
  <c r="J26" i="5"/>
  <c r="I26" i="5"/>
  <c r="H26" i="5"/>
  <c r="G26" i="5"/>
  <c r="F26" i="5"/>
  <c r="E26" i="5"/>
  <c r="K26" i="5" s="1"/>
  <c r="P25" i="5"/>
  <c r="O25" i="5"/>
  <c r="N25" i="5"/>
  <c r="M25" i="5" a="1"/>
  <c r="M25" i="5" s="1"/>
  <c r="L25" i="5"/>
  <c r="J25" i="5"/>
  <c r="K25" i="5" s="1"/>
  <c r="H25" i="5"/>
  <c r="G25" i="5"/>
  <c r="F25" i="5"/>
  <c r="I25" i="5" s="1"/>
  <c r="Q25" i="5" s="1"/>
  <c r="E25" i="5"/>
  <c r="P24" i="5"/>
  <c r="N24" i="5"/>
  <c r="M24" i="5" a="1"/>
  <c r="M24" i="5"/>
  <c r="L24" i="5"/>
  <c r="J24" i="5"/>
  <c r="I24" i="5"/>
  <c r="H24" i="5"/>
  <c r="G24" i="5"/>
  <c r="F24" i="5"/>
  <c r="E24" i="5"/>
  <c r="O23" i="5"/>
  <c r="N23" i="5"/>
  <c r="M23" i="5" a="1"/>
  <c r="M23" i="5"/>
  <c r="L23" i="5"/>
  <c r="J23" i="5"/>
  <c r="K23" i="5" s="1"/>
  <c r="H23" i="5"/>
  <c r="P23" i="5" s="1"/>
  <c r="G23" i="5"/>
  <c r="F23" i="5"/>
  <c r="I23" i="5" s="1"/>
  <c r="Q23" i="5" s="1"/>
  <c r="E23" i="5"/>
  <c r="M22" i="5" a="1"/>
  <c r="M22" i="5"/>
  <c r="L22" i="5"/>
  <c r="K22" i="5"/>
  <c r="J22" i="5"/>
  <c r="I22" i="5"/>
  <c r="O22" i="5" s="1"/>
  <c r="H22" i="5"/>
  <c r="P22" i="5" s="1"/>
  <c r="G22" i="5"/>
  <c r="F22" i="5"/>
  <c r="E22" i="5"/>
  <c r="N21" i="5"/>
  <c r="M21" i="5" a="1"/>
  <c r="M21" i="5" s="1"/>
  <c r="L21" i="5"/>
  <c r="J21" i="5"/>
  <c r="H21" i="5"/>
  <c r="P21" i="5" s="1"/>
  <c r="G21" i="5"/>
  <c r="F21" i="5"/>
  <c r="I21" i="5" s="1"/>
  <c r="E21" i="5"/>
  <c r="Q21" i="5" s="1"/>
  <c r="O20" i="5"/>
  <c r="M20" i="5" a="1"/>
  <c r="M20" i="5"/>
  <c r="L20" i="5"/>
  <c r="J20" i="5"/>
  <c r="I20" i="5"/>
  <c r="H20" i="5"/>
  <c r="P20" i="5" s="1"/>
  <c r="G20" i="5"/>
  <c r="F20" i="5"/>
  <c r="E20" i="5"/>
  <c r="P19" i="5"/>
  <c r="N19" i="5"/>
  <c r="M19" i="5" a="1"/>
  <c r="M19" i="5" s="1"/>
  <c r="L19" i="5"/>
  <c r="J19" i="5"/>
  <c r="K19" i="5" s="1"/>
  <c r="H19" i="5"/>
  <c r="G19" i="5"/>
  <c r="F19" i="5"/>
  <c r="E19" i="5"/>
  <c r="O19" i="5" s="1"/>
  <c r="Q18" i="5"/>
  <c r="P18" i="5"/>
  <c r="M18" i="5" a="1"/>
  <c r="M18" i="5"/>
  <c r="L18" i="5"/>
  <c r="J18" i="5"/>
  <c r="I18" i="5"/>
  <c r="H18" i="5"/>
  <c r="G18" i="5"/>
  <c r="F18" i="5"/>
  <c r="E18" i="5"/>
  <c r="O18" i="5" s="1"/>
  <c r="Q17" i="5"/>
  <c r="N17" i="5"/>
  <c r="M17" i="5" a="1"/>
  <c r="M17" i="5" s="1"/>
  <c r="L17" i="5"/>
  <c r="J17" i="5"/>
  <c r="K17" i="5" s="1"/>
  <c r="H17" i="5"/>
  <c r="P17" i="5" s="1"/>
  <c r="G17" i="5"/>
  <c r="F17" i="5"/>
  <c r="I17" i="5" s="1"/>
  <c r="O17" i="5" s="1"/>
  <c r="E17" i="5"/>
  <c r="P16" i="5"/>
  <c r="M16" i="5" a="1"/>
  <c r="M16" i="5" s="1"/>
  <c r="L16" i="5"/>
  <c r="N16" i="5" s="1"/>
  <c r="K16" i="5"/>
  <c r="J16" i="5"/>
  <c r="H16" i="5"/>
  <c r="G16" i="5"/>
  <c r="F16" i="5"/>
  <c r="I16" i="5" s="1"/>
  <c r="O16" i="5" s="1"/>
  <c r="E16" i="5"/>
  <c r="N15" i="5"/>
  <c r="M15" i="5" a="1"/>
  <c r="M15" i="5" s="1"/>
  <c r="L15" i="5"/>
  <c r="J15" i="5"/>
  <c r="K15" i="5" s="1"/>
  <c r="H15" i="5"/>
  <c r="P15" i="5" s="1"/>
  <c r="G15" i="5"/>
  <c r="F15" i="5"/>
  <c r="I15" i="5" s="1"/>
  <c r="E15" i="5"/>
  <c r="P14" i="5"/>
  <c r="M14" i="5" a="1"/>
  <c r="M14" i="5"/>
  <c r="L14" i="5"/>
  <c r="K14" i="5"/>
  <c r="J14" i="5"/>
  <c r="H14" i="5"/>
  <c r="G14" i="5"/>
  <c r="I14" i="5" s="1"/>
  <c r="O14" i="5" s="1"/>
  <c r="F14" i="5"/>
  <c r="E14" i="5"/>
  <c r="M13" i="5" a="1"/>
  <c r="M13" i="5" s="1"/>
  <c r="L13" i="5"/>
  <c r="J13" i="5"/>
  <c r="H13" i="5"/>
  <c r="P13" i="5" s="1"/>
  <c r="G13" i="5"/>
  <c r="I13" i="5" s="1"/>
  <c r="F13" i="5"/>
  <c r="E13" i="5"/>
  <c r="N13" i="5" s="1"/>
  <c r="P12" i="5"/>
  <c r="M12" i="5" a="1"/>
  <c r="M12" i="5"/>
  <c r="L12" i="5"/>
  <c r="J12" i="5"/>
  <c r="H12" i="5"/>
  <c r="G12" i="5"/>
  <c r="F12" i="5"/>
  <c r="I12" i="5" s="1"/>
  <c r="O12" i="5" s="1"/>
  <c r="E12" i="5"/>
  <c r="P11" i="5"/>
  <c r="M11" i="5" a="1"/>
  <c r="M11" i="5" s="1"/>
  <c r="L11" i="5"/>
  <c r="J11" i="5"/>
  <c r="H11" i="5"/>
  <c r="G11" i="5"/>
  <c r="F11" i="5"/>
  <c r="I11" i="5" s="1"/>
  <c r="E11" i="5"/>
  <c r="O11" i="5" s="1"/>
  <c r="O10" i="5"/>
  <c r="N10" i="5"/>
  <c r="M10" i="5" a="1"/>
  <c r="M10" i="5"/>
  <c r="L10" i="5"/>
  <c r="J10" i="5"/>
  <c r="I10" i="5"/>
  <c r="Q10" i="5" s="1"/>
  <c r="H10" i="5"/>
  <c r="P10" i="5" s="1"/>
  <c r="G10" i="5"/>
  <c r="F10" i="5"/>
  <c r="E10" i="5"/>
  <c r="P9" i="5"/>
  <c r="N9" i="5"/>
  <c r="M9" i="5" a="1"/>
  <c r="M9" i="5"/>
  <c r="L9" i="5"/>
  <c r="J9" i="5"/>
  <c r="K9" i="5" s="1"/>
  <c r="H9" i="5"/>
  <c r="G9" i="5"/>
  <c r="F9" i="5"/>
  <c r="E9" i="5"/>
  <c r="M8" i="5" a="1"/>
  <c r="M8" i="5"/>
  <c r="L8" i="5"/>
  <c r="J8" i="5"/>
  <c r="H8" i="5"/>
  <c r="P8" i="5" s="1"/>
  <c r="G8" i="5"/>
  <c r="F8" i="5"/>
  <c r="I8" i="5" s="1"/>
  <c r="O8" i="5" s="1"/>
  <c r="E8" i="5"/>
  <c r="N8" i="5" s="1"/>
  <c r="M7" i="5" a="1"/>
  <c r="M7" i="5" s="1"/>
  <c r="L7" i="5"/>
  <c r="N7" i="5" s="1"/>
  <c r="J7" i="5"/>
  <c r="K7" i="5" s="1"/>
  <c r="I7" i="5"/>
  <c r="O7" i="5" s="1"/>
  <c r="H7" i="5"/>
  <c r="P7" i="5" s="1"/>
  <c r="G7" i="5"/>
  <c r="F7" i="5"/>
  <c r="E7" i="5"/>
  <c r="P6" i="5"/>
  <c r="M6" i="5" a="1"/>
  <c r="M6" i="5"/>
  <c r="L6" i="5"/>
  <c r="J6" i="5"/>
  <c r="I6" i="5"/>
  <c r="H6" i="5"/>
  <c r="G6" i="5"/>
  <c r="F6" i="5"/>
  <c r="E6" i="5"/>
  <c r="N6" i="5" s="1"/>
  <c r="M5" i="5" a="1"/>
  <c r="M5" i="5" s="1"/>
  <c r="L5" i="5"/>
  <c r="J5" i="5"/>
  <c r="H5" i="5"/>
  <c r="P5" i="5" s="1"/>
  <c r="G5" i="5"/>
  <c r="I5" i="5" s="1"/>
  <c r="F5" i="5"/>
  <c r="E5" i="5"/>
  <c r="Q5" i="5" s="1"/>
  <c r="M4" i="5" a="1"/>
  <c r="M4" i="5"/>
  <c r="L4" i="5"/>
  <c r="J4" i="5"/>
  <c r="H4" i="5"/>
  <c r="P4" i="5" s="1"/>
  <c r="G4" i="5"/>
  <c r="F4" i="5"/>
  <c r="I4" i="5" s="1"/>
  <c r="E4" i="5"/>
  <c r="O4" i="5" s="1"/>
  <c r="P3" i="5"/>
  <c r="N3" i="5"/>
  <c r="M3" i="5" a="1"/>
  <c r="M3" i="5" s="1"/>
  <c r="L3" i="5"/>
  <c r="J3" i="5"/>
  <c r="H3" i="5"/>
  <c r="G3" i="5"/>
  <c r="F3" i="5"/>
  <c r="E3" i="5"/>
  <c r="O3" i="5" s="1"/>
  <c r="M2" i="5" a="1"/>
  <c r="M2" i="5"/>
  <c r="L2" i="5"/>
  <c r="J2" i="5"/>
  <c r="I2" i="5"/>
  <c r="H2" i="5"/>
  <c r="P2" i="5" s="1"/>
  <c r="G2" i="5"/>
  <c r="F2" i="5"/>
  <c r="E2" i="5"/>
  <c r="K2" i="5" s="1"/>
  <c r="D35" i="4"/>
  <c r="C35" i="4"/>
  <c r="B35" i="4"/>
  <c r="C34" i="4"/>
  <c r="D34" i="4" s="1"/>
  <c r="B34" i="4"/>
  <c r="C33" i="4"/>
  <c r="B33" i="4"/>
  <c r="C32" i="4"/>
  <c r="B32" i="4"/>
  <c r="D31" i="4"/>
  <c r="C31" i="4"/>
  <c r="B31" i="4"/>
  <c r="C30" i="4"/>
  <c r="B30" i="4"/>
  <c r="D30" i="4" s="1"/>
  <c r="D29" i="4"/>
  <c r="C29" i="4"/>
  <c r="B29" i="4"/>
  <c r="D28" i="4"/>
  <c r="C28" i="4"/>
  <c r="B28" i="4"/>
  <c r="C27" i="4"/>
  <c r="B27" i="4"/>
  <c r="D27" i="4" s="1"/>
  <c r="C26" i="4"/>
  <c r="D26" i="4" s="1"/>
  <c r="B26" i="4"/>
  <c r="C25" i="4"/>
  <c r="B25" i="4"/>
  <c r="C24" i="4"/>
  <c r="B24" i="4"/>
  <c r="D24" i="4" s="1"/>
  <c r="D23" i="4"/>
  <c r="C23" i="4"/>
  <c r="B23" i="4"/>
  <c r="F12" i="4" a="1"/>
  <c r="F12" i="4" s="1"/>
  <c r="D12" i="4"/>
  <c r="C12" i="4"/>
  <c r="B12" i="4"/>
  <c r="E12" i="4" s="1"/>
  <c r="F11" i="4" a="1"/>
  <c r="F11" i="4"/>
  <c r="D11" i="4"/>
  <c r="C11" i="4"/>
  <c r="B11" i="4"/>
  <c r="E11" i="4" s="1"/>
  <c r="B7" i="4"/>
  <c r="C6" i="4"/>
  <c r="B6" i="4"/>
  <c r="B5" i="4"/>
  <c r="C5" i="4" s="1"/>
  <c r="C7" i="4" s="1"/>
  <c r="K16" i="3" a="1"/>
  <c r="K16" i="3"/>
  <c r="J16" i="3" a="1"/>
  <c r="J16" i="3"/>
  <c r="K15" i="3" a="1"/>
  <c r="K15" i="3" s="1"/>
  <c r="J15" i="3"/>
  <c r="H15" i="3"/>
  <c r="F15" i="3"/>
  <c r="G15" i="3" s="1"/>
  <c r="E15" i="3"/>
  <c r="D15" i="3"/>
  <c r="C15" i="3"/>
  <c r="B15" i="3"/>
  <c r="I15" i="3" s="1"/>
  <c r="K14" i="3" a="1"/>
  <c r="K14" i="3"/>
  <c r="J14" i="3"/>
  <c r="I14" i="3"/>
  <c r="H14" i="3"/>
  <c r="E14" i="3"/>
  <c r="D14" i="3"/>
  <c r="F14" i="3" s="1"/>
  <c r="G14" i="3" s="1"/>
  <c r="C14" i="3"/>
  <c r="B14" i="3"/>
  <c r="K13" i="3" a="1"/>
  <c r="K13" i="3"/>
  <c r="J13" i="3"/>
  <c r="H13" i="3"/>
  <c r="E13" i="3"/>
  <c r="D13" i="3"/>
  <c r="F13" i="3" s="1"/>
  <c r="G13" i="3" s="1"/>
  <c r="C13" i="3"/>
  <c r="B13" i="3"/>
  <c r="K12" i="3" a="1"/>
  <c r="K12" i="3"/>
  <c r="J12" i="3"/>
  <c r="H12" i="3"/>
  <c r="E12" i="3"/>
  <c r="D12" i="3"/>
  <c r="C12" i="3"/>
  <c r="F12" i="3" s="1"/>
  <c r="G12" i="3" s="1"/>
  <c r="B12" i="3"/>
  <c r="K11" i="3" a="1"/>
  <c r="K11" i="3" s="1"/>
  <c r="J11" i="3"/>
  <c r="H11" i="3"/>
  <c r="E11" i="3"/>
  <c r="D11" i="3"/>
  <c r="C11" i="3"/>
  <c r="F11" i="3" s="1"/>
  <c r="G11" i="3" s="1"/>
  <c r="B11" i="3"/>
  <c r="I11" i="3" s="1"/>
  <c r="K10" i="3" a="1"/>
  <c r="K10" i="3" s="1"/>
  <c r="J10" i="3"/>
  <c r="H10" i="3"/>
  <c r="I10" i="3" s="1"/>
  <c r="E10" i="3"/>
  <c r="D10" i="3"/>
  <c r="C10" i="3"/>
  <c r="F10" i="3" s="1"/>
  <c r="G10" i="3" s="1"/>
  <c r="B10" i="3"/>
  <c r="K9" i="3" a="1"/>
  <c r="K9" i="3"/>
  <c r="J9" i="3"/>
  <c r="H9" i="3"/>
  <c r="G9" i="3"/>
  <c r="E9" i="3"/>
  <c r="D9" i="3"/>
  <c r="C9" i="3"/>
  <c r="F9" i="3" s="1"/>
  <c r="B9" i="3"/>
  <c r="I9" i="3" s="1"/>
  <c r="K8" i="3" a="1"/>
  <c r="K8" i="3"/>
  <c r="J8" i="3"/>
  <c r="H8" i="3"/>
  <c r="F8" i="3"/>
  <c r="G8" i="3" s="1"/>
  <c r="E8" i="3"/>
  <c r="D8" i="3"/>
  <c r="C8" i="3"/>
  <c r="B8" i="3"/>
  <c r="I8" i="3" s="1"/>
  <c r="K7" i="3" a="1"/>
  <c r="K7" i="3"/>
  <c r="J7" i="3"/>
  <c r="H7" i="3"/>
  <c r="E7" i="3"/>
  <c r="D7" i="3"/>
  <c r="F7" i="3" s="1"/>
  <c r="G7" i="3" s="1"/>
  <c r="C7" i="3"/>
  <c r="B7" i="3"/>
  <c r="I7" i="3" s="1"/>
  <c r="K6" i="3" a="1"/>
  <c r="K6" i="3" s="1"/>
  <c r="J6" i="3"/>
  <c r="H6" i="3"/>
  <c r="E6" i="3"/>
  <c r="D6" i="3"/>
  <c r="C6" i="3"/>
  <c r="B6" i="3"/>
  <c r="I6" i="3" s="1"/>
  <c r="K5" i="3" a="1"/>
  <c r="K5" i="3"/>
  <c r="J5" i="3"/>
  <c r="H5" i="3"/>
  <c r="I5" i="3" s="1"/>
  <c r="E5" i="3"/>
  <c r="D5" i="3"/>
  <c r="D16" i="3" s="1"/>
  <c r="C5" i="3"/>
  <c r="B5" i="3"/>
  <c r="K4" i="3" a="1"/>
  <c r="K4" i="3"/>
  <c r="J4" i="3"/>
  <c r="H4" i="3"/>
  <c r="H16" i="3" s="1"/>
  <c r="E4" i="3"/>
  <c r="E16" i="3" s="1"/>
  <c r="D4" i="3"/>
  <c r="C4" i="3"/>
  <c r="F4" i="3" s="1"/>
  <c r="G4" i="3" s="1"/>
  <c r="B4" i="3"/>
  <c r="K3" i="3" a="1"/>
  <c r="K3" i="3"/>
  <c r="J3" i="3"/>
  <c r="H3" i="3"/>
  <c r="E3" i="3"/>
  <c r="D3" i="3"/>
  <c r="C3" i="3"/>
  <c r="F3" i="3" s="1"/>
  <c r="B3" i="3"/>
  <c r="B16" i="3" s="1"/>
  <c r="I16" i="3" s="1"/>
  <c r="I16" i="2"/>
  <c r="G16" i="2" a="1"/>
  <c r="G16" i="2" s="1"/>
  <c r="E16" i="2"/>
  <c r="C16" i="2"/>
  <c r="A16" i="2"/>
  <c r="I11" i="2"/>
  <c r="G11" i="2"/>
  <c r="E11" i="2"/>
  <c r="C11" i="2"/>
  <c r="A11" i="2"/>
  <c r="I6" i="2"/>
  <c r="G6" i="2"/>
  <c r="E6" i="2"/>
  <c r="C6" i="2"/>
  <c r="A6" i="2"/>
  <c r="O38" i="5" l="1"/>
  <c r="O62" i="5"/>
  <c r="Q14" i="5"/>
  <c r="G3" i="3"/>
  <c r="O13" i="5"/>
  <c r="Q13" i="5"/>
  <c r="E14" i="8" a="1"/>
  <c r="E14" i="8" s="1"/>
  <c r="E13" i="8" a="1"/>
  <c r="E13" i="8" s="1"/>
  <c r="E12" i="8" a="1"/>
  <c r="E12" i="8" s="1"/>
  <c r="E11" i="8" a="1"/>
  <c r="E11" i="8" s="1"/>
  <c r="E10" i="8" a="1"/>
  <c r="E10" i="8" s="1"/>
  <c r="E9" i="8" a="1"/>
  <c r="E9" i="8" s="1"/>
  <c r="E8" i="8" a="1"/>
  <c r="E8" i="8" s="1"/>
  <c r="E7" i="8" a="1"/>
  <c r="E7" i="8" s="1"/>
  <c r="D14" i="8" a="1"/>
  <c r="D14" i="8" s="1"/>
  <c r="D13" i="8" a="1"/>
  <c r="D13" i="8" s="1"/>
  <c r="D12" i="8" a="1"/>
  <c r="D12" i="8" s="1"/>
  <c r="D11" i="8" a="1"/>
  <c r="D11" i="8" s="1"/>
  <c r="D10" i="8" a="1"/>
  <c r="D10" i="8" s="1"/>
  <c r="D9" i="8" a="1"/>
  <c r="D9" i="8" s="1"/>
  <c r="D8" i="8" a="1"/>
  <c r="D8" i="8" s="1"/>
  <c r="D7" i="8" a="1"/>
  <c r="D7" i="8" s="1"/>
  <c r="D6" i="8" a="1"/>
  <c r="D6" i="8" s="1"/>
  <c r="D5" i="8" a="1"/>
  <c r="D5" i="8" s="1"/>
  <c r="C14" i="8" a="1"/>
  <c r="C14" i="8" s="1"/>
  <c r="C13" i="8" a="1"/>
  <c r="C13" i="8" s="1"/>
  <c r="C12" i="8" a="1"/>
  <c r="C12" i="8" s="1"/>
  <c r="C11" i="8" a="1"/>
  <c r="C11" i="8" s="1"/>
  <c r="C10" i="8" a="1"/>
  <c r="C10" i="8" s="1"/>
  <c r="C9" i="8" a="1"/>
  <c r="C9" i="8" s="1"/>
  <c r="C8" i="8" a="1"/>
  <c r="C8" i="8" s="1"/>
  <c r="C7" i="8" a="1"/>
  <c r="C7" i="8" s="1"/>
  <c r="C6" i="8" a="1"/>
  <c r="C6" i="8" s="1"/>
  <c r="C5" i="8" a="1"/>
  <c r="C5" i="8" s="1"/>
  <c r="B14" i="8" a="1"/>
  <c r="B14" i="8" s="1"/>
  <c r="B13" i="8" a="1"/>
  <c r="B13" i="8" s="1"/>
  <c r="B12" i="8" a="1"/>
  <c r="B12" i="8" s="1"/>
  <c r="B11" i="8" a="1"/>
  <c r="B11" i="8" s="1"/>
  <c r="B10" i="8" a="1"/>
  <c r="B10" i="8" s="1"/>
  <c r="B9" i="8" a="1"/>
  <c r="B9" i="8" s="1"/>
  <c r="B8" i="8" a="1"/>
  <c r="B8" i="8" s="1"/>
  <c r="B7" i="8" a="1"/>
  <c r="B7" i="8" s="1"/>
  <c r="B6" i="8" a="1"/>
  <c r="B6" i="8" s="1"/>
  <c r="B5" i="8" a="1"/>
  <c r="B5" i="8" s="1"/>
  <c r="O15" i="5"/>
  <c r="Q15" i="5"/>
  <c r="O30" i="5"/>
  <c r="O63" i="5"/>
  <c r="Q63" i="5"/>
  <c r="O70" i="5"/>
  <c r="I13" i="3"/>
  <c r="F5" i="3"/>
  <c r="G5" i="3" s="1"/>
  <c r="N2" i="5"/>
  <c r="K5" i="5"/>
  <c r="O6" i="5"/>
  <c r="Q11" i="5"/>
  <c r="K38" i="5"/>
  <c r="O2" i="5"/>
  <c r="Q12" i="5"/>
  <c r="N12" i="5"/>
  <c r="K12" i="5"/>
  <c r="Q16" i="5"/>
  <c r="Q31" i="5"/>
  <c r="Q39" i="5"/>
  <c r="I49" i="5"/>
  <c r="Q49" i="5" s="1"/>
  <c r="K59" i="5"/>
  <c r="O64" i="5"/>
  <c r="Q69" i="5"/>
  <c r="O69" i="5"/>
  <c r="K69" i="5"/>
  <c r="G3" i="6"/>
  <c r="L17" i="6"/>
  <c r="L33" i="6"/>
  <c r="K33" i="6"/>
  <c r="Q6" i="5"/>
  <c r="K13" i="5"/>
  <c r="Q24" i="5"/>
  <c r="Q32" i="5"/>
  <c r="Q40" i="5"/>
  <c r="Q47" i="5"/>
  <c r="N51" i="5"/>
  <c r="O61" i="5"/>
  <c r="K67" i="5"/>
  <c r="L4" i="6"/>
  <c r="L8" i="6"/>
  <c r="K8" i="6"/>
  <c r="O29" i="5"/>
  <c r="K62" i="5"/>
  <c r="K9" i="6"/>
  <c r="I4" i="3"/>
  <c r="I3" i="3"/>
  <c r="K6" i="5"/>
  <c r="O5" i="5"/>
  <c r="N18" i="5"/>
  <c r="K21" i="5"/>
  <c r="Q28" i="5"/>
  <c r="N28" i="5"/>
  <c r="K28" i="5"/>
  <c r="Q36" i="5"/>
  <c r="N36" i="5"/>
  <c r="K36" i="5"/>
  <c r="Q44" i="5"/>
  <c r="N44" i="5"/>
  <c r="K44" i="5"/>
  <c r="N59" i="5"/>
  <c r="I65" i="5"/>
  <c r="Q65" i="5" s="1"/>
  <c r="L28" i="6"/>
  <c r="K28" i="6"/>
  <c r="Q2" i="5"/>
  <c r="N5" i="5"/>
  <c r="Q20" i="5"/>
  <c r="N20" i="5"/>
  <c r="K20" i="5"/>
  <c r="F6" i="3"/>
  <c r="G6" i="3" s="1"/>
  <c r="I3" i="5"/>
  <c r="Q3" i="5" s="1"/>
  <c r="K8" i="5"/>
  <c r="N26" i="5"/>
  <c r="K29" i="5"/>
  <c r="N34" i="5"/>
  <c r="K37" i="5"/>
  <c r="N42" i="5"/>
  <c r="K45" i="5"/>
  <c r="Q52" i="5"/>
  <c r="N52" i="5"/>
  <c r="K52" i="5"/>
  <c r="N67" i="5"/>
  <c r="G23" i="6"/>
  <c r="L20" i="6"/>
  <c r="K20" i="6"/>
  <c r="O50" i="5"/>
  <c r="Q60" i="5"/>
  <c r="N60" i="5"/>
  <c r="K60" i="5"/>
  <c r="K21" i="6"/>
  <c r="N14" i="5"/>
  <c r="K24" i="5"/>
  <c r="Q26" i="5"/>
  <c r="N29" i="5"/>
  <c r="K32" i="5"/>
  <c r="Q34" i="5"/>
  <c r="N37" i="5"/>
  <c r="K40" i="5"/>
  <c r="Q42" i="5"/>
  <c r="N45" i="5"/>
  <c r="N58" i="5"/>
  <c r="K61" i="5"/>
  <c r="N68" i="5"/>
  <c r="K68" i="5"/>
  <c r="C16" i="3"/>
  <c r="F16" i="3" s="1"/>
  <c r="G16" i="3" s="1"/>
  <c r="D25" i="4"/>
  <c r="K3" i="5"/>
  <c r="K10" i="5"/>
  <c r="I19" i="5"/>
  <c r="Q19" i="5" s="1"/>
  <c r="Q22" i="5"/>
  <c r="N22" i="5"/>
  <c r="O27" i="5"/>
  <c r="Q29" i="5"/>
  <c r="O33" i="5"/>
  <c r="O35" i="5"/>
  <c r="Q37" i="5"/>
  <c r="O41" i="5"/>
  <c r="O43" i="5"/>
  <c r="Q45" i="5"/>
  <c r="K48" i="5"/>
  <c r="Q50" i="5"/>
  <c r="O58" i="5"/>
  <c r="N66" i="5"/>
  <c r="I68" i="5"/>
  <c r="E6" i="8" s="1" a="1"/>
  <c r="E6" i="8" s="1"/>
  <c r="N69" i="5"/>
  <c r="G7" i="6"/>
  <c r="L12" i="6"/>
  <c r="K12" i="6"/>
  <c r="Q30" i="5"/>
  <c r="N30" i="5"/>
  <c r="Q38" i="5"/>
  <c r="N38" i="5"/>
  <c r="Q46" i="5"/>
  <c r="N46" i="5"/>
  <c r="O51" i="5"/>
  <c r="Q70" i="5"/>
  <c r="N70" i="5"/>
  <c r="K11" i="5"/>
  <c r="K18" i="5"/>
  <c r="I51" i="5"/>
  <c r="E5" i="8" s="1" a="1"/>
  <c r="E5" i="8" s="1"/>
  <c r="Q54" i="5"/>
  <c r="N54" i="5"/>
  <c r="K56" i="5"/>
  <c r="Q58" i="5"/>
  <c r="N61" i="5"/>
  <c r="K64" i="5"/>
  <c r="K5" i="6"/>
  <c r="G27" i="6"/>
  <c r="L29" i="6"/>
  <c r="K29" i="6"/>
  <c r="D32" i="4"/>
  <c r="I9" i="5"/>
  <c r="O24" i="5"/>
  <c r="O32" i="5"/>
  <c r="O40" i="5"/>
  <c r="N48" i="5"/>
  <c r="Q62" i="5"/>
  <c r="N62" i="5"/>
  <c r="O67" i="5"/>
  <c r="L24" i="6"/>
  <c r="K24" i="6"/>
  <c r="Q7" i="5"/>
  <c r="N11" i="5"/>
  <c r="O21" i="5"/>
  <c r="O48" i="5"/>
  <c r="I67" i="5"/>
  <c r="Q67" i="5" s="1"/>
  <c r="G19" i="6"/>
  <c r="Q4" i="5"/>
  <c r="N4" i="5"/>
  <c r="K4" i="5"/>
  <c r="Q8" i="5"/>
  <c r="K51" i="5"/>
  <c r="L16" i="6"/>
  <c r="K16" i="6"/>
  <c r="D33" i="4"/>
  <c r="I12" i="3"/>
  <c r="K30" i="5"/>
  <c r="K46" i="5"/>
  <c r="O53" i="5"/>
  <c r="N64" i="5"/>
  <c r="K70" i="5"/>
  <c r="L78" i="6"/>
  <c r="L84" i="6"/>
  <c r="G88" i="6"/>
  <c r="K89" i="6"/>
  <c r="G98" i="6"/>
  <c r="G110" i="6"/>
  <c r="F134" i="6"/>
  <c r="M134" i="6" s="1"/>
  <c r="E134" i="6"/>
  <c r="G134" i="6" s="1"/>
  <c r="K37" i="6"/>
  <c r="K41" i="6"/>
  <c r="K45" i="6"/>
  <c r="K49" i="6"/>
  <c r="K53" i="6"/>
  <c r="K57" i="6"/>
  <c r="K71" i="6"/>
  <c r="D12" i="7"/>
  <c r="F97" i="6"/>
  <c r="M97" i="6" s="1"/>
  <c r="I9" i="8" s="1" a="1"/>
  <c r="I9" i="8" s="1"/>
  <c r="K64" i="6"/>
  <c r="G76" i="6"/>
  <c r="G93" i="6"/>
  <c r="G100" i="6"/>
  <c r="G107" i="6"/>
  <c r="F132" i="6"/>
  <c r="M132" i="6" s="1"/>
  <c r="E132" i="6"/>
  <c r="G132" i="6" s="1"/>
  <c r="K67" i="6"/>
  <c r="K77" i="6"/>
  <c r="G104" i="6"/>
  <c r="K32" i="6"/>
  <c r="K36" i="6"/>
  <c r="K40" i="6"/>
  <c r="K44" i="6"/>
  <c r="K48" i="6"/>
  <c r="K52" i="6"/>
  <c r="K56" i="6"/>
  <c r="K60" i="6"/>
  <c r="K80" i="6"/>
  <c r="D13" i="7"/>
  <c r="E13" i="7" s="1"/>
  <c r="F125" i="6"/>
  <c r="M125" i="6" s="1"/>
  <c r="E125" i="6"/>
  <c r="G125" i="6" s="1"/>
  <c r="F140" i="6"/>
  <c r="M140" i="6" s="1"/>
  <c r="E140" i="6"/>
  <c r="G140" i="6" s="1"/>
  <c r="G97" i="6"/>
  <c r="G123" i="6"/>
  <c r="G133" i="6"/>
  <c r="G106" i="6"/>
  <c r="F117" i="6"/>
  <c r="M117" i="6" s="1"/>
  <c r="E117" i="6"/>
  <c r="G117" i="6" s="1"/>
  <c r="E12" i="7"/>
  <c r="G99" i="6"/>
  <c r="G101" i="6"/>
  <c r="F122" i="6"/>
  <c r="M122" i="6" s="1"/>
  <c r="E122" i="6"/>
  <c r="G122" i="6" s="1"/>
  <c r="F135" i="6"/>
  <c r="M135" i="6" s="1"/>
  <c r="E135" i="6"/>
  <c r="G135" i="6" s="1"/>
  <c r="K82" i="6"/>
  <c r="K90" i="6"/>
  <c r="G113" i="6"/>
  <c r="G120" i="6"/>
  <c r="F131" i="6"/>
  <c r="M131" i="6" s="1"/>
  <c r="E131" i="6"/>
  <c r="G131" i="6" s="1"/>
  <c r="F133" i="6"/>
  <c r="M133" i="6" s="1"/>
  <c r="E133" i="6"/>
  <c r="G80" i="6"/>
  <c r="G96" i="6"/>
  <c r="F129" i="6"/>
  <c r="M129" i="6" s="1"/>
  <c r="E129" i="6"/>
  <c r="G129" i="6" s="1"/>
  <c r="G115" i="6"/>
  <c r="F144" i="6"/>
  <c r="M144" i="6" s="1"/>
  <c r="E144" i="6"/>
  <c r="G144" i="6" s="1"/>
  <c r="K151" i="6"/>
  <c r="C27" i="7" a="1"/>
  <c r="C27" i="7" s="1"/>
  <c r="C22" i="7" a="1"/>
  <c r="C22" i="7" s="1"/>
  <c r="B28" i="7"/>
  <c r="B23" i="7"/>
  <c r="B18" i="7"/>
  <c r="C28" i="7" a="1"/>
  <c r="C28" i="7" s="1"/>
  <c r="C23" i="7" a="1"/>
  <c r="C23" i="7" s="1"/>
  <c r="B29" i="7"/>
  <c r="C18" i="7" a="1"/>
  <c r="C18" i="7" s="1"/>
  <c r="B24" i="7"/>
  <c r="B19" i="7"/>
  <c r="C29" i="7" a="1"/>
  <c r="C29" i="7" s="1"/>
  <c r="C24" i="7" a="1"/>
  <c r="C24" i="7" s="1"/>
  <c r="B30" i="7"/>
  <c r="C19" i="7" a="1"/>
  <c r="C19" i="7" s="1"/>
  <c r="B25" i="7"/>
  <c r="C30" i="7" a="1"/>
  <c r="C30" i="7" s="1"/>
  <c r="C20" i="7" a="1"/>
  <c r="C20" i="7" s="1"/>
  <c r="B26" i="7"/>
  <c r="K140" i="6"/>
  <c r="K144" i="6"/>
  <c r="K148" i="6"/>
  <c r="K152" i="6"/>
  <c r="B21" i="7"/>
  <c r="C26" i="7" a="1"/>
  <c r="C26" i="7" s="1"/>
  <c r="C21" i="7" a="1"/>
  <c r="C21" i="7" s="1"/>
  <c r="J8" i="8" l="1" a="1"/>
  <c r="J8" i="8" s="1"/>
  <c r="K14" i="8" a="1"/>
  <c r="K14" i="8" s="1"/>
  <c r="I10" i="8" a="1"/>
  <c r="I10" i="8" s="1"/>
  <c r="J9" i="8" a="1"/>
  <c r="J9" i="8" s="1"/>
  <c r="H5" i="8" a="1"/>
  <c r="H5" i="8" s="1"/>
  <c r="I11" i="8" a="1"/>
  <c r="I11" i="8" s="1"/>
  <c r="J10" i="8" a="1"/>
  <c r="J10" i="8" s="1"/>
  <c r="H6" i="8" a="1"/>
  <c r="H6" i="8" s="1"/>
  <c r="I12" i="8" a="1"/>
  <c r="I12" i="8" s="1"/>
  <c r="O9" i="5"/>
  <c r="Q9" i="5"/>
  <c r="J11" i="8" a="1"/>
  <c r="J11" i="8" s="1"/>
  <c r="H7" i="8" a="1"/>
  <c r="H7" i="8" s="1"/>
  <c r="I13" i="8" a="1"/>
  <c r="I13" i="8" s="1"/>
  <c r="G45" i="7" a="1"/>
  <c r="G45" i="7" s="1"/>
  <c r="C44" i="7" a="1"/>
  <c r="C44" i="7" s="1"/>
  <c r="I42" i="7" a="1"/>
  <c r="I42" i="7" s="1"/>
  <c r="G41" i="7" a="1"/>
  <c r="G41" i="7" s="1"/>
  <c r="C40" i="7" a="1"/>
  <c r="C40" i="7" s="1"/>
  <c r="I38" i="7" a="1"/>
  <c r="I38" i="7" s="1"/>
  <c r="G37" i="7" a="1"/>
  <c r="G37" i="7" s="1"/>
  <c r="C36" i="7" a="1"/>
  <c r="C36" i="7" s="1"/>
  <c r="D45" i="7" a="1"/>
  <c r="D45" i="7" s="1"/>
  <c r="B44" i="7" a="1"/>
  <c r="B44" i="7" s="1"/>
  <c r="H42" i="7" a="1"/>
  <c r="H42" i="7" s="1"/>
  <c r="D41" i="7" a="1"/>
  <c r="D41" i="7" s="1"/>
  <c r="B40" i="7" a="1"/>
  <c r="B40" i="7" s="1"/>
  <c r="H38" i="7" a="1"/>
  <c r="H38" i="7" s="1"/>
  <c r="D37" i="7" a="1"/>
  <c r="D37" i="7" s="1"/>
  <c r="B36" i="7" a="1"/>
  <c r="B36" i="7" s="1"/>
  <c r="C45" i="7" a="1"/>
  <c r="C45" i="7" s="1"/>
  <c r="I43" i="7" a="1"/>
  <c r="I43" i="7" s="1"/>
  <c r="G42" i="7" a="1"/>
  <c r="G42" i="7" s="1"/>
  <c r="C41" i="7" a="1"/>
  <c r="C41" i="7" s="1"/>
  <c r="I39" i="7" a="1"/>
  <c r="I39" i="7" s="1"/>
  <c r="G38" i="7" a="1"/>
  <c r="G38" i="7" s="1"/>
  <c r="C37" i="7" a="1"/>
  <c r="C37" i="7" s="1"/>
  <c r="B45" i="7" a="1"/>
  <c r="B45" i="7" s="1"/>
  <c r="H43" i="7" a="1"/>
  <c r="H43" i="7" s="1"/>
  <c r="D42" i="7" a="1"/>
  <c r="D42" i="7" s="1"/>
  <c r="B41" i="7" a="1"/>
  <c r="B41" i="7" s="1"/>
  <c r="H39" i="7" a="1"/>
  <c r="H39" i="7" s="1"/>
  <c r="D38" i="7" a="1"/>
  <c r="D38" i="7" s="1"/>
  <c r="B37" i="7" a="1"/>
  <c r="B37" i="7" s="1"/>
  <c r="I44" i="7" a="1"/>
  <c r="I44" i="7" s="1"/>
  <c r="G43" i="7" a="1"/>
  <c r="G43" i="7" s="1"/>
  <c r="C42" i="7" a="1"/>
  <c r="C42" i="7" s="1"/>
  <c r="I40" i="7" a="1"/>
  <c r="I40" i="7" s="1"/>
  <c r="G39" i="7" a="1"/>
  <c r="G39" i="7" s="1"/>
  <c r="C38" i="7" a="1"/>
  <c r="C38" i="7" s="1"/>
  <c r="I36" i="7" a="1"/>
  <c r="I36" i="7" s="1"/>
  <c r="H44" i="7" a="1"/>
  <c r="H44" i="7" s="1"/>
  <c r="D43" i="7" a="1"/>
  <c r="D43" i="7" s="1"/>
  <c r="B42" i="7" a="1"/>
  <c r="B42" i="7" s="1"/>
  <c r="H40" i="7" a="1"/>
  <c r="H40" i="7" s="1"/>
  <c r="D39" i="7" a="1"/>
  <c r="D39" i="7" s="1"/>
  <c r="B38" i="7" a="1"/>
  <c r="B38" i="7" s="1"/>
  <c r="H36" i="7" a="1"/>
  <c r="H36" i="7" s="1"/>
  <c r="I45" i="7" a="1"/>
  <c r="I45" i="7" s="1"/>
  <c r="G44" i="7" a="1"/>
  <c r="G44" i="7" s="1"/>
  <c r="C43" i="7" a="1"/>
  <c r="C43" i="7" s="1"/>
  <c r="I41" i="7" a="1"/>
  <c r="I41" i="7" s="1"/>
  <c r="G40" i="7" a="1"/>
  <c r="G40" i="7" s="1"/>
  <c r="C39" i="7" a="1"/>
  <c r="C39" i="7" s="1"/>
  <c r="I37" i="7" a="1"/>
  <c r="I37" i="7" s="1"/>
  <c r="G36" i="7" a="1"/>
  <c r="G36" i="7" s="1"/>
  <c r="H45" i="7" a="1"/>
  <c r="H45" i="7" s="1"/>
  <c r="D44" i="7" a="1"/>
  <c r="D44" i="7" s="1"/>
  <c r="B43" i="7" a="1"/>
  <c r="B43" i="7" s="1"/>
  <c r="H41" i="7" a="1"/>
  <c r="H41" i="7" s="1"/>
  <c r="D40" i="7" a="1"/>
  <c r="D40" i="7" s="1"/>
  <c r="B39" i="7" a="1"/>
  <c r="B39" i="7" s="1"/>
  <c r="H37" i="7" a="1"/>
  <c r="H37" i="7" s="1"/>
  <c r="D36" i="7" a="1"/>
  <c r="D36" i="7" s="1"/>
  <c r="J12" i="8" a="1"/>
  <c r="J12" i="8" s="1"/>
  <c r="H8" i="8" a="1"/>
  <c r="H8" i="8" s="1"/>
  <c r="I14" i="8" a="1"/>
  <c r="I14" i="8" s="1"/>
  <c r="O68" i="5"/>
  <c r="Q51" i="5"/>
  <c r="C26" i="8" s="1" a="1"/>
  <c r="C26" i="8" s="1"/>
  <c r="Q68" i="5"/>
  <c r="D19" i="8" s="1" a="1"/>
  <c r="D19" i="8" s="1"/>
  <c r="J13" i="8" a="1"/>
  <c r="J13" i="8" s="1"/>
  <c r="H9" i="8" a="1"/>
  <c r="H9" i="8" s="1"/>
  <c r="J14" i="8" a="1"/>
  <c r="J14" i="8" s="1"/>
  <c r="H10" i="8" a="1"/>
  <c r="H10" i="8" s="1"/>
  <c r="K5" i="8" a="1"/>
  <c r="K5" i="8" s="1"/>
  <c r="H11" i="8" a="1"/>
  <c r="H11" i="8" s="1"/>
  <c r="K6" i="8" a="1"/>
  <c r="K6" i="8" s="1"/>
  <c r="H12" i="8" a="1"/>
  <c r="H12" i="8" s="1"/>
  <c r="H20" i="8" a="1"/>
  <c r="H20" i="8" s="1"/>
  <c r="K7" i="8" a="1"/>
  <c r="K7" i="8" s="1"/>
  <c r="H13" i="8" a="1"/>
  <c r="H13" i="8" s="1"/>
  <c r="I20" i="8"/>
  <c r="K8" i="8" a="1"/>
  <c r="K8" i="8" s="1"/>
  <c r="H14" i="8" a="1"/>
  <c r="H14" i="8" s="1"/>
  <c r="H19" i="8" a="1"/>
  <c r="H19" i="8" s="1"/>
  <c r="K9" i="8" a="1"/>
  <c r="K9" i="8" s="1"/>
  <c r="I5" i="8" a="1"/>
  <c r="I5" i="8" s="1"/>
  <c r="I19" i="8"/>
  <c r="K10" i="8" a="1"/>
  <c r="K10" i="8" s="1"/>
  <c r="I6" i="8" a="1"/>
  <c r="I6" i="8" s="1"/>
  <c r="J5" i="8" a="1"/>
  <c r="J5" i="8" s="1"/>
  <c r="K11" i="8" a="1"/>
  <c r="K11" i="8" s="1"/>
  <c r="I7" i="8" a="1"/>
  <c r="I7" i="8" s="1"/>
  <c r="J6" i="8" a="1"/>
  <c r="J6" i="8" s="1"/>
  <c r="K12" i="8" a="1"/>
  <c r="K12" i="8" s="1"/>
  <c r="I8" i="8" a="1"/>
  <c r="I8" i="8" s="1"/>
  <c r="J7" i="8" a="1"/>
  <c r="J7" i="8" s="1"/>
  <c r="K13" i="8" a="1"/>
  <c r="K13" i="8" s="1"/>
  <c r="B24" i="8" l="1" a="1"/>
  <c r="B24" i="8" s="1"/>
  <c r="D26" i="8" a="1"/>
  <c r="D26" i="8" s="1"/>
  <c r="B23" i="8" a="1"/>
  <c r="B23" i="8" s="1"/>
  <c r="C24" i="8" a="1"/>
  <c r="C24" i="8" s="1"/>
  <c r="D25" i="8" a="1"/>
  <c r="D25" i="8" s="1"/>
  <c r="B27" i="8" a="1"/>
  <c r="B27" i="8" s="1"/>
  <c r="D22" i="8" a="1"/>
  <c r="D22" i="8" s="1"/>
  <c r="C28" i="8" a="1"/>
  <c r="C28" i="8" s="1"/>
  <c r="B22" i="8" a="1"/>
  <c r="B22" i="8" s="1"/>
  <c r="B19" i="8" a="1"/>
  <c r="B19" i="8" s="1"/>
  <c r="D24" i="8" a="1"/>
  <c r="D24" i="8" s="1"/>
  <c r="D20" i="8" a="1"/>
  <c r="D20" i="8" s="1"/>
  <c r="B26" i="8" a="1"/>
  <c r="B26" i="8" s="1"/>
  <c r="B20" i="8" a="1"/>
  <c r="B20" i="8" s="1"/>
  <c r="C25" i="8" a="1"/>
  <c r="C25" i="8" s="1"/>
  <c r="B28" i="8" a="1"/>
  <c r="B28" i="8" s="1"/>
  <c r="C27" i="8" a="1"/>
  <c r="C27" i="8" s="1"/>
  <c r="C21" i="8" a="1"/>
  <c r="C21" i="8" s="1"/>
  <c r="D21" i="8" a="1"/>
  <c r="D21" i="8" s="1"/>
  <c r="D28" i="8" a="1"/>
  <c r="D28" i="8" s="1"/>
  <c r="C22" i="8" a="1"/>
  <c r="C22" i="8" s="1"/>
  <c r="C19" i="8" a="1"/>
  <c r="C19" i="8" s="1"/>
  <c r="B25" i="8" a="1"/>
  <c r="B25" i="8" s="1"/>
  <c r="C23" i="8" a="1"/>
  <c r="C23" i="8" s="1"/>
  <c r="B21" i="8" a="1"/>
  <c r="B21" i="8" s="1"/>
  <c r="D27" i="8" a="1"/>
  <c r="D27" i="8" s="1"/>
  <c r="D23" i="8" a="1"/>
  <c r="D23" i="8" s="1"/>
  <c r="C20" i="8" a="1"/>
  <c r="C20" i="8" s="1"/>
</calcChain>
</file>

<file path=xl/sharedStrings.xml><?xml version="1.0" encoding="utf-8"?>
<sst xmlns="http://schemas.openxmlformats.org/spreadsheetml/2006/main" count="67250" uniqueCount="11396">
  <si>
    <t>Fresh Thyme YTD SLA Reporting Package — Methodology &amp; QA Notes</t>
  </si>
  <si>
    <t>Scope &amp; Source</t>
  </si>
  <si>
    <t>•  Source file: Fresh_Thyme_Year_to_Date_08_01_2025.xlsx — one sheet, 569 ticket records, 227 source columns, covering closed dates Aug 1, 2025 through Aug 11, 2026.</t>
  </si>
  <si>
    <t>•  This is NCR field-service ticket data for Meijer Inc. (Account Name), reported under the Fresh Thyme banner (69 store locations across 10 states). Service Request Type is predominantly 'MNT' (maintenance, 414 tickets) and 'CHGC' (149 tickets), with 6 'CHGF'.</t>
  </si>
  <si>
    <t>•  01_RAW_DATA is a verbatim, unedited copy of the source for audit and reconciliation. All analysis is built on 02_CLEAN_DATA, a derived layer that never modifies the original values.</t>
  </si>
  <si>
    <t>SLA Methodology — the core logic</t>
  </si>
  <si>
    <t>•  This dataset carries two SLA layers for ticket resolution: a raw/gross determination made at ticket close, and a mitigation-adjusted determination applied afterward through a vendor exception-review process. Both are preserved and reported separately, as requested.</t>
  </si>
  <si>
    <t>•  RAW SLA: uses 'Service Level Agreement Resolve Met Indicator' (source column DZ) — the ticket-level pass/fail against its Resolve Limit Duration, before any mitigation review. Reported on 08_RESOLUTION_ANALYSIS and as a comparison figure; overall raw attainment among SLA-eligible tickets is 342/435 = 78.6%.</t>
  </si>
  <si>
    <t>•  SLA ELIGIBILITY / OPPORTUNITY: uses 'Service Level Agreement Resolve Opportunity Indicator' (source column EB) exactly as instructed. EB = 1 means the ticket counts toward the SLA population after mitigation review (435 of 569 tickets); EB = 0 means it is excluded from the opportunity population entirely (134 tickets) — this happens both for tickets that are structurally out of SLA scope and for tickets where an approved mitigation removed them from consideration.</t>
  </si>
  <si>
    <t>•  FINAL / ADJUSTED SLA MET (what this report calls 'Adjusted / Opportunity SLA'): for every ticket where Opportunity = 1, we take the 'Mitigated Service Level Agreement Resolve Met Indicator' (source column CE) when it has been populated (i.e., a mitigation was fully processed — 'Mitigated Indicator' = 2), and fall back to the 'Service Level Agreement Resolve Met Net Indicator' (source column EA) when no mitigation outcome was recorded for that ticket. This is computed as a live formula in 02_CLEAN_DATA column V ('Final SLA Met') and labeled in column W ('Final SLA Result': Met / Missed / Not Eligible).</t>
  </si>
  <si>
    <t>•  This logic was validated by grouping the full dataset on every combination of Mitigated Indicator, Mitigation Reason, the four SLA indicator fields (DZ/EA/EB/CE), Reviewed Indicator, Exclude flag and ticket status — 16 distinct combinations covering all 569 rows — and confirming the Final SLA Met formula reproduces a fully reconciled 337 Met / 98 Missed / 134 Not Eligible split (337+98+134 = 569).</t>
  </si>
  <si>
    <t>•  YTD Adjusted/Opportunity SLA % = 337 ÷ 435 = 77.5%. This is the headline SLA metric used on the dashboard and throughout the PowerPoint.</t>
  </si>
  <si>
    <t>Exceptions / Mitigations — Column CJ</t>
  </si>
  <si>
    <t>•  Column CJ ('Mitigation Reason Description') carries exactly one non-blank value across the dataset: 'Customer Contracted Reasons' (353 of 569 tickets, 62%). The remaining 216 tickets carry no mitigation reason.</t>
  </si>
  <si>
    <t>•  IMPORTANT FINDING: exception usage is not stable across the year. From Aug-Dec 2025, 'Customer Contracted Reasons' was applied to roughly 10-20% of tickets per month (3 to 11 tickets). Starting Jan 2026, it was applied to effectively 100% of tickets every single month through Jul 2026. This exactly coincides with the first appearance of fully-processed mitigations (Mitigated Indicator = 2, which populates the CE outcome field) — zero tickets had Mitigated Indicator = 2 before Jan 2026, and 225 do from Jan 2026 onward. This is reported factually as an association in the data, not asserted as a cause; it is flagged as the top item for vendor governance discussion in Key Findings (09_ADVANCED_INSIGHTS).</t>
  </si>
  <si>
    <t>•  Despite the sharp rise in exception tagging, the net effect on the final Met/Missed rate is modest — most tickets that already met SLA raw remained 'Met' after mitigation review, and most that missed remained 'Missed'. The larger effect of the mitigation process is on the SLA-eligible denominator itself (which tickets are counted at all), not on flipping outcomes within it. See 05_EXCEPTIONS_MITIGATIONS for the full breakdown, and note the careful language used throughout — 'associated with' rather than 'caused by'.</t>
  </si>
  <si>
    <t>Data-Quality Issues Identified</t>
  </si>
  <si>
    <t>•  'Resolve Duration (Hours)' (source column F/DS) is mislabeled: it is actually recorded in MINUTES. Verified across all 568 non-null tickets, this field is exactly 60.0x 'Total Time To Resolve Duration (Hours)' (source column EO) in every case but three (60.1-60.2x, rounding). This report uses 'Total Time To Resolve Duration (Hours)', correctly scaled, throughout — relabeled 'Resolution Time (Hrs)' in 02_CLEAN_DATA.</t>
  </si>
  <si>
    <t>•  One technician code (US133E76) is associated with two different names in the source data ('Rigney Nathanial' and 'Hollington Richard', likely a reassigned code or shared login). All analysis groups technicians by code and displays the more frequently occurring name for that code; this is flagged here rather than silently resolved.</t>
  </si>
  <si>
    <t>•  No explicit contracted SLA target percentage exists anywhere in the source workbook (no comment, named range, or notes field). Per instruction not to invent business logic, this report does not assume a figure (e.g. the common 90% field-service benchmark). Instead, 04_SLA_TREND!B1 and 03_EXECUTIVE_DASHBOARD provide a clearly marked input cell — enter your actual contracted target there to activate variance-to-target formulas workbook-wide. Color reference bands (&gt;=90% / 80-90% / &lt;80%) are used for visual scanning only and are explicitly labeled as reference, not a contractual figure.</t>
  </si>
  <si>
    <t>•  Duplicate check: no duplicate Service Request Numbers found (0 of 569). 'Instance Identifier' is a single constant value across every row (this appears to be a workbook/extract batch ID, not a per-ticket key) and was not used for any calculation.</t>
  </si>
  <si>
    <t>•  1 ticket remains 'open' and 7 are in various 'canceled' statuses as of the extract date; these are included in Total Tickets but handled per their own Opportunity Indicator value for SLA counting, consistent with the rest of the population.</t>
  </si>
  <si>
    <t>Population Definitions Used Throughout</t>
  </si>
  <si>
    <t>•  Total Tickets: all 569 rows in the source extract.</t>
  </si>
  <si>
    <t>•  SLA Eligible: Opportunity Indicator (EB) = 1 (435 tickets).</t>
  </si>
  <si>
    <t>•  SLA Met / Missed: Final SLA Met = 1 / 0, evaluated only within the SLA-eligible population.</t>
  </si>
  <si>
    <t>•  Technician and store minimum-ticket threshold: 5+ SLA-relevant tickets, used for ranked comparisons ('Meets Min Threshold' flag in 07_TECHNICIAN_ANALYSIS). Entities below the threshold are shown in full data tables but excluded from ranked 'top/bottom performer' lists to avoid over-interpreting small samples.</t>
  </si>
  <si>
    <t>•  'High-volume' store threshold for the below-target hotspot list: 10+ total tickets.</t>
  </si>
  <si>
    <t>QA / Reconciliation Performed</t>
  </si>
  <si>
    <t>•  Total tickets (569) reconciles across 01_RAW_DATA, 02_CLEAN_DATA, and the Executive Dashboard KPI.</t>
  </si>
  <si>
    <t>•  SLA Met (337) + SLA Missed (98) + Not Eligible (134) = 569 — verified via 02_CLEAN_DATA column W tally.</t>
  </si>
  <si>
    <t>•  Sum of monthly SLA-eligible counts (04_SLA_TREND) = 435 = the workbook-wide SLA Eligible KPI.</t>
  </si>
  <si>
    <t>•  Sum of monthly SLA Met counts = 337 = the workbook-wide SLA Met KPI.</t>
  </si>
  <si>
    <t>•  Store-level and technician-level ticket counts each sum to 569 across their respective tabs.</t>
  </si>
  <si>
    <t>•  Full workbook recalculated with zero formula errors (N/A, VALUE, REF, NAME, DIV-by-zero types) at every build stage prior to delivery.</t>
  </si>
  <si>
    <t>•  All PowerPoint figures are pulled from this recalculated workbook — no independently recomputed numbers.</t>
  </si>
  <si>
    <t>FRESH THYME — YTD OPERATIONS / SLA PERFORMANCE REPORT</t>
  </si>
  <si>
    <t>Field Service SLA Analysis  |  Period: Aug 2025 – Aug 2026  |  Vendor: NCR  |  Account: Meijer Inc. (Fresh Thyme banner)</t>
  </si>
  <si>
    <t>TOTAL TICKETS</t>
  </si>
  <si>
    <t>CLOSED TICKETS</t>
  </si>
  <si>
    <t>OPEN TICKETS</t>
  </si>
  <si>
    <t>CANCELED TICKETS</t>
  </si>
  <si>
    <t>SLA ELIGIBLE TICKETS</t>
  </si>
  <si>
    <t>SLA MET</t>
  </si>
  <si>
    <t>SLA MISSED</t>
  </si>
  <si>
    <t>YTD SLA % (ADJUSTED)</t>
  </si>
  <si>
    <t>SLA TARGET (INPUT)</t>
  </si>
  <si>
    <t>VARIANCE TO TARGET (PP)</t>
  </si>
  <si>
    <t>EXCEPTIONS (CCR)</t>
  </si>
  <si>
    <t>EXCEPTION RATE</t>
  </si>
  <si>
    <t>AVG RESOLUTION TIME (HRS)</t>
  </si>
  <si>
    <t>MEDIAN RESOLUTION (HRS)</t>
  </si>
  <si>
    <t>EXCLUDED FROM OPPORTUNITY</t>
  </si>
  <si>
    <t xml:space="preserve">Color reference bands used throughout this workbook: </t>
  </si>
  <si>
    <t xml:space="preserve">  ≥ 90% SLA  </t>
  </si>
  <si>
    <t xml:space="preserve">  80–90% SLA  </t>
  </si>
  <si>
    <t xml:space="preserve">  &lt; 80% SLA  </t>
  </si>
  <si>
    <t>These are common field-service reporting bands, not a Fresh Thyme/Meijer contracted figure — no target % is present in the source data. Enter an actual contracted target in the SLA Target card above (linked to 04_SLA_TREND!B1) to activate variance-to-target reporting workbook-wide.</t>
  </si>
  <si>
    <t>YTD Monthly SLA % Trend (Adjusted / Opportunity Basis)</t>
  </si>
  <si>
    <t>Ticket Mix</t>
  </si>
  <si>
    <t>Methodology: SLA % = Final SLA Met ÷ SLA Eligible tickets (Service Level Agreement Resolve Opportunity Indicator = 1), where Final SLA Met uses the Mitigated SLA Resolve Met Indicator when a mitigation has been fully processed, otherwise the Net SLA Resolve Met Indicator. Full methodology, data-quality notes and assumptions are documented in 00_README_METHODOLOGY.</t>
  </si>
  <si>
    <t>Contracted SLA Target %</t>
  </si>
  <si>
    <t>&lt;&lt; Input cell: enter Fresh Thyme / Meijer's contracted SLA target here (e.g. 0.90) to activate variance-to-target reporting. No target % is present in the source workbook, so it is intentionally left blank rather than assumed.</t>
  </si>
  <si>
    <t>Month</t>
  </si>
  <si>
    <t>Total Tickets</t>
  </si>
  <si>
    <t>SLA Eligible</t>
  </si>
  <si>
    <t>SLA Met</t>
  </si>
  <si>
    <t>SLA Missed</t>
  </si>
  <si>
    <t>SLA %</t>
  </si>
  <si>
    <t>Variance to Target (pp)</t>
  </si>
  <si>
    <t>Exceptions (CCR)</t>
  </si>
  <si>
    <t>Exception Rate</t>
  </si>
  <si>
    <t>Avg Resolution (Hrs)</t>
  </si>
  <si>
    <t>Median Resolution (Hrs)</t>
  </si>
  <si>
    <t>2025-08</t>
  </si>
  <si>
    <t>2025-09</t>
  </si>
  <si>
    <t>2025-10</t>
  </si>
  <si>
    <t>2025-11</t>
  </si>
  <si>
    <t>2025-12</t>
  </si>
  <si>
    <t>2026-01</t>
  </si>
  <si>
    <t>2026-02</t>
  </si>
  <si>
    <t>2026-03</t>
  </si>
  <si>
    <t>2026-04</t>
  </si>
  <si>
    <t>2026-05</t>
  </si>
  <si>
    <t>2026-06</t>
  </si>
  <si>
    <t>2026-07</t>
  </si>
  <si>
    <t>2026-08</t>
  </si>
  <si>
    <t>YTD TOTAL</t>
  </si>
  <si>
    <t>SLA % = Final SLA Met ÷ SLA Eligible tickets for the month (Adjusted / Opportunity basis — see 00_README). Enter a contracted target in B1 to populate the variance column and the reference elsewhere in this workbook. Monthly ticket totals sum to 568 of 569 YTD tickets — the one open (unclosed) ticket has no Closed Date and is therefore not bucketed into any month; it is still counted in the workbook-wide Total Tickets KPI.</t>
  </si>
  <si>
    <t>Exception / Mitigation Analysis — Column CJ (Mitigation Reason Description)</t>
  </si>
  <si>
    <t>Overall Distribution (All Tickets)</t>
  </si>
  <si>
    <t>Category</t>
  </si>
  <si>
    <t>Ticket Count</t>
  </si>
  <si>
    <t>% of All Tickets</t>
  </si>
  <si>
    <t>Customer Contracted Reasons</t>
  </si>
  <si>
    <t>No Exception</t>
  </si>
  <si>
    <t>TOTAL</t>
  </si>
  <si>
    <t>SLA Performance: Exception-Tagged vs No-Exception Tickets (SLA-Eligible Population Only)</t>
  </si>
  <si>
    <t>Interpretation note: this compares outcomes for tickets carrying a 'Customer Contracted Reasons' mitigation against tickets with none. It shows association, not causation — a mitigation reason describes why a ticket was reviewed for adjustment, not a guarantee that it changed the SLA outcome. See 00_README for exact logic.</t>
  </si>
  <si>
    <t>Monthly Exception Trend</t>
  </si>
  <si>
    <t>Key observation: the 'Customer Contracted Reasons' exception rate rose sharply starting January 2026 — from roughly 10-20% of monthly tickets in Aug-Dec 2025 to effectively 100% of tickets every month from Jan 2026 through Jul 2026. This coincides with the Mitigated Indicator field showing fully-processed mitigations (value 2) appearing for the first time in Jan 2026 (0 occurrences before). This is a material change in how exceptions are being applied and is recommended for review with the service vendor.</t>
  </si>
  <si>
    <t>Store #</t>
  </si>
  <si>
    <t>Store Name</t>
  </si>
  <si>
    <t>City</t>
  </si>
  <si>
    <t>State</t>
  </si>
  <si>
    <t>Rank Key (Avg Res, 5+ tickets)</t>
  </si>
  <si>
    <t>Rank Key (SLA %, 5+ tickets)</t>
  </si>
  <si>
    <t>Rank Key (Missed Count)</t>
  </si>
  <si>
    <t>Rank Key (Below-Target, 10+ tickets)</t>
  </si>
  <si>
    <t>Fresh Thyme #448</t>
  </si>
  <si>
    <t>St. Louis</t>
  </si>
  <si>
    <t>MO</t>
  </si>
  <si>
    <t>Fresh Thyme #491</t>
  </si>
  <si>
    <t>Kirkwood</t>
  </si>
  <si>
    <t>Fresh Thyme #492</t>
  </si>
  <si>
    <t>Ballwin</t>
  </si>
  <si>
    <t>Fresh Thyme #493</t>
  </si>
  <si>
    <t>O Fallon</t>
  </si>
  <si>
    <t>Fresh Thyme #494</t>
  </si>
  <si>
    <t>Saint Louis</t>
  </si>
  <si>
    <t>Fresh Thyme #495</t>
  </si>
  <si>
    <t>Saint Peters</t>
  </si>
  <si>
    <t>Fresh Thyme #496</t>
  </si>
  <si>
    <t>Bridgeville</t>
  </si>
  <si>
    <t>PA</t>
  </si>
  <si>
    <t>Fresh Thyme #497</t>
  </si>
  <si>
    <t>Pleasant Hills</t>
  </si>
  <si>
    <t>Fresh Thyme #498</t>
  </si>
  <si>
    <t>Cranberry Township</t>
  </si>
  <si>
    <t>Fresh Thyme #499</t>
  </si>
  <si>
    <t>Newport</t>
  </si>
  <si>
    <t>KY</t>
  </si>
  <si>
    <t>Fresh Thyme #522</t>
  </si>
  <si>
    <t>Indianapolis</t>
  </si>
  <si>
    <t>IN</t>
  </si>
  <si>
    <t>Fresh Thyme #523</t>
  </si>
  <si>
    <t>Lafayette</t>
  </si>
  <si>
    <t>Fresh Thyme #524</t>
  </si>
  <si>
    <t>Fort Wayne</t>
  </si>
  <si>
    <t>Fresh Thyme #525</t>
  </si>
  <si>
    <t>Fresh Thyme #526</t>
  </si>
  <si>
    <t>Fresh Thyme #527</t>
  </si>
  <si>
    <t>Fishers</t>
  </si>
  <si>
    <t>Fresh Thyme #528</t>
  </si>
  <si>
    <t>Carmel</t>
  </si>
  <si>
    <t>Fresh Thyme #529</t>
  </si>
  <si>
    <t>Fresh Thyme #530</t>
  </si>
  <si>
    <t>Bloomington</t>
  </si>
  <si>
    <t>Fresh Thyme #532</t>
  </si>
  <si>
    <t>Fresh Thyme #533</t>
  </si>
  <si>
    <t>Terre Haute</t>
  </si>
  <si>
    <t>Fresh Thyme #534</t>
  </si>
  <si>
    <t>Evansville</t>
  </si>
  <si>
    <t>Fresh Thyme #535</t>
  </si>
  <si>
    <t>Muncie</t>
  </si>
  <si>
    <t>Fresh Thyme #536</t>
  </si>
  <si>
    <t>Fresh Thyme #537</t>
  </si>
  <si>
    <t>West Lafayette</t>
  </si>
  <si>
    <t>Fresh Thyme #541</t>
  </si>
  <si>
    <t>MN</t>
  </si>
  <si>
    <t>Fresh Thyme #542</t>
  </si>
  <si>
    <t>Apple Valley</t>
  </si>
  <si>
    <t>Fresh Thyme #543</t>
  </si>
  <si>
    <t>St Louis Park</t>
  </si>
  <si>
    <t>Fresh Thyme #544</t>
  </si>
  <si>
    <t>Savage</t>
  </si>
  <si>
    <t>Fresh Thyme #545</t>
  </si>
  <si>
    <t>Vadnais Heights</t>
  </si>
  <si>
    <t>Fresh Thyme #546</t>
  </si>
  <si>
    <t>Plymouth</t>
  </si>
  <si>
    <t>Fresh Thyme #561</t>
  </si>
  <si>
    <t>Minneapolis</t>
  </si>
  <si>
    <t>Fresh Thyme #562</t>
  </si>
  <si>
    <t>Waite Park</t>
  </si>
  <si>
    <t>Fresh Thyme #563</t>
  </si>
  <si>
    <t>Rochester</t>
  </si>
  <si>
    <t>Fresh Thyme #606</t>
  </si>
  <si>
    <t>Grand Rapids</t>
  </si>
  <si>
    <t>MI</t>
  </si>
  <si>
    <t>Fresh Thyme #631</t>
  </si>
  <si>
    <t>Fairview Heights</t>
  </si>
  <si>
    <t>IL</t>
  </si>
  <si>
    <t>Fresh Thyme #632</t>
  </si>
  <si>
    <t>Downers Grove</t>
  </si>
  <si>
    <t>Fresh Thyme #633</t>
  </si>
  <si>
    <t>Naperville</t>
  </si>
  <si>
    <t>Fresh Thyme #634</t>
  </si>
  <si>
    <t>Joliet</t>
  </si>
  <si>
    <t>Fresh Thyme #635</t>
  </si>
  <si>
    <t>Chicago</t>
  </si>
  <si>
    <t>Fresh Thyme #636</t>
  </si>
  <si>
    <t>River Forest</t>
  </si>
  <si>
    <t>Fresh Thyme #637</t>
  </si>
  <si>
    <t>Crystal Lake</t>
  </si>
  <si>
    <t>Fresh Thyme #638</t>
  </si>
  <si>
    <t>Fresh Thyme #639</t>
  </si>
  <si>
    <t>Geneva</t>
  </si>
  <si>
    <t>Fresh Thyme #640</t>
  </si>
  <si>
    <t>East Lansing</t>
  </si>
  <si>
    <t>Fresh Thyme #642</t>
  </si>
  <si>
    <t>Northville</t>
  </si>
  <si>
    <t>Fresh Thyme #643</t>
  </si>
  <si>
    <t>Troy</t>
  </si>
  <si>
    <t>Fresh Thyme #644</t>
  </si>
  <si>
    <t>Rochester Hills</t>
  </si>
  <si>
    <t>Fresh Thyme #645</t>
  </si>
  <si>
    <t>Farmington</t>
  </si>
  <si>
    <t>Fresh Thyme #647</t>
  </si>
  <si>
    <t>Portage</t>
  </si>
  <si>
    <t>Fresh Thyme #648</t>
  </si>
  <si>
    <t>Ypsilanti</t>
  </si>
  <si>
    <t>Fresh Thyme #649</t>
  </si>
  <si>
    <t>Canton</t>
  </si>
  <si>
    <t>Fresh Thyme #701</t>
  </si>
  <si>
    <t>Milwaukee</t>
  </si>
  <si>
    <t>WI</t>
  </si>
  <si>
    <t>Fresh Thyme #707</t>
  </si>
  <si>
    <t>Brookfield</t>
  </si>
  <si>
    <t>Fresh Thyme #708</t>
  </si>
  <si>
    <t>Kenosha</t>
  </si>
  <si>
    <t>Fresh Thyme #710</t>
  </si>
  <si>
    <t>Greenfield</t>
  </si>
  <si>
    <t>Fresh Thyme #715</t>
  </si>
  <si>
    <t>Ashwaubenon</t>
  </si>
  <si>
    <t>Fresh Thyme #919</t>
  </si>
  <si>
    <t>Columbus</t>
  </si>
  <si>
    <t>OH</t>
  </si>
  <si>
    <t>Fresh Thyme #920</t>
  </si>
  <si>
    <t>Beavercreek</t>
  </si>
  <si>
    <t>Fresh Thyme #921</t>
  </si>
  <si>
    <t>Cincinnati</t>
  </si>
  <si>
    <t>Fresh Thyme #923</t>
  </si>
  <si>
    <t>Worthington</t>
  </si>
  <si>
    <t>Fresh Thyme #925</t>
  </si>
  <si>
    <t>Mayfield Heights</t>
  </si>
  <si>
    <t>Fresh Thyme #926</t>
  </si>
  <si>
    <t>Fresh Thyme #927</t>
  </si>
  <si>
    <t>Gahanna</t>
  </si>
  <si>
    <t>Fresh Thyme #928</t>
  </si>
  <si>
    <t>Westlake</t>
  </si>
  <si>
    <t>Fresh Thyme #929</t>
  </si>
  <si>
    <t>Toledo</t>
  </si>
  <si>
    <t>Fresh Thyme #931</t>
  </si>
  <si>
    <t>North Canton</t>
  </si>
  <si>
    <t>Fresh Thyme #962</t>
  </si>
  <si>
    <t>West Des Moines</t>
  </si>
  <si>
    <t>IA</t>
  </si>
  <si>
    <t>Fresh Thyme #968</t>
  </si>
  <si>
    <t>Davenport</t>
  </si>
  <si>
    <t>Note: SLA % shown only for stores with SLA-eligible tickets (Opportunity Indicator = 1). Stores with very low ticket volume (&lt;5) should be interpreted with caution — see 00_README. Columns N-Q are internal ranking helper columns used by 08_RESOLUTION_ANALYSIS and 09_ADVANCED_INSIGHTS; hidden from view.</t>
  </si>
  <si>
    <t>Tech Code</t>
  </si>
  <si>
    <t>Technician</t>
  </si>
  <si>
    <t>Meets Min Threshold (5+)</t>
  </si>
  <si>
    <t>US153R72</t>
  </si>
  <si>
    <t>Carlson Paul</t>
  </si>
  <si>
    <t>US153C07</t>
  </si>
  <si>
    <t>August Ronald</t>
  </si>
  <si>
    <t>US153N64</t>
  </si>
  <si>
    <t>Patton Alfred</t>
  </si>
  <si>
    <t>US133E77</t>
  </si>
  <si>
    <t>Ehret Alexander</t>
  </si>
  <si>
    <t>US153N63</t>
  </si>
  <si>
    <t>Vaughn Travis</t>
  </si>
  <si>
    <t>US133E79</t>
  </si>
  <si>
    <t>Qi Chuan</t>
  </si>
  <si>
    <t>US133C72</t>
  </si>
  <si>
    <t>McDonald Noah</t>
  </si>
  <si>
    <t>US133U12</t>
  </si>
  <si>
    <t>Rassam Zaid</t>
  </si>
  <si>
    <t>US133A17</t>
  </si>
  <si>
    <t>Blain Simon</t>
  </si>
  <si>
    <t>US153C10</t>
  </si>
  <si>
    <t>Droste Michael</t>
  </si>
  <si>
    <t>US153N60</t>
  </si>
  <si>
    <t>Welton Kira</t>
  </si>
  <si>
    <t>US133C52</t>
  </si>
  <si>
    <t>Bullock Todd</t>
  </si>
  <si>
    <t>US133C75</t>
  </si>
  <si>
    <t>Brannon Marquis</t>
  </si>
  <si>
    <t>US133E72</t>
  </si>
  <si>
    <t>McAtee Megan</t>
  </si>
  <si>
    <t>US133U14</t>
  </si>
  <si>
    <t>Al-Azawy Mustafa</t>
  </si>
  <si>
    <t>US133U34</t>
  </si>
  <si>
    <t>Browall Chris</t>
  </si>
  <si>
    <t>US153R73</t>
  </si>
  <si>
    <t>Bush David</t>
  </si>
  <si>
    <t>US133U32</t>
  </si>
  <si>
    <t>Anderson John</t>
  </si>
  <si>
    <t>US153N62</t>
  </si>
  <si>
    <t>Schindler Nathan</t>
  </si>
  <si>
    <t>US133B47</t>
  </si>
  <si>
    <t>Willea Brandon</t>
  </si>
  <si>
    <t>US133E62</t>
  </si>
  <si>
    <t>Berkey Scott</t>
  </si>
  <si>
    <t>US133E71</t>
  </si>
  <si>
    <t>May Nicholas</t>
  </si>
  <si>
    <t>US133U01</t>
  </si>
  <si>
    <t>Piazzi Gail</t>
  </si>
  <si>
    <t>US153C41</t>
  </si>
  <si>
    <t>Wolff Travis</t>
  </si>
  <si>
    <t>US153N79</t>
  </si>
  <si>
    <t>Schnur Blake</t>
  </si>
  <si>
    <t>US153R70</t>
  </si>
  <si>
    <t>Ogunnowo Olufemi</t>
  </si>
  <si>
    <t>US153R81</t>
  </si>
  <si>
    <t>Larson Warren</t>
  </si>
  <si>
    <t>US133E73</t>
  </si>
  <si>
    <t>Brown Jordan</t>
  </si>
  <si>
    <t>US133E76</t>
  </si>
  <si>
    <t>Rigney Nathanial</t>
  </si>
  <si>
    <t>UNASSIGNED</t>
  </si>
  <si>
    <t>Unassigned</t>
  </si>
  <si>
    <t>US133C71</t>
  </si>
  <si>
    <t>Horan Robert</t>
  </si>
  <si>
    <t>US133C87</t>
  </si>
  <si>
    <t>Grismer Bill</t>
  </si>
  <si>
    <t>US133E74</t>
  </si>
  <si>
    <t>Tonnous Justin</t>
  </si>
  <si>
    <t>US133U38</t>
  </si>
  <si>
    <t>Richie Mark</t>
  </si>
  <si>
    <t>US153C09</t>
  </si>
  <si>
    <t>Carbajal Pedro</t>
  </si>
  <si>
    <t>US153R04</t>
  </si>
  <si>
    <t>Kelly James</t>
  </si>
  <si>
    <t>US153R19</t>
  </si>
  <si>
    <t>US153R78</t>
  </si>
  <si>
    <t>Bertsch Steven</t>
  </si>
  <si>
    <t>US133B31</t>
  </si>
  <si>
    <t>Ripley Abegayle</t>
  </si>
  <si>
    <t>US133B43</t>
  </si>
  <si>
    <t>Poley Gavin</t>
  </si>
  <si>
    <t>US133B48</t>
  </si>
  <si>
    <t>Reagan Cordell</t>
  </si>
  <si>
    <t>US133C17</t>
  </si>
  <si>
    <t>Mumaw Jayden</t>
  </si>
  <si>
    <t>US133C36</t>
  </si>
  <si>
    <t>Small Ben</t>
  </si>
  <si>
    <t>US133C42</t>
  </si>
  <si>
    <t>Kramer Alec</t>
  </si>
  <si>
    <t>US133E70</t>
  </si>
  <si>
    <t>Isaac Hany</t>
  </si>
  <si>
    <t>US133E75</t>
  </si>
  <si>
    <t>Cannon Thomas</t>
  </si>
  <si>
    <t>US133E80</t>
  </si>
  <si>
    <t>Galloway Joel</t>
  </si>
  <si>
    <t>US133U13</t>
  </si>
  <si>
    <t>AL-Azawi Haitham</t>
  </si>
  <si>
    <t>US133U36</t>
  </si>
  <si>
    <t>Dzierzanowski Tom</t>
  </si>
  <si>
    <t>US153C18</t>
  </si>
  <si>
    <t>Debowski Pawel</t>
  </si>
  <si>
    <t>US153C19</t>
  </si>
  <si>
    <t>Quintana Steven</t>
  </si>
  <si>
    <t>US153C45</t>
  </si>
  <si>
    <t>Bolde Thomas</t>
  </si>
  <si>
    <t>US153C54</t>
  </si>
  <si>
    <t>US153N66</t>
  </si>
  <si>
    <t>Coghill John</t>
  </si>
  <si>
    <t>US153R25</t>
  </si>
  <si>
    <t>US153R54</t>
  </si>
  <si>
    <t>Daugherty Nicholas</t>
  </si>
  <si>
    <t>US153R62</t>
  </si>
  <si>
    <t>US133A18</t>
  </si>
  <si>
    <t>Sutara Robert</t>
  </si>
  <si>
    <t>US133B35</t>
  </si>
  <si>
    <t>Tait Laura</t>
  </si>
  <si>
    <t>US133C27</t>
  </si>
  <si>
    <t>Rupert Bradley</t>
  </si>
  <si>
    <t>US133C55</t>
  </si>
  <si>
    <t>Hatfield David</t>
  </si>
  <si>
    <t>US133C73</t>
  </si>
  <si>
    <t>Puleo Dominic</t>
  </si>
  <si>
    <t>US133C81</t>
  </si>
  <si>
    <t>Downing Keviyon</t>
  </si>
  <si>
    <t>US133E44</t>
  </si>
  <si>
    <t>Ownby Ryan</t>
  </si>
  <si>
    <t>US153C08</t>
  </si>
  <si>
    <t>Davila Damian</t>
  </si>
  <si>
    <t>US153C12</t>
  </si>
  <si>
    <t>Gooden Jamell</t>
  </si>
  <si>
    <t>US153C13</t>
  </si>
  <si>
    <t>O'Connor Bill</t>
  </si>
  <si>
    <t>US153C15</t>
  </si>
  <si>
    <t>Lopez Marcos</t>
  </si>
  <si>
    <t>US153C21</t>
  </si>
  <si>
    <t>Thames Perry</t>
  </si>
  <si>
    <t>US153C27</t>
  </si>
  <si>
    <t>Reed Austin</t>
  </si>
  <si>
    <t>US153R02</t>
  </si>
  <si>
    <t>Schulz Aaron</t>
  </si>
  <si>
    <t>US153R03</t>
  </si>
  <si>
    <t>Carawan Earl</t>
  </si>
  <si>
    <t>US153R42</t>
  </si>
  <si>
    <t>Van Lengen Don</t>
  </si>
  <si>
    <t>US153R77</t>
  </si>
  <si>
    <t>Smith Ben</t>
  </si>
  <si>
    <t>US153R79</t>
  </si>
  <si>
    <t>Begley Adam</t>
  </si>
  <si>
    <t>US153R80</t>
  </si>
  <si>
    <t>Nelson Tony</t>
  </si>
  <si>
    <t>US133A15</t>
  </si>
  <si>
    <t>Burgess Roxanne</t>
  </si>
  <si>
    <t>US133B33</t>
  </si>
  <si>
    <t>Follett Andrew</t>
  </si>
  <si>
    <t>US133B45</t>
  </si>
  <si>
    <t>Fitch Trevor</t>
  </si>
  <si>
    <t>US133B52</t>
  </si>
  <si>
    <t>Shell Caleb</t>
  </si>
  <si>
    <t>US133B55</t>
  </si>
  <si>
    <t>Lenardson Joshua</t>
  </si>
  <si>
    <t>US133C28</t>
  </si>
  <si>
    <t>Ali Cadnaan</t>
  </si>
  <si>
    <t>US133C48</t>
  </si>
  <si>
    <t>Workman Truman</t>
  </si>
  <si>
    <t>US133C57</t>
  </si>
  <si>
    <t>Blaker Andrew</t>
  </si>
  <si>
    <t>US133C84</t>
  </si>
  <si>
    <t>Nichols Ty</t>
  </si>
  <si>
    <t>US133C93</t>
  </si>
  <si>
    <t>Stafford Tyler</t>
  </si>
  <si>
    <t>US133E63</t>
  </si>
  <si>
    <t>Hunnicutt Eric</t>
  </si>
  <si>
    <t>US133U10</t>
  </si>
  <si>
    <t>Staszak Jessica</t>
  </si>
  <si>
    <t>US133U31</t>
  </si>
  <si>
    <t>OBrien Daryl</t>
  </si>
  <si>
    <t>US153C01</t>
  </si>
  <si>
    <t>Martinez Jonathan</t>
  </si>
  <si>
    <t>US153C14</t>
  </si>
  <si>
    <t>Birchfield Jeffrey</t>
  </si>
  <si>
    <t>US153C17</t>
  </si>
  <si>
    <t>Agboola Stephen Oluyomi</t>
  </si>
  <si>
    <t>US153C28</t>
  </si>
  <si>
    <t>Arrington Timothy</t>
  </si>
  <si>
    <t>US153N40</t>
  </si>
  <si>
    <t>Larsen Patrick</t>
  </si>
  <si>
    <t>US153N45</t>
  </si>
  <si>
    <t>Dunning Terrence</t>
  </si>
  <si>
    <t>US153N74</t>
  </si>
  <si>
    <t>Johnson Brock</t>
  </si>
  <si>
    <t>US153N75</t>
  </si>
  <si>
    <t>Kreke Anthony</t>
  </si>
  <si>
    <t>US153N76</t>
  </si>
  <si>
    <t>Ling Daniel</t>
  </si>
  <si>
    <t>US153R01</t>
  </si>
  <si>
    <t>Farrington Katrel</t>
  </si>
  <si>
    <t>US153R07</t>
  </si>
  <si>
    <t>Splashlight Miguel</t>
  </si>
  <si>
    <t>US153R10</t>
  </si>
  <si>
    <t>James Ire</t>
  </si>
  <si>
    <t>US153R27</t>
  </si>
  <si>
    <t>US153R56</t>
  </si>
  <si>
    <t>Hanna Jeff</t>
  </si>
  <si>
    <t>US153R58</t>
  </si>
  <si>
    <t>Brewer Caleb</t>
  </si>
  <si>
    <t>US153R71</t>
  </si>
  <si>
    <t>Burns Aaron</t>
  </si>
  <si>
    <t>US133A12</t>
  </si>
  <si>
    <t>Brookins Casey</t>
  </si>
  <si>
    <t>US133A16</t>
  </si>
  <si>
    <t>Witt Stephen</t>
  </si>
  <si>
    <t>US133B36</t>
  </si>
  <si>
    <t>Crane Travis</t>
  </si>
  <si>
    <t>US133B46</t>
  </si>
  <si>
    <t>Elliott David</t>
  </si>
  <si>
    <t>US133B54</t>
  </si>
  <si>
    <t>Dishman Saundra</t>
  </si>
  <si>
    <t>US133C19</t>
  </si>
  <si>
    <t>Nichols Ryan</t>
  </si>
  <si>
    <t>US133C20</t>
  </si>
  <si>
    <t>Robinson Bobby</t>
  </si>
  <si>
    <t>US133C22</t>
  </si>
  <si>
    <t>Ooten Dakota</t>
  </si>
  <si>
    <t>US133C23</t>
  </si>
  <si>
    <t>Trimner Grennan</t>
  </si>
  <si>
    <t>US133C24</t>
  </si>
  <si>
    <t>Fafiade Stephen</t>
  </si>
  <si>
    <t>US133C29</t>
  </si>
  <si>
    <t>Dornbusch Roy</t>
  </si>
  <si>
    <t>US133C33</t>
  </si>
  <si>
    <t>Weber Martin</t>
  </si>
  <si>
    <t>US133C50</t>
  </si>
  <si>
    <t>Alexander Michael</t>
  </si>
  <si>
    <t>US133C90</t>
  </si>
  <si>
    <t>Hovanec Marc</t>
  </si>
  <si>
    <t>US133E40</t>
  </si>
  <si>
    <t>Williams Timothy</t>
  </si>
  <si>
    <t>US133E41</t>
  </si>
  <si>
    <t>Ball Greg</t>
  </si>
  <si>
    <t>US133E43</t>
  </si>
  <si>
    <t>Schepers Tony</t>
  </si>
  <si>
    <t>US133E78</t>
  </si>
  <si>
    <t>Williams Brian</t>
  </si>
  <si>
    <t>US133U04</t>
  </si>
  <si>
    <t>Lambro Nicholas</t>
  </si>
  <si>
    <t>US133U22</t>
  </si>
  <si>
    <t>Jahlas Tim</t>
  </si>
  <si>
    <t>US133U35</t>
  </si>
  <si>
    <t>Hineman Donald</t>
  </si>
  <si>
    <t>US153C02</t>
  </si>
  <si>
    <t>Shapiro Brian</t>
  </si>
  <si>
    <t>US153C03</t>
  </si>
  <si>
    <t>Messing Christopher</t>
  </si>
  <si>
    <t>US153C04</t>
  </si>
  <si>
    <t>Arndt Jason</t>
  </si>
  <si>
    <t>US153C06</t>
  </si>
  <si>
    <t>Moon Jack</t>
  </si>
  <si>
    <t>US153C16</t>
  </si>
  <si>
    <t>Carrico Matt</t>
  </si>
  <si>
    <t>US153C52</t>
  </si>
  <si>
    <t>US153C53</t>
  </si>
  <si>
    <t>US153N46</t>
  </si>
  <si>
    <t>Lamie Tyler</t>
  </si>
  <si>
    <t>US153N78</t>
  </si>
  <si>
    <t>Gibson Elijah</t>
  </si>
  <si>
    <t>US153N91</t>
  </si>
  <si>
    <t>Miller Michael</t>
  </si>
  <si>
    <t>US153R11</t>
  </si>
  <si>
    <t>Ojulu Akodhi</t>
  </si>
  <si>
    <t>US153R20</t>
  </si>
  <si>
    <t>US153R21</t>
  </si>
  <si>
    <t>US153R24</t>
  </si>
  <si>
    <t>US153R32</t>
  </si>
  <si>
    <t>US153R36</t>
  </si>
  <si>
    <t>Green Jason</t>
  </si>
  <si>
    <t>US153R40</t>
  </si>
  <si>
    <t>Edwards Daniel</t>
  </si>
  <si>
    <t>US153R46</t>
  </si>
  <si>
    <t>US153R47</t>
  </si>
  <si>
    <t>Fredericksen Jonathon</t>
  </si>
  <si>
    <t>US153R51</t>
  </si>
  <si>
    <t>US153R55</t>
  </si>
  <si>
    <t>Dow Troy</t>
  </si>
  <si>
    <t>US153R61</t>
  </si>
  <si>
    <t>US153R74</t>
  </si>
  <si>
    <t>Ryan Angela</t>
  </si>
  <si>
    <t>US153R76</t>
  </si>
  <si>
    <t>Petersen Jonathan</t>
  </si>
  <si>
    <t>US153R84</t>
  </si>
  <si>
    <t>Ford Ethan</t>
  </si>
  <si>
    <t>Note: Minimum-ticket threshold of 5 SLA-relevant tickets is used to identify technicians with statistically meaningful performance differences (Column K). Technicians below threshold are listed for completeness but excluded from ranked comparisons in the PowerPoint and Advanced Insights tab.</t>
  </si>
  <si>
    <t>Resolution Time Analysis</t>
  </si>
  <si>
    <t>Overall (All Closed Tickets)</t>
  </si>
  <si>
    <t>Average Resolution Time (Hrs)</t>
  </si>
  <si>
    <t>Median Resolution Time (Hrs)</t>
  </si>
  <si>
    <t>Minimum (Hrs)</t>
  </si>
  <si>
    <t>90th Percentile (Hrs)</t>
  </si>
  <si>
    <t>Maximum (Hrs)</t>
  </si>
  <si>
    <t>By Severity</t>
  </si>
  <si>
    <t>Severity</t>
  </si>
  <si>
    <t>Tickets</t>
  </si>
  <si>
    <t>Severity 1</t>
  </si>
  <si>
    <t>Severity 2</t>
  </si>
  <si>
    <t>By Month</t>
  </si>
  <si>
    <t>Slowest Stores (Avg Resolution, min. 5 tickets)</t>
  </si>
  <si>
    <t>Fastest Stores (Avg Resolution, min. 5 tickets)</t>
  </si>
  <si>
    <t>Rank</t>
  </si>
  <si>
    <t>Store</t>
  </si>
  <si>
    <t>Note: 'Resolve Duration (Hours)' in the raw source is mislabeled — it is recorded in minutes (verified: exactly 60x 'Total Time To Resolve Duration (Hours)' for every ticket). This report uses the correctly-scaled hours field throughout. See 00_README.</t>
  </si>
  <si>
    <t>Advanced Management Analysis — Operational Hotspots &amp; Priorities</t>
  </si>
  <si>
    <t>Top 10 Stores Contributing Most SLA Misses</t>
  </si>
  <si>
    <t>Top 10 Technicians Contributing Most SLA Misses</t>
  </si>
  <si>
    <t>High-Volume Stores Below 80% SLA (10+ tickets, worst first)</t>
  </si>
  <si>
    <t>Monthly SLA Performance — Extremes</t>
  </si>
  <si>
    <t>Strongest</t>
  </si>
  <si>
    <t>Weakest</t>
  </si>
  <si>
    <t>Key Management Findings</t>
  </si>
  <si>
    <t>1. YTD Adjusted/Opportunity SLA performance is 77.5% (337 of 435 SLA-eligible tickets met), against a raw gross rate of 78.6% for the same eligible population — the mitigation review process has a small net effect on final Met/Missed outcomes; its larger effect is on which tickets are counted at all (134 of 569 tickets, 23.5%, are excluded from the SLA opportunity population).</t>
  </si>
  <si>
    <t>2. Exception usage changed sharply starting January 2026: 'Customer Contracted Reasons' mitigations, tagged on roughly 10-20% of tickets Aug-Dec 2025, appear on effectively 100% of tickets every month from Jan 2026 through Jul 2026. This coincides with fully-processed mitigations (Mitigated Indicator = 2) appearing in the data for the first time in Jan 2026. Recommend a governance review with the service vendor on how mitigations are being applied.</t>
  </si>
  <si>
    <t>3. November 2025 (39.3% SLA) and June 2026 (60.0% SLA) are the weakest months YTD; February-April 2026 and August 2026 are the strongest, at or near 100%.</t>
  </si>
  <si>
    <t>4. See the ranked lists above for the specific stores and technicians contributing the largest number of SLA misses, and the high-volume stores currently running below an 80% SLA rate — these represent the highest-leverage targets for operational follow-up.</t>
  </si>
  <si>
    <t>5. Severity 1 (higher-priority) tickets resolve faster on average (~20 hrs) than Severity 2 tickets (~32 hrs), as expected, with comparable SLA attainment (~78%) across both — see 08_RESOLUTION_ANALYSIS.</t>
  </si>
  <si>
    <t>6. Data-quality note: the source 'Resolve Duration (Hours)' field is mislabeled and stored in minutes; this report uses the correctly-scaled duration field throughout. See 00_README for the full methodology and additional data-quality notes.</t>
  </si>
  <si>
    <t>Ticket ID</t>
  </si>
  <si>
    <t>Store Number</t>
  </si>
  <si>
    <t>Technician Name</t>
  </si>
  <si>
    <t>Technician Code</t>
  </si>
  <si>
    <t>Request Type</t>
  </si>
  <si>
    <t>Entered Date</t>
  </si>
  <si>
    <t>Closed Date</t>
  </si>
  <si>
    <t>Closed Month</t>
  </si>
  <si>
    <t>Status</t>
  </si>
  <si>
    <t>Resolve Limit (Hrs)</t>
  </si>
  <si>
    <t>Resolution Time (Hrs)</t>
  </si>
  <si>
    <t>Raw SLA Met</t>
  </si>
  <si>
    <t>Raw SLA Met (Net)</t>
  </si>
  <si>
    <t>SLA Eligible (Opportunity)</t>
  </si>
  <si>
    <t>Exception Category</t>
  </si>
  <si>
    <t>Mitigated Indicator</t>
  </si>
  <si>
    <t>Mitigated SLA Met</t>
  </si>
  <si>
    <t>Final SLA Met</t>
  </si>
  <si>
    <t>Final SLA Result</t>
  </si>
  <si>
    <t>Analysis layer derived from 01_RAW_DATA. Columns L, V, W are live formulas. 'Final SLA Met' = Mitigated SLA Resolve Met Indicator when populated (mitigation fully processed), else the Net SLA Resolve Met Indicator — evaluated only for tickets flagged SLA Eligible (Opportunity=1). See 00_README for full methodology.</t>
  </si>
  <si>
    <t>CHGC</t>
  </si>
  <si>
    <t>closed</t>
  </si>
  <si>
    <t>MNT</t>
  </si>
  <si>
    <t>canceled as duplicate</t>
  </si>
  <si>
    <t>canceled by ncr</t>
  </si>
  <si>
    <t>CHGF</t>
  </si>
  <si>
    <t>canceled by customer</t>
  </si>
  <si>
    <t>open</t>
  </si>
  <si>
    <t>Instance Identifier</t>
  </si>
  <si>
    <t>Service Request Number</t>
  </si>
  <si>
    <t>Area of Failure Code</t>
  </si>
  <si>
    <t>Area of Failure Description</t>
  </si>
  <si>
    <t>Area Name</t>
  </si>
  <si>
    <t>Service Request Arrival to Closure Duration (Hours)</t>
  </si>
  <si>
    <t>As Of Date Time (LTZ)</t>
  </si>
  <si>
    <t>As Of Date Time (UTC)</t>
  </si>
  <si>
    <t>Service Request Assign to Dispatch Duration (Hours)</t>
  </si>
  <si>
    <t>Best Fit PID Identifier</t>
  </si>
  <si>
    <t>Best Fit PID Description</t>
  </si>
  <si>
    <t>Best Fit Item Instance Number</t>
  </si>
  <si>
    <t>Best Fit Serial Number</t>
  </si>
  <si>
    <t>Branch Code</t>
  </si>
  <si>
    <t>Caller Name</t>
  </si>
  <si>
    <t>Failure Cause Description</t>
  </si>
  <si>
    <t>Failure Cause Code</t>
  </si>
  <si>
    <t>Customer Engineer Arrival Date Time (LTZ)</t>
  </si>
  <si>
    <t>Customer Engineer Arrival Date Time (UTC)</t>
  </si>
  <si>
    <t>Customer Engineer Global Identifier</t>
  </si>
  <si>
    <t>Cash in Transit Supplier Code</t>
  </si>
  <si>
    <t>Account Site City Name</t>
  </si>
  <si>
    <t>Service Request Closed Date</t>
  </si>
  <si>
    <t>Service Request Closed Date Time (LTZ)</t>
  </si>
  <si>
    <t>Service Request Closed Date Time (UTC)</t>
  </si>
  <si>
    <t>Service Request Comment Text</t>
  </si>
  <si>
    <t>Contractor Indicator</t>
  </si>
  <si>
    <t>Account Site Country Code</t>
  </si>
  <si>
    <t>Account Site Country Name</t>
  </si>
  <si>
    <t>PID Service Coverage Code</t>
  </si>
  <si>
    <t>PID Service Coverage Name</t>
  </si>
  <si>
    <t>Service Coverage Indicator</t>
  </si>
  <si>
    <t>Current NAICS Code</t>
  </si>
  <si>
    <t>Current NAICS Description</t>
  </si>
  <si>
    <t>Account Industry Code</t>
  </si>
  <si>
    <t>Account Industry Name</t>
  </si>
  <si>
    <t>Customer Engineer Code</t>
  </si>
  <si>
    <t>Customer Engineer Quicklook Identifier</t>
  </si>
  <si>
    <t>Account Site Name</t>
  </si>
  <si>
    <t>Account Name</t>
  </si>
  <si>
    <t>Account Number</t>
  </si>
  <si>
    <t>Account Site Store Number</t>
  </si>
  <si>
    <t>Cash Deposit Module Name</t>
  </si>
  <si>
    <t>Service Request Dispatch to Arrival Duration (Hours)</t>
  </si>
  <si>
    <t>Cash Dispenser Module Name</t>
  </si>
  <si>
    <t>Entered By System Code</t>
  </si>
  <si>
    <t>Entered Date Time (LTZ)</t>
  </si>
  <si>
    <t>Entered Date Time (UTC)</t>
  </si>
  <si>
    <t>Environmental Code</t>
  </si>
  <si>
    <t>Environmental Code Description</t>
  </si>
  <si>
    <t>Source System Code</t>
  </si>
  <si>
    <t>Field Customer Engineer Code</t>
  </si>
  <si>
    <t>Field Customer Engineer Name</t>
  </si>
  <si>
    <t>Fill From Emergency Stocking Location Indicator</t>
  </si>
  <si>
    <t>Fill From Non Emergency Stocking Location Indicator</t>
  </si>
  <si>
    <t>Fill From Personal Parts Kit Indicatior</t>
  </si>
  <si>
    <t>Final Serial Number</t>
  </si>
  <si>
    <t>First Operation Elapsed Duration (Hours)</t>
  </si>
  <si>
    <t xml:space="preserve"> Next Business Day Applied Indicator</t>
  </si>
  <si>
    <t>Next Business Day Date Time (LTZ)</t>
  </si>
  <si>
    <t>Next Business Day Resolve Applied Indicator</t>
  </si>
  <si>
    <t>Next Business Day Resolve Date Time (LTZ)</t>
  </si>
  <si>
    <t>Customer Engineer Onsite Indicator</t>
  </si>
  <si>
    <t>Service Activity Code Labor Indicator</t>
  </si>
  <si>
    <t>Hand Held Device Indicator</t>
  </si>
  <si>
    <t>Original Service Request Type Code</t>
  </si>
  <si>
    <t>Item Instance Number</t>
  </si>
  <si>
    <t>Last Updated Date Time (UTC)</t>
  </si>
  <si>
    <t>Account Site Latitude Number</t>
  </si>
  <si>
    <t>Account Site Number</t>
  </si>
  <si>
    <t>Account Site Longitude Number</t>
  </si>
  <si>
    <t>Mitigated Date Time (UTC)</t>
  </si>
  <si>
    <t>Mitigated Model Code</t>
  </si>
  <si>
    <t>Mitigated PID Class Code</t>
  </si>
  <si>
    <t>Mitigated PID Identifier</t>
  </si>
  <si>
    <t>Mitigated Resolve Limit Duration (Minutes)</t>
  </si>
  <si>
    <t>Mitigated Resolve Set Indicator</t>
  </si>
  <si>
    <t>Mitigated Resolve Duration (Minutes)</t>
  </si>
  <si>
    <t>Mitigated Response Limit Duration (Minutes)</t>
  </si>
  <si>
    <t>Mitigated Response Set Indicator</t>
  </si>
  <si>
    <t>Mitigated Response Duration (Minutes)</t>
  </si>
  <si>
    <t>Mitigated Service Level Agreement Resolve Met Indicator</t>
  </si>
  <si>
    <t>Mitigated Service Level Agreement Response Met Indicator</t>
  </si>
  <si>
    <t>Mitigated Global Service Request Type Code</t>
  </si>
  <si>
    <t>Mitigated Sub Model Code</t>
  </si>
  <si>
    <t>Mitigation Reason Code</t>
  </si>
  <si>
    <t>Mitigation Reason Description</t>
  </si>
  <si>
    <t>Mitigation Sub Category Level 1 Code</t>
  </si>
  <si>
    <t>Mitigation Sub Category Level 2 Code</t>
  </si>
  <si>
    <t>PID Model Code</t>
  </si>
  <si>
    <t>Not Scanned Reason Name</t>
  </si>
  <si>
    <t>PID Class Code</t>
  </si>
  <si>
    <t>Onsite Labor Duration (Hours)</t>
  </si>
  <si>
    <t>Onsite Repair Duration (Hours)</t>
  </si>
  <si>
    <t>Travel To Duration (Hours)</t>
  </si>
  <si>
    <t>Open to Assign Duration (Hours)</t>
  </si>
  <si>
    <t>Service Request Ordered Date Time (UTC)</t>
  </si>
  <si>
    <t>Service Request Ordered Date Time (LTZ)</t>
  </si>
  <si>
    <t>Original PID Identifier</t>
  </si>
  <si>
    <t>Original PID Description</t>
  </si>
  <si>
    <t>Original Serial Number</t>
  </si>
  <si>
    <t>Parts Ordered Indicator</t>
  </si>
  <si>
    <t>Parts Used Indicator</t>
  </si>
  <si>
    <t>PID Unformatted Identifier</t>
  </si>
  <si>
    <t>Equipment Placement Location Name</t>
  </si>
  <si>
    <t>Account Site Postal Code</t>
  </si>
  <si>
    <t>Principal Period of Maintenance Duration (Hours)</t>
  </si>
  <si>
    <t>Predictive Code</t>
  </si>
  <si>
    <t>Problem Code</t>
  </si>
  <si>
    <t>Product Family Name</t>
  </si>
  <si>
    <t>Product Industry Name</t>
  </si>
  <si>
    <t>PID Identifier</t>
  </si>
  <si>
    <t>Product Reference Code</t>
  </si>
  <si>
    <t>Mitigation Quicklook Idenifier</t>
  </si>
  <si>
    <t>Region Name</t>
  </si>
  <si>
    <t>Remote Activity Only Indicator</t>
  </si>
  <si>
    <t>Remote Labor Duration (Hours)</t>
  </si>
  <si>
    <t>Repair Code</t>
  </si>
  <si>
    <t>Repair Description</t>
  </si>
  <si>
    <t>Resolve Limit Duration (Hours)</t>
  </si>
  <si>
    <t>Resolve Net Duration (Hours)</t>
  </si>
  <si>
    <t>Resolve Duration (Hours)</t>
  </si>
  <si>
    <t>Elapsed Response Duration (Hours)</t>
  </si>
  <si>
    <t>Response Limit Duration (Hours)</t>
  </si>
  <si>
    <t>Reviewed Indicator</t>
  </si>
  <si>
    <t>Reporting Service Request Severity Code</t>
  </si>
  <si>
    <t>Reporting Service Request Type Code</t>
  </si>
  <si>
    <t>Serial Number</t>
  </si>
  <si>
    <t>Service Level Agreement Resolve Met Indicator</t>
  </si>
  <si>
    <t>Service Level Agreement Resolve Met Net Indicator</t>
  </si>
  <si>
    <t>Service Level Agreement Resolve Opportunity Indicator</t>
  </si>
  <si>
    <t>Service Level Agreement Response Met Indicator</t>
  </si>
  <si>
    <t>Service Level Agreement Response Met Net Indicator</t>
  </si>
  <si>
    <t>Service Level Agreement Response Opportunity Indicator</t>
  </si>
  <si>
    <t>Serial Number Update Method Name</t>
  </si>
  <si>
    <t>Service Request Status Name</t>
  </si>
  <si>
    <t>Global Service Request Type Code</t>
  </si>
  <si>
    <t>Local Service Request Type Code</t>
  </si>
  <si>
    <t>Account Site State Name</t>
  </si>
  <si>
    <t>PID Sub Model Code</t>
  </si>
  <si>
    <t>Suspended For Parts Indicator</t>
  </si>
  <si>
    <t>Territory Code</t>
  </si>
  <si>
    <t>Travel Duration (Hours)</t>
  </si>
  <si>
    <t>Total Time To Resolve Duration (Hours)</t>
  </si>
  <si>
    <t>UNSPSC Code</t>
  </si>
  <si>
    <t>UNSPSC Description</t>
  </si>
  <si>
    <t>UNSPSC Hierarchy 1 Code</t>
  </si>
  <si>
    <t>UNSPSC Hierarchy 1 Description</t>
  </si>
  <si>
    <t>UNSPSC Hierarchy 2 Code</t>
  </si>
  <si>
    <t>UNSPSC Hierarchy 2 Description</t>
  </si>
  <si>
    <t>Update Method Name</t>
  </si>
  <si>
    <t>US Area Name</t>
  </si>
  <si>
    <t>US Branch Code</t>
  </si>
  <si>
    <t>US Territory Code</t>
  </si>
  <si>
    <t>US National Service Area Name</t>
  </si>
  <si>
    <t>US National Service Area Tier Code</t>
  </si>
  <si>
    <t>Service Request Valid for Time Calculations Indicator</t>
  </si>
  <si>
    <t>Customer Engineer Visit Count</t>
  </si>
  <si>
    <t>Service Request Closed Week Ending Date</t>
  </si>
  <si>
    <t>Service Request Closed Year Month</t>
  </si>
  <si>
    <t>Last Note Line Number</t>
  </si>
  <si>
    <t>Note Max1 Description</t>
  </si>
  <si>
    <t>Note Max1 Date Time(LTZ)</t>
  </si>
  <si>
    <t>Note Max1 Indicator</t>
  </si>
  <si>
    <t>Note Max2 Description</t>
  </si>
  <si>
    <t>Note Max2 Date Time(LTZ)</t>
  </si>
  <si>
    <t>Note Max2 Indicator</t>
  </si>
  <si>
    <t>Note Max3 Description</t>
  </si>
  <si>
    <t>Note Max3 Date Time(LTZ)</t>
  </si>
  <si>
    <t>Note Max3 Indicator</t>
  </si>
  <si>
    <t>Note Min1 Description</t>
  </si>
  <si>
    <t>Note Min1 Date Time(LTZ)</t>
  </si>
  <si>
    <t>Note Min1 Indicator</t>
  </si>
  <si>
    <t>Note Min2 Description</t>
  </si>
  <si>
    <t>Note Min2 Date Time(LTZ)</t>
  </si>
  <si>
    <t>Note Min2 Indicator</t>
  </si>
  <si>
    <t>Note Min3 Description</t>
  </si>
  <si>
    <t>Note Min3 Date Time(LTZ)</t>
  </si>
  <si>
    <t>Note Min3 Indicator</t>
  </si>
  <si>
    <t>Note Status Description</t>
  </si>
  <si>
    <t>All Notes Description</t>
  </si>
  <si>
    <t>Note Max1 Resolution Description</t>
  </si>
  <si>
    <t>Note Max1 Resolution Indicator</t>
  </si>
  <si>
    <t>Note Max2 Resolution Description</t>
  </si>
  <si>
    <t>Note Max2 Resolution Indicator</t>
  </si>
  <si>
    <t>Note Max3 Resolution Description</t>
  </si>
  <si>
    <t>Note Max3 Resolution Indicator</t>
  </si>
  <si>
    <t>Note Resolution Indicator</t>
  </si>
  <si>
    <t>Note Type Resolution Code</t>
  </si>
  <si>
    <t>Note Type Resolution Description</t>
  </si>
  <si>
    <t>Note Max1 Resolution Date Time(LTZ)</t>
  </si>
  <si>
    <t>Note Max2 Resolution Date Time(LTZ)</t>
  </si>
  <si>
    <t>Note Max3 Resolution Date Time(LTZ)</t>
  </si>
  <si>
    <t>First Visit Resolution (Opportunity)</t>
  </si>
  <si>
    <t>First Visit Resolution (Miss or Met)</t>
  </si>
  <si>
    <t>3 Day revisit (Fail)</t>
  </si>
  <si>
    <t>3 Day revisit (Opportunity)</t>
  </si>
  <si>
    <t>3 Day AOF revisit (Opportunity)</t>
  </si>
  <si>
    <t>3 Day AOF revisit (Fail)</t>
  </si>
  <si>
    <t>14 Day revisit (Opportunity)</t>
  </si>
  <si>
    <t>14 Day revisit (Fail)</t>
  </si>
  <si>
    <t>14 Day AOF revisit (Opportunity)</t>
  </si>
  <si>
    <t>14 Day AOF revisit (Fail)</t>
  </si>
  <si>
    <t>7 Day revisit (Opportunity)</t>
  </si>
  <si>
    <t>7 Day revisit (Fail)</t>
  </si>
  <si>
    <t>7 Day AOF revisit (Opportunity)</t>
  </si>
  <si>
    <t>7 Day AOF revisit (Fail)</t>
  </si>
  <si>
    <t>Ce Code Final</t>
  </si>
  <si>
    <t>Region Demand</t>
  </si>
  <si>
    <t>Area Demand</t>
  </si>
  <si>
    <t>Country Demand</t>
  </si>
  <si>
    <t>Branch Demand</t>
  </si>
  <si>
    <t>Territory Demand</t>
  </si>
  <si>
    <t>Region Workforce</t>
  </si>
  <si>
    <t>Area Workforce</t>
  </si>
  <si>
    <t>Country Workforce</t>
  </si>
  <si>
    <t>Branch Workforce</t>
  </si>
  <si>
    <t>Territory Workforce</t>
  </si>
  <si>
    <t>SVC City Name</t>
  </si>
  <si>
    <t>Contract Customer Name</t>
  </si>
  <si>
    <t>Contract Customer Number</t>
  </si>
  <si>
    <t>Exclude</t>
  </si>
  <si>
    <t>SVC State Name</t>
  </si>
  <si>
    <t>Transaction Company Owner Name</t>
  </si>
  <si>
    <t>Transaction Business Tag Name</t>
  </si>
  <si>
    <t>Environment Tag Name</t>
  </si>
  <si>
    <t>Verbatim export from Fresh_Thyme_Year_to_Date_08_01_2025.xlsx. Do not edit — this tab preserves source fidelity for audit/reconciliation.</t>
  </si>
  <si>
    <t>8P</t>
  </si>
  <si>
    <t>COIN RECYCLER</t>
  </si>
  <si>
    <t>US West</t>
  </si>
  <si>
    <t>2025-09-21T00:50:30.000Z</t>
  </si>
  <si>
    <t>7360-4010-9090</t>
  </si>
  <si>
    <t>SSCO R6C Full Function, No Bag, XR7 Plus</t>
  </si>
  <si>
    <t>57-60587817</t>
  </si>
  <si>
    <t>US153</t>
  </si>
  <si>
    <t>AUTOMATIC</t>
  </si>
  <si>
    <t>COIN_RECYCLER</t>
  </si>
  <si>
    <t>8PCV</t>
  </si>
  <si>
    <t>2025-09-20T18:24:00.000Z</t>
  </si>
  <si>
    <t>2025-09-20T23:24:00.000Z</t>
  </si>
  <si>
    <t>WEST DES MOINES</t>
  </si>
  <si>
    <t>2025-09-20T19:36:00.000Z</t>
  </si>
  <si>
    <t>2025-09-21T00:36:00.000Z</t>
  </si>
  <si>
    <t>US</t>
  </si>
  <si>
    <t>UNITED STATES</t>
  </si>
  <si>
    <t>7820C4ES</t>
  </si>
  <si>
    <t>7 days,8am to 8pm, 4hrs Resp,12 hrs Resol</t>
  </si>
  <si>
    <t>Department Stores</t>
  </si>
  <si>
    <t>RET</t>
  </si>
  <si>
    <t>Retail</t>
  </si>
  <si>
    <t>JG185443</t>
  </si>
  <si>
    <t>MEIJER/FRESH THYME #962</t>
  </si>
  <si>
    <t>MEIJER INC</t>
  </si>
  <si>
    <t>No Intelligent Deposit</t>
  </si>
  <si>
    <t>S1</t>
  </si>
  <si>
    <t>2025-09-20T13:46:14.000Z</t>
  </si>
  <si>
    <t>2025-09-20T18:46:14.000Z</t>
  </si>
  <si>
    <t>19KR</t>
  </si>
  <si>
    <t>19KR-ATM OPERATING AS EXPECTED ON ARRIVAL</t>
  </si>
  <si>
    <t>ES</t>
  </si>
  <si>
    <t>1900-01-01T00:00:00.000Z</t>
  </si>
  <si>
    <t>2025-09-20T18:46:17.000Z</t>
  </si>
  <si>
    <t>2025-09-20T13:46:17.000Z</t>
  </si>
  <si>
    <t>TTW WU</t>
  </si>
  <si>
    <t>REACTIVE</t>
  </si>
  <si>
    <t>Fastlane</t>
  </si>
  <si>
    <t>7244-0930-9898</t>
  </si>
  <si>
    <t>WCS - North America</t>
  </si>
  <si>
    <t>ADJUST/CALIBRATE</t>
  </si>
  <si>
    <t>Manual</t>
  </si>
  <si>
    <t>CHGC 2</t>
  </si>
  <si>
    <t>US153R</t>
  </si>
  <si>
    <t>Self check out</t>
  </si>
  <si>
    <t>HW</t>
  </si>
  <si>
    <t>Hardware</t>
  </si>
  <si>
    <t>SCO</t>
  </si>
  <si>
    <t>Des Moines IA</t>
  </si>
  <si>
    <t>C</t>
  </si>
  <si>
    <t>2025/9</t>
  </si>
  <si>
    <t>no fault found. checked everything including pml and no error codes.</t>
  </si>
  <si>
    <t>2025-09-20T19:36:47.000Z</t>
  </si>
  <si>
    <t>New Item :7360-4010-9090 New Serial Number :57-60587817 Old Item :7360-4010-9090 Old Serial Number :57-60587817</t>
  </si>
  <si>
    <t>2025-09-20T19:36:49.000Z</t>
  </si>
  <si>
    <t>SCO11 has a Debris Flap Stuck error (Error code; 16-6-0--99-131844 ) This is a reoccuring issue. Last time NCR was on site for same issue and said may need replacement part [Generated by Portal Login: most14 Contact: Staci Mowder 3096133038 ftfmsupport@rdspos.com]</t>
  </si>
  <si>
    <t>2025-09-20T13:46:18.000Z</t>
  </si>
  <si>
    <t>CE IS NOW US153R46</t>
  </si>
  <si>
    <t>2025-09-20T13:50:11.000Z</t>
  </si>
  <si>
    <t>No fault found. Checked everything including PML and no error codes.</t>
  </si>
  <si>
    <t>E</t>
  </si>
  <si>
    <t>SCO11 has a Debris Flap Stuck error (Error code; 16-6-0--99-131844 ) This is a reoccuring issue. Last time NCR was on site for same issue and said may need replacement part [Generated by Portal Login: most14 Contact: Staci Mowder 3096133038 ftfmsupport@rdspos.com]-CE IS NOW US153R46-No fault found. Checked everything including PML and no error codes.-no fault found. checked everything including pml and no error codes.-New Item :7360-4010-9090 New Serial Number :57-60587817 Old Item :7360-4010-9090 Old Serial Number :57-60587817</t>
  </si>
  <si>
    <t>CS_RESOLUTION</t>
  </si>
  <si>
    <t>Resolution Description</t>
  </si>
  <si>
    <t>NAMER</t>
  </si>
  <si>
    <t>NAMER West</t>
  </si>
  <si>
    <t>NCR</t>
  </si>
  <si>
    <t>US Southeast</t>
  </si>
  <si>
    <t>2026-08-03T13:36:37.000Z</t>
  </si>
  <si>
    <t>57-60591637</t>
  </si>
  <si>
    <t>US133</t>
  </si>
  <si>
    <t>8PCZ</t>
  </si>
  <si>
    <t>2026-08-03T08:36:00.000Z</t>
  </si>
  <si>
    <t>2026-08-03T12:36:00.000Z</t>
  </si>
  <si>
    <t>GRAND RAPIDS</t>
  </si>
  <si>
    <t>2026-08-03T09:25:00.000Z</t>
  </si>
  <si>
    <t>2026-08-03T13:25:00.000Z</t>
  </si>
  <si>
    <t>7820C4W2</t>
  </si>
  <si>
    <t>7 days/w, 08 AM-8 PM, 4 HR, Response,12 HR. Resolv</t>
  </si>
  <si>
    <t>BW185129</t>
  </si>
  <si>
    <t>Meijer/Fresh Thyme #606</t>
  </si>
  <si>
    <t>2026-08-02T22:00:40.000Z</t>
  </si>
  <si>
    <t>2026-08-03T02:00:40.000Z</t>
  </si>
  <si>
    <t>Undefined</t>
  </si>
  <si>
    <t>2026-08-11T13:33:58.000Z</t>
  </si>
  <si>
    <t>2026-08-03T02:00:42.000Z</t>
  </si>
  <si>
    <t>2026-08-02T22:00:42.000Z</t>
  </si>
  <si>
    <t>G554-0312-0000</t>
  </si>
  <si>
    <t>ft185038</t>
  </si>
  <si>
    <t>CLEAR MEDIA/DEBRIS</t>
  </si>
  <si>
    <t>Scanned</t>
  </si>
  <si>
    <t>MNT 2</t>
  </si>
  <si>
    <t>US133B</t>
  </si>
  <si>
    <t>US133A</t>
  </si>
  <si>
    <t>Grand Rapids MI</t>
  </si>
  <si>
    <t>B</t>
  </si>
  <si>
    <t>2026/8</t>
  </si>
  <si>
    <t>New Item :7360-4010-9090 New Serial Number :57-60591637 Old Item :7360-4010-9090 Old Serial Number :57-60591646</t>
  </si>
  <si>
    <t>2026-08-03T09:25:42.000Z</t>
  </si>
  <si>
    <t>SCO12 has a Coin recycler error-Coin box motor jammed error  [Generated by Portal Login: most14 Contact: Staci Mowder 2694689716 FTFMSupport@rdspos.com]</t>
  </si>
  <si>
    <t>CE IS NOW US133B47</t>
  </si>
  <si>
    <t>2026-08-02T22:45:06.000Z</t>
  </si>
  <si>
    <t>coin recycler in error, acb jammed. cleared jam and tested working</t>
  </si>
  <si>
    <t>2026-08-03T09:25:39.000Z</t>
  </si>
  <si>
    <t>SCO12 has a Coin recycler error-Coin box motor jammed error  [Generated by Portal Login: most14 Contact: Staci Mowder 2694689716 FTFMSupport@rdspos.com]-CE IS NOW US133B47-coin recycler in error, acb jammed. cleared jam and tested working-New Item :7360-4010-9090 New Serial Number :57-60591637 Old Item :7360-4010-9090 Old Serial Number :57-60591646</t>
  </si>
  <si>
    <t>NAMER South</t>
  </si>
  <si>
    <t>NR</t>
  </si>
  <si>
    <t>NOTE RECYCLER</t>
  </si>
  <si>
    <t>2025-12-11T18:58:52.000Z</t>
  </si>
  <si>
    <t>57-60591378</t>
  </si>
  <si>
    <t>NOTE_RECYCLER</t>
  </si>
  <si>
    <t>NRQG</t>
  </si>
  <si>
    <t>2025-12-11T13:13:00.000Z</t>
  </si>
  <si>
    <t>2025-12-11T18:13:00.000Z</t>
  </si>
  <si>
    <t>2025-12-11T13:43:00.000Z</t>
  </si>
  <si>
    <t>2025-12-11T18:43:00.000Z</t>
  </si>
  <si>
    <t>MR250470</t>
  </si>
  <si>
    <t>MEIJER/FRESH THYME #643</t>
  </si>
  <si>
    <t>2025-12-11T11:53:08.000Z</t>
  </si>
  <si>
    <t>2025-12-11T16:53:08.000Z</t>
  </si>
  <si>
    <t>19NR</t>
  </si>
  <si>
    <t>19NR-OTHER ISSUES BEYOND THOSE THAT HAVE ALREADY BEEN CHARACTERIZED</t>
  </si>
  <si>
    <t>US133U</t>
  </si>
  <si>
    <t>US113</t>
  </si>
  <si>
    <t>US113V</t>
  </si>
  <si>
    <t>Detroit MI</t>
  </si>
  <si>
    <t>A</t>
  </si>
  <si>
    <t>2025/12</t>
  </si>
  <si>
    <t>There was a $5 billion stuck behind the second recycler, I carefully was able to remove the $5 bill. Put it in the cash box went into ADD ran tests were fine.Put back in service job complete.</t>
  </si>
  <si>
    <t>2025-12-11T13:44:03.000Z</t>
  </si>
  <si>
    <t>New Item :7360-4010-9090 New Serial Number :57-60591378 Old Item :7360-4010-9090 Old Serial Number :57-60591364</t>
  </si>
  <si>
    <t>2025-12-11T13:44:05.000Z</t>
  </si>
  <si>
    <t>Booted up with Note recycler error, note jammed at RNCK2 sensor, Error code: 15-9-0-5-63010  [Generated by Portal Login: coas14 Contact: Ashley 309-213-1564 ftfmsupport@rdspos.com]</t>
  </si>
  <si>
    <t>2025-12-11T11:53:09.000Z</t>
  </si>
  <si>
    <t>CE IS NOW US133U34</t>
  </si>
  <si>
    <t>2025-12-11T12:01:09.000Z</t>
  </si>
  <si>
    <t>CE WAS US133U34</t>
  </si>
  <si>
    <t>2025-12-11T12:06:36.000Z</t>
  </si>
  <si>
    <t>Booted up with Note recycler error, note jammed at RNCK2 sensor, Error code: 15-9-0-5-63010  [Generated by Portal Login: coas14 Contact: Ashley 309-213-1564 ftfmsupport@rdspos.com]-CE IS NOW US133U34-CE WAS US133U34-CE IS NOW US133U38-There was a $5 billion stuck behind the second recycler, I carefully was able to remove the $5 bill. Put it in the cash box went into ADD ran tests were fine.Put back in service job complete.-There was a $5 billion stuck behind the second recycler, I carefully was able to remove the $5 bill. Put it in the cash box went into ADD ran tests were fine.Put back in service job complete.-New Item :7360-4010-9090 New Serial Number :57-60591378 Old Item :7360-4010-9090 Old Serial Number :57-60591364</t>
  </si>
  <si>
    <t>SCANNER/SCAN-SCALE</t>
  </si>
  <si>
    <t>2025-08-06T19:59:18.000Z</t>
  </si>
  <si>
    <t>57-60595316</t>
  </si>
  <si>
    <t>SCALE</t>
  </si>
  <si>
    <t>82SL</t>
  </si>
  <si>
    <t>2025-08-06T15:27:00.000Z</t>
  </si>
  <si>
    <t>2025-08-06T19:27:00.000Z</t>
  </si>
  <si>
    <t>2025-08-06T15:31:00.000Z</t>
  </si>
  <si>
    <t>2025-08-06T19:31:00.000Z</t>
  </si>
  <si>
    <t>CS185400</t>
  </si>
  <si>
    <t>MEIJER/FRESH THYME #647</t>
  </si>
  <si>
    <t>2025-08-06T14:43:48.000Z</t>
  </si>
  <si>
    <t>2025-08-06T18:43:48.000Z</t>
  </si>
  <si>
    <t>19N2</t>
  </si>
  <si>
    <t>19N2-DEPOSIT OR DISPENSER CASSETTE BROKEN OR DAMAGE</t>
  </si>
  <si>
    <t>G370-3975-0000</t>
  </si>
  <si>
    <t>CLEANED</t>
  </si>
  <si>
    <t>US113R</t>
  </si>
  <si>
    <t>2025/8</t>
  </si>
  <si>
    <t>arravied to site checked all scale cable connections and found no issues. manager told me there was a printer printing short issue checked that out and ran a full functions test on the sco.</t>
  </si>
  <si>
    <t>2025-08-06T15:46:19.000Z</t>
  </si>
  <si>
    <t>New Item :7360-4010-9090 New Serial Number :57-60595316 Old Item :7360-4010-9090 Old Serial Number :57-60595316</t>
  </si>
  <si>
    <t>2025-08-06T15:46:20.000Z</t>
  </si>
  <si>
    <t>Scanner/scale not weighing items on SCO17   [Generated by Portal Login: most14 Contact: Staci Mowder 3096133038 smowder@rdspos.com]</t>
  </si>
  <si>
    <t>CE IS NOW US133B52</t>
  </si>
  <si>
    <t>2025-08-06T14:44:23.000Z</t>
  </si>
  <si>
    <t>Scanner/scale not weighing items on SCO17   [Generated by Portal Login: most14 Contact: Staci Mowder 3096133038 smowder@rdspos.com]-CE IS NOW US133B52-arravied to site checked all scale cable connections and found no issues. manager told me there was a printer printing short issue checked that out and ran a full functions test on the sco.-arravied to site checked all scale cable connections and found no issues. manager told me there was a printer printing short issue checked that out and ran a full functions test on the sco.-New Item :7360-4010-9090 New Serial Number :57-60595316 Old Item :7360-4010-9090 Old Serial Number :57-60595316</t>
  </si>
  <si>
    <t>CORE ELECTRONICS</t>
  </si>
  <si>
    <t>2026-08-04T15:56:23.000Z</t>
  </si>
  <si>
    <t>57-60595329</t>
  </si>
  <si>
    <t>CORE_ELECTRONICS</t>
  </si>
  <si>
    <t>34TL</t>
  </si>
  <si>
    <t>2026-08-04T10:40:00.000Z</t>
  </si>
  <si>
    <t>2026-08-04T14:40:00.000Z</t>
  </si>
  <si>
    <t>BLOOMINGTON</t>
  </si>
  <si>
    <t>2026-08-04T11:38:00.000Z</t>
  </si>
  <si>
    <t>2026-08-04T15:38:00.000Z</t>
  </si>
  <si>
    <t>TC185228</t>
  </si>
  <si>
    <t>MEIJER/FRESH THYME #536</t>
  </si>
  <si>
    <t>2026-08-03T09:29:17.000Z</t>
  </si>
  <si>
    <t>2026-08-03T13:29:17.000Z</t>
  </si>
  <si>
    <t>REPLACE DEF PART</t>
  </si>
  <si>
    <t>US133E</t>
  </si>
  <si>
    <t>US133D</t>
  </si>
  <si>
    <t>Indianapolis IN</t>
  </si>
  <si>
    <t>CEM4333803:defective part</t>
  </si>
  <si>
    <t>2026-08-04T11:40:07.000Z</t>
  </si>
  <si>
    <t>arroved onsite and found that SCO12 was working. checked with store, store said light is experiencing intermittent flashing and strobing issue. Replaced lane light. Tested, new lane light is working as intended.</t>
  </si>
  <si>
    <t>New Item :7360-4010-9090 New Serial Number :57-60595329 Old Item :7360-4010-9090 Old Serial Number :57-60595329</t>
  </si>
  <si>
    <t>2026-08-04T11:40:10.000Z</t>
  </si>
  <si>
    <t>SCO12 light is flashing and dimming, may need replaced.  [Generated by Portal Login: most14 Contact: Staci Mowder 2694689716 FTFMSupport@rdspos.com]</t>
  </si>
  <si>
    <t>CE IS NOW US133E80</t>
  </si>
  <si>
    <t>2026-08-03T09:34:57.000Z</t>
  </si>
  <si>
    <t>CE WAS US133E80</t>
  </si>
  <si>
    <t>2026-08-03T11:58:04.000Z</t>
  </si>
  <si>
    <t>SCO12 light is flashing and dimming, may need replaced.  [Generated by Portal Login: most14 Contact: Staci Mowder 2694689716 FTFMSupport@rdspos.com]-CE IS NOW US133E80-CE WAS US133E80-CE IS NOW US133E76-CE WAS US133E76-CE IS NOW US133E75-LOM Order Processing, Part has been Ordered, Remedy ID 000000015097232- (Pick Up) by Agent Auto CE pickup-Oracle Order Shipped for Remedy Id: U018975638, Order/Receipt # 182468613, Ordered Part 4970525295, Part Description - KIT - R6 TRI-LIGHT W/IP CAMERA, Shipment/Receipt #2120107003, Part has been Shipped, Qty 1, Priority NFO, Shipping Method CE Pickup After Hours, BOL/Job NA, Source Location UFF USFIND1G-CEM4333803:defective part-arroved onsite and found that SCO12 was working. checked with store, store said light is experiencing intermittent flashing and strobing issue. Replaced lane light. Tested, new lane light is working as intended.-New Item :7360-4010-9090 New Serial Number :57-60595329 Old Item :7360-4010-9090 Old Serial Number :57-60595329</t>
  </si>
  <si>
    <t>2025-10-07T17:50:47.000Z</t>
  </si>
  <si>
    <t>57-60590128</t>
  </si>
  <si>
    <t>34D9</t>
  </si>
  <si>
    <t>2025-10-06T11:43:00.000Z</t>
  </si>
  <si>
    <t>2025-10-06T16:43:00.000Z</t>
  </si>
  <si>
    <t>2025-10-07T12:33:00.000Z</t>
  </si>
  <si>
    <t>2025-10-07T17:33:00.000Z</t>
  </si>
  <si>
    <t>BJ185069</t>
  </si>
  <si>
    <t>MEIJER/FRESH THYME #631</t>
  </si>
  <si>
    <t>2025-10-06T10:01:55.000Z</t>
  </si>
  <si>
    <t>2025-10-06T15:01:55.000Z</t>
  </si>
  <si>
    <t>MNT 1</t>
  </si>
  <si>
    <t>US153N</t>
  </si>
  <si>
    <t>St Louis MO</t>
  </si>
  <si>
    <t>2025/10</t>
  </si>
  <si>
    <t>CEM3923090:def</t>
  </si>
  <si>
    <t>2025-10-07T12:34:01.000Z</t>
  </si>
  <si>
    <t>Arrived on site and spoke to MOD - accessed SCO and replaced the UPC and spare standard power cable. Successfully tested. Lane is functioning as intended.</t>
  </si>
  <si>
    <t>New Item :7360-4010-9090 New Serial Number :57-60590128 Old Item :7360-4010-9090 Old Serial Number :57-60587845</t>
  </si>
  <si>
    <t>2025-10-07T12:34:04.000Z</t>
  </si>
  <si>
    <t>Battery Backup is dead, SCO is completely down, requesting service today please  [Generated by Portal Login: coas14 Contact: Ashley 3092131564 ftfmsupport@rdspos.com]</t>
  </si>
  <si>
    <t>CE IS NOW US153N74</t>
  </si>
  <si>
    <t>2025-10-06T10:32:27.000Z</t>
  </si>
  <si>
    <t>Arrived on site and spoke to MOD regarding issues - accessed SCO and UPC is dead, batt depleted, suspending and ordering replacement - PN: 4970506744</t>
  </si>
  <si>
    <t>2025-10-06T12:08:29.000Z</t>
  </si>
  <si>
    <t>Battery Backup is dead, SCO is completely down, requesting service today please  [Generated by Portal Login: coas14 Contact: Ashley 3092131564 ftfmsupport@rdspos.com]-CE IS NOW US153N74-Arrived on site and spoke to MOD regarding issues - accessed SCO and UPC is dead, batt depleted, suspending and ordering replacement - PN: 4970506744-LOM order processing, Part has been Ordered , Remedy Id 000000014880731 - (Next Day) by Agent AUTO VIP-Oracle Order Shipped for Remedy Id: U018768683, Order/Receipt # 181756106, Ordered Part 4970527939, Part Description - R6.0 UPS 110V 800VA with USB communication port &amp; EMC Improvements, Shipment/Receipt #2111109683, Part has been Shipped, Qty 1, Priority OVERNIGHT, Shipping Method UPS-Air-Next Day Air Saver, BOL/Job 1ZH92Y061300524892, Source Location UFF USFEWR1G-CEM3923090:def-Arrived on site and spoke to MOD - accessed SCO and replaced the UPC and spare standard power cable. Successfully tested. Lane is functioning as intended.-New Item :7360-4010-9090 New Serial Number :57-60590128 Old Item :7360-4010-9090 Old Serial Number :57-60587845</t>
  </si>
  <si>
    <t>US153M</t>
  </si>
  <si>
    <t>2026-07-06T17:22:14.000Z</t>
  </si>
  <si>
    <t>57-60595294</t>
  </si>
  <si>
    <t>2026-07-03T16:45:00.000Z</t>
  </si>
  <si>
    <t>2026-07-03T21:45:00.000Z</t>
  </si>
  <si>
    <t>2026-07-06T12:09:00.000Z</t>
  </si>
  <si>
    <t>2026-07-06T17:09:00.000Z</t>
  </si>
  <si>
    <t>ND185172</t>
  </si>
  <si>
    <t>MEIJER/FRESH THYME #638</t>
  </si>
  <si>
    <t>2026-07-03T16:06:53.000Z</t>
  </si>
  <si>
    <t>2026-07-03T21:06:53.000Z</t>
  </si>
  <si>
    <t>2026-08-07T13:58:37.000Z</t>
  </si>
  <si>
    <t>2026-07-03T21:06:54.000Z</t>
  </si>
  <si>
    <t>2026-07-03T16:06:54.000Z</t>
  </si>
  <si>
    <t>Peoria IL</t>
  </si>
  <si>
    <t>2026/7</t>
  </si>
  <si>
    <t>CE IS NOW US153R54</t>
  </si>
  <si>
    <t>2026-07-06T09:01:13.000Z</t>
  </si>
  <si>
    <t>Successfully swapped out defective UPS for new. Tested and confirmed functional. SCO brought back in to full operation. Confirmed with MoD. No further action taken. Closing call.</t>
  </si>
  <si>
    <t>2026-07-06T12:06:45.000Z</t>
  </si>
  <si>
    <t>New Item :7360-4010-9090 New Serial Number :57-60595294 Old Item :7360-4010-9090 Old Serial Number :57-60595294</t>
  </si>
  <si>
    <t>2026-07-06T12:10:53.000Z</t>
  </si>
  <si>
    <t>Battery Backup is faulty  [Generated by Portal Login: repa14 Contact: Patrick Reeves 3092411908 ftfmsupport@rdspos.com]</t>
  </si>
  <si>
    <t>2026-07-03T16:08:02.000Z</t>
  </si>
  <si>
    <t>CE WAS US153R54</t>
  </si>
  <si>
    <t>2026-07-03T16:13:31.000Z</t>
  </si>
  <si>
    <t>Battery Backup is faulty  [Generated by Portal Login: repa14 Contact: Patrick Reeves 3092411908 ftfmsupport@rdspos.com]-CE IS NOW US153R54-CE WAS US153R54-CE IS NOW US153R51-CE IS NOW US153R51-CE arrived onsite and spoke with Riley who called in the issue. Multiple times over the last week she has come into work at 6am and the SCO would be off and the UPS beeping, requiring her to power off UPS and then power back on. Indicative of failing UPS. Ordering Replacement UPS.-LOM order processing, Part has been Ordered , Remedy Id 000000015076011 - (Next Day) by Agent FSC Order-Oracle Order Shipped for Remedy Id: U018955066, Order/Receipt # 182393426, Ordered Part 4970534153, Part Description - UPS (N70-800) LV 100V/120V 800VA with USB communication Port and EMC Improvements, Shipment/Receipt #2119598720, Part has been Shipped, Qty 1, Priority OVERNIGHT, Shipping Method UPS-Air-Next Day Air Saver, BOL/Job 1ZH92Y051303109480, Source Location PTC AVL-CE IS NOW US153R54-Successfully swapped out defective UPS for new. Tested and confirmed functional. SCO brought back in to full operation. Confirmed with MoD. No further action taken. Closing call.-New Item :7360-4010-9090 New Serial Number :57-60595294 Old Item :7360-4010-9090 Old Serial Number :57-60595294</t>
  </si>
  <si>
    <t>2025-10-31T01:15:40.000Z</t>
  </si>
  <si>
    <t>57-58264238</t>
  </si>
  <si>
    <t>NR5Z</t>
  </si>
  <si>
    <t>2025-10-30T19:43:00.000Z</t>
  </si>
  <si>
    <t>2025-10-31T00:43:00.000Z</t>
  </si>
  <si>
    <t>ST. LOUIS</t>
  </si>
  <si>
    <t>2025-10-30T19:59:00.000Z</t>
  </si>
  <si>
    <t>2025-10-31T00:59:00.000Z</t>
  </si>
  <si>
    <t>BS185333</t>
  </si>
  <si>
    <t>Meijer #448 Fresh Thyme Market</t>
  </si>
  <si>
    <t>2025-10-30T13:09:42.000Z</t>
  </si>
  <si>
    <t>2025-10-30T18:09:42.000Z</t>
  </si>
  <si>
    <t>2025-10-30T18:09:43.000Z</t>
  </si>
  <si>
    <t>2025-10-30T13:09:43.000Z</t>
  </si>
  <si>
    <t>G552-1000-5001</t>
  </si>
  <si>
    <t>CEM3904117:jamming</t>
  </si>
  <si>
    <t>2025-10-30T19:56:01.000Z</t>
  </si>
  <si>
    <t>arrived onsite, verified issue, signed in, loaded into pml, replaced top mod due to intermittently jamming</t>
  </si>
  <si>
    <t>2025-10-30T19:59:34.000Z</t>
  </si>
  <si>
    <t>New Item :7360-4010-9090 New Serial Number :57-58264238 Old Item :7360-4010-9090 Old Serial Number :57-58264214</t>
  </si>
  <si>
    <t>2025-10-30T19:59:36.000Z</t>
  </si>
  <si>
    <t>Note recycler continually jamming and making a very loud strange noise on SCO11  [Generated by Portal Login: most14 Contact: Staci Mowder 3096133038 ftfmsupport@rdspos.com]</t>
  </si>
  <si>
    <t>CE IS NOW US153N64</t>
  </si>
  <si>
    <t>2025-10-30T13:35:22.000Z</t>
  </si>
  <si>
    <t>CE WAS US153N64</t>
  </si>
  <si>
    <t>2025-10-30T19:36:41.000Z</t>
  </si>
  <si>
    <t>Note recycler continually jamming and making a very loud strange noise on SCO11  [Generated by Portal Login: most14 Contact: Staci Mowder 3096133038 ftfmsupport@rdspos.com]-CE IS NOW US153N64-CE WAS US153N64-CE IS NOW US153N79-CEM3904117:jamming-arrived onsite, verified issue, signed in, loaded into pml, replaced top mod due to intermittently jamming-New Item :7360-4010-9090 New Serial Number :57-58264238 Old Item :7360-4010-9090 Old Serial Number :57-58264214</t>
  </si>
  <si>
    <t>2026-04-17T18:54:38.000Z</t>
  </si>
  <si>
    <t>57-60590106</t>
  </si>
  <si>
    <t>2026-04-10T17:13:00.000Z</t>
  </si>
  <si>
    <t>2026-04-10T22:13:00.000Z</t>
  </si>
  <si>
    <t>VADNAIS HEIGHTS</t>
  </si>
  <si>
    <t>2026-04-17T13:38:00.000Z</t>
  </si>
  <si>
    <t>2026-04-17T18:38:00.000Z</t>
  </si>
  <si>
    <t>DEBRIS FOUND</t>
  </si>
  <si>
    <t>7820ZNES</t>
  </si>
  <si>
    <t>7 Days/Wk, 8-8, NBD Fix (Restoral)</t>
  </si>
  <si>
    <t>OO185035</t>
  </si>
  <si>
    <t>MEIJER/FRESH THYME #545</t>
  </si>
  <si>
    <t>2026-04-10T15:34:01.000Z</t>
  </si>
  <si>
    <t>2026-04-10T20:34:01.000Z</t>
  </si>
  <si>
    <t>2026-05-04T17:38:28.000Z</t>
  </si>
  <si>
    <t>Store545</t>
  </si>
  <si>
    <t>US153J</t>
  </si>
  <si>
    <t>Minneapolis MN</t>
  </si>
  <si>
    <t>2026/4</t>
  </si>
  <si>
    <t>CEM4148145:Validator icon indicator kept blinking</t>
  </si>
  <si>
    <t>2026-04-17T13:40:34.000Z</t>
  </si>
  <si>
    <t>SNFI has it that no closed SR for past 13 weeks.  Icon indicator on the coin recycler kept blinking, the validator was replaced. Manager Calie tested and verified SCO made successful transactions in cards and cards. Task closed.</t>
  </si>
  <si>
    <t>New Item :7360-4010-9090 New Serial Number :57-60590106 Old Item :7360-4010-9090 Old Serial Number :57-60590106</t>
  </si>
  <si>
    <t>2026-04-17T13:40:36.000Z</t>
  </si>
  <si>
    <t>Debis Flap Stuck. Error Code: 16-6-0--99-131184  [Generated by Portal Login: coas14 Contact: Ashley Cooper 3092131564 ftfmsupport@rdspos.com]</t>
  </si>
  <si>
    <t>CE IS NOW US153R24</t>
  </si>
  <si>
    <t>2026-04-10T15:37:29.000Z</t>
  </si>
  <si>
    <t>The active cashbox is jammed. Jammed coins that have clogged the white wheel could not be removed in its entirety as a few coins suspected to be dollar coin could not be purged. Active cashbox to be replaced, order made, and task suspended.</t>
  </si>
  <si>
    <t>2026-04-10T18:38:55.000Z</t>
  </si>
  <si>
    <t>Debis Flap Stuck. Error Code: 16-6-0--99-131184  [Generated by Portal Login: coas14 Contact: Ashley Cooper 3092131564 ftfmsupport@rdspos.com]-CE IS NOW US153R24-The active cashbox is jammed. Jammed coins that have clogged the white wheel could not be removed in its entirety as a few coins suspected to be dollar coin could not be purged. Active cashbox to be replaced, order made, and task suspended.-LOM order processing, Part has been Ordered , Remedy Id 000000015018199 - (Next Day) by Agent VIP HOLD-Escalation Request: Penalty Acct. Breaching SLA. Need to complete the SR asap once part is delivered [Added by: Vannie Kristoffer Tabares Portal Login: ncr.com Phone Number: 4106969 Email Address: vanniekristoffer.tabares@ncrvoyix.com Contact By: GIM]-Oracle Order Shipped for Remedy Id: U018902099, Order/Receipt # 182201050, Ordered Part 4970533870, Part Description - CR5000  Active Cashbox Type A (non-dissipative tracks) (Service Part), Shipment/Receipt #2118058467, Part has been Shipped, Qty 1, Priority OVERNIGHT, Shipping Method UPS-Air-Next Day Air Saver, BOL/Job 1ZH92Y061300693076, Source Location UFF USFCAE1G-Escalation Update: CE ETA 14:00.-CEM4148129:shut down validator-Part fail to function, it did not work, shutting down the validator and entire coin recycler.-The part did not work, for it shut down validator, order for another part and task suspended.-LOM order processing, Part has been Ordered , Remedy Id 000000015020703 - (Next Day) by Agent AUTO VIP-Oracle Order Shipped for Remedy Id: U018904494, Order/Receipt # 182207725, Ordered Part 4970533870, Part Description - CR5000  Active Cashbox Type A (non-dissipative tracks) (Service Part), Shipment/Receipt #2118088803, Part has been Shipped, Qty 1, Priority OVERNIGHT, Shipping Method UPS-Air-Next Day Air Saver, BOL/Job 1ZH92Y061300695789, Source Location UFF USFDFW8G-The active cashbox P/N 4970529815 installed on the SCO now functions properly. The reported malfunction of the active cashbox was due to coinbox motor suffering from overheating due to slack holding screws causing it to vibrate Ã nd heat up as it works. The screws were made to be firm, and existing cashbox reused as substituting cashbox of P/N 4970533870 ia an invalid substitute in this case The reason for the suspension is the state of icon indicators.The icon indicator of validator blinks red. a swap of Validator from working lane confirmed validator is defective. Validator ordered.-LOM order processing, Part has been Ordered , Remedy Id 000000015022256 - (Pick Up)MN, Arden Hillsby Agent Auto CE pickup-Oracle Order Shipped for Remedy Id: U018905783, Order/Receipt # 182212531, Ordered Part 4970526620, Part Description - Crane  Xchange Validator Type A (Service Part), Shipment/Receipt #2118116553, Part has been Shipped, Qty 1, Priority NFO, Shipping Method CE Pickup After Hours, BOL/Job NA, Source Location UFF USFMSP1G-CEM4148145:Validator icon indicator kept blinking-SNFI has it that no closed SR for past 13 weeks.  Icon indicator on the coin recycler kept blinking, the validator was replaced. Manager Calie tested and verified SCO made successful transactions in cards and cards. Task closed.-New Item :7360-4010-9090 New Serial Number :57-60590106 Old Item :7360-4010-9090 Old Serial Number :57-60590106</t>
  </si>
  <si>
    <t>2025-09-25T17:05:25.000Z</t>
  </si>
  <si>
    <t>57-60588438</t>
  </si>
  <si>
    <t>BARCODE_READER</t>
  </si>
  <si>
    <t>827H</t>
  </si>
  <si>
    <t>2025-09-25T12:44:00.000Z</t>
  </si>
  <si>
    <t>2025-09-25T16:44:00.000Z</t>
  </si>
  <si>
    <t>COLUMBUS</t>
  </si>
  <si>
    <t>2025-09-25T12:50:00.000Z</t>
  </si>
  <si>
    <t>2025-09-25T16:50:00.000Z</t>
  </si>
  <si>
    <t>CHG</t>
  </si>
  <si>
    <t>JM185792</t>
  </si>
  <si>
    <t>MEIJER/FRESH THYME #926</t>
  </si>
  <si>
    <t>2025-09-18T16:54:02.000Z</t>
  </si>
  <si>
    <t>2025-09-18T20:54:02.000Z</t>
  </si>
  <si>
    <t>19KB</t>
  </si>
  <si>
    <t>19KB-THE CONSUMER USED THE ATM INAPPROPRIATELY AND CAUSED THE ATM TO BE OUT OF SERVICE</t>
  </si>
  <si>
    <t>2025-10-13T18:23:43.000Z</t>
  </si>
  <si>
    <t>2025-09-18T20:54:03.000Z</t>
  </si>
  <si>
    <t>2025-09-18T16:54:03.000Z</t>
  </si>
  <si>
    <t>G370-2599-0000</t>
  </si>
  <si>
    <t>as251244</t>
  </si>
  <si>
    <t>NO FAULT FOUND</t>
  </si>
  <si>
    <t>US133C</t>
  </si>
  <si>
    <t>Columbus OH</t>
  </si>
  <si>
    <t>Paul and rival spoke to Amy informed her that I do have a ticket for softball 16 and there was a customer using self. Checkout 16, but the issue was for bad speakers and the sell checkout speakers are fine. Did a some tests with Amy to verify it and no issue was found.</t>
  </si>
  <si>
    <t>2025-09-25T12:52:12.000Z</t>
  </si>
  <si>
    <t>No fault was found upon arrival self.Checkout sixteen speakers are working just fine tested with amy to confirm</t>
  </si>
  <si>
    <t>2025-09-25T12:52:13.000Z</t>
  </si>
  <si>
    <t>New Item :7360-4010-9090 New Serial Number :57-60588438 Old Item :7360-4010-9090 Old Serial Number :57-60588438</t>
  </si>
  <si>
    <t>Speakers on SCO16 sounds muffled  [Generated by Portal Login: most14 Contact: Staci Mowder 3096133038 ftfmsupport@rdspos.com]</t>
  </si>
  <si>
    <t>2025-09-18T16:54:04.000Z</t>
  </si>
  <si>
    <t>CE IS NOW US133C24</t>
  </si>
  <si>
    <t>2025-09-18T19:12:25.000Z</t>
  </si>
  <si>
    <t>CE WAS US133C24</t>
  </si>
  <si>
    <t>2025-09-23T08:48:44.000Z</t>
  </si>
  <si>
    <t>Speakers on SCO16 sounds muffled  [Generated by Portal Login: most14 Contact: Staci Mowder 3096133038 ftfmsupport@rdspos.com]-CE IS NOW US133C24-CE WAS US133C24-CE IS NOW US133J31-CE WAS US133J31-CE IS NOW US133C17-site address is incorrect. it should be 849 Polaris pkway Westerville, Ohio. not Columbus ohio-Paul and rival spoke to Amy informed her that I do have a ticket for softball 16 and there was a customer using self. Checkout 16, but the issue was for bad speakers and the sell checkout speakers are fine. Did a some tests with Amy to verify it and no issue was found.-No fault was found upon arrival self.Checkout sixteen speakers are working just fine tested with amy to confirm-New Item :7360-4010-9090 New Serial Number :57-60588438 Old Item :7360-4010-9090 Old Serial Number :57-60588438</t>
  </si>
  <si>
    <t>PR</t>
  </si>
  <si>
    <t>PRINTER</t>
  </si>
  <si>
    <t>2026-07-29T19:21:29.000Z</t>
  </si>
  <si>
    <t>57-60588422</t>
  </si>
  <si>
    <t>PRINTER_RECEIPT</t>
  </si>
  <si>
    <t>PR7C</t>
  </si>
  <si>
    <t>2026-07-29T14:44:00.000Z</t>
  </si>
  <si>
    <t>2026-07-29T18:44:00.000Z</t>
  </si>
  <si>
    <t>2026-07-29T15:08:00.000Z</t>
  </si>
  <si>
    <t>2026-07-29T19:08:00.000Z</t>
  </si>
  <si>
    <t>MM185619</t>
  </si>
  <si>
    <t>MEIJER/FRESH THYME #526</t>
  </si>
  <si>
    <t>2026-07-29T13:51:56.000Z</t>
  </si>
  <si>
    <t>2026-07-29T17:51:56.000Z</t>
  </si>
  <si>
    <t>19NP</t>
  </si>
  <si>
    <t>19NP-DAMAGE OF ATM BY REPLENISHER OR USER OF ATM</t>
  </si>
  <si>
    <t>2026-07-29T17:51:57.000Z</t>
  </si>
  <si>
    <t>2026-07-29T13:51:57.000Z</t>
  </si>
  <si>
    <t>7746-F242</t>
  </si>
  <si>
    <t>RESEAT PART/MODULE</t>
  </si>
  <si>
    <t>the tray sensor for the printer came unplugged from the printer control board. was able to disassemble the printer enough to be able to plug the cable back in. reassembled and tested. tested good. unit is now fully operational. informed sight that if they have more problems with that printer to re-call it back in and we'll replace the printer.</t>
  </si>
  <si>
    <t>2026-07-29T15:09:27.000Z</t>
  </si>
  <si>
    <t>New Item :7360-4010-9090 New Serial Number :57-60588422 Old Item :7360-4010-9090 Old Serial Number :57-60591352</t>
  </si>
  <si>
    <t>2026-07-29T15:09:29.000Z</t>
  </si>
  <si>
    <t>Printer error, says they need paper but new roll does not clear the error. The red and yellow wires are not plugged into the board anymore and unable to plug in Also missing the top plate for the printer cover. [Generated by Portal Login: coas14 Contact: Ashley Cooper 3092131564 ftfmsupport@rdspos.com]</t>
  </si>
  <si>
    <t>CE IS NOW US133E72</t>
  </si>
  <si>
    <t>2026-07-29T13:54:29.000Z</t>
  </si>
  <si>
    <t>Ernesto</t>
  </si>
  <si>
    <t>Printer error, says they need paper but new roll does not clear the error. The red and yellow wires are not plugged into the board anymore and unable to plug in Also missing the top plate for the printer cover. [Generated by Portal Login: coas14 Contact: Ashley Cooper 3092131564 ftfmsupport@rdspos.com]-CE IS NOW US133E72-Ernesto-the tray sensor for the printer came unplugged from the printer control board. was able to disassemble the printer enough to be able to plug the cable back in. reassembled and tested. tested good. unit is now fully operational. informed sight that if they have more problems with that printer to re-call it back in and we'll replace the printer.-the tray sensor for the printer came unplugged from the printer control board. was able to disassemble the printer enough to be able to plug the cable back in. reassembled and tested. tested good. unit is now fully operational. informed sight that if they have more problems with that printer to re-call it back in and we'll replace the printer.-New Item :7360-4010-9090 New Serial Number :57-60588422 Old Item :7360-4010-9090 Old Serial Number :57-60591352</t>
  </si>
  <si>
    <t>2026-07-18T22:06:10.000Z</t>
  </si>
  <si>
    <t>57-60591341</t>
  </si>
  <si>
    <t>2026-07-18T17:39:00.000Z</t>
  </si>
  <si>
    <t>2026-07-18T21:39:00.000Z</t>
  </si>
  <si>
    <t>2026-07-18T17:52:00.000Z</t>
  </si>
  <si>
    <t>2026-07-18T21:52:00.000Z</t>
  </si>
  <si>
    <t>TB185225</t>
  </si>
  <si>
    <t>MEIJER/FRESH THYME #523</t>
  </si>
  <si>
    <t>2026-07-17T14:52:17.000Z</t>
  </si>
  <si>
    <t>2026-07-17T18:52:17.000Z</t>
  </si>
  <si>
    <t>H400-0003-0000</t>
  </si>
  <si>
    <t>Lafayette IN</t>
  </si>
  <si>
    <t>D</t>
  </si>
  <si>
    <t>New Item :7360-4010-9090 New Serial Number :57-60591341 Old Item :7360-4010-9090 Old Serial Number :57-60591341</t>
  </si>
  <si>
    <t>2026-07-18T17:54:12.000Z</t>
  </si>
  <si>
    <t>Receipts on SCO12 printing very lightly and are not legible.   [Generated by Portal Login: most14 Contact: Staci Mowder 2694689716 FTFMSupport@rdspos.com]</t>
  </si>
  <si>
    <t>2026-07-17T14:52:18.000Z</t>
  </si>
  <si>
    <t>CE IS NOW US153R61</t>
  </si>
  <si>
    <t>2026-07-17T14:55:49.000Z</t>
  </si>
  <si>
    <t>Receipt printer had a small sliver of paper jammed between print head and cutting blade. Removed piece of paper and tested with MOD Maurice. Confirmed printer print quality is back to normal. Tested SCO and left in service with no issues present</t>
  </si>
  <si>
    <t>2026-07-18T17:54:10.000Z</t>
  </si>
  <si>
    <t>Receipts on SCO12 printing very lightly and are not legible.   [Generated by Portal Login: most14 Contact: Staci Mowder 2694689716 FTFMSupport@rdspos.com]-CE IS NOW US153R61-Receipt printer had a small sliver of paper jammed between print head and cutting blade. Removed piece of paper and tested with MOD Maurice. Confirmed printer print quality is back to normal. Tested SCO and left in service with no issues present-New Item :7360-4010-9090 New Serial Number :57-60591341 Old Item :7360-4010-9090 Old Serial Number :57-60591341</t>
  </si>
  <si>
    <t>2025-09-22T19:56:46.000Z</t>
  </si>
  <si>
    <t>57-60587770</t>
  </si>
  <si>
    <t>2025-09-22T12:24:00.000Z</t>
  </si>
  <si>
    <t>2025-09-22T16:24:00.000Z</t>
  </si>
  <si>
    <t>MAYFIELD HEIGHTS</t>
  </si>
  <si>
    <t>2025-09-22T15:40:00.000Z</t>
  </si>
  <si>
    <t>2025-09-22T19:40:00.000Z</t>
  </si>
  <si>
    <t>MB185576</t>
  </si>
  <si>
    <t>MEIJER/FRESH THYME #925</t>
  </si>
  <si>
    <t>2025-09-21T15:08:03.000Z</t>
  </si>
  <si>
    <t>2025-09-21T19:08:03.000Z</t>
  </si>
  <si>
    <t>2025-09-21T19:08:06.000Z</t>
  </si>
  <si>
    <t>2025-09-21T15:08:06.000Z</t>
  </si>
  <si>
    <t>6684-3000-6206</t>
  </si>
  <si>
    <t>Cleveland OH</t>
  </si>
  <si>
    <t>sco 16 replace active coin box. open PML and ran add. verify that coins can be dispense and accepted multiple times. verify with the team lead that sco 16 is working properly</t>
  </si>
  <si>
    <t>2025-09-22T15:42:14.000Z</t>
  </si>
  <si>
    <t>New Item :7360-4010-9090 New Serial Number :57-60587770 Old Item :7360-4010-9090 Old Serial Number :57-60587755</t>
  </si>
  <si>
    <t>2025-09-22T15:42:16.000Z</t>
  </si>
  <si>
    <t>Oracle Order Shipped for Remedy Id: U018757658, Order/Receipt # 181715126, Ordered Part 4970533870, Part Description - CR5000 Active Cashbox Type A (non-dissipative tracks) (Service Part), Shipment/Receipt #2110884625, Part has been Shipped, Qty 1, Priority OVERNIGHT, Shipping Method UPS-Air-Next Day Air Saver, BOL/Job 1ZJ21V721302559584, Source Location PDS DIR</t>
  </si>
  <si>
    <t>2025-09-25T22:05:00.000Z</t>
  </si>
  <si>
    <t>SCO16 has a Coin recycler error -Coin box motor jammed  [Generated by Portal Login: most14 Contact: Staci Mowder 3096133038 ftfmsupport@rdspos.com]</t>
  </si>
  <si>
    <t>CE IS NOW US133C75</t>
  </si>
  <si>
    <t>2025-09-21T15:18:28.000Z</t>
  </si>
  <si>
    <t>CE WAS US133C75</t>
  </si>
  <si>
    <t>2025-09-22T08:09:09.000Z</t>
  </si>
  <si>
    <t>SCO16 has a Coin recycler error -Coin box motor jammed  [Generated by Portal Login: most14 Contact: Staci Mowder 3096133038 ftfmsupport@rdspos.com]-CE IS NOW US133C75-CE WAS US133C75-CE IS NOW US133C73-metal piece inside active cashbox is bent out of place needs replaced part showing in c75 ppk-CE IS NOW US133C75-LOM order processing, Part has been Ordered , Remedy Id 000000014869320 - (Next Day) by Agent Auto VIP P000-CEM3941256:bad-sco 16 replace active coin box. open PML and ran add. verify that coins can be dispense and accepted multiple times. verify with the team lead that sco 16 is working properly-New Item :7360-4010-9090 New Serial Number :57-60587770 Old Item :7360-4010-9090 Old Serial Number :57-60587755-Oracle Order Shipped for Remedy Id: U018757658, Order/Receipt # 181715126, Ordered Part 4970533870, Part Description - CR5000 Active Cashbox Type A (non-dissipative tracks) (Service Part), Shipment/Receipt #2110884625, Part has been Shipped, Qty 1, Priority OVERNIGHT, Shipping Method UPS-Air-Next Day Air Saver, BOL/Job 1ZJ21V721302559584, Source Location PDS DIR</t>
  </si>
  <si>
    <t>2026-02-05T22:21:15.000Z</t>
  </si>
  <si>
    <t>57-60591328</t>
  </si>
  <si>
    <t>8P2Z</t>
  </si>
  <si>
    <t>2026-02-05T15:39:00.000Z</t>
  </si>
  <si>
    <t>2026-02-05T21:39:00.000Z</t>
  </si>
  <si>
    <t>PLYMOUTH</t>
  </si>
  <si>
    <t>2026-02-05T16:03:00.000Z</t>
  </si>
  <si>
    <t>2026-02-05T22:03:00.000Z</t>
  </si>
  <si>
    <t>PC185189</t>
  </si>
  <si>
    <t>MEIJER/FRESH THYME #546</t>
  </si>
  <si>
    <t>2026-02-05T14:01:21.000Z</t>
  </si>
  <si>
    <t>2026-02-05T20:01:21.000Z</t>
  </si>
  <si>
    <t>19KF</t>
  </si>
  <si>
    <t>19KF-FOREIGN OBJECT OR LIQUID INSERTED IN CHECK/CASH/COIN/CARD SLOTS</t>
  </si>
  <si>
    <t>2026-03-03T05:04:28.000Z</t>
  </si>
  <si>
    <t>2026-02-05T20:01:24.000Z</t>
  </si>
  <si>
    <t>2026-02-05T14:01:24.000Z</t>
  </si>
  <si>
    <t>H400-0181-1000</t>
  </si>
  <si>
    <t>2026/2</t>
  </si>
  <si>
    <t>register 17 was out of commission due to coin related problems. on examination found that the coin exceptor was blinking red and that the notes said transfer chamber blockage. opened up the machine and blew out a lot of dust and debris. reassembled the machine and ran a coin test on it successfully. everything seems to be working after reboot and the register is ready for cash operations. verified by Julia.</t>
  </si>
  <si>
    <t>2026-02-05T16:03:37.000Z</t>
  </si>
  <si>
    <t>New Item :7360-4010-9090 New Serial Number :57-60591328 Old Item :7360-4010-9090 Old Serial Number :57-60591328</t>
  </si>
  <si>
    <t>2026-02-05T16:03:38.000Z</t>
  </si>
  <si>
    <t>SCO17 has a Coin recycler error-Transfer chamber has overflowed  [Generated by Portal Login: most14 Contact: Staci Mowder 3096133038 ftfmsupport@rdspos.com]</t>
  </si>
  <si>
    <t>CE IS NOW US153R72</t>
  </si>
  <si>
    <t>2026-02-05T14:03:04.000Z</t>
  </si>
  <si>
    <t>Dust and debris blocking sensors. clear debris and blew out dust and everything's working fine</t>
  </si>
  <si>
    <t>SCO17 has a Coin recycler error-Transfer chamber has overflowed  [Generated by Portal Login: most14 Contact: Staci Mowder 3096133038 ftfmsupport@rdspos.com]-CE IS NOW US153R72-Dust and debris blocking sensors. clear debris and blew out dust and everything's working fine-register 17 was out of commission due to coin related problems. on examination found that the coin exceptor was blinking red and that the notes said transfer chamber blockage. opened up the machine and blew out a lot of dust and debris. reassembled the machine and ran a coin test on it successfully. everything seems to be working after reboot and the register is ready for cash operations. verified by Julia.-New Item :7360-4010-9090 New Serial Number :57-60591328 Old Item :7360-4010-9090 Old Serial Number :57-60591328</t>
  </si>
  <si>
    <t>2026-04-14T17:09:38.000Z</t>
  </si>
  <si>
    <t>57-60591323</t>
  </si>
  <si>
    <t>8PCY</t>
  </si>
  <si>
    <t>2026-04-14T12:21:00.000Z</t>
  </si>
  <si>
    <t>2026-04-14T16:21:00.000Z</t>
  </si>
  <si>
    <t>PLEASANT HILLS</t>
  </si>
  <si>
    <t>2026-04-14T12:54:00.000Z</t>
  </si>
  <si>
    <t>2026-04-14T16:54:00.000Z</t>
  </si>
  <si>
    <t>RS185660</t>
  </si>
  <si>
    <t>MEIJER/FRESH THYME #497</t>
  </si>
  <si>
    <t>2026-04-14T11:07:25.000Z</t>
  </si>
  <si>
    <t>2026-04-14T15:07:25.000Z</t>
  </si>
  <si>
    <t>2026-04-14T15:07:27.000Z</t>
  </si>
  <si>
    <t>2026-04-14T11:07:27.000Z</t>
  </si>
  <si>
    <t>H400-0119-0000</t>
  </si>
  <si>
    <t>US113H</t>
  </si>
  <si>
    <t>Pittsburgh PA</t>
  </si>
  <si>
    <t>New Item :7360-4010-9090 New Serial Number :57-60591323 Old Item :7360-4010-9090 Old Serial Number :57-60591389</t>
  </si>
  <si>
    <t>2026-04-14T12:55:13.000Z</t>
  </si>
  <si>
    <t>Coin recycler error, transfer chamber has overflowed- Error code: 16-6-0-99-67330 SCO 11 has been inoperable since Friday, 4/10.  [Generated by Portal Login: coas14 Contact: Ashley Cooper 3092131564 ftfmsupport@rdspos.com]</t>
  </si>
  <si>
    <t>CE IS NOW US133A18</t>
  </si>
  <si>
    <t>2026-04-14T11:26:05.000Z</t>
  </si>
  <si>
    <t>found debris underneath the sensor from pennies.  once removed and tested it is working properly</t>
  </si>
  <si>
    <t>2026-04-14T12:55:11.000Z</t>
  </si>
  <si>
    <t>Coin recycler error, transfer chamber has overflowed- Error code: 16-6-0-99-67330 SCO 11 has been inoperable since Friday, 4/10.  [Generated by Portal Login: coas14 Contact: Ashley Cooper 3092131564 ftfmsupport@rdspos.com]-CE IS NOW US133A18-found debris underneath the sensor from pennies.  once removed and tested it is working properly-New Item :7360-4010-9090 New Serial Number :57-60591323 Old Item :7360-4010-9090 Old Serial Number :57-60591389</t>
  </si>
  <si>
    <t>CABINETRY</t>
  </si>
  <si>
    <t>2026-06-28T22:12:12.000Z</t>
  </si>
  <si>
    <t>57-60591398</t>
  </si>
  <si>
    <t>366Z</t>
  </si>
  <si>
    <t>2026-06-28T16:07:00.000Z</t>
  </si>
  <si>
    <t>2026-06-28T21:07:00.000Z</t>
  </si>
  <si>
    <t>2026-06-28T16:56:00.000Z</t>
  </si>
  <si>
    <t>2026-06-28T21:56:00.000Z</t>
  </si>
  <si>
    <t>AB185649</t>
  </si>
  <si>
    <t>MEIJER/FRESH THYME #541</t>
  </si>
  <si>
    <t>2026-06-28T09:46:19.000Z</t>
  </si>
  <si>
    <t>2026-06-28T14:46:19.000Z</t>
  </si>
  <si>
    <t>2026-07-03T12:21:06.000Z</t>
  </si>
  <si>
    <t>2026/6</t>
  </si>
  <si>
    <t>CE IS NOW US153R27</t>
  </si>
  <si>
    <t>2026-06-28T13:05:48.000Z</t>
  </si>
  <si>
    <t>Front fascia cabinet door self-checkout #12 is difficult to open. Closes securely okay. Tested lock latches with door open. Lower latch codder pin obstruction. Removed codder pin &amp;amp; reseated.</t>
  </si>
  <si>
    <t>2026-06-28T16:58:11.000Z</t>
  </si>
  <si>
    <t>New Item :7360-4010-9090 New Serial Number :57-60591398 Old Item :7360-4010-9090 Old Serial Number :57-60591398</t>
  </si>
  <si>
    <t>2026-06-28T16:58:14.000Z</t>
  </si>
  <si>
    <t>The first door on SCO is hard to open. It appears the unlocking mechanism is not reaching to unlatch the door.  [Generated by Portal Login: coas14 Contact: Ashley Cooper 3092131564 ftfmsupport@rdspos.com]</t>
  </si>
  <si>
    <t>CE IS NOW US153R21</t>
  </si>
  <si>
    <t>2026-06-28T09:50:43.000Z</t>
  </si>
  <si>
    <t>CE WAS US153R21</t>
  </si>
  <si>
    <t>2026-06-28T13:05:47.000Z</t>
  </si>
  <si>
    <t>The first door on SCO is hard to open. It appears the unlocking mechanism is not reaching to unlatch the door.  [Generated by Portal Login: coas14 Contact: Ashley Cooper 3092131564 ftfmsupport@rdspos.com]-CE IS NOW US153R21-CE WAS US153R21-CE IS NOW US153R27-Front fascia cabinet door self-checkout #12 is difficult to open. Closes securely okay. Tested lock latches with door open. Lower latch codder pin obstruction. Removed codder pin &amp;amp; reseated.-New Item :7360-4010-9090 New Serial Number :57-60591398 Old Item :7360-4010-9090 Old Serial Number :57-60591398</t>
  </si>
  <si>
    <t>2026-04-30T16:22:37.000Z</t>
  </si>
  <si>
    <t>20-59067334</t>
  </si>
  <si>
    <t>2026-04-30T11:17:00.000Z</t>
  </si>
  <si>
    <t>2026-04-30T15:17:00.000Z</t>
  </si>
  <si>
    <t>TOLEDO</t>
  </si>
  <si>
    <t>2026-04-30T12:09:00.000Z</t>
  </si>
  <si>
    <t>2026-04-30T16:09:00.000Z</t>
  </si>
  <si>
    <t>MJR_DEFAULT</t>
  </si>
  <si>
    <t>MEIJER INC Default</t>
  </si>
  <si>
    <t>AK185683</t>
  </si>
  <si>
    <t>MEIJER/FRESH THYME #929</t>
  </si>
  <si>
    <t>2026-04-30T07:58:03.000Z</t>
  </si>
  <si>
    <t>2026-04-30T11:58:03.000Z</t>
  </si>
  <si>
    <t>57-60595333</t>
  </si>
  <si>
    <t>Toledo OH</t>
  </si>
  <si>
    <t>New Item :7360-4010-9090 New Serial Number :20-59067334 Old Item :7360-4010-9090 Old Serial Number :57-60595333</t>
  </si>
  <si>
    <t>2026-04-30T12:11:02.000Z</t>
  </si>
  <si>
    <t>LOM order processing, Part has been Ordered , Remedy Id 000000015031783 - (Next Day) by Agent Invalid Task Status E4</t>
  </si>
  <si>
    <t>2026-04-30T12:15:31.000Z</t>
  </si>
  <si>
    <t>Oracle Order Shipped for Remedy Id: U018914715, Order/Receipt # 182243437, Ordered Part 2881068398, Part Description - SCANNER- POS CORDLESS HANDHELD BARCODE IMAGER, Shipment/Receipt #2118315110, Part has been Shipped, Qty 1, Priority OVERNIGHT, Shipping Method UPS-Air-Next Day Air Saver, BOL/Job 1ZH928H61357287290, Source Location 040 OH</t>
  </si>
  <si>
    <t>2026-04-30T16:33:25.000Z</t>
  </si>
  <si>
    <t>SCO 15 is consistently jamming up after customer inserts and manager has to go in and manually clear it out, no errors.  [Generated by Portal Login: most14 Contact: Staci Mowder 3096133038 ftfmsupport@rdspos.com]</t>
  </si>
  <si>
    <t>CE IS NOW US133C42</t>
  </si>
  <si>
    <t>2026-04-30T07:58:59.000Z</t>
  </si>
  <si>
    <t>CEM4196454:defective</t>
  </si>
  <si>
    <t>2026-04-30T12:10:59.000Z</t>
  </si>
  <si>
    <t>SCO 15 is consistently jamming up after customer inserts and manager has to go in and manually clear it out, no errors.  [Generated by Portal Login: most14 Contact: Staci Mowder 3096133038 ftfmsupport@rdspos.com]-CE IS NOW US133C42-CEM4196454:defective-Validator had coins stuck inside. Old validator would not longer function, so I put on a new one. Ran updates. Accepted and dispensed coins with no issues. The SCO is functioning properly.-New Item :7360-4010-9090 New Serial Number :20-59067334 Old Item :7360-4010-9090 Old Serial Number :57-60595333-LOM order processing, Part has been Ordered , Remedy Id 000000015031783 - (Next Day) by Agent Invalid Task Status E4-Oracle Order Shipped for Remedy Id: U018914715, Order/Receipt # 182243437, Ordered Part 2881068398, Part Description - SCANNER- POS CORDLESS HANDHELD BARCODE IMAGER, Shipment/Receipt #2118315110, Part has been Shipped, Qty 1, Priority OVERNIGHT, Shipping Method UPS-Air-Next Day Air Saver, BOL/Job 1ZH928H61357287290, Source Location 040 OH</t>
  </si>
  <si>
    <t>Validator had coins stuck inside. Old validator would not longer function, so I put on a new one. Ran updates. Accepted and dispensed coins with no issues. The SCO is functioning properly.</t>
  </si>
  <si>
    <t>2026-04-30T12:11:00.000Z</t>
  </si>
  <si>
    <t>2026-01-11T22:26:24.000Z</t>
  </si>
  <si>
    <t>57-60591306</t>
  </si>
  <si>
    <t>2026-01-11T15:21:00.000Z</t>
  </si>
  <si>
    <t>2026-01-11T21:21:00.000Z</t>
  </si>
  <si>
    <t>2026-01-11T16:09:00.000Z</t>
  </si>
  <si>
    <t>2026-01-11T22:09:00.000Z</t>
  </si>
  <si>
    <t>TV185050</t>
  </si>
  <si>
    <t>MEIJER/FRESH THYME #493</t>
  </si>
  <si>
    <t>2026-01-11T13:38:49.000Z</t>
  </si>
  <si>
    <t>2026-01-11T19:38:49.000Z</t>
  </si>
  <si>
    <t>2026-03-10T05:47:11.000Z</t>
  </si>
  <si>
    <t>2026-01-11T19:38:50.000Z</t>
  </si>
  <si>
    <t>2026-01-11T13:38:50.000Z</t>
  </si>
  <si>
    <t>2026/1</t>
  </si>
  <si>
    <t>error cleared upon performing reset in pml. tested without further issue or incident self checkout lane number 15 mod allie</t>
  </si>
  <si>
    <t>2026-01-11T16:09:48.000Z</t>
  </si>
  <si>
    <t>New Item :7360-4010-9090 New Serial Number :57-60591306 Old Item :7360-4010-9090 Old Serial Number :57-60595344</t>
  </si>
  <si>
    <t>2026-01-11T16:09:50.000Z</t>
  </si>
  <si>
    <t>SCO15 has a coin recycler motor error  [Generated by Portal Login: most14 Contact: Staci Mowder 3096133038 ftfmsupport@rdspos.com]</t>
  </si>
  <si>
    <t>CE IS NOW US153N63</t>
  </si>
  <si>
    <t>2026-01-11T13:41:55.000Z</t>
  </si>
  <si>
    <t>NFF error cleared with reset</t>
  </si>
  <si>
    <t>SCO15 has a coin recycler motor error  [Generated by Portal Login: most14 Contact: Staci Mowder 3096133038 ftfmsupport@rdspos.com]-CE IS NOW US153N63-NFF error cleared with reset-error cleared upon performing reset in pml. tested without further issue or incident self checkout lane number 15 mod allie-New Item :7360-4010-9090 New Serial Number :57-60591306 Old Item :7360-4010-9090 Old Serial Number :57-60595344</t>
  </si>
  <si>
    <t>2026-01-16T01:03:10.000Z</t>
  </si>
  <si>
    <t>57-60587850</t>
  </si>
  <si>
    <t>2026-01-15T18:16:00.000Z</t>
  </si>
  <si>
    <t>2026-01-16T00:16:00.000Z</t>
  </si>
  <si>
    <t>APPLE VALLEY</t>
  </si>
  <si>
    <t>2026-01-15T18:44:00.000Z</t>
  </si>
  <si>
    <t>2026-01-16T00:44:00.000Z</t>
  </si>
  <si>
    <t>MEIJER/FRESH THYME #542</t>
  </si>
  <si>
    <t>2026-01-15T17:01:39.000Z</t>
  </si>
  <si>
    <t>2026-01-15T23:01:39.000Z</t>
  </si>
  <si>
    <t>2026-01-15T23:01:40.000Z</t>
  </si>
  <si>
    <t>2026-01-15T17:01:40.000Z</t>
  </si>
  <si>
    <t>7289-4173-9898</t>
  </si>
  <si>
    <t>New Item :7360-4010-9090 New Serial Number :57-60587850 Old Item :7360-4010-9090 Old Serial Number :57-60590095</t>
  </si>
  <si>
    <t>2026-01-15T18:47:17.000Z</t>
  </si>
  <si>
    <t>SCO13 scale is not weighing. Repeated scale error even after resetting cable on both ends and powering SCO off and back on completely.  [Generated by Portal Login: most14 Contact: Staci Mowder 3096133038 ftfmsupport@rdspos.com]</t>
  </si>
  <si>
    <t>CE IS NOW US153R79</t>
  </si>
  <si>
    <t>2026-01-15T17:23:25.000Z</t>
  </si>
  <si>
    <t>Scanner/scale was not tared out. Not displaying weight read-out at POS. Checked for debris, reseated 12V USB to RJ45. Scale cover glass was jammed up between the scale and sco surface. Reseated cover so it would not pinch between and create inaccurate/no weight readout.</t>
  </si>
  <si>
    <t>2026-01-15T18:47:15.000Z</t>
  </si>
  <si>
    <t>SCO13 scale is not weighing. Repeated scale error even after resetting cable on both ends and powering SCO off and back on completely.  [Generated by Portal Login: most14 Contact: Staci Mowder 3096133038 ftfmsupport@rdspos.com]-CE IS NOW US153R79-Scanner/scale was not tared out. Not displaying weight read-out at POS. Checked for debris, reseated 12V USB to RJ45. Scale cover glass was jammed up between the scale and sco surface. Reseated cover so it would not pinch between and create inaccurate/no weight readout.-New Item :7360-4010-9090 New Serial Number :57-60587850 Old Item :7360-4010-9090 Old Serial Number :57-60590095</t>
  </si>
  <si>
    <t>2025-09-17T15:45:33.000Z</t>
  </si>
  <si>
    <t>57-60588446</t>
  </si>
  <si>
    <t>2025-09-17T11:26:00.000Z</t>
  </si>
  <si>
    <t>2025-09-17T15:26:00.000Z</t>
  </si>
  <si>
    <t>2025-09-17T11:27:00.000Z</t>
  </si>
  <si>
    <t>2025-09-17T15:27:00.000Z</t>
  </si>
  <si>
    <t>MA185487</t>
  </si>
  <si>
    <t>MEIJER/FRESH THYME #648</t>
  </si>
  <si>
    <t>2025-09-16T17:53:08.000Z</t>
  </si>
  <si>
    <t>2025-09-16T21:53:08.000Z</t>
  </si>
  <si>
    <t>2025-09-16T21:53:11.000Z</t>
  </si>
  <si>
    <t>2025-09-16T17:53:11.000Z</t>
  </si>
  <si>
    <t>New Item :7360-4010-9090 New Serial Number :57-60588446 Old Item :7360-4010-9090 Old Serial Number :57-60588446</t>
  </si>
  <si>
    <t>2025-09-17T11:29:22.000Z</t>
  </si>
  <si>
    <t>Difficulty opening outer door with key on SCO18   [Generated by Portal Login: most14 Contact: Staci Mowder 3096133038 ftfmsupport@rdspos.com]</t>
  </si>
  <si>
    <t>2025-09-16T17:53:12.000Z</t>
  </si>
  <si>
    <t>CE IS NOW US133U14</t>
  </si>
  <si>
    <t>2025-09-16T18:10:37.000Z</t>
  </si>
  <si>
    <t>adjust the front cosmetic door lock and tested multiple times with manager on site working successfully</t>
  </si>
  <si>
    <t>2025-09-17T11:28:27.000Z</t>
  </si>
  <si>
    <t>Difficulty opening outer door with key on SCO18   [Generated by Portal Login: most14 Contact: Staci Mowder 3096133038 ftfmsupport@rdspos.com]-CE IS NOW US133U14-adjust the front cosmetic door lock and tested multiple times with manager on site working successfully-New Item :7360-4010-9090 New Serial Number :57-60588446 Old Item :7360-4010-9090 Old Serial Number :57-60588446</t>
  </si>
  <si>
    <t>2025-11-12T23:25:14.000Z</t>
  </si>
  <si>
    <t>57-60587853</t>
  </si>
  <si>
    <t>2025-11-11T13:55:00.000Z</t>
  </si>
  <si>
    <t>2025-11-11T19:55:00.000Z</t>
  </si>
  <si>
    <t>2025-11-12T17:11:00.000Z</t>
  </si>
  <si>
    <t>2025-11-12T23:11:00.000Z</t>
  </si>
  <si>
    <t>BO185025</t>
  </si>
  <si>
    <t>MEIJER/FRESH THYME #632</t>
  </si>
  <si>
    <t>2025-11-11T12:41:04.000Z</t>
  </si>
  <si>
    <t>2025-11-11T18:41:04.000Z</t>
  </si>
  <si>
    <t>2025-11-11T18:41:06.000Z</t>
  </si>
  <si>
    <t>2025-11-11T12:41:06.000Z</t>
  </si>
  <si>
    <t>7289-4172-9898</t>
  </si>
  <si>
    <t>Store632</t>
  </si>
  <si>
    <t>US153C</t>
  </si>
  <si>
    <t>Chicago IL</t>
  </si>
  <si>
    <t>2025/11</t>
  </si>
  <si>
    <t>CEM3833092:Quality</t>
  </si>
  <si>
    <t>2025-11-12T17:12:08.000Z</t>
  </si>
  <si>
    <t>Replaced defective Receipt Printer. Performed ADD. Verified Receipt Printer operation.</t>
  </si>
  <si>
    <t>New Item :7360-4010-9090 New Serial Number :57-60587853 Old Item :7360-4010-9090 Old Serial Number :57-60587853</t>
  </si>
  <si>
    <t>2025-11-12T17:12:10.000Z</t>
  </si>
  <si>
    <t>SCO 13 receipt printer is so faded that the receipts are unreadable  [Generated by Portal Login: besa14 Contact: Sabrina Bechtel 715-498-6611 ftfmsupport@rdspos.com]</t>
  </si>
  <si>
    <t>CE IS NOW US153C12</t>
  </si>
  <si>
    <t>2025-11-11T12:43:20.000Z</t>
  </si>
  <si>
    <t>Printer needs replacement due to it printing faded receipts. Part number needed is 4970506887</t>
  </si>
  <si>
    <t>2025-11-11T14:44:23.000Z</t>
  </si>
  <si>
    <t>SCO 13 receipt printer is so faded that the receipts are unreadable  [Generated by Portal Login: besa14 Contact: Sabrina Bechtel 715-498-6611 ftfmsupport@rdspos.com]-CE IS NOW US153C12-Printer needs replacement due to it printing faded receipts. Part number needed is 4970506887-LOM order processing, Part has been Ordered , Remedy Id FSC5399877 - (Next Day) by Agent mz185097-CE IS NOW US153C13-Oracle Order Shipped for Remedy Id: U018797926, Order/Receipt # 181848648, Ordered Part 4970536541, Part Description - SSCO6 80MM PRINTER 2-ST, Shipment/Receipt #2111920735, Part has been Shipped, Qty 1, Priority OVERNIGHT, Shipping Method UPS-Air-Next Day Air Saver, BOL/Job 1ZJ7141K0103452838, Source Location PDS DIR-CEM3833092:Quality-Replaced defective Receipt Printer. Performed ADD. Verified Receipt Printer operation.-New Item :7360-4010-9090 New Serial Number :57-60587853 Old Item :7360-4010-9090 Old Serial Number :57-60587853</t>
  </si>
  <si>
    <t>2025-08-24T00:31:32.000Z</t>
  </si>
  <si>
    <t>57-60595334</t>
  </si>
  <si>
    <t>2025-08-23T20:31:32.000Z</t>
  </si>
  <si>
    <t>SD185458</t>
  </si>
  <si>
    <t>2025-08-21T08:39:42.000Z</t>
  </si>
  <si>
    <t>2025-08-21T12:39:42.000Z</t>
  </si>
  <si>
    <t>2025-08-21T12:39:43.000Z</t>
  </si>
  <si>
    <t>2025-08-21T08:39:43.000Z</t>
  </si>
  <si>
    <t>duplicate @@@@@@@ticket, closing this ticket, ordering 8523501274 on other ticket after trouble shooting</t>
  </si>
  <si>
    <t>2025-08-23T16:48:26.000Z</t>
  </si>
  <si>
    <t>Duplicate of 7523105395</t>
  </si>
  <si>
    <t>2025-08-23T20:31:30.000Z</t>
  </si>
  <si>
    <t>CE WAS US133B54</t>
  </si>
  <si>
    <t>SCO13 not giving change(coins) back to customers. No errors  [Generated by Portal Login: most14 Contact: Staci Mowder 3096133038 ftfmsupport@rdspos.com]</t>
  </si>
  <si>
    <t>CE IS NOW US133B55</t>
  </si>
  <si>
    <t>2025-08-21T08:57:25.000Z</t>
  </si>
  <si>
    <t>CE WAS US133B55</t>
  </si>
  <si>
    <t>2025-08-23T06:12:38.000Z</t>
  </si>
  <si>
    <t>SCO13 not giving change(coins) back to customers. No errors  [Generated by Portal Login: most14 Contact: Staci Mowder 3096133038 ftfmsupport@rdspos.com]-CE IS NOW US133B55-CE WAS US133B55-CE IS NOW US133B54-Per CE US133B54, its a duplicate.-duplicate @@@@@@@ticket, closing this ticket, ordering 8523501274 on other ticket after trouble shooting-Duplicate of 7523105395-CE WAS US133B54</t>
  </si>
  <si>
    <t>Per CE US133B54, its a duplicate.</t>
  </si>
  <si>
    <t>2025-08-23T16:44:56.000Z</t>
  </si>
  <si>
    <t>2026-07-25T21:00:19.000Z</t>
  </si>
  <si>
    <t>57-60587848</t>
  </si>
  <si>
    <t>NR4Z</t>
  </si>
  <si>
    <t>2026-07-25T16:21:00.000Z</t>
  </si>
  <si>
    <t>2026-07-25T20:21:00.000Z</t>
  </si>
  <si>
    <t>NORTH CANTON</t>
  </si>
  <si>
    <t>2026-07-25T16:45:00.000Z</t>
  </si>
  <si>
    <t>2026-07-25T20:45:00.000Z</t>
  </si>
  <si>
    <t>TW185122</t>
  </si>
  <si>
    <t>MEIJER/FRESH THYME #931</t>
  </si>
  <si>
    <t>2026-07-25T14:51:02.000Z</t>
  </si>
  <si>
    <t>2026-07-25T18:51:02.000Z</t>
  </si>
  <si>
    <t>7932-1678-9898</t>
  </si>
  <si>
    <t>New Item :7360-4010-9090 New Serial Number :57-60587848 Old Item :7360-4010-9090 Old Serial Number :57-60587862</t>
  </si>
  <si>
    <t>2026-07-25T16:46:15.000Z</t>
  </si>
  <si>
    <t>Customer paid with $100 bill and only received $3 in change as if paid with a $10 but cameras show $100 was inserted.  Requesting onsite service today to help locate missing $100 bill please. [Generated by Portal Login: coas14 Contact: Ashley Cooper 3092131564 FTFMSupport@rdspos.com]</t>
  </si>
  <si>
    <t>CE IS NOW US133C48</t>
  </si>
  <si>
    <t>2026-07-25T14:57:22.000Z</t>
  </si>
  <si>
    <t>Instead, there was no issue with this machine.The machine was working perfectly.There was no $100 bill in this machine at all.I checked the cashbox.I checked the 10 cassettes, the one cassette I checked all the cassettes.There is no way that a hundred dollar bill was inserted into this machine</t>
  </si>
  <si>
    <t>2026-07-25T16:46:12.000Z</t>
  </si>
  <si>
    <t>Customer paid with $100 bill and only received $3 in change as if paid with a $10 but cameras show $100 was inserted.  Requesting onsite service today to help locate missing $100 bill please. [Generated by Portal Login: coas14 Contact: Ashley Cooper 3092131564 FTFMSupport@rdspos.com]-CE IS NOW US133C48-Instead, there was no issue with this machine.The machine was working perfectly.There was no $100 bill in this machine at all.I checked the cashbox.I checked the 10 cassettes, the one cassette I checked all the cassettes.There is no way that a hundred dollar bill was inserted into this machine-New Item :7360-4010-9090 New Serial Number :57-60587848 Old Item :7360-4010-9090 Old Serial Number :57-60587862</t>
  </si>
  <si>
    <t>2025-09-03T00:25:59.000Z</t>
  </si>
  <si>
    <t>57-60591359</t>
  </si>
  <si>
    <t>2025-09-01T20:00:00.000Z</t>
  </si>
  <si>
    <t>2025-09-02T01:00:00.000Z</t>
  </si>
  <si>
    <t>2025-09-02T19:09:00.000Z</t>
  </si>
  <si>
    <t>2025-09-03T00:09:00.000Z</t>
  </si>
  <si>
    <t>sw issues</t>
  </si>
  <si>
    <t>MEIJER/FRESH THYME #544</t>
  </si>
  <si>
    <t>2025-09-01T07:33:17.000Z</t>
  </si>
  <si>
    <t>2025-09-01T12:33:17.000Z</t>
  </si>
  <si>
    <t>CE IS NOW US153R70</t>
  </si>
  <si>
    <t>2025-09-02T15:44:27.000Z</t>
  </si>
  <si>
    <t>The Uninterruptible Power Suppy UPS was replaced because of the spent battery, making the autonomy  zero. The replacement was tested and verified by manager Katelyn for performing properly. Task closed.</t>
  </si>
  <si>
    <t>2025-09-02T19:11:11.000Z</t>
  </si>
  <si>
    <t>New Item :7360-4010-9090 New Serial Number :57-60591359 Old Item :7360-4010-9090 Old Serial Number :57-60590102</t>
  </si>
  <si>
    <t>2025-09-02T19:11:13.000Z</t>
  </si>
  <si>
    <t>Battery backup bad and needs to be replaced  [Generated by Portal Login: repa14 Contact: Patrick Reeves 3092411908 ftfmsupport@rdspos.com]</t>
  </si>
  <si>
    <t>2025-09-01T07:35:16.000Z</t>
  </si>
  <si>
    <t>-Customer states random shutdown on SCO Lane 12. -Customer request replacement of UPS on three SCO's. Confirmed with Patrick Reeves ph# 309-241-1908 email: ftfmsupport@rdspos.com. -UPS PID 4970527939. -On-site contacts: Katie Front End Lead &amp;amp; Kaitlyn MOD.</t>
  </si>
  <si>
    <t>2025-09-01T20:16:10.000Z</t>
  </si>
  <si>
    <t>Battery backup bad and needs to be replaced  [Generated by Portal Login: repa14 Contact: Patrick Reeves 3092411908 ftfmsupport@rdspos.com]-CE IS NOW US153R79--Customer states random shutdown on SCO Lane 12. -Customer request replacement of UPS on three SCO's. Confirmed with Patrick Reeves ph# 309-241-1908 email: ftfmsupport@rdspos.com. -UPS PID 4970527939. -On-site contacts: Katie Front End Lead &amp;amp; Kaitlyn MOD.-Ordering part for customer PID 4970527939.-LOM order processing, Ordered Part 4970527939, CE Original Part 4970527939, Remedy Id FSC5314222 - (Pick Up)MN, Arden Hillsby Agent to250050-Oracle Order Shipped for Remedy Id: U018740487, Order/Receipt # 181663989, Ordered Part 4970527939, Part Description - R6.0 UPS 110V 800VA with USB communication port, Shipment/Receipt #2110375738, Substitute Part was Shipped, Part has been Shipped, Qty 1, Priority NFO, Shipping Method CE Pickup After Hours, BOL/Job NA, Source Location UFF USFMSP1G-CE IS NOW US153R70-The Uninterruptible Power Suppy UPS was replaced because of the spent battery, making the autonomy  zero. The replacement was tested and verified by manager Katelyn for performing properly. Task closed.-New Item :7360-4010-9090 New Serial Number :57-60591359 Old Item :7360-4010-9090 Old Serial Number :57-60590102</t>
  </si>
  <si>
    <t>-Customer states random shutdown on SCO Lane 12.
-Customer request replacement of UPS on three SCO's. Confirmed with Patrick Reeves ph# 309-241-1908 email: ftfmsupport@rdspos.com.
-UPS PID 4970527939.
-On-site contacts: Katie Front End Lead &amp; Kaitlyn MOD.</t>
  </si>
  <si>
    <t>2025-09-01T20:16:14.000Z</t>
  </si>
  <si>
    <t>2026-04-25T21:13:42.000Z</t>
  </si>
  <si>
    <t>57-60587767</t>
  </si>
  <si>
    <t>36V8</t>
  </si>
  <si>
    <t>2026-04-25T14:59:00.000Z</t>
  </si>
  <si>
    <t>2026-04-25T19:59:00.000Z</t>
  </si>
  <si>
    <t>2026-04-25T16:00:00.000Z</t>
  </si>
  <si>
    <t>2026-04-25T21:00:00.000Z</t>
  </si>
  <si>
    <t>MEIJER/FRESH THYME #633</t>
  </si>
  <si>
    <t>2026-04-24T15:29:40.000Z</t>
  </si>
  <si>
    <t>2026-04-24T20:29:40.000Z</t>
  </si>
  <si>
    <t>7772-F033</t>
  </si>
  <si>
    <t>LOV</t>
  </si>
  <si>
    <t>CE IS NOW US153C13</t>
  </si>
  <si>
    <t>2026-04-24T20:06:48.000Z</t>
  </si>
  <si>
    <t>Lock out of alignment. Adjusted dual Latch Assembly.  Verified operation with several lock operations.</t>
  </si>
  <si>
    <t>2026-04-25T16:02:22.000Z</t>
  </si>
  <si>
    <t>New Item :7360-4010-9090 New Serial Number :57-60587767 Old Item :7360-4010-9090 Old Serial Number :57-60587767</t>
  </si>
  <si>
    <t>2026-04-25T16:02:24.000Z</t>
  </si>
  <si>
    <t>Outer door is jammed shut on SCO 13.  [Generated by Portal Login: coas14 Contact: Ashley Cooper 3092131564 ftfmsupport@rdspos.com]</t>
  </si>
  <si>
    <t>CE IS NOW US153C05</t>
  </si>
  <si>
    <t>2026-04-24T15:32:28.000Z</t>
  </si>
  <si>
    <t>CE WAS US153C05</t>
  </si>
  <si>
    <t>2026-04-24T20:06:47.000Z</t>
  </si>
  <si>
    <t>Outer door is jammed shut on SCO 13.  [Generated by Portal Login: coas14 Contact: Ashley Cooper 3092131564 ftfmsupport@rdspos.com]-CE IS NOW US153C05-CE WAS US153C05-CE IS NOW US153C13-Lock out of alignment. Adjusted dual Latch Assembly.  Verified operation with several lock operations.-New Item :7360-4010-9090 New Serial Number :57-60587767 Old Item :7360-4010-9090 Old Serial Number :57-60587767</t>
  </si>
  <si>
    <t>2025-11-20T19:05:54.000Z</t>
  </si>
  <si>
    <t>57-60588442</t>
  </si>
  <si>
    <t>2025-11-10T10:55:00.000Z</t>
  </si>
  <si>
    <t>2025-11-10T15:55:00.000Z</t>
  </si>
  <si>
    <t>INDIANAPOLIS</t>
  </si>
  <si>
    <t>2025-11-20T13:48:00.000Z</t>
  </si>
  <si>
    <t>2025-11-20T18:48:00.000Z</t>
  </si>
  <si>
    <t>Trilights</t>
  </si>
  <si>
    <t>AE185132</t>
  </si>
  <si>
    <t>MEIJER/FRESH THYME #522</t>
  </si>
  <si>
    <t>2025-11-10T09:00:25.000Z</t>
  </si>
  <si>
    <t>2025-11-10T14:00:25.000Z</t>
  </si>
  <si>
    <t>2025-12-04T18:40:56.000Z</t>
  </si>
  <si>
    <t>2025-11-10T14:00:31.000Z</t>
  </si>
  <si>
    <t>2025-11-10T09:00:31.000Z</t>
  </si>
  <si>
    <t>7746-F170</t>
  </si>
  <si>
    <t>US113P</t>
  </si>
  <si>
    <t>CEM3994672:green light does not turn on</t>
  </si>
  <si>
    <t>2025-11-20T13:49:27.000Z</t>
  </si>
  <si>
    <t>Arrived on site. Task was to replace trilight on sco12. Replaced broken trilight with the new one. Tested trilight in PML with no issues. Confirmed with Christian.</t>
  </si>
  <si>
    <t>New Item :7360-4010-9090 New Serial Number :57-60588442 Old Item :7360-4010-9090 Old Serial Number :57-60588404</t>
  </si>
  <si>
    <t>2025-11-20T13:49:29.000Z</t>
  </si>
  <si>
    <t>SCO 12 tri-light is broken, and it has no voice sound, example &amp;quot;call for help&amp;quot;   [Generated by Portal Login: besa14 Contact: Sabrina Bechtel 715-498-6611 ftfmsupport@rdspos.com]</t>
  </si>
  <si>
    <t>2025-11-10T09:00:32.000Z</t>
  </si>
  <si>
    <t>CE IS NOW US133E76</t>
  </si>
  <si>
    <t>2025-11-10T09:13:57.000Z</t>
  </si>
  <si>
    <t>not getting any audio from had unit. checked sounds settings and is responding visually to audio changes but not making any sound. ordering new speakers for had unit 4970531960</t>
  </si>
  <si>
    <t>2025-11-10T11:35:55.000Z</t>
  </si>
  <si>
    <t>SCO 12 tri-light is broken, and it has no voice sound, example &amp;quot;call for help&amp;quot;   [Generated by Portal Login: besa14 Contact: Sabrina Bechtel 715-498-6611 ftfmsupport@rdspos.com]-CE IS NOW US133E76-not getting any audio from had unit. checked sounds settings and is responding visually to audio changes but not making any sound. ordering new speakers for had unit 4970531960-LOM order processing, Part has been Ordered , Remedy Id 000000014909044 - (Pick Up)IN, Indianapolisby Agent Auto CE pickup-Oracle Order Shipped for Remedy Id: U018796774, Order/Receipt # 181845810, Ordered Part 4970531960, Part Description - ASSEMBLY, SPEAKERS WITH ENCLOSURES, Shipment/Receipt #2111883351, Part has been Shipped, Qty 1, Priority NFO, Shipping Method CE Pickup After Hours, BOL/Job NA, Source Location UFF USFIND1G-CE IS NOW US133E77-Arrived on site. Issue stated that the trilight was broken and that the speakers weren't working. Part for speakers had been ordered, but a new trilight had not been ordered. Speaker replacement went smoothly with no issues and unit is making sounds again. Trilight's green light isn't working, all other lights work with no issue. Ordering replacement part 4970525295.-LOM order processing, Part has been Ordered , Remedy Id 000000014909856 - (Next Day) by Agent Auto VIP P932-Oracle Order Shipped for Remedy Id: U018797537, Order/Receipt # 181848078, Ordered Part 4970525295, Part Description - KIT - R6 TRI-LIGHT W/IP CAMERA, Shipment/Receipt #2112022641, Part has been Shipped, Qty 1, Priority OVERNIGHT, Shipping Method UPS-Air-Next Day Air Saver, BOL/Job 1ZH92Y051301944509, Source Location PTC AVL-CEM3994672:green light does not turn on-Arrived on site. Task was to replace trilight on sco12. Replaced broken trilight with the new one. Tested trilight in PML with no issues. Confirmed with Christian.-New Item :7360-4010-9090 New Serial Number :57-60588442 Old Item :7360-4010-9090 Old Serial Number :57-60588404</t>
  </si>
  <si>
    <t>2026-07-20T21:42:11.000Z</t>
  </si>
  <si>
    <t>57-60591369</t>
  </si>
  <si>
    <t>2026-07-20T16:53:00.000Z</t>
  </si>
  <si>
    <t>2026-07-20T20:53:00.000Z</t>
  </si>
  <si>
    <t>2026-07-20T17:24:00.000Z</t>
  </si>
  <si>
    <t>2026-07-20T21:24:00.000Z</t>
  </si>
  <si>
    <t>SB185525</t>
  </si>
  <si>
    <t>MEIJER/FRESH THYME #524</t>
  </si>
  <si>
    <t>2026-07-20T09:25:46.000Z</t>
  </si>
  <si>
    <t>2026-07-20T13:25:46.000Z</t>
  </si>
  <si>
    <t>Ft Wayne IN</t>
  </si>
  <si>
    <t>CEM4332749:x</t>
  </si>
  <si>
    <t>2026-07-20T17:01:16.000Z</t>
  </si>
  <si>
    <t>I had to replace the defective uninterruptible power supply for the self-checkout unit at the Meijer fresh thyme store. I tested the unit and confirm that it's working properly at this time with no issues</t>
  </si>
  <si>
    <t>2026-07-20T17:25:54.000Z</t>
  </si>
  <si>
    <t>New Item :7360-4010-9090 New Serial Number :57-60591369 Old Item :7360-4010-9090 Old Serial Number :57-60591393</t>
  </si>
  <si>
    <t>2026-07-20T17:25:57.000Z</t>
  </si>
  <si>
    <t>SCO12 not powering on. May need battery backup replaced   [Generated by Portal Login: most14 Contact: Staci Mowder 2694689716 FTFMSupport@rdspos.com]</t>
  </si>
  <si>
    <t>CE IS NOW US133E64</t>
  </si>
  <si>
    <t>2026-07-20T09:36:15.000Z</t>
  </si>
  <si>
    <t>CE WAS US133E64</t>
  </si>
  <si>
    <t>2026-07-20T11:17:29.000Z</t>
  </si>
  <si>
    <t>SCO12 not powering on. May need battery backup replaced   [Generated by Portal Login: most14 Contact: Staci Mowder 2694689716 FTFMSupport@rdspos.com]-CE IS NOW US133E64-CE WAS US133E64-CE IS NOW US133E62-CEM4332749:x-I had to replace the defective uninterruptible power supply for the self-checkout unit at the Meijer fresh thyme store. I tested the unit and confirm that it's working properly at this time with no issues-New Item :7360-4010-9090 New Serial Number :57-60591369 Old Item :7360-4010-9090 Old Serial Number :57-60591393</t>
  </si>
  <si>
    <t>2026-01-03T00:55:44.000Z</t>
  </si>
  <si>
    <t>57-60595330</t>
  </si>
  <si>
    <t>8PQ7</t>
  </si>
  <si>
    <t>2025-12-21T18:37:00.000Z</t>
  </si>
  <si>
    <t>2025-12-21T23:37:00.000Z</t>
  </si>
  <si>
    <t>2026-01-02T16:37:00.000Z</t>
  </si>
  <si>
    <t>2026-01-02T21:37:00.000Z</t>
  </si>
  <si>
    <t>weather</t>
  </si>
  <si>
    <t>2025-12-20T20:45:16.000Z</t>
  </si>
  <si>
    <t>2025-12-21T01:45:16.000Z</t>
  </si>
  <si>
    <t>CEM4066604:track separating</t>
  </si>
  <si>
    <t>2026-01-02T16:37:58.000Z</t>
  </si>
  <si>
    <t>penny hopper track separated. replaced hopper, reloaded all coins, and tested working</t>
  </si>
  <si>
    <t>New Item :7360-4010-9090 New Serial Number :57-60595330 Old Item :7360-4010-9090 Old Serial Number :57-60595316</t>
  </si>
  <si>
    <t>2026-01-02T16:38:00.000Z</t>
  </si>
  <si>
    <t>SCO 13 will not dispense coins  [Generated by Portal Login: coas14 Contact: Ashley Cooper 3092131564 ftfmsupport@rdspos.com]</t>
  </si>
  <si>
    <t>CE IS NOW US133A52</t>
  </si>
  <si>
    <t>2025-12-20T21:06:43.000Z</t>
  </si>
  <si>
    <t>CE WAS US133A52</t>
  </si>
  <si>
    <t>2025-12-21T07:55:30.000Z</t>
  </si>
  <si>
    <t>SCO 13 will not dispense coins  [Generated by Portal Login: coas14 Contact: Ashley Cooper 3092131564 ftfmsupport@rdspos.com]-CE IS NOW US133A52-CE WAS US133A52-CE IS NOW US133B52-needs new pennies hopper. suggest replacing wake up sensor aswell-arravied to site cleaned out the coin and note side and found no issue with the equipment. restarted tried running a test on the machine. pennies will not dispense. ordering new wake up sensor kit and pennies hopper.-LOM order processing, Part has been Ordered , Remedy Id 000000014941647 - (Next Day) by Agent Auto VIP P000-Oracle Order Shipped for Remedy Id: U018828996, Order/Receipt # 181945706, Ordered Part 4970531847, Part Description - Service Part - SCS Hopper Type G Build Revision 16 with SD card (single pack), Shipment/Receipt #2114011572, Substitute Part was Shipped, Part has been Shipped, Qty 1, Priority OVERNIGHT, Shipping Method UPS-Air-Next Day Air Saver, BOL/Job 1ZH92Y051302127686, Source Location PTC AVL-CE IS NOW US133B46-Did not have the correct part, will have call moved to CE with correct part who starts at 1.-LOM order processing, Part has been Ordered , Remedy Id 000000014943627 - (Next Day) by Agent AUTO VIP-Oracle Order Shipped for Remedy Id: U018830827, Order/Receipt # 181954215, Ordered Part 4970522511, Part Description - Crane XChange A hopper (service part), Shipment/Receipt #2114180017, Part has been Shipped, Qty 1, Priority OVERNIGHT, Shipping Method UPS-Air-Next Day Air Saver, BOL/Job 1ZH92Y061300597653, Source Location UFF USFATL1G-CE IS NOW US133B52-CE IS NOW US133B47-CEM4066604:track separating-penny hopper track separated. replaced hopper, reloaded all coins, and tested working-New Item :7360-4010-9090 New Serial Number :57-60595330 Old Item :7360-4010-9090 Old Serial Number :57-60595316</t>
  </si>
  <si>
    <t>2025-10-29T16:08:44.000Z</t>
  </si>
  <si>
    <t>57-60587784</t>
  </si>
  <si>
    <t>2025-10-29T11:34:00.000Z</t>
  </si>
  <si>
    <t>2025-10-29T15:34:00.000Z</t>
  </si>
  <si>
    <t>2025-10-29T11:55:00.000Z</t>
  </si>
  <si>
    <t>2025-10-29T15:55:00.000Z</t>
  </si>
  <si>
    <t>TC185230</t>
  </si>
  <si>
    <t>MEIJER/FRESH THYME #640</t>
  </si>
  <si>
    <t>2025-10-28T14:28:45.000Z</t>
  </si>
  <si>
    <t>2025-10-28T18:28:45.000Z</t>
  </si>
  <si>
    <t>2025-10-28T18:28:46.000Z</t>
  </si>
  <si>
    <t>2025-10-28T14:28:46.000Z</t>
  </si>
  <si>
    <t>7499-0069-9898</t>
  </si>
  <si>
    <t>Lansing MI</t>
  </si>
  <si>
    <t>CE IS NOW US133B36</t>
  </si>
  <si>
    <t>2025-10-29T06:39:17.000Z</t>
  </si>
  <si>
    <t>@@@ checked in with head cashier.  issue- coin overflow error.  fix- cleared debris from overflow sensor.  tested multiple times to confirm it was fully functional.  checked out with head cashier @@@</t>
  </si>
  <si>
    <t>2025-10-29T11:55:58.000Z</t>
  </si>
  <si>
    <t>New Item :7360-4010-9090 New Serial Number :57-60587784 Old Item :7360-4010-9090 Old Serial Number :57-60587784</t>
  </si>
  <si>
    <t>2025-10-29T11:56:00.000Z</t>
  </si>
  <si>
    <t>SCO 16 has a coin recycler error transfer chamber has overflowed error code 16-6-0-99-67330  [Generated by Portal Login: besa14 Contact: Sabrina Bechtel 715-498-6611 ftfmsupport@rdspos.com]</t>
  </si>
  <si>
    <t>CE IS NOW US133B31</t>
  </si>
  <si>
    <t>2025-10-28T14:30:34.000Z</t>
  </si>
  <si>
    <t>CE WAS US133B31</t>
  </si>
  <si>
    <t>2025-10-29T06:39:16.000Z</t>
  </si>
  <si>
    <t>SCO 16 has a coin recycler error transfer chamber has overflowed error code 16-6-0-99-67330  [Generated by Portal Login: besa14 Contact: Sabrina Bechtel 715-498-6611 ftfmsupport@rdspos.com]-CE IS NOW US133B31-CE WAS US133B31-CE IS NOW US133B36-@@@ checked in with head cashier.  issue- coin overflow error.  fix- cleared debris from overflow sensor.  tested multiple times to confirm it was fully functional.  checked out with head cashier @@@-New Item :7360-4010-9090 New Serial Number :57-60587784 Old Item :7360-4010-9090 Old Serial Number :57-60587784</t>
  </si>
  <si>
    <t>2026-01-05T18:24:01.000Z</t>
  </si>
  <si>
    <t>20-58973576</t>
  </si>
  <si>
    <t>2026-01-05T13:01:00.000Z</t>
  </si>
  <si>
    <t>2026-01-05T18:01:00.000Z</t>
  </si>
  <si>
    <t>2026-01-05T13:05:00.000Z</t>
  </si>
  <si>
    <t>2026-01-05T18:05:00.000Z</t>
  </si>
  <si>
    <t>NM185340</t>
  </si>
  <si>
    <t>MEIJER/FRESH THYME #928</t>
  </si>
  <si>
    <t>2026-01-05T09:28:01.000Z</t>
  </si>
  <si>
    <t>2026-01-05T14:28:01.000Z</t>
  </si>
  <si>
    <t>57-60587723</t>
  </si>
  <si>
    <t>CE IS NOW US133C72</t>
  </si>
  <si>
    <t>2026-01-05T10:54:41.000Z</t>
  </si>
  <si>
    <t>cleaned entire inside of self checkout, only some extra dust.</t>
  </si>
  <si>
    <t>2026-01-05T13:06:23.000Z</t>
  </si>
  <si>
    <t>New Item :7360-4010-9090 New Serial Number :20-58973576 Old Item :7360-4010-9090 Old Serial Number :57-60587723</t>
  </si>
  <si>
    <t>2026-01-05T13:06:25.000Z</t>
  </si>
  <si>
    <t>SCO 18 needs an annual PM, please clean and blow out the sco, store requested  [Generated by Portal Login: besa14 Contact: Sabrina Bechtel 715-498-6611 ftfmsupport@rdspos.com]</t>
  </si>
  <si>
    <t>CE IS NOW US133C71</t>
  </si>
  <si>
    <t>2026-01-05T09:28:11.000Z</t>
  </si>
  <si>
    <t>CE WAS US133C71</t>
  </si>
  <si>
    <t>2026-01-05T09:52:01.000Z</t>
  </si>
  <si>
    <t>SCO 18 needs an annual PM, please clean and blow out the sco, store requested  [Generated by Portal Login: besa14 Contact: Sabrina Bechtel 715-498-6611 ftfmsupport@rdspos.com]-CE IS NOW US133C71-CE WAS US133C71-CE IS NOW US133C72-CE IS NOW US133C72-cleaned entire inside of self checkout, only some extra dust.-New Item :7360-4010-9090 New Serial Number :20-58973576 Old Item :7360-4010-9090 Old Serial Number :57-60587723</t>
  </si>
  <si>
    <t>2025-09-03T19:33:27.000Z</t>
  </si>
  <si>
    <t>57-60590099</t>
  </si>
  <si>
    <t>2025-09-03T13:17:00.000Z</t>
  </si>
  <si>
    <t>2025-09-03T18:17:00.000Z</t>
  </si>
  <si>
    <t>2025-09-03T13:23:00.000Z</t>
  </si>
  <si>
    <t>2025-09-03T18:23:00.000Z</t>
  </si>
  <si>
    <t>DB185227</t>
  </si>
  <si>
    <t>2025-09-03T10:25:48.000Z</t>
  </si>
  <si>
    <t>2025-09-03T15:25:48.000Z</t>
  </si>
  <si>
    <t>2025-09-03T15:25:50.000Z</t>
  </si>
  <si>
    <t>2025-09-03T10:25:50.000Z</t>
  </si>
  <si>
    <t>CE IS NOW US153R73</t>
  </si>
  <si>
    <t>2025-09-03T10:35:42.000Z</t>
  </si>
  <si>
    <t>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t>
  </si>
  <si>
    <t>2025-09-03T14:18:51.000Z</t>
  </si>
  <si>
    <t>New Item :7360-4010-9090 New Serial Number :57-60590099 Old Item :7360-4010-9090 Old Serial Number :57-60590099</t>
  </si>
  <si>
    <t>2025-09-03T14:18:54.000Z</t>
  </si>
  <si>
    <t>SCO 11 will not power on, needs the battery backup replaced  [Generated by Portal Login: besa14 Contact: Sabrina Bechtel 715-498-6611 ftfmsupport@rdspos.com]</t>
  </si>
  <si>
    <t>CE IS NOW US153R78</t>
  </si>
  <si>
    <t>2025-09-03T10:26:52.000Z</t>
  </si>
  <si>
    <t>CE WAS US153R78</t>
  </si>
  <si>
    <t>2025-09-03T10:35:40.000Z</t>
  </si>
  <si>
    <t>SCO 11 will not power on, needs the battery backup replaced  [Generated by Portal Login: besa14 Contact: Sabrina Bechtel 715-498-6611 ftfmsupport@rdspos.com]-CE IS NOW US153R78-CE WAS US153R78-CE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:57-60590099 Old Item :7360-4010-9090 Old Serial Number :57-60590099</t>
  </si>
  <si>
    <t>2026-06-30T20:15:13.000Z</t>
  </si>
  <si>
    <t>57-60587849</t>
  </si>
  <si>
    <t>2026-06-29T12:39:00.000Z</t>
  </si>
  <si>
    <t>2026-06-29T17:39:00.000Z</t>
  </si>
  <si>
    <t>2026-06-30T15:00:00.000Z</t>
  </si>
  <si>
    <t>2026-06-30T20:00:00.000Z</t>
  </si>
  <si>
    <t>CHGC -   damaged lock.</t>
  </si>
  <si>
    <t>DL185157</t>
  </si>
  <si>
    <t>2026-06-28T20:11:23.000Z</t>
  </si>
  <si>
    <t>2026-06-29T01:11:23.000Z</t>
  </si>
  <si>
    <t>Store493</t>
  </si>
  <si>
    <t>CHGC 1</t>
  </si>
  <si>
    <t>Lock for SCO door was damaged and key would not turn. latch mechanism was bent from user forcing the door open</t>
  </si>
  <si>
    <t>2026-06-30T15:00:45.000Z</t>
  </si>
  <si>
    <t>New Item :7360-4010-9090 New Serial Number :57-60587849 Old Item :7360-4010-9090 Old Serial Number :57-60587849</t>
  </si>
  <si>
    <t>2026-06-30T15:00:47.000Z</t>
  </si>
  <si>
    <t>Outer door lock is jammed, unable to open SCO at all  [Generated by Portal Login: coas14 Contact: Ashley Cooper 3092131564 ftfmsupport@rdspos.com]</t>
  </si>
  <si>
    <t>2026-06-28T20:22:43.000Z</t>
  </si>
  <si>
    <t>damaged lock.</t>
  </si>
  <si>
    <t>2026-06-29T13:30:13.000Z</t>
  </si>
  <si>
    <t>Outer door lock is jammed, unable to open SCO at all  [Generated by Portal Login: coas14 Contact: Ashley Cooper 3092131564 ftfmsupport@rdspos.com]-CE IS NOW US153N64-damaged lock.-the lock is damaged so is not pulling  the pulley assembly correctly. ordering replacement dual latch assembly. the latches the screw into the safe door are inside the coupon compartment.-part needed is 4970537247.  part is available at the ESL.-CE WAS US153N64-CE IS NOW US153N62-CE WAS US153N62-CE IS NOW US153N76-LOM order processing, Part has been Ordered , Remedy Id 000000015073565 - (Pick Up)MO, Fentonby Agent Auto CE pickup-Oracle Order Shipped for Remedy Id: U018952788, Order/Receipt # 182385205, Ordered Part 4970537247, Part Description - SERVICE ASSEMBLY - DUAL LATCH DOOR, Shipment/Receipt #2119541557, Part has been Shipped, Qty 1, Priority NFO, Shipping Method CE Pickup After Hours, BOL/Job NA, Source Location UFF USFSTL1G-Lock for SCO door was damaged and key would not turn. latch mechanism was bent from user forcing the door open-Lock for SCO door was damaged and key would not turn. latch mechanism was bent from user forcing the door open-New Item :7360-4010-9090 New Serial Number :57-60587849 Old Item :7360-4010-9090 Old Serial Number :57-60587849</t>
  </si>
  <si>
    <t>2026-03-01T18:43:59.000Z</t>
  </si>
  <si>
    <t>57-60595352</t>
  </si>
  <si>
    <t>2026-03-01T11:40:00.000Z</t>
  </si>
  <si>
    <t>2026-03-01T17:40:00.000Z</t>
  </si>
  <si>
    <t>2026-03-01T12:29:00.000Z</t>
  </si>
  <si>
    <t>2026-03-01T18:29:00.000Z</t>
  </si>
  <si>
    <t>JB185636</t>
  </si>
  <si>
    <t>MEIJER/FRESH THYME #639</t>
  </si>
  <si>
    <t>2026-03-01T09:25:10.000Z</t>
  </si>
  <si>
    <t>2026-03-01T15:25:10.000Z</t>
  </si>
  <si>
    <t>2026-04-01T23:00:41.000Z</t>
  </si>
  <si>
    <t>2026-03-01T15:25:11.000Z</t>
  </si>
  <si>
    <t>2026-03-01T09:25:11.000Z</t>
  </si>
  <si>
    <t>Store639</t>
  </si>
  <si>
    <t>2026/3</t>
  </si>
  <si>
    <t>New Item :7360-4010-9090 New Serial Number :57-60595352 Old Item :7360-4010-9090 Old Serial Number :57-60595352</t>
  </si>
  <si>
    <t>2026-03-01T12:31:00.000Z</t>
  </si>
  <si>
    <t>SCO 15 has a coin recycler error accept/reject flap not working or jammed error code 16-6-0-99-132097  [Generated by Portal Login: besa14 Contact: Sabrina Bechtel 715-498-6611 sbechtel@rdspos.com]</t>
  </si>
  <si>
    <t>CE IS NOW US153C14</t>
  </si>
  <si>
    <t>2026-03-01T09:28:02.000Z</t>
  </si>
  <si>
    <t>sco 15 validator had coin wrapper paper jammed and onion peel. removed the debris. error cleared . Tested accept and dispense of each denomination in pml. tests successful. verified resolution with manager Laura.</t>
  </si>
  <si>
    <t>2026-03-01T12:30:57.000Z</t>
  </si>
  <si>
    <t>SCO 15 has a coin recycler error accept/reject flap not working or jammed error code 16-6-0-99-132097  [Generated by Portal Login: besa14 Contact: Sabrina Bechtel 715-498-6611 sbechtel@rdspos.com]-CE IS NOW US153C14-sco 15 validator had coin wrapper paper jammed and onion peel. removed the debris. error cleared . Tested accept and dispense of each denomination in pml. tests successful. verified resolution with manager Laura.-New Item :7360-4010-9090 New Serial Number :57-60595352 Old Item :7360-4010-9090 Old Serial Number :57-60595352</t>
  </si>
  <si>
    <t>2025-09-09T23:33:34.000Z</t>
  </si>
  <si>
    <t>57-60595319</t>
  </si>
  <si>
    <t>2025-09-09T17:49:00.000Z</t>
  </si>
  <si>
    <t>2025-09-09T22:49:00.000Z</t>
  </si>
  <si>
    <t>SAINT LOUIS</t>
  </si>
  <si>
    <t>2025-09-09T18:20:00.000Z</t>
  </si>
  <si>
    <t>2025-09-09T23:20:00.000Z</t>
  </si>
  <si>
    <t>JC185408</t>
  </si>
  <si>
    <t>MEIJER/FRESH THYME #494</t>
  </si>
  <si>
    <t>2025-09-09T15:58:17.000Z</t>
  </si>
  <si>
    <t>2025-09-09T20:58:17.000Z</t>
  </si>
  <si>
    <t>2025-09-09T20:58:20.000Z</t>
  </si>
  <si>
    <t>2025-09-09T15:58:20.000Z</t>
  </si>
  <si>
    <t>came onsite talked with Michelle store manager,  looked over self checkout,  found sort has error. looked though found coin wrapper pieces in sorter. cleared cleaned tested working, blew out bnr as well.</t>
  </si>
  <si>
    <t>2025-09-09T18:22:04.000Z</t>
  </si>
  <si>
    <t>New Item :7360-4010-9090 New Serial Number :57-60595319 Old Item :7360-4010-9090 Old Serial Number :57-60595306</t>
  </si>
  <si>
    <t>2025-09-09T18:22:05.000Z</t>
  </si>
  <si>
    <t>SCO13  has a Coin recycler error- Transfer chamber has overflowed   [Generated by Portal Login: most14 Contact: Staci Mowder 3096133038 ftfmsupport@rdspos.com]</t>
  </si>
  <si>
    <t>2025-09-09T16:03:24.000Z</t>
  </si>
  <si>
    <t>2025-09-09T16:06:13.000Z</t>
  </si>
  <si>
    <t>SCO13  has a Coin recycler error- Transfer chamber has overflowed   [Generated by Portal Login: most14 Contact: Staci Mowder 3096133038 ftfmsupport@rdspos.com]-CE IS NOW US153N64-CE WAS US153N64-CE IS NOW US153N66-came onsite talked with Michelle store manager,  looked over self checkout,  found sort has error. looked though found coin wrapper pieces in sorter. cleared cleaned tested working, blew out bnr as well.-came onsite talked with Michelle store manager,  looked over self checkout,  found sort has error. looked though found coin wrapper pieces in sorter. cleared cleaned tested working, blew out bnr as well.-New Item :7360-4010-9090 New Serial Number :57-60595319 Old Item :7360-4010-9090 Old Serial Number :57-60595306</t>
  </si>
  <si>
    <t>2026-01-03T19:37:27.000Z</t>
  </si>
  <si>
    <t>57-60587823</t>
  </si>
  <si>
    <t>2026-01-03T13:58:00.000Z</t>
  </si>
  <si>
    <t>2026-01-03T18:58:00.000Z</t>
  </si>
  <si>
    <t>2026-01-03T14:23:00.000Z</t>
  </si>
  <si>
    <t>2026-01-03T19:23:00.000Z</t>
  </si>
  <si>
    <t>WG250045</t>
  </si>
  <si>
    <t>2026-01-02T18:41:37.000Z</t>
  </si>
  <si>
    <t>2026-01-02T23:41:37.000Z</t>
  </si>
  <si>
    <t>19KC</t>
  </si>
  <si>
    <t>19KC-CUSTOMER REQUEST TO PERFORM AN ADMINSTRATIVE TASK,  I.E. COPY DISK DRIVE CONTENT</t>
  </si>
  <si>
    <t>Coin rapper fragment deep in chassis, removed panel behind coins to access and remove</t>
  </si>
  <si>
    <t>2026-01-03T14:25:26.000Z</t>
  </si>
  <si>
    <t>New Item :7360-4010-9090 New Serial Number :57-60587823 Old Item :7360-4010-9090 Old Serial Number :57-60587862</t>
  </si>
  <si>
    <t>2026-01-03T14:25:28.000Z</t>
  </si>
  <si>
    <t>SCO 12 has a coin recycler error transfer chamber has overflowed error code 16-6-0-99-67330  [Generated by Portal Login: besa14 Contact: Sabrina Bechtel 715-498-6611 ftfmsupport@rdspos.com]</t>
  </si>
  <si>
    <t>2026-01-02T18:41:38.000Z</t>
  </si>
  <si>
    <t>CE IS NOW US133C87</t>
  </si>
  <si>
    <t>2026-01-03T07:04:44.000Z</t>
  </si>
  <si>
    <t>foreign debris- coin wrapper in transfer chamber</t>
  </si>
  <si>
    <t>SCO 12 has a coin recycler error transfer chamber has overflowed error code 16-6-0-99-67330  [Generated by Portal Login: besa14 Contact: Sabrina Bechtel 715-498-6611 ftfmsupport@rdspos.com]-CE IS NOW US133C87-foreign debris- coin wrapper in transfer chamber-Coin rapper fragment deep in chassis, removed panel behind coins to access and remove-New Item :7360-4010-9090 New Serial Number :57-60587823 Old Item :7360-4010-9090 Old Serial Number :57-60587862</t>
  </si>
  <si>
    <t>2026-02-14T16:49:56.000Z</t>
  </si>
  <si>
    <t>57-60591320</t>
  </si>
  <si>
    <t>2026-02-12T10:14:00.000Z</t>
  </si>
  <si>
    <t>2026-02-12T15:14:00.000Z</t>
  </si>
  <si>
    <t>2026-02-14T11:34:00.000Z</t>
  </si>
  <si>
    <t>2026-02-14T16:34:00.000Z</t>
  </si>
  <si>
    <t>Trilight Issue</t>
  </si>
  <si>
    <t>LT185104</t>
  </si>
  <si>
    <t>2026-02-10T15:50:34.000Z</t>
  </si>
  <si>
    <t>2026-02-10T20:50:34.000Z</t>
  </si>
  <si>
    <t>2026-03-03T05:04:27.000Z</t>
  </si>
  <si>
    <t>2026-02-10T20:50:35.000Z</t>
  </si>
  <si>
    <t>2026-02-10T15:50:35.000Z</t>
  </si>
  <si>
    <t>CEM4119508:panel has no light</t>
  </si>
  <si>
    <t>2026-02-14T11:36:16.000Z</t>
  </si>
  <si>
    <t>@@@checked in with employee Dara...replaced the trilight, and panel now works....informed Dara of completion@@@</t>
  </si>
  <si>
    <t>New Item :7360-4010-9090 New Serial Number :57-60591320 Old Item :7360-4010-9090 Old Serial Number :57-60587769</t>
  </si>
  <si>
    <t>2026-02-14T11:36:18.000Z</t>
  </si>
  <si>
    <t>&amp;quot;Self Check Out&amp;quot; light panel sign has stopped working  [Generated by Portal Login: coas14 Contact: Ashley Cooper 3092131564 cooperashley365@gmail.com]</t>
  </si>
  <si>
    <t>2026-02-10T15:54:52.000Z</t>
  </si>
  <si>
    <t>2026-02-11T04:36:57.000Z</t>
  </si>
  <si>
    <t>&amp;quot;Self Check Out&amp;quot; light panel sign has stopped working  [Generated by Portal Login: coas14 Contact: Ashley Cooper 3092131564 cooperashley365@gmail.com]-CE IS NOW US133B31-CE WAS US133B31-CE IS NOW US133B36-@@@ suspending due to the store being currently closed. I thought it opened at 6am. Will return at a later time@@@@-CE WAS US133B36-CE IS NOW US133B35-@@@reseated cabling on the io box and reconnected the cabling at the bottom of the trilight, but the white light panel.on reg 16 is still not working...ordering replacement trilight and cable@@@-@@@4970525295@@@-LOM order processing, Part has been Ordered , Remedy Id 000000014979155 - (Next Day) by Agent Auto VIP P000-Oracle Order Shipped for Remedy Id: U018864712, Order/Receipt # 182070916, Ordered Part 4970525295, Part Description - KIT - R6 TRI-LIGHT W/IP CAMERA, Shipment/Receipt #2117040648, Part has been Shipped, Qty 1, Priority OVERNIGHT, Shipping Method UPS-Air-Next Day Air Saver, BOL/Job 1ZH92Y051302430571, Source Location PTC AVL-CE IS NOW US133B35-CEM4119508:panel has no light-@@@checked in with employee Dara...replaced the trilight, and panel now works....informed Dara of completion@@@-New Item :7360-4010-9090 New Serial Number :57-60591320 Old Item :7360-4010-9090 Old Serial Number :57-60587769</t>
  </si>
  <si>
    <t>2026-05-02T20:19:20.000Z</t>
  </si>
  <si>
    <t>57-60587774</t>
  </si>
  <si>
    <t>2026-05-02T13:48:00.000Z</t>
  </si>
  <si>
    <t>2026-05-02T18:48:00.000Z</t>
  </si>
  <si>
    <t>GREENFIELD</t>
  </si>
  <si>
    <t>2026-05-02T15:00:00.000Z</t>
  </si>
  <si>
    <t>2026-05-02T20:00:00.000Z</t>
  </si>
  <si>
    <t>JK240002</t>
  </si>
  <si>
    <t>MEIJER/FRESH THYME #710</t>
  </si>
  <si>
    <t>2026-05-02T12:41:01.000Z</t>
  </si>
  <si>
    <t>2026-05-02T17:41:01.000Z</t>
  </si>
  <si>
    <t>2026-06-02T14:59:25.000Z</t>
  </si>
  <si>
    <t>2026-05-02T17:41:04.000Z</t>
  </si>
  <si>
    <t>2026-05-02T12:41:04.000Z</t>
  </si>
  <si>
    <t>7932-3197-9898</t>
  </si>
  <si>
    <t>Milwaukee WI</t>
  </si>
  <si>
    <t>2026/5</t>
  </si>
  <si>
    <t>New Item :7360-4010-9090 New Serial Number :57-60587774 Old Item :7360-4010-9090 Old Serial Number :57-60587774</t>
  </si>
  <si>
    <t>2026-05-02T15:03:08.000Z</t>
  </si>
  <si>
    <t>SCO13 has a Coin recycler error-sorter module not seated  [Generated by Portal Login: most14 Contact: Staci Mowder 3096133038 ftfmsupport@rdspos.com]</t>
  </si>
  <si>
    <t>CE IS NOW US153C54</t>
  </si>
  <si>
    <t>2026-05-02T12:44:12.000Z</t>
  </si>
  <si>
    <t>Coin sorter module unlocked on arrival.  Removed sorter module to remove coin wrapper fragment caught in mechanism.  Removed additional wrapper fragments from the opto sensor.  Purged and reser recycler to remedy coin count mismatch.</t>
  </si>
  <si>
    <t>2026-05-02T15:03:05.000Z</t>
  </si>
  <si>
    <t>SCO13 has a Coin recycler error-sorter module not seated  [Generated by Portal Login: most14 Contact: Staci Mowder 3096133038 ftfmsupport@rdspos.com]-CE IS NOW US153C54-Coin sorter module unlocked on arrival.  Removed sorter module to remove coin wrapper fragment caught in mechanism.  Removed additional wrapper fragments from the opto sensor.  Purged and reser recycler to remedy coin count mismatch.-New Item :7360-4010-9090 New Serial Number :57-60587774 Old Item :7360-4010-9090 Old Serial Number :57-60587774</t>
  </si>
  <si>
    <t>2025-08-07T14:12:22.000Z</t>
  </si>
  <si>
    <t>57-60590093</t>
  </si>
  <si>
    <t>2025-08-07T08:10:00.000Z</t>
  </si>
  <si>
    <t>2025-08-07T13:10:00.000Z</t>
  </si>
  <si>
    <t>2025-08-07T08:56:00.000Z</t>
  </si>
  <si>
    <t>2025-08-07T13:56:00.000Z</t>
  </si>
  <si>
    <t>2025-08-05T13:44:36.000Z</t>
  </si>
  <si>
    <t>2025-08-05T18:44:36.000Z</t>
  </si>
  <si>
    <t>2025-08-05T18:44:38.000Z</t>
  </si>
  <si>
    <t>2025-08-05T13:44:38.000Z</t>
  </si>
  <si>
    <t>A piece of paper obstructing the exit chute on the coin acceptor</t>
  </si>
  <si>
    <t>2025-08-07T08:57:28.000Z</t>
  </si>
  <si>
    <t>The original note said that register 11 had problems. On examination, the coin acceptor was labeled as having an exit shoot blocked in PML. Looked into the coin acceptor and found a piece of paper blocking one of the exit shoots. Remove the obstruction and blow out some dust. Reassemble the machine and recycle the device. The machine functioned normally and was able to bring the register back into Cash operations mode. Verified by the checkout lead.</t>
  </si>
  <si>
    <t>New Item :7360-4010-9090 New Serial Number :57-60590093 Old Item :7360-4010-9090 Old Serial Number :57-60590093</t>
  </si>
  <si>
    <t>2025-08-07T08:57:29.000Z</t>
  </si>
  <si>
    <t>SCO11 has a coin recycler error-validator motor error   [Generated by Portal Login: most14 Contact: Staci Mowder 3096133038 ftfmsupport@rdspos.com]</t>
  </si>
  <si>
    <t>2025-08-05T13:44:39.000Z</t>
  </si>
  <si>
    <t>2025-08-05T13:48:57.000Z</t>
  </si>
  <si>
    <t>CE WAS US153R72</t>
  </si>
  <si>
    <t>2025-08-05T13:56:48.000Z</t>
  </si>
  <si>
    <t>SCO11 has a coin recycler error-validator motor error   [Generated by Portal Login: most14 Contact: Staci Mowder 3096133038 ftfmsupport@rdspos.com]-CE IS NOW US153R72-CE WAS US153R72-CE IS NOW US153R77-CE WAS US153R77-CE IS NOW US153R72-CE IS NOW US153R72-A piece of paper obstructing the exit chute on the coin acceptor-The original note said that register 11 had problems. On examination, the coin acceptor was labeled as having an exit shoot blocked in PML. Looked into the coin acceptor and found a piece of paper blocking one of the exit shoots. Remove the obstruction and blow out some dust. Reassemble the machine and recycle the device. The machine functioned normally and was able to bring the register back into Cash operations mode. Verified by the checkout lead.-New Item :7360-4010-9090 New Serial Number :57-60590093 Old Item :7360-4010-9090 Old Serial Number :57-60590093</t>
  </si>
  <si>
    <t>2025-11-23T12:30:50.000Z</t>
  </si>
  <si>
    <t>57-60587783</t>
  </si>
  <si>
    <t>2025-11-23T06:05:00.000Z</t>
  </si>
  <si>
    <t>2025-11-23T11:05:00.000Z</t>
  </si>
  <si>
    <t>2025-11-23T07:18:00.000Z</t>
  </si>
  <si>
    <t>2025-11-23T12:18:00.000Z</t>
  </si>
  <si>
    <t>2025-11-22T21:26:01.000Z</t>
  </si>
  <si>
    <t>2025-11-23T02:26:01.000Z</t>
  </si>
  <si>
    <t>7772-F141</t>
  </si>
  <si>
    <t>after troubleshooting the sco no fault found on any component in the  sco, tested all cables and all of coin and note recycler and did tested and dispense coins and money  from both recycleres PML and tested with associate Amber multiple times everything working great</t>
  </si>
  <si>
    <t>2025-11-23T07:19:08.000Z</t>
  </si>
  <si>
    <t>New Item :7360-4010-9090 New Serial Number :57-60587783 Old Item :7360-4010-9090 Old Serial Number :57-60587771</t>
  </si>
  <si>
    <t>2025-11-23T07:19:09.000Z</t>
  </si>
  <si>
    <t>Note Recycler error, jam in main module, error code 5-9-0-4-62984.  [Generated by Portal Login: coas14 Contact: Ashley Cooper 3092131564 FTFMSupport@rdspos.com]</t>
  </si>
  <si>
    <t>2025-11-22T21:37:21.000Z</t>
  </si>
  <si>
    <t>charging for no fault found.  after troubleshooting the sco no fault found on any component in the  sco, tested all cables and all of coin and note recycler and did tested and dispense coins and money  from both recycleres PML and tested with associate Amber multiple times everything working great</t>
  </si>
  <si>
    <t>2025-11-23T07:19:07.000Z</t>
  </si>
  <si>
    <t>Note Recycler error, jam in main module, error code 5-9-0-4-62984.  [Generated by Portal Login: coas14 Contact: Ashley Cooper 3092131564 FTFMSupport@rdspos.com]-CE IS NOW US133U14-charging for no fault found.  after troubleshooting the sco no fault found on any component in the  sco, tested all cables and all of coin and note recycler and did tested and dispense coins and money  from both recycleres PML and tested with associate Amber multiple times everything working great-after troubleshooting the sco no fault found on any component in the  sco, tested all cables and all of coin and note recycler and did tested and dispense coins and money  from both recycleres PML and tested with associate Amber multiple times everything working great-New Item :7360-4010-9090 New Serial Number :57-60587783 Old Item :7360-4010-9090 Old Serial Number :57-60587771</t>
  </si>
  <si>
    <t>2026-01-13T02:34:10.000Z</t>
  </si>
  <si>
    <t>34LA</t>
  </si>
  <si>
    <t>2026-01-12T16:39:00.000Z</t>
  </si>
  <si>
    <t>2026-01-12T22:39:00.000Z</t>
  </si>
  <si>
    <t>2026-01-12T20:14:00.000Z</t>
  </si>
  <si>
    <t>2026-01-13T02:14:00.000Z</t>
  </si>
  <si>
    <t>2026-01-12T13:23:00.000Z</t>
  </si>
  <si>
    <t>2026-01-12T19:23:00.000Z</t>
  </si>
  <si>
    <t>2026-01-12T19:23:01.000Z</t>
  </si>
  <si>
    <t>2026-01-12T13:23:01.000Z</t>
  </si>
  <si>
    <t>Replaced UPS unit for lane 13, random shutdowns. Part 497-0534153 R6.0 UPS 110V 800VA WITH USB C.</t>
  </si>
  <si>
    <t>2026-01-12T20:18:09.000Z</t>
  </si>
  <si>
    <t>New Item :7360-4010-9090 New Serial Number :57-60590093 Old Item :7360-4010-9090 Old Serial Number :57-60591396</t>
  </si>
  <si>
    <t>2026-01-12T20:18:11.000Z</t>
  </si>
  <si>
    <t>Battery backup beeping, even after power cycling battery backup and SCO   [Generated by Portal Login: coas14 Contact: Ashley N Cooper 3092131564 ftfmsupport@rdspos.com]</t>
  </si>
  <si>
    <t>2026-01-12T13:23:02.000Z</t>
  </si>
  <si>
    <t>2026-01-12T13:23:46.000Z</t>
  </si>
  <si>
    <t>Guest stated random shutdowns of self-checkout. Incident notes for sco 14, but was informed by site contact Rob it should be for sco 13.</t>
  </si>
  <si>
    <t>2026-01-12T17:45:32.000Z</t>
  </si>
  <si>
    <t>Battery backup beeping, even after power cycling battery backup and SCO   [Generated by Portal Login: coas14 Contact: Ashley N Cooper 3092131564 ftfmsupport@rdspos.com]-CE IS NOW US153R79-Guest stated random shutdowns of self-checkout. Incident notes for sco 14, but was informed by site contact Rob it should be for sco 13.-Replaced UPS unit for lane 13, random shutdowns. Part 497-0534153 R6.0 UPS 110V 800VA WITH USB C.-New Item :7360-4010-9090 New Serial Number :57-60590093 Old Item :7360-4010-9090 Old Serial Number :57-60591396</t>
  </si>
  <si>
    <t>2025-08-27T22:18:42.000Z</t>
  </si>
  <si>
    <t>8P1Z</t>
  </si>
  <si>
    <t>2025-08-23T15:41:00.000Z</t>
  </si>
  <si>
    <t>2025-08-23T19:41:00.000Z</t>
  </si>
  <si>
    <t>2025-08-27T18:03:00.000Z</t>
  </si>
  <si>
    <t>2025-08-27T22:03:00.000Z</t>
  </si>
  <si>
    <t>JL185473</t>
  </si>
  <si>
    <t>2025-08-19T16:21:02.000Z</t>
  </si>
  <si>
    <t>2025-08-19T20:21:02.000Z</t>
  </si>
  <si>
    <t>2025-08-19T20:21:03.000Z</t>
  </si>
  <si>
    <t>2025-08-19T16:21:03.000Z</t>
  </si>
  <si>
    <t>CEM3827182:freezing after transactions</t>
  </si>
  <si>
    <t>2025-08-27T18:04:22.000Z</t>
  </si>
  <si>
    <t>Controller swap fixed freezing but pennies still had issues. Took apart hopper and found belt disconnected. Reattached and processed over 300 pennies successfully.</t>
  </si>
  <si>
    <t>New Item :7360-4010-9090 New Serial Number :57-60595330 Old Item :7360-4010-9090 Old Serial Number :57-60595325</t>
  </si>
  <si>
    <t>2025-08-27T18:04:24.000Z</t>
  </si>
  <si>
    <t>Unable to remove pennies in cash management and are greyed out on SCO13   [Generated by Portal Login: most14 Contact: Staci Mowder 3096133038 ftfmsupport@rdspos.com]</t>
  </si>
  <si>
    <t>2025-08-19T16:38:41.000Z</t>
  </si>
  <si>
    <t>2025-08-19T16:38:57.000Z</t>
  </si>
  <si>
    <t>Unable to remove pennies in cash management and are greyed out on SCO13   [Generated by Portal Login: most14 Contact: Staci Mowder 3096133038 ftfmsupport@rdspos.com]-CE IS NOW US133A52-CE WAS US133A52-CE IS NOW US133B52-CE WAS US133B52-CE IS NOW US133B55-CE WAS US133B55-CE IS NOW US133B54-4970506899 ordering controller card, cleared debris, checked track, validator, motor, etc. issue is sco freezing up when doing anything on coin side-LOM order processing, Part has been Ordered , Remedy Id 000000014844594 - (Next Day) by Agent Auto VIP P000-Oracle Order Shipped for Remedy Id: U018732835, Order/Receipt # 181639682, Ordered Part 4970520636, Part Description - CR5000 Controller Card (service Part, Shipment/Receipt #2110240116, Part has been Shipped, Qty 1, Priority OVERNIGHT, Shipping Method UPS-Air-Next Day Air Saver, BOL/Job 1ZH92Y051301442604, Source Location PTC AVL-CE IS NOW US133B55-CEM3827182:freezing after transactions-Controller swap fixed freezing but pennies still had issues. Took apart hopper and found belt disconnected. Reattached and processed over 300 pennies successfully.-New Item :7360-4010-9090 New Serial Number :57-60595330 Old Item :7360-4010-9090 Old Serial Number :57-60595325</t>
  </si>
  <si>
    <t>2025-09-13T01:33:00.000Z</t>
  </si>
  <si>
    <t>57-60606703</t>
  </si>
  <si>
    <t>2025-09-12T19:45:00.000Z</t>
  </si>
  <si>
    <t>2025-09-13T00:45:00.000Z</t>
  </si>
  <si>
    <t>2025-09-12T20:19:00.000Z</t>
  </si>
  <si>
    <t>2025-09-13T01:19:00.000Z</t>
  </si>
  <si>
    <t>MEIJER/FRESH THYME #701</t>
  </si>
  <si>
    <t>2025-09-12T18:23:03.000Z</t>
  </si>
  <si>
    <t>2025-09-12T23:23:03.000Z</t>
  </si>
  <si>
    <t>2025-09-12T23:23:04.000Z</t>
  </si>
  <si>
    <t>2025-09-12T18:23:04.000Z</t>
  </si>
  <si>
    <t>G531-0370-S000</t>
  </si>
  <si>
    <t>New Item :7360-4010-9090 New Serial Number :57-60606703 Old Item :7360-4010-9090 Old Serial Number :57-60588467</t>
  </si>
  <si>
    <t>2025-09-12T20:21:08.000Z</t>
  </si>
  <si>
    <t>SCO 17 battery backup needs replaced, will no longer power on and the SCO will not power on  [Generated by Portal Login: besa14 Contact: Sabrina Bechtel 715-498-6611 ftfmsupport@rdspos.com]</t>
  </si>
  <si>
    <t>CE IS NOW US153R04</t>
  </si>
  <si>
    <t>2025-09-12T18:29:26.000Z</t>
  </si>
  <si>
    <t>Replaced the failed UPS.  Shutdown the lane and unplugged the Verifone debit reader to clear a phantom transaction causing issues.</t>
  </si>
  <si>
    <t>2025-09-12T20:21:05.000Z</t>
  </si>
  <si>
    <t>SCO 17 battery backup needs replaced, will no longer power on and the SCO will not power on  [Generated by Portal Login: besa14 Contact: Sabrina Bechtel 715-498-6611 ftfmsupport@rdspos.com]-CE IS NOW US153R04-Replaced the failed UPS.  Shutdown the lane and unplugged the Verifone debit reader to clear a phantom transaction causing issues.-New Item :7360-4010-9090 New Serial Number :57-60606703 Old Item :7360-4010-9090 Old Serial Number :57-60588467</t>
  </si>
  <si>
    <t>7S</t>
  </si>
  <si>
    <t>NOTE ACCEPTOR/RECYCLER</t>
  </si>
  <si>
    <t>2026-05-21T18:40:07.000Z</t>
  </si>
  <si>
    <t>57-60591354</t>
  </si>
  <si>
    <t>NOTE_ACCEPTOR</t>
  </si>
  <si>
    <t>7SIR</t>
  </si>
  <si>
    <t>2026-05-21T14:03:00.000Z</t>
  </si>
  <si>
    <t>2026-05-21T18:03:00.000Z</t>
  </si>
  <si>
    <t>2026-05-21T14:25:00.000Z</t>
  </si>
  <si>
    <t>2026-05-21T18:25:00.000Z</t>
  </si>
  <si>
    <t>MEIJER/FRESH THYME #528</t>
  </si>
  <si>
    <t>2026-05-21T12:28:40.000Z</t>
  </si>
  <si>
    <t>2026-05-21T16:28:40.000Z</t>
  </si>
  <si>
    <t>Arrived on site. Issue stated that the  gsr50 had a bill stuck. No errors in PML and visual check showed nothing jammed. Cleaned sensors just in case. Confirmed completion with Abby.</t>
  </si>
  <si>
    <t>2026-05-21T14:26:00.000Z</t>
  </si>
  <si>
    <t>New Item :7360-4010-9090 New Serial Number :57-60591354 Old Item :7360-4010-9090 Old Serial Number :57-60587799</t>
  </si>
  <si>
    <t>2026-05-21T14:26:01.000Z</t>
  </si>
  <si>
    <t>SCO17 has a Note recycler error - Jam in main module
  [Generated by Portal Login: most14 Contact: Staci Mowder 3096133038 FTFMSupport@rdspos.com]</t>
  </si>
  <si>
    <t>CE IS NOW US133E77</t>
  </si>
  <si>
    <t>2026-05-21T12:32:47.000Z</t>
  </si>
  <si>
    <t>No fault found.</t>
  </si>
  <si>
    <t>2026-05-21T14:25:59.000Z</t>
  </si>
  <si>
    <t>SCO17 has a Note recycler error - Jam in main module
  [Generated by Portal Login: most14 Contact: Staci Mowder 3096133038 FTFMSupport@rdspos.com]-CE IS NOW US133E77-No fault found.-Arrived on site. Issue stated that the  gsr50 had a bill stuck. No errors in PML and visual check showed nothing jammed. Cleaned sensors just in case. Confirmed completion with Abby.-New Item :7360-4010-9090 New Serial Number :57-60591354 Old Item :7360-4010-9090 Old Serial Number :57-60587799</t>
  </si>
  <si>
    <t>2026-05-21T15:52:22.000Z</t>
  </si>
  <si>
    <t>57-60591362</t>
  </si>
  <si>
    <t>2026-05-21T10:25:00.000Z</t>
  </si>
  <si>
    <t>2026-05-21T15:25:00.000Z</t>
  </si>
  <si>
    <t>WAITE PARK</t>
  </si>
  <si>
    <t>2026-05-21T10:38:00.000Z</t>
  </si>
  <si>
    <t>2026-05-21T15:38:00.000Z</t>
  </si>
  <si>
    <t>WL250095</t>
  </si>
  <si>
    <t>MEIJER/FRESH THYME #562</t>
  </si>
  <si>
    <t>2026-05-20T20:29:40.000Z</t>
  </si>
  <si>
    <t>2026-05-21T01:29:40.000Z</t>
  </si>
  <si>
    <t>2026-05-21T01:29:41.000Z</t>
  </si>
  <si>
    <t>2026-05-20T20:29:41.000Z</t>
  </si>
  <si>
    <t>scanned barcode, examined issues, replaced coin validator, ran add, restarted reg, test good</t>
  </si>
  <si>
    <t>2026-05-21T10:40:03.000Z</t>
  </si>
  <si>
    <t>New Item :7360-4010-9090 New Serial Number :57-60591362 Old Item :7360-4010-9090 Old Serial Number :57-60591345</t>
  </si>
  <si>
    <t>2026-05-21T10:40:05.000Z</t>
  </si>
  <si>
    <t>SCO 11 has a coin recycler error validator motor error singulator error code 16-6-0-99-131843  [Generated by Portal Login: besa14 Contact: Sabrina Bechtel 715-498-6611 ftfmsupport@rdspos.com]</t>
  </si>
  <si>
    <t>2026-05-20T20:29:42.000Z</t>
  </si>
  <si>
    <t>CE IS NOW US153R19</t>
  </si>
  <si>
    <t>2026-05-20T20:34:01.000Z</t>
  </si>
  <si>
    <t>CEM4249096:error</t>
  </si>
  <si>
    <t>2026-05-21T10:40:02.000Z</t>
  </si>
  <si>
    <t>SCO 11 has a coin recycler error validator motor error singulator error code 16-6-0-99-131843  [Generated by Portal Login: besa14 Contact: Sabrina Bechtel 715-498-6611 ftfmsupport@rdspos.com]-CE IS NOW US153R19-CEM4249096:error-scanned barcode, examined issues, replaced coin validator, ran add, restarted reg, test good-New Item :7360-4010-9090 New Serial Number :57-60591362 Old Item :7360-4010-9090 Old Serial Number :57-60591345</t>
  </si>
  <si>
    <t>2026-03-10T22:00:40.000Z</t>
  </si>
  <si>
    <t>57-60590087</t>
  </si>
  <si>
    <t>2026-03-10T17:43:00.000Z</t>
  </si>
  <si>
    <t>2026-03-10T21:43:00.000Z</t>
  </si>
  <si>
    <t>2026-03-10T17:44:00.000Z</t>
  </si>
  <si>
    <t>2026-03-10T21:44:00.000Z</t>
  </si>
  <si>
    <t>UPS CONSUMABLES</t>
  </si>
  <si>
    <t>MEIJER/FRESH THYME #532</t>
  </si>
  <si>
    <t>2026-03-07T09:22:12.000Z</t>
  </si>
  <si>
    <t>2026-03-07T14:22:12.000Z</t>
  </si>
  <si>
    <t>2026-03-07T14:22:13.000Z</t>
  </si>
  <si>
    <t>2026-03-07T09:22:13.000Z</t>
  </si>
  <si>
    <t>PROJECT ISSUE</t>
  </si>
  <si>
    <t>CE IS NOW US133E71</t>
  </si>
  <si>
    <t>2026-03-08T21:08:56.000Z</t>
  </si>
  <si>
    <t>multiple calls for unit ordering UPS on other task.</t>
  </si>
  <si>
    <t>2026-03-10T17:44:52.000Z</t>
  </si>
  <si>
    <t>New Item :7360-4010-9090 New Serial Number :57-60590087 Old Item :7360-4010-9090 Old Serial Number :57-60590087</t>
  </si>
  <si>
    <t>2026-03-10T17:44:54.000Z</t>
  </si>
  <si>
    <t>SCO15 not powering on. May need a new battery back up   [Generated by Portal Login: most14 Contact: Staci Mowder 3096133038 ftfmsupport@rdspos.com]</t>
  </si>
  <si>
    <t>2026-03-07T09:22:14.000Z</t>
  </si>
  <si>
    <t>CE IS NOW US133E74</t>
  </si>
  <si>
    <t>2026-03-07T09:22:19.000Z</t>
  </si>
  <si>
    <t>CE WAS US133E74</t>
  </si>
  <si>
    <t>2026-03-08T21:08:55.000Z</t>
  </si>
  <si>
    <t>SCO15 not powering on. May need a new battery back up   [Generated by Portal Login: most14 Contact: Staci Mowder 3096133038 ftfmsupport@rdspos.com]-CE IS NOW US133E74-CE WAS US133E74-CE IS NOW US133E71-multiple calls for unit ordering UPS on other task.-New Item :7360-4010-9090 New Serial Number :57-60590087 Old Item :7360-4010-9090 Old Serial Number :57-60590087</t>
  </si>
  <si>
    <t>2025-10-11T13:53:33.000Z</t>
  </si>
  <si>
    <t>57-60591396</t>
  </si>
  <si>
    <t>2025-10-11T08:01:00.000Z</t>
  </si>
  <si>
    <t>2025-10-11T13:01:00.000Z</t>
  </si>
  <si>
    <t>2025-10-11T08:35:00.000Z</t>
  </si>
  <si>
    <t>2025-10-11T13:35:00.000Z</t>
  </si>
  <si>
    <t>2025-10-10T15:37:36.000Z</t>
  </si>
  <si>
    <t>2025-10-10T20:37:36.000Z</t>
  </si>
  <si>
    <t>The original note said that there was a blockage in the transfer chamber. On examination didn't see any errors right away in PML and the Machine looked normal. Conducting an investigation found a piece of paper from a coin roll was jammed in the system and blocking sensors. Blew out dust and a piece of paper blocking sensors and removed the obstruction. Ran ADD and performed a coin dispense test. The register performed accurately with no problems and dispensed everything. The machine also took back all of the coins dispensed earlier with no problems or errors. Register 12 is back in working condition. Verified by checkout lead Beth.</t>
  </si>
  <si>
    <t>2025-10-11T08:37:43.000Z</t>
  </si>
  <si>
    <t>New Item :7360-4010-9090 New Serial Number :57-60591396 Old Item :7360-4010-9090 Old Serial Number :57-60591396</t>
  </si>
  <si>
    <t>2025-10-11T08:37:44.000Z</t>
  </si>
  <si>
    <t>Coin recycler error, transfer chamber has overflowed error. Error code: 16-6-0--99-6733  [Generated by Portal Login: coas14 Contact: Ashley 309-213-1564 ftfmsupport@rdspos.com]</t>
  </si>
  <si>
    <t>2025-10-10T15:37:37.000Z</t>
  </si>
  <si>
    <t>2025-10-10T15:39:40.000Z</t>
  </si>
  <si>
    <t>Paper from a coin roll was blocking the sensors</t>
  </si>
  <si>
    <t>Coin recycler error, transfer chamber has overflowed error. Error code: 16-6-0--99-6733  [Generated by Portal Login: coas14 Contact: Ashley 309-213-1564 ftfmsupport@rdspos.com]-CE IS NOW US153R72-Paper from a coin roll was blocking the sensors-The original note said that there was a blockage in the transfer chamber. On examination didn't see any errors right away in PML and the Machine looked normal. Conducting an investigation found a piece of paper from a coin roll was jammed in the system and blocking sensors. Blew out dust and a piece of paper blocking sensors and removed the obstruction. Ran ADD and performed a coin dispense test. The register performed accurately with no problems and dispensed everything. The machine also took back all of the coins dispensed earlier with no problems or errors. Register 12 is back in working condition. Verified by checkout lead Beth.-New Item :7360-4010-9090 New Serial Number :57-60591396 Old Item :7360-4010-9090 Old Serial Number :57-60591396</t>
  </si>
  <si>
    <t>2026-05-14T21:56:18.000Z</t>
  </si>
  <si>
    <t>57-60595338</t>
  </si>
  <si>
    <t>2026-05-14T16:14:00.000Z</t>
  </si>
  <si>
    <t>2026-05-14T21:14:00.000Z</t>
  </si>
  <si>
    <t>2026-05-14T16:39:00.000Z</t>
  </si>
  <si>
    <t>2026-05-14T21:39:00.000Z</t>
  </si>
  <si>
    <t>AP250528</t>
  </si>
  <si>
    <t>2026-05-14T12:16:45.000Z</t>
  </si>
  <si>
    <t>2026-05-14T17:16:45.000Z</t>
  </si>
  <si>
    <t>2026-05-14T17:16:47.000Z</t>
  </si>
  <si>
    <t>2026-05-14T12:16:47.000Z</t>
  </si>
  <si>
    <t>Oracle Order Shipped for Remedy Id: U018923593, Order/Receipt # 182275806, Ordered Part 4970534153, Part Description - UPS (N70-800) LV 100V/120V 800VA with USB communication Port and EMC Improvements, Shipment/Receipt #2118591219, Part has been Shipped, Qty 1, Priority NFO, Shipping Method CE Pickup After Hours, BOL/Job NA, Source Location UFF USFSTL1G</t>
  </si>
  <si>
    <t>2026-05-14T14:03:22.000Z</t>
  </si>
  <si>
    <t>replaced the defective ups on register 11 and the unit is now powering on normally.</t>
  </si>
  <si>
    <t>2026-05-14T16:40:35.000Z</t>
  </si>
  <si>
    <t>New Item :7360-4010-9090 New Serial Number :57-60595338 Old Item :7360-4010-9090 Old Serial Number :57-60595297</t>
  </si>
  <si>
    <t>2026-05-14T16:40:37.000Z</t>
  </si>
  <si>
    <t>SCO 11 will not power on at all. The battery backup is constantly beeping. This SCO is completely unusable.  [Generated by Portal Login: besa14 Contact: Sabrina Bechtel 715-498-6611 ftfmsupport@rdspos.com]</t>
  </si>
  <si>
    <t>2026-05-14T12:22:20.000Z</t>
  </si>
  <si>
    <t>LOM order processing, Part has been Ordered , Remedy Id 000000015041818 - (Pick Up)MO, Fentonby Agent Auto CE pickup</t>
  </si>
  <si>
    <t>2026-05-14T13:35:09.000Z</t>
  </si>
  <si>
    <t>SCO 11 will not power on at all. The battery backup is constantly beeping. This SCO is completely unusable.  [Generated by Portal Login: besa14 Contact: Sabrina Bechtel 715-498-6611 ftfmsupport@rdspos.com]-CE IS NOW US153N64-LOM order processing, Part has been Ordered , Remedy Id 000000015041818 - (Pick Up)MO, Fentonby Agent Auto CE pickup-Oracle Order Shipped for Remedy Id: U018923593, Order/Receipt # 182275806, Ordered Part 4970534153, Part Description - UPS (N70-800) LV 100V/120V 800VA with USB communication Port and EMC Improvements, Shipment/Receipt #2118591219, Part has been Shipped, Qty 1, Priority NFO, Shipping Method CE Pickup After Hours, BOL/Job NA, Source Location UFF USFSTL1G-replaced the defective ups on register 11 and the unit is now powering on normally.-New Item :7360-4010-9090 New Serial Number :57-60595338 Old Item :7360-4010-9090 Old Serial Number :57-60595297</t>
  </si>
  <si>
    <t>2025-12-11T21:06:47.000Z</t>
  </si>
  <si>
    <t>57-60588465</t>
  </si>
  <si>
    <t>2025-12-11T14:50:00.000Z</t>
  </si>
  <si>
    <t>2025-12-11T19:50:00.000Z</t>
  </si>
  <si>
    <t>WEST LAFAYETTE</t>
  </si>
  <si>
    <t>2025-12-11T15:50:00.000Z</t>
  </si>
  <si>
    <t>2025-12-11T20:50:00.000Z</t>
  </si>
  <si>
    <t>TW185101</t>
  </si>
  <si>
    <t>MEIJER/FRESH THYME #537</t>
  </si>
  <si>
    <t>2025-12-11T13:19:25.000Z</t>
  </si>
  <si>
    <t>2025-12-11T18:19:25.000Z</t>
  </si>
  <si>
    <t>2025-12-11T18:19:26.000Z</t>
  </si>
  <si>
    <t>2025-12-11T13:19:26.000Z</t>
  </si>
  <si>
    <t>G531-2000-0000</t>
  </si>
  <si>
    <t>CEM4018093:tnck sensor error</t>
  </si>
  <si>
    <t>2025-12-11T15:50:38.000Z</t>
  </si>
  <si>
    <t>tnck error will not clear.   checked connections, cleaned and reboot.   issue persists.  logs indicate ongoing issue since April.   replaced top module.   verified all pml tests now pass.  sco placed back into service.   advised staff to audit.</t>
  </si>
  <si>
    <t>New Item :7360-4010-9090 New Serial Number :57-60588465 Old Item :7360-4010-9090 Old Serial Number :57-60588451</t>
  </si>
  <si>
    <t>2025-12-11T15:50:41.000Z</t>
  </si>
  <si>
    <t>SCO 16 has a note recycler error jam in main module error code 5-9-0-4-62984. Tech was onsite on Sunday for this same issue on SCO 16. NCR ticket number 7534008583.  [Generated by Portal Login: besa14 Contact: Sabrina Bechtel 715-498-6611 ftfmsupport@rdspos.com]</t>
  </si>
  <si>
    <t>CE IS NOW US153C41</t>
  </si>
  <si>
    <t>2025-12-11T13:20:48.000Z</t>
  </si>
  <si>
    <t>2025-12-11T15:50:36.000Z</t>
  </si>
  <si>
    <t>SCO 16 has a note recycler error jam in main module error code 5-9-0-4-62984. Tech was onsite on Sunday for this same issue on SCO 16. NCR ticket number 7534008583.  [Generated by Portal Login: besa14 Contact: Sabrina Bechtel 715-498-6611 ftfmsupport@rdspos.com]-CE IS NOW US153C41-57-60588465-CEM4018093:tnck sensor error-tnck error will not clear.   checked connections, cleaned and reboot.   issue persists.  logs indicate ongoing issue since April.   replaced top module.   verified all pml tests now pass.  sco placed back into service.   advised staff to audit.-New Item :7360-4010-9090 New Serial Number :57-60588465 Old Item :7360-4010-9090 Old Serial Number :57-60588451</t>
  </si>
  <si>
    <t>SOFTWARE</t>
  </si>
  <si>
    <t>2026-03-23T20:50:35.000Z</t>
  </si>
  <si>
    <t>57-60591329</t>
  </si>
  <si>
    <t>50CW</t>
  </si>
  <si>
    <t>2026-03-23T15:44:00.000Z</t>
  </si>
  <si>
    <t>2026-03-23T19:44:00.000Z</t>
  </si>
  <si>
    <t>2026-03-23T16:39:00.000Z</t>
  </si>
  <si>
    <t>2026-03-23T20:39:00.000Z</t>
  </si>
  <si>
    <t>WO185012</t>
  </si>
  <si>
    <t>MEIJER/FRESH THYME #533</t>
  </si>
  <si>
    <t>2026-03-23T06:52:42.000Z</t>
  </si>
  <si>
    <t>2026-03-23T10:52:42.000Z</t>
  </si>
  <si>
    <t>INSTALL/RELOAD/ RECONFIGURE SW/FW</t>
  </si>
  <si>
    <t>Terre Haute IN</t>
  </si>
  <si>
    <t>New Item :7360-4010-9090 New Serial Number :57-60591329 Old Item :7360-4010-9090 Old Serial Number :57-60591380</t>
  </si>
  <si>
    <t>2026-03-23T16:39:13.000Z</t>
  </si>
  <si>
    <t>Coin Recycler Error Initialization Timeout  [Generated by Portal Login: repa14 Contact: Patrick Reeves 3092411908 ftfmsupport@rdspos.com]</t>
  </si>
  <si>
    <t>2026-03-23T06:52:43.000Z</t>
  </si>
  <si>
    <t>CE IS NOW US133E44</t>
  </si>
  <si>
    <t>2026-03-23T09:12:25.000Z</t>
  </si>
  <si>
    <t>On arrival, found that SCO was stuck on an error message and CR5000 coin recycler was showing all green solid LEDs, including the control board light as solid green instead of flashing. Reset CR5000 and control board LED went back to flashing. Went into PML and ran diagnostics, no issues found. Issue seems to have occurred during a transaction that charged a customer, but did not properly log itself in site's accounting software. Hard rebooted SCO and put back into service and observed successful customer transactions.</t>
  </si>
  <si>
    <t>2026-03-23T16:39:11.000Z</t>
  </si>
  <si>
    <t>Coin Recycler Error Initialization Timeout  [Generated by Portal Login: repa14 Contact: Patrick Reeves 3092411908 ftfmsupport@rdspos.com]-CE IS NOW US133E44-On arrival, found that SCO was stuck on an error message and CR5000 coin recycler was showing all green solid LEDs, including the control board light as solid green instead of flashing. Reset CR5000 and control board LED went back to flashing. Went into PML and ran diagnostics, no issues found. Issue seems to have occurred during a transaction that charged a customer, but did not properly log itself in site's accounting software. Hard rebooted SCO and put back into service and observed successful customer transactions.-New Item :7360-4010-9090 New Serial Number :57-60591329 Old Item :7360-4010-9090 Old Serial Number :57-60591380</t>
  </si>
  <si>
    <t>2026-07-12T22:01:04.000Z</t>
  </si>
  <si>
    <t>57-60587856</t>
  </si>
  <si>
    <t>2026-07-12T15:33:00.000Z</t>
  </si>
  <si>
    <t>2026-07-12T20:33:00.000Z</t>
  </si>
  <si>
    <t>2026-07-12T16:46:00.000Z</t>
  </si>
  <si>
    <t>2026-07-12T21:46:00.000Z</t>
  </si>
  <si>
    <t>2026-07-12T12:48:32.000Z</t>
  </si>
  <si>
    <t>2026-07-12T17:48:32.000Z</t>
  </si>
  <si>
    <t>19K5</t>
  </si>
  <si>
    <t>19K5-ATM OPERATIONAL BUT EITHER OUT OF CASH OR LOW CASH</t>
  </si>
  <si>
    <t>7289-4176-9898</t>
  </si>
  <si>
    <t>REPL/RELOAD CUST CONSUM</t>
  </si>
  <si>
    <t>issue was the coin counts for quarters was incorrect. purged coins and fed them back into the machine to correct counts.  the unit dispensed all coins properly.</t>
  </si>
  <si>
    <t>2026-07-12T16:48:01.000Z</t>
  </si>
  <si>
    <t>New Item :7360-4010-9090 New Serial Number :57-60587856 Old Item :7360-4010-9090 Old Serial Number :57-60595344</t>
  </si>
  <si>
    <t>2026-07-12T16:48:02.000Z</t>
  </si>
  <si>
    <t>Quarters are greyed out and not dispensing in cash management on SCO11  [Generated by Portal Login: most14 Contact: Staci Mowder 2694689716 FTFMSupport@rdspos.com]</t>
  </si>
  <si>
    <t>2026-07-12T12:48:33.000Z</t>
  </si>
  <si>
    <t>2026-07-12T12:49:16.000Z</t>
  </si>
  <si>
    <t>counts for quarters was incorrect.</t>
  </si>
  <si>
    <t>Quarters are greyed out and not dispensing in cash management on SCO11  [Generated by Portal Login: most14 Contact: Staci Mowder 2694689716 FTFMSupport@rdspos.com]-CE IS NOW US153N64-counts for quarters was incorrect.-issue was the coin counts for quarters was incorrect. purged coins and fed them back into the machine to correct counts.  the unit dispensed all coins properly.-New Item :7360-4010-9090 New Serial Number :57-60587856 Old Item :7360-4010-9090 Old Serial Number :57-60595344</t>
  </si>
  <si>
    <t>2026-06-26T23:04:45.000Z</t>
  </si>
  <si>
    <t>57-60587724</t>
  </si>
  <si>
    <t>2026-06-26T17:38:00.000Z</t>
  </si>
  <si>
    <t>2026-06-26T21:38:00.000Z</t>
  </si>
  <si>
    <t>2026-06-26T18:53:00.000Z</t>
  </si>
  <si>
    <t>2026-06-26T22:53:00.000Z</t>
  </si>
  <si>
    <t>damaged green tab, internal gears locked</t>
  </si>
  <si>
    <t>2026-06-24T09:27:42.000Z</t>
  </si>
  <si>
    <t>2026-06-24T13:27:42.000Z</t>
  </si>
  <si>
    <t>7895-3111-1000</t>
  </si>
  <si>
    <t>CEM4181378:damaged green tab, internal gears locked</t>
  </si>
  <si>
    <t>2026-06-26T18:53:56.000Z</t>
  </si>
  <si>
    <t>Inspected validator upon arrival, green tab damaged and gear would not turn easily, when it did turn, it was grinding. replaced validator. also found that sorter module was getting jammed by its own cable. Reseated sorter and ensured cable wasnt blocking any exits. PML tested multiple times and showed MOD eric</t>
  </si>
  <si>
    <t>New Item :7360-4010-9090 New Serial Number :57-60587724 Old Item :7360-4010-9090 Old Serial Number :57-60587724</t>
  </si>
  <si>
    <t>2026-06-26T18:53:58.000Z</t>
  </si>
  <si>
    <t>SCO14 spitting coins back out after insertion. No errors but has flashing red lights and is making a grinding noise  [Generated by Portal Login: most14 Contact: Staci Mowder 2694689716 FTFMSupport@rdspos.com]</t>
  </si>
  <si>
    <t>2026-06-24T10:16:49.000Z</t>
  </si>
  <si>
    <t>2026-06-26T12:06:12.000Z</t>
  </si>
  <si>
    <t>SCO14 spitting coins back out after insertion. No errors but has flashing red lights and is making a grinding noise  [Generated by Portal Login: most14 Contact: Staci Mowder 2694689716 FTFMSupport@rdspos.com]-CE IS NOW US133C71-CE WAS US133C71-CE IS NOW US133C72-CEM4181378:damaged green tab, internal gears locked-Inspected validator upon arrival, green tab damaged and gear would not turn easily, when it did turn, it was grinding. replaced validator. also found that sorter module was getting jammed by its own cable. Reseated sorter and ensured cable wasnt blocking any exits. PML tested multiple times and showed MOD eric-New Item :7360-4010-9090 New Serial Number :57-60587724 Old Item :7360-4010-9090 Old Serial Number :57-60587724</t>
  </si>
  <si>
    <t>2026-06-30T23:19:32.000Z</t>
  </si>
  <si>
    <t>57-60595354</t>
  </si>
  <si>
    <t>2026-06-30T17:24:00.000Z</t>
  </si>
  <si>
    <t>2026-06-30T22:24:00.000Z</t>
  </si>
  <si>
    <t>2026-06-30T18:03:00.000Z</t>
  </si>
  <si>
    <t>2026-06-30T23:03:00.000Z</t>
  </si>
  <si>
    <t>ML185344</t>
  </si>
  <si>
    <t>2026-06-30T15:00:23.000Z</t>
  </si>
  <si>
    <t>2026-06-30T20:00:23.000Z</t>
  </si>
  <si>
    <t>Acceptor wasn't accepting on sco 13, spoke with Katie and swapped acceptor, once done coins went in and all worked.</t>
  </si>
  <si>
    <t>2026-06-30T18:03:18.000Z</t>
  </si>
  <si>
    <t>New Item :7360-4010-9090 New Serial Number :57-60595354 Old Item :7360-4010-9090 Old Serial Number :57-60595354</t>
  </si>
  <si>
    <t>2026-06-30T18:03:20.000Z</t>
  </si>
  <si>
    <t>SCO13 spitting coins back out after inserting them. No errors but does have a flashing yellow light on coin slot   [Generated by Portal Login: most14 Contact: Staci Mowder 2694689716 FTFMSupport@rdspos.com]</t>
  </si>
  <si>
    <t>CE IS NOW US153C15</t>
  </si>
  <si>
    <t>2026-06-30T15:02:27.000Z</t>
  </si>
  <si>
    <t>CEM4278939:part not accepting</t>
  </si>
  <si>
    <t>SCO13 spitting coins back out after inserting them. No errors but does have a flashing yellow light on coin slot   [Generated by Portal Login: most14 Contact: Staci Mowder 2694689716 FTFMSupport@rdspos.com]-CE IS NOW US153C15-CEM4278939:part not accepting-Acceptor wasn't accepting on sco 13, spoke with Katie and swapped acceptor, once done coins went in and all worked.-New Item :7360-4010-9090 New Serial Number :57-60595354 Old Item :7360-4010-9090 Old Serial Number :57-60595354</t>
  </si>
  <si>
    <t>2025-08-08T20:11:54.000Z</t>
  </si>
  <si>
    <t>57-60588467</t>
  </si>
  <si>
    <t>2025-08-05T15:14:00.000Z</t>
  </si>
  <si>
    <t>2025-08-05T20:14:00.000Z</t>
  </si>
  <si>
    <t>2025-08-08T14:54:00.000Z</t>
  </si>
  <si>
    <t>2025-08-08T19:54:00.000Z</t>
  </si>
  <si>
    <t>KF185094</t>
  </si>
  <si>
    <t>2025-08-05T14:03:52.000Z</t>
  </si>
  <si>
    <t>2025-08-05T19:03:52.000Z</t>
  </si>
  <si>
    <t>G531-1079-0000</t>
  </si>
  <si>
    <t>Store701</t>
  </si>
  <si>
    <t>Oracle Order Shipped for Remedy Id: U018718009, Order/Receipt # 181596577, Ordered Part 4970523835, Part Description - CABLE - TRILIGHT AND LANE LIGHT EXTENDER, Shipment/Receipt #2109937271, Part has been Shipped, Qty 1, Priority OVERNIGHT, Shipping Method UPS-Air-Next Day Air Saver, BOL/Job 1ZH92Y051301343873, Source Location PTC AVL</t>
  </si>
  <si>
    <t>2025-08-06T21:35:55.000Z</t>
  </si>
  <si>
    <t>replaced lane light cable successfully</t>
  </si>
  <si>
    <t>2025-08-08T14:54:37.000Z</t>
  </si>
  <si>
    <t>New Item :7360-4010-9090 New Serial Number :57-60588467 Old Item :7360-4010-9090 Old Serial Number :57-60588467</t>
  </si>
  <si>
    <t>2025-08-08T14:54:40.000Z</t>
  </si>
  <si>
    <t>Trilight panel is flickering   [Generated by Portal Login: coas14 Contact: Ashley 3092131564 ftfmsupport@rdspos.com]</t>
  </si>
  <si>
    <t>CE IS NOW US153R01</t>
  </si>
  <si>
    <t>2025-08-05T14:08:06.000Z</t>
  </si>
  <si>
    <t>trilight cable seems to have a shortage causing the flickering. will need to replace ordering PN: 4970523835</t>
  </si>
  <si>
    <t>2025-08-05T15:51:35.000Z</t>
  </si>
  <si>
    <t>Trilight panel is flickering   [Generated by Portal Login: coas14 Contact: Ashley 3092131564 ftfmsupport@rdspos.com]-CE IS NOW US153R01-trilight cable seems to have a shortage causing the flickering. will need to replace ordering PN: 4970523835-LOM order processing, Part has been Ordered , Remedy Id FSC5280704 - (Next Day) by Agent mz185097-Oracle Order Shipped for Remedy Id: U018718009, Order/Receipt # 181596577, Ordered Part 4970523835, Part Description - CABLE - TRILIGHT AND LANE LIGHT EXTENDER, Shipment/Receipt #2109937271, Part has been Shipped, Qty 1, Priority OVERNIGHT, Shipping Method UPS-Air-Next Day Air Saver, BOL/Job 1ZH92Y051301343873, Source Location PTC AVL-replaced lane light cable successfully-New Item :7360-4010-9090 New Serial Number :57-60588467 Old Item :7360-4010-9090 Old Serial Number :57-60588467</t>
  </si>
  <si>
    <t>2026-07-01T16:04:36.000Z</t>
  </si>
  <si>
    <t>57-60588383</t>
  </si>
  <si>
    <t>2026-07-01T11:36:00.000Z</t>
  </si>
  <si>
    <t>2026-07-01T15:36:00.000Z</t>
  </si>
  <si>
    <t>2026-07-01T11:49:00.000Z</t>
  </si>
  <si>
    <t>2026-07-01T15:49:00.000Z</t>
  </si>
  <si>
    <t>2026-07-01T09:48:08.000Z</t>
  </si>
  <si>
    <t>2026-07-01T13:48:08.000Z</t>
  </si>
  <si>
    <t>7772-F161</t>
  </si>
  <si>
    <t>the coin recycler was dropping change through and not accepting it in the validator feeder acceptor because the store had hit the enable coin shoot button on the deposit cash function</t>
  </si>
  <si>
    <t>2026-07-01T11:49:47.000Z</t>
  </si>
  <si>
    <t>New Item :7360-4010-9090 New Serial Number :57-60588383 Old Item :7360-4010-9090 Old Serial Number :57-60591393</t>
  </si>
  <si>
    <t>2026-07-01T11:49:50.000Z</t>
  </si>
  <si>
    <t>SCO11 spitting coins back out after inserting.   [Generated by Portal Login: most14 Contact: Staci Mowder 2694689716 FTFMSupport@rdspos.com]</t>
  </si>
  <si>
    <t>2026-07-01T09:48:09.000Z</t>
  </si>
  <si>
    <t>CE IS NOW US133E62</t>
  </si>
  <si>
    <t>2026-07-01T09:49:27.000Z</t>
  </si>
  <si>
    <t>CEM4306499:x</t>
  </si>
  <si>
    <t>2026-07-01T10:49:25.000Z</t>
  </si>
  <si>
    <t>SCO11 spitting coins back out after inserting.   [Generated by Portal Login: most14 Contact: Staci Mowder 2694689716 FTFMSupport@rdspos.com]-CE IS NOW US133E62-CEM4306499:x-the coin recycler was dropping change through and not accepting it in the validator feeder acceptor because the store had hit the enable coin shoot button on the deposit cash function-New Item :7360-4010-9090 New Serial Number :57-60588383 Old Item :7360-4010-9090 Old Serial Number :57-60591393</t>
  </si>
  <si>
    <t>2026-03-01T20:25:29.000Z</t>
  </si>
  <si>
    <t>57-60591353</t>
  </si>
  <si>
    <t>SCANNER/SCAN_SCALE</t>
  </si>
  <si>
    <t>82LR</t>
  </si>
  <si>
    <t>2026-03-01T10:50:00.000Z</t>
  </si>
  <si>
    <t>2026-03-01T15:50:00.000Z</t>
  </si>
  <si>
    <t>2026-03-01T14:51:00.000Z</t>
  </si>
  <si>
    <t>2026-03-01T19:51:00.000Z</t>
  </si>
  <si>
    <t>GP185182</t>
  </si>
  <si>
    <t>2026-03-01T09:49:24.000Z</t>
  </si>
  <si>
    <t>2026-03-01T14:49:24.000Z</t>
  </si>
  <si>
    <t>2026-03-01T14:49:25.000Z</t>
  </si>
  <si>
    <t>2026-03-01T09:49:25.000Z</t>
  </si>
  <si>
    <t>CEM4126530:wont stay plugged in</t>
  </si>
  <si>
    <t>2026-03-01T14:34:08.000Z</t>
  </si>
  <si>
    <t>SCO not in use on arrival. power cord will not stay plugged into scale. replaced digital board and recalibrated. SCO back in full service.</t>
  </si>
  <si>
    <t>2026-03-01T14:52:08.000Z</t>
  </si>
  <si>
    <t>New Item :7360-4010-9090 New Serial Number :57-60591353 Old Item :7360-4010-9090 Old Serial Number :57-60591353</t>
  </si>
  <si>
    <t>2026-03-01T14:52:10.000Z</t>
  </si>
  <si>
    <t>SCO 15 scanner error device is offline error code 11-0-0-111-99. The scanner scale cable does not clip in and the port seems loose  [Generated by Portal Login: besa14 Contact: Sabrina Bechtel 715-498-6611 ftfmsupport@rdspos.com]</t>
  </si>
  <si>
    <t>CE IS NOW US133U01</t>
  </si>
  <si>
    <t>2026-03-01T10:02:35.000Z</t>
  </si>
  <si>
    <t>LOM order processing, Part has been Ordered , Remedy Id 000000014990384 - (Pick Up)MI, Wayneby Agent Auto CE pickup</t>
  </si>
  <si>
    <t>2026-03-01T11:18:23.000Z</t>
  </si>
  <si>
    <t>SCO 15 scanner error device is offline error code 11-0-0-111-99. The scanner scale cable does not clip in and the port seems loose  [Generated by Portal Login: besa14 Contact: Sabrina Bechtel 715-498-6611 ftfmsupport@rdspos.com]-CE IS NOW US133U01-LOM order processing, Part has been Ordered , Remedy Id 000000014990384 - (Pick Up)MI, Wayneby Agent Auto CE pickup-Oracle Order Shipped for Remedy Id: U018875470, Order/Receipt # 182105411, Ordered Part 4970529873, Part Description - FRU: PCBA MP7 MAIN (SERVICE PART), Shipment/Receipt #2117360397, Part has been Shipped, Qty 1, Priority NFO, Shipping Method CE Pickup After Hours, BOL/Job NA, Source Location UFF USFDTW1G-CEM4126530:wont stay plugged in-SCO not in use on arrival. power cord will not stay plugged into scale. replaced digital board and recalibrated. SCO back in full service.-New Item :7360-4010-9090 New Serial Number :57-60591353 Old Item :7360-4010-9090 Old Serial Number :57-60591353</t>
  </si>
  <si>
    <t>2025-12-31T22:32:59.000Z</t>
  </si>
  <si>
    <t>57-60587851</t>
  </si>
  <si>
    <t>2025-12-31T16:15:00.000Z</t>
  </si>
  <si>
    <t>2025-12-31T21:15:00.000Z</t>
  </si>
  <si>
    <t>2025-12-31T17:16:00.000Z</t>
  </si>
  <si>
    <t>2025-12-31T22:16:00.000Z</t>
  </si>
  <si>
    <t>JB185566</t>
  </si>
  <si>
    <t>MEIJER/FRESH THYME #525</t>
  </si>
  <si>
    <t>2025-12-31T15:18:12.000Z</t>
  </si>
  <si>
    <t>2025-12-31T20:18:12.000Z</t>
  </si>
  <si>
    <t>7932-5178-9802</t>
  </si>
  <si>
    <t>F631 GSR50 history error</t>
  </si>
  <si>
    <t>2025-12-31T17:17:52.000Z</t>
  </si>
  <si>
    <t>Cycled notes in GSR50 to cashbox, cassettes, MEI with no issues. Found hopper space on CR5000 chassis bouncing around. Spacer removed and did a coin purge and reload to verify no other issues present.</t>
  </si>
  <si>
    <t>New Item :7360-4010-9090 New Serial Number :57-60587851 Old Item :7360-4010-9090 Old Serial Number :57-60587855</t>
  </si>
  <si>
    <t>2025-12-31T17:17:54.000Z</t>
  </si>
  <si>
    <t>Repeated bills jamming over the past few days and repeatedly getting a coin recycler error on SCO16   [Generated by Portal Login: most14 Contact: Staci Mowder 3096133038 ftfmsupport@rdspos.com]</t>
  </si>
  <si>
    <t>2025-12-31T15:18:13.000Z</t>
  </si>
  <si>
    <t>CE IS NOW US133E70</t>
  </si>
  <si>
    <t>2025-12-31T15:20:34.000Z</t>
  </si>
  <si>
    <t>CE WAS US133E70</t>
  </si>
  <si>
    <t>2025-12-31T15:57:55.000Z</t>
  </si>
  <si>
    <t>Repeated bills jamming over the past few days and repeatedly getting a coin recycler error on SCO16   [Generated by Portal Login: most14 Contact: Staci Mowder 3096133038 ftfmsupport@rdspos.com]-CE IS NOW US133E70-CE WAS US133E70-CE IS NOW US133E73-CE IS NOW US133E73-F631 GSR50 history error-Cycled notes in GSR50 to cashbox, cassettes, MEI with no issues. Found hopper space on CR5000 chassis bouncing around. Spacer removed and did a coin purge and reload to verify no other issues present.-New Item :7360-4010-9090 New Serial Number :57-60587851 Old Item :7360-4010-9090 Old Serial Number :57-60587855</t>
  </si>
  <si>
    <t>2026-01-12T00:47:58.000Z</t>
  </si>
  <si>
    <t>57-60588402</t>
  </si>
  <si>
    <t>2026-01-11T19:24:00.000Z</t>
  </si>
  <si>
    <t>2026-01-12T00:24:00.000Z</t>
  </si>
  <si>
    <t>2026-01-11T19:31:00.000Z</t>
  </si>
  <si>
    <t>2026-01-12T00:31:00.000Z</t>
  </si>
  <si>
    <t>CQ185013</t>
  </si>
  <si>
    <t>2026-01-11T15:59:12.000Z</t>
  </si>
  <si>
    <t>2026-01-11T20:59:12.000Z</t>
  </si>
  <si>
    <t>2026-01-11T20:59:13.000Z</t>
  </si>
  <si>
    <t>2026-01-11T15:59:13.000Z</t>
  </si>
  <si>
    <t>The printer paper wrap around roller cause poor print quality</t>
  </si>
  <si>
    <t>2026-01-11T19:32:40.000Z</t>
  </si>
  <si>
    <t>Arrive on site find printer was printing poor quality due to paper stuck in the printer roller. Remove the paper and test the machine confirm it is back in service</t>
  </si>
  <si>
    <t>New Item :7360-4010-9090 New Serial Number :57-60588402 Old Item :7360-4010-9090 Old Serial Number :57-60588422</t>
  </si>
  <si>
    <t>2026-01-11T19:32:41.000Z</t>
  </si>
  <si>
    <t>SCO11 not printing on receipts   [Generated by Portal Login: most14 Contact: Staci Mowder 3096133038 ftfmsupport@rdspos.com]</t>
  </si>
  <si>
    <t>2026-01-11T16:04:55.000Z</t>
  </si>
  <si>
    <t>2026-01-11T18:38:54.000Z</t>
  </si>
  <si>
    <t>SCO11 not printing on receipts   [Generated by Portal Login: most14 Contact: Staci Mowder 3096133038 ftfmsupport@rdspos.com]-CE IS NOW US133E74-CE WAS US133E74-CE IS NOW US133E79-The printer paper wrap around roller cause poor print quality-Arrive on site find printer was printing poor quality due to paper stuck in the printer roller. Remove the paper and test the machine confirm it is back in service-New Item :7360-4010-9090 New Serial Number :57-60588402 Old Item :7360-4010-9090 Old Serial Number :57-60588422</t>
  </si>
  <si>
    <t>2026-07-31T15:39:36.000Z</t>
  </si>
  <si>
    <t>57-60595298</t>
  </si>
  <si>
    <t>2026-07-28T14:10:00.000Z</t>
  </si>
  <si>
    <t>2026-07-28T19:10:00.000Z</t>
  </si>
  <si>
    <t>2026-07-31T10:22:00.000Z</t>
  </si>
  <si>
    <t>2026-07-31T15:22:00.000Z</t>
  </si>
  <si>
    <t>CHGC -   Front Fasica door physically damaged</t>
  </si>
  <si>
    <t>PT185058</t>
  </si>
  <si>
    <t>MEIJER/FRESH THYME #636</t>
  </si>
  <si>
    <t>2026-07-28T10:10:40.000Z</t>
  </si>
  <si>
    <t>2026-07-28T15:10:40.000Z</t>
  </si>
  <si>
    <t>Replace cosmetic door due to broken coupon sensor screws. Site contact Mike</t>
  </si>
  <si>
    <t>2026-07-31T10:25:15.000Z</t>
  </si>
  <si>
    <t>New Item :7360-4010-9090 New Serial Number :57-60595298 Old Item :7360-4010-9090 Old Serial Number :57-60595298</t>
  </si>
  <si>
    <t>2026-07-31T10:25:17.000Z</t>
  </si>
  <si>
    <t>Coupon slot broke on SCO11  [Generated by Portal Login: most14 Contact: Staci Mowder 2694689716 FTFMSupport@rdspos.com]</t>
  </si>
  <si>
    <t>CE IS NOW US153C19</t>
  </si>
  <si>
    <t>2026-07-28T10:12:38.000Z</t>
  </si>
  <si>
    <t>Front Fasica door physically damaged ordering replacement PN: 4970527925</t>
  </si>
  <si>
    <t>2026-07-28T14:46:32.000Z</t>
  </si>
  <si>
    <t>Coupon slot broke on SCO11  [Generated by Portal Login: most14 Contact: Staci Mowder 2694689716 FTFMSupport@rdspos.com]-CE IS NOW US153C19-Front Fasica door physically damaged ordering replacement PN: 4970527925-LOM order processing, Part has been Ordered , Remedy Id 000000015092941 - (Pick Up)IL, Elk Grove Villageby Agent Auto CE pickup-Oracle Order Shipped for Remedy Id: U018971465, Order/Receipt # 182451999, Ordered Part 4970527925, Part Description - SERVICE ASSEMBLY - COSMETIC DOOR - KIT, Shipment/Receipt #2120006271, Part has been Shipped, Qty 1, Priority NFO, Shipping Method CE Pickup After Hours, BOL/Job NA, Source Location UFF USFORD1G-CE IS NOW US153C21-Replace cosmetic door due to broken coupon sensor screws. Site contact Mike-Replace cosmetic door due to broken coupon sensor screws. Site contact Mike-New Item :7360-4010-9090 New Serial Number :57-60595298 Old Item :7360-4010-9090 Old Serial Number :57-60595298</t>
  </si>
  <si>
    <t>DE</t>
  </si>
  <si>
    <t>DISPLAY/TOUCH SCREEN</t>
  </si>
  <si>
    <t>2025-10-01T20:52:33.000Z</t>
  </si>
  <si>
    <t>57-60591374</t>
  </si>
  <si>
    <t>DISPLAY/TOUCH</t>
  </si>
  <si>
    <t>DEES</t>
  </si>
  <si>
    <t>2025-10-01T14:54:00.000Z</t>
  </si>
  <si>
    <t>2025-10-01T19:54:00.000Z</t>
  </si>
  <si>
    <t>MINNEAPOLIS</t>
  </si>
  <si>
    <t>2025-10-01T15:34:00.000Z</t>
  </si>
  <si>
    <t>2025-10-01T20:34:00.000Z</t>
  </si>
  <si>
    <t>speaker issue, lane is operational</t>
  </si>
  <si>
    <t>MEIJER/FRESH THYME #561</t>
  </si>
  <si>
    <t>2025-09-29T13:18:04.000Z</t>
  </si>
  <si>
    <t>2025-09-29T18:18:04.000Z</t>
  </si>
  <si>
    <t>2025-10-31T21:03:34.000Z</t>
  </si>
  <si>
    <t>2025-10-01T05:11:46.000Z</t>
  </si>
  <si>
    <t>Register 14 had bad speakers in the head unit. Shut down the entire system and remove the head unit from the assembly. Opened up the head unit and removed the old speaker assembly. Installed the new speakers and plugged in all the cables. Reassembled the head unit and once everything was buttoned up, applied power. The register booted up successfully and register 14 has sound again. Verified by checkout lead Sarah</t>
  </si>
  <si>
    <t>2025-10-01T15:34:56.000Z</t>
  </si>
  <si>
    <t>New Item :7360-4010-9090 New Serial Number :57-60591374 Old Item :7360-4010-9090 Old Serial Number :57-60591374</t>
  </si>
  <si>
    <t>2025-10-01T15:34:58.000Z</t>
  </si>
  <si>
    <t>No sound coming from speakers on SCO14   [Generated by Portal Login: most14 Contact: Staci Mowder 3096133038 ftfmsupport@rdspos.com]</t>
  </si>
  <si>
    <t>CE IS NOW US153R71</t>
  </si>
  <si>
    <t>2025-09-29T13:37:04.000Z</t>
  </si>
  <si>
    <t>CE WAS US153R71</t>
  </si>
  <si>
    <t>2025-09-30T17:18:03.000Z</t>
  </si>
  <si>
    <t>No sound coming from speakers on SCO14   [Generated by Portal Login: most14 Contact: Staci Mowder 3096133038 ftfmsupport@rdspos.com]-CE IS NOW US153R71-CE WAS US153R71-CE IS NOW US153R77-???I ordered new speakers. 4970531960-LOM order processing, Part has been Ordered , Remedy Id 000000014876248 - (Pick Up)MN, Arden Hillsby Agent Auto CE pickup-Oracle Order Shipped for Remedy Id: U018764414, Order/Receipt # 181739952, Ordered Part 4970531960, Part Description - ASSEMBLY, SPEAKERS WITH ENCLOSURES, Shipment/Receipt #2110987911, Part has been Shipped, Qty 1, Priority NFO, Shipping Method CE Pickup After Hours, BOL/Job NA, Source Location UFF USFMSP1G-CE WAS US153R77-CE IS NOW US153R72-Register 14 had bad speakers in the head unit. Shut down the entire system and remove the head unit from the assembly. Opened up the head unit and removed the old speaker assembly. Installed the new speakers and plugged in all the cables. Reassembled the head unit and once everything was buttoned up, applied power. The register booted up successfully and register 14 has sound again. Verified by checkout lead Sarah-New Item :7360-4010-9090 New Serial Number :57-60591374 Old Item :7360-4010-9090 Old Serial Number :57-60591374</t>
  </si>
  <si>
    <t>2026-06-26T15:43:30.000Z</t>
  </si>
  <si>
    <t>57-60587844</t>
  </si>
  <si>
    <t>2026-06-26T10:29:00.000Z</t>
  </si>
  <si>
    <t>2026-06-26T14:29:00.000Z</t>
  </si>
  <si>
    <t>2026-06-26T11:26:00.000Z</t>
  </si>
  <si>
    <t>2026-06-26T15:26:00.000Z</t>
  </si>
  <si>
    <t>Normal:  || SLA@1</t>
  </si>
  <si>
    <t>MH185350</t>
  </si>
  <si>
    <t>2026-06-25T14:29:11.000Z</t>
  </si>
  <si>
    <t>2026-06-25T18:29:11.000Z</t>
  </si>
  <si>
    <t>CEM4280273:spring broken</t>
  </si>
  <si>
    <t>2026-06-26T11:27:04.000Z</t>
  </si>
  <si>
    <t>Cashbox has no tension on pusher plate. Spring broken. Replaced cashbox and tested recycler.</t>
  </si>
  <si>
    <t>2026-06-26T11:27:05.000Z</t>
  </si>
  <si>
    <t>New Item :7360-4010-9090 New Serial Number :57-60587844 Old Item :7360-4010-9090 Old Serial Number :57-60587862</t>
  </si>
  <si>
    <t>2026-06-26T11:27:06.000Z</t>
  </si>
  <si>
    <t>Notebox will not stay in the SCO, a spring is broken.  [Generated by Portal Login: coas14 Contact: Ashley Cooper 3092131564 ftfmsupport@rdspos.com]</t>
  </si>
  <si>
    <t>2026-06-25T14:31:34.000Z</t>
  </si>
  <si>
    <t>CE WAS US133C87</t>
  </si>
  <si>
    <t>2026-06-26T08:24:00.000Z</t>
  </si>
  <si>
    <t>Notebox will not stay in the SCO, a spring is broken.  [Generated by Portal Login: coas14 Contact: Ashley Cooper 3092131564 ftfmsupport@rdspos.com]-CE IS NOW US133C87-CE WAS US133C87-CE IS NOW US133C90-CE IS NOW US133C90-CEM4280273:spring broken-Cashbox has no tension on pusher plate. Spring broken. Replaced cashbox and tested recycler.-New Item :7360-4010-9090 New Serial Number :57-60587844 Old Item :7360-4010-9090 Old Serial Number :57-60587862</t>
  </si>
  <si>
    <t>2025-09-10T14:16:15.000Z</t>
  </si>
  <si>
    <t>57-60587809</t>
  </si>
  <si>
    <t>2025-09-10T09:47:00.000Z</t>
  </si>
  <si>
    <t>2025-09-10T13:47:00.000Z</t>
  </si>
  <si>
    <t>2025-09-10T10:00:00.000Z</t>
  </si>
  <si>
    <t>2025-09-10T14:00:00.000Z</t>
  </si>
  <si>
    <t>2025-09-09T09:37:12.000Z</t>
  </si>
  <si>
    <t>2025-09-09T13:37:12.000Z</t>
  </si>
  <si>
    <t>2025-09-09T13:37:13.000Z</t>
  </si>
  <si>
    <t>2025-09-09T09:37:13.000Z</t>
  </si>
  <si>
    <t>7289-4479-9898</t>
  </si>
  <si>
    <t>Store528</t>
  </si>
  <si>
    <t>CE IS NOW US133E79</t>
  </si>
  <si>
    <t>2025-09-10T08:34:52.000Z</t>
  </si>
  <si>
    <t>Arrive on site find the bottom locking mechanism pin is hitting the door and cause issue to open and close. Adjust the pin and had staff tested it to ensure the fix is stasfy. Sco 12 is back in service</t>
  </si>
  <si>
    <t>2025-09-10T10:02:28.000Z</t>
  </si>
  <si>
    <t>New Item :7360-4010-9090 New Serial Number :57-60587809 Old Item :7360-4010-9090 Old Serial Number :57-60587799</t>
  </si>
  <si>
    <t>2025-09-10T10:02:30.000Z</t>
  </si>
  <si>
    <t>Difficulty with lock on Sco door on SCO12. NCR was on site 4 days ago for same issue.   [Generated by Portal Login: most14 Contact: Staci Mowder 3096133038 ftfmsupport@rdspos.com]</t>
  </si>
  <si>
    <t>CE IS NOW US133E78</t>
  </si>
  <si>
    <t>2025-09-09T09:41:05.000Z</t>
  </si>
  <si>
    <t>CE WAS US133E78</t>
  </si>
  <si>
    <t>2025-09-10T08:34:50.000Z</t>
  </si>
  <si>
    <t>Difficulty with lock on Sco door on SCO12. NCR was on site 4 days ago for same issue.   [Generated by Portal Login: most14 Contact: Staci Mowder 3096133038 ftfmsupport@rdspos.com]-CE IS NOW US133E78-CE WAS US133E78-CE IS NOW US133E79-Arrive on site find the bottom locking mechanism pin is hitting the door and cause issue to open and close. Adjust the pin and had staff tested it to ensure the fix is stasfy. Sco 12 is back in service-New Item :7360-4010-9090 New Serial Number :57-60587809 Old Item :7360-4010-9090 Old Serial Number :57-60587799</t>
  </si>
  <si>
    <t>2025-09-12T17:22:35.000Z</t>
  </si>
  <si>
    <t>57-60591339</t>
  </si>
  <si>
    <t>2025-09-12T12:22:00.000Z</t>
  </si>
  <si>
    <t>2025-09-12T16:22:00.000Z</t>
  </si>
  <si>
    <t>2025-09-12T13:05:00.000Z</t>
  </si>
  <si>
    <t>2025-09-12T17:05:00.000Z</t>
  </si>
  <si>
    <t>2025-09-11T17:22:55.000Z</t>
  </si>
  <si>
    <t>2025-09-11T21:22:55.000Z</t>
  </si>
  <si>
    <t>2025-09-11T21:22:58.000Z</t>
  </si>
  <si>
    <t>2025-09-11T17:22:58.000Z</t>
  </si>
  <si>
    <t>sco in service on arrival.   tests did not indicate a battery issue but replaced as requested.   sco came back into service without issue.</t>
  </si>
  <si>
    <t>2025-09-12T13:05:13.000Z</t>
  </si>
  <si>
    <t>New Item :7360-4010-9090 New Serial Number :57-60591339 Old Item :7360-4010-9090 Old Serial Number :57-60591339</t>
  </si>
  <si>
    <t>2025-09-12T13:05:16.000Z</t>
  </si>
  <si>
    <t>SCO14 not powering on. Needs back up battery replaced on SCO14   [Generated by Portal Login: most14 Contact: Staci Mowder 3096133038 ftfmsupport@rdspos.com]</t>
  </si>
  <si>
    <t>2025-09-11T17:22:59.000Z</t>
  </si>
  <si>
    <t>2025-09-11T17:56:41.000Z</t>
  </si>
  <si>
    <t>2025-09-12T13:05:12.000Z</t>
  </si>
  <si>
    <t>SCO14 not powering on. Needs back up battery replaced on SCO14   [Generated by Portal Login: most14 Contact: Staci Mowder 3096133038 ftfmsupport@rdspos.com]-CE IS NOW US153C41-57-60591339-sco in service on arrival.   tests did not indicate a battery issue but replaced as requested.   sco came back into service without issue.-New Item :7360-4010-9090 New Serial Number :57-60591339 Old Item :7360-4010-9090 Old Serial Number :57-60591339</t>
  </si>
  <si>
    <t>2026-05-02T00:43:24.000Z</t>
  </si>
  <si>
    <t>36ES</t>
  </si>
  <si>
    <t>2026-04-29T17:56:00.000Z</t>
  </si>
  <si>
    <t>2026-04-29T22:56:00.000Z</t>
  </si>
  <si>
    <t>2026-05-01T19:28:00.000Z</t>
  </si>
  <si>
    <t>2026-05-02T00:28:00.000Z</t>
  </si>
  <si>
    <t>TRILIGHT ISSUE</t>
  </si>
  <si>
    <t>MD250158</t>
  </si>
  <si>
    <t>MEIJER/FRESH THYME #637</t>
  </si>
  <si>
    <t>2026-04-29T12:31:27.000Z</t>
  </si>
  <si>
    <t>2026-04-29T17:31:27.000Z</t>
  </si>
  <si>
    <t>57-60587790</t>
  </si>
  <si>
    <t>CEM4155040:lane light not working</t>
  </si>
  <si>
    <t>2026-05-01T19:10:15.000Z</t>
  </si>
  <si>
    <t>Replaced tri light for sco lane. Secured connections and rebooted sco. Light now working normal.</t>
  </si>
  <si>
    <t>2026-05-01T19:28:39.000Z</t>
  </si>
  <si>
    <t>New Item :7360-4010-9090 New Serial Number :086700689585 Old Item :7360-4010-9090 Old Serial Number :57-60587790</t>
  </si>
  <si>
    <t>2026-05-01T19:28:41.000Z</t>
  </si>
  <si>
    <t>SCO 14 tri-light is out, not working  [Generated by Portal Login: besa14 Contact: Sabrina Bechtel 715-498-6611 ftfmsupport@rdspos.com]</t>
  </si>
  <si>
    <t>CE IS NOW US153C10</t>
  </si>
  <si>
    <t>2026-04-29T12:31:37.000Z</t>
  </si>
  <si>
    <t>Ordering Tri-Light w/Camera</t>
  </si>
  <si>
    <t>2026-04-29T17:58:02.000Z</t>
  </si>
  <si>
    <t>SCO 14 tri-light is out, not working  [Generated by Portal Login: besa14 Contact: Sabrina Bechtel 715-498-6611 ftfmsupport@rdspos.com]-CE IS NOW US153C10-Ordering Tri-Light w/Camera-LOM order processing, Part has been Ordered , Remedy Id 000000015031394 - (Next Day) by Agent Auto VIP P000-Oracle Order Shipped for Remedy Id: U018914398, Order/Receipt # 182241373, Ordered Part 4970525295, Part Description - KIT - R6 TRI-LIGHT W/IP CAMERA, Shipment/Receipt #2118313769, Part has been Shipped, Qty 1, Priority OVERNIGHT, Shipping Method UPS-Air-Next Day Air Saver, BOL/Job 1ZH92Y051302804382, Source Location PTC AVL-CEM4155040:lane light not working-Replaced tri light for sco lane. Secured connections and rebooted sco. Light now working normal.-New Item :7360-4010-9090 New Serial Number :086700689585 Old Item :7360-4010-9090 Old Serial Number :57-60587790</t>
  </si>
  <si>
    <t>2026-02-17T00:05:29.000Z</t>
  </si>
  <si>
    <t>57-60587852</t>
  </si>
  <si>
    <t>2026-02-16T16:42:00.000Z</t>
  </si>
  <si>
    <t>2026-02-16T22:42:00.000Z</t>
  </si>
  <si>
    <t>2026-02-16T17:31:00.000Z</t>
  </si>
  <si>
    <t>2026-02-16T23:31:00.000Z</t>
  </si>
  <si>
    <t>2026-02-16T10:29:30.000Z</t>
  </si>
  <si>
    <t>2026-02-16T16:29:30.000Z</t>
  </si>
  <si>
    <t>7932-0805-9802</t>
  </si>
  <si>
    <t>LOADED DRIVERS</t>
  </si>
  <si>
    <t>CEM3751038:def</t>
  </si>
  <si>
    <t>2026-02-16T17:47:48.000Z</t>
  </si>
  <si>
    <t>Arrived on site and spoke to MOD regarding issues - accessed SCO and tested, though issue is persistent. Ended up replacing the unit, successfully tested after driver installation. CR5000 is in a functioning state at the time of arrival.</t>
  </si>
  <si>
    <t>New Item :7360-4010-9090 New Serial Number :57-60587852 Old Item :7360-4010-9090 Old Serial Number :57-60588381</t>
  </si>
  <si>
    <t>2026-02-16T17:47:50.000Z</t>
  </si>
  <si>
    <t>SCO 12 coin acceptor not working, printer will not feed and the track the printer is on gets jammed  [Generated by Portal Login: besa14 Contact: Sabrina Bechtel 715-498-6611 ftfmsupport@rdspos.com]</t>
  </si>
  <si>
    <t>2026-02-16T10:29:31.000Z</t>
  </si>
  <si>
    <t>CE IS NOW US153N75</t>
  </si>
  <si>
    <t>2026-02-16T10:32:46.000Z</t>
  </si>
  <si>
    <t>CE WAS US153N75</t>
  </si>
  <si>
    <t>2026-02-16T12:46:11.000Z</t>
  </si>
  <si>
    <t>SCO 12 coin acceptor not working, printer will not feed and the track the printer is on gets jammed  [Generated by Portal Login: besa14 Contact: Sabrina Bechtel 715-498-6611 ftfmsupport@rdspos.com]-CE IS NOW US153N75-CE WAS US153N75-CE IS NOW US153N74-CEM3751038:def-Arrived on site and spoke to MOD regarding issues - accessed SCO and tested, though issue is persistent. Ended up replacing the unit, successfully tested after driver installation. CR5000 is in a functioning state at the time of arrival.-New Item :7360-4010-9090 New Serial Number :57-60587852 Old Item :7360-4010-9090 Old Serial Number :57-60588381</t>
  </si>
  <si>
    <t>2025-12-07T20:14:43.000Z</t>
  </si>
  <si>
    <t>57-60588413</t>
  </si>
  <si>
    <t>NRQ5</t>
  </si>
  <si>
    <t>2025-12-07T13:44:00.000Z</t>
  </si>
  <si>
    <t>2025-12-07T18:44:00.000Z</t>
  </si>
  <si>
    <t>2025-12-07T15:00:00.000Z</t>
  </si>
  <si>
    <t>2025-12-07T20:00:00.000Z</t>
  </si>
  <si>
    <t>MEIJER/FRESH THYME #535</t>
  </si>
  <si>
    <t>2025-12-06T18:35:56.000Z</t>
  </si>
  <si>
    <t>2025-12-06T23:35:56.000Z</t>
  </si>
  <si>
    <t>2025-12-06T23:36:01.000Z</t>
  </si>
  <si>
    <t>2025-12-06T18:36:01.000Z</t>
  </si>
  <si>
    <t>New Item :7360-4010-9090 New Serial Number :57-60588413 Old Item :7360-4010-9090 Old Serial Number :57-60587719</t>
  </si>
  <si>
    <t>2025-12-07T15:01:31.000Z</t>
  </si>
  <si>
    <t>SCO 11 has a note recycler error note jam at RRIN1 error code 5-9-0-4-62996 Second time in one day that the RRIN1 box keeps getting errors.  [Generated by Portal Login: besa14 Contact: Sabrina Bechtel 715-498-6611 ftfmsupport@rdspos.com]</t>
  </si>
  <si>
    <t>CE IS NOW US133E73</t>
  </si>
  <si>
    <t>2025-12-06T18:40:03.000Z</t>
  </si>
  <si>
    <t>RRIN1 sensor was cleaned. Cycled notes in PML and error did not reoccur. Terminal returned to full service with no issues. Site will monitor terminal if issue reoccurs.</t>
  </si>
  <si>
    <t>2025-12-07T15:01:29.000Z</t>
  </si>
  <si>
    <t>SCO 11 has a note recycler error note jam at RRIN1 error code 5-9-0-4-62996 Second time in one day that the RRIN1 box keeps getting errors.  [Generated by Portal Login: besa14 Contact: Sabrina Bechtel 715-498-6611 ftfmsupport@rdspos.com]-CE IS NOW US133E73-RRIN1 sensor was cleaned. Cycled notes in PML and error did not reoccur. Terminal returned to full service with no issues. Site will monitor terminal if issue reoccurs.-New Item :7360-4010-9090 New Serial Number :57-60588413 Old Item :7360-4010-9090 Old Serial Number :57-60587719</t>
  </si>
  <si>
    <t>2025-09-03T19:39:46.000Z</t>
  </si>
  <si>
    <t>57-60588471</t>
  </si>
  <si>
    <t>2025-09-03T13:26:00.000Z</t>
  </si>
  <si>
    <t>2025-09-03T18:26:00.000Z</t>
  </si>
  <si>
    <t>2025-09-03T13:30:00.000Z</t>
  </si>
  <si>
    <t>2025-09-03T18:30:00.000Z</t>
  </si>
  <si>
    <t>2025-09-03T10:30:42.000Z</t>
  </si>
  <si>
    <t>2025-09-03T15:30:42.000Z</t>
  </si>
  <si>
    <t>New Item :7360-4010-9090 New Serial Number :57-60588471 Old Item :7360-4010-9090 Old Serial Number :57-60588471</t>
  </si>
  <si>
    <t>2025-09-03T14:24:16.000Z</t>
  </si>
  <si>
    <t>SCO 16 will not power on, needs the battery back up replaced  [Generated by Portal Login: besa14 Contact: Sabrina Bechtel 715-498-6611 ftfmsupport@rdspos.com]</t>
  </si>
  <si>
    <t>2025-09-03T10:30:43.000Z</t>
  </si>
  <si>
    <t>2025-09-03T10:30:51.000Z</t>
  </si>
  <si>
    <t>2025-09-03T14:22:52.000Z</t>
  </si>
  <si>
    <t>SCO 16 will not power on, needs the battery back up replaced  [Generated by Portal Login: besa14 Contact: Sabrina Bechtel 715-498-6611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:57-60588471 Old Item :7360-4010-9090 Old Serial Number :57-60588471</t>
  </si>
  <si>
    <t>2026-01-15T21:37:10.000Z</t>
  </si>
  <si>
    <t>2026-01-15T14:48:00.000Z</t>
  </si>
  <si>
    <t>2026-01-15T20:48:00.000Z</t>
  </si>
  <si>
    <t>2026-01-15T15:22:00.000Z</t>
  </si>
  <si>
    <t>2026-01-15T21:22:00.000Z</t>
  </si>
  <si>
    <t>UPS - Consumables</t>
  </si>
  <si>
    <t>NS185270</t>
  </si>
  <si>
    <t>2026-01-14T08:18:10.000Z</t>
  </si>
  <si>
    <t>2026-01-14T14:18:10.000Z</t>
  </si>
  <si>
    <t>2026-01-14T14:18:11.000Z</t>
  </si>
  <si>
    <t>2026-01-14T08:18:11.000Z</t>
  </si>
  <si>
    <t>CEM4059769:Blown UPS, doesnt power on</t>
  </si>
  <si>
    <t>2026-01-15T15:22:44.000Z</t>
  </si>
  <si>
    <t>I arrived on site and found the UPS wasn't powering on, just like the primary tech found. Replaced the UPS and the register power on without any problems. Wait for the SCO to fully load up and the customer to log it in. Everything is good to go. Job completed</t>
  </si>
  <si>
    <t>2026-01-15T15:22:46.000Z</t>
  </si>
  <si>
    <t>Battery backup will not power on, SCO completely shut down and will not power on  [Generated by Portal Login: coas14 Contact: Ashley Cooper 309-213-1564 ftfmsupport@rdspos.com]</t>
  </si>
  <si>
    <t>CE IS NOW US153N62</t>
  </si>
  <si>
    <t>2026-01-14T08:21:08.000Z</t>
  </si>
  <si>
    <t>LOM order processing, Part has been Ordered , Remedy Id 000000014957898 - (Next Day) by Agent AUTO VIP</t>
  </si>
  <si>
    <t>2026-01-14T09:12:58.000Z</t>
  </si>
  <si>
    <t>Battery backup will not power on, SCO completely shut down and will not power on  [Generated by Portal Login: coas14 Contact: Ashley Cooper 309-213-1564 ftfmsupport@rdspos.com]-CE IS NOW US153N62-LOM order processing, Part has been Ordered , Remedy Id 000000014957898 - (Next Day) by Agent AUTO VIP-LOM order processing, Part has been Ordered , Remedy Id U018844892 - (Next Day) by Agent sj185290-Oracle Order Shipped for Remedy Id: U018844892, Order/Receipt # 181997847, Ordered Part 4970527939, Part Description - R6.0 UPS 110V 800VA with USB communication port &amp; EMC Improvements, Shipment/Receipt #2115732223, Part has been Shipped, Qty 1, Priority OVERNIGHT, Shipping Method UPS-Air-Next Day Air Saver, BOL/Job 1ZH92Y061300617854, Source Location UFF USFSBN1G-CEM4059769:Blown UPS, doesnt power on-I arrived on site and found the UPS wasn't powering on, just like the primary tech found. Replaced the UPS and the register power on without any problems. Wait for the SCO to fully load up and the customer to log it in. Everything is good to go. Job completed-New Item :7360-4010-9090 New Serial Number :57-60587849 Old Item :7360-4010-9090 Old Serial Number :57-60587849</t>
  </si>
  <si>
    <t>2026-06-24T14:57:16.000Z</t>
  </si>
  <si>
    <t>34EM</t>
  </si>
  <si>
    <t>2026-06-24T09:55:00.000Z</t>
  </si>
  <si>
    <t>2026-06-24T13:55:00.000Z</t>
  </si>
  <si>
    <t>2026-06-24T10:35:00.000Z</t>
  </si>
  <si>
    <t>2026-06-24T14:35:00.000Z</t>
  </si>
  <si>
    <t>CHGC -   store lost their key</t>
  </si>
  <si>
    <t>TN185110</t>
  </si>
  <si>
    <t>2026-06-22T16:38:42.000Z</t>
  </si>
  <si>
    <t>2026-06-22T20:38:42.000Z</t>
  </si>
  <si>
    <t>19KL</t>
  </si>
  <si>
    <t>19KL-CE NOT ABLE TO ACCESS THE ATM UPON ARRIVING ON-SITE</t>
  </si>
  <si>
    <t>2026-06-22T20:38:43.000Z</t>
  </si>
  <si>
    <t>2026-06-22T16:38:43.000Z</t>
  </si>
  <si>
    <t>INSTRUCT OPERATOR</t>
  </si>
  <si>
    <t>store lost their key</t>
  </si>
  <si>
    <t>2026-06-24T10:41:39.000Z</t>
  </si>
  <si>
    <t>Arrived on site checked in with Chris, he informed me his FETL lost the key and I don't have an extra key so giving them mine and ordering a new one</t>
  </si>
  <si>
    <t>2026-06-24T10:41:40.000Z</t>
  </si>
  <si>
    <t>Requesting replacement keys and intervolt lock replacement We have a service tech come out that needed to access the coin receptacle and could not as we do not have the keys to it.  [Generated by Portal Login: coas14 Contact: Ashley Cooper 3092131564 ftfmsupport@rdspos.com]</t>
  </si>
  <si>
    <t>2026-06-22T16:38:53.000Z</t>
  </si>
  <si>
    <t>Escalation Request: Need confirmed CE ETA and assignment. [Added by: Vannie Kristoffer Tabares Portal Login: ncr.com Phone Number: 09614106969 Email Address: VannieKristoffer.Tabares@ncrvoyix.com Contact By: GIM]</t>
  </si>
  <si>
    <t>2026-06-24T07:41:26.000Z</t>
  </si>
  <si>
    <t>Requesting replacement keys and intervolt lock replacement We have a service tech come out that needed to access the coin receptacle and could not as we do not have the keys to it.  [Generated by Portal Login: coas14 Contact: Ashley Cooper 3092131564 ftfmsupport@rdspos.com]-CE IS NOW US133C87-Escalation Request: Need confirmed CE ETA and assignment. [Added by: Vannie Kristoffer Tabares Portal Login: ncr.com Phone Number: 09614106969 Email Address: VannieKristoffer.Tabares@ncrvoyix.com Contact By: GIM]-CE WAS US133C87-CE IS NOW US133C84-Escalation Update: Best ETA at this time 6/24/2026 20:00-CE IS NOW US133C84-Checked in with MOD Chris-store lost their key-Arrived on site checked in with Chris, he informed me his FETL lost the key and I don't have an extra key so giving them mine and ordering a new one-New Item :7360-4010-9090 New Serial Number :57-60587823 Old Item :7360-4010-9090 Old Serial Number :57-60587862</t>
  </si>
  <si>
    <t>2026-08-10T23:17:58.000Z</t>
  </si>
  <si>
    <t>57-58264239</t>
  </si>
  <si>
    <t>2026-08-10T17:30:00.000Z</t>
  </si>
  <si>
    <t>2026-08-10T22:30:00.000Z</t>
  </si>
  <si>
    <t>2026-08-10T18:04:00.000Z</t>
  </si>
  <si>
    <t>2026-08-10T23:04:00.000Z</t>
  </si>
  <si>
    <t>2026-08-10T10:16:08.000Z</t>
  </si>
  <si>
    <t>2026-08-10T15:16:08.000Z</t>
  </si>
  <si>
    <t>2026-08-10T15:16:10.000Z</t>
  </si>
  <si>
    <t>2026-08-10T10:16:10.000Z</t>
  </si>
  <si>
    <t>damaged safe lock preventing key from being inserted.</t>
  </si>
  <si>
    <t>2026-08-10T18:04:23.000Z</t>
  </si>
  <si>
    <t>replaced the damaged lock on register 19 and the unit is now locking and unlocking normally. contact Mgr was Zeppelin.</t>
  </si>
  <si>
    <t>New Item :7360-4010-9090 New Serial Number :57-58264239 Old Item :7360-4010-9090 Old Serial Number :57-58264241</t>
  </si>
  <si>
    <t>2026-08-10T18:04:24.000Z</t>
  </si>
  <si>
    <t>On SCO 19 the vault door lock broke in the unlocked postition. Will need service today as soon as possible please  [Generated by Portal Login: coas14 Contact: Ashley Cooper 3092131564 ftfmsupport@rdspos.com]</t>
  </si>
  <si>
    <t>CE IS NOW US153N78</t>
  </si>
  <si>
    <t>2026-08-10T10:18:03.000Z</t>
  </si>
  <si>
    <t>CE WAS US153N78</t>
  </si>
  <si>
    <t>2026-08-10T16:05:01.000Z</t>
  </si>
  <si>
    <t>On SCO 19 the vault door lock broke in the unlocked postition. Will need service today as soon as possible please  [Generated by Portal Login: coas14 Contact: Ashley Cooper 3092131564 ftfmsupport@rdspos.com]-CE IS NOW US153N78-CE WAS US153N78-CE IS NOW US153N63-LOM order processing, Part has been Ordered , Remedy Id 000000015101798 - (Pick Up)MO, Fentonby Agent Auto CE pickup-CE WAS US153N63-CE IS NOW US153N64-Oracle Order Shipped for Remedy Id: U018980002, Order/Receipt # 182484240, Ordered Part 4970510173, Part Description - SAFE KEY LOCK, LA GARD (SERVICE KIT), Shipment/Receipt #2120195419, Part has been Shipped, Qty 1, Priority NFO, Shipping Method CE Pickup After Hours, BOL/Job NA, Source Location UFF USFSTL1G-damaged safe lock preventing key from being inserted.-replaced the damaged lock on register 19 and the unit is now locking and unlocking normally. contact Mgr was Zeppelin.-New Item :7360-4010-9090 New Serial Number :57-58264239 Old Item :7360-4010-9090 Old Serial Number :57-58264241</t>
  </si>
  <si>
    <t>2025-08-24T20:06:33.000Z</t>
  </si>
  <si>
    <t>57-60591391</t>
  </si>
  <si>
    <t>2025-08-24T15:22:00.000Z</t>
  </si>
  <si>
    <t>2025-08-24T19:22:00.000Z</t>
  </si>
  <si>
    <t>2025-08-24T15:52:00.000Z</t>
  </si>
  <si>
    <t>2025-08-24T19:52:00.000Z</t>
  </si>
  <si>
    <t>HI185021</t>
  </si>
  <si>
    <t>2025-08-23T19:40:00.000Z</t>
  </si>
  <si>
    <t>2025-08-23T23:40:00.000Z</t>
  </si>
  <si>
    <t>2025-08-23T23:40:01.000Z</t>
  </si>
  <si>
    <t>2025-08-23T19:40:01.000Z</t>
  </si>
  <si>
    <t>Store525</t>
  </si>
  <si>
    <t>No fault found. I checked with the manager, Phil. all the self checkout at the store is working fine. none of the self check out has an issue.</t>
  </si>
  <si>
    <t>2025-08-24T15:53:05.000Z</t>
  </si>
  <si>
    <t>New Item :7360-4010-9090 New Serial Number :57-60591391 Old Item :7360-4010-9090 Old Serial Number :57-60587851</t>
  </si>
  <si>
    <t>2025-08-24T15:53:06.000Z</t>
  </si>
  <si>
    <t>SCO has a coin recycler error   [Generated by Portal Login: most14 Contact: Staci Mowder 3096133038 ftfmsupport@rdspos.com]</t>
  </si>
  <si>
    <t>2025-08-23T20:19:48.000Z</t>
  </si>
  <si>
    <t>CE WAS US133E72</t>
  </si>
  <si>
    <t>2025-08-24T09:20:47.000Z</t>
  </si>
  <si>
    <t>SCO has a coin recycler error   [Generated by Portal Login: most14 Contact: Staci Mowder 3096133038 ftfmsupport@rdspos.com]-CE IS NOW US133E72-CE WAS US133E72-CE IS NOW US133E78-CE WAS US133E78-CE IS NOW US133E43-CE WAS US133E43-CE IS NOW US133E70-No fault found. I checked with the manager, Phil. all the self checkout at the store is working fine. none of the self check out has an issue.-No fault found. I checked with the manager, Phil. all the self checkout at the store is working fine. none of the self check out has an issue.-New Item :7360-4010-9090 New Serial Number :57-60591391 Old Item :7360-4010-9090 Old Serial Number :57-60587851</t>
  </si>
  <si>
    <t>2025-12-03T18:50:19.000Z</t>
  </si>
  <si>
    <t>57-60591346</t>
  </si>
  <si>
    <t>2025-12-03T09:55:00.000Z</t>
  </si>
  <si>
    <t>2025-12-03T14:55:00.000Z</t>
  </si>
  <si>
    <t>2025-12-03T13:29:00.000Z</t>
  </si>
  <si>
    <t>2025-12-03T18:29:00.000Z</t>
  </si>
  <si>
    <t>2025-12-02T16:35:55.000Z</t>
  </si>
  <si>
    <t>2025-12-02T21:35:55.000Z</t>
  </si>
  <si>
    <t>2025-12-02T21:35:56.000Z</t>
  </si>
  <si>
    <t>2025-12-02T16:35:56.000Z</t>
  </si>
  <si>
    <t>G552-2500-5001</t>
  </si>
  <si>
    <t>screw on printer bracket was loose preventing the slide to operate.    resolved that.  manager also pointed out the lane light was not working.    found that the led strip was bad.   replaced lane light and verified operational.   lane is back in service.</t>
  </si>
  <si>
    <t>2025-12-03T13:33:27.000Z</t>
  </si>
  <si>
    <t>travel to Indianapolis for part.</t>
  </si>
  <si>
    <t>New Item :7360-4010-9090 New Serial Number :57-60591346 Old Item :7360-4010-9090 Old Serial Number :57-60588451</t>
  </si>
  <si>
    <t>2025-12-03T13:33:29.000Z</t>
  </si>
  <si>
    <t>Unable to pull printer out, only about half way, nothing appears to be stuck   [Generated by Portal Login: coas14 Contact: Ashley  309-213-1564 ftfmsupport@rdspos.com]</t>
  </si>
  <si>
    <t>2025-12-02T16:44:08.000Z</t>
  </si>
  <si>
    <t>LOM Order Processing, Part has been Ordered, Remedy ID 000000014927662- (Pick Up) by Agent Auto CE pickup</t>
  </si>
  <si>
    <t>2025-12-03T10:31:15.000Z</t>
  </si>
  <si>
    <t>Unable to pull printer out, only about half way, nothing appears to be stuck   [Generated by Portal Login: coas14 Contact: Ashley  309-213-1564 ftfmsupport@rdspos.com]-CE IS NOW US153C41-LOM Order Processing, Part has been Ordered, Remedy ID 000000014927662- (Pick Up) by Agent Auto CE pickup-Oracle Order Shipped for Remedy Id: U018815051, Order/Receipt # 181904163, Ordered Part 4970525295, Part Description - KIT - R6 TRI-LIGHT W/IP CAMERA, Shipment/Receipt #2112696563, Part has been Shipped, Qty 1, Priority NFO, Shipping Method CE Pickup After Hours, BOL/Job NA, Source Location UFF USFIND1G-57-60591346-CEM4018084:led strip not working, wires look burnt-screw on printer bracket was loose preventing the slide to operate.    resolved that.  manager also pointed out the lane light was not working.    found that the led strip was bad.   replaced lane light and verified operational.   lane is back in service.-travel to Indianapolis for part.-New Item :7360-4010-9090 New Serial Number :57-60591346 Old Item :7360-4010-9090 Old Serial Number :57-60588451</t>
  </si>
  <si>
    <t>2026-07-15T20:21:18.000Z</t>
  </si>
  <si>
    <t>57-60595315</t>
  </si>
  <si>
    <t>36DS</t>
  </si>
  <si>
    <t>2026-07-08T12:16:00.000Z</t>
  </si>
  <si>
    <t>2026-07-08T17:16:00.000Z</t>
  </si>
  <si>
    <t>2026-07-15T15:04:00.000Z</t>
  </si>
  <si>
    <t>2026-07-15T20:04:00.000Z</t>
  </si>
  <si>
    <t>TA185098</t>
  </si>
  <si>
    <t>MEIJER/FRESH THYME #634</t>
  </si>
  <si>
    <t>2026-07-06T14:34:14.000Z</t>
  </si>
  <si>
    <t>2026-07-06T19:34:14.000Z</t>
  </si>
  <si>
    <t>Store634</t>
  </si>
  <si>
    <t>CEM4262278:defective</t>
  </si>
  <si>
    <t>2026-07-15T14:55:31.000Z</t>
  </si>
  <si>
    <t>checked in with manager Scott. replaced trilight and placed stickers on as well. it didnt come with camera/extension on the trilight itself but it appears that they they will need to contact the ncr/meijer fresh thyme account manager to have that replaced. confirmed operation after rebooting and closing ticket</t>
  </si>
  <si>
    <t>2026-07-15T15:04:29.000Z</t>
  </si>
  <si>
    <t>New Item :7360-4010-9090 New Serial Number :57-60595315 Old Item :7360-4010-9090 Old Serial Number :57-60595315</t>
  </si>
  <si>
    <t>2026-07-15T15:04:32.000Z</t>
  </si>
  <si>
    <t>SCO tri-light and SCO panel light are not working  [Generated by Portal Login: coas14 Contact: Ashley Cooper 3092131564 ftfmsupport@rdspos.com]</t>
  </si>
  <si>
    <t>2026-07-06T14:34:15.000Z</t>
  </si>
  <si>
    <t>CE IS NOW US153C01</t>
  </si>
  <si>
    <t>2026-07-06T14:35:43.000Z</t>
  </si>
  <si>
    <t>CE WAS US153C01</t>
  </si>
  <si>
    <t>2026-07-07T18:08:48.000Z</t>
  </si>
  <si>
    <t>SCO tri-light and SCO panel light are not working  [Generated by Portal Login: coas14 Contact: Ashley Cooper 3092131564 ftfmsupport@rdspos.com]-CE IS NOW US153C01-CE WAS US153C01-CE IS NOW US153C28-CE WAS US153C28-CE IS NOW US153C18-CE WAS US153C18-CE IS NOW US153C28-checked in with manager Peggy. inspected tri light and cabling and troubleshooted but is still not powering on. suspending ticket and ordering parts  4970510285  ASSEMBLY - TRI-LIGHT/LANE LIGHT HOUSING, NORMAL  and part # 4970523835-LOM order processing, Part has been Ordered , Remedy Id FSC5639327 - (Next Day) by Agent dk185294-LOM order processing, Part has been Ordered , Remedy Id FSC5639333 - (Next Day) by Agent dk185294-Oracle Order Shipped for Remedy Id: U018957999, Order/Receipt # 182403731, Ordered Part 4970510285, Part Description - ASSEMBLY - TRI-LIGHT/LANE LIGHT HOUSING, NORMAL, Shipment/Receipt #2119671894, Substitute Part was Shipped, Part has been Shipped, Qty 1, Priority OVERNIGHT, Shipping Method UPS-Air-Next Day Air Saver, BOL/Job 1ZH92Y051303127639, Source Location PTC AVL-Oracle Order Shipped for Remedy Id: U018958005, Order/Receipt # 182403735, Ordered Part 4970523835, Part Description - CABLE - TRILIGHT AND LANE LIGHT EXTENDER, Shipment/Receipt #2119671615, Part has been Shipped, Qty 1, Priority OVERNIGHT, Shipping Method UPS-Air-Next Day Air Saver, BOL/Job 1ZH92Y051303128156, Source Location PTC AVL-CE IS NOW US153C28-CEM4262276:not correct part needed for task-trilight ordered didnt match length of old one and camera cannot be transferred-checked in with Scott and after trying to put camera on new trilight housing because I was informed from guru that this part was correct it actually wasnt and camera could not be transferred to new tei light housing.  suspending and ordering new parts that match head unit r6l plus  4970525777 	ASSEMBLY - TRI-LIGHT/LANE LIGHT HOUSING, NORMAL  4970528410 	SERVICE ASSY-LABELS TRI-LIGHT/LANE LIGHT R6-LOM order processing, Part has been Ordered , Remedy Id FSC5641434 - (Next Day) by Agent ma185589-LOM order processing, Part has been Ordered , Remedy Id FSC5641436 - (Next Day) by Agent ma185589-Oracle Order Shipped for Remedy Id: U018959560, Order/Receipt # 182408810, Ordered Part 4970525777, Part Description - ASSEMBLY - TRI-LIGHT/LANE LIGHT HOUSING, NORMAL, Shipment/Receipt #2119706441, Substitute Part was Shipped, Part has been Shipped, Qty 1, Priority OVERNIGHT, Shipping Method UPS-Air-Next Day Air, BOL/Job 1ZH92Y054403137669, Source Location PTC AVL-LOM order processing, Part has been Ordered , Remedy Id U018959993 - (Next Day) by Agent sb185674-Oracle Order Shipped for Remedy Id: U018959993, Order/Receipt # 182409281, Ordered Part 4970528410, Part Description - SERVICE ASSY-LABELS TRI-LIGHT/LANE LIGHT R6, Shipment/Receipt #2119717289, Part has been Shipped, Qty 1, Priority OVERNIGHT, Shipping Method UPS-Air-Next Day Air, BOL/Job 1ZH92Y060100777678, Source Location UFF USFCLE1G-Escalation Request: Need confirmed CE ETA [Added by: Vannie Kristoffer Tabares Portal Login: ncr.com Phone Number: 09614106969 Email Address: VannieKristoffer.Tabares@ncrvoyix.com Contact By: GIM]-Escalation update: Best ETA at this time 07-15-2026 17:00-CEM4262278:defective-checked in with manager Scott. replaced trilight and placed stickers on as well. it didnt come with camera/extension on the trilight itself but it appears that they they will need to contact the ncr/meijer fresh thyme account manager to have that replaced. confirmed operation after rebooting and closing ticket-New Item :7360-4010-9090 New Serial Number :57-60595315 Old Item :7360-4010-9090 Old Serial Number :57-60595315</t>
  </si>
  <si>
    <t>2026-04-16T14:22:09.000Z</t>
  </si>
  <si>
    <t>57-60587771</t>
  </si>
  <si>
    <t>2026-04-16T10:22:09.000Z</t>
  </si>
  <si>
    <t>Canceled by NCR</t>
  </si>
  <si>
    <t>2026-04-16T10:14:50.000Z</t>
  </si>
  <si>
    <t>2026-04-16T14:14:50.000Z</t>
  </si>
  <si>
    <t>Store648</t>
  </si>
  <si>
    <t>Coupon slot is broken  [Generated by Portal Login: coas14 Contact: Ashley Cooper 3092131564 ftfmsupport@rdspos.com]</t>
  </si>
  <si>
    <t>2026-04-16T10:14:51.000Z</t>
  </si>
  <si>
    <t>2026-07-27T23:48:37.000Z</t>
  </si>
  <si>
    <t>N970241101606</t>
  </si>
  <si>
    <t>2026-07-27T17:47:00.000Z</t>
  </si>
  <si>
    <t>2026-07-27T22:47:00.000Z</t>
  </si>
  <si>
    <t>2026-07-27T18:32:00.000Z</t>
  </si>
  <si>
    <t>2026-07-27T23:32:00.000Z</t>
  </si>
  <si>
    <t>2026-07-27T14:30:20.000Z</t>
  </si>
  <si>
    <t>2026-07-27T19:30:20.000Z</t>
  </si>
  <si>
    <t>2026-07-27T19:30:21.000Z</t>
  </si>
  <si>
    <t>2026-07-27T14:30:21.000Z</t>
  </si>
  <si>
    <t>Oracle Order Shipped for Remedy Id: U018970767, Order/Receipt # 182449555, Ordered Part 4970534153, Part Description - UPS (N70-800) LV 100V/120V 800VA with USB communication Port and EMC Improvements, Shipment/Receipt #2119991429, Part has been Shipped, Qty 1, Priority NFO, Shipping Method CE Pickup After Hours, BOL/Job NA, Source Location UFF USFORD1G</t>
  </si>
  <si>
    <t>2026-07-27T16:32:34.000Z</t>
  </si>
  <si>
    <t>replaced ups for sco 14. secured cabling and reapplied ups cover. rebooted sco successfully.</t>
  </si>
  <si>
    <t>2026-07-27T18:32:37.000Z</t>
  </si>
  <si>
    <t>New Item :7360-4010-9090 New Serial Number :N970241101606 Old Item :7360-4010-9090 Old Serial Number :57-60587790</t>
  </si>
  <si>
    <t>2026-07-27T18:32:40.000Z</t>
  </si>
  <si>
    <t>Battery backup may need to be replaced. Battery backup will not power on and neither will SCO  [Generated by Portal Login: coas14 Contact: Ashley Cooper 3092131564 ftfmsupport@rdspos.com]</t>
  </si>
  <si>
    <t>2026-07-27T14:31:27.000Z</t>
  </si>
  <si>
    <t>Ordering sco ups for pk up at esl.</t>
  </si>
  <si>
    <t>2026-07-27T15:46:26.000Z</t>
  </si>
  <si>
    <t>Battery backup may need to be replaced. Battery backup will not power on and neither will SCO  [Generated by Portal Login: coas14 Contact: Ashley Cooper 3092131564 ftfmsupport@rdspos.com]-CE IS NOW US153C10-Ordering sco ups for pk up at esl.-LOM order processing, Part has been Ordered , Remedy Id 000000015092182 - (Pick Up)IL, Elk Grove Villageby Agent Auto CE pickup-Oracle Order Shipped for Remedy Id: U018970767, Order/Receipt # 182449555, Ordered Part 4970534153, Part Description - UPS (N70-800) LV 100V/120V 800VA with USB communication Port and EMC Improvements, Shipment/Receipt #2119991429, Part has been Shipped, Qty 1, Priority NFO, Shipping Method CE Pickup After Hours, BOL/Job NA, Source Location UFF USFORD1G-replaced ups for sco 14. secured cabling and reapplied ups cover. rebooted sco successfully.-New Item :7360-4010-9090 New Serial Number :N970241101606 Old Item :7360-4010-9090 Old Serial Number :57-60587790</t>
  </si>
  <si>
    <t>2026-05-19T21:45:20.000Z</t>
  </si>
  <si>
    <t>2026-05-15T18:51:00.000Z</t>
  </si>
  <si>
    <t>2026-05-15T23:51:00.000Z</t>
  </si>
  <si>
    <t>2026-05-19T16:29:00.000Z</t>
  </si>
  <si>
    <t>2026-05-19T21:29:00.000Z</t>
  </si>
  <si>
    <t>RA185139</t>
  </si>
  <si>
    <t>2026-05-15T15:47:49.000Z</t>
  </si>
  <si>
    <t>2026-05-15T20:47:49.000Z</t>
  </si>
  <si>
    <t>2026-05-15T20:47:51.000Z</t>
  </si>
  <si>
    <t>2026-05-15T15:47:51.000Z</t>
  </si>
  <si>
    <t>CE IS NOW US153C07</t>
  </si>
  <si>
    <t>2026-05-19T14:27:47.000Z</t>
  </si>
  <si>
    <t>clean jam and reboot and tested with Michael good to go</t>
  </si>
  <si>
    <t>2026-05-19T16:29:37.000Z</t>
  </si>
  <si>
    <t>2026-05-19T16:29:40.000Z</t>
  </si>
  <si>
    <t>SCO11 has a coin recycler error-Transfer chamber has overflowed  [Generated by Portal Login: most14 Contact: Staci Mowder 3096133038 FTFMSupport@rdspos.com]</t>
  </si>
  <si>
    <t>CE IS NOW US153C27</t>
  </si>
  <si>
    <t>2026-05-15T15:53:29.000Z</t>
  </si>
  <si>
    <t>transfer motor making no noise or movement after checking all sensor and clearing cr5000 for Jams, also rebooted to update firmware and still had issues</t>
  </si>
  <si>
    <t>2026-05-15T19:04:20.000Z</t>
  </si>
  <si>
    <t>SCO11 has a coin recycler error-Transfer chamber has overflowed  [Generated by Portal Login: most14 Contact: Staci Mowder 3096133038 FTFMSupport@rdspos.com]-CE IS NOW US153C27-transfer motor making no noise or movement after checking all sensor and clearing cr5000 for Jams, also rebooted to update firmware and still had issues-LOM order processing, Part has been Ordered , Remedy Id 000000015042806 - (Pick Up)IL, Elk Grove Villageby Agent Auto CE pickup-Oracle Order Shipped for Remedy Id: U018924514, Order/Receipt # 182279743, Ordered Part 4970521470, Part Description - CR5000 Transfer Chamber Motor (Service Part), Shipment/Receipt #2118614621, Part has been Shipped, Qty 1, Priority NFO, Shipping Method CE Pickup After Hours, BOL/Job NA, Source Location UFF USFORD1G-spoke with Alex about replacing the transfer motor, I replaced then ran cadd and then issue persists so now im ordering a chassis to default-LOM order processing, Part has been Ordered , Remedy Id 000000015043576 - (Next Day) by Agent Invalid Task Status E4-Oracle Order Shipped for Remedy Id: U018925360, Order/Receipt # 182280627, Ordered Part 4970533872, Part Description - Chassis module only; No motor, sorter , Active cashbox, validator, hopper(s) or Controller PCBA (non-dissipative tracks) (A) (Service Part), Shipment/Receipt #2118642717, Part has been Shipped, Qty 1, Priority OVERNIGHT, Shipping Method UPS-Air-Next Day Air Saver, BOL/Job 1ZH92Y061300724792, Source Location UFF USFDFW2G-Escalation Request: Need to part delivery update and ETA be determined [Added by: Vannie Kristoffer Tabares Portal Login: ncr.com Phone Number: 6788085046 Email Address: vanniekristoffer.tabares@ncrvoyix.com Contact By: GIM]-Escalation update: Best ETA set for 05-20-2026 11:00, per UPS, part ETA Today, May 19 by 9:00 P.M.-CE IS NOW US153C07-clean jam and reboot and tested with Michael good to go-New Item :7360-4010-9090 New Serial Number :57-60587767 Old Item :7360-4010-9090 Old Serial Number :57-60587767</t>
  </si>
  <si>
    <t>2026-06-02T21:06:57.000Z</t>
  </si>
  <si>
    <t>57-60588469</t>
  </si>
  <si>
    <t>2026-06-02T15:13:00.000Z</t>
  </si>
  <si>
    <t>2026-06-02T20:13:00.000Z</t>
  </si>
  <si>
    <t>2026-06-02T15:50:00.000Z</t>
  </si>
  <si>
    <t>2026-06-02T20:50:00.000Z</t>
  </si>
  <si>
    <t>2026-06-02T12:22:09.000Z</t>
  </si>
  <si>
    <t>2026-06-02T17:22:09.000Z</t>
  </si>
  <si>
    <t>2026-06-02T17:22:11.000Z</t>
  </si>
  <si>
    <t>2026-06-02T12:22:11.000Z</t>
  </si>
  <si>
    <t>New Item :7360-4010-9090 New Serial Number :57-60588469 Old Item :7360-4010-9090 Old Serial Number :57-60591365</t>
  </si>
  <si>
    <t>2026-06-02T15:50:57.000Z</t>
  </si>
  <si>
    <t>SCO13 not dispensing nickels to customers or in cash management   [Generated by Portal Login: most14 Contact: Staci Mowder 630-320-2349 ftfmsupport@rdspos.com]</t>
  </si>
  <si>
    <t>2026-06-02T12:22:12.000Z</t>
  </si>
  <si>
    <t>2026-06-02T12:23:09.000Z</t>
  </si>
  <si>
    <t>scanned barcode, examined issues, reseated belt, test good</t>
  </si>
  <si>
    <t>2026-06-02T15:50:54.000Z</t>
  </si>
  <si>
    <t>SCO13 not dispensing nickels to customers or in cash management   [Generated by Portal Login: most14 Contact: Staci Mowder 630-320-2349 ftfmsupport@rdspos.com]-CE IS NOW US153R19-scanned barcode, examined issues, reseated belt, test good-New Item :7360-4010-9090 New Serial Number :57-60588469 Old Item :7360-4010-9090 Old Serial Number :57-60591365</t>
  </si>
  <si>
    <t>2026-01-27T17:21:46.000Z</t>
  </si>
  <si>
    <t>57-60587722</t>
  </si>
  <si>
    <t>2026-01-27T10:30:00.000Z</t>
  </si>
  <si>
    <t>2026-01-27T16:30:00.000Z</t>
  </si>
  <si>
    <t>2026-01-27T11:07:00.000Z</t>
  </si>
  <si>
    <t>2026-01-27T17:07:00.000Z</t>
  </si>
  <si>
    <t>JG185363</t>
  </si>
  <si>
    <t>MEIJER/FRESH THYME #635</t>
  </si>
  <si>
    <t>2026-01-27T08:22:06.000Z</t>
  </si>
  <si>
    <t>2026-01-27T14:22:06.000Z</t>
  </si>
  <si>
    <t>2026-01-27T09:54:58.000Z</t>
  </si>
  <si>
    <t>Quarter was jammed inside of hopper and after removing I was able to clear error</t>
  </si>
  <si>
    <t>2026-01-27T11:07:51.000Z</t>
  </si>
  <si>
    <t>New Item :7360-4010-9090 New Serial Number :57-60587722 Old Item :7360-4010-9090 Old Serial Number :57-60587722</t>
  </si>
  <si>
    <t>2026-01-27T11:07:54.000Z</t>
  </si>
  <si>
    <t>Coin recycler error, Hopper 3 transfer path jammed, error code: 16-6-0--99-524547  [Generated by Portal Login: coas14 Contact: Ashley Cooper 3092131564 ftfmsupport@rdspos.com]</t>
  </si>
  <si>
    <t>CE IS NOW US153C18</t>
  </si>
  <si>
    <t>2026-01-27T08:24:25.000Z</t>
  </si>
  <si>
    <t>CE WAS US153C18</t>
  </si>
  <si>
    <t>2026-01-27T08:28:26.000Z</t>
  </si>
  <si>
    <t>Coin recycler error, Hopper 3 transfer path jammed, error code: 16-6-0--99-524547  [Generated by Portal Login: coas14 Contact: Ashley Cooper 3092131564 ftfmsupport@rdspos.com]-CE IS NOW US153C18-CE WAS US153C18-CE IS NOW US153C09-CE WAS US153C09-CE IS NOW US153C12-Quarter was jammed inside of hopper and after removing I was able to clear error-New Item :7360-4010-9090 New Serial Number :57-60587722 Old Item :7360-4010-9090 Old Serial Number :57-60587722</t>
  </si>
  <si>
    <t>2026-03-06T22:48:09.000Z</t>
  </si>
  <si>
    <t>34MW</t>
  </si>
  <si>
    <t>2026-03-05T17:04:00.000Z</t>
  </si>
  <si>
    <t>2026-03-05T23:04:00.000Z</t>
  </si>
  <si>
    <t>2026-03-06T15:56:00.000Z</t>
  </si>
  <si>
    <t>2026-03-06T21:56:00.000Z</t>
  </si>
  <si>
    <t>CHG-non ncr software issue caused the error.</t>
  </si>
  <si>
    <t>2026-03-05T13:11:02.000Z</t>
  </si>
  <si>
    <t>2026-03-05T19:11:02.000Z</t>
  </si>
  <si>
    <t>19KP</t>
  </si>
  <si>
    <t>19KP-ERROR WITH NON NCR HARDWARE/SOFTWARE</t>
  </si>
  <si>
    <t>2026-03-05T19:11:03.000Z</t>
  </si>
  <si>
    <t>2026-03-05T13:11:03.000Z</t>
  </si>
  <si>
    <t>non ncr software issue caused the error.</t>
  </si>
  <si>
    <t>2026-03-06T15:56:50.000Z</t>
  </si>
  <si>
    <t>replaced the i/o box but did not correct the issue.  tried a different cable with no change.  engaged guru and upon further troubleshooting determined the software print queue was causing the issue. after a hard printer reset and reboot the device was detected normally by the software.</t>
  </si>
  <si>
    <t>New Item :7360-4010-9090 New Serial Number :57-60595319 Old Item :7360-4010-9090 Old Serial Number :57-60591338</t>
  </si>
  <si>
    <t>2026-03-06T15:56:51.000Z</t>
  </si>
  <si>
    <t>Battery backup on SCO 13 will not power on and needs to be replaced as soon as possible. Please and Thank you!  [Generated by Portal Login: coas14 Contact: Ashley Cooper 3092131564 ftfmsupport@rdspos.com]</t>
  </si>
  <si>
    <t>2026-03-05T13:59:33.000Z</t>
  </si>
  <si>
    <t>CEM4106865:not always detected by system</t>
  </si>
  <si>
    <t>2026-03-05T18:43:11.000Z</t>
  </si>
  <si>
    <t>Battery backup on SCO 13 will not power on and needs to be replaced as soon as possible. Please and Thank you!  [Generated by Portal Login: coas14 Contact: Ashley Cooper 3092131564 ftfmsupport@rdspos.com]-CE IS NOW US153N64-CEM4106865:not always detected by system-replaced the defective battery backup and the unit is powering on normally but fails to detect the printer.  replaced the printer but no change. ordering a replacement i/o box.-LOM order processing, Part has been Ordered , Remedy Id 000000014993844 - (Pick Up)MO, Fentonby Agent FSC Order-Oracle Order Shipped for Remedy Id: U018878609, Order/Receipt # 182119452, Ordered Part 4970532667, Part Description - Complete IO Assembly (CAD0892++), Shipment/Receipt #2117449012, Part has been Shipped, Qty 1, Priority NFO, Shipping Method CE Pickup After Hours, BOL/Job NA, Source Location UFF USFSTL1G-CEM4106867:not comm with printer-non ncr software issue caused the error.-replaced the i/o box but did not correct the issue.  tried a different cable with no change.  engaged guru and upon further troubleshooting determined the software print queue was causing the issue. after a hard printer reset and reboot the device was detected normally by the software.-New Item :7360-4010-9090 New Serial Number :57-60595319 Old Item :7360-4010-9090 Old Serial Number :57-60591338</t>
  </si>
  <si>
    <t>2026-03-08T11:22:12.000Z</t>
  </si>
  <si>
    <t>57-60587864</t>
  </si>
  <si>
    <t>2026-03-08T05:50:00.000Z</t>
  </si>
  <si>
    <t>2026-03-08T09:50:00.000Z</t>
  </si>
  <si>
    <t>2026-03-08T06:27:00.000Z</t>
  </si>
  <si>
    <t>2026-03-08T10:27:00.000Z</t>
  </si>
  <si>
    <t>MEIJER/FRESH THYME #649</t>
  </si>
  <si>
    <t>2026-03-07T15:57:19.000Z</t>
  </si>
  <si>
    <t>2026-03-07T20:57:19.000Z</t>
  </si>
  <si>
    <t>7961-0056-9898</t>
  </si>
  <si>
    <t>2026-03-07T21:49:03.000Z</t>
  </si>
  <si>
    <t>reset the IO BOARD in sco 14 and replaced the ups and tested with manager on site working successfully MOD  Amy</t>
  </si>
  <si>
    <t>2026-03-08T06:29:01.000Z</t>
  </si>
  <si>
    <t>New Item :7360-4010-9090 New Serial Number :57-60587864 Old Item :7360-4010-9090 Old Serial Number :57-60587834</t>
  </si>
  <si>
    <t>2026-03-08T06:29:03.000Z</t>
  </si>
  <si>
    <t>SCO14 not powering on. May need battery backup replaced   [Generated by Portal Login: most14 Contact: Staci Mowder 3096133038 ftfmsupport@rdspos.com]</t>
  </si>
  <si>
    <t>2026-03-07T15:57:20.000Z</t>
  </si>
  <si>
    <t>2026-03-07T16:29:38.000Z</t>
  </si>
  <si>
    <t>CE WAS US133U01</t>
  </si>
  <si>
    <t>2026-03-07T20:14:47.000Z</t>
  </si>
  <si>
    <t>SCO14 not powering on. May need battery backup replaced   [Generated by Portal Login: most14 Contact: Staci Mowder 3096133038 ftfmsupport@rdspos.com]-CE IS NOW US133U01-CE WAS US133U01-CE IS NOW US133U10-Site closing at 9pm, reopens at 7am.-CE WAS US133U10-CE IS NOW US133U14-reset the IO BOARD in sco 14 and replaced the ups and tested with manager on site working successfully MOD  Amy-New Item :7360-4010-9090 New Serial Number :57-60587864 Old Item :7360-4010-9090 Old Serial Number :57-60587834</t>
  </si>
  <si>
    <t>2025-12-19T02:40:13.000Z</t>
  </si>
  <si>
    <t>2025-12-18T19:05:00.000Z</t>
  </si>
  <si>
    <t>2025-12-19T01:05:00.000Z</t>
  </si>
  <si>
    <t>2025-12-18T20:26:00.000Z</t>
  </si>
  <si>
    <t>2025-12-19T02:26:00.000Z</t>
  </si>
  <si>
    <t>2025-12-18T16:05:30.000Z</t>
  </si>
  <si>
    <t>2025-12-18T22:05:30.000Z</t>
  </si>
  <si>
    <t>2025-12-18T16:53:05.000Z</t>
  </si>
  <si>
    <t>The dual drum cassette recycler 2 has jam bills on both drum and just before inlet  to the cassette recycler  2. All jammed bills were removed,  and due to loss of symmetry wrapping in the drum, all bills were removed from the dual drum cassette recycler 2. The entire notes recycler were reset in pml. System reboot initiated in pml. Supervisor Reese reloaded removed  bills to verify SCO accepting and dispensing bills. Task closed.</t>
  </si>
  <si>
    <t>2025-12-18T20:28:00.000Z</t>
  </si>
  <si>
    <t>2025-12-18T20:28:02.000Z</t>
  </si>
  <si>
    <t>SCO 13 has a note recycler error recycler 2 device error code 5-9-0-111-20753  [Generated by Portal Login: besa14 Contact: Sabrina Bechtel 715-498-6611 ftfmsupport@rdspos.com]</t>
  </si>
  <si>
    <t>2025-12-18T16:05:31.000Z</t>
  </si>
  <si>
    <t>2025-12-18T16:07:27.000Z</t>
  </si>
  <si>
    <t>CE WAS US153R70</t>
  </si>
  <si>
    <t>2025-12-18T16:20:18.000Z</t>
  </si>
  <si>
    <t>SCO 13 has a note recycler error recycler 2 device error code 5-9-0-111-20753  [Generated by Portal Login: besa14 Contact: Sabrina Bechtel 715-498-6611 ftfmsupport@rdspos.com]-CE IS NOW US153R70-CE WAS US153R70-CE IS NOW US153R77-CE WAS US153R77-CE IS NOW US153R70-The dual drum cassette recycler 2 has jam bills on both drum and just before inlet  to the cassette recycler  2. All jammed bills were removed,  and due to loss of symmetry wrapping in the drum, all bills were removed from the dual drum cassette recycler 2. The entire notes recycler were reset in pml. System reboot initiated in pml. Supervisor Reese reloaded removed  bills to verify SCO accepting and dispensing bills. Task closed.-New Item :7360-4010-9090 New Serial Number :57-60590093 Old Item :7360-4010-9090 Old Serial Number :57-60590093</t>
  </si>
  <si>
    <t>2026-02-23T18:35:17.000Z</t>
  </si>
  <si>
    <t>2026-02-23T11:38:00.000Z</t>
  </si>
  <si>
    <t>2026-02-23T17:38:00.000Z</t>
  </si>
  <si>
    <t>2026-02-23T11:51:00.000Z</t>
  </si>
  <si>
    <t>2026-02-23T17:51:00.000Z</t>
  </si>
  <si>
    <t>2026-02-23T08:27:13.000Z</t>
  </si>
  <si>
    <t>2026-02-23T14:27:13.000Z</t>
  </si>
  <si>
    <t>2026-02-23T14:27:14.000Z</t>
  </si>
  <si>
    <t>2026-02-23T08:27:14.000Z</t>
  </si>
  <si>
    <t>12 ups good</t>
  </si>
  <si>
    <t>2026-02-23T12:18:52.000Z</t>
  </si>
  <si>
    <t>pick up  ups replace ups and tested and working Katie verified my work</t>
  </si>
  <si>
    <t>2026-02-23T12:18:53.000Z</t>
  </si>
  <si>
    <t>2026-02-23T12:18:55.000Z</t>
  </si>
  <si>
    <t>SCO 12 battery back up needs replaced, sco will not power on  [Generated by Portal Login: besa14 Contact: Sabrina Bechtel 715-498-6611 ftfmsupport@rdspos.com]</t>
  </si>
  <si>
    <t>CE IS NOW US153C17</t>
  </si>
  <si>
    <t>2026-02-23T08:36:19.000Z</t>
  </si>
  <si>
    <t>CE WAS US153C17</t>
  </si>
  <si>
    <t>2026-02-23T08:38:10.000Z</t>
  </si>
  <si>
    <t>SCO 12 battery back up needs replaced, sco will not power on  [Generated by Portal Login: besa14 Contact: Sabrina Bechtel 715-498-6611 ftfmsupport@rdspos.com]-CE IS NOW US153C17-CE WAS US153C17-CE IS NOW US153C07-LOM order processing, Part has been Ordered , Remedy Id 000000014986195 - (Pick Up)IL, Elk Grove Villageby Agent Auto CE pickup-LOM order processing, Part has been Ordered , Remedy Id 000000014986200 - (Pick Up)IL, Elk Grove Villageby Agent Auto CE pickup-Oracle Order Shipped for Remedy Id: U018871562, Order/Receipt # 182092850, Ordered Part 4970534153, Part Description - UPS (N70-800) LV 100V/120V 800VA with USB communication Port and EMC Improvements, Shipment/Receipt #2117255533, Part has been Shipped, Qty 1, Priority NFO, Shipping Method CE Pickup After Hours, BOL/Job NA, Source Location UFF USFORD1G-12 ups good-pick up  ups replace ups and tested and working Katie verified my work-New Item :7360-4010-9090 New Serial Number :57-60595352 Old Item :7360-4010-9090 Old Serial Number :57-60595352</t>
  </si>
  <si>
    <t>2025-11-21T18:46:23.000Z</t>
  </si>
  <si>
    <t>57-60595346</t>
  </si>
  <si>
    <t>2025-11-18T14:36:00.000Z</t>
  </si>
  <si>
    <t>2025-11-18T19:36:00.000Z</t>
  </si>
  <si>
    <t>2025-11-21T13:17:00.000Z</t>
  </si>
  <si>
    <t>2025-11-21T18:17:00.000Z</t>
  </si>
  <si>
    <t>Damaged</t>
  </si>
  <si>
    <t>GP185184</t>
  </si>
  <si>
    <t>2025-11-15T10:30:55.000Z</t>
  </si>
  <si>
    <t>2025-11-15T15:30:55.000Z</t>
  </si>
  <si>
    <t>CEM3434779:Bad Mylar</t>
  </si>
  <si>
    <t>2025-11-21T13:34:07.000Z</t>
  </si>
  <si>
    <t>Replaced first recycler as foil tape was damaged. Tested working</t>
  </si>
  <si>
    <t>New Item :7360-4010-9090 New Serial Number :57-60595346 Old Item :7360-4010-9090 Old Serial Number :57-60595325</t>
  </si>
  <si>
    <t>2025-11-21T13:34:10.000Z</t>
  </si>
  <si>
    <t>SCO11 has a broken bill holder(for $1 bills)   [Generated by Portal Login: most14 Contact: Staci Mowder 3096133038 ftfmsupport@rdspos.com]</t>
  </si>
  <si>
    <t>2025-11-15T13:01:53.000Z</t>
  </si>
  <si>
    <t>CE WAS US133B52</t>
  </si>
  <si>
    <t>2025-11-17T05:14:23.000Z</t>
  </si>
  <si>
    <t>SCO11 has a broken bill holder(for $1 bills)   [Generated by Portal Login: most14 Contact: Staci Mowder 3096133038 ftfmsupport@rdspos.com]-CE IS NOW US133B52-CE WAS US133B52-CE IS NOW US133B43-Suspending to order 4970524325 recycler casette-LOM order processing, Part has been Ordered , Remedy Id 000000014915848 - (Next Day) by Agent Auto VIP P000-Oracle Order Shipped for Remedy Id: U018803378, Order/Receipt # 181865246, Ordered Part 4970524325, Part Description - Fujitsu GSR50 Note Recycler -Dual Drum Recycling S, Shipment/Receipt #2112016310, Part has been Shipped, Qty 1, Priority OVERNIGHT, Shipping Method UPS-Air-Next Day Air Saver, BOL/Job 1ZH92Y051301942903, Source Location PTC AVL-CE IS NOW US133B43-CEM3434779:Bad Mylar-Replaced first recycler as foil tape was damaged. Tested working-New Item :7360-4010-9090 New Serial Number :57-60595346 Old Item :7360-4010-9090 Old Serial Number :57-60595325</t>
  </si>
  <si>
    <t>2026-08-08T14:37:47.000Z</t>
  </si>
  <si>
    <t>57-60591325</t>
  </si>
  <si>
    <t>2026-08-08T09:58:00.000Z</t>
  </si>
  <si>
    <t>2026-08-08T13:58:00.000Z</t>
  </si>
  <si>
    <t>2026-08-08T10:23:00.000Z</t>
  </si>
  <si>
    <t>2026-08-08T14:23:00.000Z</t>
  </si>
  <si>
    <t>JA185143</t>
  </si>
  <si>
    <t>2026-08-07T09:55:41.000Z</t>
  </si>
  <si>
    <t>2026-08-07T13:55:41.000Z</t>
  </si>
  <si>
    <t>CUSTOMER RESPONSIBILITY/NON-NCR INCIDENT</t>
  </si>
  <si>
    <t>spk with front end supe sage. invaded assy and popped lock. repeated lock, tests good by sage and I.</t>
  </si>
  <si>
    <t>2026-08-08T10:24:13.000Z</t>
  </si>
  <si>
    <t>New Item :7360-4010-9090 New Serial Number :57-60591325 Old Item :7360-4010-9090 Old Serial Number :57-60591378</t>
  </si>
  <si>
    <t>2026-08-08T10:24:14.000Z</t>
  </si>
  <si>
    <t>Unable to open outer door on SCO12   [Generated by Portal Login: most14 Contact: Staci Mowder 2694689716 FTFMSupport@rdspos.com]</t>
  </si>
  <si>
    <t>2026-08-07T09:55:42.000Z</t>
  </si>
  <si>
    <t>CE IS NOW US133U32</t>
  </si>
  <si>
    <t>2026-08-07T09:56:48.000Z</t>
  </si>
  <si>
    <t>lock issue is customer issue</t>
  </si>
  <si>
    <t>Unable to open outer door on SCO12   [Generated by Portal Login: most14 Contact: Staci Mowder 2694689716 FTFMSupport@rdspos.com]-CE IS NOW US133U32-lock issue is customer issue-spk with front end supe sage. invaded assy and popped lock. repeated lock, tests good by sage and I.-New Item :7360-4010-9090 New Serial Number :57-60591325 Old Item :7360-4010-9090 Old Serial Number :57-60591378</t>
  </si>
  <si>
    <t>2026-01-05T17:04:29.000Z</t>
  </si>
  <si>
    <t>2026-01-05T11:26:00.000Z</t>
  </si>
  <si>
    <t>2026-01-05T16:26:00.000Z</t>
  </si>
  <si>
    <t>2026-01-05T11:47:00.000Z</t>
  </si>
  <si>
    <t>2026-01-05T16:47:00.000Z</t>
  </si>
  <si>
    <t>2026-01-05T09:11:24.000Z</t>
  </si>
  <si>
    <t>2026-01-05T14:11:24.000Z</t>
  </si>
  <si>
    <t>2026-01-05T10:53:21.000Z</t>
  </si>
  <si>
    <t>Cleaned whatever dust i could find inside the sco</t>
  </si>
  <si>
    <t>2026-01-05T11:47:30.000Z</t>
  </si>
  <si>
    <t>2026-01-05T11:47:32.000Z</t>
  </si>
  <si>
    <t>SCO 11 needs an annual PM, please clean and blow out the sco, store requested  [Generated by Portal Login: besa14 Contact: Sabrina Bechtel 715-498-6611 ftfmsupport@rdspos.com]</t>
  </si>
  <si>
    <t>2026-01-05T09:14:50.000Z</t>
  </si>
  <si>
    <t>2026-01-05T09:52:10.000Z</t>
  </si>
  <si>
    <t>SCO 11 needs an annual PM, please clean and blow out the sco, store requested  [Generated by Portal Login: besa14 Contact: Sabrina Bechtel 715-498-6611 ftfmsupport@rdspos.com]-CE IS NOW US133C71-CE WAS US133C71-CE IS NOW US133C72-CE IS NOW US133C72-Cleaned whatever dust i could find inside the sco-New Item :7360-4010-9090 New Serial Number :57-60587724 Old Item :7360-4010-9090 Old Serial Number :57-60587724</t>
  </si>
  <si>
    <t>2026-07-02T21:38:48.000Z</t>
  </si>
  <si>
    <t>57-60587831</t>
  </si>
  <si>
    <t>2026-07-02T17:01:00.000Z</t>
  </si>
  <si>
    <t>2026-07-02T21:01:00.000Z</t>
  </si>
  <si>
    <t>2026-07-02T17:26:00.000Z</t>
  </si>
  <si>
    <t>2026-07-02T21:26:00.000Z</t>
  </si>
  <si>
    <t>CB185303</t>
  </si>
  <si>
    <t>2026-07-02T11:16:17.000Z</t>
  </si>
  <si>
    <t>2026-07-02T15:16:17.000Z</t>
  </si>
  <si>
    <t>2026-07-02T15:16:19.000Z</t>
  </si>
  <si>
    <t>2026-07-02T11:16:19.000Z</t>
  </si>
  <si>
    <t>2026-07-02T11:43:41.000Z</t>
  </si>
  <si>
    <t>Arrived on-site and inspected the door latch mechanism. Opened the door and confirmed that the cotter pin was jamming the mechanism. Repositioned the pin and tested before returning the lane to service.</t>
  </si>
  <si>
    <t>2026-07-02T17:26:28.000Z</t>
  </si>
  <si>
    <t>New Item :7360-4010-9090 New Serial Number :57-60587831 Old Item :7360-4010-9090 Old Serial Number :57-60587820</t>
  </si>
  <si>
    <t>2026-07-02T17:26:30.000Z</t>
  </si>
  <si>
    <t>Lock is broken and unable to open the cosmetic door on SCO 15  [Generated by Portal Login: coas14 Contact: Ashley Cooper 3092131564 ftfmsupport@rdspos.com]</t>
  </si>
  <si>
    <t>2026-07-02T11:29:04.000Z</t>
  </si>
  <si>
    <t>CE WAS US133U32</t>
  </si>
  <si>
    <t>2026-07-02T11:43:40.000Z</t>
  </si>
  <si>
    <t>Lock is broken and unable to open the cosmetic door on SCO 15  [Generated by Portal Login: coas14 Contact: Ashley Cooper 3092131564 ftfmsupport@rdspos.com]-CE IS NOW US133U32-CE WAS US133U32-CE IS NOW US133U34-Arrived on-site and inspected the door latch mechanism. Opened the door and confirmed that the cotter pin was jamming the mechanism. Repositioned the pin and tested before returning the lane to service.-New Item :7360-4010-9090 New Serial Number :57-60587831 Old Item :7360-4010-9090 Old Serial Number :57-60587820</t>
  </si>
  <si>
    <t>2026-03-22T02:14:27.000Z</t>
  </si>
  <si>
    <t>57-60587728</t>
  </si>
  <si>
    <t>2026-03-21T20:31:00.000Z</t>
  </si>
  <si>
    <t>2026-03-22T01:31:00.000Z</t>
  </si>
  <si>
    <t>2026-03-21T20:59:00.000Z</t>
  </si>
  <si>
    <t>2026-03-22T01:59:00.000Z</t>
  </si>
  <si>
    <t>MEIJER/FRESH THYME #708</t>
  </si>
  <si>
    <t>2026-03-21T13:46:58.000Z</t>
  </si>
  <si>
    <t>2026-03-21T18:46:58.000Z</t>
  </si>
  <si>
    <t>2026-03-21T18:46:59.000Z</t>
  </si>
  <si>
    <t>2026-03-21T13:46:59.000Z</t>
  </si>
  <si>
    <t>7932-5053-9898</t>
  </si>
  <si>
    <t>Oracle Order Shipped for Remedy Id: U018888961, Order/Receipt # 182152037, Ordered Part 4970534153, Part Description - UPS (N70-800) LV 100V/120V 800VA with USB communication Port and EMC Improvements, Shipment/Receipt #2117719355, Part has been Shipped, Qty 1, Priority NFO, Shipping Method CE Pickup After Hours, BOL/Job NA, Source Location UFF USFMKE1G</t>
  </si>
  <si>
    <t>2026-03-21T18:04:24.000Z</t>
  </si>
  <si>
    <t>Shutdown SCO and replaced failing UPS/Battery Backup unit.</t>
  </si>
  <si>
    <t>2026-03-21T21:00:22.000Z</t>
  </si>
  <si>
    <t>New Item :7360-4010-9090 New Serial Number :57-60587728 Old Item :7360-4010-9090 Old Serial Number :57-60587782</t>
  </si>
  <si>
    <t>2026-03-21T21:00:24.000Z</t>
  </si>
  <si>
    <t>SCO 15 powers off and when it does, battery backup is beeping. Battery backup needs to be replaced  [Generated by Portal Login: repa14 Contact: Patrick Reeves 3092411908 ftfmsupport@rdspos.com]</t>
  </si>
  <si>
    <t>CE IS NOW US153R02</t>
  </si>
  <si>
    <t>2026-03-21T13:47:20.000Z</t>
  </si>
  <si>
    <t>CE WAS US153R02</t>
  </si>
  <si>
    <t>2026-03-21T14:00:21.000Z</t>
  </si>
  <si>
    <t>SCO 15 powers off and when it does, battery backup is beeping. Battery backup needs to be replaced  [Generated by Portal Login: repa14 Contact: Patrick Reeves 3092411908 ftfmsupport@rdspos.com]-CE IS NOW US153R02-CE WAS US153R02-CE IS NOW US153R04-LOM Order Processing, Part has been Ordered, Remedy ID 000000015004414- (Pick Up) by Agent Auto CE pickup-Oracle Order Shipped for Remedy Id: U018888961, Order/Receipt # 182152037, Ordered Part 4970534153, Part Description - UPS (N70-800) LV 100V/120V 800VA with USB communication Port and EMC Improvements, Shipment/Receipt #2117719355, Part has been Shipped, Qty 1, Priority NFO, Shipping Method CE Pickup After Hours, BOL/Job NA, Source Location UFF USFMKE1G-Shutdown SCO and replaced failing UPS/Battery Backup unit.-New Item :7360-4010-9090 New Serial Number :57-60587728 Old Item :7360-4010-9090 Old Serial Number :57-60587782</t>
  </si>
  <si>
    <t>2025-09-16T21:57:31.000Z</t>
  </si>
  <si>
    <t>2025-09-16T15:49:00.000Z</t>
  </si>
  <si>
    <t>2025-09-16T20:49:00.000Z</t>
  </si>
  <si>
    <t>2025-09-16T16:40:00.000Z</t>
  </si>
  <si>
    <t>2025-09-16T21:40:00.000Z</t>
  </si>
  <si>
    <t>IW240000</t>
  </si>
  <si>
    <t>2025-09-16T12:31:00.000Z</t>
  </si>
  <si>
    <t>2025-09-16T17:31:00.000Z</t>
  </si>
  <si>
    <t>2025-09-16T17:31:02.000Z</t>
  </si>
  <si>
    <t>2025-09-16T12:31:02.000Z</t>
  </si>
  <si>
    <t>CEM3930999:keeps jamming, no tachs error</t>
  </si>
  <si>
    <t>2025-09-16T16:43:12.000Z</t>
  </si>
  <si>
    <t>found issue was the active cashbox belts kept jamming, replaced the active cashbox, ran add, reloaded media and tested ok, contact supervisor Belma</t>
  </si>
  <si>
    <t>2025-09-16T16:43:15.000Z</t>
  </si>
  <si>
    <t>SCO 13 has a coin recycler error sorter module not seated error code 16-6-0-99-524801  [Generated by Portal Login: besa14 Contact: Sabrina Bechtel 715-498-6611 ftfmsupport@rdspos.com]</t>
  </si>
  <si>
    <t>2025-09-16T12:35:42.000Z</t>
  </si>
  <si>
    <t>2025-09-16T12:58:32.000Z</t>
  </si>
  <si>
    <t>SCO 13 has a coin recycler error sorter module not seated error code 16-6-0-99-524801  [Generated by Portal Login: besa14 Contact: Sabrina Bechtel 715-498-6611 ftfmsupport@rdspos.com]-CE IS NOW US153N64-CE WAS US153N64-CE IS NOW US153N60-CEM3930999:keeps jamming, no tachs error-found issue was the active cashbox belts kept jamming, replaced the active cashbox, ran add, reloaded media and tested ok, contact supervisor Belma-New Item :7360-4010-9090 New Serial Number :57-60595319 Old Item :7360-4010-9090 Old Serial Number :57-60591338</t>
  </si>
  <si>
    <t>2026-06-06T21:14:37.000Z</t>
  </si>
  <si>
    <t>2026-06-06T16:45:00.000Z</t>
  </si>
  <si>
    <t>2026-06-06T20:45:00.000Z</t>
  </si>
  <si>
    <t>2026-06-06T16:58:00.000Z</t>
  </si>
  <si>
    <t>2026-06-06T20:58:00.000Z</t>
  </si>
  <si>
    <t>2026-06-06T13:51:43.000Z</t>
  </si>
  <si>
    <t>2026-06-06T17:51:43.000Z</t>
  </si>
  <si>
    <t>2026-06-06T15:27:31.000Z</t>
  </si>
  <si>
    <t>Arrive on site find SCO bottom door lock in position to the door which cause the door not open. Shift the pin to the right position. Confirm with Shelly is open correctly</t>
  </si>
  <si>
    <t>2026-06-06T16:58:40.000Z</t>
  </si>
  <si>
    <t>New Item :7360-4010-9090 New Serial Number :57-60587851 Old Item :7360-4010-9090 Old Serial Number :57-60591391</t>
  </si>
  <si>
    <t>2026-06-06T16:58:43.000Z</t>
  </si>
  <si>
    <t>Outer SCO door will not open  [Generated by Portal Login: coas14 Contact: Ashley Cooper 3092131564 ftfmsupport@rdspos.com]</t>
  </si>
  <si>
    <t>CE IS NOW US133E75</t>
  </si>
  <si>
    <t>2026-06-06T14:00:01.000Z</t>
  </si>
  <si>
    <t>Escalation Request: Need sooner service, store is expected a tech at original ETA of 06-06 14:13:13. Also now has a printer error, Unusable [Added by: Ashley Cooper Portal Login: coas14 Phone Number: 3092131564 Email Address: acooper@rdspos.com Contact By: GIM]</t>
  </si>
  <si>
    <t>2026-06-06T15:02:46.000Z</t>
  </si>
  <si>
    <t>Outer SCO door will not open  [Generated by Portal Login: coas14 Contact: Ashley Cooper 3092131564 ftfmsupport@rdspos.com]-CE IS NOW US133E75-Escalation Request: Need sooner service, store is expected a tech at original ETA of 06-06 14:13:13. Also now has a printer error, Unusable [Added by: Ashley Cooper Portal Login: coas14 Phone Number: 3092131564 Email Address: acooper@rdspos.com Contact By: GIM]-Escalation update: Best ETA at this time is 06/06/2026 18:00.-CE WAS US133E75-CE IS NOW US133E79-Arrive on site find SCO bottom door lock in position to the door which cause the door not open. Shift the pin to the right position. Confirm with Shelly is open correctly-New Item :7360-4010-9090 New Serial Number :57-60587851 Old Item :7360-4010-9090 Old Serial Number :57-60591391</t>
  </si>
  <si>
    <t>2026-05-05T20:33:59.000Z</t>
  </si>
  <si>
    <t>57-60590094</t>
  </si>
  <si>
    <t>2026-05-05T14:15:00.000Z</t>
  </si>
  <si>
    <t>2026-05-05T19:15:00.000Z</t>
  </si>
  <si>
    <t>2026-05-05T15:16:00.000Z</t>
  </si>
  <si>
    <t>2026-05-05T20:16:00.000Z</t>
  </si>
  <si>
    <t>TW185099</t>
  </si>
  <si>
    <t>MEIJER/FRESH THYME #534</t>
  </si>
  <si>
    <t>2026-05-05T10:03:56.000Z</t>
  </si>
  <si>
    <t>2026-05-05T15:03:56.000Z</t>
  </si>
  <si>
    <t>2026-05-05T15:04:00.000Z</t>
  </si>
  <si>
    <t>2026-05-05T10:04:00.000Z</t>
  </si>
  <si>
    <t>Evansville IN</t>
  </si>
  <si>
    <t>replace cashbox due to motor failure back online and working with no issues closing call</t>
  </si>
  <si>
    <t>2026-05-05T15:16:20.000Z</t>
  </si>
  <si>
    <t>New Item :7360-4010-9090 New Serial Number :57-60590094 Old Item :7360-4010-9090 Old Serial Number :57-60590094</t>
  </si>
  <si>
    <t>2026-05-05T15:16:22.000Z</t>
  </si>
  <si>
    <t>SCO 11 has a coin recycler error coin box motor jammed error code 16-6-0-99-459777  [Generated by Portal Login: besa14 Contact: Sabrina Bechtel 715-498-6611 ftfmsupport@rdspos.com]</t>
  </si>
  <si>
    <t>CE IS NOW US133E40</t>
  </si>
  <si>
    <t>2026-05-05T10:08:14.000Z</t>
  </si>
  <si>
    <t>CEM4181976:damage</t>
  </si>
  <si>
    <t>SCO 11 has a coin recycler error coin box motor jammed error code 16-6-0-99-459777  [Generated by Portal Login: besa14 Contact: Sabrina Bechtel 715-498-6611 ftfmsupport@rdspos.com]-CE IS NOW US133E40-CEM4181976:damage-replace cashbox due to motor failure back online and working with no issues closing call-New Item :7360-4010-9090 New Serial Number :57-60590094 Old Item :7360-4010-9090 Old Serial Number :57-60590094</t>
  </si>
  <si>
    <t>2026-04-27T20:20:11.000Z</t>
  </si>
  <si>
    <t>sco 12</t>
  </si>
  <si>
    <t>2026-04-27T12:29:00.000Z</t>
  </si>
  <si>
    <t>2026-04-27T17:29:00.000Z</t>
  </si>
  <si>
    <t>ROCHESTER</t>
  </si>
  <si>
    <t>2026-04-27T14:09:00.000Z</t>
  </si>
  <si>
    <t>2026-04-27T19:09:00.000Z</t>
  </si>
  <si>
    <t>IJ185035</t>
  </si>
  <si>
    <t>MEIJER/FRESH THYME #563</t>
  </si>
  <si>
    <t>2026-04-27T09:49:24.000Z</t>
  </si>
  <si>
    <t>2026-04-27T14:49:24.000Z</t>
  </si>
  <si>
    <t>2026-04-27T14:49:25.000Z</t>
  </si>
  <si>
    <t>2026-04-27T09:49:25.000Z</t>
  </si>
  <si>
    <t>57-60591385</t>
  </si>
  <si>
    <t>Austin MN</t>
  </si>
  <si>
    <t>New Item :7360-4010-9090 New Serial Number :sco 12 Old Item :7360-4010-9090 Old Serial Number :57-60591385</t>
  </si>
  <si>
    <t>2026-04-27T14:11:02.000Z</t>
  </si>
  <si>
    <t>SCO 12 has a coin recycler error 16-6-0-99-65794. When rebooting the SCO it will get stuck on updating firmware for the crane_xchange. The first time it got stuck on updating firmware, the SCO powered itself off. It has been stuck on updating crane_xchange for almost an hour now. SCO is unusable. [Generated by Portal Login: besa14 Contact: Sabrina Bechtel 715-498-6611 ftfmsupport@rdspos.com]</t>
  </si>
  <si>
    <t>CE IS NOW US153R10</t>
  </si>
  <si>
    <t>2026-04-27T10:54:35.000Z</t>
  </si>
  <si>
    <t>got to site and  plug back in the coin validator plug that was loose and was chipped. but was able to get it back in and working</t>
  </si>
  <si>
    <t>2026-04-27T14:11:00.000Z</t>
  </si>
  <si>
    <t>SCO 12 has a coin recycler error 16-6-0-99-65794. When rebooting the SCO it will get stuck on updating firmware for the crane_xchange. The first time it got stuck on updating firmware, the SCO powered itself off. It has been stuck on updating crane_xchange for almost an hour now. SCO is unusable. [Generated by Portal Login: besa14 Contact: Sabrina Bechtel 715-498-6611 ftfmsupport@rdspos.com]-CE IS NOW US153R10-got to site and  plug back in the coin validator plug that was loose and was chipped. but was able to get it back in and working-New Item :7360-4010-9090 New Serial Number :sco 12 Old Item :7360-4010-9090 Old Serial Number :57-60591385</t>
  </si>
  <si>
    <t>2026-03-16T13:11:06.000Z</t>
  </si>
  <si>
    <t>57-60591389</t>
  </si>
  <si>
    <t>2026-03-16T08:26:00.000Z</t>
  </si>
  <si>
    <t>2026-03-16T12:26:00.000Z</t>
  </si>
  <si>
    <t>2026-03-16T08:51:00.000Z</t>
  </si>
  <si>
    <t>2026-03-16T12:51:00.000Z</t>
  </si>
  <si>
    <t>SB185706</t>
  </si>
  <si>
    <t>2026-03-13T13:04:19.000Z</t>
  </si>
  <si>
    <t>2026-03-13T17:04:19.000Z</t>
  </si>
  <si>
    <t>2026-03-13T17:04:21.000Z</t>
  </si>
  <si>
    <t>2026-03-13T13:04:21.000Z</t>
  </si>
  <si>
    <t>Store497</t>
  </si>
  <si>
    <t>New Item :7360-4010-9090 New Serial Number :57-60591389 Old Item :7360-4010-9090 Old Serial Number :57-60591399</t>
  </si>
  <si>
    <t>2026-03-16T08:54:19.000Z</t>
  </si>
  <si>
    <t>SCO16 not powering on. May need battery backup replaced  [Generated by Portal Login: most14 Contact: Staci Mowder 3096133038 ftfmsupport@rdspos.com]</t>
  </si>
  <si>
    <t>2026-03-13T13:04:22.000Z</t>
  </si>
  <si>
    <t>CE IS NOW US133A17</t>
  </si>
  <si>
    <t>2026-03-13T13:16:03.000Z</t>
  </si>
  <si>
    <t>Sco 14 not powering on, replaced ups battery, sco turns on and works good</t>
  </si>
  <si>
    <t>2026-03-16T08:54:16.000Z</t>
  </si>
  <si>
    <t>SCO16 not powering on. May need battery backup replaced  [Generated by Portal Login: most14 Contact: Staci Mowder 3096133038 ftfmsupport@rdspos.com]-CE IS NOW US133A17-Sco 14 not powering on, replaced ups battery, sco turns on and works good-New Item :7360-4010-9090 New Serial Number :57-60591389 Old Item :7360-4010-9090 Old Serial Number :57-60591399</t>
  </si>
  <si>
    <t>2026-02-09T21:24:54.000Z</t>
  </si>
  <si>
    <t>2026-02-09T14:36:00.000Z</t>
  </si>
  <si>
    <t>2026-02-09T20:36:00.000Z</t>
  </si>
  <si>
    <t>2026-02-09T15:10:00.000Z</t>
  </si>
  <si>
    <t>2026-02-09T21:10:00.000Z</t>
  </si>
  <si>
    <t>MM185943</t>
  </si>
  <si>
    <t>2026-02-09T10:32:40.000Z</t>
  </si>
  <si>
    <t>2026-02-09T16:32:40.000Z</t>
  </si>
  <si>
    <t>2026-02-09T15:12:45.000Z</t>
  </si>
  <si>
    <t>SCO11 has a coin recycler error- Validator module not communicating.  [Generated by Portal Login: most14 Contact: Staci Mowder 3096133038 ftfmsupport@rdspos.com]</t>
  </si>
  <si>
    <t>CE IS NOW US153N91</t>
  </si>
  <si>
    <t>2026-02-09T10:36:10.000Z</t>
  </si>
  <si>
    <t>found validator cable disconnected. after reconnecting cable pml reported no issues and passed accept/dispense test</t>
  </si>
  <si>
    <t>2026-02-09T15:12:43.000Z</t>
  </si>
  <si>
    <t>SCO11 has a coin recycler error- Validator module not communicating.  [Generated by Portal Login: most14 Contact: Staci Mowder 3096133038 ftfmsupport@rdspos.com]-CE IS NOW US153N91-found validator cable disconnected. after reconnecting cable pml reported no issues and passed accept/dispense test-New Item :7360-4010-9090 New Serial Number :57-60587856 Old Item :7360-4010-9090 Old Serial Number :57-60595344</t>
  </si>
  <si>
    <t>2026-01-29T20:02:35.000Z</t>
  </si>
  <si>
    <t>57-60590079</t>
  </si>
  <si>
    <t>2026-01-29T13:43:00.000Z</t>
  </si>
  <si>
    <t>2026-01-29T19:43:00.000Z</t>
  </si>
  <si>
    <t>ASHWAUBENON</t>
  </si>
  <si>
    <t>2026-01-29T13:44:00.000Z</t>
  </si>
  <si>
    <t>2026-01-29T19:44:00.000Z</t>
  </si>
  <si>
    <t>Trilight</t>
  </si>
  <si>
    <t>MEIJER/FRESH THYME #715</t>
  </si>
  <si>
    <t>2026-01-27T08:29:44.000Z</t>
  </si>
  <si>
    <t>2026-01-27T14:29:44.000Z</t>
  </si>
  <si>
    <t>2026-01-27T14:29:45.000Z</t>
  </si>
  <si>
    <t>2026-01-27T08:29:45.000Z</t>
  </si>
  <si>
    <t>H400-0014-1000</t>
  </si>
  <si>
    <t>Green Bay WI</t>
  </si>
  <si>
    <t>CEM4120990:used light out</t>
  </si>
  <si>
    <t>2026-01-29T13:49:01.000Z</t>
  </si>
  <si>
    <t>replace Twilight and test it with Nathaniel</t>
  </si>
  <si>
    <t>New Item :7360-4010-9090 New Serial Number :57-60590079 Old Item :7360-4010-9090 Old Serial Number :57-60590079</t>
  </si>
  <si>
    <t>2026-01-29T13:49:03.000Z</t>
  </si>
  <si>
    <t>SCO 18 Tri-Light Dead   [Generated by Portal Login: most14 Contact: Staci Mowder 3096133038 ftfmsupport@rdspos.com]</t>
  </si>
  <si>
    <t>2026-01-27T08:32:17.000Z</t>
  </si>
  <si>
    <t>LOM order processing, Part has been Ordered , Remedy Id FSC5487554 - (Same Day) by Agent te185055</t>
  </si>
  <si>
    <t>2026-01-27T11:37:12.000Z</t>
  </si>
  <si>
    <t>SCO 18 Tri-Light Dead   [Generated by Portal Login: most14 Contact: Staci Mowder 3096133038 ftfmsupport@rdspos.com]-CE IS NOW US153C07-LOM order processing, Part has been Ordered , Remedy Id FSC5487554 - (Same Day) by Agent te185055-LOM order processing, Part has been Ordered , Remedy Id U018853701 - (Next Day) by Agent sm251232-Oracle Order Shipped for Remedy Id: U018853701, Order/Receipt # 182028997, Ordered Part 4970525295, Part Description - KIT - R6 TRI-LIGHT W/IP CAMERA, Shipment/Receipt #2116581281, Part has been Shipped, Qty 1, Priority OVERNIGHT, Shipping Method UPS-Air-Next Day Air Saver, BOL/Job 1ZH92Y051302311511, Source Location PTC AVL-CEM4120990:used light out-replace Twilight and test it with Nathaniel-New Item :7360-4010-9090 New Serial Number :57-60590079 Old Item :7360-4010-9090 Old Serial Number :57-60590079</t>
  </si>
  <si>
    <t>2026-03-13T00:46:46.000Z</t>
  </si>
  <si>
    <t>57-60595336</t>
  </si>
  <si>
    <t>2026-03-12T19:00:00.000Z</t>
  </si>
  <si>
    <t>2026-03-13T00:00:00.000Z</t>
  </si>
  <si>
    <t>2026-03-12T19:28:00.000Z</t>
  </si>
  <si>
    <t>2026-03-13T00:28:00.000Z</t>
  </si>
  <si>
    <t>AR185468</t>
  </si>
  <si>
    <t>2026-03-12T14:10:43.000Z</t>
  </si>
  <si>
    <t>2026-03-12T19:10:43.000Z</t>
  </si>
  <si>
    <t>2026-03-12T19:10:44.000Z</t>
  </si>
  <si>
    <t>2026-03-12T14:10:44.000Z</t>
  </si>
  <si>
    <t>CEM4152519:defective</t>
  </si>
  <si>
    <t>2026-03-12T19:32:30.000Z</t>
  </si>
  <si>
    <t>spoke with Scott about the jam noticed it was the active cashbox attempt to clear jam and nothing tried another active cashbox and it worked so I had an extra active cashbox in my car I replaced the old one with a new one and had no more issues</t>
  </si>
  <si>
    <t>New Item :7360-4010-9090 New Serial Number :57-60595336 Old Item :7360-4010-9090 Old Serial Number :57-60595336</t>
  </si>
  <si>
    <t>2026-03-12T19:32:32.000Z</t>
  </si>
  <si>
    <t>SCO11 has a coin recycler error - coin box motor jammed  [Generated by Portal Login: most14 Contact: Staci Mowder 3096133038 ftfmsupport@rdspos.com]</t>
  </si>
  <si>
    <t>2026-03-12T14:50:30.000Z</t>
  </si>
  <si>
    <t>CE WAS US153C13</t>
  </si>
  <si>
    <t>2026-03-12T18:02:02.000Z</t>
  </si>
  <si>
    <t>SCO11 has a coin recycler error - coin box motor jammed  [Generated by Portal Login: most14 Contact: Staci Mowder 3096133038 ftfmsupport@rdspos.com]-CE IS NOW US153C13-CE WAS US153C13-CE IS NOW US153C27-CEM4152519:defective-spoke with Scott about the jam noticed it was the active cashbox attempt to clear jam and nothing tried another active cashbox and it worked so I had an extra active cashbox in my car I replaced the old one with a new one and had no more issues-New Item :7360-4010-9090 New Serial Number :57-60595336 Old Item :7360-4010-9090 Old Serial Number :57-60595336</t>
  </si>
  <si>
    <t>2026-02-27T01:22:52.000Z</t>
  </si>
  <si>
    <t>57-60590081</t>
  </si>
  <si>
    <t>2026-02-26T15:54:00.000Z</t>
  </si>
  <si>
    <t>2026-02-26T21:54:00.000Z</t>
  </si>
  <si>
    <t>2026-02-26T19:09:00.000Z</t>
  </si>
  <si>
    <t>2026-02-27T01:09:00.000Z</t>
  </si>
  <si>
    <t>MEIJER/FRESH THYME #707</t>
  </si>
  <si>
    <t>2026-02-26T14:51:49.000Z</t>
  </si>
  <si>
    <t>2026-02-26T20:51:49.000Z</t>
  </si>
  <si>
    <t>2026-02-26T16:30:43.000Z</t>
  </si>
  <si>
    <t>All quarters are showing in the logical bin, none in the physical bin.  Verified quarter hopper belt was intact.  Purged all coins from the system and deposited them back in.  Coin recycler tests ok.</t>
  </si>
  <si>
    <t>2026-02-26T19:10:55.000Z</t>
  </si>
  <si>
    <t>New Item :7360-4010-9090 New Serial Number :57-60590081 Old Item :7360-4010-9090 Old Serial Number :57-60606704</t>
  </si>
  <si>
    <t>2026-02-26T19:10:58.000Z</t>
  </si>
  <si>
    <t>SCO15 not dispensing quarters to customers or in cash management  [Generated by Portal Login: most14 Contact: Staci Mowder 3096133038 ftfmsupport@rdspos.com]</t>
  </si>
  <si>
    <t>2026-02-26T14:51:50.000Z</t>
  </si>
  <si>
    <t>CE IS NOW US153R06</t>
  </si>
  <si>
    <t>2026-02-26T14:52:45.000Z</t>
  </si>
  <si>
    <t>Needed to suspend call rental car having issues</t>
  </si>
  <si>
    <t>2026-02-26T15:57:51.000Z</t>
  </si>
  <si>
    <t>SCO15 not dispensing quarters to customers or in cash management  [Generated by Portal Login: most14 Contact: Staci Mowder 3096133038 ftfmsupport@rdspos.com]-CE IS NOW US153R06-Needed to suspend call rental car having issues-CE IS NOW US153R04-All quarters are showing in the logical bin, none in the physical bin.  Verified quarter hopper belt was intact.  Purged all coins from the system and deposited them back in.  Coin recycler tests ok.-New Item :7360-4010-9090 New Serial Number :57-60590081 Old Item :7360-4010-9090 Old Serial Number :57-60606704</t>
  </si>
  <si>
    <t>2026-03-17T17:06:00.000Z</t>
  </si>
  <si>
    <t>57-60591984</t>
  </si>
  <si>
    <t>2026-03-17T10:53:00.000Z</t>
  </si>
  <si>
    <t>2026-03-17T15:53:00.000Z</t>
  </si>
  <si>
    <t>2026-03-17T11:53:00.000Z</t>
  </si>
  <si>
    <t>2026-03-17T16:53:00.000Z</t>
  </si>
  <si>
    <t>AN185051</t>
  </si>
  <si>
    <t>2026-03-16T18:56:48.000Z</t>
  </si>
  <si>
    <t>2026-03-16T23:56:48.000Z</t>
  </si>
  <si>
    <t>57-60590117</t>
  </si>
  <si>
    <t>New Item :7360-4010-9090 New Serial Number :57-60591984 Old Item :7360-4010-9090 Old Serial Number :57-60590117</t>
  </si>
  <si>
    <t>2026-03-17T11:53:47.000Z</t>
  </si>
  <si>
    <t>Can not open outer door to access vault door with key  [Generated by Portal Login: repa14 Contact: Patrick Reeves 3092411908 ftfmsupport@rdspos.com]</t>
  </si>
  <si>
    <t>2026-03-16T18:56:49.000Z</t>
  </si>
  <si>
    <t>CE IS NOW US153R80</t>
  </si>
  <si>
    <t>2026-03-16T19:02:14.000Z</t>
  </si>
  <si>
    <t>Lock tumblers not releasing. Lubricated lock assembly. Tested and working. Returned the lane to service.</t>
  </si>
  <si>
    <t>2026-03-17T11:53:08.000Z</t>
  </si>
  <si>
    <t>Can not open outer door to access vault door with key  [Generated by Portal Login: repa14 Contact: Patrick Reeves 3092411908 ftfmsupport@rdspos.com]-CE IS NOW US153R80-Lock tumblers not releasing. Lubricated lock assembly. Tested and working. Returned the lane to service.-New Item :7360-4010-9090 New Serial Number :57-60591984 Old Item :7360-4010-9090 Old Serial Number :57-60590117</t>
  </si>
  <si>
    <t>2026-03-06T01:01:14.000Z</t>
  </si>
  <si>
    <t>57-60595297</t>
  </si>
  <si>
    <t>2026-03-05T18:42:00.000Z</t>
  </si>
  <si>
    <t>2026-03-06T00:42:00.000Z</t>
  </si>
  <si>
    <t>2026-03-05T18:46:00.000Z</t>
  </si>
  <si>
    <t>2026-03-06T00:46:00.000Z</t>
  </si>
  <si>
    <t>2026-03-05T13:14:40.000Z</t>
  </si>
  <si>
    <t>2026-03-05T19:14:40.000Z</t>
  </si>
  <si>
    <t>Oracle Order Shipped for Remedy Id: U018878269, Order/Receipt # 182117477, Ordered Part 4970534153, Part Description - UPS (N70-800) LV 100V/120V 800VA with USB communication Port and EMC Improvements, Shipment/Receipt #2117438483, Part has been Shipped, Qty 1, Priority NFO, Shipping Method CE Pickup After Hours, BOL/Job NA, Source Location UFF USFSTL1G</t>
  </si>
  <si>
    <t>2026-03-05T14:03:48.000Z</t>
  </si>
  <si>
    <t>replaced the defective battery backup and the unit is powering normally.</t>
  </si>
  <si>
    <t>2026-03-05T18:46:21.000Z</t>
  </si>
  <si>
    <t>New Item :7360-4010-9090 New Serial Number :57-60595297 Old Item :7360-4010-9090 Old Serial Number :57-60591338</t>
  </si>
  <si>
    <t>2026-03-05T18:46:23.000Z</t>
  </si>
  <si>
    <t>Battery backup on SCO 15 will not power on and needs to be replaced as soon as possible. Please and Thank you!  [Generated by Portal Login: coas14 Contact: Ashley N Cooper 3092131564 ftfmsupport@rdspos.com]</t>
  </si>
  <si>
    <t>2026-03-05T13:15:20.000Z</t>
  </si>
  <si>
    <t>LOM order processing, Part has been Ordered , Remedy Id 000000014993522 - (Pick Up)MO, Fentonby Agent Auto CE pickup</t>
  </si>
  <si>
    <t>2026-03-05T13:34:51.000Z</t>
  </si>
  <si>
    <t>Battery backup on SCO 15 will not power on and needs to be replaced as soon as possible. Please and Thank you!  [Generated by Portal Login: coas14 Contact: Ashley N Cooper 3092131564 ftfmsupport@rdspos.com]-CE IS NOW US153N64-LOM order processing, Part has been Ordered , Remedy Id 000000014993522 - (Pick Up)MO, Fentonby Agent Auto CE pickup-Oracle Order Shipped for Remedy Id: U018878269, Order/Receipt # 182117477, Ordered Part 4970534153, Part Description - UPS (N70-800) LV 100V/120V 800VA with USB communication Port and EMC Improvements, Shipment/Receipt #2117438483, Part has been Shipped, Qty 1, Priority NFO, Shipping Method CE Pickup After Hours, BOL/Job NA, Source Location UFF USFSTL1G-replaced the defective battery backup and the unit is powering normally.-New Item :7360-4010-9090 New Serial Number :57-60595297 Old Item :7360-4010-9090 Old Serial Number :57-60591338</t>
  </si>
  <si>
    <t>2026-02-23T19:47:45.000Z</t>
  </si>
  <si>
    <t>2026-02-22T10:53:00.000Z</t>
  </si>
  <si>
    <t>2026-02-22T15:53:00.000Z</t>
  </si>
  <si>
    <t>2026-02-23T14:32:00.000Z</t>
  </si>
  <si>
    <t>2026-02-23T19:32:00.000Z</t>
  </si>
  <si>
    <t>CHG-Located the terminal and removed and replaced the faulty tri-light.</t>
  </si>
  <si>
    <t>2026-02-22T09:16:02.000Z</t>
  </si>
  <si>
    <t>2026-02-22T14:16:02.000Z</t>
  </si>
  <si>
    <t>Retrieved the ordered replacement and arrived on-site. Located the terminal and removed and replaced the faulty tri-light. Confirmed the unit was fully functional and returned the lane to service.</t>
  </si>
  <si>
    <t>2026-02-23T14:32:15.000Z</t>
  </si>
  <si>
    <t>New Item :7360-4010-9090 New Serial Number :57-60591325 Old Item :7360-4010-9090 Old Serial Number :57-60591353</t>
  </si>
  <si>
    <t>2026-02-23T14:32:16.000Z</t>
  </si>
  <si>
    <t>Oracle Order Shipped for Remedy Id: U018871209, Order/Receipt # 182089643, Ordered Part 4970525295, Part Description - KIT - R6 TRI-LIGHT W/IP CAMERA, Shipment/Receipt #2117254308, Part has been Shipped, Qty 1, Priority OVERNIGHT, Shipping Method UPS-Air-Next Day Air Saver, BOL/Job 1ZH92Y051302489189, Source Location PTC AVL</t>
  </si>
  <si>
    <t>2026-02-23T18:04:35.000Z</t>
  </si>
  <si>
    <t>TriLight is out on SCO 12  [Generated by Portal Login: repa14 Contact: Patrick Reeves 3092411908 ftfmsupport@rdspos.com]</t>
  </si>
  <si>
    <t>2026-02-22T09:16:03.000Z</t>
  </si>
  <si>
    <t>2026-02-22T09:17:12.000Z</t>
  </si>
  <si>
    <t>2026-02-22T10:28:21.000Z</t>
  </si>
  <si>
    <t>TriLight is out on SCO 12  [Generated by Portal Login: repa14 Contact: Patrick Reeves 3092411908 ftfmsupport@rdspos.com]-CE IS NOW US133U34-CE WAS US133U34-CE IS NOW US133U13-chargable call-The Status light (which is changing from Green to Red) is functioning properly but the Lane light (LED Light) is off, the Tri-light-lane light w camera needs to be replaced, PN: 4970525295.-LOM order processing, Part has been Ordered , Remedy Id 000000014985807 - (Next Day) by Agent Auto VIP P000-LOM order processing, Part has been Ordered , Remedy Id 000000014985809 - (Next Day) by Agent Auto VIP P000-LOM order processing, Part has been Ordered , Remedy Id U018871514 - (Next Day) by Agent po250054-Oracle Order Shipped for Remedy Id: U018871514, Order/Receipt # 182092779, Ordered Part 4970525295, Part Description - KIT - R6 TRI-LIGHT W/IP CAMERA, Shipment/Receipt #2117254350, Part has been Shipped, Qty 1, Priority NFO, Shipping Method CE Pickup After Hours, BOL/Job NA, Source Location UFF USFDTW1G-CE IS NOW US133U34-CEM4119244:Sign light does not illuminate when connected-Retrieved the ordered replacement and arrived on-site. Located the terminal and removed and replaced the faulty tri-light. Confirmed the unit was fully functional and returned the lane to service.-Retrieved the ordered replacement and arrived on-site. Located the terminal and removed and replaced the faulty tri-light. Confirmed the unit was fully functional and returned the lane to service.-New Item :7360-4010-9090 New Serial Number :57-60591325 Old Item :7360-4010-9090 Old Serial Number :57-60591353-Oracle Order Shipped for Remedy Id: U018871209, Order/Receipt # 182089643, Ordered Part 4970525295, Part Description - KIT - R6 TRI-LIGHT W/IP CAMERA, Shipment/Receipt #2117254308, Part has been Shipped, Qty 1, Priority OVERNIGHT, Shipping Method UPS-Air-Next Day Air Saver, BOL/Job 1ZH92Y051302489189, Source Location PTC AVL</t>
  </si>
  <si>
    <t>2026-07-05T15:38:42.000Z</t>
  </si>
  <si>
    <t>2026-07-02T12:39:00.000Z</t>
  </si>
  <si>
    <t>2026-07-02T16:39:00.000Z</t>
  </si>
  <si>
    <t>2026-07-05T11:26:00.000Z</t>
  </si>
  <si>
    <t>2026-07-05T15:26:00.000Z</t>
  </si>
  <si>
    <t>2026-07-02T09:38:42.000Z</t>
  </si>
  <si>
    <t>2026-07-02T13:38:42.000Z</t>
  </si>
  <si>
    <t>2026-07-02T13:38:43.000Z</t>
  </si>
  <si>
    <t>2026-07-02T09:38:43.000Z</t>
  </si>
  <si>
    <t>57-60587862</t>
  </si>
  <si>
    <t>CEM4308689:defective</t>
  </si>
  <si>
    <t>2026-07-05T11:27:25.000Z</t>
  </si>
  <si>
    <t>Replace the active cash box on the chain tree cycler.Rebooted the Lane littered update.After that, I was able to purchase a bottle of water with cash.Got changed back with no problems</t>
  </si>
  <si>
    <t>New Item :7360-4010-9090 New Serial Number :788298484 Old Item :7360-4010-9090 Old Serial Number :57-60587862</t>
  </si>
  <si>
    <t>2026-07-05T11:27:27.000Z</t>
  </si>
  <si>
    <t>SCO13 has a Coin recycler error - Coin validator sensor error  [Generated by Portal Login: most14 Contact: Staci Mowder 2694689716 FTFMSupport@rdspos.com]</t>
  </si>
  <si>
    <t>CE IS NOW US133C84</t>
  </si>
  <si>
    <t>2026-07-02T10:10:40.000Z</t>
  </si>
  <si>
    <t>Arrived on site checked in with FETL Julie, ran PML and discovered theres debris stuck in active cash box thats not able to be removed , suspending to order active cash box.</t>
  </si>
  <si>
    <t>2026-07-02T13:14:27.000Z</t>
  </si>
  <si>
    <t>SCO13 has a Coin recycler error - Coin validator sensor error  [Generated by Portal Login: most14 Contact: Staci Mowder 2694689716 FTFMSupport@rdspos.com]-CE IS NOW US133C84-Arrived on site checked in with FETL Julie, ran PML and discovered theres debris stuck in active cash box thats not able to be removed , suspending to order active cash box.-LOM order processing, Part has been Ordered , Remedy Id 000000015075034 - (Next Day) by Agent Auto VIP P000-Oracle Order Shipped for Remedy Id: U018954136, Order/Receipt # 182390474, Ordered Part 4970533870, Part Description - CR5000  Active Cashbox Type A (non-dissipative tracks) (Service Part), Shipment/Receipt #2119576527, Part has been Shipped, Qty 1, Priority OVERNIGHT, Shipping Method UPS-Air-Next Day Air Saver, BOL/Job 1ZH92Y051303103673, Source Location PTC AVL-CE WAS US133C84-CE IS NOW US133C48-CE IS NOW US133C48-CEM4308689:defective-Replace the active cash box on the chain tree cycler.Rebooted the Lane littered update.After that, I was able to purchase a bottle of water with cash.Got changed back with no problems-New Item :7360-4010-9090 New Serial Number :788298484 Old Item :7360-4010-9090 Old Serial Number :57-60587862</t>
  </si>
  <si>
    <t>2025-08-01T16:45:26.000Z</t>
  </si>
  <si>
    <t>57-60595308</t>
  </si>
  <si>
    <t>2025-08-01T11:36:00.000Z</t>
  </si>
  <si>
    <t>2025-08-01T15:36:00.000Z</t>
  </si>
  <si>
    <t>CINCINNATI</t>
  </si>
  <si>
    <t>2025-08-01T12:31:00.000Z</t>
  </si>
  <si>
    <t>2025-08-01T16:31:00.000Z</t>
  </si>
  <si>
    <t>TB185188</t>
  </si>
  <si>
    <t>MEIJER/FRESH THYME #921</t>
  </si>
  <si>
    <t>2025-08-01T10:12:03.000Z</t>
  </si>
  <si>
    <t>2025-08-01T14:12:03.000Z</t>
  </si>
  <si>
    <t>2025-08-01T14:12:04.000Z</t>
  </si>
  <si>
    <t>2025-08-01T10:12:04.000Z</t>
  </si>
  <si>
    <t>Cincinnati OH</t>
  </si>
  <si>
    <t>New Item :7360-4010-9090 New Serial Number :57-60595308 Old Item :7360-4010-9090 Old Serial Number :57-60595308</t>
  </si>
  <si>
    <t>2025-08-01T12:31:33.000Z</t>
  </si>
  <si>
    <t>Nickels are still greyed out and not able to be removed in cash management on SCO 13 Store would like this issue resolved by the end of the day. [Generated by Portal Login: coas14 Contact: Ashley 309-213-1564 acooper@rdspos.com]</t>
  </si>
  <si>
    <t>CE IS NOW US133C52</t>
  </si>
  <si>
    <t>2025-08-01T10:14:53.000Z</t>
  </si>
  <si>
    <t>upon arrival the nickel hopper was jammed. removed cover adjusted belt and then tested unit with no further problems in pml</t>
  </si>
  <si>
    <t>2025-08-01T12:31:30.000Z</t>
  </si>
  <si>
    <t>Nickels are still greyed out and not able to be removed in cash management on SCO 13 Store would like this issue resolved by the end of the day. [Generated by Portal Login: coas14 Contact: Ashley 309-213-1564 acooper@rdspos.com]-CE IS NOW US133C52-upon arrival the nickel hopper was jammed. removed cover adjusted belt and then tested unit with no further problems in pml-New Item :7360-4010-9090 New Serial Number :57-60595308 Old Item :7360-4010-9090 Old Serial Number :57-60595308</t>
  </si>
  <si>
    <t>2025-08-27T20:54:01.000Z</t>
  </si>
  <si>
    <t>57-58264225</t>
  </si>
  <si>
    <t>2025-08-27T15:04:00.000Z</t>
  </si>
  <si>
    <t>2025-08-27T20:04:00.000Z</t>
  </si>
  <si>
    <t>2025-08-27T15:40:00.000Z</t>
  </si>
  <si>
    <t>2025-08-27T20:40:00.000Z</t>
  </si>
  <si>
    <t>2025-08-27T13:41:10.000Z</t>
  </si>
  <si>
    <t>2025-08-27T18:41:10.000Z</t>
  </si>
  <si>
    <t>2025-08-27T18:41:11.000Z</t>
  </si>
  <si>
    <t>2025-08-27T13:41:11.000Z</t>
  </si>
  <si>
    <t>cleared a damaged bill that was stuck behind the top cassette and the bill recycler tested OK. contact Mgr was Zeppelin.</t>
  </si>
  <si>
    <t>2025-08-27T15:40:44.000Z</t>
  </si>
  <si>
    <t>New Item :7360-4010-9090 New Serial Number :57-58264225 Old Item :7360-4010-9090 Old Serial Number :57-58264235</t>
  </si>
  <si>
    <t>2025-08-27T15:40:45.000Z</t>
  </si>
  <si>
    <t>SCO 21 has a note recycler error note jam at RFIN1 sensor error code 5-9-0-4-62995  [Generated by Portal Login: besa14 Contact: Sabrina Bechtel 715-498-6611 ftfmsupport@rdspos.com]</t>
  </si>
  <si>
    <t>2025-08-27T13:41:12.000Z</t>
  </si>
  <si>
    <t>2025-08-27T13:43:43.000Z</t>
  </si>
  <si>
    <t>jammed bill behind cassette.</t>
  </si>
  <si>
    <t>SCO 21 has a note recycler error note jam at RFIN1 sensor error code 5-9-0-4-62995  [Generated by Portal Login: besa14 Contact: Sabrina Bechtel 715-498-6611 ftfmsupport@rdspos.com]-CE IS NOW US153N64-jammed bill behind cassette.-cleared a damaged bill that was stuck behind the top cassette and the bill recycler tested OK. contact Mgr was Zeppelin.-New Item :7360-4010-9090 New Serial Number :57-58264225 Old Item :7360-4010-9090 Old Serial Number :57-58264235</t>
  </si>
  <si>
    <t>2026-07-31T15:04:57.000Z</t>
  </si>
  <si>
    <t>57-60588449</t>
  </si>
  <si>
    <t>2026-07-31T09:59:00.000Z</t>
  </si>
  <si>
    <t>2026-07-31T13:59:00.000Z</t>
  </si>
  <si>
    <t>2026-07-31T10:50:00.000Z</t>
  </si>
  <si>
    <t>2026-07-31T14:50:00.000Z</t>
  </si>
  <si>
    <t>2026-07-31T08:44:43.000Z</t>
  </si>
  <si>
    <t>2026-07-31T12:44:43.000Z</t>
  </si>
  <si>
    <t>2026-07-31T12:44:44.000Z</t>
  </si>
  <si>
    <t>2026-07-31T08:44:44.000Z</t>
  </si>
  <si>
    <t>T300-0013-0000</t>
  </si>
  <si>
    <t>verified battery is failing pml tests.   replaced ups and verified test now passes.   sco placed back into service</t>
  </si>
  <si>
    <t>2026-07-31T10:50:24.000Z</t>
  </si>
  <si>
    <t>New Item :7360-4010-9090 New Serial Number :57-60588449 Old Item :7360-4010-9090 Old Serial Number :57-60591346</t>
  </si>
  <si>
    <t>2026-07-31T10:50:27.000Z</t>
  </si>
  <si>
    <t>SCO12 may need battery backup replaced, SCO not powering on.   [Generated by Portal Login: most14 Contact: Staci Mowder 2694689716 FTFMSupport@rdspos.com]</t>
  </si>
  <si>
    <t>CE IS NOW US153R62</t>
  </si>
  <si>
    <t>2026-07-31T09:06:31.000Z</t>
  </si>
  <si>
    <t>SCO12 may need battery backup replaced, SCO not powering on.   [Generated by Portal Login: most14 Contact: Staci Mowder 2694689716 FTFMSupport@rdspos.com]-CE IS NOW US153R62-57-60588449-verified battery is failing pml tests.   replaced ups and verified test now passes.   sco placed back into service-New Item :7360-4010-9090 New Serial Number :57-60588449 Old Item :7360-4010-9090 Old Serial Number :57-60591346</t>
  </si>
  <si>
    <t>2026-06-10T22:47:32.000Z</t>
  </si>
  <si>
    <t>2026-06-09T18:56:00.000Z</t>
  </si>
  <si>
    <t>2026-06-09T23:56:00.000Z</t>
  </si>
  <si>
    <t>2026-06-10T17:32:00.000Z</t>
  </si>
  <si>
    <t>2026-06-10T22:32:00.000Z</t>
  </si>
  <si>
    <t>2026-06-08T17:02:33.000Z</t>
  </si>
  <si>
    <t>2026-06-08T22:02:33.000Z</t>
  </si>
  <si>
    <t>CEM4154333:used</t>
  </si>
  <si>
    <t>2026-06-10T17:32:37.000Z</t>
  </si>
  <si>
    <t>replace tir light and tested with Gabby good to go for now</t>
  </si>
  <si>
    <t>2026-06-10T17:32:38.000Z</t>
  </si>
  <si>
    <t>2026-06-10T17:32:40.000Z</t>
  </si>
  <si>
    <t>Self checkout light on SCO15 not working  [Generated by Portal Login: most14 Contact: Staci Mowder 2694689716 FTFMSupport@rdspos.com]</t>
  </si>
  <si>
    <t>2026-06-08T17:02:34.000Z</t>
  </si>
  <si>
    <t>2026-06-08T17:02:40.000Z</t>
  </si>
  <si>
    <t>LOM order processing, Part has been Ordered , Remedy Id 000000015058726 - (Pick Up)IL, Elk Grove Villageby Agent Auto CE pickup</t>
  </si>
  <si>
    <t>2026-06-08T17:17:26.000Z</t>
  </si>
  <si>
    <t>Self checkout light on SCO15 not working  [Generated by Portal Login: most14 Contact: Staci Mowder 2694689716 FTFMSupport@rdspos.com]-CE IS NOW US153C07-LOM order processing, Part has been Ordered , Remedy Id 000000015058726 - (Pick Up)IL, Elk Grove Villageby Agent Auto CE pickup-Oracle Order Shipped for Remedy Id: U018938892, Order/Receipt # 182334950, Ordered Part 4970532667, Part Description - Complete  IO Assembly (CAD0892++), Shipment/Receipt #2119207462, Part has been Shipped, Qty 1, Priority NFO, Shipping Method CE Pickup After Hours, BOL/Job NA, Source Location UFF USFORD1G-need tri light was obf reorder  there a lot of twilight that are coming out obf-need part was obf-LOM order processing, Part has been Ordered , Remedy Id 000000015059619 - (Next Day) by Agent Auto VIP P000-Oracle Order Shipped for Remedy Id: U018939656, Order/Receipt # 182338401, Ordered Part 4970525295, Part Description - KIT - R6 TRI-LIGHT W/IP CAMERA, Shipment/Receipt #2119227711, Part has been Shipped, Qty 1, Priority OVERNIGHT, Shipping Method UPS-Air-Next Day Air Saver, BOL/Job 1ZH92Y051303001863, Source Location PTC AVL-CEM4154333:used-replace tir light and tested with Gabby good to go for now-New Item :7360-4010-9090 New Serial Number :57-60587853 Old Item :7360-4010-9090 Old Serial Number :57-60587853</t>
  </si>
  <si>
    <t>need tri light was obf reorder  there a lot of twilight that are coming out obf</t>
  </si>
  <si>
    <t>2026-06-09T19:01:07.000Z</t>
  </si>
  <si>
    <t>2026-01-24T13:53:08.000Z</t>
  </si>
  <si>
    <t>2026-01-24T08:21:00.000Z</t>
  </si>
  <si>
    <t>2026-01-24T13:21:00.000Z</t>
  </si>
  <si>
    <t>2026-01-24T08:40:00.000Z</t>
  </si>
  <si>
    <t>2026-01-24T13:40:00.000Z</t>
  </si>
  <si>
    <t>2026-01-24T07:14:23.000Z</t>
  </si>
  <si>
    <t>2026-01-24T12:14:23.000Z</t>
  </si>
  <si>
    <t>removed coin wrapper.</t>
  </si>
  <si>
    <t>2026-01-24T08:40:49.000Z</t>
  </si>
  <si>
    <t>Arrived on site. Issue stated that sco12 had issues with coins. Checked PML on arrival and found that the cr5000 said the opto sensor was blocked. Found part of a penny wrapper blocking the opto sensor. Removed wrapper and reset the cr5000. No errors in PML. Confirmed with Bridgette.</t>
  </si>
  <si>
    <t>New Item :7360-4010-9090 New Serial Number :57-60588422 Old Item :7360-4010-9090 Old Serial Number :57-60588422</t>
  </si>
  <si>
    <t>2026-01-24T08:40:50.000Z</t>
  </si>
  <si>
    <t>Coin Recycler Error - Transfer Chamber Overflow - 16-6-0--99-67330  [Generated by Portal Login: repa14 Contact: Patrick Reeves 3092411908 ftfmsupport@rdspos.com]</t>
  </si>
  <si>
    <t>2026-01-24T07:18:26.000Z</t>
  </si>
  <si>
    <t>CE WAS US133E76</t>
  </si>
  <si>
    <t>2026-01-24T07:42:55.000Z</t>
  </si>
  <si>
    <t>Coin Recycler Error - Transfer Chamber Overflow - 16-6-0--99-67330  [Generated by Portal Login: repa14 Contact: Patrick Reeves 3092411908 ftfmsupport@rdspos.com]-CE IS NOW US133E76-CE WAS US133E76-CE IS NOW US133E77-removed coin wrapper.-Arrived on site. Issue stated that sco12 had issues with coins. Checked PML on arrival and found that the cr5000 said the opto sensor was blocked. Found part of a penny wrapper blocking the opto sensor. Removed wrapper and reset the cr5000. No errors in PML. Confirmed with Bridgette.-New Item :7360-4010-9090 New Serial Number :57-60588422 Old Item :7360-4010-9090 Old Serial Number :57-60588422</t>
  </si>
  <si>
    <t>2026-03-12T16:15:52.000Z</t>
  </si>
  <si>
    <t>2026-03-12T11:25:00.000Z</t>
  </si>
  <si>
    <t>2026-03-12T15:25:00.000Z</t>
  </si>
  <si>
    <t>2026-03-12T12:01:00.000Z</t>
  </si>
  <si>
    <t>2026-03-12T16:01:00.000Z</t>
  </si>
  <si>
    <t>2026-03-12T09:08:18.000Z</t>
  </si>
  <si>
    <t>2026-03-12T13:08:18.000Z</t>
  </si>
  <si>
    <t>2026-03-12T13:08:19.000Z</t>
  </si>
  <si>
    <t>2026-03-12T09:08:19.000Z</t>
  </si>
  <si>
    <t>2026-03-12T10:30:18.000Z</t>
  </si>
  <si>
    <t>powered on UPS, which had switched off for some reason. checked coin recycler and calibrated wakeup sensor</t>
  </si>
  <si>
    <t>2026-03-12T12:02:28.000Z</t>
  </si>
  <si>
    <t>2026-03-12T12:02:30.000Z</t>
  </si>
  <si>
    <t>SCO14 not powering on. May need battery backup replaced.  Also please check coin slot as it wasnt working yesterday [Generated by Portal Login: most14 Contact: Staci Mowder 3096133038 ftfmsupport@rdspos.com]</t>
  </si>
  <si>
    <t>2026-03-12T09:17:48.000Z</t>
  </si>
  <si>
    <t>2026-03-12T09:20:05.000Z</t>
  </si>
  <si>
    <t>SCO14 not powering on. May need battery backup replaced.  Also please check coin slot as it wasnt working yesterday [Generated by Portal Login: most14 Contact: Staci Mowder 3096133038 ftfmsupport@rdspos.com]-CE IS NOW US133C71-CE WAS US133C71-CE IS NOW US133C93-CE WAS US133C93-CE IS NOW US133C72-powered on UPS, which had switched off for some reason. checked coin recycler and calibrated wakeup sensor-New Item :7360-4010-9090 New Serial Number :57-60587724 Old Item :7360-4010-9090 Old Serial Number :57-60587724</t>
  </si>
  <si>
    <t>2025-12-26T22:38:01.000Z</t>
  </si>
  <si>
    <t>57-60595326</t>
  </si>
  <si>
    <t>2025-12-26T15:47:00.000Z</t>
  </si>
  <si>
    <t>2025-12-26T21:47:00.000Z</t>
  </si>
  <si>
    <t>2025-12-26T16:20:00.000Z</t>
  </si>
  <si>
    <t>2025-12-26T22:20:00.000Z</t>
  </si>
  <si>
    <t>SQ185010</t>
  </si>
  <si>
    <t>2025-12-26T14:35:03.000Z</t>
  </si>
  <si>
    <t>2025-12-26T20:35:03.000Z</t>
  </si>
  <si>
    <t>2026-01-05T20:53:34.000Z</t>
  </si>
  <si>
    <t>Physically damaged</t>
  </si>
  <si>
    <t>2025-12-26T16:20:59.000Z</t>
  </si>
  <si>
    <t>Replaced defective cashbox due to physical damage. ran ADD AND REBOOTED everything is now operating normally.</t>
  </si>
  <si>
    <t>New Item :7360-4010-9090 New Serial Number :57-60595326 Old Item :7360-4010-9090 Old Serial Number :57-60595315</t>
  </si>
  <si>
    <t>2025-12-26T16:21:00.000Z</t>
  </si>
  <si>
    <t>On SCO 11 The gears from the note recycling module is floating around the note module.  [Generated by Portal Login: coas14 Contact: Ashley 309-213-1564 ftfmsupport@rdspos.com]</t>
  </si>
  <si>
    <t>2025-12-26T14:35:04.000Z</t>
  </si>
  <si>
    <t>2025-12-26T14:38:08.000Z</t>
  </si>
  <si>
    <t>CE WAS US153C15</t>
  </si>
  <si>
    <t>2025-12-26T14:48:36.000Z</t>
  </si>
  <si>
    <t>On SCO 11 The gears from the note recycling module is floating around the note module.  [Generated by Portal Login: coas14 Contact: Ashley 309-213-1564 ftfmsupport@rdspos.com]-CE IS NOW US153C15-CE WAS US153C15-CE IS NOW US153C19-CEM4063191:physically damaged-Physically damaged-Replaced defective cashbox due to physical damage. ran ADD AND REBOOTED everything is now operating normally.-New Item :7360-4010-9090 New Serial Number :57-60595326 Old Item :7360-4010-9090 Old Serial Number :57-60595315</t>
  </si>
  <si>
    <t>2026-05-09T12:38:16.000Z</t>
  </si>
  <si>
    <t>57-60587836</t>
  </si>
  <si>
    <t>2026-05-08T21:30:00.000Z</t>
  </si>
  <si>
    <t>2026-05-09T01:30:00.000Z</t>
  </si>
  <si>
    <t>2026-05-09T08:21:00.000Z</t>
  </si>
  <si>
    <t>2026-05-09T12:21:00.000Z</t>
  </si>
  <si>
    <t>ZR250026</t>
  </si>
  <si>
    <t>MEIJER/FRESH THYME #642</t>
  </si>
  <si>
    <t>2026-05-08T17:51:53.000Z</t>
  </si>
  <si>
    <t>2026-05-08T21:51:53.000Z</t>
  </si>
  <si>
    <t>7659-0047-9898</t>
  </si>
  <si>
    <t>CE IS NOW US133U12</t>
  </si>
  <si>
    <t>2026-05-09T06:23:22.000Z</t>
  </si>
  <si>
    <t>replaced battery backup ups for terminal 15, rebooted terminal then tested successfully by mod Christa</t>
  </si>
  <si>
    <t>2026-05-09T07:52:51.000Z</t>
  </si>
  <si>
    <t>New Item :7360-4010-9090 New Serial Number :57-60587836 Old Item :7360-4010-9090 Old Serial Number :57-60588385</t>
  </si>
  <si>
    <t>2026-05-09T08:22:18.000Z</t>
  </si>
  <si>
    <t>SCO will not stay powered on after a power outage. Please replace battery backup.  [Generated by Portal Login: coas14 Contact: Ashley N Cooper 3092131564 ftfmsupport@rdspos.com]</t>
  </si>
  <si>
    <t>2026-05-08T17:51:55.000Z</t>
  </si>
  <si>
    <t>2026-05-08T18:04:16.000Z</t>
  </si>
  <si>
    <t>SCO will not stay powered on after a power outage. Please replace battery backup.  [Generated by Portal Login: coas14 Contact: Ashley N Cooper 3092131564 ftfmsupport@rdspos.com]-CE IS NOW US133U01-CE WAS US133U01-CE IS NOW US133U10-CE IS NOW US133U10-Unable to reach site before closing at 9pm. Will need to return after 7am tomorrow.-CE WAS US133U10-CE IS NOW US133U12-replaced battery backup ups for terminal 15, rebooted terminal then tested successfully by mod Christa-New Item :7360-4010-9090 New Serial Number :57-60587836 Old Item :7360-4010-9090 Old Serial Number :57-60588385</t>
  </si>
  <si>
    <t>2026-05-10T17:46:02.000Z</t>
  </si>
  <si>
    <t>57-60587775</t>
  </si>
  <si>
    <t>2026-05-10T12:03:00.000Z</t>
  </si>
  <si>
    <t>2026-05-10T17:03:00.000Z</t>
  </si>
  <si>
    <t>2026-05-10T12:31:00.000Z</t>
  </si>
  <si>
    <t>2026-05-10T17:31:00.000Z</t>
  </si>
  <si>
    <t>AK185658</t>
  </si>
  <si>
    <t>MEIJER/FRESH THYME #495</t>
  </si>
  <si>
    <t>2026-05-09T18:10:25.000Z</t>
  </si>
  <si>
    <t>2026-05-09T23:10:25.000Z</t>
  </si>
  <si>
    <t>2026-05-09T23:10:26.000Z</t>
  </si>
  <si>
    <t>2026-05-09T18:10:26.000Z</t>
  </si>
  <si>
    <t>2026-05-10T09:47:53.000Z</t>
  </si>
  <si>
    <t>ce arrived onsite and locked transfer chamber and reseated motor and unit is now working as intended</t>
  </si>
  <si>
    <t>2026-05-10T12:32:10.000Z</t>
  </si>
  <si>
    <t>New Item :7360-4010-9090 New Serial Number :57-60587775 Old Item :7360-4010-9090 Old Serial Number :57-60587731</t>
  </si>
  <si>
    <t>2026-05-10T12:32:13.000Z</t>
  </si>
  <si>
    <t>SCO 14 has a coin recycler error, Shorter module and not seated  [Generated by Portal Login: coas14 Contact: Ashley Cooper 3092131564 ftfmsupport@rdspos.com]</t>
  </si>
  <si>
    <t>2026-05-09T18:11:53.000Z</t>
  </si>
  <si>
    <t>CE WAS US153N62</t>
  </si>
  <si>
    <t>2026-05-10T09:45:57.000Z</t>
  </si>
  <si>
    <t>SCO 14 has a coin recycler error, Shorter module and not seated  [Generated by Portal Login: coas14 Contact: Ashley Cooper 3092131564 ftfmsupport@rdspos.com]-CE IS NOW US153N62-CE WAS US153N62-CE IS NOW US153N16-CE WAS US153N16-CE IS NOW US153N62-CE WAS US153N62-CE IS NOW US153N75-ce arrived onsite and locked transfer chamber and reseated motor and unit is now working as intended-New Item :7360-4010-9090 New Serial Number :57-60587775 Old Item :7360-4010-9090 Old Serial Number :57-60587731</t>
  </si>
  <si>
    <t>2025-09-19T15:51:04.000Z</t>
  </si>
  <si>
    <t>57-60588440</t>
  </si>
  <si>
    <t>2025-09-18T13:18:00.000Z</t>
  </si>
  <si>
    <t>2025-09-18T17:18:00.000Z</t>
  </si>
  <si>
    <t>2025-09-19T11:36:00.000Z</t>
  </si>
  <si>
    <t>2025-09-19T15:36:00.000Z</t>
  </si>
  <si>
    <t>NR185146</t>
  </si>
  <si>
    <t>MEIJER/FRESH THYME #527</t>
  </si>
  <si>
    <t>2025-09-18T09:26:06.000Z</t>
  </si>
  <si>
    <t>2025-09-18T13:26:06.000Z</t>
  </si>
  <si>
    <t>7746-F500</t>
  </si>
  <si>
    <t>Store527</t>
  </si>
  <si>
    <t>CEM3900577:bad sensor</t>
  </si>
  <si>
    <t>2025-09-19T11:37:16.000Z</t>
  </si>
  <si>
    <t>replaced top transfer and reset device. cleared sensors and is working</t>
  </si>
  <si>
    <t>New Item :7360-4010-9090 New Serial Number :57-60588440 Old Item :7360-4010-9090 Old Serial Number :57-60587797</t>
  </si>
  <si>
    <t>2025-09-19T11:37:18.000Z</t>
  </si>
  <si>
    <t>SCO 14 has a coin recycler error transfer chamber has overflowed error code 16-6-0-99-67330  [Generated by Portal Login: besa14 Contact: Sabrina Bechtel 715-498-6611 ftfmsupport@rdspos.com]</t>
  </si>
  <si>
    <t>2025-09-18T09:54:06.000Z</t>
  </si>
  <si>
    <t>checked and cleaned transfer chamber. fault is still occurring. ordering new transfer chamber part number 4970521463</t>
  </si>
  <si>
    <t>2025-09-18T13:46:10.000Z</t>
  </si>
  <si>
    <t>SCO 14 has a coin recycler error transfer chamber has overflowed error code 16-6-0-99-67330  [Generated by Portal Login: besa14 Contact: Sabrina Bechtel 715-498-6611 ftfmsupport@rdspos.com]-CE IS NOW US133E76-checked and cleaned transfer chamber. fault is still occurring. ordering new transfer chamber part number 4970521463-LOM order processing, Part has been Ordered , Remedy Id 000000014866379 - (Pick Up)IN, Indianapolisby Agent Auto CE pickup-Oracle Order Shipped for Remedy Id: U018754624, Order/Receipt # 181705907, Ordered Part 4970521463, Part Description - CR5000 Sorter Module Type A (Service Part), Shipment/Receipt #2110743920, Part has been Shipped, Qty 1, Priority NFO, Shipping Method CE Pickup After Hours, BOL/Job NA, Source Location UFF USFIND1G-CEM3900577:bad sensor-replaced top transfer and reset device. cleared sensors and is working-New Item :7360-4010-9090 New Serial Number :57-60588440 Old Item :7360-4010-9090 Old Serial Number :57-60587797</t>
  </si>
  <si>
    <t>2025-11-24T13:10:26.000Z</t>
  </si>
  <si>
    <t>2025-11-24T07:45:00.000Z</t>
  </si>
  <si>
    <t>2025-11-24T12:45:00.000Z</t>
  </si>
  <si>
    <t>2025-11-24T07:57:00.000Z</t>
  </si>
  <si>
    <t>2025-11-24T12:57:00.000Z</t>
  </si>
  <si>
    <t>HA185072</t>
  </si>
  <si>
    <t>2025-11-23T16:39:13.000Z</t>
  </si>
  <si>
    <t>2025-11-23T21:39:13.000Z</t>
  </si>
  <si>
    <t>No fault found and the Terminal was functioning properly when I reached there and successfully tested and approved by Meijer's Associate</t>
  </si>
  <si>
    <t>2025-11-24T07:57:42.000Z</t>
  </si>
  <si>
    <t>New Item :7360-4010-9090 New Serial Number :57-60587783 Old Item :7360-4010-9090 Old Serial Number :57-60587756</t>
  </si>
  <si>
    <t>2025-11-24T07:57:44.000Z</t>
  </si>
  <si>
    <t>Hardware failure. Error code , Error code 5-9-0-4-62976   [Generated by Portal Login: coas14 Contact: Ashley Cooper 3092131564 FTFMSupport@rdspos.com]</t>
  </si>
  <si>
    <t>CE IS NOW US133U13</t>
  </si>
  <si>
    <t>2025-11-23T16:48:03.000Z</t>
  </si>
  <si>
    <t>charging for no fault found</t>
  </si>
  <si>
    <t>Hardware failure. Error code , Error code 5-9-0-4-62976   [Generated by Portal Login: coas14 Contact: Ashley Cooper 3092131564 FTFMSupport@rdspos.com]-CE IS NOW US133U13-charging for no fault found-No fault found and the Terminal was functioning properly when I reached there and successfully tested and approved by Meijer's Associate-New Item :7360-4010-9090 New Serial Number :57-60587783 Old Item :7360-4010-9090 Old Serial Number :57-60587756</t>
  </si>
  <si>
    <t>2026-04-11T16:41:23.000Z</t>
  </si>
  <si>
    <t>57-60588400</t>
  </si>
  <si>
    <t>2026-04-11T11:24:00.000Z</t>
  </si>
  <si>
    <t>2026-04-11T16:24:00.000Z</t>
  </si>
  <si>
    <t>2026-04-11T11:25:00.000Z</t>
  </si>
  <si>
    <t>2026-04-11T16:25:00.000Z</t>
  </si>
  <si>
    <t>PC185113</t>
  </si>
  <si>
    <t>2026-04-11T07:51:53.000Z</t>
  </si>
  <si>
    <t>2026-04-11T12:51:53.000Z</t>
  </si>
  <si>
    <t>New Item :7360-4010-9090 New Serial Number :57-60588400 Old Item :7360-4010-9090 Old Serial Number :57-60588428</t>
  </si>
  <si>
    <t>2026-04-11T11:25:52.000Z</t>
  </si>
  <si>
    <t>Coin recycler error, active coin box error  [Generated by Portal Login: coas14 Contact: Ashley Cooper 3092131564 ftfmsupport@rdspos.com]</t>
  </si>
  <si>
    <t>CE IS NOW US153C09</t>
  </si>
  <si>
    <t>2026-04-11T07:51:57.000Z</t>
  </si>
  <si>
    <t>adjusted lock mechanism and tested successfully with Amanda onsite</t>
  </si>
  <si>
    <t>2026-04-11T11:25:50.000Z</t>
  </si>
  <si>
    <t>Coin recycler error, active coin box error  [Generated by Portal Login: coas14 Contact: Ashley Cooper 3092131564 ftfmsupport@rdspos.com]-CE IS NOW US153C09-adjusted lock mechanism and tested successfully with Amanda onsite-New Item :7360-4010-9090 New Serial Number :57-60588400 Old Item :7360-4010-9090 Old Serial Number :57-60588428</t>
  </si>
  <si>
    <t>2026-06-12T16:27:40.000Z</t>
  </si>
  <si>
    <t>57-60588459</t>
  </si>
  <si>
    <t>2026-06-12T11:39:00.000Z</t>
  </si>
  <si>
    <t>2026-06-12T15:39:00.000Z</t>
  </si>
  <si>
    <t>2026-06-12T12:13:00.000Z</t>
  </si>
  <si>
    <t>2026-06-12T16:13:00.000Z</t>
  </si>
  <si>
    <t>2026-06-12T09:49:34.000Z</t>
  </si>
  <si>
    <t>2026-06-12T13:49:34.000Z</t>
  </si>
  <si>
    <t>G531-0946-0000</t>
  </si>
  <si>
    <t>low battery during pml tests.   replaced ups.   verified tests now pass.  sco placed back into service.</t>
  </si>
  <si>
    <t>2026-06-12T12:15:44.000Z</t>
  </si>
  <si>
    <t>received expired task</t>
  </si>
  <si>
    <t>2026-06-12T12:15:46.000Z</t>
  </si>
  <si>
    <t>New Item :7360-4010-9090 New Serial Number :57-60588459 Old Item :7360-4010-9090 Old Serial Number :57-60591341</t>
  </si>
  <si>
    <t>2026-06-12T12:15:47.000Z</t>
  </si>
  <si>
    <t>Battery backup on SCO15 needs replaced  [Generated by Portal Login: most14 Contact: Staci Mowder 2694689716 FTFMSupport@rdspos.com]</t>
  </si>
  <si>
    <t>2026-06-12T09:49:53.000Z</t>
  </si>
  <si>
    <t>2026-06-12T12:15:43.000Z</t>
  </si>
  <si>
    <t>Battery backup on SCO15 needs replaced  [Generated by Portal Login: most14 Contact: Staci Mowder 2694689716 FTFMSupport@rdspos.com]-CE IS NOW US153R62-57-60588459-low battery during pml tests.   replaced ups.   verified tests now pass.  sco placed back into service.-received expired task-New Item :7360-4010-9090 New Serial Number :57-60588459 Old Item :7360-4010-9090 Old Serial Number :57-60591341</t>
  </si>
  <si>
    <t>2025-11-08T18:04:03.000Z</t>
  </si>
  <si>
    <t>2025-11-08T12:33:00.000Z</t>
  </si>
  <si>
    <t>2025-11-08T17:33:00.000Z</t>
  </si>
  <si>
    <t>2025-11-08T12:49:00.000Z</t>
  </si>
  <si>
    <t>2025-11-08T17:49:00.000Z</t>
  </si>
  <si>
    <t>2025-11-06T14:24:25.000Z</t>
  </si>
  <si>
    <t>2025-11-06T19:24:25.000Z</t>
  </si>
  <si>
    <t>UPS dead, no power to SCO. retrieved new UPS from Dearborn UPS and returned to replace. SCO back in full service.</t>
  </si>
  <si>
    <t>2025-11-08T12:50:48.000Z</t>
  </si>
  <si>
    <t>New Item :7360-4010-9090 New Serial Number :57-60587771 Old Item :7360-4010-9090 Old Serial Number :57-60587771</t>
  </si>
  <si>
    <t>2025-11-08T12:50:50.000Z</t>
  </si>
  <si>
    <t>Oracle Order Shipped for Remedy Id: U018794513, Order/Receipt # 181839709, Ordered Part 4970534153, Part Description - UPS (N70-800) LV 100V/120V 800VA with USB communication Port and EMC Improvements, Shipment/Receipt #2111919201, Part has been Shipped, Qty 1, Priority NFO, Shipping Method CE Pickup After Hours, BOL/Job NA, Source Location UFF USFDTW1G</t>
  </si>
  <si>
    <t>2025-11-12T15:33:31.000Z</t>
  </si>
  <si>
    <t>Battery backup on SCO 13 is beeping, SCO will not power back on.  [Generated by Portal Login: coas14 Contact: Ashley 3092131564 ftfmsupport@rdspos.com]</t>
  </si>
  <si>
    <t>CE IS NOW US133U04</t>
  </si>
  <si>
    <t>2025-11-06T14:28:30.000Z</t>
  </si>
  <si>
    <t>LOM order processing, Part has been Ordered , Remedy Id 000000014906728 - (Pick Up)MI, Wayneby Agent FSC Order</t>
  </si>
  <si>
    <t>2025-11-06T18:40:09.000Z</t>
  </si>
  <si>
    <t>Battery backup on SCO 13 is beeping, SCO will not power back on.  [Generated by Portal Login: coas14 Contact: Ashley 3092131564 ftfmsupport@rdspos.com]-CE IS NOW US133U04-LOM order processing, Part has been Ordered , Remedy Id 000000014906728 - (Pick Up)MI, Wayneby Agent FSC Order-****Called the site and found out that they had lost power and all SCOs except that one came back. Ordering pn 4970513710 to esl for morning service****-Oracle Order Shipped for Remedy Id: U018794920, Order/Receipt # 181840113, Ordered Part 4970534153, Part Description - UPS (N70-800) LV 100V/120V 800VA with USB communication Port and EMC Improvements, Shipment/Receipt #2111843663, Part has been Shipped, Qty 1, Priority OVERNIGHT, Shipping Method UPS-Air-Next Day Air, BOL/Job 1ZH92Y064400559190, Source Location UFF USFTYS1G-CE WAS US133U04-CE IS NOW US133U01-CE IS NOW US133U01-UPS dead, no power to SCO. retrieved new UPS from Dearborn UPS and returned to replace. SCO back in full service.-UPS dead, no power to SCO. retrieved new UPS from Dearborn UPS and returned to replace. SCO back in full service.-New Item :7360-4010-9090 New Serial Number :57-60587771 Old Item :7360-4010-9090 Old Serial Number :57-60587771-Oracle Order Shipped for Remedy Id: U018794513, Order/Receipt # 181839709, Ordered Part 4970534153, Part Description - UPS (N70-800) LV 100V/120V 800VA with USB communication Port and EMC Improvements, Shipment/Receipt #2111919201, Part has been Shipped, Qty 1, Priority NFO, Shipping Method CE Pickup After Hours, BOL/Job NA, Source Location UFF USFDTW1G</t>
  </si>
  <si>
    <t>2026-06-18T17:37:49.000Z</t>
  </si>
  <si>
    <t>57-60587800</t>
  </si>
  <si>
    <t>2026-06-17T15:18:00.000Z</t>
  </si>
  <si>
    <t>2026-06-17T19:18:00.000Z</t>
  </si>
  <si>
    <t>2026-06-18T13:12:00.000Z</t>
  </si>
  <si>
    <t>2026-06-18T17:12:00.000Z</t>
  </si>
  <si>
    <t>JT185299</t>
  </si>
  <si>
    <t>2026-06-17T14:56:01.000Z</t>
  </si>
  <si>
    <t>2026-06-17T18:56:01.000Z</t>
  </si>
  <si>
    <t>7289-9136-9898</t>
  </si>
  <si>
    <t>I replaced the validator.  Original validator showed an error that the debris flap was open. This replacement corrected that error. No errors were showing but the validator wheel would not spin when attempting to accept coins. It does however spin when reseting and when testing the motor. Issue followed 3 known working validators.  I worked with guru. We attempted numerous reboots, reseating cables and adjusting parts but the issue persisted.  Guru recommended contacting meijer support to reimage.  Meijer support was unable to access the store remotely and after speaking with their supervisor they let me know that they do not service Fresh Thyme locations.  I spoke with my TM about next steps to start a reimage. After speaking with the account team he informed me that the manager will have to contact RDS.  I have updated the manager who will be contacting RDS about the software issue.</t>
  </si>
  <si>
    <t>2026-06-18T13:14:29.000Z</t>
  </si>
  <si>
    <t>New Item :7360-4010-9090 New Serial Number :57-60587800 Old Item :7360-4010-9090 Old Serial Number :57-60587799</t>
  </si>
  <si>
    <t>2026-06-18T13:14:30.000Z</t>
  </si>
  <si>
    <t>Note recycler error-Note jam at RFIN3 on SCO15.   [Generated by Portal Login: most14 Contact: Staci Mowder 3096133038 FTFMsupport@rdspos.com]</t>
  </si>
  <si>
    <t>2026-06-17T14:56:02.000Z</t>
  </si>
  <si>
    <t>2026-06-17T14:57:10.000Z</t>
  </si>
  <si>
    <t>I found a jam in the cash recycler cassette 3. once cleared I was able to dispense and accept cash without issue.  I then noticed that the coin recycler was showing an error. In pml I found that a debris flap on the validator is stuck error.  Validator flap would move and no damage was found, but issue remained after cleaning, reseating cables, and rebooting.   Suspending to order validator.</t>
  </si>
  <si>
    <t>2026-06-17T16:34:21.000Z</t>
  </si>
  <si>
    <t>Note recycler error-Note jam at RFIN3 on SCO15.   [Generated by Portal Login: most14 Contact: Staci Mowder 3096133038 FTFMsupport@rdspos.com]-CE IS NOW US133E74-I found a jam in the cash recycler cassette 3. once cleared I was able to dispense and accept cash without issue.  I then noticed that the coin recycler was showing an error. In pml I found that a debris flap on the validator is stuck error.  Validator flap would move and no damage was found, but issue remained after cleaning, reseating cables, and rebooting.   Suspending to order validator.-LOM order processing, Part has been Ordered , Remedy Id 000000015065110 - (Pick Up)IN, Indianapolisby Agent Auto CE pickup-Oracle Order Shipped for Remedy Id: U018944741, Order/Receipt # 182357446, Ordered Part 4970526620, Part Description - Crane  Xchange Validator Type A (Service Part), Shipment/Receipt #2119348354, Part has been Shipped, Qty 1, Priority NFO, Shipping Method CE Pickup After Hours, BOL/Job NA, Source Location UFF USFIND1G-CEM4248183:defective-I replaced the validator.  Original validator showed an error that the debris flap was open. This replacement corrected that error. No errors were showing but the validator wheel would not spin when attempting to accept coins. It does however spin when reseting and when testing the motor. Issue followed 3 known working validators.  I worked with guru. We attempted numerous reboots, reseating cables and adjusting parts but the issue persisted.  Guru recommended contacting meijer support to reimage.  Meijer support was unable to access the store remotely and after speaking with their supervisor they let me know that they do not service Fresh Thyme locations.  I spoke with my TM about next steps to start a reimage. After speaking with the account team he informed me that the manager will have to contact RDS.  I have updated the manager who will be contacting RDS about the software issue.-I replaced the validator.  Original validator showed an error that the debris flap was open. This replacement corrected that error. No errors were showing but the validator wheel would not spin when attempting to accept coins. It does however spin when reseting and when testing the motor. Issue followed 3 known working validators.  I worked with guru. We attempted numerous reboots, reseating cables and adjusting parts but the issue persisted.  Guru recommended contacting meijer support to reimage.  Meijer support was unable to access the store remotely and after speaking with their supervisor they let me know that they do not service Fresh Thyme locations.  I spoke with my TM about next steps to start a reimage. After speaking with the account team he informed me that the manager will have to contact RDS.  I have updated the manager who will be contacting RDS about the software issue.-New Item :7360-4010-9090 New Serial Number :57-60587800 Old Item :7360-4010-9090 Old Serial Number :57-60587799</t>
  </si>
  <si>
    <t>2025-08-11T19:45:34.000Z</t>
  </si>
  <si>
    <t>57-60588439</t>
  </si>
  <si>
    <t>2025-08-11T14:54:00.000Z</t>
  </si>
  <si>
    <t>2025-08-11T18:54:00.000Z</t>
  </si>
  <si>
    <t>2025-08-11T15:28:00.000Z</t>
  </si>
  <si>
    <t>2025-08-11T19:28:00.000Z</t>
  </si>
  <si>
    <t>chg</t>
  </si>
  <si>
    <t>BR185158</t>
  </si>
  <si>
    <t>MEIJER/FRESH THYME #923</t>
  </si>
  <si>
    <t>2025-08-06T14:10:52.000Z</t>
  </si>
  <si>
    <t>2025-08-06T18:10:52.000Z</t>
  </si>
  <si>
    <t>2025-09-03T23:48:00.000Z</t>
  </si>
  <si>
    <t>7746-F123</t>
  </si>
  <si>
    <t>No faults found on self-checkout 15 door lock.</t>
  </si>
  <si>
    <t>2025-08-11T15:30:21.000Z</t>
  </si>
  <si>
    <t>Arrived on site for self-checkout 15 here at Fresh Thyme. Spoken to a Fresh Thyme TM, and he showed where self-checkout 15 was. Upon inspection of the lock on the door, I was able to open the door with no effort multiple times. The Fresh Thyme TM was able to corroborate my findings. I suspect either the key is not being inserted all the way or being twisted the wrong way. No faults were found on the door lock. Closing ticket.</t>
  </si>
  <si>
    <t>2025-08-11T15:30:22.000Z</t>
  </si>
  <si>
    <t>New Item :7360-4010-9090 New Serial Number :57-60588439 Old Item :7360-4010-9090 Old Serial Number :57-60588439</t>
  </si>
  <si>
    <t>2025-08-11T15:30:23.000Z</t>
  </si>
  <si>
    <t>Unable to open SCO door with key on SCO15   [Generated by Portal Login: most14 Contact: Staci Mowder 3096133038 ftfmsupport@rdspos.com]</t>
  </si>
  <si>
    <t>2025-08-06T14:10:53.000Z</t>
  </si>
  <si>
    <t>CE IS NOW US133C20</t>
  </si>
  <si>
    <t>2025-08-06T14:12:35.000Z</t>
  </si>
  <si>
    <t>CE WAS US133C20</t>
  </si>
  <si>
    <t>2025-08-07T07:44:54.000Z</t>
  </si>
  <si>
    <t>Unable to open SCO door with key on SCO15   [Generated by Portal Login: most14 Contact: Staci Mowder 3096133038 ftfmsupport@rdspos.com]-CE IS NOW US133C20-CE WAS US133C20-CE IS NOW US133C27-CE WAS US133C27-CE IS NOW US133C19-CE WAS US133C19-CE IS NOW US133C20-CE WAS US133C20-CE IS NOW US133C21-CE WAS US133C21-CE IS NOW US133C19-CE WAS US133C19-CE IS NOW US133C27-No faults found on self-checkout 15 door lock.-Arrived on site for self-checkout 15 here at Fresh Thyme. Spoken to a Fresh Thyme TM, and he showed where self-checkout 15 was. Upon inspection of the lock on the door, I was able to open the door with no effort multiple times. The Fresh Thyme TM was able to corroborate my findings. I suspect either the key is not being inserted all the way or being twisted the wrong way. No faults were found on the door lock. Closing ticket.-New Item :7360-4010-9090 New Serial Number :57-60588439 Old Item :7360-4010-9090 Old Serial Number :57-60588439</t>
  </si>
  <si>
    <t>2025-11-22T23:20:25.000Z</t>
  </si>
  <si>
    <t>57-60587731</t>
  </si>
  <si>
    <t>2025-11-22T16:44:00.000Z</t>
  </si>
  <si>
    <t>2025-11-22T22:44:00.000Z</t>
  </si>
  <si>
    <t>2025-11-22T17:03:00.000Z</t>
  </si>
  <si>
    <t>2025-11-22T23:03:00.000Z</t>
  </si>
  <si>
    <t>2025-11-22T14:42:19.000Z</t>
  </si>
  <si>
    <t>2025-11-22T20:42:19.000Z</t>
  </si>
  <si>
    <t>Store495</t>
  </si>
  <si>
    <t>New Item :7360-4010-9090 New Serial Number :57-60587731 Old Item :7360-4010-9090 Old Serial Number :57-60587731</t>
  </si>
  <si>
    <t>2025-11-22T17:03:31.000Z</t>
  </si>
  <si>
    <t>Note recycler Error recycler, 3 device error, error code is 15 902-702-4848.  [Generated by Portal Login: coas14 Contact: Ashley Cooper 3092131564 FTFMSupport@rdspos.com]</t>
  </si>
  <si>
    <t>2025-11-22T14:42:20.000Z</t>
  </si>
  <si>
    <t>2025-11-22T14:54:47.000Z</t>
  </si>
  <si>
    <t>I arrived on site and after examining  the SCO. I found the jam in the recycler. It had a 10 dollar bill jammed in it and because of the screws on the recycler lids. The customer couldn't clear the 10 dollar jam. Job completed</t>
  </si>
  <si>
    <t>2025-11-22T17:03:28.000Z</t>
  </si>
  <si>
    <t>Note recycler Error recycler, 3 device error, error code is 15 902-702-4848.  [Generated by Portal Login: coas14 Contact: Ashley Cooper 3092131564 FTFMSupport@rdspos.com]-CE IS NOW US153N62-I arrived on site and after examining  the SCO. I found the jam in the recycler. It had a 10 dollar bill jammed in it and because of the screws on the recycler lids. The customer couldn't clear the 10 dollar jam. Job completed-New Item :7360-4010-9090 New Serial Number :57-60587731 Old Item :7360-4010-9090 Old Serial Number :57-60587731</t>
  </si>
  <si>
    <t>2026-08-07T19:53:59.000Z</t>
  </si>
  <si>
    <t>57-60591390</t>
  </si>
  <si>
    <t>2026-08-07T15:33:00.000Z</t>
  </si>
  <si>
    <t>2026-08-07T19:33:00.000Z</t>
  </si>
  <si>
    <t>2026-08-07T15:34:00.000Z</t>
  </si>
  <si>
    <t>2026-08-07T19:34:00.000Z</t>
  </si>
  <si>
    <t>EH185114</t>
  </si>
  <si>
    <t>2026-08-07T09:58:44.000Z</t>
  </si>
  <si>
    <t>2026-08-07T13:58:44.000Z</t>
  </si>
  <si>
    <t>2026-08-07T13:58:45.000Z</t>
  </si>
  <si>
    <t>2026-08-07T09:58:45.000Z</t>
  </si>
  <si>
    <t>while I was at the Fresh times Site I want to self-checkout 14 where I was told there was a grinding noise but when I was testing I didn't hear anything and it seemed like no one kind of knew what was happening or when it happened so they're going to keep an eye on it because there's nothing at the moment wrong with it. i had Colleen a team lead witness everything that happened</t>
  </si>
  <si>
    <t>2026-08-07T15:36:54.000Z</t>
  </si>
  <si>
    <t>how was I just need to make sure what it exactly is when they call like is it dispensing change in again grinding noise dispensing cash making it grinding noise so and so forth</t>
  </si>
  <si>
    <t>2026-08-07T15:36:55.000Z</t>
  </si>
  <si>
    <t>New Item :7360-4010-9090 New Serial Number :57-60591390 Old Item :7360-4010-9090 Old Serial Number :57-60591393</t>
  </si>
  <si>
    <t>2026-08-07T15:36:56.000Z</t>
  </si>
  <si>
    <t>Not dispensing coins when change is due and making a loud griding noise when trying to dispense coins  [Generated by Portal Login: coas14 Contact: Ashley Cooper 3092131564 ftfmsupport@rdspos.com]</t>
  </si>
  <si>
    <t>2026-08-07T09:59:00.000Z</t>
  </si>
  <si>
    <t>CE WAS US133E73</t>
  </si>
  <si>
    <t>2026-08-07T10:00:59.000Z</t>
  </si>
  <si>
    <t>Not dispensing coins when change is due and making a loud griding noise when trying to dispense coins  [Generated by Portal Login: coas14 Contact: Ashley Cooper 3092131564 ftfmsupport@rdspos.com]-CE IS NOW US133E73-CE WAS US133E73-CE IS NOW US133E63-CE IS NOW US133E63-while I was at the Fresh times Site I want to self-checkout 14 where I was told there was a grinding noise but when I was testing I didn't hear anything and it seemed like no one kind of knew what was happening or when it happened so they're going to keep an eye on it because there's nothing at the moment wrong with it. i had Colleen a team lead witness everything that happened-how was I just need to make sure what it exactly is when they call like is it dispensing change in again grinding noise dispensing cash making it grinding noise so and so forth-New Item :7360-4010-9090 New Serial Number :57-60591390 Old Item :7360-4010-9090 Old Serial Number :57-60591393</t>
  </si>
  <si>
    <t>2026-04-06T01:14:59.000Z</t>
  </si>
  <si>
    <t>2026-04-05T19:47:00.000Z</t>
  </si>
  <si>
    <t>2026-04-06T00:47:00.000Z</t>
  </si>
  <si>
    <t>2026-04-05T20:00:00.000Z</t>
  </si>
  <si>
    <t>2026-04-06T01:00:00.000Z</t>
  </si>
  <si>
    <t>2026-04-05T17:55:31.000Z</t>
  </si>
  <si>
    <t>2026-04-05T22:55:31.000Z</t>
  </si>
  <si>
    <t>2026-04-05T20:00:28.000Z</t>
  </si>
  <si>
    <t>SCO15 has a Note recycler error.   [Generated by Portal Login: most14 Contact: Staci Mowder 3096133038 ftfmsupport@rdspos.com]</t>
  </si>
  <si>
    <t>2026-04-05T17:57:27.000Z</t>
  </si>
  <si>
    <t>Spoke with Laura, sco 15 had an error, all the error was that the gsr50 wasn't closed properly. But seeing as the acceptor was very dirty, took the opportunity to dust the thing thoroughly.</t>
  </si>
  <si>
    <t>2026-04-05T20:00:26.000Z</t>
  </si>
  <si>
    <t>SCO15 has a Note recycler error.   [Generated by Portal Login: most14 Contact: Staci Mowder 3096133038 ftfmsupport@rdspos.com]-CE IS NOW US153C15-Spoke with Laura, sco 15 had an error, all the error was that the gsr50 wasn't closed properly. But seeing as the acceptor was very dirty, took the opportunity to dust the thing thoroughly.-New Item :7360-4010-9090 New Serial Number :57-60595354 Old Item :7360-4010-9090 Old Serial Number :57-60595354</t>
  </si>
  <si>
    <t>2025-11-18T00:04:01.000Z</t>
  </si>
  <si>
    <t>2025-11-17T17:10:00.000Z</t>
  </si>
  <si>
    <t>2025-11-17T23:10:00.000Z</t>
  </si>
  <si>
    <t>2025-11-17T17:47:00.000Z</t>
  </si>
  <si>
    <t>2025-11-17T23:47:00.000Z</t>
  </si>
  <si>
    <t>2025-11-17T14:29:28.000Z</t>
  </si>
  <si>
    <t>2025-11-17T20:29:28.000Z</t>
  </si>
  <si>
    <t>2025-11-17T17:48:06.000Z</t>
  </si>
  <si>
    <t>SCO12 battery back up is dead and unable to power on SCO  [Generated by Portal Login: most14 Contact: Staci Mowder 3096133038 ftfmsupport@rdspos.com]</t>
  </si>
  <si>
    <t>2025-11-17T14:31:41.000Z</t>
  </si>
  <si>
    <t>replaced UPS and powered on SCO. Tested successfully with supervisor Amanda</t>
  </si>
  <si>
    <t>2025-11-17T17:48:04.000Z</t>
  </si>
  <si>
    <t>SCO12 battery back up is dead and unable to power on SCO  [Generated by Portal Login: most14 Contact: Staci Mowder 3096133038 ftfmsupport@rdspos.com]-CE IS NOW US153C09-replaced UPS and powered on SCO. Tested successfully with supervisor Amanda-New Item :7360-4010-9090 New Serial Number :57-60588400 Old Item :7360-4010-9090 Old Serial Number :57-60588428</t>
  </si>
  <si>
    <t>2025-10-06T19:43:08.000Z</t>
  </si>
  <si>
    <t>57-60587857</t>
  </si>
  <si>
    <t>2025-10-06T14:44:00.000Z</t>
  </si>
  <si>
    <t>2025-10-06T18:44:00.000Z</t>
  </si>
  <si>
    <t>2025-10-06T15:26:00.000Z</t>
  </si>
  <si>
    <t>2025-10-06T19:26:00.000Z</t>
  </si>
  <si>
    <t>2025-10-06T10:07:36.000Z</t>
  </si>
  <si>
    <t>2025-10-06T14:07:36.000Z</t>
  </si>
  <si>
    <t>Arrive on site find the cr5000 validator motor was giving out. Replace and test the validator confirm is back in service</t>
  </si>
  <si>
    <t>2025-10-06T15:26:41.000Z</t>
  </si>
  <si>
    <t>New Item :7360-4010-9090 New Serial Number :57-60587857 Old Item :7360-4010-9090 Old Serial Number :57-60587851</t>
  </si>
  <si>
    <t>2025-10-06T15:26:43.000Z</t>
  </si>
  <si>
    <t>Validator Motor Error-Singulator SCO will dispense coins, but will not register when they are inserted [Generated by Portal Login: repa14 Contact: Patrick Reeves 3092411908 ftfmsupport@rdspos.com]</t>
  </si>
  <si>
    <t>2025-10-06T10:39:14.000Z</t>
  </si>
  <si>
    <t>CEM3972018:Motor issue</t>
  </si>
  <si>
    <t>Validator Motor Error-Singulator SCO will dispense coins, but will not register when they are inserted [Generated by Portal Login: repa14 Contact: Patrick Reeves 3092411908 ftfmsupport@rdspos.com]-CE IS NOW US133E79-CEM3972018:Motor issue-Arrive on site find the cr5000 validator motor was giving out. Replace and test the validator confirm is back in service-New Item :7360-4010-9090 New Serial Number :57-60587857 Old Item :7360-4010-9090 Old Serial Number :57-60587851</t>
  </si>
  <si>
    <t>2026-01-31T19:19:05.000Z</t>
  </si>
  <si>
    <t>57-60588399</t>
  </si>
  <si>
    <t>2026-01-31T13:46:00.000Z</t>
  </si>
  <si>
    <t>2026-01-31T18:46:00.000Z</t>
  </si>
  <si>
    <t>2026-01-31T14:02:00.000Z</t>
  </si>
  <si>
    <t>2026-01-31T19:02:00.000Z</t>
  </si>
  <si>
    <t>CHG-the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t>
  </si>
  <si>
    <t>2026-01-30T07:55:18.000Z</t>
  </si>
  <si>
    <t>2026-01-30T12:55:18.000Z</t>
  </si>
  <si>
    <t>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t>
  </si>
  <si>
    <t>2026-01-31T14:03:26.000Z</t>
  </si>
  <si>
    <t>New Item :7360-4010-9090 New Serial Number :57-60588399 Old Item :7360-4010-9090 Old Serial Number :57-60587797</t>
  </si>
  <si>
    <t>2026-01-31T14:03:27.000Z</t>
  </si>
  <si>
    <t>SCO 17 has a note recycler error RFIN sensor blocked during dispensing error code 5-9-0-37-17665  [Generated by Portal Login: besa14 Contact: Sabrina Bechtel 715-498-6611 ftfmsupport@rdspos.com]</t>
  </si>
  <si>
    <t>2026-01-30T07:55:19.000Z</t>
  </si>
  <si>
    <t>2026-01-30T12:03:45.000Z</t>
  </si>
  <si>
    <t>SCO 17 has a note recycler error RFIN sensor blocked during dispensing error code 5-9-0-37-17665  [Generated by Portal Login: besa14 Contact: Sabrina Bechtel 715-498-6611 ftfmsupport@rdspos.com]-CE IS NOW US133E72-the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found-the unit was fully operational upon arrival. talked with one of the managers and they said they cleared the error and the unit ahd been working fine sense. preformed a curtesy check. all devices were communicating. pushed a firmware update then tested. tested good. unit is fully operational. no fault found-New Item :7360-4010-9090 New Serial Number :57-60588399 Old Item :7360-4010-9090 Old Serial Number :57-60587797</t>
  </si>
  <si>
    <t>2026-01-05T13:26:37.000Z</t>
  </si>
  <si>
    <t>2026-01-05T08:11:00.000Z</t>
  </si>
  <si>
    <t>2026-01-05T13:11:00.000Z</t>
  </si>
  <si>
    <t>2026-01-05T08:12:00.000Z</t>
  </si>
  <si>
    <t>2026-01-05T13:12:00.000Z</t>
  </si>
  <si>
    <t>RH185179</t>
  </si>
  <si>
    <t>2026-01-05T07:23:30.000Z</t>
  </si>
  <si>
    <t>2026-01-05T12:23:30.000Z</t>
  </si>
  <si>
    <t>2026-01-05T08:01:50.000Z</t>
  </si>
  <si>
    <t>call stated that every self-checkout in the store was to be blown out and cleaned and tested. this ticket is not an acceptable format as other than annual PM this would require one ticket per self-checkout. instructed by TM to close the ticket.</t>
  </si>
  <si>
    <t>2026-01-05T08:13:46.000Z</t>
  </si>
  <si>
    <t>2026-01-05T08:13:48.000Z</t>
  </si>
  <si>
    <t>All SCO's need to have service maintenance completed, customer is requesting a tech on site for this Customer is requesting a tech onsite to clean out and blow out all the sensors of every SCO at this store. That have SCO's 11, 12, 13, 14, 15, 16, 17 and 18. [Generated by Portal Login: besa14 Contact: Sabrina Bechtel 715-498-6611 ftfmsupport@rdspos.com]</t>
  </si>
  <si>
    <t>2026-01-05T07:23:31.000Z</t>
  </si>
  <si>
    <t>2026-01-05T07:24:06.000Z</t>
  </si>
  <si>
    <t>2026-01-05T07:59:10.000Z</t>
  </si>
  <si>
    <t>All SCO's need to have service maintenance completed, customer is requesting a tech on site for this Customer is requesting a tech onsite to clean out and blow out all the sensors of every SCO at this store. That have SCO's 11, 12, 13, 14, 15, 16, 17 and 18. [Generated by Portal Login: besa14 Contact: Sabrina Bechtel 715-498-6611 ftfmsupport@rdspos.com]-CE IS NOW US133C71-CE WAS US133C71-CE IS NOW US133C72-CE WAS US133C72-CE IS NOW US133C71-CE IS NOW US133C71-call stated that every self-checkout in the store was to be blown out and cleaned and tested. this ticket is not an acceptable format as other than annual PM this would require one ticket per self-checkout. instructed by TM to close the ticket.-New Item :7360-4010-9090 New Serial Number :57-60587724 Old Item :7360-4010-9090 Old Serial Number :57-60587724</t>
  </si>
  <si>
    <t>2025-08-19T20:34:51.000Z</t>
  </si>
  <si>
    <t>57-60587735</t>
  </si>
  <si>
    <t>2025-08-11T18:24:00.000Z</t>
  </si>
  <si>
    <t>2025-08-11T22:24:00.000Z</t>
  </si>
  <si>
    <t>2025-08-19T15:54:00.000Z</t>
  </si>
  <si>
    <t>2025-08-19T19:54:00.000Z</t>
  </si>
  <si>
    <t>2025-08-11T13:13:33.000Z</t>
  </si>
  <si>
    <t>2025-08-11T17:13:33.000Z</t>
  </si>
  <si>
    <t>Cr5000 chassis had coins jam in the  coin sorter and coin validator.</t>
  </si>
  <si>
    <t>2025-08-19T15:54:58.000Z</t>
  </si>
  <si>
    <t>Sco 14 replace the Cr5000 chassis,  Replace the PCB controller and replace the coin sorter. open PML and ran add. Verify that coins can be dispense and accepted multiple times. verify that the Cr5000 is showing healthy. verify with the team lead that sco 14 is working properly</t>
  </si>
  <si>
    <t>New Item :7360-4010-9090 New Serial Number :57-60587735 Old Item :7360-4010-9090 Old Serial Number :57-60587735</t>
  </si>
  <si>
    <t>2025-08-19T15:54:59.000Z</t>
  </si>
  <si>
    <t>SCO 14 coin recycler error transfer motor jam error code 16-6-0-99-67074.  [Generated by Portal Login: besa14 Contact: Sabrina Bechtel 715-498-6611 ftfmsupport@rdspos.com]</t>
  </si>
  <si>
    <t>2025-08-11T13:30:40.000Z</t>
  </si>
  <si>
    <t>LOM order processing, Part has been Ordered , Remedy Id 000000014834138 - (Next Day) by Agent Auto VIP P000</t>
  </si>
  <si>
    <t>2025-08-11T18:39:20.000Z</t>
  </si>
  <si>
    <t>SCO 14 coin recycler error transfer motor jam error code 16-6-0-99-67074.  [Generated by Portal Login: besa14 Contact: Sabrina Bechtel 715-498-6611 ftfmsupport@rdspos.com]-CE IS NOW US133C75-LOM order processing, Part has been Ordered , Remedy Id 000000014834138 - (Next Day) by Agent Auto VIP P000-LOM order processing, Part has been Ordered , Remedy Id 000000014834211 - (Next Day) by Agent AUTO VIP-LOM order processing, Part has been Ordered , Remedy Id 000000014834260 - (Pick Up)OH, Clevelandby Agent Auto CE pickup-CEM3892948:bad-CEM3892949:bad-CEM3892950:bad-can Chassis was damaged-Sco 14 Cr5000 Chassis had alot of jam coins in it. took it apart and removed all the jam coins. replace the coin validator, the Chassis and coin sorter. rebooted the sco. the Cr5000 was still showing warnings. ran out of time due to the store was closing-Oracle Order Shipped for Remedy Id: U018722722, Order/Receipt # 181610946, Ordered Part 4970520636, Part Description - CR5000 Controller Card (service Part, Shipment/Receipt #2110011637, Part has been Shipped, Qty 1, Priority NFO, Shipping Method CE Pickup After Hours, BOL/Job NA, Source Location UFF USFCLE1G-Oracle Order Shipped for Remedy Id: U018722594, Order/Receipt # 181610806, Ordered Part 4970521463, Part Description - CR5000 Sorter Module Type A (Service Part), Shipment/Receipt #2110010880, Part has been Shipped, Qty 1, Priority OVERNIGHT, Shipping Method UPS-Air-Next Day Air Saver, BOL/Job 1ZH92Y051301371986, Source Location PTC AVL-Oracle Order Shipped for Remedy Id: U018722671, Order/Receipt # 181610892, Ordered Part 4970523480, Part Description - CHASSIS MODULE ONLY - NO MOTOR SORTER ACTIVE CASHBOX VALIDATOR HOPPER(S) OR CONTROLLER PCBA (A) (SERVICE PART), Shipment/Receipt #2110011406, Part has been Shipped, Qty 1, Priority OVERNIGHT, Shipping Method UPS-Air-Next Day Air Saver, BOL/Job 1ZH92Y061300445790, Source Location UFF USFDCA3G-CE WAS US133C75-CE WAS US133C73-CE IS NOW US133C71-CE WAS US133C71-CE IS NOW US133C73-CE WAS US133C73-CE IS NOW US133C71-CE WAS US133C71-CE IS NOW US133C73-CE WAS US133C73-CE IS NOW US133C75-CE WAS US133C75-CE IS NOW US133C73-CE WAS US133C73-CE IS NOW US133C75-CEM3923484:bad-CEM3923485:bad-CEM3923486:bad-Cr5000 chassis had coins jam in the  coin sorter and coin validator.-Sco 14 replace the Cr5000 chassis,  Replace the PCB controller and replace the coin sorter. open PML and ran add. Verify that coins can be dispense and accepted multiple times. verify that the Cr5000 is showing healthy. verify with the team lead that sco 14 is working properly-New Item :7360-4010-9090 New Serial Number :57-60587735 Old Item :7360-4010-9090 Old Serial Number :57-60587735</t>
  </si>
  <si>
    <t>2025-12-02T18:22:10.000Z</t>
  </si>
  <si>
    <t>57-60591332</t>
  </si>
  <si>
    <t>2025-11-24T14:01:00.000Z</t>
  </si>
  <si>
    <t>2025-11-24T20:01:00.000Z</t>
  </si>
  <si>
    <t>2025-12-02T12:08:00.000Z</t>
  </si>
  <si>
    <t>2025-12-02T18:08:00.000Z</t>
  </si>
  <si>
    <t>Non- NCR</t>
  </si>
  <si>
    <t>DD185323</t>
  </si>
  <si>
    <t>2025-11-24T11:22:15.000Z</t>
  </si>
  <si>
    <t>2025-11-24T17:22:15.000Z</t>
  </si>
  <si>
    <t>REPL'D NON NCR PART</t>
  </si>
  <si>
    <t>CE IS NOW US153C08</t>
  </si>
  <si>
    <t>2025-11-29T05:39:58.000Z</t>
  </si>
  <si>
    <t>arrived on site and spoke with Angalee after replaced units ups and once unit booted confirmed with manager part would not transfer negative balance</t>
  </si>
  <si>
    <t>2025-12-02T12:08:28.000Z</t>
  </si>
  <si>
    <t>New Item :7360-4010-9090 New Serial Number :57-60591332 Old Item :7360-4010-9090 Old Serial Number :57-60591327</t>
  </si>
  <si>
    <t>2025-12-02T12:08:30.000Z</t>
  </si>
  <si>
    <t>SCO 11, battery back up needs replaced. SCO will not power on at all. Old NCR ticket number 7530106553 says the battery back up was replaced, per the customer it was never replaced. MUST ONLY SPEAK WITH BEN, DILLION OR ANGALEE WHILE AT THE STORE.  [Generated by Portal Login: besa14 Contact: Sabrina Bechtel 715-498-6611 ftfmsupport@rdspos.com]</t>
  </si>
  <si>
    <t>2025-11-24T11:22:16.000Z</t>
  </si>
  <si>
    <t>2025-11-24T11:32:03.000Z</t>
  </si>
  <si>
    <t>dead battery back up ordering new one pn 4970465804</t>
  </si>
  <si>
    <t>2025-11-24T14:12:43.000Z</t>
  </si>
  <si>
    <t>SCO 11, battery back up needs replaced. SCO will not power on at all. Old NCR ticket number 7530106553 says the battery back up was replaced, per the customer it was never replaced. MUST ONLY SPEAK WITH BEN, DILLION OR ANGALEE WHILE AT THE STORE.  [Generated by Portal Login: besa14 Contact: Sabrina Bechtel 715-498-6611 ftfmsupport@rdspos.com]-CE IS NOW US153R71-dead battery back up ordering new one pn 4970465804-LOM order processing, Part has been Ordered , Remedy Id 000000014921039 - (Next Day) by Agent Hazard Part - E3-LOM order processing, Part has been Ordered , Remedy Id 000000014921042 - (Next Day) by Agent Auto VIP P000-Oracle Order Shipped for Remedy Id: U018808695, Order/Receipt # 181882253, Ordered Part 4970527939, Part Description - UPS (N70-800) LV 100V/120V 800VA with USB communication Port and EMC Improvements, Shipment/Receipt #2112207754, Substitute Part was Shipped, Part has been Shipped, Qty 1, Priority OVERNIGHT, Shipping Method UPS-Air-Next Day Air Saver, BOL/Job 1ZH92Y051301979204, Source Location PTC AVL-CE WAS US153R71-CE IS NOW US153C17-CE IS NOW US153C17-Oracle Order Shipped for Remedy Id: U018808692, Order/Receipt # 181882250, Ordered Part 4970513710, Part Description - R6.0 UPS 110V 800VA with USB communication port, Shipment/Receipt #2112247698, Part has been Shipped, Qty 1, Priority REGULAR, Shipping Method UPS-Ground-Ground, BOL/Job 1ZJ21V670341430757, Source Location PDS DIR-CE WAS US153C17-CE IS NOW US153C08-CE WAS US153C08-CE IS NOW US153R10-both parts have been delivered to the ups in St Paul. call will need to be moved to a St Paul CE to pick up parts and complete call-CE IS NOW US153R10-CE WAS US153R10-CE IS NOW US153C17-CE WAS US153C17-CE IS NOW US153C08-arrived on site and spoke with Angalee after replaced units ups and once unit booted confirmed with manager part would not transfer negative balance-New Item :7360-4010-9090 New Serial Number :57-60591332 Old Item :7360-4010-9090 Old Serial Number :57-60591327</t>
  </si>
  <si>
    <t>2026-04-09T18:14:47.000Z</t>
  </si>
  <si>
    <t>2026-04-09T13:33:00.000Z</t>
  </si>
  <si>
    <t>2026-04-09T17:33:00.000Z</t>
  </si>
  <si>
    <t>2026-04-09T13:58:00.000Z</t>
  </si>
  <si>
    <t>2026-04-09T17:58:00.000Z</t>
  </si>
  <si>
    <t>CHGF 2</t>
  </si>
  <si>
    <t>2026-04-08T17:24:14.000Z</t>
  </si>
  <si>
    <t>2026-04-08T21:24:14.000Z</t>
  </si>
  <si>
    <t>2026-04-08T21:24:15.000Z</t>
  </si>
  <si>
    <t>2026-04-08T17:24:15.000Z</t>
  </si>
  <si>
    <t>pm as requested</t>
  </si>
  <si>
    <t>2026-04-09T13:59:05.000Z</t>
  </si>
  <si>
    <t>spoke with front end lead margaret. performed pm on sco 16.</t>
  </si>
  <si>
    <t>New Item :7360-4010-9090 New Serial Number :57-60595333 Old Item :7360-4010-9090 Old Serial Number :57-60595333</t>
  </si>
  <si>
    <t>2026-04-09T13:59:06.000Z</t>
  </si>
  <si>
    <t>Manager requesting sensors cleaned and SCO cleanout on SCO16  [Generated by Portal Login: most14 Contact: Staci Mowder 3096133038 ftfmsupport@rdspos.com]</t>
  </si>
  <si>
    <t>2026-04-08T17:25:09.000Z</t>
  </si>
  <si>
    <t>CE WAS US133C42</t>
  </si>
  <si>
    <t>2026-04-09T07:21:37.000Z</t>
  </si>
  <si>
    <t>Manager requesting sensors cleaned and SCO cleanout on SCO16  [Generated by Portal Login: most14 Contact: Staci Mowder 3096133038 ftfmsupport@rdspos.com]-CE IS NOW US133C42-CE WAS US133C42-CE IS NOW US133U32-pm as requested-spoke with front end lead margaret. performed pm on sco 16.-New Item :7360-4010-9090 New Serial Number :57-60595333 Old Item :7360-4010-9090 Old Serial Number :57-60595333</t>
  </si>
  <si>
    <t>2026-07-04T19:58:29.000Z</t>
  </si>
  <si>
    <t>2026-07-04T15:58:29.000Z</t>
  </si>
  <si>
    <t>Canceled by Customer</t>
  </si>
  <si>
    <t>2026-07-04T12:16:49.000Z</t>
  </si>
  <si>
    <t>2026-07-04T16:16:49.000Z</t>
  </si>
  <si>
    <t>CE WAS US133C84</t>
  </si>
  <si>
    <t>Coin chute sensor is damaged due to Silver Dollars  [Generated by Portal Login: repa14 Contact: Patrick Reeves 3092411908 ftfmsupport@rdspos.com]</t>
  </si>
  <si>
    <t>2026-07-04T12:16:50.000Z</t>
  </si>
  <si>
    <t>2026-07-04T12:18:57.000Z</t>
  </si>
  <si>
    <t>Customer has fixed the issue Remark added by: Patrick Reeves Portal Login: repa14 Phone Number: 3092411908 Email Address: ftfmsupport@rdspos.com</t>
  </si>
  <si>
    <t>Coin chute sensor is damaged due to Silver Dollars  [Generated by Portal Login: repa14 Contact: Patrick Reeves 3092411908 ftfmsupport@rdspos.com]-CE IS NOW US133C84-Customer has fixed the issue Remark added by: Patrick Reeves Portal Login: repa14 Phone Number: 3092411908 Email Address: ftfmsupport@rdspos.com-CE WAS US133C84</t>
  </si>
  <si>
    <t>2026-05-09T15:14:37.000Z</t>
  </si>
  <si>
    <t>57-60587826</t>
  </si>
  <si>
    <t>2026-05-09T08:31:00.000Z</t>
  </si>
  <si>
    <t>2026-05-09T12:31:00.000Z</t>
  </si>
  <si>
    <t>2026-05-09T11:02:00.000Z</t>
  </si>
  <si>
    <t>2026-05-09T15:02:00.000Z</t>
  </si>
  <si>
    <t>2026-05-08T17:45:59.000Z</t>
  </si>
  <si>
    <t>2026-05-08T21:45:59.000Z</t>
  </si>
  <si>
    <t>7289-0242-9898</t>
  </si>
  <si>
    <t>Oracle Order Shipped for Remedy Id: U018920247, Order/Receipt # 182262966, Ordered Part 4970534153, Part Description - UPS (N70-800) LV 100V/120V 800VA with USB communication Port and EMC Improvements, Shipment/Receipt #2118486694, Part has been Shipped, Qty 1, Priority NFO, Shipping Method CE Pickup After Hours, BOL/Job NA, Source Location UFF USFDTW1G</t>
  </si>
  <si>
    <t>2026-05-09T09:03:18.000Z</t>
  </si>
  <si>
    <t>replaced battery backup ups for terminal 14, rebooted terminal then tested successfully by mod Christa also cleared cash jam in the cash recycler top module.</t>
  </si>
  <si>
    <t>2026-05-09T11:02:21.000Z</t>
  </si>
  <si>
    <t>New Item :7360-4010-9090 New Serial Number :57-60587826 Old Item :7360-4010-9090 Old Serial Number :57-60588385</t>
  </si>
  <si>
    <t>2026-05-09T11:02:23.000Z</t>
  </si>
  <si>
    <t>SCO will not stay powered on after power outage. Please replace battery backup.  [Generated by Portal Login: coas14 Contact: Ashley N Cooper 3092131564 ftfmsupport@rdspos.com]</t>
  </si>
  <si>
    <t>2026-05-08T17:46:05.000Z</t>
  </si>
  <si>
    <t>2026-05-08T18:04:21.000Z</t>
  </si>
  <si>
    <t>SCO will not stay powered on after power outage. Please replace battery backup.  [Generated by Portal Login: coas14 Contact: Ashley N Cooper 3092131564 ftfmsupport@rdspos.com]-CE IS NOW US133U01-CE WAS US133U01-CE IS NOW US133U10-CE IS NOW US133U10-CE WAS US133U10-CE IS NOW US133U12-LOM order processing, Part has been Ordered , Remedy Id 000000015038028 - (Pick Up)MI, Wayneby Agent Auto CE pickup-Oracle Order Shipped for Remedy Id: U018920247, Order/Receipt # 182262967, Ordered Part 4970534153, Part Description - UPS (N70-800) LV 100V/120V 800VA with USB communication Port and EMC Improvements, Shipment/Receipt #2118486697, Part has been Shipped, Qty 1, Priority NFO, Shipping Method CE Pickup After Hours, BOL/Job NA, Source Location UFF USFDTW1G-Oracle Order Shipped for Remedy Id: U018920247, Order/Receipt # 182262965, Ordered Part 4970534153, Part Description - UPS (N70-800) LV 100V/120V 800VA with USB communication Port and EMC Improvements, Shipment/Receipt #2118486695, Part has been Shipped, Qty 1, Priority NFO, Shipping Method CE Pickup After Hours, BOL/Job NA, Source Location UFF USFDTW1G-Oracle Order Shipped for Remedy Id: U018920247, Order/Receipt # 182262966, Ordered Part 4970534153, Part Description - UPS (N70-800) LV 100V/120V 800VA with USB communication Port and EMC Improvements, Shipment/Receipt #2118486694, Part has been Shipped, Qty 1, Priority NFO, Shipping Method CE Pickup After Hours, BOL/Job NA, Source Location UFF USFDTW1G-replaced battery backup ups for terminal 14, rebooted terminal then tested successfully by mod Christa also cleared cash jam in the cash recycler top module.-New Item :7360-4010-9090 New Serial Number :57-60587826 Old Item :7360-4010-9090 Old Serial Number :57-60588385</t>
  </si>
  <si>
    <t>2025-08-20T18:36:36.000Z</t>
  </si>
  <si>
    <t>2025-08-20T12:03:00.000Z</t>
  </si>
  <si>
    <t>2025-08-20T17:03:00.000Z</t>
  </si>
  <si>
    <t>2025-08-20T13:13:00.000Z</t>
  </si>
  <si>
    <t>2025-08-20T18:13:00.000Z</t>
  </si>
  <si>
    <t>2025-08-19T15:05:41.000Z</t>
  </si>
  <si>
    <t>2025-08-19T20:05:41.000Z</t>
  </si>
  <si>
    <t>checked in with manager Jen. I replaced the printer after site stated that it has had multiple issues with receipts jamming.  I rebooted the sco and tested with store associate Deb. confirmed operation with Jen and also inspected sco 11 and 13 because both had had issues with the power going out. had survey completed by Izzy and closing ticket</t>
  </si>
  <si>
    <t>2025-08-20T13:13:40.000Z</t>
  </si>
  <si>
    <t>2025-08-20T13:13:43.000Z</t>
  </si>
  <si>
    <t>SCO 11 constant printer issues, printer error every 2nd or 3rd transaction NCR was onsite 2 weeks ago for this same printer issue, NCR told the store that if they get this printer error again that the printer will need to be replaced [Generated by Portal Login: besa14 Contact: Sabrina Bechtel 715-498-6611 ftfmsupport@rdspos.com]</t>
  </si>
  <si>
    <t>CE IS NOW US153C28</t>
  </si>
  <si>
    <t>2025-08-19T15:25:20.000Z</t>
  </si>
  <si>
    <t>CEM3768992:defective jamming</t>
  </si>
  <si>
    <t>2025-08-20T12:54:53.000Z</t>
  </si>
  <si>
    <t>SCO 11 constant printer issues, printer error every 2nd or 3rd transaction NCR was onsite 2 weeks ago for this same printer issue, NCR told the store that if they get this printer error again that the printer will need to be replaced [Generated by Portal Login: besa14 Contact: Sabrina Bechtel 715-498-6611 ftfmsupport@rdspos.com]-CE IS NOW US153C28-CEM3768992:defective jamming-checked in with manager Jen. I replaced the printer after site stated that it has had multiple issues with receipts jamming.  I rebooted the sco and tested with store associate Deb. confirmed operation with Jen and also inspected sco 11 and 13 because both had had issues with the power going out. had survey completed by Izzy and closing ticket-New Item :7360-4010-9090 New Serial Number :57-60595315 Old Item :7360-4010-9090 Old Serial Number :57-60595315</t>
  </si>
  <si>
    <t>2026-01-04T19:48:58.000Z</t>
  </si>
  <si>
    <t>57-60595331</t>
  </si>
  <si>
    <t>2026-01-04T09:44:00.000Z</t>
  </si>
  <si>
    <t>2026-01-04T15:44:00.000Z</t>
  </si>
  <si>
    <t>2026-01-04T13:30:00.000Z</t>
  </si>
  <si>
    <t>2026-01-04T19:30:00.000Z</t>
  </si>
  <si>
    <t>2026-01-03T20:10:38.000Z</t>
  </si>
  <si>
    <t>2026-01-04T02:10:38.000Z</t>
  </si>
  <si>
    <t>CUSTOMER INDUCED DAMAGE</t>
  </si>
  <si>
    <t>physical damage</t>
  </si>
  <si>
    <t>2026-01-04T13:33:33.000Z</t>
  </si>
  <si>
    <t>arrived on site and spoke with Peggy. after installed new part and tested</t>
  </si>
  <si>
    <t>New Item :7360-4010-9090 New Serial Number :57-60595331 Old Item :7360-4010-9090 Old Serial Number :57-60595331</t>
  </si>
  <si>
    <t>2026-01-04T13:33:34.000Z</t>
  </si>
  <si>
    <t>SCO 12 has a broken note box  [Generated by Portal Login: besa14 Contact: Sabrina Bechtel 715-498-6611 ftfmsupport@rdspos.com]</t>
  </si>
  <si>
    <t>2026-01-03T20:15:50.000Z</t>
  </si>
  <si>
    <t>do not have part needed, waiting for local ce response</t>
  </si>
  <si>
    <t>2026-01-04T09:49:03.000Z</t>
  </si>
  <si>
    <t>SCO 12 has a broken note box  [Generated by Portal Login: besa14 Contact: Sabrina Bechtel 715-498-6611 ftfmsupport@rdspos.com]-CE IS NOW US153C08-do not have part needed, waiting for local ce response-CE IS NOW US153C01-Came with c08 to give him a cash box that was needed for this call. Installed it and is now successfully working again-New Item :7360-4010-9090 New Serial Number :57-60595331 Old Item :7360-4010-9090 Old Serial Number :57-60595315-CEM4041122:defective-physical damage-arrived on site and spoke with Peggy. after installed new part and tested-New Item :7360-4010-9090 New Serial Number :57-60595331 Old Item :7360-4010-9090 Old Serial Number :57-60595331</t>
  </si>
  <si>
    <t>Came with c08 to give him a cash box that was needed for this call. Installed it and is now successfully working again</t>
  </si>
  <si>
    <t>2026-01-04T13:26:37.000Z</t>
  </si>
  <si>
    <t>2025-10-22T20:06:27.000Z</t>
  </si>
  <si>
    <t>2025-10-10T11:23:00.000Z</t>
  </si>
  <si>
    <t>2025-10-10T16:23:00.000Z</t>
  </si>
  <si>
    <t>2025-10-22T14:49:00.000Z</t>
  </si>
  <si>
    <t>2025-10-22T19:49:00.000Z</t>
  </si>
  <si>
    <t>2025-10-09T08:31:51.000Z</t>
  </si>
  <si>
    <t>2025-10-09T13:31:51.000Z</t>
  </si>
  <si>
    <t>2025-10-09T13:31:52.000Z</t>
  </si>
  <si>
    <t>2025-10-09T08:31:52.000Z</t>
  </si>
  <si>
    <t>2025-10-22T13:18:22.000Z</t>
  </si>
  <si>
    <t>The part is was unable to locate the pat. I did the tracking number on the UPS tracking info but it didn't give a location. I went to the address on the ticket, no part. I was able to fix the issue. Adjusted the lock on the outside door and lube the safe door so it would open easier. Tested ok with Jeremy</t>
  </si>
  <si>
    <t>2025-10-22T14:50:50.000Z</t>
  </si>
  <si>
    <t>2025-10-22T14:50:53.000Z</t>
  </si>
  <si>
    <t>SCO 17 lock barrels needs to be replaced, customer is requesting  [Generated by Portal Login: besa14 Contact: Sabrina Bechtel 715-498-6611 ftfmsupport@rdspos.com]</t>
  </si>
  <si>
    <t>2025-10-09T08:31:53.000Z</t>
  </si>
  <si>
    <t>2025-10-09T08:32:32.000Z</t>
  </si>
  <si>
    <t>2025-10-09T08:43:59.000Z</t>
  </si>
  <si>
    <t>SCO 17 lock barrels needs to be replaced, customer is requesting  [Generated by Portal Login: besa14 Contact: Sabrina Bechtel 715-498-6611 ftfmsupport@rdspos.com]-CE IS NOW US153R71-CE WAS US153R71-CE IS NOW US153R74-CE WAS US153R74-CE IS NOW US153R84-CE IS NOW US153R84-bottom pin on security door is extremely tight. requires a large amount of force to turn the lock and open the door. ordering new door.-LOM order processing, Part has been Ordered , Remedy Id 000000014884445 - (Next Day) by Agent Auto VIP P000-Oracle Order Shipped for Remedy Id: U018772152, Order/Receipt # 181768306, Ordered Part 4970519381, Part Description - KIT BULK ACCESS SECURITY DOOR, Shipment/Receipt #2111198398, Part has been Shipped, Qty 1, Priority OVERNIGHT, Shipping Method UPS-Air-Next Day Air, BOL/Job 1ZH92Y054401701365, Source Location PTC AVL-CE IS NOW US153R74-Part was already picked up by someone else.-CE WAS US153R74-CE IS NOW US153R84-LOM order processing, Part has been Ordered , Remedy Id FSC5369522 - (Next Day) by Agent mz185097-Oracle Order Shipped for Remedy Id: U018778359, Order/Receipt # 181784909, Ordered Part 4970519381, Part Description - KIT BULK ACCESS SECURITY DOOR, Shipment/Receipt #2111380242, Part has been Shipped, Qty 1, Priority OVERNIGHT, Shipping Method UPS-Air-Next Day Air Saver, BOL/Job 1ZH92Y051301744243, Source Location PTC AVL-CE WAS US153R84-CE IS NOW US153R73-CE IS NOW US153R73-The part is was unable to locate the pat. I did the tracking number on the UPS tracking info but it didn't give a location. I went to the address on the ticket, no part. I was able to fix the issue. Adjusted the lock on the outside door and lube the safe door so it would open easier. Tested ok with Jeremy-New Item :7360-4010-9090 New Serial Number :57-60590106 Old Item :7360-4010-9090 Old Serial Number :57-60590106</t>
  </si>
  <si>
    <t>2026-06-27T18:22:02.000Z</t>
  </si>
  <si>
    <t>2026-06-27T12:56:00.000Z</t>
  </si>
  <si>
    <t>2026-06-27T17:56:00.000Z</t>
  </si>
  <si>
    <t>2026-06-27T13:06:00.000Z</t>
  </si>
  <si>
    <t>2026-06-27T18:06:00.000Z</t>
  </si>
  <si>
    <t>2026-06-25T14:23:58.000Z</t>
  </si>
  <si>
    <t>2026-06-25T19:23:58.000Z</t>
  </si>
  <si>
    <t>2026-06-27T09:33:45.000Z</t>
  </si>
  <si>
    <t>took out 10c paper rap out and tested with Alexandria good to go</t>
  </si>
  <si>
    <t>2026-06-27T13:07:19.000Z</t>
  </si>
  <si>
    <t>2026-06-27T13:07:22.000Z</t>
  </si>
  <si>
    <t>SCO11 has a Coin recycler error-Transfer path jammed   [Generated by Portal Login: most14 Contact: Staci Mowder 2694689716 FTFMSupport@rdspos.com]</t>
  </si>
  <si>
    <t>2026-06-25T14:24:18.000Z</t>
  </si>
  <si>
    <t>2026-06-26T19:07:59.000Z</t>
  </si>
  <si>
    <t>SCO11 has a Coin recycler error-Transfer path jammed   [Generated by Portal Login: most14 Contact: Staci Mowder 2694689716 FTFMSupport@rdspos.com]-CE IS NOW US153C05-CE WAS US153C05-CE IS NOW US153C14-CE WAS US153C14-CE IS NOW US153C07-took out 10c paper rap out and tested with Alexandria good to go-New Item :7360-4010-9090 New Serial Number :57-60587767 Old Item :7360-4010-9090 Old Serial Number :57-60587767</t>
  </si>
  <si>
    <t>2026-03-24T20:07:40.000Z</t>
  </si>
  <si>
    <t>57-60588452</t>
  </si>
  <si>
    <t>2026-03-24T13:45:00.000Z</t>
  </si>
  <si>
    <t>2026-03-24T18:45:00.000Z</t>
  </si>
  <si>
    <t>DAVENPORT</t>
  </si>
  <si>
    <t>2026-03-24T14:51:00.000Z</t>
  </si>
  <si>
    <t>2026-03-24T19:51:00.000Z</t>
  </si>
  <si>
    <t>CB250517</t>
  </si>
  <si>
    <t>MEIJER/FRESH THYME #968</t>
  </si>
  <si>
    <t>2026-03-24T10:26:49.000Z</t>
  </si>
  <si>
    <t>2026-03-24T15:26:49.000Z</t>
  </si>
  <si>
    <t>H400-0160-0000</t>
  </si>
  <si>
    <t>Davenport IA</t>
  </si>
  <si>
    <t>CE IS NOW US153R58</t>
  </si>
  <si>
    <t>2026-03-24T13:44:56.000Z</t>
  </si>
  <si>
    <t>*This is the same day as when this task was suspended* Arrived on site and the sco was making a error noise. I thought it was the active coin cash box because the gear was harder to move. I didnt know if had one so I suspended it but then realized I had one. I tried swapping it out and it didnt work, it was giving the same error. I called guru and they gave me instructions to take off didrent things and check for jams. I removed the validator and there was a bunch of coins jammed. I fixed the jam and the belt started moving freely. I showed the manager Treena what happened and she was happy that it was fixed</t>
  </si>
  <si>
    <t>2026-03-24T14:51:58.000Z</t>
  </si>
  <si>
    <t>New Item :7360-4010-9090 New Serial Number :57-60588452 Old Item :7360-4010-9090 Old Serial Number :57-60588452</t>
  </si>
  <si>
    <t>2026-03-24T14:52:00.000Z</t>
  </si>
  <si>
    <t>SCO 12 has a coin recycler error transfer motor jam error code 16-6-0-99-67074  [Generated by Portal Login: besa14 Contact: Sabrina Bechtel 715-498-6611 ftfmsupport@rdspos.com]</t>
  </si>
  <si>
    <t>2026-03-24T10:26:50.000Z</t>
  </si>
  <si>
    <t>CE IS NOW US153R56</t>
  </si>
  <si>
    <t>2026-03-24T10:35:44.000Z</t>
  </si>
  <si>
    <t>CE WAS US153R56</t>
  </si>
  <si>
    <t>2026-03-24T11:35:43.000Z</t>
  </si>
  <si>
    <t>SCO 12 has a coin recycler error transfer motor jam error code 16-6-0-99-67074  [Generated by Portal Login: besa14 Contact: Sabrina Bechtel 715-498-6611 ftfmsupport@rdspos.com]-CE IS NOW US153R56-CE WAS US153R56-CE IS NOW US153R58-Cash box wont spin and gets locked up everytime I try to reset the coin side. Im ordering pn 4970533870-CE IS NOW US153R58-*This is the same day as when this task was suspended* Arrived on site and the sco was making a error noise. I thought it was the active coin cash box because the gear was harder to move. I didnt know if had one so I suspended it but then realized I had one. I tried swapping it out and it didnt work, it was giving the same error. I called guru and they gave me instructions to take off didrent things and check for jams. I removed the validator and there was a bunch of coins jammed. I fixed the jam and the belt started moving freely. I showed the manager Treena what happened and she was happy that it was fixed-New Item :7360-4010-9090 New Serial Number :57-60588452 Old Item :7360-4010-9090 Old Serial Number :57-60588452</t>
  </si>
  <si>
    <t>2026-07-01T19:56:00.000Z</t>
  </si>
  <si>
    <t>57-60591640</t>
  </si>
  <si>
    <t>2026-07-01T14:21:00.000Z</t>
  </si>
  <si>
    <t>2026-07-01T18:21:00.000Z</t>
  </si>
  <si>
    <t>2026-07-01T15:40:00.000Z</t>
  </si>
  <si>
    <t>2026-07-01T19:40:00.000Z</t>
  </si>
  <si>
    <t>2026-07-01T13:36:32.000Z</t>
  </si>
  <si>
    <t>2026-07-01T17:36:32.000Z</t>
  </si>
  <si>
    <t>2026-07-01T17:36:33.000Z</t>
  </si>
  <si>
    <t>2026-07-01T13:36:33.000Z</t>
  </si>
  <si>
    <t>7932-1475-9898</t>
  </si>
  <si>
    <t>manual debris flap lifter handle broken</t>
  </si>
  <si>
    <t>2026-07-01T15:40:36.000Z</t>
  </si>
  <si>
    <t>manual debris flap lifter handle broken off. picked up a new one from FSL and replaced. added in pml and tested working</t>
  </si>
  <si>
    <t>New Item :7360-4010-9090 New Serial Number :57-60591640 Old Item :7360-4010-9090 Old Serial Number :57-60591648</t>
  </si>
  <si>
    <t>2026-07-01T15:40:37.000Z</t>
  </si>
  <si>
    <t>Latch to access coin sorter is broken  [Generated by Portal Login: coas14 Contact: Ashley Cooper 3092131564 ftfmsupport@rdspos.com]</t>
  </si>
  <si>
    <t>CE IS NOW US133B45</t>
  </si>
  <si>
    <t>2026-07-01T13:37:51.000Z</t>
  </si>
  <si>
    <t>CE WAS US133B45</t>
  </si>
  <si>
    <t>2026-07-01T13:39:55.000Z</t>
  </si>
  <si>
    <t>Latch to access coin sorter is broken  [Generated by Portal Login: coas14 Contact: Ashley Cooper 3092131564 ftfmsupport@rdspos.com]-CE IS NOW US133B45-CE WAS US133B45-CE IS NOW US133B47-CE IS NOW US133B47-LOM order processing, Part has been Ordered , Remedy Id 000000015074346 - (Pick Up)MI, Grand Rapids- Disruptionby Agent Auto CE pickup-Oracle Order Shipped for Remedy Id: U018953511, Order/Receipt # 182388079, Ordered Part 4970526620, Part Description - Crane  Xchange Validator Type A (Service Part), Shipment/Receipt #2119559844, Part has been Shipped, Qty 1, Priority NFO, Shipping Method CE Pickup After Hours, BOL/Job NA, Source Location UFF USFGRR1G-CEM4313329:missing green cover on top-manual debris flap lifter handle broken-manual debris flap lifter handle broken off. picked up a new one from FSL and replaced. added in pml and tested working-New Item :7360-4010-9090 New Serial Number :57-60591640 Old Item :7360-4010-9090 Old Serial Number :57-60591648</t>
  </si>
  <si>
    <t>2026-05-20T18:01:07.000Z</t>
  </si>
  <si>
    <t>2026-05-20T11:57:00.000Z</t>
  </si>
  <si>
    <t>2026-05-20T16:57:00.000Z</t>
  </si>
  <si>
    <t>2026-05-20T12:45:00.000Z</t>
  </si>
  <si>
    <t>2026-05-20T17:45:00.000Z</t>
  </si>
  <si>
    <t>PD185171</t>
  </si>
  <si>
    <t>2026-05-19T16:00:30.000Z</t>
  </si>
  <si>
    <t>2026-05-19T21:00:30.000Z</t>
  </si>
  <si>
    <t>Arrived on site and tested self-checkout number 13. The coupon slot is broken physical damage. removed old screwi and mount coupon slot.  After that tested works fine.</t>
  </si>
  <si>
    <t>2026-05-20T12:46:32.000Z</t>
  </si>
  <si>
    <t>2026-05-20T12:46:33.000Z</t>
  </si>
  <si>
    <t>Piece from Coupon slot broke off on SCO13.  [Generated by Portal Login: most14 Contact: Staci Mowder 3096133038 FTFMSupport@rdspos.com]</t>
  </si>
  <si>
    <t>2026-05-19T16:00:31.000Z</t>
  </si>
  <si>
    <t>2026-05-19T16:03:21.000Z</t>
  </si>
  <si>
    <t>2026-05-19T18:36:00.000Z</t>
  </si>
  <si>
    <t>Piece from Coupon slot broke off on SCO13.  [Generated by Portal Login: most14 Contact: Staci Mowder 3096133038 FTFMSupport@rdspos.com]-CE IS NOW US153C13-CE WAS US153C13-CE IS NOW US153C05-CE IS NOW US153C05-CE WAS US153C05-CE IS NOW US153C18-Arrived on site and tested self-checkout number 13. The coupon slot is broken physical damage. removed old screwi and mount coupon slot.  After that tested works fine.-Arrived on site and tested self-checkout number 13. The coupon slot is broken physical damage. removed old screwi and mount coupon slot.  After that tested works fine.-New Item :7360-4010-9090 New Serial Number :57-60595336 Old Item :7360-4010-9090 Old Serial Number :57-60595336</t>
  </si>
  <si>
    <t>2025-10-07T01:20:16.000Z</t>
  </si>
  <si>
    <t>57-60590113</t>
  </si>
  <si>
    <t>2025-10-05T21:00:00.000Z</t>
  </si>
  <si>
    <t>2025-10-06T02:00:00.000Z</t>
  </si>
  <si>
    <t>2025-10-06T20:06:00.000Z</t>
  </si>
  <si>
    <t>2025-10-07T01:06:00.000Z</t>
  </si>
  <si>
    <t>2025-10-04T15:07:53.000Z</t>
  </si>
  <si>
    <t>2025-10-04T20:07:53.000Z</t>
  </si>
  <si>
    <t>CEM3904102:bvin sensor error wont clear</t>
  </si>
  <si>
    <t>2025-10-06T20:07:59.000Z</t>
  </si>
  <si>
    <t>arrived onsite with new part, loaded into pml to verify issue, replaced top mod, tested with mod, no other issues found</t>
  </si>
  <si>
    <t>New Item :7360-4010-9090 New Serial Number :57-60590113 Old Item :7360-4010-9090 Old Serial Number :57-60591306</t>
  </si>
  <si>
    <t>2025-10-06T20:08:01.000Z</t>
  </si>
  <si>
    <t>Note Recycler Error - Jam in Top Module 15-9-0-5-62981  [Generated by Portal Login: repa14 Contact: Patrick Reeves 3092411908 ftfmsupport@rdspos.com]</t>
  </si>
  <si>
    <t>2025-10-04T15:09:56.000Z</t>
  </si>
  <si>
    <t>2025-10-05T08:23:33.000Z</t>
  </si>
  <si>
    <t>Note Recycler Error - Jam in Top Module 15-9-0-5-62981  [Generated by Portal Login: repa14 Contact: Patrick Reeves 3092411908 ftfmsupport@rdspos.com]-CE IS NOW US153N62-CE WAS US153N62-CE IS NOW US153N72-CE WAS US153N72-CE IS NOW US153N63-unresolvable bvin sensor error. ordering top module.-LOM order processing, Part has been Ordered , Remedy Id 000000014880304 - (Next Day) by Agent VIP HOLD-Oracle Order Shipped for Remedy Id: U018768395, Order/Receipt # 181751144, Ordered Part 4970522696, Part Description - Service Part, GSR50 Bunch Acceptor (Top Module), Turtle Legs, w/o Bill Validation Kit with Bezel (Individual Pack), Shipment/Receipt #2111090188, Part has been Shipped, Qty 1, Priority OVERNIGHT, Shipping Method UPS-Air-Next Day Air Saver, BOL/Job 1ZH92Y061300524187, Source Location UFF USFHSV1G-CE IS NOW US153N79-CEM3904102:bvin sensor error wont clear-arrived onsite with new part, loaded into pml to verify issue, replaced top mod, tested with mod, no other issues found-New Item :7360-4010-9090 New Serial Number :57-60590113 Old Item :7360-4010-9090 Old Serial Number :57-60591306</t>
  </si>
  <si>
    <t>2026-01-24T23:35:00.000Z</t>
  </si>
  <si>
    <t>2026-01-23T19:56:00.000Z</t>
  </si>
  <si>
    <t>2026-01-24T01:56:00.000Z</t>
  </si>
  <si>
    <t>2026-01-24T17:19:00.000Z</t>
  </si>
  <si>
    <t>2026-01-24T23:19:00.000Z</t>
  </si>
  <si>
    <t>2026-01-23T15:56:51.000Z</t>
  </si>
  <si>
    <t>2026-01-23T21:56:51.000Z</t>
  </si>
  <si>
    <t>2026-01-23T21:56:52.000Z</t>
  </si>
  <si>
    <t>2026-01-23T15:56:52.000Z</t>
  </si>
  <si>
    <t>CEM3803650:Defective</t>
  </si>
  <si>
    <t>2026-01-24T17:21:21.000Z</t>
  </si>
  <si>
    <t>The Validator sensors are compromised and could not validate pennies. The replacement Validator installed, SCO rebooted,  Firmware passed  during CADD, and Manager Rob tested and verified newly installed Validator recognized  all coin denominations including the pennies. Task closed.</t>
  </si>
  <si>
    <t>2026-01-24T17:21:23.000Z</t>
  </si>
  <si>
    <t>Getting a coin recycler error-calibration error and Coin acceptor spitting pennies back out on SCO14   [Generated by Portal Login: most14 Contact: Staci Mowder 3096133038 ftfmsupport@rdspos.com]</t>
  </si>
  <si>
    <t>2026-01-23T16:06:08.000Z</t>
  </si>
  <si>
    <t>The Crane Xchange Validator is not accepting pennies. Sensors were cleaned the issue of accepting pennies persisted. The Validator requires replacement. Task closed, part ordered.</t>
  </si>
  <si>
    <t>2026-01-23T20:52:58.000Z</t>
  </si>
  <si>
    <t>Getting a coin recycler error-calibration error and Coin acceptor spitting pennies back out on SCO14   [Generated by Portal Login: most14 Contact: Staci Mowder 3096133038 ftfmsupport@rdspos.com]-CE IS NOW US153R70-The Crane Xchange Validator is not accepting pennies. Sensors were cleaned the issue of accepting pennies persisted. The Validator requires replacement. Task closed, part ordered.-LOM order processing, Part has been Ordered , Remedy Id 000000014965311 - (Pick Up)MN, Arden Hillsby Agent Auto CE pickup-Oracle Order Shipped for Remedy Id: U018851944, Order/Receipt # 182021545, Ordered Part 4970526620, Part Description - Crane Xchange Validator Type A (Service Part), Shipment/Receipt #2116467789, Part has been Shipped, Qty 1, Priority NFO, Shipping Method CE Pickup After Hours, BOL/Job NA, Source Location UFF USFMSP1G-CEM3803650:Defective-The Validator sensors are compromised and could not validate pennies. The replacement Validator installed, SCO rebooted,  Firmware passed  during CADD, and Manager Rob tested and verified newly installed Validator recognized  all coin denominations including the pennies. Task closed.-New Item :7360-4010-9090 New Serial Number :57-60590093 Old Item :7360-4010-9090 Old Serial Number :57-60590093</t>
  </si>
  <si>
    <t>2026-01-29T20:03:26.000Z</t>
  </si>
  <si>
    <t>2026-01-29T13:48:00.000Z</t>
  </si>
  <si>
    <t>2026-01-29T19:48:00.000Z</t>
  </si>
  <si>
    <t>2026-01-29T13:49:00.000Z</t>
  </si>
  <si>
    <t>2026-01-29T19:49:00.000Z</t>
  </si>
  <si>
    <t>2026-01-27T08:27:04.000Z</t>
  </si>
  <si>
    <t>2026-01-27T14:27:04.000Z</t>
  </si>
  <si>
    <t>2026-01-27T14:27:05.000Z</t>
  </si>
  <si>
    <t>2026-01-27T08:27:05.000Z</t>
  </si>
  <si>
    <t>CEM4120991:used light</t>
  </si>
  <si>
    <t>2026-01-29T13:51:06.000Z</t>
  </si>
  <si>
    <t>2026-01-29T13:51:07.000Z</t>
  </si>
  <si>
    <t>2026-01-29T13:51:09.000Z</t>
  </si>
  <si>
    <t>SCO 15 Tri-Light Dead   [Generated by Portal Login: most14 Contact: Staci Mowder 3096133038 ftfmsupport@rdspos.com]</t>
  </si>
  <si>
    <t>2026-01-27T08:27:06.000Z</t>
  </si>
  <si>
    <t>2026-01-27T08:28:07.000Z</t>
  </si>
  <si>
    <t>LOM order processing, Part has been Ordered , Remedy Id FSC5487552 - (Same Day) by Agent te185055</t>
  </si>
  <si>
    <t>2026-01-27T11:34:53.000Z</t>
  </si>
  <si>
    <t>SCO 15 Tri-Light Dead   [Generated by Portal Login: most14 Contact: Staci Mowder 3096133038 ftfmsupport@rdspos.com]-CE IS NOW US153C07-LOM order processing, Part has been Ordered , Remedy Id FSC5487552 - (Same Day) by Agent te185055-Oracle Order Shipped for Remedy Id: U018853447, Order/Receipt # 182028617, Ordered Part 4970525295, Part Description - KIT - R6 TRI-LIGHT W/IP CAMERA, Shipment/Receipt #2116577250, Part has been Shipped, Qty 1, Priority OVERNIGHT, Shipping Method UPS-Air-Next Day Air Saver, BOL/Job 1ZH92Y051302309453, Source Location PTC AVL-CEM4120991:used light-replace Twilight and test it with Nathaniel-New Item :7360-4010-9090 New Serial Number :57-60590079 Old Item :7360-4010-9090 Old Serial Number :57-60590079</t>
  </si>
  <si>
    <t>2026-05-07T20:55:11.000Z</t>
  </si>
  <si>
    <t>2026-05-07T15:13:00.000Z</t>
  </si>
  <si>
    <t>2026-05-07T20:13:00.000Z</t>
  </si>
  <si>
    <t>2026-05-07T15:35:00.000Z</t>
  </si>
  <si>
    <t>2026-05-07T20:35:00.000Z</t>
  </si>
  <si>
    <t>2026-05-07T14:07:49.000Z</t>
  </si>
  <si>
    <t>2026-05-07T19:07:49.000Z</t>
  </si>
  <si>
    <t>rolled up paper causing a printer Jam. winter roller freed of paper and now work as expected.</t>
  </si>
  <si>
    <t>2026-05-07T15:37:38.000Z</t>
  </si>
  <si>
    <t>original register 14 was having printer jam issues. on examination found the advanced roller was totally jammed up with paper from past receipts. physically remove the paper around the roller and configure the printer. rebooted the register and did so successfully. produced a test receipt. verified by checkout lead Emily.</t>
  </si>
  <si>
    <t>2026-05-07T15:37:39.000Z</t>
  </si>
  <si>
    <t>SCO 14 has a printer jammed error 0-0-0-111-10156 SCO is unusable [Generated by Portal Login: besa14 Contact: Sabrina Bechtel 715-498-6611 ftfmsupport@rdspos.com]</t>
  </si>
  <si>
    <t>2026-05-07T14:07:50.000Z</t>
  </si>
  <si>
    <t>CE IS NOW US153R20</t>
  </si>
  <si>
    <t>2026-05-07T14:11:48.000Z</t>
  </si>
  <si>
    <t>CE WAS US153R20</t>
  </si>
  <si>
    <t>2026-05-07T14:48:52.000Z</t>
  </si>
  <si>
    <t>SCO 14 has a printer jammed error 0-0-0-111-10156 SCO is unusable [Generated by Portal Login: besa14 Contact: Sabrina Bechtel 715-498-6611 ftfmsupport@rdspos.com]-CE IS NOW US153R20-CE WAS US153R20-CE IS NOW US153R25-rolled up paper causing a printer Jam. winter roller freed of paper and now work as expected.-original register 14 was having printer jam issues. on examination found the advanced roller was totally jammed up with paper from past receipts. physically remove the paper around the roller and configure the printer. rebooted the register and did so successfully. produced a test receipt. verified by checkout lead Emily.-New Item :7360-4010-9090 New Serial Number :57-60591328 Old Item :7360-4010-9090 Old Serial Number :57-60591328</t>
  </si>
  <si>
    <t>2026-05-13T01:43:49.000Z</t>
  </si>
  <si>
    <t>sco</t>
  </si>
  <si>
    <t>8PQY</t>
  </si>
  <si>
    <t>2026-05-12T19:54:00.000Z</t>
  </si>
  <si>
    <t>2026-05-13T00:54:00.000Z</t>
  </si>
  <si>
    <t>2026-05-12T20:25:00.000Z</t>
  </si>
  <si>
    <t>2026-05-13T01:25:00.000Z</t>
  </si>
  <si>
    <t>2026-05-12T14:53:56.000Z</t>
  </si>
  <si>
    <t>2026-05-12T19:53:56.000Z</t>
  </si>
  <si>
    <t>New Item :7360-4010-9090 New Serial Number :sco Old Item :7360-4010-9090 Old Serial Number :57-60591332</t>
  </si>
  <si>
    <t>2026-05-12T20:26:46.000Z</t>
  </si>
  <si>
    <t>SCO 12 has a coin recycler error exit cup path jammed error code 16-6-0-99-524550 Same exact error, second day in a row. Please fully inspect this unit.  [Generated by Portal Login: besa14 Contact: Sabrina Bechtel 715-498-6611 ftfmsupport@rdspos.com]</t>
  </si>
  <si>
    <t>2026-05-12T14:53:57.000Z</t>
  </si>
  <si>
    <t>2026-05-12T14:59:06.000Z</t>
  </si>
  <si>
    <t>got this site and remove the coins that was causing the tracks to get stuck and also recalibrated the wake up sensor to get the self checkout back working normally</t>
  </si>
  <si>
    <t>2026-05-12T20:26:44.000Z</t>
  </si>
  <si>
    <t>SCO 12 has a coin recycler error exit cup path jammed error code 16-6-0-99-524550 Same exact error, second day in a row. Please fully inspect this unit.  [Generated by Portal Login: besa14 Contact: Sabrina Bechtel 715-498-6611 ftfmsupport@rdspos.com]-CE IS NOW US153R10-got this site and remove the coins that was causing the tracks to get stuck and also recalibrated the wake up sensor to get the self checkout back working normally-New Item :7360-4010-9090 New Serial Number :sco Old Item :7360-4010-9090 Old Serial Number :57-60591332</t>
  </si>
  <si>
    <t>2026-06-28T12:42:46.000Z</t>
  </si>
  <si>
    <t>2026-06-28T08:07:00.000Z</t>
  </si>
  <si>
    <t>2026-06-28T12:07:00.000Z</t>
  </si>
  <si>
    <t>2026-06-28T08:25:00.000Z</t>
  </si>
  <si>
    <t>2026-06-28T12:25:00.000Z</t>
  </si>
  <si>
    <t>2026-06-27T20:49:11.000Z</t>
  </si>
  <si>
    <t>2026-06-28T00:49:11.000Z</t>
  </si>
  <si>
    <t>I had to replace the broken cash box on the note recycler unit for the self checkout unit at the fresh thyme store. I tested the unit and confirm that it's working properly at this time with no issues</t>
  </si>
  <si>
    <t>2026-06-28T08:26:16.000Z</t>
  </si>
  <si>
    <t>2026-06-28T08:26:18.000Z</t>
  </si>
  <si>
    <t>Notebox is broken, SCO  will not accept any notes  [Generated by Portal Login: coas14 Contact: Ashley Cooper 3092131564 ftfmsupport@rdspos.com]</t>
  </si>
  <si>
    <t>2026-06-27T20:58:20.000Z</t>
  </si>
  <si>
    <t>CEM4306479:z</t>
  </si>
  <si>
    <t>2026-06-28T08:23:52.000Z</t>
  </si>
  <si>
    <t>Notebox is broken, SCO  will not accept any notes  [Generated by Portal Login: coas14 Contact: Ashley Cooper 3092131564 ftfmsupport@rdspos.com]-CE IS NOW US133E62-CEM4306479:z-I had to replace the broken cash box on the note recycler unit for the self checkout unit at the fresh thyme store. I tested the unit and confirm that it's working properly at this time with no issues-New Item :7360-4010-9090 New Serial Number :57-60591390 Old Item :7360-4010-9090 Old Serial Number :57-60591393</t>
  </si>
  <si>
    <t>2025-12-01T00:25:55.000Z</t>
  </si>
  <si>
    <t>2025-11-26T19:11:00.000Z</t>
  </si>
  <si>
    <t>2025-11-27T01:11:00.000Z</t>
  </si>
  <si>
    <t>2025-11-30T18:12:00.000Z</t>
  </si>
  <si>
    <t>2025-12-01T00:12:00.000Z</t>
  </si>
  <si>
    <t>BS185190</t>
  </si>
  <si>
    <t>2025-11-26T08:40:10.000Z</t>
  </si>
  <si>
    <t>2025-11-26T14:40:10.000Z</t>
  </si>
  <si>
    <t>2025-11-26T14:40:13.000Z</t>
  </si>
  <si>
    <t>2025-11-26T08:40:13.000Z</t>
  </si>
  <si>
    <t>â—â—â—I replaced the door. Tested devices. All good. Mgr Ashley.</t>
  </si>
  <si>
    <t>2025-11-30T18:13:16.000Z</t>
  </si>
  <si>
    <t>2025-11-30T18:13:18.000Z</t>
  </si>
  <si>
    <t>2025-11-30T18:13:19.000Z</t>
  </si>
  <si>
    <t>Coupon slot is hanging off and the screw on it is broken  [Generated by Portal Login: coas14 Contact: Ashley  309-213-1564 ftfmsupport@rdspos.com]</t>
  </si>
  <si>
    <t>CE IS NOW US153R74</t>
  </si>
  <si>
    <t>2025-11-26T08:45:50.000Z</t>
  </si>
  <si>
    <t>Have to order new outer door for the sco. Coupon shut broke off off door right where it screws into it.</t>
  </si>
  <si>
    <t>2025-11-26T19:22:00.000Z</t>
  </si>
  <si>
    <t>Coupon slot is hanging off and the screw on it is broken  [Generated by Portal Login: coas14 Contact: Ashley  309-213-1564 ftfmsupport@rdspos.com]-CE IS NOW US153R74-Have to order new outer door for the sco. Coupon shut broke off off door right where it screws into it.-LOM order processing, Part has been Ordered , Remedy Id 000000014923374 - (Pick Up)MN, Arden Hillsby Agent Auto CE pickup-Oracle Order Shipped for Remedy Id: U018811134, Order/Receipt # 181889184, Ordered Part 4970527925, Part Description - SERVICE ASSEMBLY - COSMETIC DOOR - KIT, Shipment/Receipt #2112314357, Part has been Shipped, Qty 1, Priority NFO, Shipping Method CE Pickup After Hours, BOL/Job NA, Source Location UFF USFMSP1G-CE WAS US153R74-CE IS NOW US153R77-CE IS NOW US153R77-CE WAS US153R77-CE IS NOW US153C17-Parts not available for pick up at ESL-CE IS NOW US153R77-???Part Recieved. Runnable.-???I replaced the door. Tested devices. All good. Mgr Ashley.-???I replaced the door. Tested devices. All good. Mgr Ashley.-New Item :7360-4010-9090 New Serial Number :57-60590106 Old Item :7360-4010-9090 Old Serial Number :57-60590106</t>
  </si>
  <si>
    <t>2026-01-06T20:52:21.000Z</t>
  </si>
  <si>
    <t>57-60587804</t>
  </si>
  <si>
    <t>2026-01-06T14:39:00.000Z</t>
  </si>
  <si>
    <t>2026-01-06T19:39:00.000Z</t>
  </si>
  <si>
    <t>2026-01-06T15:40:00.000Z</t>
  </si>
  <si>
    <t>2026-01-06T20:40:00.000Z</t>
  </si>
  <si>
    <t>2026-01-06T13:01:35.000Z</t>
  </si>
  <si>
    <t>2026-01-06T18:01:35.000Z</t>
  </si>
  <si>
    <t>2026-01-06T18:01:38.000Z</t>
  </si>
  <si>
    <t>2026-01-06T13:01:38.000Z</t>
  </si>
  <si>
    <t>7988-9770-9898</t>
  </si>
  <si>
    <t>New Item :7360-4010-9090 New Serial Number :57-60587804 Old Item :7360-4010-9090 Old Serial Number :57-60587826</t>
  </si>
  <si>
    <t>2026-01-06T15:40:21.000Z</t>
  </si>
  <si>
    <t>SCO 13's battery back up is dead, SCO will not power on and is unusable  [Generated by Portal Login: besa14 Contact: Sabrina Bechtel 715-498-6611 ftfmsupport@rdspos.com]</t>
  </si>
  <si>
    <t>2026-01-06T13:02:08.000Z</t>
  </si>
  <si>
    <t>replaced defective ups, secure cable connection and reboot terminal. tested successfully by customers and reported to mod Ben</t>
  </si>
  <si>
    <t>2026-01-06T15:40:19.000Z</t>
  </si>
  <si>
    <t>SCO 13's battery back up is dead, SCO will not power on and is unusable  [Generated by Portal Login: besa14 Contact: Sabrina Bechtel 715-498-6611 ftfmsupport@rdspos.com]-CE IS NOW US133U12-replaced defective ups, secure cable connection and reboot terminal. tested successfully by customers and reported to mod Ben-New Item :7360-4010-9090 New Serial Number :57-60587804 Old Item :7360-4010-9090 Old Serial Number :57-60587826</t>
  </si>
  <si>
    <t>2026-01-08T23:46:30.000Z</t>
  </si>
  <si>
    <t>2026-01-07T08:45:00.000Z</t>
  </si>
  <si>
    <t>2026-01-07T14:45:00.000Z</t>
  </si>
  <si>
    <t>2026-01-08T17:29:00.000Z</t>
  </si>
  <si>
    <t>2026-01-08T23:29:00.000Z</t>
  </si>
  <si>
    <t>Active Coinbox is damaged</t>
  </si>
  <si>
    <t>2026-01-06T18:07:52.000Z</t>
  </si>
  <si>
    <t>2026-01-07T00:07:52.000Z</t>
  </si>
  <si>
    <t>CEM4053924:part defective</t>
  </si>
  <si>
    <t>2026-01-08T17:30:39.000Z</t>
  </si>
  <si>
    <t>Upon arrival spoke with Gilberto. sco 12 had been checked by a previous tech and confirmed a bad active cashbox, swapped cashbox and rebooted register to run add. Coins remained in old cashbox, it had been opened previously so just opened it to remove coins then put it back together. Reported fix to Gilberto.</t>
  </si>
  <si>
    <t>2026-01-08T17:30:41.000Z</t>
  </si>
  <si>
    <t>SCO12 has a Coin recycler error - Coin box motor jammed  [Generated by Portal Login: most14 Contact: Staci Mowder 3096133038 ftfmsupport@rdspos.com]</t>
  </si>
  <si>
    <t>2026-01-06T18:09:29.000Z</t>
  </si>
  <si>
    <t>2026-01-07T05:05:11.000Z</t>
  </si>
  <si>
    <t>SCO12 has a Coin recycler error - Coin box motor jammed  [Generated by Portal Login: most14 Contact: Staci Mowder 3096133038 ftfmsupport@rdspos.com]-CE IS NOW US153C15-CE WAS US153C15-CE IS NOW US153C04-CE IS NOW US153C04-Heading to UPS to process parts, will then head to site-Troubleshooted and found two quarters inside the Active Coinbox. During a transaction Active Cashbox was making a grinding sound. After more extensive troubleshooting, found that Active Coinbox is damaged. Tried to repair, however unable to due to damaged gears and inner components. Will need to order Active Coinbox. Part# 4970533870-LOM order processing, Part has been Ordered , Remedy Id FSC5466247 - (Next Day) by Agent mz185097-Oracle Order Shipped for Remedy Id: U018839702, Order/Receipt # 181981323, Ordered Part 4970533870, Part Description - CR5000 Active Cashbox Type A (non-dissipative trac, Shipment/Receipt #2115110492, Part has been Shipped, Qty 1, Priority OVERNIGHT, Shipping Method UPS-Air-Next Day Air Saver, BOL/Job 1ZH92Y051302208580, Source Location PTC AVL-CE IS NOW US153C15-CEM4053924:part defective-Upon arrival spoke with Gilberto. sco 12 had been checked by a previous tech and confirmed a bad active cashbox, swapped cashbox and rebooted register to run add. Coins remained in old cashbox, it had been opened previously so just opened it to remove coins then put it back together. Reported fix to Gilberto.-New Item :7360-4010-9090 New Serial Number :57-60588400 Old Item :7360-4010-9090 Old Serial Number :57-60588428</t>
  </si>
  <si>
    <t>2025-10-13T21:49:08.000Z</t>
  </si>
  <si>
    <t>2025-10-13T16:24:00.000Z</t>
  </si>
  <si>
    <t>2025-10-13T21:24:00.000Z</t>
  </si>
  <si>
    <t>2025-10-13T16:34:00.000Z</t>
  </si>
  <si>
    <t>2025-10-13T21:34:00.000Z</t>
  </si>
  <si>
    <t>2025-10-12T14:17:10.000Z</t>
  </si>
  <si>
    <t>2025-10-12T19:17:10.000Z</t>
  </si>
  <si>
    <t>2025-10-12T19:17:11.000Z</t>
  </si>
  <si>
    <t>2025-10-12T14:17:11.000Z</t>
  </si>
  <si>
    <t>CE IS NOW US153N79</t>
  </si>
  <si>
    <t>2025-10-13T14:10:48.000Z</t>
  </si>
  <si>
    <t>arrived onsite, verified issue, loaded sco into pml, cleared jam in 20s casette, tested dispense  and accept functions with mod, no other issues found</t>
  </si>
  <si>
    <t>2025-10-13T16:34:11.000Z</t>
  </si>
  <si>
    <t>2025-10-13T16:34:13.000Z</t>
  </si>
  <si>
    <t>SCO 13 has a note recycler error note jammed at RNCK3 sensor error code 5-9-0-4-63026.   [Generated by Portal Login: besa14 Contact: Sabrina Bechtel 715-498-6611 ftfmsupport@rdspos.com]</t>
  </si>
  <si>
    <t>CE IS NOW US153N76</t>
  </si>
  <si>
    <t>2025-10-12T14:21:18.000Z</t>
  </si>
  <si>
    <t>CE WAS US153N76</t>
  </si>
  <si>
    <t>2025-10-13T13:42:42.000Z</t>
  </si>
  <si>
    <t>SCO 13 has a note recycler error note jammed at RNCK3 sensor error code 5-9-0-4-63026.   [Generated by Portal Login: besa14 Contact: Sabrina Bechtel 715-498-6611 ftfmsupport@rdspos.com]-CE IS NOW US153N76-CE WAS US153N76-CE IS NOW US153N79-CE IS NOW US153N79-arrived onsite, verified issue, loaded sco into pml, cleared jam in 20s casette, tested dispense  and accept functions with mod, no other issues found-New Item :7360-4010-9090 New Serial Number :57-60595319 Old Item :7360-4010-9090 Old Serial Number :57-60591338</t>
  </si>
  <si>
    <t>2026-04-03T23:46:49.000Z</t>
  </si>
  <si>
    <t>2026-04-03T17:49:00.000Z</t>
  </si>
  <si>
    <t>2026-04-03T22:49:00.000Z</t>
  </si>
  <si>
    <t>2026-04-03T18:32:00.000Z</t>
  </si>
  <si>
    <t>2026-04-03T23:32:00.000Z</t>
  </si>
  <si>
    <t>2026-04-03T15:09:46.000Z</t>
  </si>
  <si>
    <t>2026-04-03T20:09:46.000Z</t>
  </si>
  <si>
    <t>19KO</t>
  </si>
  <si>
    <t>19KO-CASH BEING DEPOSITED IN ATM IS NOT OF THE EXPECTED QUALITY OR IS FOLDED OR TORN</t>
  </si>
  <si>
    <t>2026-04-03T20:09:48.000Z</t>
  </si>
  <si>
    <t>2026-04-03T15:09:48.000Z</t>
  </si>
  <si>
    <t>scanned barcode, examined issues, cleared bill jam, cleared error, test good</t>
  </si>
  <si>
    <t>2026-04-03T18:34:31.000Z</t>
  </si>
  <si>
    <t>New Item :7360-4010-9090 New Serial Number :57-60591362 Old Item :7360-4010-9090 Old Serial Number :57-60591365</t>
  </si>
  <si>
    <t>2026-04-03T18:34:32.000Z</t>
  </si>
  <si>
    <t>SCO11 has a Note recycler error - Jam at RTG2 sensor  [Generated by Portal Login: most14 Contact: Staci Mowder 3096133038 ftfmsupport@rdspos.com]</t>
  </si>
  <si>
    <t>2026-04-03T15:13:40.000Z</t>
  </si>
  <si>
    <t>bad bill quality</t>
  </si>
  <si>
    <t>SCO11 has a Note recycler error - Jam at RTG2 sensor  [Generated by Portal Login: most14 Contact: Staci Mowder 3096133038 ftfmsupport@rdspos.com]-CE IS NOW US153R19-bad bill quality-scanned barcode, examined issues, cleared bill jam, cleared error, test good-New Item :7360-4010-9090 New Serial Number :57-60591362 Old Item :7360-4010-9090 Old Serial Number :57-60591365</t>
  </si>
  <si>
    <t>2026-04-30T21:00:09.000Z</t>
  </si>
  <si>
    <t>57-60588409</t>
  </si>
  <si>
    <t>2026-04-30T15:50:00.000Z</t>
  </si>
  <si>
    <t>2026-04-30T19:50:00.000Z</t>
  </si>
  <si>
    <t>2026-04-30T16:45:00.000Z</t>
  </si>
  <si>
    <t>2026-04-30T20:45:00.000Z</t>
  </si>
  <si>
    <t>MEIJER/FRESH THYME #496</t>
  </si>
  <si>
    <t>2026-04-30T12:44:09.000Z</t>
  </si>
  <si>
    <t>2026-04-30T16:44:09.000Z</t>
  </si>
  <si>
    <t>7772-F035</t>
  </si>
  <si>
    <t>2026-04-30T12:49:17.000Z</t>
  </si>
  <si>
    <t>store states sco frose up during dispense ealier in day, blew out dust and cleaned gsr50 sensors, tested, recyclers fully functional, ran add, returned to service</t>
  </si>
  <si>
    <t>2026-04-30T16:46:41.000Z</t>
  </si>
  <si>
    <t>New Item :7360-4010-9090 New Serial Number :57-60588409 Old Item :7360-4010-9090 Old Serial Number :57-60588409</t>
  </si>
  <si>
    <t>2026-04-30T16:46:44.000Z</t>
  </si>
  <si>
    <t>Manager would like SCO13 cleaned out and sensors cleaned   [Generated by Portal Login: most14 Contact: Staci Mowder 3096133038 ftfmsupport@rdspos.com]</t>
  </si>
  <si>
    <t>CE IS NOW US133A16</t>
  </si>
  <si>
    <t>2026-04-30T12:45:38.000Z</t>
  </si>
  <si>
    <t>CE WAS US133A16</t>
  </si>
  <si>
    <t>2026-04-30T12:49:16.000Z</t>
  </si>
  <si>
    <t>Manager would like SCO13 cleaned out and sensors cleaned   [Generated by Portal Login: most14 Contact: Staci Mowder 3096133038 ftfmsupport@rdspos.com]-CE IS NOW US133A16-CE WAS US133A16-CE IS NOW US133A17-store states sco frose up during dispense ealier in day, blew out dust and cleaned gsr50 sensors, tested, recyclers fully functional, ran add, returned to service-New Item :7360-4010-9090 New Serial Number :57-60588409 Old Item :7360-4010-9090 Old Serial Number :57-60588409</t>
  </si>
  <si>
    <t>2026-06-21T15:12:28.000Z</t>
  </si>
  <si>
    <t>57-60588404</t>
  </si>
  <si>
    <t>2026-06-21T10:17:00.000Z</t>
  </si>
  <si>
    <t>2026-06-21T14:17:00.000Z</t>
  </si>
  <si>
    <t>2026-06-21T10:59:00.000Z</t>
  </si>
  <si>
    <t>2026-06-21T14:59:00.000Z</t>
  </si>
  <si>
    <t>JG185445</t>
  </si>
  <si>
    <t>2026-06-20T15:41:10.000Z</t>
  </si>
  <si>
    <t>2026-06-20T19:41:10.000Z</t>
  </si>
  <si>
    <t>Store522</t>
  </si>
  <si>
    <t>New Item :7360-4010-9090 New Serial Number :57-60588404 Old Item :7360-4010-9090 Old Serial Number :57-60588442</t>
  </si>
  <si>
    <t>2026-06-21T10:59:46.000Z</t>
  </si>
  <si>
    <t>SCO11 spitting bills back out after inserting. No errors/red lights  [Generated by Portal Login: most14 Contact: Staci Mowder 2694689716 FTFMSupport@rdspos.com]</t>
  </si>
  <si>
    <t>2026-06-20T15:46:39.000Z</t>
  </si>
  <si>
    <t>When onsite, I found no obvious errors. When dispensing bills originally, they came out fine but would not go back in; all denominations. Reseating cassettes I noticed a bill jammed in the back of the recycler frame. Removing it cleared all errors, and after testing multiple times, the GSR50 will dispense and accept all denominations with no issues</t>
  </si>
  <si>
    <t>2026-06-21T10:59:44.000Z</t>
  </si>
  <si>
    <t>SCO11 spitting bills back out after inserting. No errors/red lights  [Generated by Portal Login: most14 Contact: Staci Mowder 2694689716 FTFMSupport@rdspos.com]-CE IS NOW US133E80-When onsite, I found no obvious errors. When dispensing bills originally, they came out fine but would not go back in; all denominations. Reseating cassettes I noticed a bill jammed in the back of the recycler frame. Removing it cleared all errors, and after testing multiple times, the GSR50 will dispense and accept all denominations with no issues-New Item :7360-4010-9090 New Serial Number :57-60588404 Old Item :7360-4010-9090 Old Serial Number :57-60588442</t>
  </si>
  <si>
    <t>2025-08-20T19:41:44.000Z</t>
  </si>
  <si>
    <t>57-60590127</t>
  </si>
  <si>
    <t>34MM</t>
  </si>
  <si>
    <t>2025-08-17T19:34:00.000Z</t>
  </si>
  <si>
    <t>2025-08-18T00:34:00.000Z</t>
  </si>
  <si>
    <t>ST LOUIS PARK</t>
  </si>
  <si>
    <t>2025-08-20T14:14:00.000Z</t>
  </si>
  <si>
    <t>2025-08-20T19:14:00.000Z</t>
  </si>
  <si>
    <t>SB185371</t>
  </si>
  <si>
    <t>MEIJER/FRESH THYME #543</t>
  </si>
  <si>
    <t>2025-08-17T13:04:42.000Z</t>
  </si>
  <si>
    <t>2025-08-17T18:04:42.000Z</t>
  </si>
  <si>
    <t>CEM3719006:bad board power issues</t>
  </si>
  <si>
    <t>2025-08-20T14:15:22.000Z</t>
  </si>
  <si>
    <t>unit will power on momentarily and then off... t/s with known working unit to isolate issue to power deliver on the main board... replaced mb with new unit and set dmi... tested sco with mgt jenn</t>
  </si>
  <si>
    <t>2025-08-20T14:15:23.000Z</t>
  </si>
  <si>
    <t>New Item :7360-4010-9090 New Serial Number :57-60590127 Old Item :7360-4010-9090 Old Serial Number :57-60590127</t>
  </si>
  <si>
    <t>2025-08-20T14:15:25.000Z</t>
  </si>
  <si>
    <t>SCO 18 has no power to the SCO at all, may need the battery back up replaced  [Generated by Portal Login: besa14 Contact: Sabrina Bechtel 715-498-6611 ftfmsupport@rdspos.com]</t>
  </si>
  <si>
    <t>2025-08-17T13:04:43.000Z</t>
  </si>
  <si>
    <t>2025-08-17T13:08:01.000Z</t>
  </si>
  <si>
    <t>2025-08-17T17:01:19.000Z</t>
  </si>
  <si>
    <t>SCO 18 has no power to the SCO at all, may need the battery back up replaced  [Generated by Portal Login: besa14 Contact: Sabrina Bechtel 715-498-6611 ftfmsupport@rdspos.com]-CE IS NOW US153R78-CE WAS US153R78-CE IS NOW US153R79-Checked cable connections, reseat jumper. Battery backup power supply has solid green indicator. Reset power supply button. Reset i/o board cable to touch display. SCO powers on &amp;amp; goes through self-check. We get the NCR splash logo, Windows logo. Then SCO suddenly shuts off. TL = Bennett-Power supply to order &amp; swap.-Checked cable connections, reseat jumper. Battery backup power supply has solid green indicator. Reset power supply button. Reset i/o board cable to touch display. SCO powers on &amp;amp goes through self-check. We get the NCR splash logo, Windows logo. Then SCO suddenly shuts off. TL = Bennett-CE WAS US153R79-CE IS NOW US153R78-ordering new mother board after testing... bad mb. part is local.. ordering new board-CE IS NOW US153R78-LOM order processing, Part has been Ordered , Remedy Id 000000014841667 - (Pick Up)MN, Arden Hillsby Agent Auto CE pickup-Oracle Order Shipped for Remedy Id: U018729883, Order/Receipt # 181632642, Ordered Part 4970533367, Part Description - SERV ASM - MOTHERBOARD, NO CPU (SKYLAKE), Shipment/Receipt #2110187394, Part has been Shipped, Qty 1, Priority NFO, Shipping Method CE Pickup After Hours, BOL/Job NA, Source Location UFF USFMSP1G-CEM3719006:bad board power issues-unit will power on momentarily and then off... t/s with known working unit to isolate issue to power deliver on the main board... replaced mb with new unit and set dmi... tested sco with mgt jenn-New Item :7360-4010-9090 New Serial Number :57-60590127 Old Item :7360-4010-9090 Old Serial Number :57-60590127</t>
  </si>
  <si>
    <t>Checked cable connections, reseat jumper. Battery backup power supply has solid green indicator. Reset power supply button. Reset i/o board cable to touch display. SCO powers on &amp;amp; goes through self-check. We get the NCR splash logo, Windows logo. Then SCO suddenly shuts off. TL = Bennett</t>
  </si>
  <si>
    <t>2025-08-17T21:01:50.000Z</t>
  </si>
  <si>
    <t>2026-06-23T22:41:48.000Z</t>
  </si>
  <si>
    <t>7SQ2</t>
  </si>
  <si>
    <t>2026-06-23T17:39:00.000Z</t>
  </si>
  <si>
    <t>2026-06-23T21:39:00.000Z</t>
  </si>
  <si>
    <t>2026-06-23T18:25:00.000Z</t>
  </si>
  <si>
    <t>2026-06-23T22:25:00.000Z</t>
  </si>
  <si>
    <t>2026-06-23T09:16:33.000Z</t>
  </si>
  <si>
    <t>2026-06-23T13:16:33.000Z</t>
  </si>
  <si>
    <t>2026-06-23T13:16:34.000Z</t>
  </si>
  <si>
    <t>2026-06-23T09:16:34.000Z</t>
  </si>
  <si>
    <t>the top cassette was spun almost to the max.  reversed the tape to a normal home position.   cash counts were not accurate.   informed the manager, Donna.  she was unsure how to audit to correct the issue so I did it in pml.   verified dispense and accept tests pass without issue.   sco placed back into service</t>
  </si>
  <si>
    <t>2026-06-23T18:26:35.000Z</t>
  </si>
  <si>
    <t>received expired task.</t>
  </si>
  <si>
    <t>2026-06-23T18:26:36.000Z</t>
  </si>
  <si>
    <t>2026-06-23T18:26:38.000Z</t>
  </si>
  <si>
    <t>SCO12 has a Note recycler error - Sensor RREND1 dirty or defective. Also a flashing red light on recycler  [Generated by Portal Login: most14 Contact: Staci Mowder 2694689716 FTFMSupport@rdspos.com]</t>
  </si>
  <si>
    <t>2026-06-23T09:58:00.000Z</t>
  </si>
  <si>
    <t>SCO12 has a Note recycler error - Sensor RREND1 dirty or defective. Also a flashing red light on recycler  [Generated by Portal Login: most14 Contact: Staci Mowder 2694689716 FTFMSupport@rdspos.com]-CE IS NOW US153R62-57-60588449-the top cassette was spun almost to the max.  reversed the tape to a normal home position.   cash counts were not accurate.   informed the manager, Donna.  she was unsure how to audit to correct the issue so I did it in pml.   verified dispense and accept tests pass without issue.   sco placed back into service-received expired task.-New Item :7360-4010-9090 New Serial Number :57-60588449 Old Item :7360-4010-9090 Old Serial Number :57-60591346</t>
  </si>
  <si>
    <t>2025-09-20T23:46:53.000Z</t>
  </si>
  <si>
    <t>2025-09-19T17:04:00.000Z</t>
  </si>
  <si>
    <t>2025-09-19T22:04:00.000Z</t>
  </si>
  <si>
    <t>2025-09-20T18:32:00.000Z</t>
  </si>
  <si>
    <t>2025-09-20T23:32:00.000Z</t>
  </si>
  <si>
    <t>2025-09-19T13:51:29.000Z</t>
  </si>
  <si>
    <t>2025-09-19T18:51:29.000Z</t>
  </si>
  <si>
    <t>2025-09-19T18:51:30.000Z</t>
  </si>
  <si>
    <t>2025-09-19T13:51:30.000Z</t>
  </si>
  <si>
    <t>pn 4970526620 missing flap, cracked</t>
  </si>
  <si>
    <t>2025-09-20T18:33:25.000Z</t>
  </si>
  <si>
    <t>replaced validator for Crack and missing flap; replaced door lock for persistent jamming; replaced active coin box for persistent continuous reject error; replaced sorter module for intermittent jam error; replaced controller pcb for pml software requiring multiple forced resets to test coin recycler. tested across all fronts without further issue or incident self checkout lane number 19 mod deandre</t>
  </si>
  <si>
    <t>New Item :7360-4010-9090 New Serial Number :57-58264239 Old Item :7360-4010-9090 Old Serial Number :57-58264232</t>
  </si>
  <si>
    <t>2025-09-20T18:33:27.000Z</t>
  </si>
  <si>
    <t>SCO 19 having issues with dispensing coins Customer requesting a tech on site, would also like to have all the sensors cleaned on this SCO [Generated by Portal Login: besa14 Contact: Sabrina Bechtel 715-498-6611 ftfmsupport@rdspos.com]</t>
  </si>
  <si>
    <t>2025-09-19T13:54:01.000Z</t>
  </si>
  <si>
    <t>unit displaying a host of problems; persistent  "active coinbox exceeded reject limit" error, intermittent jam errors on sorter module (no visible cause at time of jams), and physical damage to the validator (Crack on frame, green tab door broken off). testing is hampered by the fact the unit requires multiple force resets in pml to complete each test. ordering all the above parts, a controller,  and a door lock (Customer key repratedly gets stuck in it)</t>
  </si>
  <si>
    <t>2025-09-19T18:26:26.000Z</t>
  </si>
  <si>
    <t>SCO 19 having issues with dispensing coins Customer requesting a tech on site, would also like to have all the sensors cleaned on this SCO [Generated by Portal Login: besa14 Contact: Sabrina Bechtel 715-498-6611 ftfmsupport@rdspos.com]-CE IS NOW US153N63-unit displaying a host of problems; persistent  "active coinbox exceeded reject limit" error, intermittent jam errors on sorter module (no visible cause at time of jams), and physical damage to the validator (Crack on frame, green tab door broken off). testing is hampered by the fact the unit requires multiple force resets in pml to complete each test. ordering all the above parts, a controller,  and a door lock (Customer key repratedly gets stuck in it)-LOM order processing, Part has been Ordered , Remedy Id 000000014867676 - (Pick Up)MO, Fentonby Agent Auto CE pickup-LOM order processing, Part has been Ordered , Remedy Id 000000014867677 - (Pick Up)MO, Fentonby Agent Auto CE pickup-LOM order processing, Part has been Ordered , Remedy Id 000000014867679 - (Pick Up)MO, Fentonby Agent Auto CE pickup-LOM order processing, Part has been Ordered , Remedy Id 000000014867680 - (Pick Up)MO, Fentonby Agent Auto CE pickup-LOM order processing, Part has been Ordered , Remedy Id 000000014867682 - (Pick Up)MO, Fentonby Agent Auto CE pickup-Oracle Order Shipped for Remedy Id: U018755979, Order/Receipt # 181709314, Ordered Part 4970526620, Part Description - Crane Xchange Validator Type A (Service Part), Shipment/Receipt #2110764962, Part has been Shipped, Qty 1, Priority NFO, Shipping Method CE Pickup After Hours, BOL/Job NA, Source Location UFF USFSTL1G-Oracle Order Shipped for Remedy Id: U018755982, Order/Receipt # 181709315, Ordered Part 4970521463, Part Description - CR5000 Sorter Module Type A (Service Part), Shipment/Receipt #2110765003, Part has been Shipped, Qty 1, Priority NFO, Shipping Method CE Pickup After Hours, BOL/Job NA, Source Location UFF USFSTL1G-Oracle Order Shipped for Remedy Id: U018755978, Order/Receipt # 181709313, Ordered Part 4970533870, Part Description - CR5000 Active Cashbox Type A (non-dissipative tracks) (Service Part), Shipment/Receipt #2110764961, Part has been Shipped, Qty 1, Priority NFO, Shipping Method CE Pickup After Hours, BOL/Job NA, Source Location UFF USFSTL1G-Oracle Order Shipped for Remedy Id: U018755983, Order/Receipt # 181709316, Ordered Part 4970520636, Part Description - CR5000 Controller Card (service Part, Shipment/Receipt #2110765005, Part has been Shipped, Qty 1, Priority NFO, Shipping Method CE Pickup After Hours, BOL/Job NA, Source Location UFF USFSTL1G-Oracle Order Shipped for Remedy Id: U018755984, Order/Receipt # 181709317, Ordered Part 4970510173, Part Description - SAFE KEY LOCK, LA GARD (SERVICE KIT), Shipment/Receipt #2110765008, Part has been Shipped, Qty 1, Priority NFO, Shipping Method CE Pickup After Hours, BOL/Job NA, Source Location UFF USFSTL1G-CEM3924615:replaced in attempt to diagnose constant crashing and freezing in pml-CEM3924616:throws random jam errors with no discernable cause-CEM3924617:irresolvable continous reject limit error-CEM3924618:cracked, flap cover missing-deandre-pn 4970526620 missing flap, cracked-replaced validator for Crack and missing flap; replaced door lock for persistent jamming; replaced active coin box for persistent continuous reject error; replaced sorter module for intermittent jam error; replaced controller pcb for pml software requiring multiple forced resets to test coin recycler. tested across all fronts without further issue or incident self checkout lane number 19 mod deandre-New Item :7360-4010-9090 New Serial Number :57-58264239 Old Item :7360-4010-9090 Old Serial Number :57-58264232</t>
  </si>
  <si>
    <t>2025-10-27T02:47:36.000Z</t>
  </si>
  <si>
    <t>57-60595355</t>
  </si>
  <si>
    <t>2025-10-26T20:30:00.000Z</t>
  </si>
  <si>
    <t>2025-10-27T01:30:00.000Z</t>
  </si>
  <si>
    <t>KIRKWOOD</t>
  </si>
  <si>
    <t>2025-10-26T21:34:00.000Z</t>
  </si>
  <si>
    <t>2025-10-27T02:34:00.000Z</t>
  </si>
  <si>
    <t>MEIJER/FRESH THYME #491</t>
  </si>
  <si>
    <t>2025-10-23T08:17:00.000Z</t>
  </si>
  <si>
    <t>2025-10-23T13:17:00.000Z</t>
  </si>
  <si>
    <t>no errors on unit on arrival. cleaned all relevant bill and coin sensors, bill and coin paths, tested bill and coin recycler extensively. no fault found self checkout lane number 11 mod sean</t>
  </si>
  <si>
    <t>2025-10-26T21:35:54.000Z</t>
  </si>
  <si>
    <t>1R-RETAIL:NR-NOTE RECYCLER:QG-RECYCLE CHASSIS</t>
  </si>
  <si>
    <t>New Item :7360-4010-9090 New Serial Number :57-60595355 Old Item :7360-4010-9090 Old Serial Number :57-60588435</t>
  </si>
  <si>
    <t>2025-10-26T21:35:55.000Z</t>
  </si>
  <si>
    <t>SCO11 having a coin dispenser error on and off for weeks.  Difficulty sometimes dispensing bills. Please clean sensors and revise bill dispenser and recycler.  [Generated by Portal Login: most14 Contact: Staci Mowder 3096133038 ftfmsupport@rdspos.com]</t>
  </si>
  <si>
    <t>2025-10-23T08:17:01.000Z</t>
  </si>
  <si>
    <t>CE IS NOW US153N60</t>
  </si>
  <si>
    <t>2025-10-23T08:21:35.000Z</t>
  </si>
  <si>
    <t>CE WAS US153N60</t>
  </si>
  <si>
    <t>2025-10-23T08:52:55.000Z</t>
  </si>
  <si>
    <t>SCO11 having a coin dispenser error on and off for weeks.  Difficulty sometimes dispensing bills. Please clean sensors and revise bill dispenser and recycler.  [Generated by Portal Login: most14 Contact: Staci Mowder 3096133038 ftfmsupport@rdspos.com]-CE IS NOW US153N60-CE WAS US153N60-CE IS NOW US153N62-CE WAS US153N62-CE IS NOW US153N74-CE IS NOW US153N74-CE WAS US153N74-CE IS NOW US153N63-no fault found-no errors on unit on arrival. cleaned all relevant bill and coin sensors, bill and coin paths, tested bill and coin recycler extensively. no fault found self checkout lane number 11 mod sean-1R-RETAIL:NR-NOTE RECYCLER:QG-RECYCLE CHASSIS-New Item :7360-4010-9090 New Serial Number :57-60595355 Old Item :7360-4010-9090 Old Serial Number :57-60588435</t>
  </si>
  <si>
    <t>2026-06-30T13:31:46.000Z</t>
  </si>
  <si>
    <t>2026-06-30T08:11:00.000Z</t>
  </si>
  <si>
    <t>2026-06-30T12:11:00.000Z</t>
  </si>
  <si>
    <t>2026-06-30T09:18:00.000Z</t>
  </si>
  <si>
    <t>2026-06-30T13:18:00.000Z</t>
  </si>
  <si>
    <t>2026-06-29T15:27:43.000Z</t>
  </si>
  <si>
    <t>2026-06-29T19:27:43.000Z</t>
  </si>
  <si>
    <t>charging for  after troubleshoot found pice of coins wrap paper jammed inside the coin recycle chassis, fixed the jammed and cleaned the sensors and did runadd and did dispens and accept coins from PML and tested with associate  Jade working successfully.  photo attached to the call .</t>
  </si>
  <si>
    <t>2026-06-30T09:20:10.000Z</t>
  </si>
  <si>
    <t>after troubleshoot found pice of coins wrap paper jammed inside the coin recycle chassis, fixed the jammed and cleaned the sensors and did runadd and did dispens and accept coins from PML and tested with associate  Jade working successfully.  photo attached to the call .</t>
  </si>
  <si>
    <t>2026-06-30T09:20:11.000Z</t>
  </si>
  <si>
    <t>New Item :7360-4010-9090 New Serial Number :57-60587831 Old Item :7360-4010-9090 Old Serial Number :57-60587811</t>
  </si>
  <si>
    <t>2026-06-30T09:20:12.000Z</t>
  </si>
  <si>
    <t>Multiple coin errors, Hopper 1 exit chute blocked and transfer motor path jammed error   [Generated by Portal Login: coas14 Contact: Ashley Cooper 3092131564 ftfmsupport@rdspos.com]</t>
  </si>
  <si>
    <t>2026-06-29T15:31:34.000Z</t>
  </si>
  <si>
    <t>2026-06-30T06:40:47.000Z</t>
  </si>
  <si>
    <t>Multiple coin errors, Hopper 1 exit chute blocked and transfer motor path jammed error   [Generated by Portal Login: coas14 Contact: Ashley Cooper 3092131564 ftfmsupport@rdspos.com]-CE IS NOW US133U34-CE WAS US133U34-CE IS NOW US133U12-CE WAS US133U12-CE IS NOW US133U14-charging for  after troubleshoot found pice of coins wrap paper jammed inside the coin recycle chassis, fixed the jammed and cleaned the sensors and did runadd and did dispens and accept coins from PML and tested with associate  Jade working successfully.  photo attached to the call .-after troubleshoot found pice of coins wrap paper jammed inside the coin recycle chassis, fixed the jammed and cleaned the sensors and did runadd and did dispens and accept coins from PML and tested with associate  Jade working successfully.  photo attached to the call .-New Item :7360-4010-9090 New Serial Number :57-60587831 Old Item :7360-4010-9090 Old Serial Number :57-60587811</t>
  </si>
  <si>
    <t>2025-10-23T16:41:56.000Z</t>
  </si>
  <si>
    <t>57-60588418</t>
  </si>
  <si>
    <t>2025-10-23T11:54:00.000Z</t>
  </si>
  <si>
    <t>2025-10-23T15:54:00.000Z</t>
  </si>
  <si>
    <t>2025-10-23T12:25:00.000Z</t>
  </si>
  <si>
    <t>2025-10-23T16:25:00.000Z</t>
  </si>
  <si>
    <t>2025-10-21T18:00:25.000Z</t>
  </si>
  <si>
    <t>2025-10-21T22:00:25.000Z</t>
  </si>
  <si>
    <t>2025-10-21T22:00:26.000Z</t>
  </si>
  <si>
    <t>2025-10-21T18:00:26.000Z</t>
  </si>
  <si>
    <t>user was using the incorrect key to open the cosmetic door</t>
  </si>
  <si>
    <t>2025-10-23T12:27:27.000Z</t>
  </si>
  <si>
    <t>the task was supposed to be created for sco 15 not sco 14. the user key was the incorrect key to open the cosmetic door. use the correct key was able to get the cosmetic door open.</t>
  </si>
  <si>
    <t>New Item :7360-4010-9090 New Serial Number :57-60588418 Old Item :7360-4010-9090 Old Serial Number :57-60587755</t>
  </si>
  <si>
    <t>2025-10-23T12:27:28.000Z</t>
  </si>
  <si>
    <t>Difficulty opening SCO14 outer door with Key  [Generated by Portal Login: most14 Contact: Staci Mowder 3096133038 ftfmsupport@rdspos.com]</t>
  </si>
  <si>
    <t>CE IS NOW US133C73</t>
  </si>
  <si>
    <t>2025-10-21T18:44:01.000Z</t>
  </si>
  <si>
    <t>CE WAS US133C73</t>
  </si>
  <si>
    <t>2025-10-23T09:57:52.000Z</t>
  </si>
  <si>
    <t>Difficulty opening SCO14 outer door with Key  [Generated by Portal Login: most14 Contact: Staci Mowder 3096133038 ftfmsupport@rdspos.com]-CE IS NOW US133C73-CE WAS US133C73-CE IS NOW US133C75-user was using the incorrect key to open the cosmetic door-the task was supposed to be created for sco 15 not sco 14. the user key was the incorrect key to open the cosmetic door. use the correct key was able to get the cosmetic door open.-New Item :7360-4010-9090 New Serial Number :57-60588418 Old Item :7360-4010-9090 Old Serial Number :57-60587755</t>
  </si>
  <si>
    <t>2025-10-20T18:36:53.000Z</t>
  </si>
  <si>
    <t>57-60595306</t>
  </si>
  <si>
    <t>2025-10-20T12:54:00.000Z</t>
  </si>
  <si>
    <t>2025-10-20T17:54:00.000Z</t>
  </si>
  <si>
    <t>2025-10-20T13:18:00.000Z</t>
  </si>
  <si>
    <t>2025-10-20T18:18:00.000Z</t>
  </si>
  <si>
    <t>2025-10-19T11:05:32.000Z</t>
  </si>
  <si>
    <t>2025-10-19T16:05:32.000Z</t>
  </si>
  <si>
    <t>2025-10-20T05:39:52.000Z</t>
  </si>
  <si>
    <t>installed replacement ups on self checkout 18, local contact supervisor Belle</t>
  </si>
  <si>
    <t>2025-10-20T13:18:53.000Z</t>
  </si>
  <si>
    <t>New Item :7360-4010-9090 New Serial Number :57-60595306 Old Item :7360-4010-9090 Old Serial Number :57-60595319</t>
  </si>
  <si>
    <t>2025-10-20T13:18:56.000Z</t>
  </si>
  <si>
    <t>Battery back up is dead on SCO18  [Generated by Portal Login: most14 Contact: Staci Mowder 3096133038 ftfmsupport@rdspos.com]</t>
  </si>
  <si>
    <t>2025-10-19T11:11:35.000Z</t>
  </si>
  <si>
    <t>LOM order processing, Part has been Ordered , Remedy Id 000000014891450 - (Pick Up)MO, Fentonby Agent Auto CE pickup</t>
  </si>
  <si>
    <t>2025-10-19T16:30:35.000Z</t>
  </si>
  <si>
    <t>Battery back up is dead on SCO18  [Generated by Portal Login: most14 Contact: Staci Mowder 3096133038 ftfmsupport@rdspos.com]-CE IS NOW US153N63-LOM order processing, Part has been Ordered , Remedy Id 000000014891450 - (Pick Up)MO, Fentonby Agent Auto CE pickup-Oracle Order Shipped for Remedy Id: U018779635, Order/Receipt # 181786026, Ordered Part 4970534153, Part Description - UPS (N70-800) LV 100V/120V 800VA with USB communication Port and EMC Improvements, Shipment/Receipt #2111408699, Part has been Shipped, Qty 1, Priority NFO, Shipping Method CE Pickup After Hours, BOL/Job NA, Source Location UFF USFSTL1G-CE WAS US153N63-CE IS NOW US153N60-CE IS NOW US153N60-installed replacement ups on self checkout 18, local contact supervisor Belle-New Item :7360-4010-9090 New Serial Number :57-60595306 Old Item :7360-4010-9090 Old Serial Number :57-60595319</t>
  </si>
  <si>
    <t>2025-08-21T20:59:11.000Z</t>
  </si>
  <si>
    <t>57-60587808</t>
  </si>
  <si>
    <t>2025-08-21T15:11:00.000Z</t>
  </si>
  <si>
    <t>2025-08-21T20:11:00.000Z</t>
  </si>
  <si>
    <t>2025-08-21T15:30:00.000Z</t>
  </si>
  <si>
    <t>2025-08-21T20:30:00.000Z</t>
  </si>
  <si>
    <t>DV185087</t>
  </si>
  <si>
    <t>2025-08-21T09:42:29.000Z</t>
  </si>
  <si>
    <t>2025-08-21T14:42:29.000Z</t>
  </si>
  <si>
    <t>2025-08-21T14:42:31.000Z</t>
  </si>
  <si>
    <t>2025-08-21T09:42:31.000Z</t>
  </si>
  <si>
    <t>7424-0109-0000</t>
  </si>
  <si>
    <t>New Item :7360-4010-9090 New Serial Number :57-60587808 Old Item :7360-4010-9090 Old Serial Number :57-60587817</t>
  </si>
  <si>
    <t>2025-08-21T15:32:05.000Z</t>
  </si>
  <si>
    <t>SCO11 has a coin recycler error-sorter module not seated  [Generated by Portal Login: most14 Contact: Staci Mowder 3096133038 ftfmsupport@rdspos.com]</t>
  </si>
  <si>
    <t>CE IS NOW US153R42</t>
  </si>
  <si>
    <t>2025-08-21T09:45:34.000Z</t>
  </si>
  <si>
    <t>reset active cash box,  coin sorter and locked transport belt. Power cycled SCO and ran ADD.  lane is now back to full function.</t>
  </si>
  <si>
    <t>2025-08-21T15:32:02.000Z</t>
  </si>
  <si>
    <t>SCO11 has a coin recycler error-sorter module not seated  [Generated by Portal Login: most14 Contact: Staci Mowder 3096133038 ftfmsupport@rdspos.com]-CE IS NOW US153R42-reset active cash box,  coin sorter and locked transport belt. Power cycled SCO and ran ADD.  lane is now back to full function.-New Item :7360-4010-9090 New Serial Number :57-60587808 Old Item :7360-4010-9090 Old Serial Number :57-60587817</t>
  </si>
  <si>
    <t>2025-10-04T15:22:31.000Z</t>
  </si>
  <si>
    <t>57-60595322</t>
  </si>
  <si>
    <t>2025-10-04T10:41:00.000Z</t>
  </si>
  <si>
    <t>2025-10-04T14:41:00.000Z</t>
  </si>
  <si>
    <t>2025-10-04T11:05:00.000Z</t>
  </si>
  <si>
    <t>2025-10-04T15:05:00.000Z</t>
  </si>
  <si>
    <t>MEIJER/FRESH THYME #645</t>
  </si>
  <si>
    <t>2025-10-03T20:06:30.000Z</t>
  </si>
  <si>
    <t>2025-10-04T00:06:30.000Z</t>
  </si>
  <si>
    <t>Replace the validator ran ADD process the bad part but back in service job complete</t>
  </si>
  <si>
    <t>2025-10-04T11:06:16.000Z</t>
  </si>
  <si>
    <t>New Item :7360-4010-9090 New Serial Number :57-60595322 Old Item :7360-4010-9090 Old Serial Number :57-60595310</t>
  </si>
  <si>
    <t>2025-10-04T11:06:18.000Z</t>
  </si>
  <si>
    <t>Validator Motor Error Error Code 16-6-0--99-131843  [Generated by Portal Login: repa14 Contact: Patrick Reeves 3092411908 ftfmsupport@rdspos.com]</t>
  </si>
  <si>
    <t>2025-10-03T20:06:31.000Z</t>
  </si>
  <si>
    <t>CE IS NOW US133U38</t>
  </si>
  <si>
    <t>2025-10-03T20:09:47.000Z</t>
  </si>
  <si>
    <t>CEM3853578:error</t>
  </si>
  <si>
    <t>Validator Motor Error Error Code 16-6-0--99-131843  [Generated by Portal Login: repa14 Contact: Patrick Reeves 3092411908 ftfmsupport@rdspos.com]-CE IS NOW US133U38-CEM3853578:error-Replace the validator ran ADD process the bad part but back in service job complete-New Item :7360-4010-9090 New Serial Number :57-60595322 Old Item :7360-4010-9090 Old Serial Number :57-60595310</t>
  </si>
  <si>
    <t>2025-11-04T01:09:12.000Z</t>
  </si>
  <si>
    <t>7703-8517-8801</t>
  </si>
  <si>
    <t>2025-11-03T18:37:00.000Z</t>
  </si>
  <si>
    <t>2025-11-04T00:37:00.000Z</t>
  </si>
  <si>
    <t>2025-11-03T18:50:00.000Z</t>
  </si>
  <si>
    <t>2025-11-04T00:50:00.000Z</t>
  </si>
  <si>
    <t>JM185726</t>
  </si>
  <si>
    <t>2025-11-03T18:17:21.000Z</t>
  </si>
  <si>
    <t>2025-11-04T00:17:21.000Z</t>
  </si>
  <si>
    <t>2025-11-04T00:17:24.000Z</t>
  </si>
  <si>
    <t>2025-11-03T18:17:24.000Z</t>
  </si>
  <si>
    <t>Debris</t>
  </si>
  <si>
    <t>2025-11-03T18:52:29.000Z</t>
  </si>
  <si>
    <t>New Item :7360-4010-9090 New Serial Number :7703-8517-8801 Old Item :7360-4010-9090 Old Serial Number :57-60587853</t>
  </si>
  <si>
    <t>2025-11-03T18:52:30.000Z</t>
  </si>
  <si>
    <t>SCO 14 Coin transfer path jammed error code 16-6-0-99-524545. This is causing them from being unable to remove money from the SCO at the end of the night  [Generated by Portal Login: besa14 Contact: Sabrina Bechtel 715-498-6611 ftfmsupport@rdspos.com]</t>
  </si>
  <si>
    <t>2025-11-03T18:20:18.000Z</t>
  </si>
  <si>
    <t>the coin sorter had a small piece of paper inside of the penny slots. remove the piece of paper from the penny slot and assign the pennies back into the correct hopper, and they began working again just fine</t>
  </si>
  <si>
    <t>2025-11-03T18:52:28.000Z</t>
  </si>
  <si>
    <t>SCO 14 Coin transfer path jammed error code 16-6-0-99-524545. This is causing them from being unable to remove money from the SCO at the end of the night  [Generated by Portal Login: besa14 Contact: Sabrina Bechtel 715-498-6611 ftfmsupport@rdspos.com]-CE IS NOW US153C01-the coin sorter had a small piece of paper inside of the penny slots. remove the piece of paper from the penny slot and assign the pennies back into the correct hopper, and they began working again just fine-Debris-New Item :7360-4010-9090 New Serial Number :7703-8517-8801 Old Item :7360-4010-9090 Old Serial Number :57-60587853</t>
  </si>
  <si>
    <t>2026-04-20T21:24:13.000Z</t>
  </si>
  <si>
    <t>82J7</t>
  </si>
  <si>
    <t>2026-04-20T11:18:00.000Z</t>
  </si>
  <si>
    <t>2026-04-20T15:18:00.000Z</t>
  </si>
  <si>
    <t>2026-04-20T17:09:00.000Z</t>
  </si>
  <si>
    <t>2026-04-20T21:09:00.000Z</t>
  </si>
  <si>
    <t>2026-04-20T10:03:43.000Z</t>
  </si>
  <si>
    <t>2026-04-20T14:03:43.000Z</t>
  </si>
  <si>
    <t>2026-04-20T14:03:44.000Z</t>
  </si>
  <si>
    <t>2026-04-20T10:03:44.000Z</t>
  </si>
  <si>
    <t>Oracle Order Shipped for Remedy Id: U018907896, Order/Receipt # 182219342, Ordered Part 4970529515, Part Description - CABLE - USB+PWR 12V TO MODULAR RJ50 (2.13M), Shipment/Receipt #2118162857, Part has been Shipped, Qty 1, Priority NFO, Shipping Method CE Pickup After Hours, BOL/Job NA, Source Location UFF USFIND1G</t>
  </si>
  <si>
    <t>2026-04-20T13:33:22.000Z</t>
  </si>
  <si>
    <t>Arrived back at site with replacement part. Swapped out the old cable and rebooted sco14. No issues on boot and scale functioned as intended. Confirmed completion with Christian.</t>
  </si>
  <si>
    <t>2026-04-20T17:10:38.000Z</t>
  </si>
  <si>
    <t>New Item :7360-4010-9090 New Serial Number :57-60588404 Old Item :7360-4010-9090 Old Serial Number :57-60588404</t>
  </si>
  <si>
    <t>2026-04-20T17:10:40.000Z</t>
  </si>
  <si>
    <t>SCO 14 System mesage, devices in error, error code 11-0-0-99-2, device offline check connections scale, scanner.  SCO 14 is unusable. The last ticket with NCR (7610902774)stated that they had to reset the scanner scale cable after the validator was replaced, now SCO 14 is having an issue with the scanner scale connection. [Generated by Portal Login: besa14 Contact: Sabrina Bechtel 715-498-6611 ftfmsupport@rdspos.com]</t>
  </si>
  <si>
    <t>2026-04-20T10:05:48.000Z</t>
  </si>
  <si>
    <t>Arrived on site. Issue stated that the scanner wasn't working on sco14. Found an error code stating that there wasn't a scale or scanner. Attempted a power cycle and reseated cables, no change. Moved scale to a working lane and had no issues. Moved known working scale to bad lane and had same issues. Ordering replacement part 4970529515.</t>
  </si>
  <si>
    <t>2026-04-20T12:26:58.000Z</t>
  </si>
  <si>
    <t>SCO 14 System mesage, devices in error, error code 11-0-0-99-2, device offline check connections scale, scanner.  SCO 14 is unusable. The last ticket with NCR (7610902774)stated that they had to reset the scanner scale cable after the validator was replaced, now SCO 14 is having an issue with the scanner scale connection. [Generated by Portal Login: besa14 Contact: Sabrina Bechtel 715-498-6611 ftfmsupport@rdspos.com]-CE IS NOW US133E77-Arrived on site. Issue stated that the scanner wasn't working on sco14. Found an error code stating that there wasn't a scale or scanner. Attempted a power cycle and reseated cables, no change. Moved scale to a working lane and had no issues. Moved known working scale to bad lane and had same issues. Ordering replacement part 4970529515.-LOM order processing, Part has been Ordered , Remedy Id 000000015024328 - (Pick Up)IN, Indianapolisby Agent Auto CE pickup-Oracle Order Shipped for Remedy Id: U018907896, Order/Receipt # 182219342, Ordered Part 4970529515, Part Description - CABLE - USB+PWR 12V TO MODULAR RJ50 (2.13M), Shipment/Receipt #2118162857, Part has been Shipped, Qty 1, Priority NFO, Shipping Method CE Pickup After Hours, BOL/Job NA, Source Location UFF USFIND1G-Arrived back at site with replacement part. Swapped out the old cable and rebooted sco14. No issues on boot and scale functioned as intended. Confirmed completion with Christian.-New Item :7360-4010-9090 New Serial Number :57-60588404 Old Item :7360-4010-9090 Old Serial Number :57-60588404</t>
  </si>
  <si>
    <t>2026-07-28T20:46:31.000Z</t>
  </si>
  <si>
    <t>57-60595344</t>
  </si>
  <si>
    <t>2026-07-28T14:54:00.000Z</t>
  </si>
  <si>
    <t>2026-07-28T19:54:00.000Z</t>
  </si>
  <si>
    <t>2026-07-28T15:28:00.000Z</t>
  </si>
  <si>
    <t>2026-07-28T20:28:00.000Z</t>
  </si>
  <si>
    <t>2026-07-27T22:02:09.000Z</t>
  </si>
  <si>
    <t>2026-07-28T03:02:09.000Z</t>
  </si>
  <si>
    <t>I arrived on site and examined the SCO. Found it was pretty dirty, so went through a clean. Found a chuck of a 5 dollar bill and also a peace of plastic that could have been from a customers pocket. Cleared the jam and cleaned the rollers. All errors have gone away. Job completed</t>
  </si>
  <si>
    <t>2026-07-28T15:30:39.000Z</t>
  </si>
  <si>
    <t>New Item :7360-4010-9090 New Serial Number :57-60595344 Old Item :7360-4010-9090 Old Serial Number :57-60595344</t>
  </si>
  <si>
    <t>2026-07-28T15:30:40.000Z</t>
  </si>
  <si>
    <t>SCO13 has a Bill recycler error-Jam at RTG2 sensor.  [Generated by Portal Login: most14 Contact: Staci Mowder 2694689716 FTFMSupport@rdspos.com]</t>
  </si>
  <si>
    <t>2026-07-27T22:13:01.000Z</t>
  </si>
  <si>
    <t>SCO13 has a Bill recycler error-Jam at RTG2 sensor.  [Generated by Portal Login: most14 Contact: Staci Mowder 2694689716 FTFMSupport@rdspos.com]-CE IS NOW US153N62-I arrived on site and examined the SCO. Found it was pretty dirty, so went through a clean. Found a chuck of a 5 dollar bill and also a peace of plastic that could have been from a customers pocket. Cleared the jam and cleaned the rollers. All errors have gone away. Job completed-I arrived on site and examined the SCO. Found it was pretty dirty, so went through a clean. Found a chuck of a 5 dollar bill and also a peace of plastic that could have been from a customers pocket. Cleared the jam and cleaned the rollers. All errors have gone away. Job completed-New Item :7360-4010-9090 New Serial Number :57-60595344 Old Item :7360-4010-9090 Old Serial Number :57-60595344</t>
  </si>
  <si>
    <t>2025-12-29T13:06:34.000Z</t>
  </si>
  <si>
    <t>2025-12-29T06:32:00.000Z</t>
  </si>
  <si>
    <t>2025-12-29T11:32:00.000Z</t>
  </si>
  <si>
    <t>2025-12-29T07:51:00.000Z</t>
  </si>
  <si>
    <t>2025-12-29T12:51:00.000Z</t>
  </si>
  <si>
    <t>DH185238</t>
  </si>
  <si>
    <t>MEIJER/FRESH THYME #499</t>
  </si>
  <si>
    <t>2025-12-28T20:59:30.000Z</t>
  </si>
  <si>
    <t>2025-12-29T01:59:30.000Z</t>
  </si>
  <si>
    <t>57-60588437</t>
  </si>
  <si>
    <t>CE IS NOW US133C55</t>
  </si>
  <si>
    <t>2025-12-29T03:42:16.000Z</t>
  </si>
  <si>
    <t>upon arrival I cleaned sensor and calibrated it once done all tested good no issues</t>
  </si>
  <si>
    <t>2025-12-29T07:52:18.000Z</t>
  </si>
  <si>
    <t>New Item :7360-4010-9090 New Serial Number :03111806 Old Item :7360-4010-9090 Old Serial Number :57-60588437</t>
  </si>
  <si>
    <t>2025-12-29T07:52:20.000Z</t>
  </si>
  <si>
    <t>Coin Recycler Issue - Sporadically will dispense coins. 95% of the time it locks up when trying to  [Generated by Portal Login: repa14 Contact: Patrick Reeves 3092411908 ftfmsupport@rdspos.com]</t>
  </si>
  <si>
    <t>2025-12-28T20:59:31.000Z</t>
  </si>
  <si>
    <t>CE IS NOW US133C53</t>
  </si>
  <si>
    <t>2025-12-28T21:01:33.000Z</t>
  </si>
  <si>
    <t>CE WAS US133C53</t>
  </si>
  <si>
    <t>2025-12-29T03:42:15.000Z</t>
  </si>
  <si>
    <t>Coin Recycler Issue - Sporadically will dispense coins. 95% of the time it locks up when trying to  [Generated by Portal Login: repa14 Contact: Patrick Reeves 3092411908 ftfmsupport@rdspos.com]-CE IS NOW US133C53-CE WAS US133C53-CE IS NOW US133C55-upon arrival I cleaned sensor and calibrated it once done all tested good no issues-New Item :7360-4010-9090 New Serial Number :03111806 Old Item :7360-4010-9090 Old Serial Number :57-60588437</t>
  </si>
  <si>
    <t>2026-04-09T16:09:12.000Z</t>
  </si>
  <si>
    <t>57-60595314</t>
  </si>
  <si>
    <t>2026-04-09T11:05:00.000Z</t>
  </si>
  <si>
    <t>2026-04-09T15:05:00.000Z</t>
  </si>
  <si>
    <t>2026-04-09T11:53:00.000Z</t>
  </si>
  <si>
    <t>2026-04-09T15:53:00.000Z</t>
  </si>
  <si>
    <t>CHGC -   CLEANED</t>
  </si>
  <si>
    <t>2026-04-08T17:19:44.000Z</t>
  </si>
  <si>
    <t>2026-04-08T21:19:44.000Z</t>
  </si>
  <si>
    <t>2026-04-08T21:19:45.000Z</t>
  </si>
  <si>
    <t>2026-04-08T17:19:45.000Z</t>
  </si>
  <si>
    <t>Store929</t>
  </si>
  <si>
    <t>pm and thoroughly cleaned</t>
  </si>
  <si>
    <t>2026-04-09T11:54:46.000Z</t>
  </si>
  <si>
    <t>spoke with front end lead margaret. performed pm on sco 14.</t>
  </si>
  <si>
    <t>New Item :7360-4010-9090 New Serial Number :57-60595314 Old Item :7360-4010-9090 Old Serial Number :57-60595333</t>
  </si>
  <si>
    <t>2026-04-09T11:54:47.000Z</t>
  </si>
  <si>
    <t>Manager requesting sensors cleaned and SCO cleanout on SCO14  [Generated by Portal Login: most14 Contact: Staci Mowder 3096133038 ftfmsupport@rdspos.com]</t>
  </si>
  <si>
    <t>2026-04-08T17:25:12.000Z</t>
  </si>
  <si>
    <t>2026-04-09T07:21:45.000Z</t>
  </si>
  <si>
    <t>Manager requesting sensors cleaned and SCO cleanout on SCO14  [Generated by Portal Login: most14 Contact: Staci Mowder 3096133038 ftfmsupport@rdspos.com]-CE IS NOW US133C42-CE WAS US133C42-CE IS NOW US133U32-pm and thoroughly cleaned-spoke with front end lead margaret. performed pm on sco 14.-New Item :7360-4010-9090 New Serial Number :57-60595314 Old Item :7360-4010-9090 Old Serial Number :57-60595333</t>
  </si>
  <si>
    <t>2025-09-20T22:12:25.000Z</t>
  </si>
  <si>
    <t>2025-09-20T16:55:00.000Z</t>
  </si>
  <si>
    <t>2025-09-20T20:55:00.000Z</t>
  </si>
  <si>
    <t>2025-09-20T17:59:00.000Z</t>
  </si>
  <si>
    <t>2025-09-20T21:59:00.000Z</t>
  </si>
  <si>
    <t>2025-09-20T10:23:15.000Z</t>
  </si>
  <si>
    <t>2025-09-20T14:23:15.000Z</t>
  </si>
  <si>
    <t>CEM3885880:Troy fresh thyme</t>
  </si>
  <si>
    <t>2025-09-20T18:00:01.000Z</t>
  </si>
  <si>
    <t>SCO not in use on arrival. active coin box jammed in PML. cleared jam, but validator also performing poorly. frequent wakeup sensor errors. replaced validator, and successfully tested dispense and accept. SCO returned to full service.</t>
  </si>
  <si>
    <t>New Item :7360-4010-9090 New Serial Number :57-60591378 Old Item :7360-4010-9090 Old Serial Number :57-60591378</t>
  </si>
  <si>
    <t>2025-09-20T18:00:03.000Z</t>
  </si>
  <si>
    <t>SCO16 has a Coin Recycler error- Coin box motor error  [Generated by Portal Login: most14 Contact: Staci Mowder 3096133038 ftfmsupport@rdspos.com]</t>
  </si>
  <si>
    <t>2025-09-20T10:23:16.000Z</t>
  </si>
  <si>
    <t>2025-09-20T10:25:57.000Z</t>
  </si>
  <si>
    <t>CE WAS US133U12</t>
  </si>
  <si>
    <t>2025-09-20T15:43:17.000Z</t>
  </si>
  <si>
    <t>SCO16 has a Coin Recycler error- Coin box motor error  [Generated by Portal Login: most14 Contact: Staci Mowder 3096133038 ftfmsupport@rdspos.com]-CE IS NOW US133U12-CE WAS US133U12-CE IS NOW US133U01-CEM3885880:Troy fresh thyme-SCO not in use on arrival. active coin box jammed in PML. cleared jam, but validator also performing poorly. frequent wakeup sensor errors. replaced validator, and successfully tested dispense and accept. SCO returned to full service.-New Item :7360-4010-9090 New Serial Number :57-60591378 Old Item :7360-4010-9090 Old Serial Number :57-60591378</t>
  </si>
  <si>
    <t>2025-11-05T16:39:44.000Z</t>
  </si>
  <si>
    <t>57-60588406</t>
  </si>
  <si>
    <t>2025-10-31T19:33:00.000Z</t>
  </si>
  <si>
    <t>2025-10-31T23:33:00.000Z</t>
  </si>
  <si>
    <t>2025-11-05T11:22:00.000Z</t>
  </si>
  <si>
    <t>2025-11-05T16:22:00.000Z</t>
  </si>
  <si>
    <t>2025-10-31T13:44:35.000Z</t>
  </si>
  <si>
    <t>2025-10-31T17:44:35.000Z</t>
  </si>
  <si>
    <t>2025-11-03T19:16:04.000Z</t>
  </si>
  <si>
    <t>arrived at site, replaced ups system and powered on machine. checked unit, working as intended.</t>
  </si>
  <si>
    <t>2025-11-05T11:23:59.000Z</t>
  </si>
  <si>
    <t>New Item :7360-4010-9090 New Serial Number :57-60588406 Old Item :7360-4010-9090 Old Serial Number :57-60588387</t>
  </si>
  <si>
    <t>2025-11-05T11:24:01.000Z</t>
  </si>
  <si>
    <t>SCO 11 battery back up will not stay powered on causing the SCO to have no power, needs replaced Address to the store is 2894 E. 3rd St, not 2812 E. 3rd St.  [Generated by Portal Login: besa14 Contact: Sabrina Bechtel 715-498-6611 ftfmsupport@rdspos.com]</t>
  </si>
  <si>
    <t>2025-10-31T14:02:05.000Z</t>
  </si>
  <si>
    <t>2025-10-31T16:19:52.000Z</t>
  </si>
  <si>
    <t>SCO 11 battery back up will not stay powered on causing the SCO to have no power, needs replaced Address to the store is 2894 E. 3rd St, not 2812 E. 3rd St.  [Generated by Portal Login: besa14 Contact: Sabrina Bechtel 715-498-6611 ftfmsupport@rdspos.com]-CE IS NOW US133E74-CE WAS US133E74-CE IS NOW US133E70-suspended for ordering the battery, the part number is 4970513710 R6.0 UPS 110V 800VA with USB communication port-LOM order processing, Part has been Ordered , Remedy Id FSC5387438 - (Next Day) by Agent fj250070-Oracle Order Shipped for Remedy Id: U018790360, Order/Receipt # 181824321, Ordered Part 4970513710, Part Description - UPS (N70-800) LV 100V/120V 800VA with USB communication Port and EMC Improvements, Shipment/Receipt #2111733069, Substitute Part was Shipped, Part has been Shipped, Qty 1, Priority OVERNIGHT, Shipping Method UPS-Air-Next Day Air Saver, BOL/Job 1ZH92Y051301832228, Source Location PTC AVL-CE IS NOW US133E75-arrived at site, replaced ups system and powered on machine. checked unit, working as intended.-New Item :7360-4010-9090 New Serial Number :57-60588406 Old Item :7360-4010-9090 Old Serial Number :57-60588387</t>
  </si>
  <si>
    <t>2026-04-28T19:53:07.000Z</t>
  </si>
  <si>
    <t>SCANNER</t>
  </si>
  <si>
    <t>822S</t>
  </si>
  <si>
    <t>2026-04-28T12:28:00.000Z</t>
  </si>
  <si>
    <t>2026-04-28T16:28:00.000Z</t>
  </si>
  <si>
    <t>2026-04-28T14:55:00.000Z</t>
  </si>
  <si>
    <t>2026-04-28T18:55:00.000Z</t>
  </si>
  <si>
    <t>BS185390</t>
  </si>
  <si>
    <t>2026-04-25T12:42:38.000Z</t>
  </si>
  <si>
    <t>2026-04-25T16:42:38.000Z</t>
  </si>
  <si>
    <t>2026-04-25T16:42:39.000Z</t>
  </si>
  <si>
    <t>2026-04-25T12:42:39.000Z</t>
  </si>
  <si>
    <t>CEM4201458:wont fully power on</t>
  </si>
  <si>
    <t>2026-04-28T14:56:03.000Z</t>
  </si>
  <si>
    <t>upon arrival found lane would not let the scale fully power up. I tried using a known working scale on it and found the borrowed scale still works. I replaced the digital board and calibrated the lane. Sent off form to W&amp;amp;M. issue is resolved</t>
  </si>
  <si>
    <t>New Item :7360-4010-9090 New Serial Number :57-60588438 Old Item :7360-4010-9090 Old Serial Number :57-60588423</t>
  </si>
  <si>
    <t>2026-04-28T14:56:05.000Z</t>
  </si>
  <si>
    <t>SCO 13 device offline error code 11-0-0-99-2 SCO 13 is not usable, due to the scanner scale not working or communicating with the register [Generated by Portal Login: besa14 Contact: Sabrina Bechtel 715-498-6611 ftfmsupport@rdspos.com]</t>
  </si>
  <si>
    <t>CE IS NOW US133C21</t>
  </si>
  <si>
    <t>2026-04-25T13:19:52.000Z</t>
  </si>
  <si>
    <t>CE WAS US133C21</t>
  </si>
  <si>
    <t>2026-04-26T17:15:39.000Z</t>
  </si>
  <si>
    <t>SCO 13 device offline error code 11-0-0-99-2 SCO 13 is not usable, due to the scanner scale not working or communicating with the register [Generated by Portal Login: besa14 Contact: Sabrina Bechtel 715-498-6611 ftfmsupport@rdspos.com]-CE IS NOW US133C21-CE WAS US133C21-CE IS NOW US133C28-Escalation Request: Breaching SLA. Need to complete the SR asap [Added by: Vannie Kristoffer Tabares Portal Login: ncr.com Phone Number: 6788085046 Email Address: vanniekristoffer.tabares@ncrvoyix.com Contact By: GIM]-CE WAS US133C28-CE IS NOW US133C19-Escalation Update: Best ETA at this time 04-29-2026 12:00-CE WAS US133C19-CE IS NOW US133C36-found scale will not fully power on. tried using a known working scale and issue remains with original scale. ordering part to esl-LOM order processing, Part has been Ordered , Remedy Id 000000015030161 - (Pick Up)OH, Worthingtonby Agent Auto CE pickup-Oracle Order Shipped for Remedy Id: U018913322, Order/Receipt # 182237964, Ordered Part 4970529873, Part Description - FRU: PCBA MP7 MAIN (SERVICE PART), Shipment/Receipt #2118277609, Part has been Shipped, Qty 1, Priority NFO, Shipping Method CE Pickup After Hours, BOL/Job NA, Source Location UFF USFCMH1G-CEM4201458:wont fully power on-upon arrival found lane would not let the scale fully power up. I tried using a known working scale on it and found the borrowed scale still works. I replaced the digital board and calibrated the lane. Sent off form to W&amp;amp;M. issue is resolved-New Item :7360-4010-9090 New Serial Number :57-60588438 Old Item :7360-4010-9090 Old Serial Number :57-60588423</t>
  </si>
  <si>
    <t>2026-04-11T00:36:53.000Z</t>
  </si>
  <si>
    <t>NR3Z</t>
  </si>
  <si>
    <t>2026-04-10T19:43:00.000Z</t>
  </si>
  <si>
    <t>2026-04-10T23:43:00.000Z</t>
  </si>
  <si>
    <t>2026-04-10T20:11:00.000Z</t>
  </si>
  <si>
    <t>2026-04-11T00:11:00.000Z</t>
  </si>
  <si>
    <t>2026-04-10T11:25:42.000Z</t>
  </si>
  <si>
    <t>2026-04-10T15:25:42.000Z</t>
  </si>
  <si>
    <t>@@@checked in with Asmenuh....cleaned all the sensors and taken out jammed bill in the note recycler...tested and works@@@</t>
  </si>
  <si>
    <t>2026-04-10T20:20:03.000Z</t>
  </si>
  <si>
    <t>New Item :7360-4010-9090 New Serial Number :57-60587784 Old Item :7360-4010-9090 Old Serial Number :57-60591320</t>
  </si>
  <si>
    <t>2026-04-10T20:20:05.000Z</t>
  </si>
  <si>
    <t>SCO 13 has a Note Recycler Error Hardware Failure Error Code 5-9-0-4-62976  [Generated by Portal Login: besa14 Contact: Sabrina Bechtel 715-498-6611 ftfmsupport@rdspos.com]</t>
  </si>
  <si>
    <t>CE IS NOW US133B35</t>
  </si>
  <si>
    <t>2026-04-10T11:28:34.000Z</t>
  </si>
  <si>
    <t>@@@jammed bill and dirty sensors@@@</t>
  </si>
  <si>
    <t>SCO 13 has a Note Recycler Error Hardware Failure Error Code 5-9-0-4-62976  [Generated by Portal Login: besa14 Contact: Sabrina Bechtel 715-498-6611 ftfmsupport@rdspos.com]-CE IS NOW US133B35-@@@jammed bill and dirty sensors@@@-@@@checked in with Asmenuh....cleaned all the sensors and taken out jammed bill in the note recycler...tested and works@@@-New Item :7360-4010-9090 New Serial Number :57-60587784 Old Item :7360-4010-9090 Old Serial Number :57-60591320</t>
  </si>
  <si>
    <t>2026-03-14T20:45:48.000Z</t>
  </si>
  <si>
    <t>57-60588392</t>
  </si>
  <si>
    <t>2026-03-14T15:49:00.000Z</t>
  </si>
  <si>
    <t>2026-03-14T19:49:00.000Z</t>
  </si>
  <si>
    <t>2026-03-14T16:28:00.000Z</t>
  </si>
  <si>
    <t>2026-03-14T20:28:00.000Z</t>
  </si>
  <si>
    <t>CA185180</t>
  </si>
  <si>
    <t>MEIJER/FRESH THYME #927</t>
  </si>
  <si>
    <t>2026-03-14T08:43:37.000Z</t>
  </si>
  <si>
    <t>2026-03-14T12:43:37.000Z</t>
  </si>
  <si>
    <t>2026-03-14T12:43:40.000Z</t>
  </si>
  <si>
    <t>2026-03-14T08:43:40.000Z</t>
  </si>
  <si>
    <t>Store927</t>
  </si>
  <si>
    <t>Non ncr software issue. Coin/cash recycler are working correctly confirmed with support Ashely</t>
  </si>
  <si>
    <t>2026-03-14T16:29:24.000Z</t>
  </si>
  <si>
    <t>non ncr issue</t>
  </si>
  <si>
    <t>2026-03-14T16:29:25.000Z</t>
  </si>
  <si>
    <t>New Item :7360-4010-9090 New Serial Number :57-60588392 Old Item :7360-4010-9090 Old Serial Number :57-60588392</t>
  </si>
  <si>
    <t>2026-03-14T16:29:26.000Z</t>
  </si>
  <si>
    <t>All coin bins says empty, we have already tried to reset the coins and also tried software fixes with same results  [Generated by Portal Login: coas14 Contact: Ashley Cooper 3092131564 acooper@rdspos.com]</t>
  </si>
  <si>
    <t>2026-03-14T08:43:41.000Z</t>
  </si>
  <si>
    <t>2026-03-14T08:47:29.000Z</t>
  </si>
  <si>
    <t>2026-03-14T13:12:33.000Z</t>
  </si>
  <si>
    <t>All coin bins says empty, we have already tried to reset the coins and also tried software fixes with same results  [Generated by Portal Login: coas14 Contact: Ashley Cooper 3092131564 acooper@rdspos.com]-CE IS NOW US133C20-CE WAS US133C20-CE IS NOW US133C24-CE WAS US133C24-CE IS NOW US133C28-Escalation Request: Store requested service today, why I created the ticket as a Priority 1. Please work on resolving this issue asap. [Added by: Ashley Cooper Portal Login: coas14 Phone Number: 3092131564 Email Address: acooper@rdspos.com Contact By: GIM]-Escalation Update: CE confirmed ETA is 03/14/2026 17:00.
-Non ncr software issue. Coin/cash recycler are working correctly confirmed with support Ashely-non ncr issue-New Item :7360-4010-9090 New Serial Number :57-60588392 Old Item :7360-4010-9090 Old Serial Number :57-60588392</t>
  </si>
  <si>
    <t>2026-05-07T14:14:11.000Z</t>
  </si>
  <si>
    <t>2026-05-07T08:03:00.000Z</t>
  </si>
  <si>
    <t>2026-05-07T13:03:00.000Z</t>
  </si>
  <si>
    <t>2026-05-07T08:55:00.000Z</t>
  </si>
  <si>
    <t>2026-05-07T13:55:00.000Z</t>
  </si>
  <si>
    <t>2026-05-06T19:24:49.000Z</t>
  </si>
  <si>
    <t>2026-05-07T00:24:49.000Z</t>
  </si>
  <si>
    <t>2026-05-07T00:24:50.000Z</t>
  </si>
  <si>
    <t>2026-05-06T19:24:50.000Z</t>
  </si>
  <si>
    <t>liquid spill</t>
  </si>
  <si>
    <t>2026-05-07T08:56:55.000Z</t>
  </si>
  <si>
    <t>cleaned out the coin recycler after a spill, ended up replacing the validator unit, tested dispensing and accepting all denominations ok, local contact supervisor Ani</t>
  </si>
  <si>
    <t>2026-05-07T08:56:56.000Z</t>
  </si>
  <si>
    <t>Please clean out coin recycler on SCO 18. Something was spilled and is sticky and will not always dispense coins.  [Generated by Portal Login: coas14 Contact: Ashley N Cooper 3092131564 ftfmsupport@rdspos.com]</t>
  </si>
  <si>
    <t>2026-05-06T19:35:47.000Z</t>
  </si>
  <si>
    <t>2026-05-07T05:26:21.000Z</t>
  </si>
  <si>
    <t>Please clean out coin recycler on SCO 18. Something was spilled and is sticky and will not always dispense coins.  [Generated by Portal Login: coas14 Contact: Ashley N Cooper 3092131564 ftfmsupport@rdspos.com]-CE IS NOW US153N62-CE WAS US153N62-CE IS NOW US153N60-CEM4228100:liquid spill-liquid spill-cleaned out the coin recycler after a spill, ended up replacing the validator unit, tested dispensing and accepting all denominations ok, local contact supervisor Ani-New Item :7360-4010-9090 New Serial Number :57-60587849 Old Item :7360-4010-9090 Old Serial Number :57-60587849</t>
  </si>
  <si>
    <t>2026-03-17T20:11:40.000Z</t>
  </si>
  <si>
    <t>57-60591376</t>
  </si>
  <si>
    <t>2026-03-17T14:28:00.000Z</t>
  </si>
  <si>
    <t>2026-03-17T18:28:00.000Z</t>
  </si>
  <si>
    <t>2026-03-17T15:55:00.000Z</t>
  </si>
  <si>
    <t>2026-03-17T19:55:00.000Z</t>
  </si>
  <si>
    <t>DB185160</t>
  </si>
  <si>
    <t>MEIJER/FRESH THYME #498</t>
  </si>
  <si>
    <t>2026-03-17T09:40:45.000Z</t>
  </si>
  <si>
    <t>2026-03-17T13:40:45.000Z</t>
  </si>
  <si>
    <t>Spoke to lead Luke, validator motor getting tach fault. no debris or jam in validator. replace validator and rebooted lane with add and tested good after firmware updates.</t>
  </si>
  <si>
    <t>2026-03-17T15:56:20.000Z</t>
  </si>
  <si>
    <t>New Item :7360-4010-9090 New Serial Number :57-60591376 Old Item :7360-4010-9090 Old Serial Number :57-60591384</t>
  </si>
  <si>
    <t>2026-03-17T15:56:22.000Z</t>
  </si>
  <si>
    <t>SCO17 has a Coin recycler error - Validator motor error - singulator  [Generated by Portal Login: most14 Contact: Staci Mowder 3096133038 ftfmsupport@rdspos.com]</t>
  </si>
  <si>
    <t>CE IS NOW US133A15</t>
  </si>
  <si>
    <t>2026-03-17T09:42:01.000Z</t>
  </si>
  <si>
    <t>CEM3955583:motor fault, will not spin</t>
  </si>
  <si>
    <t>SCO17 has a Coin recycler error - Validator motor error - singulator  [Generated by Portal Login: most14 Contact: Staci Mowder 3096133038 ftfmsupport@rdspos.com]-CE IS NOW US133A15-CEM3955583:motor fault, will not spin-Spoke to lead Luke, validator motor getting tach fault. no debris or jam in validator. replace validator and rebooted lane with add and tested good after firmware updates.-New Item :7360-4010-9090 New Serial Number :57-60591376 Old Item :7360-4010-9090 Old Serial Number :57-60591384</t>
  </si>
  <si>
    <t>2026-06-05T01:40:34.000Z</t>
  </si>
  <si>
    <t>57_60595344</t>
  </si>
  <si>
    <t>2026-06-04T20:00:00.000Z</t>
  </si>
  <si>
    <t>2026-06-05T01:00:00.000Z</t>
  </si>
  <si>
    <t>2026-06-04T20:25:00.000Z</t>
  </si>
  <si>
    <t>2026-06-05T01:25:00.000Z</t>
  </si>
  <si>
    <t>2026-06-04T17:00:10.000Z</t>
  </si>
  <si>
    <t>2026-06-04T22:00:10.000Z</t>
  </si>
  <si>
    <t>2026-06-04T17:11:49.000Z</t>
  </si>
  <si>
    <t>I arrived on site and examined the lock on SCO 11. Found the screw was loose that holds the lock on, so it wasn't getting a good turn to unlock the door. Fixed the locking mechanism and tightened everything up. Job completed</t>
  </si>
  <si>
    <t>2026-06-04T20:26:20.000Z</t>
  </si>
  <si>
    <t>New Item :7360-4010-9090 New Serial Number :57_60595344 Old Item :7360-4010-9090 Old Serial Number :57-60595344</t>
  </si>
  <si>
    <t>2026-06-04T20:26:22.000Z</t>
  </si>
  <si>
    <t>SCO11 lock on SCO door is jammed and will not open  [Generated by Portal Login: most14 Contact: Staci Mowder 2694689716 FTFMSupport@rdspos.com]</t>
  </si>
  <si>
    <t>2026-06-04T17:01:55.000Z</t>
  </si>
  <si>
    <t>2026-06-04T17:11:48.000Z</t>
  </si>
  <si>
    <t>SCO11 lock on SCO door is jammed and will not open  [Generated by Portal Login: most14 Contact: Staci Mowder 2694689716 FTFMSupport@rdspos.com]-CE IS NOW US153N64-CE WAS US153N64-CE IS NOW US153N62-I arrived on site and examined the lock on SCO 11. Found the screw was loose that holds the lock on, so it wasn't getting a good turn to unlock the door. Fixed the locking mechanism and tightened everything up. Job completed-New Item :7360-4010-9090 New Serial Number :57_60595344 Old Item :7360-4010-9090 Old Serial Number :57-60595344</t>
  </si>
  <si>
    <t>2025-12-03T21:46:04.000Z</t>
  </si>
  <si>
    <t>57-60590085</t>
  </si>
  <si>
    <t>2025-12-03T15:27:00.000Z</t>
  </si>
  <si>
    <t>2025-12-03T20:27:00.000Z</t>
  </si>
  <si>
    <t>2025-12-03T16:28:00.000Z</t>
  </si>
  <si>
    <t>2025-12-03T21:28:00.000Z</t>
  </si>
  <si>
    <t>2025-12-03T15:22:21.000Z</t>
  </si>
  <si>
    <t>2025-12-03T20:22:21.000Z</t>
  </si>
  <si>
    <t>2025-12-03T20:22:26.000Z</t>
  </si>
  <si>
    <t>2025-12-03T15:22:26.000Z</t>
  </si>
  <si>
    <t>H400-0004-0000</t>
  </si>
  <si>
    <t>cleared transfer chamber jam that was caused by a coin wrapper.  see photos.   errors cleared and sco placed back into service.   recommend coin audit due to size of jam.</t>
  </si>
  <si>
    <t>2025-12-03T16:28:27.000Z</t>
  </si>
  <si>
    <t>New Item :7360-4010-9090 New Serial Number :57-60590085 Old Item :7360-4010-9090 Old Serial Number :57-60588450</t>
  </si>
  <si>
    <t>2025-12-03T16:28:28.000Z</t>
  </si>
  <si>
    <t>Transfer motor jam, Error code: 16-6-0-99-67074  [Generated by Portal Login: coas14 Contact: Ashley 3092131564 ftfmsupport@rdspos.com]</t>
  </si>
  <si>
    <t>2025-12-03T15:25:21.000Z</t>
  </si>
  <si>
    <t>2025-12-03T16:28:26.000Z</t>
  </si>
  <si>
    <t>Transfer motor jam, Error code: 16-6-0-99-67074  [Generated by Portal Login: coas14 Contact: Ashley 3092131564 ftfmsupport@rdspos.com]-CE IS NOW US153C41-57-60590085-cleared transfer chamber jam that was caused by a coin wrapper.  see photos.   errors cleared and sco placed back into service.   recommend coin audit due to size of jam.-New Item :7360-4010-9090 New Serial Number :57-60590085 Old Item :7360-4010-9090 Old Serial Number :57-60588450</t>
  </si>
  <si>
    <t>2025-09-23T13:52:07.000Z</t>
  </si>
  <si>
    <t>20-59027029</t>
  </si>
  <si>
    <t>2025-09-23T09:23:00.000Z</t>
  </si>
  <si>
    <t>2025-09-23T13:23:00.000Z</t>
  </si>
  <si>
    <t>2025-09-23T09:36:00.000Z</t>
  </si>
  <si>
    <t>2025-09-23T13:36:00.000Z</t>
  </si>
  <si>
    <t>2025-09-22T18:44:59.000Z</t>
  </si>
  <si>
    <t>2025-09-22T22:44:59.000Z</t>
  </si>
  <si>
    <t>2025-09-22T22:45:02.000Z</t>
  </si>
  <si>
    <t>2025-09-22T18:45:02.000Z</t>
  </si>
  <si>
    <t>57-60588385</t>
  </si>
  <si>
    <t>New Item :7360-4010-9090 New Serial Number :20-59027029 Old Item :7360-4010-9090 Old Serial Number :57-60588385</t>
  </si>
  <si>
    <t>2025-09-23T09:37:23.000Z</t>
  </si>
  <si>
    <t>Tri-light on SCO 18 is not functioning correctly; it does not change from red even while in use.  [Generated by Portal Login: coas14 Contact: Ashley  3092131564 FTFMSupport@rdspos.com]</t>
  </si>
  <si>
    <t>2025-09-22T18:45:03.000Z</t>
  </si>
  <si>
    <t>2025-09-22T18:51:08.000Z</t>
  </si>
  <si>
    <t>SCO in full use on arrival. lane light stuck on red. turned trilight on and off in PML, and colors corrected. tested transaction with age verification to test all colors. SCO back in full service.</t>
  </si>
  <si>
    <t>2025-09-23T09:37:21.000Z</t>
  </si>
  <si>
    <t>Tri-light on SCO 18 is not functioning correctly; it does not change from red even while in use.  [Generated by Portal Login: coas14 Contact: Ashley  3092131564 FTFMSupport@rdspos.com]-CE IS NOW US133U01-SCO in full use on arrival. lane light stuck on red. turned trilight on and off in PML, and colors corrected. tested transaction with age verification to test all colors. SCO back in full service.-New Item :7360-4010-9090 New Serial Number :20-59027029 Old Item :7360-4010-9090 Old Serial Number :57-60588385</t>
  </si>
  <si>
    <t>2026-06-05T00:55:35.000Z</t>
  </si>
  <si>
    <t>57-60591372</t>
  </si>
  <si>
    <t>2026-06-04T19:13:00.000Z</t>
  </si>
  <si>
    <t>2026-06-04T23:13:00.000Z</t>
  </si>
  <si>
    <t>2026-06-04T20:41:00.000Z</t>
  </si>
  <si>
    <t>2026-06-05T00:41:00.000Z</t>
  </si>
  <si>
    <t>JS185601</t>
  </si>
  <si>
    <t>MEIJER/FRESH THYME #644</t>
  </si>
  <si>
    <t>2026-06-04T18:29:00.000Z</t>
  </si>
  <si>
    <t>2026-06-04T22:29:00.000Z</t>
  </si>
  <si>
    <t>Store644</t>
  </si>
  <si>
    <t>New Item :7360-4010-9090 New Serial Number :57-60591372 Old Item :7360-4010-9090 Old Serial Number :57-60591372</t>
  </si>
  <si>
    <t>2026-06-04T20:42:35.000Z</t>
  </si>
  <si>
    <t>SCO11 Before reboot had a Coin recycler error, now getting stuck on 
'Loading device manager&amp;quot;  [Generated by Portal Login: most14 Contact: Staci Mowder 2694689716 FTFMSupport@rdspos.com]</t>
  </si>
  <si>
    <t>CE IS NOW US133U10</t>
  </si>
  <si>
    <t>2026-06-04T18:40:07.000Z</t>
  </si>
  <si>
    <t>SCO11 experiencing coin recycler issues, was unable to dispense quarters. Checked the quarters cassette and found a quarter had wedged into the space between the chassis exit and the cassette infeed. Verified with self test and dispense/accept via validator, all pass. Relayed repair to MOD Trevor.</t>
  </si>
  <si>
    <t>2026-06-04T20:42:33.000Z</t>
  </si>
  <si>
    <t>SCO11 Before reboot had a Coin recycler error, now getting stuck on 
'Loading device manager&amp;quot;  [Generated by Portal Login: most14 Contact: Staci Mowder 2694689716 FTFMSupport@rdspos.com]-CE IS NOW US133U10-SCO11 experiencing coin recycler issues, was unable to dispense quarters. Checked the quarters cassette and found a quarter had wedged into the space between the chassis exit and the cassette infeed. Verified with self test and dispense/accept via validator, all pass. Relayed repair to MOD Trevor.-New Item :7360-4010-9090 New Serial Number :57-60591372 Old Item :7360-4010-9090 Old Serial Number :57-60591372</t>
  </si>
  <si>
    <t>2026-03-06T22:23:26.000Z</t>
  </si>
  <si>
    <t>57-60595313</t>
  </si>
  <si>
    <t>2026-03-06T16:02:00.000Z</t>
  </si>
  <si>
    <t>2026-03-06T22:02:00.000Z</t>
  </si>
  <si>
    <t>2026-03-06T16:08:00.000Z</t>
  </si>
  <si>
    <t>2026-03-06T22:08:00.000Z</t>
  </si>
  <si>
    <t>2026-03-05T17:49:53.000Z</t>
  </si>
  <si>
    <t>2026-03-05T23:49:53.000Z</t>
  </si>
  <si>
    <t>Oracle Order Shipped for Remedy Id: U018878606, Order/Receipt # 182117992, Ordered Part 4970534153, Part Description - UPS (N70-800) LV 100V/120V 800VA with USB communication Port and EMC Improvements, Shipment/Receipt #2117443184, Part has been Shipped, Qty 1, Priority OVERNIGHT, Shipping Method UPS-Air-Next Day Air Saver, BOL/Job 1ZH92Y051302543388, Source Location PTC AVL</t>
  </si>
  <si>
    <t>2026-03-05T22:03:15.000Z</t>
  </si>
  <si>
    <t>replaced the defective ups and the unit tested OK.</t>
  </si>
  <si>
    <t>2026-03-06T16:08:10.000Z</t>
  </si>
  <si>
    <t>New Item :7360-4010-9090 New Serial Number :57-60595313 Old Item :7360-4010-9090 Old Serial Number :57-60595319</t>
  </si>
  <si>
    <t>2026-03-06T16:08:12.000Z</t>
  </si>
  <si>
    <t>SCO 14 not powering on at all. May need battery backups replaced.  [Generated by Portal Login: most14 Contact: Staci Mowder 3096133038 ftfmsupport@rdspos.com]</t>
  </si>
  <si>
    <t>2026-03-05T17:49:54.000Z</t>
  </si>
  <si>
    <t>2026-03-05T17:54:23.000Z</t>
  </si>
  <si>
    <t>ups confirmed bad.  ordered replacement to ups on lesson ferry rd.</t>
  </si>
  <si>
    <t>2026-03-05T18:50:09.000Z</t>
  </si>
  <si>
    <t>SCO 14 not powering on at all. May need battery backups replaced.  [Generated by Portal Login: most14 Contact: Staci Mowder 3096133038 ftfmsupport@rdspos.com]-CE IS NOW US153N64-ups confirmed bad.  ordered replacement to ups on lesson ferry rd.-LOM order processing, Part has been Ordered , Remedy Id 000000014993840 - (Next Day) by Agent Auto VIP P000-Oracle Order Shipped for Remedy Id: U018878606, Order/Receipt # 182117992, Ordered Part 4970534153, Part Description - UPS (N70-800) LV 100V/120V 800VA with USB communication Port and EMC Improvements, Shipment/Receipt #2117443184, Part has been Shipped, Qty 1, Priority OVERNIGHT, Shipping Method UPS-Air-Next Day Air Saver, BOL/Job 1ZH92Y051302543388, Source Location PTC AVL-replaced the defective ups and the unit tested OK.-New Item :7360-4010-9090 New Serial Number :57-60595313 Old Item :7360-4010-9090 Old Serial Number :57-60595319</t>
  </si>
  <si>
    <t>2026-03-12T21:44:20.000Z</t>
  </si>
  <si>
    <t>57-60590119</t>
  </si>
  <si>
    <t>2026-03-11T15:29:00.000Z</t>
  </si>
  <si>
    <t>2026-03-11T20:29:00.000Z</t>
  </si>
  <si>
    <t>2026-03-12T16:26:00.000Z</t>
  </si>
  <si>
    <t>2026-03-12T21:26:00.000Z</t>
  </si>
  <si>
    <t>2026-03-10T18:47:11.000Z</t>
  </si>
  <si>
    <t>2026-03-10T23:47:11.000Z</t>
  </si>
  <si>
    <t>CEM3830699:Jammed coins in the white wheel of rhe active cashbox</t>
  </si>
  <si>
    <t>2026-03-12T16:28:24.000Z</t>
  </si>
  <si>
    <t>SNFI position still no closed SR for past 13 weeks.  The manager welcome CE who has come to replace the active cashbox. The active cashbox was replaced and the SCO restarted. Manager Reese tested and verified coin removed from defective cashbox was reloaded successfully.  and SCO made successful transactions in cash and cards</t>
  </si>
  <si>
    <t>New Item :7360-4010-9090 New Serial Number :57-60590119 Old Item :7360-4010-9090 Old Serial Number :57-60591396</t>
  </si>
  <si>
    <t>2026-03-12T16:28:26.000Z</t>
  </si>
  <si>
    <t>Coin Box Motor Jammed- Error code:16-6-0--99-459777  [Generated by Portal Login: coas14 Contact: Ashley Cooper 3092131564 ftfmsupport@rdspos.com]</t>
  </si>
  <si>
    <t>2026-03-10T18:47:12.000Z</t>
  </si>
  <si>
    <t>2026-03-10T19:02:34.000Z</t>
  </si>
  <si>
    <t>SNFI has no record of service for past 13 weeks. The active cashbox has a jam, after 3 attempts moving the white wheel to and fro but never go beyond 30 degrees, when the cashbox already  emptied; the jam persisted. Task suspended and active cashbox ordered.</t>
  </si>
  <si>
    <t>2026-03-11T17:30:08.000Z</t>
  </si>
  <si>
    <t>Coin Box Motor Jammed- Error code:16-6-0--99-459777  [Generated by Portal Login: coas14 Contact: Ashley Cooper 3092131564 ftfmsupport@rdspos.com]-CE IS NOW US153R70-SNFI has no record of service for past 13 weeks. The active cashbox has a jam, after 3 attempts moving the white wheel to and fro but never go beyond 30 degrees, when the cashbox already  emptied; the jam persisted. Task suspended and active cashbox ordered.-LOM order processing, Part has been Ordered , Remedy Id 000000014997728 - (Next Day) by Agent Auto VIP P000-Oracle Order Shipped for Remedy Id: U018882437, Order/Receipt # 182131198, Ordered Part 4970533870, Part Description - CR5000  Active Cashbox Type A (non-dissipative tracks) (Service Part), Shipment/Receipt #2117551576, Part has been Shipped, Qty 1, Priority OVERNIGHT, Shipping Method UPS-Air-Next Day Air Saver, BOL/Job 1ZH92Y051302573828, Source Location PTC AVL-CEM3830699:Jammed coins in the white wheel of rhe active cashbox-SNFI position still no closed SR for past 13 weeks.  The manager welcome CE who has come to replace the active cashbox. The active cashbox was replaced and the SCO restarted. Manager Reese tested and verified coin removed from defective cashbox was reloaded successfully.  and SCO made successful transactions in cash and cards-New Item :7360-4010-9090 New Serial Number :57-60590119 Old Item :7360-4010-9090 Old Serial Number :57-60591396</t>
  </si>
  <si>
    <t>2026-01-10T17:59:10.000Z</t>
  </si>
  <si>
    <t>57-60591368</t>
  </si>
  <si>
    <t>2026-01-10T11:52:00.000Z</t>
  </si>
  <si>
    <t>2026-01-10T16:52:00.000Z</t>
  </si>
  <si>
    <t>2026-01-10T12:44:00.000Z</t>
  </si>
  <si>
    <t>2026-01-10T17:44:00.000Z</t>
  </si>
  <si>
    <t>2026-01-10T10:40:41.000Z</t>
  </si>
  <si>
    <t>2026-01-10T15:40:41.000Z</t>
  </si>
  <si>
    <t>CEM4030863:Does not accept coins</t>
  </si>
  <si>
    <t>2026-01-10T12:46:04.000Z</t>
  </si>
  <si>
    <t>Replace the coin validator ran ADD synced it up so that there are no more lights on the coin.Except her process , the bad part back in service job complete</t>
  </si>
  <si>
    <t>New Item :7360-4010-9090 New Serial Number :57-60591368 Old Item :7360-4010-9090 Old Serial Number :57-60591378</t>
  </si>
  <si>
    <t>2026-01-10T12:46:06.000Z</t>
  </si>
  <si>
    <t>Coin dispenser flashing orange and not able to use in cash mode on SCO11  [Generated by Portal Login: most14 Contact: Staci Mowder 3096133038 ftfmsupport@rdspos.com]</t>
  </si>
  <si>
    <t>2026-01-10T10:40:42.000Z</t>
  </si>
  <si>
    <t>2026-01-10T10:43:03.000Z</t>
  </si>
  <si>
    <t>2026-01-10T11:05:51.000Z</t>
  </si>
  <si>
    <t>Coin dispenser flashing orange and not able to use in cash mode on SCO11  [Generated by Portal Login: most14 Contact: Staci Mowder 3096133038 ftfmsupport@rdspos.com]-CE IS NOW US133U34-CE WAS US133U34-CE IS NOW US133U38-CEM4030863:Does not accept coins-Replace the coin validator ran ADD synced it up so that there are no more lights on the coin.Except her process , the bad part back in service job complete-New Item :7360-4010-9090 New Serial Number :57-60591368 Old Item :7360-4010-9090 Old Serial Number :57-60591378</t>
  </si>
  <si>
    <t>2025-08-06T20:37:28.000Z</t>
  </si>
  <si>
    <t>PRINTER_SLIP</t>
  </si>
  <si>
    <t>PR8U</t>
  </si>
  <si>
    <t>2025-08-06T15:03:00.000Z</t>
  </si>
  <si>
    <t>2025-08-06T20:03:00.000Z</t>
  </si>
  <si>
    <t>2025-08-06T15:21:00.000Z</t>
  </si>
  <si>
    <t>2025-08-06T20:21:00.000Z</t>
  </si>
  <si>
    <t>2025-08-06T13:55:31.000Z</t>
  </si>
  <si>
    <t>2025-08-06T18:55:31.000Z</t>
  </si>
  <si>
    <t>2025-08-06T14:01:42.000Z</t>
  </si>
  <si>
    <t>so saw the printer error saw that it would pop up so I cleaned the printer with a thermal cleaner also restarted the sco since they dont turn them off at all, had Scott print multiple receipts out and no issues occurred everything worked fine</t>
  </si>
  <si>
    <t>2025-08-06T15:21:38.000Z</t>
  </si>
  <si>
    <t>2025-08-06T15:21:41.000Z</t>
  </si>
  <si>
    <t>Receipts getting jammed or not printing on SCO11. Has a Receipt printer error -printer is unavailable message in screen and printer is flashing yellow  [Generated by Portal Login: most14 Contact: Staci Mowder 3096133038 ftfmsupport@rdspos.com]</t>
  </si>
  <si>
    <t>2025-08-06T13:55:32.000Z</t>
  </si>
  <si>
    <t>CE IS NOW US153C26</t>
  </si>
  <si>
    <t>2025-08-06T13:57:46.000Z</t>
  </si>
  <si>
    <t>CE WAS US153C26</t>
  </si>
  <si>
    <t>2025-08-06T14:01:41.000Z</t>
  </si>
  <si>
    <t>Receipts getting jammed or not printing on SCO11. Has a Receipt printer error -printer is unavailable message in screen and printer is flashing yellow  [Generated by Portal Login: most14 Contact: Staci Mowder 3096133038 ftfmsupport@rdspos.com]-CE IS NOW US153C26-CE WAS US153C26-CE IS NOW US153C27-so saw the printer error saw that it would pop up so I cleaned the printer with a thermal cleaner also restarted the sco since they dont turn them off at all, had Scott print multiple receipts out and no issues occurred everything worked fine-New Item :7360-4010-9090 New Serial Number :57-60595336 Old Item :7360-4010-9090 Old Serial Number :57-60595336</t>
  </si>
  <si>
    <t>2025-09-03T19:39:20.000Z</t>
  </si>
  <si>
    <t>2025-09-03T13:33:00.000Z</t>
  </si>
  <si>
    <t>2025-09-03T18:33:00.000Z</t>
  </si>
  <si>
    <t>2025-09-03T13:34:00.000Z</t>
  </si>
  <si>
    <t>2025-09-03T18:34:00.000Z</t>
  </si>
  <si>
    <t>2025-09-03T10:27:23.000Z</t>
  </si>
  <si>
    <t>2025-09-03T15:27:23.000Z</t>
  </si>
  <si>
    <t>2025-09-03T15:27:27.000Z</t>
  </si>
  <si>
    <t>2025-09-03T10:27:27.000Z</t>
  </si>
  <si>
    <t>2025-09-03T14:25:48.000Z</t>
  </si>
  <si>
    <t>SCO 13 will not power on, needs the battery backup replaced  [Generated by Portal Login: besa14 Contact: Sabrina Bechtel 715-498-6611 ftfmsupport@rdspos.com]</t>
  </si>
  <si>
    <t>2025-09-03T10:29:07.000Z</t>
  </si>
  <si>
    <t>2025-09-03T14:25:45.000Z</t>
  </si>
  <si>
    <t>SCO 13 will not power on, needs the battery backup replaced  [Generated by Portal Login: besa14 Contact: Sabrina Bechtel 715-498-6611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:57-60590099 Old Item :7360-4010-9090 Old Serial Number :57-60590099</t>
  </si>
  <si>
    <t>2025-11-08T22:29:16.000Z</t>
  </si>
  <si>
    <t>7SIS</t>
  </si>
  <si>
    <t>2025-11-08T16:13:00.000Z</t>
  </si>
  <si>
    <t>2025-11-08T21:13:00.000Z</t>
  </si>
  <si>
    <t>2025-11-08T17:11:00.000Z</t>
  </si>
  <si>
    <t>2025-11-08T22:11:00.000Z</t>
  </si>
  <si>
    <t>2025-11-08T13:34:48.000Z</t>
  </si>
  <si>
    <t>2025-11-08T18:34:48.000Z</t>
  </si>
  <si>
    <t>2025-11-08T18:34:51.000Z</t>
  </si>
  <si>
    <t>2025-11-08T13:34:51.000Z</t>
  </si>
  <si>
    <t>sco was closed on arrival. staff opened lane and self test completed successfully. tested cash recycler with test transaction. no jams or issue was the test. checked with staff, no real clues on what the problem was other than the possibility of an intermittent issue. tried power draining and cleaning gsr50 and redid test transaction.  still no jamming occurred. call is a no fault found.</t>
  </si>
  <si>
    <t>2025-11-08T17:13:07.000Z</t>
  </si>
  <si>
    <t>2025-11-08T17:13:08.000Z</t>
  </si>
  <si>
    <t>SCO 17 has a Note recycle error hardware failure error code 5-9-0-4-62976  [Generated by Portal Login: besa14 Contact: Sabrina Bechtel 715-498-6611 ftfmsupport@rdspos.com]</t>
  </si>
  <si>
    <t>2025-11-08T13:45:30.000Z</t>
  </si>
  <si>
    <t>no fault found after 2 rounds of testing</t>
  </si>
  <si>
    <t>SCO 17 has a Note recycle error hardware failure error code 5-9-0-4-62976  [Generated by Portal Login: besa14 Contact: Sabrina Bechtel 715-498-6611 ftfmsupport@rdspos.com]-CE IS NOW US133E75-no fault found after 2 rounds of testing-sco was closed on arrival. staff opened lane and self test completed successfully. tested cash recycler with test transaction. no jams or issue was the test. checked with staff, no real clues on what the problem was other than the possibility of an intermittent issue. tried power draining and cleaning gsr50 and redid test transaction.  still no jamming occurred. call is a no fault found.-New Item :7360-4010-9090 New Serial Number :57-60590087 Old Item :7360-4010-9090 Old Serial Number :57-60590087</t>
  </si>
  <si>
    <t>2025-08-11T17:37:01.000Z</t>
  </si>
  <si>
    <t>57-60587759</t>
  </si>
  <si>
    <t>2025-08-11T13:06:00.000Z</t>
  </si>
  <si>
    <t>2025-08-11T17:06:00.000Z</t>
  </si>
  <si>
    <t>2025-08-11T13:22:00.000Z</t>
  </si>
  <si>
    <t>2025-08-11T17:22:00.000Z</t>
  </si>
  <si>
    <t>DP185266</t>
  </si>
  <si>
    <t>2025-08-10T15:51:37.000Z</t>
  </si>
  <si>
    <t>2025-08-10T19:51:37.000Z</t>
  </si>
  <si>
    <t>7772-F451</t>
  </si>
  <si>
    <t>2025-08-11T12:47:40.000Z</t>
  </si>
  <si>
    <t>battery backup was completely dead so replaced ups and made sure everything is working properly</t>
  </si>
  <si>
    <t>2025-08-11T13:23:44.000Z</t>
  </si>
  <si>
    <t>New Item :7360-4010-9090 New Serial Number :57-60587759 Old Item :7360-4010-9090 Old Serial Number :57-60587792</t>
  </si>
  <si>
    <t>2025-08-11T13:23:45.000Z</t>
  </si>
  <si>
    <t>Battery backup is dead  [Generated by Portal Login: repa14 Contact: Patrick Reeves 3092411908 ftfmsupport@rdspos.com]</t>
  </si>
  <si>
    <t>2025-08-10T15:59:21.000Z</t>
  </si>
  <si>
    <t>2025-08-11T09:39:35.000Z</t>
  </si>
  <si>
    <t>Battery backup is dead  [Generated by Portal Login: repa14 Contact: Patrick Reeves 3092411908 ftfmsupport@rdspos.com]-CE IS NOW US133C75-CE WAS US133C75-CE IS NOW US133C73-CE IS NOW US133C73-battery backup was completely dead so replaced ups and made sure everything is working properly-New Item :7360-4010-9090 New Serial Number :57-60587759 Old Item :7360-4010-9090 Old Serial Number :57-60587792</t>
  </si>
  <si>
    <t>2026-01-05T18:29:38.000Z</t>
  </si>
  <si>
    <t>20-58993011</t>
  </si>
  <si>
    <t>2026-01-05T13:08:00.000Z</t>
  </si>
  <si>
    <t>2026-01-05T18:08:00.000Z</t>
  </si>
  <si>
    <t>2026-01-05T13:14:00.000Z</t>
  </si>
  <si>
    <t>2026-01-05T18:14:00.000Z</t>
  </si>
  <si>
    <t>2026-01-05T09:24:22.000Z</t>
  </si>
  <si>
    <t>2026-01-05T14:24:22.000Z</t>
  </si>
  <si>
    <t>2026-01-05T09:52:08.000Z</t>
  </si>
  <si>
    <t>2026-01-05T13:15:02.000Z</t>
  </si>
  <si>
    <t>New Item :7360-4010-9090 New Serial Number :20-58993011 Old Item :7360-4010-9090 Old Serial Number :57-60587724</t>
  </si>
  <si>
    <t>2026-01-05T13:15:04.000Z</t>
  </si>
  <si>
    <t>SCO 16 needs an annual PM, please clean and blow out the sco, store requested  [Generated by Portal Login: besa14 Contact: Sabrina Bechtel 715-498-6611 ftfmsupport@rdspos.com]</t>
  </si>
  <si>
    <t>2026-01-05T09:24:31.000Z</t>
  </si>
  <si>
    <t>2026-01-05T09:52:07.000Z</t>
  </si>
  <si>
    <t>SCO 16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:20-58993011 Old Item :7360-4010-9090 Old Serial Number :57-60587724</t>
  </si>
  <si>
    <t>2026-03-27T17:40:04.000Z</t>
  </si>
  <si>
    <t>57-60591365</t>
  </si>
  <si>
    <t>2026-03-25T14:01:00.000Z</t>
  </si>
  <si>
    <t>2026-03-25T19:01:00.000Z</t>
  </si>
  <si>
    <t>2026-03-27T12:21:00.000Z</t>
  </si>
  <si>
    <t>2026-03-27T17:21:00.000Z</t>
  </si>
  <si>
    <t>CHGC -   damaged lock</t>
  </si>
  <si>
    <t>2026-03-25T08:24:09.000Z</t>
  </si>
  <si>
    <t>2026-03-25T13:24:09.000Z</t>
  </si>
  <si>
    <t>scanned barcode, examined issues, replaced lock assembly, test good</t>
  </si>
  <si>
    <t>2026-03-27T12:22:44.000Z</t>
  </si>
  <si>
    <t>New Item :7360-4010-9090 New Serial Number :57-60591365 Old Item :7360-4010-9090 Old Serial Number :57-60591345</t>
  </si>
  <si>
    <t>2026-03-27T12:22:45.000Z</t>
  </si>
  <si>
    <t>2026-03-27T12:33:46.000Z</t>
  </si>
  <si>
    <t>SCO 12 locking mechanism on the first door is hard to open. SCO door is not sitting even, causing them to have to lift on the door and still struggle to unlock  [Generated by Portal Login: besa14 Contact: Sabrina Bechtel 715-498-6611 ftfmsupport@rdspos.com]</t>
  </si>
  <si>
    <t>2026-03-25T08:24:10.000Z</t>
  </si>
  <si>
    <t>CE IS NOW US153R81</t>
  </si>
  <si>
    <t>2026-03-25T08:37:43.000Z</t>
  </si>
  <si>
    <t>lock damaged, needs drilled out and replaced. ordering lock</t>
  </si>
  <si>
    <t>2026-03-25T14:08:35.000Z</t>
  </si>
  <si>
    <t>SCO 12 locking mechanism on the first door is hard to open. SCO door is not sitting even, causing them to have to lift on the door and still struggle to unlock  [Generated by Portal Login: besa14 Contact: Sabrina Bechtel 715-498-6611 ftfmsupport@rdspos.com]-CE IS NOW US153R81-lock damaged, needs drilled out and replaced. ordering lock-damaged lock-needs lock replaced, part ordered-LOM order processing, Part has been Ordered , Remedy Id 000000015007100 - (Next Day) by Agent Auto VIP P932-Oracle Order Shipped for Remedy Id: U018891415, Order/Receipt # 182164467, Ordered Part 4970537232, Part Description - ASSEMBLY - LATCH DUAL DOOR COSMETIC - 333 KEY LOCK, Shipment/Receipt #2117790525, Part has been Shipped, Qty 1, Priority OVERNIGHT, Shipping Method UPS-Air-Next Day Air Saver, BOL/Job 1ZH92Y051302648524, Source Location PTC AVL-Escalation Request: Penalty account. Breaching SLA [Added by: Vannie Kristoffer Tabares Portal Login: ncr.com Phone Number: 6788085046 Email Address: vanniekristoffer.tabares@ncrvoyix.com Contact By: GIM]-CE IS NOW US153R19-broken lock-scanned barcode, examined issues, replaced lock assembly, test good-New Item :7360-4010-9090 New Serial Number :57-60591365 Old Item :7360-4010-9090 Old Serial Number :57-60591345-CE IS NOW US153R19</t>
  </si>
  <si>
    <t>2026-03-11T19:02:26.000Z</t>
  </si>
  <si>
    <t>57-60590100</t>
  </si>
  <si>
    <t>2026-03-11T13:56:00.000Z</t>
  </si>
  <si>
    <t>2026-03-11T17:56:00.000Z</t>
  </si>
  <si>
    <t>2026-03-11T14:47:00.000Z</t>
  </si>
  <si>
    <t>2026-03-11T18:47:00.000Z</t>
  </si>
  <si>
    <t>2026-03-10T09:12:45.000Z</t>
  </si>
  <si>
    <t>2026-03-10T13:12:45.000Z</t>
  </si>
  <si>
    <t>2026-03-11T13:21:48.000Z</t>
  </si>
  <si>
    <t>Arrive on site find machine is in working condition, transport belt is fine without jam. Empty and recount coin box and find only 10c coin in the coin box. Test with accept and dispense without issue. Only could cause is when active cashbox is try to process multiple coin at same time and cause jam. Advice store to lightly shake coin box if issue resume, replace active coin box might be advice.</t>
  </si>
  <si>
    <t>2026-03-11T14:48:08.000Z</t>
  </si>
  <si>
    <t>New Item :7360-4010-9090 New Serial Number :57-60590100 Old Item :7360-4010-9090 Old Serial Number :57-60588422</t>
  </si>
  <si>
    <t>2026-03-11T14:48:11.000Z</t>
  </si>
  <si>
    <t>SCO14 has a Coin recycler error-transfer motor jam.  [Generated by Portal Login: most14 Contact: Staci Mowder 3096133038 ftfmsupport@rdspos.com]</t>
  </si>
  <si>
    <t>2026-03-10T09:38:29.000Z</t>
  </si>
  <si>
    <t>2026-03-11T07:45:45.000Z</t>
  </si>
  <si>
    <t>SCO14 has a Coin recycler error-transfer motor jam.  [Generated by Portal Login: most14 Contact: Staci Mowder 3096133038 ftfmsupport@rdspos.com]-CE IS NOW US133E74-CE WAS US133E74-CE IS NOW US133E75-CE WAS US133E75-CE IS NOW US133E79-Arrive on site find machine is in working condition, transport belt is fine without jam. Empty and recount coin box and find only 10c coin in the coin box. Test with accept and dispense without issue. Only could cause is when active cashbox is try to process multiple coin at same time and cause jam. Advice store to lightly shake coin box if issue resume, replace active coin box might be advice.-New Item :7360-4010-9090 New Serial Number :57-60590100 Old Item :7360-4010-9090 Old Serial Number :57-60588422</t>
  </si>
  <si>
    <t>2026-05-02T00:24:52.000Z</t>
  </si>
  <si>
    <t>2026-04-29T17:50:00.000Z</t>
  </si>
  <si>
    <t>2026-04-29T22:50:00.000Z</t>
  </si>
  <si>
    <t>2026-05-01T19:09:00.000Z</t>
  </si>
  <si>
    <t>2026-05-02T00:09:00.000Z</t>
  </si>
  <si>
    <t>2026-04-29T12:29:50.000Z</t>
  </si>
  <si>
    <t>2026-04-29T17:29:50.000Z</t>
  </si>
  <si>
    <t>CEM4155038:lane light not working</t>
  </si>
  <si>
    <t>2026-05-01T19:10:13.000Z</t>
  </si>
  <si>
    <t>2026-05-01T19:10:16.000Z</t>
  </si>
  <si>
    <t>New Item :7360-4010-9090 New Serial Number :086700689677 Old Item :7360-4010-9090 Old Serial Number :57-60587790</t>
  </si>
  <si>
    <t>2026-05-01T19:10:18.000Z</t>
  </si>
  <si>
    <t>SCO 13 tri-light it out, not working  [Generated by Portal Login: besa14 Contact: Sabrina Bechtel 715-498-6611 ftfmsupport@rdspos.com]</t>
  </si>
  <si>
    <t>2026-04-29T12:29:51.000Z</t>
  </si>
  <si>
    <t>2026-04-29T12:31:22.000Z</t>
  </si>
  <si>
    <t>2026-04-29T17:56:36.000Z</t>
  </si>
  <si>
    <t>SCO 13 tri-light it out, not working  [Generated by Portal Login: besa14 Contact: Sabrina Bechtel 715-498-6611 ftfmsupport@rdspos.com]-CE IS NOW US153C10-Ordering Tri-Light w/Camera-LOM order processing, Part has been Ordered , Remedy Id 000000015031391 - (Next Day) by Agent Auto VIP P000-Oracle Order Shipped for Remedy Id: U018914395, Order/Receipt # 182241368, Ordered Part 4970525295, Part Description - KIT - R6 TRI-LIGHT W/IP CAMERA, Shipment/Receipt #2118313767, Part has been Shipped, Qty 1, Priority OVERNIGHT, Shipping Method UPS-Air-Next Day Air Saver, BOL/Job 1ZH92Y051302804408, Source Location PTC AVL-CEM4155038:lane light not working-Replaced tri light for sco lane. Secured connections and rebooted sco. Light now working normal.-New Item :7360-4010-9090 New Serial Number :086700689677 Old Item :7360-4010-9090 Old Serial Number :57-60587790</t>
  </si>
  <si>
    <t>2025-10-27T02:30:21.000Z</t>
  </si>
  <si>
    <t>57-60591308</t>
  </si>
  <si>
    <t>2025-10-25T20:14:00.000Z</t>
  </si>
  <si>
    <t>2025-10-26T01:14:00.000Z</t>
  </si>
  <si>
    <t>2025-10-26T20:50:00.000Z</t>
  </si>
  <si>
    <t>2025-10-27T01:50:00.000Z</t>
  </si>
  <si>
    <t>2025-10-25T19:16:14.000Z</t>
  </si>
  <si>
    <t>2025-10-26T00:16:14.000Z</t>
  </si>
  <si>
    <t>2025-10-26T00:16:15.000Z</t>
  </si>
  <si>
    <t>2025-10-25T19:16:15.000Z</t>
  </si>
  <si>
    <t>SCO#18 had some cosmetic wear on the cabinet door. Part was on site, and it appears to have come from ESL. Oracle Order Number 181296932 pn#4970527925 SERVICE ASSEMBLY- COSMETIC DOOR - KIT. Unable to receive part into inventory due to receipt number entered for a Non CE location. New door tested, locks, etc. Recommended stickers for the front: notes, coins, coupon.</t>
  </si>
  <si>
    <t>2025-10-26T21:17:23.000Z</t>
  </si>
  <si>
    <t>New Item :7360-4010-9090 New Serial Number :57-60591308 Old Item :7360-4010-9090 Old Serial Number :57-60590127</t>
  </si>
  <si>
    <t>2025-10-26T21:17:25.000Z</t>
  </si>
  <si>
    <t>Oracle Order Shipped for Remedy Id: U018785185, Order/Receipt # 181804356, Ordered Part 4970527925, Part Description - SERVICE ASSEMBLY - COSMETIC DOOR - KIT, Shipment/Receipt #2111591678, Part has been Shipped, Qty 1, Priority NFO, Shipping Method CE Pickup After Hours, BOL/Job NA, Source Location UFF USFMSP1G</t>
  </si>
  <si>
    <t>2025-10-27T07:33:28.000Z</t>
  </si>
  <si>
    <t>Unable to open the inner vault SCO door   [Generated by Portal Login: coas14 Contact: Ashley  309-213-1564 FTFMSupport@rdspos.com]</t>
  </si>
  <si>
    <t>2025-10-25T19:22:37.000Z</t>
  </si>
  <si>
    <t>Please add SCO 16 to this ticket, the note recyclers are all jamming and wont dispense or take money. Thank you! [Remark added by: sco 16 by chance to his list as well the note recyclers are all jamming and wont dispense or take money Portal Login: coas14 Phone Number: 3092131564 Email Address: FTFMSupport@rdspos.com]</t>
  </si>
  <si>
    <t>2025-10-25T20:48:05.000Z</t>
  </si>
  <si>
    <t>Unable to open the inner vault SCO door   [Generated by Portal Login: coas14 Contact: Ashley  309-213-1564 FTFMSupport@rdspos.com]-CE IS NOW US153R70- Please add SCO 16 to this ticket, the note recyclers are all jamming and wont dispense or take money. Thank you! [Remark added by: sco 16 by chance to his list as well the note recyclers are all jamming and wont dispense or take money Portal Login: coas14 Phone Number: 3092131564 Email Address: FTFMSupport@rdspos.com]-The comestic door could open due to damage on the coupon chute porch. Carefully lubricant and slight pressure applied on the door, and the door could open and close with ease. The chute four screws that fastened it the the comestic door and its hollow nuts are severed from the comestic door. All the hollow nuts recess are damaged. The cosmetic door has to be replaced .Task suspended.-LOM order processing, Part has been Ordered , Remedy Id 000000014897275 - (Pick Up)MN, Arden Hillsby Agent Auto CE pickup-CE IS NOW US153R84-damaged-Took the door apart. the exit cup screws are stripped. I do not have the tools to takeout the stripped screw. suspending call.-CE WAS US153R84-CE IS NOW US153R79-CE IS NOW US153R79-Removal/installation of cabinetry door and components.-SCO#18 had some cosmetic wear on the cabinet door. Part was on site, and it appears to have come from ESL. Oracle Order Number 181296932 pn#4970527925 SERVICE ASSEMBLY- COSMETIC DOOR - KIT. Unable to receive part into inventory due to receipt number entered for a Non CE location. New door tested, locks, etc. Recommended stickers for the front: notes, coins, coupon.-New Item :7360-4010-9090 New Serial Number :57-60591308 Old Item :7360-4010-9090 Old Serial Number :57-60590127-Oracle Order Shipped for Remedy Id: U018785185, Order/Receipt # 181804356, Ordered Part 4970527925, Part Description - SERVICE ASSEMBLY - COSMETIC DOOR - KIT, Shipment/Receipt #2111591678, Part has been Shipped, Qty 1, Priority NFO, Shipping Method CE Pickup After Hours, BOL/Job NA, Source Location UFF USFMSP1G</t>
  </si>
  <si>
    <t>2025-12-30T20:46:19.000Z</t>
  </si>
  <si>
    <t>2025-12-30T12:56:00.000Z</t>
  </si>
  <si>
    <t>2025-12-30T18:56:00.000Z</t>
  </si>
  <si>
    <t>2025-12-30T14:27:00.000Z</t>
  </si>
  <si>
    <t>2025-12-30T20:27:00.000Z</t>
  </si>
  <si>
    <t>2025-12-29T20:12:04.000Z</t>
  </si>
  <si>
    <t>2025-12-30T02:12:04.000Z</t>
  </si>
  <si>
    <t>2025-12-30T02:12:07.000Z</t>
  </si>
  <si>
    <t>2025-12-29T20:12:07.000Z</t>
  </si>
  <si>
    <t>arrived onsite, verified issue, issue stayed with printer, ordered printer for pick up from esl, went and grabbed printer, replaced printer, waited for updates, tested with mod</t>
  </si>
  <si>
    <t>2025-12-30T14:27:17.000Z</t>
  </si>
  <si>
    <t>New Item :7360-4010-9090 New Serial Number :57-60595355 Old Item :7360-4010-9090 Old Serial Number :57-60595295</t>
  </si>
  <si>
    <t>2025-12-30T14:28:59.000Z</t>
  </si>
  <si>
    <t>Oracle Order Shipped for Remedy Id: U018834014, Order/Receipt # 181964439, Ordered Part 4970536542, Part Description - TOSHIBA KIOSK SSC06 MECHANIZM 80MM 1-ST, Shipment/Receipt #2114545861, Part has been Shipped, Qty 1, Priority NFO, Shipping Method CE Pickup After Hours, BOL/Job NA, Source Location UFF USFSTL1G</t>
  </si>
  <si>
    <t>2025-12-30T14:33:26.000Z</t>
  </si>
  <si>
    <t>SCO 11 has a receipt printer error printer device error code 0-0-0-111-10156  [Generated by Portal Login: besa14 Contact: Sabrina Bechtel 715-498-6611 ftfmsupport@rdspos.com]</t>
  </si>
  <si>
    <t>2025-12-29T22:55:26.000Z</t>
  </si>
  <si>
    <t>CE WAS US153N63</t>
  </si>
  <si>
    <t>2025-12-30T07:26:28.000Z</t>
  </si>
  <si>
    <t>SCO 11 has a receipt printer error printer device error code 0-0-0-111-10156  [Generated by Portal Login: besa14 Contact: Sabrina Bechtel 715-498-6611 ftfmsupport@rdspos.com]-CE IS NOW US153N63-CE WAS US153N63-CE IS NOW US153N79-CE IS NOW US153N79-LOM order processing, Part has been Ordered , Remedy Id 000000014946747 - (Pick Up)MO, Fentonby Agent Auto CE pickup-CEM4050576:not communicating-arrived onsite, verified issue, issue stayed with printer, ordered printer for pick up from esl, went and grabbed printer, replaced printer, waited for updates, tested with mod-New Item :7360-4010-9090 New Serial Number :57-60595355 Old Item :7360-4010-9090 Old Serial Number :57-60595295-Oracle Order Shipped for Remedy Id: U018834014, Order/Receipt # 181964439, Ordered Part 4970536542, Part Description - TOSHIBA KIOSK SSC06 MECHANIZM 80MM 1-ST, Shipment/Receipt #2114545861, Part has been Shipped, Qty 1, Priority NFO, Shipping Method CE Pickup After Hours, BOL/Job NA, Source Location UFF USFSTL1G</t>
  </si>
  <si>
    <t>2026-01-20T21:10:09.000Z</t>
  </si>
  <si>
    <t>57-60587855</t>
  </si>
  <si>
    <t>2026-01-20T13:22:00.000Z</t>
  </si>
  <si>
    <t>2026-01-20T18:22:00.000Z</t>
  </si>
  <si>
    <t>2026-01-20T15:52:00.000Z</t>
  </si>
  <si>
    <t>2026-01-20T20:52:00.000Z</t>
  </si>
  <si>
    <t>NM185211</t>
  </si>
  <si>
    <t>2026-01-19T18:04:47.000Z</t>
  </si>
  <si>
    <t>2026-01-19T23:04:47.000Z</t>
  </si>
  <si>
    <t>CEM4038058:paper caught in roller pushing door away from thermal head</t>
  </si>
  <si>
    <t>2026-01-20T15:53:03.000Z</t>
  </si>
  <si>
    <t>replaced printer and tested successfully returned unit to service.</t>
  </si>
  <si>
    <t>New Item :7360-4010-9090 New Serial Number :57-60587855 Old Item :7360-4010-9090 Old Serial Number :57-60587855</t>
  </si>
  <si>
    <t>2026-01-20T15:53:05.000Z</t>
  </si>
  <si>
    <t>SCO13 Ink is low and barely legible on receipts   [Generated by Portal Login: most14 Contact: Staci Mowder 3096133038 ftfmsupport@rdspos.com]</t>
  </si>
  <si>
    <t>2026-01-19T18:10:14.000Z</t>
  </si>
  <si>
    <t>LOM order processing, Part has been Ordered , Remedy Id 000000014962041 - (Pick Up)IN, Indianapolisby Agent Auto CE pickup</t>
  </si>
  <si>
    <t>2026-01-20T07:49:21.000Z</t>
  </si>
  <si>
    <t>SCO13 Ink is low and barely legible on receipts   [Generated by Portal Login: most14 Contact: Staci Mowder 3096133038 ftfmsupport@rdspos.com]-CE IS NOW US133E71-LOM order processing, Part has been Ordered , Remedy Id 000000014962041 - (Pick Up)IN, Indianapolisby Agent Auto CE pickup-Oracle Order Shipped for Remedy Id: U018848895, Order/Receipt # 182010180, Ordered Part 4970536542, Part Description - TOSHIBA KIOSK SSC06 MECHANIZM 80MM 1-ST, Shipment/Receipt #2116180012, Part has been Shipped, Qty 1, Priority NFO, Shipping Method CE Pickup After Hours, BOL/Job NA, Source Location UFF USFIND1G-CEM4038058:paper caught in roller pushing door away from thermal head-replaced printer and tested successfully returned unit to service.-New Item :7360-4010-9090 New Serial Number :57-60587855 Old Item :7360-4010-9090 Old Serial Number :57-60587855</t>
  </si>
  <si>
    <t>2025-09-05T16:15:29.000Z</t>
  </si>
  <si>
    <t>57-60587738</t>
  </si>
  <si>
    <t>2025-09-05T10:27:00.000Z</t>
  </si>
  <si>
    <t>2025-09-05T15:27:00.000Z</t>
  </si>
  <si>
    <t>2025-09-05T10:58:00.000Z</t>
  </si>
  <si>
    <t>2025-09-05T15:58:00.000Z</t>
  </si>
  <si>
    <t>TD185137</t>
  </si>
  <si>
    <t>2025-09-05T09:40:12.000Z</t>
  </si>
  <si>
    <t>2025-09-05T14:40:12.000Z</t>
  </si>
  <si>
    <t>2025-09-05T14:40:13.000Z</t>
  </si>
  <si>
    <t>2025-09-05T09:40:13.000Z</t>
  </si>
  <si>
    <t>6684-F020</t>
  </si>
  <si>
    <t>New Item :7360-4010-9090 New Serial Number :57-60587738 Old Item :7360-4010-9090 Old Serial Number :57-60587738</t>
  </si>
  <si>
    <t>2025-09-05T10:59:38.000Z</t>
  </si>
  <si>
    <t>SCO13 still has a coin recycler error - sorter module not seated  [Generated by Portal Login: most14 Contact: Staci Mowder 3096133038 ftfmsupport@rdspos.com]</t>
  </si>
  <si>
    <t>2025-09-05T09:40:14.000Z</t>
  </si>
  <si>
    <t>CE IS NOW US153N45</t>
  </si>
  <si>
    <t>2025-09-05T09:53:02.000Z</t>
  </si>
  <si>
    <t>Coin Sorter was in the down position - Reseated and reset Unit - Tested dispense and accept functions in PML without any further errors Issue Resolved</t>
  </si>
  <si>
    <t>2025-09-05T10:59:35.000Z</t>
  </si>
  <si>
    <t>SCO13 still has a coin recycler error - sorter module not seated  [Generated by Portal Login: most14 Contact: Staci Mowder 3096133038 ftfmsupport@rdspos.com]-CE IS NOW US153N45-Coin Sorter was in the down position - Reseated and reset Unit - Tested dispense and accept functions in PML without any further errors Issue Resolved-New Item :7360-4010-9090 New Serial Number :57-60587738 Old Item :7360-4010-9090 Old Serial Number :57-60587738</t>
  </si>
  <si>
    <t>2025-10-08T23:29:28.000Z</t>
  </si>
  <si>
    <t>57-60590109</t>
  </si>
  <si>
    <t>2025-10-08T17:19:00.000Z</t>
  </si>
  <si>
    <t>2025-10-08T22:19:00.000Z</t>
  </si>
  <si>
    <t>2025-10-08T18:13:00.000Z</t>
  </si>
  <si>
    <t>2025-10-08T23:13:00.000Z</t>
  </si>
  <si>
    <t>AB185623</t>
  </si>
  <si>
    <t>2025-10-08T08:56:01.000Z</t>
  </si>
  <si>
    <t>2025-10-08T13:56:01.000Z</t>
  </si>
  <si>
    <t>returning parts</t>
  </si>
  <si>
    <t>2025-10-08T18:15:04.000Z</t>
  </si>
  <si>
    <t>checked In with manager Jacob advised barrel door is difficult to open opened door removed plate for lock advised manager barrels for Door are worn out a little lift to lock will help with door sticking but the door will still open perfectly</t>
  </si>
  <si>
    <t>New Item :7360-4010-9090 New Serial Number :57-60590109 Old Item :7360-4010-9090 Old Serial Number :57-60590109</t>
  </si>
  <si>
    <t>2025-10-08T18:15:06.000Z</t>
  </si>
  <si>
    <t>Having difficulty closing SCO17 door.  [Generated by Portal Login: most14 Contact: Staci Mowder 3096133038 ftfmsupport@rdspos.com]</t>
  </si>
  <si>
    <t>2025-10-08T08:58:53.000Z</t>
  </si>
  <si>
    <t>CEM3835324:working</t>
  </si>
  <si>
    <t>2025-10-08T18:14:59.000Z</t>
  </si>
  <si>
    <t>Having difficulty closing SCO17 door.  [Generated by Portal Login: most14 Contact: Staci Mowder 3096133038 ftfmsupport@rdspos.com]-CE IS NOW US153R71-CEM3835324:working-CEM3835325:top module-CEM3835326:top module-CEM3835327:cash drawer-CEM3835328:coin chute-returning parts-checked In with manager Jacob advised barrel door is difficult to open opened door removed plate for lock advised manager barrels for Door are worn out a little lift to lock will help with door sticking but the door will still open perfectly-New Item :7360-4010-9090 New Serial Number :57-60590109 Old Item :7360-4010-9090 Old Serial Number :57-60590109</t>
  </si>
  <si>
    <t>2026-08-07T15:17:51.000Z</t>
  </si>
  <si>
    <t>p#8621808307</t>
  </si>
  <si>
    <t>2026-08-07T10:26:00.000Z</t>
  </si>
  <si>
    <t>2026-08-07T14:26:00.000Z</t>
  </si>
  <si>
    <t>2026-08-07T11:02:00.000Z</t>
  </si>
  <si>
    <t>2026-08-07T15:02:00.000Z</t>
  </si>
  <si>
    <t>AR185450</t>
  </si>
  <si>
    <t>2026-08-06T13:55:51.000Z</t>
  </si>
  <si>
    <t>2026-08-06T17:55:51.000Z</t>
  </si>
  <si>
    <t>57-60591358</t>
  </si>
  <si>
    <t>CEM4369103:debris flap</t>
  </si>
  <si>
    <t>2026-08-07T11:01:14.000Z</t>
  </si>
  <si>
    <t>@@@ the cr5000 validator had a bad debris flap ... replaced it ... tested and functioning @@@</t>
  </si>
  <si>
    <t>2026-08-07T11:02:55.000Z</t>
  </si>
  <si>
    <t>New Item :7360-4010-9090 New Serial Number :p#8621808307 Old Item :7360-4010-9090 Old Serial Number :57-60591358</t>
  </si>
  <si>
    <t>2026-08-07T11:02:57.000Z</t>
  </si>
  <si>
    <t>Coin recycler eror, Debris flap stuck- Error code: 5-10-0-5-131844  [Generated by Portal Login: coas14 Contact: Ashley Cooper 3092131564 ftfmsupport@rdspos.com]</t>
  </si>
  <si>
    <t>CE IS NOW US133B33</t>
  </si>
  <si>
    <t>2026-08-06T13:57:43.000Z</t>
  </si>
  <si>
    <t>CE WAS US133B33</t>
  </si>
  <si>
    <t>2026-08-07T08:07:06.000Z</t>
  </si>
  <si>
    <t>Coin recycler eror, Debris flap stuck- Error code: 5-10-0-5-131844  [Generated by Portal Login: coas14 Contact: Ashley Cooper 3092131564 ftfmsupport@rdspos.com]-CE IS NOW US133B33-CE WAS US133B33-CE IS NOW US133B36-CE WAS US133B36-CE IS NOW US133B31-CEM4369103:debris flap-@@@ the cr5000 validator had a bad debris flap ... replaced it ... tested and functioning @@@-New Item :7360-4010-9090 New Serial Number :p#8621808307 Old Item :7360-4010-9090 Old Serial Number :57-60591358</t>
  </si>
  <si>
    <t>2025-10-23T21:33:21.000Z</t>
  </si>
  <si>
    <t>2025-10-21T16:56:00.000Z</t>
  </si>
  <si>
    <t>2025-10-21T20:56:00.000Z</t>
  </si>
  <si>
    <t>2025-10-23T17:16:00.000Z</t>
  </si>
  <si>
    <t>2025-10-23T21:16:00.000Z</t>
  </si>
  <si>
    <t>2025-10-17T17:19:33.000Z</t>
  </si>
  <si>
    <t>2025-10-17T21:19:33.000Z</t>
  </si>
  <si>
    <t>2025-10-17T21:19:35.000Z</t>
  </si>
  <si>
    <t>2025-10-17T17:19:35.000Z</t>
  </si>
  <si>
    <t>CEM3864310:compromised lane light</t>
  </si>
  <si>
    <t>2025-10-23T17:17:07.000Z</t>
  </si>
  <si>
    <t>replaced lane light and tested successfully. returned unit to service.</t>
  </si>
  <si>
    <t>New Item :7360-4010-9090 New Serial Number :57-60588442 Old Item :7360-4010-9090 Old Serial Number :57-60588442</t>
  </si>
  <si>
    <t>2025-10-23T17:17:09.000Z</t>
  </si>
  <si>
    <t>Self checkout sign blinking/flashing on SCO11   [Generated by Portal Login: most14 Contact: Staci Mowder 3096133038 ftfmsupport@rdspos.com]</t>
  </si>
  <si>
    <t>2025-10-17T17:53:14.000Z</t>
  </si>
  <si>
    <t>CE WAS US133E75</t>
  </si>
  <si>
    <t>2025-10-21T09:07:44.000Z</t>
  </si>
  <si>
    <t>Self checkout sign blinking/flashing on SCO11   [Generated by Portal Login: most14 Contact: Staci Mowder 3096133038 ftfmsupport@rdspos.com]-CE IS NOW US133E75-CE WAS US133E75-CE IS NOW US133E71-lane light inactive ordering new flagpole for call resolution.-LOM order processing, Part has been Ordered , Remedy Id 000000014893395 - (Next Day) by Agent Invalid Task Status E4-Oracle Order Shipped for Remedy Id: U018781452, Order/Receipt # 181793560, Ordered Part 4970525295, Part Description - KIT - R6 TRI-LIGHT W/IP CAMERA, Shipment/Receipt #2111519052, Part has been Shipped, Qty 1, Priority OVERNIGHT, Shipping Method UPS-Air-Next Day Air Saver, BOL/Job 1ZH92Y051301768905, Source Location PTC AVL-CEM3864310:compromised lane light-replaced lane light and tested successfully. returned unit to service.-New Item :7360-4010-9090 New Serial Number :57-60588442 Old Item :7360-4010-9090 Old Serial Number :57-60588442</t>
  </si>
  <si>
    <t>2026-05-18T22:03:38.000Z</t>
  </si>
  <si>
    <t>57-60588433</t>
  </si>
  <si>
    <t>2026-05-18T17:14:00.000Z</t>
  </si>
  <si>
    <t>2026-05-18T21:14:00.000Z</t>
  </si>
  <si>
    <t>2026-05-18T17:51:00.000Z</t>
  </si>
  <si>
    <t>2026-05-18T21:51:00.000Z</t>
  </si>
  <si>
    <t>2026-05-18T15:18:12.000Z</t>
  </si>
  <si>
    <t>2026-05-18T19:18:12.000Z</t>
  </si>
  <si>
    <t>2026-05-18T16:15:04.000Z</t>
  </si>
  <si>
    <t>RTG3 sensor was blocked, a $10 note was lodged in the path. Removed the note and put it in cassette properly. Cassette also had multiple notes that were crumpled, so i straightened those out as well.</t>
  </si>
  <si>
    <t>2026-05-18T17:51:26.000Z</t>
  </si>
  <si>
    <t>New Item :7360-4010-9090 New Serial Number :57-60588433 Old Item :7360-4010-9090 Old Serial Number :57-60588433</t>
  </si>
  <si>
    <t>2026-05-18T17:51:28.000Z</t>
  </si>
  <si>
    <t>SCO 15 has note recycler error. Note jam at RFIN3 sensor. Manager would like this resolved by end of day.  [Generated by Portal Login: coas14 Contact: Ashley Cooper 3092131564 ftfmsupport@rdspos.com]</t>
  </si>
  <si>
    <t>2026-05-18T15:21:07.000Z</t>
  </si>
  <si>
    <t>2026-05-18T16:15:03.000Z</t>
  </si>
  <si>
    <t>SCO 15 has note recycler error. Note jam at RFIN3 sensor. Manager would like this resolved by end of day.  [Generated by Portal Login: coas14 Contact: Ashley Cooper 3092131564 ftfmsupport@rdspos.com]-CE IS NOW US133C75-CE WAS US133C75-CE IS NOW US133C72-RTG3 sensor was blocked, a $10 note was lodged in the path. Removed the note and put it in cassette properly. Cassette also had multiple notes that were crumpled, so i straightened those out as well.-New Item :7360-4010-9090 New Serial Number :57-60588433 Old Item :7360-4010-9090 Old Serial Number :57-60588433</t>
  </si>
  <si>
    <t>2026-04-22T20:21:58.000Z</t>
  </si>
  <si>
    <t>57-60591351</t>
  </si>
  <si>
    <t>2026-04-22T11:42:00.000Z</t>
  </si>
  <si>
    <t>2026-04-22T16:42:00.000Z</t>
  </si>
  <si>
    <t>2026-04-22T15:06:00.000Z</t>
  </si>
  <si>
    <t>2026-04-22T20:06:00.000Z</t>
  </si>
  <si>
    <t>2026-04-21T17:05:51.000Z</t>
  </si>
  <si>
    <t>2026-04-21T22:05:51.000Z</t>
  </si>
  <si>
    <t>CEM4228075:hangs after a denomination is dispensed, needs force reset done after to resume operation</t>
  </si>
  <si>
    <t>2026-04-22T15:06:20.000Z</t>
  </si>
  <si>
    <t>installed replacement cr5000 control board due to hanging after a denomination is dispensed, requiring reset each time, ran ADD and tested ok, local contact supervisor Tyler</t>
  </si>
  <si>
    <t>New Item :7360-4010-9090 New Serial Number :57-60591351 Old Item :7360-4010-9090 Old Serial Number :57-60595344</t>
  </si>
  <si>
    <t>2026-04-22T15:06:22.000Z</t>
  </si>
  <si>
    <t>SCO14 giving a cannot give change error, employee dropped coin paper roll in there and is jammed up   [Generated by Portal Login: most14 Contact: Staci Mowder 3096133038 ftfmsupport@rdspos.com]</t>
  </si>
  <si>
    <t>2026-04-22T07:15:59.000Z</t>
  </si>
  <si>
    <t>2026-04-22T11:26:21.000Z</t>
  </si>
  <si>
    <t>SCO14 giving a cannot give change error, employee dropped coin paper roll in there and is jammed up   [Generated by Portal Login: most14 Contact: Staci Mowder 3096133038 ftfmsupport@rdspos.com]-CE IS NOW US153N64-CE WAS US153N64-CE IS NOW US153N60-The cr5000 would hang after a denomination would dispense, acceptance works normally, no jams, all coins would dispense as asked but a force reset was needed after each denomination to return the cr5000 to operational status, verified issue is the control board using a known working one from lane 16, ordering a control board from the ESL for pickup-CE IS NOW US153N60-LOM order processing, Part has been Ordered , Remedy Id 000000015025947 - (Pick Up)MO, Fentonby Agent Auto CE pickup-Oracle Order Shipped for Remedy Id: U018909298, Order/Receipt # 182224313, Ordered Part 4970520636, Part Description - CR5000 Controller Card (service Part, Shipment/Receipt #2118194073, Part has been Shipped, Qty 1, Priority NFO, Shipping Method CE Pickup After Hours, BOL/Job NA, Source Location UFF USFSTL1G-CEM4228075:hangs after a denomination is dispensed, needs force reset done after to resume operation-installed replacement cr5000 control board due to hanging after a denomination is dispensed, requiring reset each time, ran ADD and tested ok, local contact supervisor Tyler-New Item :7360-4010-9090 New Serial Number :57-60591351 Old Item :7360-4010-9090 Old Serial Number :57-60595344</t>
  </si>
  <si>
    <t>ND</t>
  </si>
  <si>
    <t>NOTE DISPENSER</t>
  </si>
  <si>
    <t>2026-01-26T22:40:48.000Z</t>
  </si>
  <si>
    <t>NOTE_DISPENSER</t>
  </si>
  <si>
    <t>NDYH</t>
  </si>
  <si>
    <t>2026-01-26T14:20:00.000Z</t>
  </si>
  <si>
    <t>2026-01-26T20:20:00.000Z</t>
  </si>
  <si>
    <t>2026-01-26T16:23:00.000Z</t>
  </si>
  <si>
    <t>2026-01-26T22:23:00.000Z</t>
  </si>
  <si>
    <t>JH185413</t>
  </si>
  <si>
    <t>2026-01-26T13:50:09.000Z</t>
  </si>
  <si>
    <t>2026-01-26T19:50:09.000Z</t>
  </si>
  <si>
    <t>CEM3938435:Bad</t>
  </si>
  <si>
    <t>2026-01-26T16:24:42.000Z</t>
  </si>
  <si>
    <t>Got on site and tested pml and wouldn't accept any bills. It kept on spitting the bills back out and folding bills. I swapped the top module and it started working</t>
  </si>
  <si>
    <t>New Item :7360-4010-9090 New Serial Number :57-60588452 Old Item :7360-4010-9090 Old Serial Number :57-60591303</t>
  </si>
  <si>
    <t>2026-01-26T16:24:44.000Z</t>
  </si>
  <si>
    <t>Note jammed at RNCK2 sensor, error code: 5-9-0-4-63010 We opened a ticket for this location/SCO 11 this morning, however tech closed the ticket as no fault found. The tech went to the incorrect store, please see ticket number 7602602003. Thank you [Generated by Portal Login: coas14 Contact: Ashley N Cooper 3092131564 ftfmsupport@rdspos.com]</t>
  </si>
  <si>
    <t>2026-01-26T13:51:29.000Z</t>
  </si>
  <si>
    <t>2026-01-26T14:59:49.000Z</t>
  </si>
  <si>
    <t>Note jammed at RNCK2 sensor, error code: 5-9-0-4-63010 We opened a ticket for this location/SCO 11 this morning, however tech closed the ticket as no fault found. The tech went to the incorrect store, please see ticket number 7602602003. Thank you [Generated by Portal Login: coas14 Contact: Ashley N Cooper 3092131564 ftfmsupport@rdspos.com]-CE IS NOW US153R58-CE IS NOW US153R56-assisted R58 troubleshoot the GSR50 jam. when accepting notes it would return the notes to the exit. We replaced the top module and found it was still rejecting every note. I then inspected the Cassettes and cassette frames and found a damaged 5 dollar note was jammed behind the second cassette. We removed the note and was able to fully test the GSR50. the SCO is back in service.-New Item :7360-4010-9090 New Serial Number :57-60591303 Old Item :7360-4010-9090 Old Serial Number :57-60588452-CEM3938435:Bad-Got on site and tested pml and wouldn't accept any bills. It kept on spitting the bills back out and folding bills. I swapped the top module and it started working-New Item :7360-4010-9090 New Serial Number :57-60588452 Old Item :7360-4010-9090 Old Serial Number :57-60591303</t>
  </si>
  <si>
    <t>assisted R58 troubleshoot the GSR50 jam. when accepting notes it would return the notes to the exit. We replaced the top module and found it was still rejecting every note. I then inspected the Cassettes and cassette frames and found a damaged 5 dollar note was jammed behind the second cassette. We removed the note and was able to fully test the GSR50. the SCO is back in service.</t>
  </si>
  <si>
    <t>2026-01-26T16:16:42.000Z</t>
  </si>
  <si>
    <t>2025-08-22T21:28:12.000Z</t>
  </si>
  <si>
    <t>2025-08-22T12:28:00.000Z</t>
  </si>
  <si>
    <t>2025-08-22T17:28:00.000Z</t>
  </si>
  <si>
    <t>2025-08-22T16:02:00.000Z</t>
  </si>
  <si>
    <t>2025-08-22T21:02:00.000Z</t>
  </si>
  <si>
    <t>2025-08-22T07:09:56.000Z</t>
  </si>
  <si>
    <t>2025-08-22T12:09:56.000Z</t>
  </si>
  <si>
    <t>Store637</t>
  </si>
  <si>
    <t>2025-08-22T07:37:41.000Z</t>
  </si>
  <si>
    <t>Upon arrival found main module lights all flashing. Went into pml and lights stopped and unit error free. Unit was dusty/dirty. Gave main module pm with air and alcohol wipes. All bills testing good in/out in pml.</t>
  </si>
  <si>
    <t>2025-08-22T16:03:04.000Z</t>
  </si>
  <si>
    <t>New Item :7360-4010-9090 New Serial Number :57-60587790 Old Item :7360-4010-9090 Old Serial Number :57-60587732</t>
  </si>
  <si>
    <t>2025-08-22T16:03:06.000Z</t>
  </si>
  <si>
    <t>SCO14 has a note recycler error  [Generated by Portal Login: most14 Contact: Staci Mowder 3096133038 ftfmsupport@rdspos.com]</t>
  </si>
  <si>
    <t>2025-08-22T07:09:57.000Z</t>
  </si>
  <si>
    <t>CE IS NOW US153C11</t>
  </si>
  <si>
    <t>2025-08-22T07:12:31.000Z</t>
  </si>
  <si>
    <t>CE WAS US153C11</t>
  </si>
  <si>
    <t>2025-08-22T07:36:27.000Z</t>
  </si>
  <si>
    <t>SCO14 has a note recycler error  [Generated by Portal Login: most14 Contact: Staci Mowder 3096133038 ftfmsupport@rdspos.com]-CE IS NOW US153C11-CE WAS US153C11-CE IS NOW US153C10-CE IS NOW US153C10-Upon arrival found main module lights all flashing. Went into pml and lights stopped and unit error free. Unit was dusty/dirty. Gave main module pm with air and alcohol wipes. All bills testing good in/out in pml.-New Item :7360-4010-9090 New Serial Number :57-60587790 Old Item :7360-4010-9090 Old Serial Number :57-60587732</t>
  </si>
  <si>
    <t>2025-10-02T17:39:55.000Z</t>
  </si>
  <si>
    <t>p#8527506781</t>
  </si>
  <si>
    <t>2025-10-02T13:14:00.000Z</t>
  </si>
  <si>
    <t>2025-10-02T17:14:00.000Z</t>
  </si>
  <si>
    <t>2025-10-02T13:26:00.000Z</t>
  </si>
  <si>
    <t>2025-10-02T17:26:00.000Z</t>
  </si>
  <si>
    <t>2025-10-02T09:54:38.000Z</t>
  </si>
  <si>
    <t>2025-10-02T13:54:38.000Z</t>
  </si>
  <si>
    <t>57-60587769</t>
  </si>
  <si>
    <t>2025-10-02T11:30:20.000Z</t>
  </si>
  <si>
    <t>@@@ the cotter pin was blocking the lock from functioning properly ... set it correctly ... tested and functioning @@@</t>
  </si>
  <si>
    <t>2025-10-02T13:26:18.000Z</t>
  </si>
  <si>
    <t>New Item :7360-4010-9090 New Serial Number :p#8527506781 Old Item :7360-4010-9090 Old Serial Number :57-60587769</t>
  </si>
  <si>
    <t>2025-10-02T13:26:21.000Z</t>
  </si>
  <si>
    <t>SCO11 lock on outside door is jammed and will not open.  [Generated by Portal Login: most14 Contact: Staci Mowder 3096133038 ftfmsupport@rdspos.com]</t>
  </si>
  <si>
    <t>2025-10-02T09:54:39.000Z</t>
  </si>
  <si>
    <t>2025-10-02T10:00:09.000Z</t>
  </si>
  <si>
    <t>CE WAS US133B35</t>
  </si>
  <si>
    <t>2025-10-02T11:30:10.000Z</t>
  </si>
  <si>
    <t>SCO11 lock on outside door is jammed and will not open.  [Generated by Portal Login: most14 Contact: Staci Mowder 3096133038 ftfmsupport@rdspos.com]-CE IS NOW US133B35-CE WAS US133B35-CE IS NOW US133B31-@@@ the cotter pin was blocking the lock from functioning properly ... set it correctly ... tested and functioning @@@-New Item :7360-4010-9090 New Serial Number :p#8527506781 Old Item :7360-4010-9090 Old Serial Number :57-60587769</t>
  </si>
  <si>
    <t>2026-05-21T15:58:28.000Z</t>
  </si>
  <si>
    <t>57-60595318</t>
  </si>
  <si>
    <t>2026-05-21T11:27:00.000Z</t>
  </si>
  <si>
    <t>2026-05-21T15:27:00.000Z</t>
  </si>
  <si>
    <t>2026-05-21T11:46:00.000Z</t>
  </si>
  <si>
    <t>2026-05-21T15:46:00.000Z</t>
  </si>
  <si>
    <t>2026-05-20T14:41:24.000Z</t>
  </si>
  <si>
    <t>2026-05-20T18:41:24.000Z</t>
  </si>
  <si>
    <t>2026-05-20T18:41:25.000Z</t>
  </si>
  <si>
    <t>2026-05-20T14:41:25.000Z</t>
  </si>
  <si>
    <t>2026-05-21T07:33:46.000Z</t>
  </si>
  <si>
    <t>cassette 3 jammed. mylar tape off-center. removed notes and centered tape. reloaded and tested working</t>
  </si>
  <si>
    <t>2026-05-21T11:46:30.000Z</t>
  </si>
  <si>
    <t>New Item :7360-4010-9090 New Serial Number :57-60595318 Old Item :7360-4010-9090 Old Serial Number :57-60595323</t>
  </si>
  <si>
    <t>2026-05-21T11:46:32.000Z</t>
  </si>
  <si>
    <t>SCO 17 has a note recycler error recycler 3 device error code 5-9-0-37-26880  [Generated by Portal Login: besa14 Contact: Sabrina Bechtel 715-498-6611 ftfmsupport@rdspos.com]</t>
  </si>
  <si>
    <t>2026-05-20T14:45:27.000Z</t>
  </si>
  <si>
    <t>2026-05-21T06:34:13.000Z</t>
  </si>
  <si>
    <t>SCO 17 has a note recycler error recycler 3 device error code 5-9-0-37-26880  [Generated by Portal Login: besa14 Contact: Sabrina Bechtel 715-498-6611 ftfmsupport@rdspos.com]-CE IS NOW US133B52-CE WAS US133B52-CE IS NOW US133B48-CE WAS US133B48-CE IS NOW US133B47-cassette 3 jammed. mylar tape off-center. removed notes and centered tape. reloaded and tested working-New Item :7360-4010-9090 New Serial Number :57-60595318 Old Item :7360-4010-9090 Old Serial Number :57-60595323</t>
  </si>
  <si>
    <t>2026-04-18T13:03:38.000Z</t>
  </si>
  <si>
    <t>57-60588412</t>
  </si>
  <si>
    <t>2026-04-18T06:59:00.000Z</t>
  </si>
  <si>
    <t>2026-04-18T10:59:00.000Z</t>
  </si>
  <si>
    <t>2026-04-18T08:47:00.000Z</t>
  </si>
  <si>
    <t>2026-04-18T12:47:00.000Z</t>
  </si>
  <si>
    <t>CHGC -   physically broken coupon bin and damaged the door</t>
  </si>
  <si>
    <t>2026-04-16T16:17:20.000Z</t>
  </si>
  <si>
    <t>2026-04-16T20:17:20.000Z</t>
  </si>
  <si>
    <t>physically broken coupon bin and damaged the door</t>
  </si>
  <si>
    <t>2026-04-18T08:48:04.000Z</t>
  </si>
  <si>
    <t>replaced physically damaged self-checkouts cabinet door, secure all cable connections then tested successfully by mod Ashley</t>
  </si>
  <si>
    <t>New Item :7360-4010-9090 New Serial Number :57-60588412 Old Item :7360-4010-9090 Old Serial Number :57-60587771</t>
  </si>
  <si>
    <t>2026-04-18T08:48:05.000Z</t>
  </si>
  <si>
    <t>Coupon slot broken. I had opened ticket number 7610604948 this morning and NCR portal says, &amp;quot;no records found.&amp;quot;  [Generated by Portal Login: coas14 Contact: Ashley Cooper 3092131564 ftfmsupport@rdspos.com]</t>
  </si>
  <si>
    <t>2026-04-16T16:19:15.000Z</t>
  </si>
  <si>
    <t>CE WAS US133U14</t>
  </si>
  <si>
    <t>2026-04-16T16:20:01.000Z</t>
  </si>
  <si>
    <t>Coupon slot broken. I had opened ticket number 7610604948 this morning and NCR portal says, &amp;quot;no records found.&amp;quot;  [Generated by Portal Login: coas14 Contact: Ashley Cooper 3092131564 ftfmsupport@rdspos.com]-CE IS NOW US133U14-CE WAS US133U14-CE IS NOW US133U34-CE WAS US133U34-CE IS NOW US133U12-physically broken coupon bin and damaged the door-replaced physically damaged self-checkouts cabinet door, secure all cable connections then tested successfully by mod Ashley-New Item :7360-4010-9090 New Serial Number :57-60588412 Old Item :7360-4010-9090 Old Serial Number :57-60587771</t>
  </si>
  <si>
    <t>2025-09-23T19:50:57.000Z</t>
  </si>
  <si>
    <t>57-60587796</t>
  </si>
  <si>
    <t>2025-09-23T15:24:00.000Z</t>
  </si>
  <si>
    <t>2025-09-23T19:24:00.000Z</t>
  </si>
  <si>
    <t>2025-09-23T15:37:00.000Z</t>
  </si>
  <si>
    <t>2025-09-23T19:37:00.000Z</t>
  </si>
  <si>
    <t>2025-09-23T10:25:18.000Z</t>
  </si>
  <si>
    <t>2025-09-23T14:25:18.000Z</t>
  </si>
  <si>
    <t>2025-09-23T14:25:21.000Z</t>
  </si>
  <si>
    <t>2025-09-23T10:25:21.000Z</t>
  </si>
  <si>
    <t>7961-0083-9898</t>
  </si>
  <si>
    <t>2025-09-23T14:21:55.000Z</t>
  </si>
  <si>
    <t>No fault found. Just need to calibrate the wakeup sensor. calibrate the screen and tested with the manager, Aron. tested good, the self checkout 13 is back to service</t>
  </si>
  <si>
    <t>2025-09-23T15:38:11.000Z</t>
  </si>
  <si>
    <t>New Item :7360-4010-9090 New Serial Number :57-60587796 Old Item :7360-4010-9090 Old Serial Number :57-60587799</t>
  </si>
  <si>
    <t>2025-09-23T15:38:13.000Z</t>
  </si>
  <si>
    <t>Coin acceptor flashing yellow/orange on SCO13, no errors  [Generated by Portal Login: most14 Contact: Staci Mowder 3096133038 ftfmsupport@rdspos.com]</t>
  </si>
  <si>
    <t>2025-09-23T10:25:22.000Z</t>
  </si>
  <si>
    <t>2025-09-23T10:28:08.000Z</t>
  </si>
  <si>
    <t>2025-09-23T14:21:51.000Z</t>
  </si>
  <si>
    <t>Coin acceptor flashing yellow/orange on SCO13, no errors  [Generated by Portal Login: most14 Contact: Staci Mowder 3096133038 ftfmsupport@rdspos.com]-CE IS NOW US133E72-CE WAS US133E72-CE IS NOW US133E70-No fault found. Just need to calibrate the wakeup sensor. calibrate the screen and tested with the manager, Aron. tested good, the self checkout 13 is back to service-New Item :7360-4010-9090 New Serial Number :57-60587796 Old Item :7360-4010-9090 Old Serial Number :57-60587799</t>
  </si>
  <si>
    <t>2025-08-06T20:12:00.000Z</t>
  </si>
  <si>
    <t>2025-08-06T15:46:00.000Z</t>
  </si>
  <si>
    <t>2025-08-06T19:46:00.000Z</t>
  </si>
  <si>
    <t>2025-08-06T15:55:00.000Z</t>
  </si>
  <si>
    <t>2025-08-06T19:55:00.000Z</t>
  </si>
  <si>
    <t>AB185627</t>
  </si>
  <si>
    <t>2025-08-06T14:51:09.000Z</t>
  </si>
  <si>
    <t>2025-08-06T18:51:09.000Z</t>
  </si>
  <si>
    <t>Store921</t>
  </si>
  <si>
    <t>arrived on site and found paper sticker stuck in validatior blocking coins in the path. cleared validatior and register is now working again Michelle manager</t>
  </si>
  <si>
    <t>2025-08-06T15:55:45.000Z</t>
  </si>
  <si>
    <t>2025-08-06T15:55:46.000Z</t>
  </si>
  <si>
    <t>SCO 11 has a coin recycler error accept/reject flap not working or jammed error code 16-6-0-99-132097.  [Generated by Portal Login: besa14 Contact: Sabrina Bechtel 715-498-6611 ftfmsupport@rdspos.com]</t>
  </si>
  <si>
    <t>CE IS NOW US133C57</t>
  </si>
  <si>
    <t>2025-08-06T14:53:51.000Z</t>
  </si>
  <si>
    <t>paper in coin validatior</t>
  </si>
  <si>
    <t>SCO 11 has a coin recycler error accept/reject flap not working or jammed error code 16-6-0-99-132097.  [Generated by Portal Login: besa14 Contact: Sabrina Bechtel 715-498-6611 ftfmsupport@rdspos.com]-CE IS NOW US133C57-paper in coin validatior-arrived on site and found paper sticker stuck in validatior blocking coins in the path. cleared validatior and register is now working again Michelle manager-New Item :7360-4010-9090 New Serial Number :57-60595308 Old Item :7360-4010-9090 Old Serial Number :57-60595308</t>
  </si>
  <si>
    <t>2026-06-23T21:50:03.000Z</t>
  </si>
  <si>
    <t>57-60588407</t>
  </si>
  <si>
    <t>2026-06-19T14:12:00.000Z</t>
  </si>
  <si>
    <t>2026-06-19T18:12:00.000Z</t>
  </si>
  <si>
    <t>2026-06-23T17:37:00.000Z</t>
  </si>
  <si>
    <t>2026-06-23T21:37:00.000Z</t>
  </si>
  <si>
    <t>2026-06-17T20:21:08.000Z</t>
  </si>
  <si>
    <t>2026-06-18T00:21:08.000Z</t>
  </si>
  <si>
    <t>CEM4261948:returning defect</t>
  </si>
  <si>
    <t>2026-06-23T17:37:50.000Z</t>
  </si>
  <si>
    <t>Previous techs ordered parts unrelated to the issue, I installed them anyways, the issue was a faulty validator. Once new validator was installed ran ADD and tested with multiple voin denominations. checked out with Dez</t>
  </si>
  <si>
    <t>New Item :7360-4010-9090 New Serial Number :57-60588407 Old Item :7360-4010-9090 Old Serial Number :57-60588439</t>
  </si>
  <si>
    <t>2026-06-23T17:37:52.000Z</t>
  </si>
  <si>
    <t>SCO12 has a coin recycler error  [Generated by Portal Login: most14 Contact: Staci Mowder 3096133038 FTFMsupport@rdspos.com]</t>
  </si>
  <si>
    <t>CE IS NOW US133C17</t>
  </si>
  <si>
    <t>2026-06-17T20:30:39.000Z</t>
  </si>
  <si>
    <t>CE WAS US133C17</t>
  </si>
  <si>
    <t>2026-06-18T19:17:08.000Z</t>
  </si>
  <si>
    <t>SCO12 has a coin recycler error  [Generated by Portal Login: most14 Contact: Staci Mowder 3096133038 FTFMsupport@rdspos.com]-CE IS NOW US133C17-CE WAS US133C17-CE IS NOW US133C21-Escalation Request: Need CE updated ETA [Added by: Vannie Kristoffer Tabares Portal Login: ncr.com Phone Number: 09614106969 Email Address: VannieKristoffer.Tabares@ncrvoyix.com Contact By: GIM]-CE is confirmed serice for today in 14:00pm-Upon arrival at sight, it's throwing an error code for the sorter.After doing numerous tests , I could not get it to the code or green a chassis-LOM order processing, Part has been Ordered , Remedy Id 000000015066572 - (Next Day) by Agent Auto VIP P000-Oracle Order Shipped for Remedy Id: U018946025, Order/Receipt # 182361963, Ordered Part 4970523480, Part Description - Chassis module only; No motor, sorter , Active cas, Shipment/Receipt #2119378458, Substitute Part was Shipped, Part has been Shipped, Qty 1, Priority OVERNIGHT, Shipping Method UPS-Air-Next Day Air, BOL/Job 1ZH92Y054403047328, Source Location PTC AVL-Escalation Request: Part Pick up Update Needed [Added by: Vannie Kristoffer Tabares Portal Login: ncr.com Phone Number: 09614106969 Email Address: VannieKristoffer.Tabares@ncrvoyix.com Contact By: GIM]-Escalation update: Best ETA set for 06-22-2026 12:00-CE IS NOW US133C23-picked up part from UPS-system is giving a transfer a chamber overflow issue indicating there is a jam internally seeing about clearing-cleared paper jam from transfer chamber all lights are showing green now-coins are still simply passing through immediately to exit trough checking in PML-getting wake up sensor calibration issues calculated wake up sensor-Avalanche wake up sensor is continuously having issues-ordering replacement wake up sensor cable to nearest UPS store-LOM order processing, Part has been Ordered , Remedy Id 000000015068203 - (Pick Up)OH, Worthingtonby Agent Auto CE pickup-Oracle Order Shipped for Remedy Id: U018947670, Order/Receipt # 182367055, Ordered Part 4970477900, Part Description - SENSOR-AVALANCHE CR5000 7360, Shipment/Receipt #2119420212, Part has been Shipped, Qty 1, Priority NFO, Shipping Method CE Pickup After Hours, BOL/Job NA, Source Location UFF USFCMH1G-Escalation Request: Need confirmed CE ETA and assignment. [Added by: Vannie Kristoffer Tabares Portal Login: ncr.com Phone Number: 09614106969 Email Address: VannieKristoffer.Tabares@ncrvoyix.com Contact By: GIM]-CE ETA today 15:00pm-CE IS NOW US133C23-CE IS NOW US133C17-CEM4261948:returning defect-Previous techs ordered parts unrelated to the issue, I installed them anyways, the issue was a faulty validator. Once new validator was installed ran ADD and tested with multiple voin denominations. checked out with Dez-New Item :7360-4010-9090 New Serial Number :57-60588407 Old Item :7360-4010-9090 Old Serial Number :57-60588439</t>
  </si>
  <si>
    <t>2025-10-28T18:21:35.000Z</t>
  </si>
  <si>
    <t>57-60591316</t>
  </si>
  <si>
    <t>2025-10-28T11:15:00.000Z</t>
  </si>
  <si>
    <t>2025-10-28T16:15:00.000Z</t>
  </si>
  <si>
    <t>2025-10-28T13:03:00.000Z</t>
  </si>
  <si>
    <t>2025-10-28T18:03:00.000Z</t>
  </si>
  <si>
    <t>JP185293</t>
  </si>
  <si>
    <t>2025-10-28T08:46:20.000Z</t>
  </si>
  <si>
    <t>2025-10-28T13:46:20.000Z</t>
  </si>
  <si>
    <t>2025-10-28T13:46:21.000Z</t>
  </si>
  <si>
    <t>2025-10-28T08:46:21.000Z</t>
  </si>
  <si>
    <t>CEM3880182:jams</t>
  </si>
  <si>
    <t>2025-10-28T13:04:57.000Z</t>
  </si>
  <si>
    <t>new cassette installed and all errors cleared up.</t>
  </si>
  <si>
    <t>New Item :7360-4010-9090 New Serial Number :57-60591316 Old Item :7360-4010-9090 Old Serial Number :57-60590127</t>
  </si>
  <si>
    <t>2025-10-28T13:04:59.000Z</t>
  </si>
  <si>
    <t>SCO 17 has a note recycler error recycler 2 device error code 5-9-0-37-22784.  [Generated by Portal Login: besa14 Contact: Sabrina Bechtel 715-498-6611 ftfmsupport@rdspos.com]</t>
  </si>
  <si>
    <t>CE IS NOW US153R76</t>
  </si>
  <si>
    <t>2025-10-28T08:50:01.000Z</t>
  </si>
  <si>
    <t>new cash cassette needed. ordering now.</t>
  </si>
  <si>
    <t>2025-10-28T11:33:37.000Z</t>
  </si>
  <si>
    <t>SCO 17 has a note recycler error recycler 2 device error code 5-9-0-37-22784.  [Generated by Portal Login: besa14 Contact: Sabrina Bechtel 715-498-6611 ftfmsupport@rdspos.com]-CE IS NOW US153R76-new cash cassette needed. ordering now.-LOM order processing, Part has been Ordered , Remedy Id 000000014899025 - (Pick Up)MN, Arden Hillsby Agent Auto CE pickup-Oracle Order Shipped for Remedy Id: U018786911, Order/Receipt # 181811944, Ordered Part 4970524325, Part Description - Fujitsu GSR50 Note Recycler -Dual Drum Recycling Stacker (Service Part), w/ Lid Hold-Down Screws, Shipment/Receipt #2111643914, Part has been Shipped, Qty 1, Priority NFO, Shipping Method CE Pickup After Hours, BOL/Job NA, Source Location UFF USFMSP1G-CEM3880182:jams-new cassette installed and all errors cleared up.-New Item :7360-4010-9090 New Serial Number :57-60591316 Old Item :7360-4010-9090 Old Serial Number :57-60590127</t>
  </si>
  <si>
    <t>2026-06-24T16:05:13.000Z</t>
  </si>
  <si>
    <t>57-60595311</t>
  </si>
  <si>
    <t>2026-06-24T11:29:00.000Z</t>
  </si>
  <si>
    <t>2026-06-24T15:29:00.000Z</t>
  </si>
  <si>
    <t>2026-06-24T11:48:00.000Z</t>
  </si>
  <si>
    <t>2026-06-24T15:48:00.000Z</t>
  </si>
  <si>
    <t>TD240001</t>
  </si>
  <si>
    <t>2026-06-24T09:21:49.000Z</t>
  </si>
  <si>
    <t>2026-06-24T13:21:49.000Z</t>
  </si>
  <si>
    <t>CE IS NOW US133U36</t>
  </si>
  <si>
    <t>2026-06-24T09:58:45.000Z</t>
  </si>
  <si>
    <t>error occurred that caused Jam and threw off internal cash counts. spoke with Marlo onsite she will do an audit to verify counts</t>
  </si>
  <si>
    <t>2026-06-24T11:50:16.000Z</t>
  </si>
  <si>
    <t>New Item :7360-4010-9090 New Serial Number :57-60595311 Old Item :7360-4010-9090 Old Serial Number :57-60595320</t>
  </si>
  <si>
    <t>2026-06-24T11:50:18.000Z</t>
  </si>
  <si>
    <t>Active coin box exceeded reject limit, Error code: 5-10-0--99-459267  [Generated by Portal Login: coas14 Contact: Ashley Cooper 3092131564 ftfmsupport@rdspos.com]</t>
  </si>
  <si>
    <t>2026-06-24T09:21:50.000Z</t>
  </si>
  <si>
    <t>2026-06-24T09:25:22.000Z</t>
  </si>
  <si>
    <t>2026-06-24T09:58:44.000Z</t>
  </si>
  <si>
    <t>Active coin box exceeded reject limit, Error code: 5-10-0--99-459267  [Generated by Portal Login: coas14 Contact: Ashley Cooper 3092131564 ftfmsupport@rdspos.com]-CE IS NOW US133U14-CE WAS US133U14-CE IS NOW US133U36-error occurred that caused Jam and threw off internal cash counts. spoke with Marlo onsite she will do an audit to verify counts-New Item :7360-4010-9090 New Serial Number :57-60595311 Old Item :7360-4010-9090 Old Serial Number :57-60595320</t>
  </si>
  <si>
    <t>2025-08-26T19:34:36.000Z</t>
  </si>
  <si>
    <t>57-60591314</t>
  </si>
  <si>
    <t>2025-08-26T15:14:00.000Z</t>
  </si>
  <si>
    <t>2025-08-26T19:14:00.000Z</t>
  </si>
  <si>
    <t>2025-08-26T15:21:00.000Z</t>
  </si>
  <si>
    <t>2025-08-26T19:21:00.000Z</t>
  </si>
  <si>
    <t>2025-08-25T20:18:41.000Z</t>
  </si>
  <si>
    <t>2025-08-26T00:18:41.000Z</t>
  </si>
  <si>
    <t>2025-08-26T00:18:44.000Z</t>
  </si>
  <si>
    <t>2025-08-25T20:18:44.000Z</t>
  </si>
  <si>
    <t>cleaned</t>
  </si>
  <si>
    <t>2025-08-26T15:22:20.000Z</t>
  </si>
  <si>
    <t>New Item :7360-4010-9090 New Serial Number :57-60591314 Old Item :7360-4010-9090 Old Serial Number :57-60591391</t>
  </si>
  <si>
    <t>2025-08-26T15:22:21.000Z</t>
  </si>
  <si>
    <t>SCO 14- receipt ink is faded and unable to read.   [Generated by Portal Login: coas14 Contact: Ashley 3092131564 acooper@rdspos.com]</t>
  </si>
  <si>
    <t>2025-08-25T20:18:45.000Z</t>
  </si>
  <si>
    <t>2025-08-25T22:10:49.000Z</t>
  </si>
  <si>
    <t>Arrived on site. Issue stated that the receipt printer was printing faintly. Found that paper wrapped around the top roller. Removed the paper and the print quality returned. Confirmed with Jeff.</t>
  </si>
  <si>
    <t>2025-08-26T15:22:19.000Z</t>
  </si>
  <si>
    <t>SCO 14- receipt ink is faded and unable to read.   [Generated by Portal Login: coas14 Contact: Ashley 3092131564 acooper@rdspos.com]-CE IS NOW US133E77-Arrived on site. Issue stated that the receipt printer was printing faintly. Found that paper wrapped around the top roller. Removed the paper and the print quality returned. Confirmed with Jeff.-cleaned-New Item :7360-4010-9090 New Serial Number :57-60591314 Old Item :7360-4010-9090 Old Serial Number :57-60591391</t>
  </si>
  <si>
    <t>2026-02-24T17:31:51.000Z</t>
  </si>
  <si>
    <t>2026-02-24T10:41:00.000Z</t>
  </si>
  <si>
    <t>2026-02-24T16:41:00.000Z</t>
  </si>
  <si>
    <t>2026-02-24T11:15:00.000Z</t>
  </si>
  <si>
    <t>2026-02-24T17:15:00.000Z</t>
  </si>
  <si>
    <t>2026-02-24T08:26:39.000Z</t>
  </si>
  <si>
    <t>2026-02-24T14:26:39.000Z</t>
  </si>
  <si>
    <t>scanned barcode, replaced coin hopper, reset and reloaded coins, test good</t>
  </si>
  <si>
    <t>2026-02-24T11:15:35.000Z</t>
  </si>
  <si>
    <t>New Item :7360-4010-9090 New Serial Number :57-60588469 Old Item :7360-4010-9090 Old Serial Number :57-60591345</t>
  </si>
  <si>
    <t>2026-02-24T11:15:37.000Z</t>
  </si>
  <si>
    <t>SCO 13 will not dispense any quarters  [Generated by Portal Login: besa14 Contact: Sabrina Bechtel 715-498-6611 ftfmsupport@rdspos.com]</t>
  </si>
  <si>
    <t>2026-02-24T08:27:53.000Z</t>
  </si>
  <si>
    <t>CEM3998979:quarter issue</t>
  </si>
  <si>
    <t>2026-02-24T11:15:33.000Z</t>
  </si>
  <si>
    <t>SCO 13 will not dispense any quarters  [Generated by Portal Login: besa14 Contact: Sabrina Bechtel 715-498-6611 ftfmsupport@rdspos.com]-CE IS NOW US153R81-CEM3998979:quarter issue-scanned barcode, replaced coin hopper, reset and reloaded coins, test good-New Item :7360-4010-9090 New Serial Number :57-60588469 Old Item :7360-4010-9090 Old Serial Number :57-60591345</t>
  </si>
  <si>
    <t>2026-04-12T18:51:12.000Z</t>
  </si>
  <si>
    <t>57-60588394</t>
  </si>
  <si>
    <t>2026-04-12T12:59:00.000Z</t>
  </si>
  <si>
    <t>2026-04-12T17:59:00.000Z</t>
  </si>
  <si>
    <t>2026-04-12T13:36:00.000Z</t>
  </si>
  <si>
    <t>2026-04-12T18:36:00.000Z</t>
  </si>
  <si>
    <t>2026-04-12T09:43:19.000Z</t>
  </si>
  <si>
    <t>2026-04-12T14:43:19.000Z</t>
  </si>
  <si>
    <t>paper debris in overflow path. cleared and tested without further issue or incident self checkout lane number 10 mod andy</t>
  </si>
  <si>
    <t>2026-04-12T13:37:35.000Z</t>
  </si>
  <si>
    <t>New Item :7360-4010-9090 New Serial Number :57-60588394 Old Item :7360-4010-9090 Old Serial Number :57-60587845</t>
  </si>
  <si>
    <t>2026-04-12T13:37:36.000Z</t>
  </si>
  <si>
    <t>Transfer chamber has overlfowed  [Generated by Portal Login: coas14 Contact: Ashley Cooper 3092131564 ftfmsupport@rdspos.com]</t>
  </si>
  <si>
    <t>2026-04-12T09:47:58.000Z</t>
  </si>
  <si>
    <t>paper debris in overflow path</t>
  </si>
  <si>
    <t>Transfer chamber has overlfowed  [Generated by Portal Login: coas14 Contact: Ashley Cooper 3092131564 ftfmsupport@rdspos.com]-CE IS NOW US153N63-paper debris in overflow path-paper debris in overflow path. cleared and tested without further issue or incident self checkout lane number 10 mod andy-New Item :7360-4010-9090 New Serial Number :57-60588394 Old Item :7360-4010-9090 Old Serial Number :57-60587845</t>
  </si>
  <si>
    <t>2026-05-06T22:20:31.000Z</t>
  </si>
  <si>
    <t>57-60587732</t>
  </si>
  <si>
    <t>2026-05-06T17:01:00.000Z</t>
  </si>
  <si>
    <t>2026-05-06T22:01:00.000Z</t>
  </si>
  <si>
    <t>2026-05-06T17:05:00.000Z</t>
  </si>
  <si>
    <t>2026-05-06T22:05:00.000Z</t>
  </si>
  <si>
    <t>2026-05-06T14:27:08.000Z</t>
  </si>
  <si>
    <t>2026-05-06T19:27:08.000Z</t>
  </si>
  <si>
    <t>2757-1000-9898</t>
  </si>
  <si>
    <t>no reason to send ce out the door is fine</t>
  </si>
  <si>
    <t>2026-05-06T17:07:59.000Z</t>
  </si>
  <si>
    <t>spoke with Mary about the door not really noticing many issues the door and lock look fine, and is doing its job</t>
  </si>
  <si>
    <t>New Item :7360-4010-9090 New Serial Number :57-60587732 Old Item :7360-4010-9090 Old Serial Number :57-60587732</t>
  </si>
  <si>
    <t>Very difficult to open outer door on SCO16. NCR was on site earlier for this same issue but its not resolved. Manager said still same and bent key opening door  [Generated by Portal Login: most14 Contact: Staci Mowder 3096133038 ftfmsupport@rdspos.com]</t>
  </si>
  <si>
    <t>2026-05-06T14:43:38.000Z</t>
  </si>
  <si>
    <t>CE WAS US153C10</t>
  </si>
  <si>
    <t>2026-05-06T15:47:16.000Z</t>
  </si>
  <si>
    <t>Very difficult to open outer door on SCO16. NCR was on site earlier for this same issue but its not resolved. Manager said still same and bent key opening door  [Generated by Portal Login: most14 Contact: Staci Mowder 3096133038 ftfmsupport@rdspos.com]-CE IS NOW US153C10-CE WAS US153C10-CE IS NOW US153C27-no reason to send ce out the door is fine-spoke with Mary about the door not really noticing many issues the door and lock look fine, and is doing its job-New Item :7360-4010-9090 New Serial Number :57-60587732 Old Item :7360-4010-9090 Old Serial Number :57-60587732</t>
  </si>
  <si>
    <t>2025-09-22T15:41:07.000Z</t>
  </si>
  <si>
    <t>2025-09-22T10:38:00.000Z</t>
  </si>
  <si>
    <t>2025-09-22T14:38:00.000Z</t>
  </si>
  <si>
    <t>2025-09-22T11:24:00.000Z</t>
  </si>
  <si>
    <t>2025-09-22T15:24:00.000Z</t>
  </si>
  <si>
    <t>2025-09-19T15:58:49.000Z</t>
  </si>
  <si>
    <t>2025-09-19T19:58:49.000Z</t>
  </si>
  <si>
    <t>2025-09-19T19:58:53.000Z</t>
  </si>
  <si>
    <t>2025-09-19T15:58:53.000Z</t>
  </si>
  <si>
    <t>No fault found at the coin recycler. after troubleshooting, I found the cash box locked out, and the belt is not working properly. turned back on and tested with the manager, Justin. tested good, the self checkout 14 is back to service.</t>
  </si>
  <si>
    <t>2025-09-22T11:26:11.000Z</t>
  </si>
  <si>
    <t>2025-09-22T11:26:12.000Z</t>
  </si>
  <si>
    <t>SCO 14 has a Coin recycler error active coin box error 16-6-0-99-459781  [Generated by Portal Login: besa14 Contact: Sabrina Bechtel 715-498-6611 ftfmsupport@rdspos.com]</t>
  </si>
  <si>
    <t>2025-09-19T16:00:13.000Z</t>
  </si>
  <si>
    <t>SCO 14 has a Coin recycler error active coin box error 16-6-0-99-459781  [Generated by Portal Login: besa14 Contact: Sabrina Bechtel 715-498-6611 ftfmsupport@rdspos.com]-CE IS NOW US133E70-No fault found at the coin recycler. after troubleshooting, I found the cash box locked out, and the belt is not working properly. turned back on and tested with the manager, Justin. tested good, the self checkout 14 is back to service.-No fault found at the coin recycler. after troubleshooting, I found the cash box locked out, and the belt is not working properly. turned back on and tested with the manager, Justin. tested good, the self checkout 14 is back to service.-New Item :7360-4010-9090 New Serial Number :57-60588440 Old Item :7360-4010-9090 Old Serial Number :57-60587797</t>
  </si>
  <si>
    <t>2026-01-14T15:25:55.000Z</t>
  </si>
  <si>
    <t>57-60590095</t>
  </si>
  <si>
    <t>2026-01-14T08:24:00.000Z</t>
  </si>
  <si>
    <t>2026-01-14T14:24:00.000Z</t>
  </si>
  <si>
    <t>2026-01-14T09:10:00.000Z</t>
  </si>
  <si>
    <t>2026-01-14T15:10:00.000Z</t>
  </si>
  <si>
    <t>EF185069</t>
  </si>
  <si>
    <t>2026-01-13T15:26:12.000Z</t>
  </si>
  <si>
    <t>2026-01-13T21:26:12.000Z</t>
  </si>
  <si>
    <t>CE IS NOW US153R84</t>
  </si>
  <si>
    <t>2026-01-14T07:12:20.000Z</t>
  </si>
  <si>
    <t>Arrived onsite Sco looked fine. booted into pml had the sco dispenses coins and cash without issue had the sco accept them back without issue. Associate Joe informed me his manager was trying to fix it earlier. SCO is ready for cash transactions NFF verified by associate joe.</t>
  </si>
  <si>
    <t>2026-01-14T09:12:30.000Z</t>
  </si>
  <si>
    <t>New Item :7360-4010-9090 New Serial Number :57-60590095 Old Item :7360-4010-9090 Old Serial Number :57-60590095</t>
  </si>
  <si>
    <t>2026-01-14T09:12:34.000Z</t>
  </si>
  <si>
    <t>SCO 12 has a coin recycler error transfer motor jam error code 16-6-0-5-67073  [Generated by Portal Login: besa14 Contact: Sabrina Bechtel 715-498-6611 ftfmsupport@rdspos.com]</t>
  </si>
  <si>
    <t>2026-01-13T15:26:13.000Z</t>
  </si>
  <si>
    <t>2026-01-13T15:41:40.000Z</t>
  </si>
  <si>
    <t>CE WAS US153R76</t>
  </si>
  <si>
    <t>2026-01-14T07:12:19.000Z</t>
  </si>
  <si>
    <t>SCO 12 has a coin recycler error transfer motor jam error code 16-6-0-5-67073  [Generated by Portal Login: besa14 Contact: Sabrina Bechtel 715-498-6611 ftfmsupport@rdspos.com]-CE IS NOW US153R76-CE WAS US153R76-CE IS NOW US153R84-Arrived onsite Sco looked fine. booted into pml had the sco dispenses coins and cash without issue had the sco accept them back without issue. Associate Joe informed me his manager was trying to fix it earlier. SCO is ready for cash transactions NFF verified by associate joe.-New Item :7360-4010-9090 New Serial Number :57-60590095 Old Item :7360-4010-9090 Old Serial Number :57-60590095</t>
  </si>
  <si>
    <t>2026-03-03T01:45:25.000Z</t>
  </si>
  <si>
    <t>2026-03-02T20:28:00.000Z</t>
  </si>
  <si>
    <t>2026-03-03T01:28:00.000Z</t>
  </si>
  <si>
    <t>2026-03-02T20:29:00.000Z</t>
  </si>
  <si>
    <t>2026-03-03T01:29:00.000Z</t>
  </si>
  <si>
    <t>2026-03-02T09:17:22.000Z</t>
  </si>
  <si>
    <t>2026-03-02T14:17:22.000Z</t>
  </si>
  <si>
    <t>2026-03-02T19:17:15.000Z</t>
  </si>
  <si>
    <t>Arrive on site install missing graphic from the previous trilight replacement and confirm it looks right.</t>
  </si>
  <si>
    <t>2026-03-02T20:29:57.000Z</t>
  </si>
  <si>
    <t>2026-03-02T20:29:59.000Z</t>
  </si>
  <si>
    <t>SCO 11 is missing the sco sticker on the tri-light pole  [Generated by Portal Login: besa14 Contact: Sabrina Bechtel 715-498-6611 ftfmsupport@rdspos.com]</t>
  </si>
  <si>
    <t>2026-03-02T10:41:32.000Z</t>
  </si>
  <si>
    <t>2026-03-02T19:17:14.000Z</t>
  </si>
  <si>
    <t>SCO 11 is missing the sco sticker on the tri-light pole  [Generated by Portal Login: besa14 Contact: Sabrina Bechtel 715-498-6611 ftfmsupport@rdspos.com]-CE IS NOW US133E74-CE WAS US133E74-CE IS NOW US133E79-Arrive on site install missing graphic from the previous trilight replacement and confirm it looks right.-New Item :7360-4010-9090 New Serial Number :57-60588404 Old Item :7360-4010-9090 Old Serial Number :57-60588404</t>
  </si>
  <si>
    <t>2025-11-02T00:59:46.000Z</t>
  </si>
  <si>
    <t>2025-10-29T16:56:00.000Z</t>
  </si>
  <si>
    <t>2025-11-01T19:47:00.000Z</t>
  </si>
  <si>
    <t>2025-11-02T00:47:00.000Z</t>
  </si>
  <si>
    <t>2025-10-28T13:41:25.000Z</t>
  </si>
  <si>
    <t>2025-10-28T18:41:25.000Z</t>
  </si>
  <si>
    <t>2025-10-28T18:41:26.000Z</t>
  </si>
  <si>
    <t>2025-10-28T13:41:26.000Z</t>
  </si>
  <si>
    <t>2025-11-01T12:17:29.000Z</t>
  </si>
  <si>
    <t>The Uninterrutible Power Supplies (UPS) was replaced, and SCO powered on. SCO booted to transactions screen, tested, and verified by manager Tristan for making successful transactions in cash and cards.  Task  closed</t>
  </si>
  <si>
    <t>2025-11-01T19:48:05.000Z</t>
  </si>
  <si>
    <t>New Item :7360-4010-9090 New Serial Number :57-60591332 Old Item :7360-4010-9090 Old Serial Number :57-60591332</t>
  </si>
  <si>
    <t>2025-11-01T19:48:07.000Z</t>
  </si>
  <si>
    <t>SCO11 not powering on, may need battery back up replaced .  [Generated by Portal Login: most14 Contact: Staci Mowder 3096133038 ftfmsupport@rdspos.com]</t>
  </si>
  <si>
    <t>2025-10-28T13:43:47.000Z</t>
  </si>
  <si>
    <t>UPs not functioning, battery sint charging anymore</t>
  </si>
  <si>
    <t>2025-10-29T12:21:08.000Z</t>
  </si>
  <si>
    <t>SCO11 not powering on, may need battery back up replaced .  [Generated by Portal Login: most14 Contact: Staci Mowder 3096133038 ftfmsupport@rdspos.com]-CE IS NOW US153C17-UPs not functioning, battery sint charging anymore-LOM order processing, Part has been Ordered , Remedy Id FSC5383956 - (Next Day) by Agent mz185097-Oracle Order Shipped for Remedy Id: U018787942, Order/Receipt # 181817043, Ordered Part 4970527939, Part Description - UPS (N70-800) LV 100V/120V 800VA with USB communication Port and EMC Improvements, Shipment/Receipt #2111667382, Substitute Part was Shipped, Part has been Shipped, Qty 1, Priority OVERNIGHT, Shipping Method UPS-Air-Next Day Air Saver, BOL/Job 1ZH92Y051301815210, Source Location PTC AVL-CE WAS US153C17-CE IS NOW US153R73-CE WAS US153R73-CE IS NOW US153C17-CE WAS US153C17-CE IS NOW US153R73-CE WAS US153R73-CE IS NOW US153R10-CE WAS US153R10-CE IS NOW US153R70-The Uninterrutible Power Supplies (UPS) was replaced, and SCO powered on. SCO booted to transactions screen, tested, and verified by manager Tristan for making successful transactions in cash and cards.  Task  closed-New Item :7360-4010-9090 New Serial Number :57-60591332 Old Item :7360-4010-9090 Old Serial Number :57-60591332</t>
  </si>
  <si>
    <t>2026-02-28T17:42:07.000Z</t>
  </si>
  <si>
    <t>2026-02-28T11:42:00.000Z</t>
  </si>
  <si>
    <t>2026-02-28T16:42:00.000Z</t>
  </si>
  <si>
    <t>2026-02-28T12:25:00.000Z</t>
  </si>
  <si>
    <t>2026-02-28T17:25:00.000Z</t>
  </si>
  <si>
    <t>TJ185050</t>
  </si>
  <si>
    <t>2026-02-28T09:51:44.000Z</t>
  </si>
  <si>
    <t>2026-02-28T14:51:44.000Z</t>
  </si>
  <si>
    <t>2026-02-28T14:51:45.000Z</t>
  </si>
  <si>
    <t>2026-02-28T09:51:45.000Z</t>
  </si>
  <si>
    <t>lane light flickering. replaced lane light led assembly and tested in pml and with open lane. lane working</t>
  </si>
  <si>
    <t>2026-02-28T12:26:12.000Z</t>
  </si>
  <si>
    <t>2026-02-28T12:26:14.000Z</t>
  </si>
  <si>
    <t>SCO 15 the trilight is flashing  [Generated by Portal Login: besa14 Contact: Sabrina Bechtel 715-498-6611 ftfmsupport@rdspos.com]</t>
  </si>
  <si>
    <t>CE IS NOW US133U22</t>
  </si>
  <si>
    <t>2026-02-28T10:14:38.000Z</t>
  </si>
  <si>
    <t>CEM4131679:bad lane light flickering</t>
  </si>
  <si>
    <t>SCO 15 the trilight is flashing  [Generated by Portal Login: besa14 Contact: Sabrina Bechtel 715-498-6611 ftfmsupport@rdspos.com]-CE IS NOW US133U22-CEM4131679:bad lane light flickering-lane light flickering. replaced lane light led assembly and tested in pml and with open lane. lane working-New Item :7360-4010-9090 New Serial Number :57-60591353 Old Item :7360-4010-9090 Old Serial Number :57-60591353</t>
  </si>
  <si>
    <t>2026-01-24T14:45:09.000Z</t>
  </si>
  <si>
    <t>58-58517438</t>
  </si>
  <si>
    <t>2026-01-24T07:59:00.000Z</t>
  </si>
  <si>
    <t>2026-01-24T13:59:00.000Z</t>
  </si>
  <si>
    <t>2026-01-24T08:27:00.000Z</t>
  </si>
  <si>
    <t>2026-01-24T14:27:00.000Z</t>
  </si>
  <si>
    <t>BS185360</t>
  </si>
  <si>
    <t>2026-01-23T12:13:41.000Z</t>
  </si>
  <si>
    <t>2026-01-23T18:13:41.000Z</t>
  </si>
  <si>
    <t>19KK</t>
  </si>
  <si>
    <t>19KK-PRINTER PAPER LOADED INCORRECTLY OR WRONG TYPE USED</t>
  </si>
  <si>
    <t>2026-01-23T18:13:42.000Z</t>
  </si>
  <si>
    <t>2026-01-23T12:13:42.000Z</t>
  </si>
  <si>
    <t>removed paper receipt and paper from inside roller causing prints to print faded and unlegible</t>
  </si>
  <si>
    <t>2026-01-24T08:28:54.000Z</t>
  </si>
  <si>
    <t>print quality poor, receipt not printing legible, found paper receipt on rubber roller on inside lid and a few paper cuttings, removed all debris amd paper from printer, used forced air and ipa pen to clean, used pml to test printer all successful, rebooted lane and asked associate Stacy to test, working as designed after debris removed amd cleaning.  checked out with associate Stacy</t>
  </si>
  <si>
    <t>New Item :7360-4010-9090 New Serial Number :58-58517438 Old Item :7360-4010-9090 Old Serial Number :57-60587853</t>
  </si>
  <si>
    <t>2026-01-24T08:28:56.000Z</t>
  </si>
  <si>
    <t>SCO 11 printer not printing clearly  [Generated by Portal Login: besa14 Contact: Sabrina Bechtel 715-498-6611 ftfmsupport@rdspos.com]</t>
  </si>
  <si>
    <t>2026-01-23T12:16:11.000Z</t>
  </si>
  <si>
    <t>2026-01-23T14:24:57.000Z</t>
  </si>
  <si>
    <t>SCO 11 printer not printing clearly  [Generated by Portal Login: besa14 Contact: Sabrina Bechtel 715-498-6611 ftfmsupport@rdspos.com]-CE IS NOW US153C26-CE WAS US153C26-CE IS NOW US153C27-CE WAS US153C27-CE IS NOW US153C02-CE IS NOW US153C02-removed paper receipt and paper from inside roller causing prints to print faded and unlegible-print quality poor, receipt not printing legible, found paper receipt on rubber roller on inside lid and a few paper cuttings, removed all debris amd paper from printer, used forced air and ipa pen to clean, used pml to test printer all successful, rebooted lane and asked associate Stacy to test, working as designed after debris removed amd cleaning.  checked out with associate Stacy-New Item :7360-4010-9090 New Serial Number :58-58517438 Old Item :7360-4010-9090 Old Serial Number :57-60587853</t>
  </si>
  <si>
    <t>2026-04-04T02:47:37.000Z</t>
  </si>
  <si>
    <t>20-59027012</t>
  </si>
  <si>
    <t>2026-04-03T20:10:00.000Z</t>
  </si>
  <si>
    <t>2026-04-04T01:10:00.000Z</t>
  </si>
  <si>
    <t>2026-04-03T21:29:00.000Z</t>
  </si>
  <si>
    <t>2026-04-04T02:29:00.000Z</t>
  </si>
  <si>
    <t>2026-04-03T19:25:21.000Z</t>
  </si>
  <si>
    <t>2026-04-04T00:25:21.000Z</t>
  </si>
  <si>
    <t>New Item :7360-4010-9090 New Serial Number :20-59027012 Old Item :7360-4010-9090 Old Serial Number :57-60595344</t>
  </si>
  <si>
    <t>2026-04-03T21:31:12.000Z</t>
  </si>
  <si>
    <t>SCO12 has a Note recycler error - Jam at RTG2 sensor  [Generated by Portal Login: most14 Contact: Staci Mowder 3096133038 ftfmsupport@rdspos.com]</t>
  </si>
  <si>
    <t>2026-04-03T19:35:50.000Z</t>
  </si>
  <si>
    <t>I arrived on site and the customer said that her manager may have fixes the issue. She thought he may have for gotten to call and cancel. Cleaned the top module and found onion peals in the gsr50. Cleaned everything out. That could have been what caused the jam in the first place, but the manager removed the jammed bill. Please see photo attached. Job completed</t>
  </si>
  <si>
    <t>2026-04-03T21:31:09.000Z</t>
  </si>
  <si>
    <t>SCO12 has a Note recycler error - Jam at RTG2 sensor  [Generated by Portal Login: most14 Contact: Staci Mowder 3096133038 ftfmsupport@rdspos.com]-CE IS NOW US153N62-I arrived on site and the customer said that her manager may have fixes the issue. She thought he may have for gotten to call and cancel. Cleaned the top module and found onion peals in the gsr50. Cleaned everything out. That could have been what caused the jam in the first place, but the manager removed the jammed bill. Please see photo attached. Job completed-New Item :7360-4010-9090 New Serial Number :20-59027012 Old Item :7360-4010-9090 Old Serial Number :57-60595344</t>
  </si>
  <si>
    <t>2026-06-24T14:57:43.000Z</t>
  </si>
  <si>
    <t>2026-06-24T10:43:00.000Z</t>
  </si>
  <si>
    <t>2026-06-24T14:43:00.000Z</t>
  </si>
  <si>
    <t>2026-06-24T10:44:00.000Z</t>
  </si>
  <si>
    <t>2026-06-24T14:44:00.000Z</t>
  </si>
  <si>
    <t>Duplicate ticket (7617300249)</t>
  </si>
  <si>
    <t>2026-06-22T16:06:21.000Z</t>
  </si>
  <si>
    <t>2026-06-22T20:06:21.000Z</t>
  </si>
  <si>
    <t>7932-8541-9802</t>
  </si>
  <si>
    <t>Escalation Update: Best ETA at this time 6/24/2026 20:00</t>
  </si>
  <si>
    <t>2026-06-24T07:53:34.000Z</t>
  </si>
  <si>
    <t>Duplicate ticket gave them my key and ordering a new one</t>
  </si>
  <si>
    <t>2026-06-24T10:44:23.000Z</t>
  </si>
  <si>
    <t>New Item :7360-4010-9090 New Serial Number :57-60587862 Old Item :7360-4010-9090 Old Serial Number :57-60587862</t>
  </si>
  <si>
    <t>2026-06-24T10:44:25.000Z</t>
  </si>
  <si>
    <t>Store director is requesting another key for inside SCO doors  [Generated by Portal Login: most14 Contact: Staci Mowder 2694689716 FTFMSupport@rdspos.com]</t>
  </si>
  <si>
    <t>2026-06-22T16:09:05.000Z</t>
  </si>
  <si>
    <t>2026-06-24T07:38:58.000Z</t>
  </si>
  <si>
    <t>Store director is requesting another key for inside SCO doors  [Generated by Portal Login: most14 Contact: Staci Mowder 2694689716 FTFMSupport@rdspos.com]-CE IS NOW US133C87-Escalation Request: Need confirmed CE ETA and assignment. [Added by: Vannie Kristoffer Tabares Portal Login: ncr.com Phone Number: 09614106969 Email Address: VannieKristoffer.Tabares@ncrvoyix.com Contact By: GIM]-CE WAS US133C87-CE IS NOW US133C84-Escalation Update: Best ETA at this time 6/24/2026 20:00-Duplicate ticket gave them my key and ordering a new one-New Item :7360-4010-9090 New Serial Number :57-60587862 Old Item :7360-4010-9090 Old Serial Number :57-60587862</t>
  </si>
  <si>
    <t>2025-10-14T20:57:38.000Z</t>
  </si>
  <si>
    <t>57-60590108</t>
  </si>
  <si>
    <t>2025-10-14T15:02:00.000Z</t>
  </si>
  <si>
    <t>2025-10-14T20:02:00.000Z</t>
  </si>
  <si>
    <t>2025-10-14T15:39:00.000Z</t>
  </si>
  <si>
    <t>2025-10-14T20:39:00.000Z</t>
  </si>
  <si>
    <t>2025-10-11T14:06:42.000Z</t>
  </si>
  <si>
    <t>2025-10-11T19:06:42.000Z</t>
  </si>
  <si>
    <t>like a battery unit damaged. The power button is jammed in out of place</t>
  </si>
  <si>
    <t>2025-10-14T15:40:18.000Z</t>
  </si>
  <si>
    <t>Register 11 was having power issues. The backup power source needed replacement. Observing the power button on the back of the battery was damaged. Shut down the register and remove the old backup battery. Install the new backup battery and power up with the register. Register booted successfully with no problems or errors. Register booted up normally verified by Noel</t>
  </si>
  <si>
    <t>New Item :7360-4010-9090 New Serial Number :57-60590108 Old Item :7360-4010-9090 Old Serial Number :57-60590108</t>
  </si>
  <si>
    <t>2025-10-14T15:40:19.000Z</t>
  </si>
  <si>
    <t>SCO 11 will not power on, battery back up is dead and squealing This is one of two SCO's down at this store [Generated by Portal Login: besa14 Contact: Sabrina Bechtel 715-498-6611 ftfmsupport@rdspos.com]</t>
  </si>
  <si>
    <t>2025-10-11T14:06:43.000Z</t>
  </si>
  <si>
    <t>2025-10-11T14:20:57.000Z</t>
  </si>
  <si>
    <t>store needs new backup power supply. suspending ticket to order one</t>
  </si>
  <si>
    <t>2025-10-11T20:38:04.000Z</t>
  </si>
  <si>
    <t>SCO 11 will not power on, battery back up is dead and squealing This is one of two SCO's down at this store [Generated by Portal Login: besa14 Contact: Sabrina Bechtel 715-498-6611 ftfmsupport@rdspos.com]-CE IS NOW US153R72-store needs new backup power supply. suspending ticket to order one-LOM order processing, Part has been Ordered , Remedy Id 000000014885463 - (Next Day) by Agent Auto VIP P000-Oracle Order Shipped for Remedy Id: U018773345, Order/Receipt # 181769572, Ordered Part 4970534153, Part Description - UPS (N70-800) LV 100V/120V 800VA with USB communication Port and EMC Improvements, Shipment/Receipt #2111222291, Part has been Shipped, Qty 1, Priority OVERNIGHT, Shipping Method UPS-Air-Next Day Air Saver, BOL/Job 1ZH92Y051301706481, Source Location PTC AVL-like a battery unit damaged. The power button is jammed in out of place-Register 11 was having power issues. The backup power source needed replacement. Observing the power button on the back of the battery was damaged. Shut down the register and remove the old backup battery. Install the new backup battery and power up with the register. Register booted successfully with no problems or errors. Register booted up normally verified by Noel-New Item :7360-4010-9090 New Serial Number :57-60590108 Old Item :7360-4010-9090 Old Serial Number :57-60590108</t>
  </si>
  <si>
    <t>2026-04-20T00:55:10.000Z</t>
  </si>
  <si>
    <t>2026-04-19T19:33:00.000Z</t>
  </si>
  <si>
    <t>2026-04-19T23:33:00.000Z</t>
  </si>
  <si>
    <t>2026-04-19T20:39:00.000Z</t>
  </si>
  <si>
    <t>2026-04-20T00:39:00.000Z</t>
  </si>
  <si>
    <t>2026-04-19T17:05:40.000Z</t>
  </si>
  <si>
    <t>2026-04-19T21:05:40.000Z</t>
  </si>
  <si>
    <t>Pml showed no tachs on validator error.  I replaced the validator,  which then allowed me to dispense and accept coins without issue.   after booting, the sco wouldn't zero out. I reseated cables but the issue persisted. I power drained the lane and after booting was able to weigh items.</t>
  </si>
  <si>
    <t>2026-04-19T20:39:55.000Z</t>
  </si>
  <si>
    <t>New Item :7360-4010-9090 New Serial Number :57-60588404 Old Item :7360-4010-9090 Old Serial Number :57-60588436</t>
  </si>
  <si>
    <t>2026-04-19T20:39:56.000Z</t>
  </si>
  <si>
    <t>Coin Recycfer Error  [Generated by Portal Login: repa14 Contact: Patrick Reeves 3092411908 ftfmsupport@rdspos.com]</t>
  </si>
  <si>
    <t>2026-04-19T17:10:12.000Z</t>
  </si>
  <si>
    <t>CEM4194139:defective</t>
  </si>
  <si>
    <t>2026-04-19T20:39:54.000Z</t>
  </si>
  <si>
    <t>Coin Recycfer Error  [Generated by Portal Login: repa14 Contact: Patrick Reeves 3092411908 ftfmsupport@rdspos.com]-CE IS NOW US133E74-CEM4194139:defective-Pml showed no tachs on validator error.  I replaced the validator,  which then allowed me to dispense and accept coins without issue.   after booting, the sco wouldn't zero out. I reseated cables but the issue persisted. I power drained the lane and after booting was able to weigh items.-New Item :7360-4010-9090 New Serial Number :57-60588404 Old Item :7360-4010-9090 Old Serial Number :57-60588436</t>
  </si>
  <si>
    <t>2026-01-04T16:53:21.000Z</t>
  </si>
  <si>
    <t>2026-01-04T10:31:00.000Z</t>
  </si>
  <si>
    <t>2026-01-04T16:31:00.000Z</t>
  </si>
  <si>
    <t>2026-01-04T10:40:00.000Z</t>
  </si>
  <si>
    <t>2026-01-04T16:40:00.000Z</t>
  </si>
  <si>
    <t>2026-01-04T09:38:07.000Z</t>
  </si>
  <si>
    <t>2026-01-04T15:38:07.000Z</t>
  </si>
  <si>
    <t>scanned barcode, examined issues, purged gsr50, reloaded bills, test good</t>
  </si>
  <si>
    <t>2026-01-04T10:40:30.000Z</t>
  </si>
  <si>
    <t>2026-01-04T10:40:32.000Z</t>
  </si>
  <si>
    <t>SCO 13 has a $10 stuck around the roller   [Generated by Portal Login: besa14 Contact: Sabrina Bechtel 715-498-6611 ftfmsupport@rdspos.com]</t>
  </si>
  <si>
    <t>2026-01-04T09:38:08.000Z</t>
  </si>
  <si>
    <t>2026-01-04T09:38:10.000Z</t>
  </si>
  <si>
    <t>counts off</t>
  </si>
  <si>
    <t>SCO 13 has a $10 stuck around the roller   [Generated by Portal Login: besa14 Contact: Sabrina Bechtel 715-498-6611 ftfmsupport@rdspos.com]-CE IS NOW US153R81-counts off-scanned barcode, examined issues, purged gsr50, reloaded bills, test good-New Item :7360-4010-9090 New Serial Number :57-60588469 Old Item :7360-4010-9090 Old Serial Number :57-60591345</t>
  </si>
  <si>
    <t>2026-02-23T11:54:00.000Z</t>
  </si>
  <si>
    <t>2026-02-23T17:54:00.000Z</t>
  </si>
  <si>
    <t>2026-02-23T11:58:00.000Z</t>
  </si>
  <si>
    <t>2026-02-23T17:58:00.000Z</t>
  </si>
  <si>
    <t>2026-02-23T08:29:17.000Z</t>
  </si>
  <si>
    <t>2026-02-23T14:29:17.000Z</t>
  </si>
  <si>
    <t>sco 13 replace</t>
  </si>
  <si>
    <t>replace ups after picking up part Katie verified my work</t>
  </si>
  <si>
    <t>2026-02-23T12:21:00.000Z</t>
  </si>
  <si>
    <t>2026-02-23T12:21:03.000Z</t>
  </si>
  <si>
    <t>SCO 13 battery back up needs replaced, sco will not power on  [Generated by Portal Login: besa14 Contact: Sabrina Bechtel 715-498-6611 ftfmsupport@rdspos.com]</t>
  </si>
  <si>
    <t>2026-02-23T08:29:18.000Z</t>
  </si>
  <si>
    <t>2026-02-23T08:36:20.000Z</t>
  </si>
  <si>
    <t>2026-02-23T08:38:13.000Z</t>
  </si>
  <si>
    <t>SCO 13 battery back up needs replaced, sco will not power on  [Generated by Portal Login: besa14 Contact: Sabrina Bechtel 715-498-6611 ftfmsupport@rdspos.com]-CE IS NOW US153C17-CE WAS US153C17-CE IS NOW US153C07-sco 13 replace-replace ups after picking up part Katie verified my work-New Item :7360-4010-9090 New Serial Number :57-60595352 Old Item :7360-4010-9090 Old Serial Number :57-60595352</t>
  </si>
  <si>
    <t>2026-05-11T22:48:06.000Z</t>
  </si>
  <si>
    <t>20-59067337</t>
  </si>
  <si>
    <t>2026-05-11T18:19:00.000Z</t>
  </si>
  <si>
    <t>2026-05-11T22:19:00.000Z</t>
  </si>
  <si>
    <t>2026-05-11T18:32:00.000Z</t>
  </si>
  <si>
    <t>2026-05-11T22:32:00.000Z</t>
  </si>
  <si>
    <t>2026-05-11T12:42:25.000Z</t>
  </si>
  <si>
    <t>2026-05-11T16:42:25.000Z</t>
  </si>
  <si>
    <t>2026-05-11T16:42:27.000Z</t>
  </si>
  <si>
    <t>2026-05-11T12:42:27.000Z</t>
  </si>
  <si>
    <t>CEM4234583:defective</t>
  </si>
  <si>
    <t>2026-05-11T18:34:14.000Z</t>
  </si>
  <si>
    <t>Cashbox was broken, replaced. The error has been resolved as cash can be accepted and dispensed (all bills). The SCO is functioning properly.</t>
  </si>
  <si>
    <t>New Item :7360-4010-9090 New Serial Number :20-59067337 Old Item :7360-4010-9090 Old Serial Number :57-60595333</t>
  </si>
  <si>
    <t>2026-05-11T18:34:17.000Z</t>
  </si>
  <si>
    <t>Notebox on SCO12 is damaged and not accepting bills  [Generated by Portal Login: most14 Contact: Staci Mowder 3096133038 ftfmsupport@rdspos.com]</t>
  </si>
  <si>
    <t>2026-05-11T12:42:28.000Z</t>
  </si>
  <si>
    <t>2026-05-11T12:48:37.000Z</t>
  </si>
  <si>
    <t>2026-05-11T15:50:03.000Z</t>
  </si>
  <si>
    <t>Notebox on SCO12 is damaged and not accepting bills  [Generated by Portal Login: most14 Contact: Staci Mowder 3096133038 ftfmsupport@rdspos.com]-CE IS NOW US133U34-CE WAS US133U34-CE IS NOW US133C42-CEM4234583:defective-Cashbox was broken, replaced. The error has been resolved as cash can be accepted and dispensed (all bills). The SCO is functioning properly.-New Item :7360-4010-9090 New Serial Number :20-59067337 Old Item :7360-4010-9090 Old Serial Number :57-60595333</t>
  </si>
  <si>
    <t>2026-01-06T19:33:36.000Z</t>
  </si>
  <si>
    <t>2026-01-06T13:46:00.000Z</t>
  </si>
  <si>
    <t>2026-01-06T18:46:00.000Z</t>
  </si>
  <si>
    <t>2026-01-06T14:16:00.000Z</t>
  </si>
  <si>
    <t>2026-01-06T19:16:00.000Z</t>
  </si>
  <si>
    <t>2026-01-05T19:40:31.000Z</t>
  </si>
  <si>
    <t>2026-01-06T00:40:31.000Z</t>
  </si>
  <si>
    <t>2026-01-06T14:17:20.000Z</t>
  </si>
  <si>
    <t>2026-01-06T14:17:22.000Z</t>
  </si>
  <si>
    <t>SCO12 has a Coin recycler error   [Generated by Portal Login: most14 Contact: Staci Mowder 3096133038 ftfmsupport@rdspos.com]</t>
  </si>
  <si>
    <t>2026-01-05T19:40:32.000Z</t>
  </si>
  <si>
    <t>2026-01-05T19:43:04.000Z</t>
  </si>
  <si>
    <t>no fault on arrival.   in use.   staff indicated that the lock bar was unlocked when they came in this morning.   after she locked it, there has been no issues.   verified no fault found.   sco is in service.</t>
  </si>
  <si>
    <t>SCO12 has a Coin recycler error   [Generated by Portal Login: most14 Contact: Staci Mowder 3096133038 ftfmsupport@rdspos.com]-CE IS NOW US153C41-no fault on arrival.   in use.   staff indicated that the lock bar was unlocked when they came in this morning.   after she locked it, there has been no issues.   verified no fault found.   sco is in service.-57-60591341-New Item :7360-4010-9090 New Serial Number :57-60591341 Old Item :7360-4010-9090 Old Serial Number :57-60591341</t>
  </si>
  <si>
    <t>2025-10-23T23:15:34.000Z</t>
  </si>
  <si>
    <t>57-60587847</t>
  </si>
  <si>
    <t>2025-10-23T17:17:00.000Z</t>
  </si>
  <si>
    <t>2025-10-23T22:17:00.000Z</t>
  </si>
  <si>
    <t>2025-10-23T18:00:00.000Z</t>
  </si>
  <si>
    <t>2025-10-23T23:00:00.000Z</t>
  </si>
  <si>
    <t>2025-10-23T15:38:38.000Z</t>
  </si>
  <si>
    <t>2025-10-23T20:38:38.000Z</t>
  </si>
  <si>
    <t>2025-10-23T15:43:06.000Z</t>
  </si>
  <si>
    <t>The front end of the cash acceptor assembly had the little belts get off track. Makes a grinding noise when the belts are off track and fighting against themselves. Remove the assembly from the GSR 50. i prided the belts back onto the wheels correctly and tested to make sure they were working properly. The machine was now without the grinding noise and seemed to be working just fine. Verified by checkout Tommy</t>
  </si>
  <si>
    <t>2025-10-23T18:00:48.000Z</t>
  </si>
  <si>
    <t>New Item :7360-4010-9090 New Serial Number :57-60587847 Old Item :7360-4010-9090 Old Serial Number :57-60590109</t>
  </si>
  <si>
    <t>2025-10-23T18:00:50.000Z</t>
  </si>
  <si>
    <t>SCO12 has a note recycler error. When inserting the bills it makes a clicking noise and gets jammed  [Generated by Portal Login: most14 Contact: Staci Mowder 3096133038 ftfmsupport@rdspos.com]</t>
  </si>
  <si>
    <t>2025-10-23T15:38:39.000Z</t>
  </si>
  <si>
    <t>2025-10-23T15:39:55.000Z</t>
  </si>
  <si>
    <t>2025-10-23T15:42:34.000Z</t>
  </si>
  <si>
    <t>SCO12 has a note recycler error. When inserting the bills it makes a clicking noise and gets jammed  [Generated by Portal Login: most14 Contact: Staci Mowder 3096133038 ftfmsupport@rdspos.com]-CE IS NOW US153R71-CE WAS US153R71-CE IS NOW US153R83-CE WAS US153R83-CE IS NOW US153R72-The front end of the cash acceptor assembly had the little belts get off track. Makes a grinding noise when the belts are off track and fighting against themselves. Remove the assembly from the GSR 50. i prided the belts back onto the wheels correctly and tested to make sure they were working properly. The machine was now without the grinding noise and seemed to be working just fine. Verified by checkout Tommy-New Item :7360-4010-9090 New Serial Number :57-60587847 Old Item :7360-4010-9090 Old Serial Number :57-60590109</t>
  </si>
  <si>
    <t>2025-09-03T15:22:25.000Z</t>
  </si>
  <si>
    <t>2025-09-03T10:46:00.000Z</t>
  </si>
  <si>
    <t>2025-09-03T14:46:00.000Z</t>
  </si>
  <si>
    <t>2025-09-03T11:05:00.000Z</t>
  </si>
  <si>
    <t>2025-09-03T15:05:00.000Z</t>
  </si>
  <si>
    <t>TS185320</t>
  </si>
  <si>
    <t>2025-09-02T16:20:03.000Z</t>
  </si>
  <si>
    <t>2025-09-02T20:20:03.000Z</t>
  </si>
  <si>
    <t>2025-09-02T20:20:06.000Z</t>
  </si>
  <si>
    <t>2025-09-02T16:20:06.000Z</t>
  </si>
  <si>
    <t>CE IS NOW US133C93</t>
  </si>
  <si>
    <t>2025-09-03T09:07:34.000Z</t>
  </si>
  <si>
    <t>Replaced UPS per SR request. Unit booted fine, tested live transaction, all peripherals fine. Confirmed with MOD Drew.</t>
  </si>
  <si>
    <t>2025-09-03T11:05:45.000Z</t>
  </si>
  <si>
    <t>2025-09-03T11:05:48.000Z</t>
  </si>
  <si>
    <t>SCO 12 needs a battery backup replaced, there is no power to the battery backup and the SCO will not stay powered on  [Generated by Portal Login: besa14 Contact: Sabrina Bechtel 715-498-6611 ftfmsupport@rdspos.com]</t>
  </si>
  <si>
    <t>2025-09-02T16:20:07.000Z</t>
  </si>
  <si>
    <t>CE IS NOW US133C81</t>
  </si>
  <si>
    <t>2025-09-02T16:42:37.000Z</t>
  </si>
  <si>
    <t>CE WAS US133C81</t>
  </si>
  <si>
    <t>2025-09-03T09:07:32.000Z</t>
  </si>
  <si>
    <t>SCO 12 needs a battery backup replaced, there is no power to the battery backup and the SCO will not stay powered on  [Generated by Portal Login: besa14 Contact: Sabrina Bechtel 715-498-6611 ftfmsupport@rdspos.com]-CE IS NOW US133C81-CE WAS US133C81-CE IS NOW US133C93-Replaced UPS per SR request. Unit booted fine, tested live transaction, all peripherals fine. Confirmed with MOD Drew.-New Item :7360-4010-9090 New Serial Number :57-60587823 Old Item :7360-4010-9090 Old Serial Number :57-60587862</t>
  </si>
  <si>
    <t>2025-11-20T16:52:47.000Z</t>
  </si>
  <si>
    <t>2025-11-20T10:38:00.000Z</t>
  </si>
  <si>
    <t>2025-11-20T16:38:00.000Z</t>
  </si>
  <si>
    <t>2025-11-20T10:39:00.000Z</t>
  </si>
  <si>
    <t>2025-11-20T16:39:00.000Z</t>
  </si>
  <si>
    <t>2025-11-05T12:28:41.000Z</t>
  </si>
  <si>
    <t>2025-11-05T18:28:41.000Z</t>
  </si>
  <si>
    <t>2025-11-05T18:28:42.000Z</t>
  </si>
  <si>
    <t>2025-11-05T12:28:42.000Z</t>
  </si>
  <si>
    <t>CEM3996923:no light</t>
  </si>
  <si>
    <t>2025-11-20T10:39:59.000Z</t>
  </si>
  <si>
    <t>scanned barcode, replaced tri light assembly, test good</t>
  </si>
  <si>
    <t>2025-11-20T10:40:01.000Z</t>
  </si>
  <si>
    <t>2025-11-20T10:40:02.000Z</t>
  </si>
  <si>
    <t>SCO 13 tri-light will not light up at all  [Generated by Portal Login: besa14 Contact: Sabrina Bechtel 715-498-6611 ftfmsupport@rdspos.com]</t>
  </si>
  <si>
    <t>2025-11-05T12:30:10.000Z</t>
  </si>
  <si>
    <t>needs part 4970525295</t>
  </si>
  <si>
    <t>2025-11-05T14:23:17.000Z</t>
  </si>
  <si>
    <t>SCO 13 tri-light will not light up at all  [Generated by Portal Login: besa14 Contact: Sabrina Bechtel 715-498-6611 ftfmsupport@rdspos.com]-CE IS NOW US153R81-needs part 4970525295-LOM order processing, Part has been Ordered , Remedy Id 000000014905595 - (Next Day) by Agent Auto VIP P932-Oracle Order Shipped for Remedy Id: U018793359, Order/Receipt # 181833891, Ordered Part 4970525295, Part Description - KIT - R6 TRI-LIGHT W/IP CAMERA, Shipment/Receipt #2112022624, Part has been Shipped, Qty 1, Priority OVERNIGHT, Shipping Method UPS-Air-Next Day Air Saver, BOL/Job 1ZH92Y051301944821, Source Location PTC AVL-CEM3996923:no light-scanned barcode, replaced tri light assembly, test good-New Item :7360-4010-9090 New Serial Number :57-60588469 Old Item :7360-4010-9090 Old Serial Number :57-60591345</t>
  </si>
  <si>
    <t>2025-09-03T00:55:13.000Z</t>
  </si>
  <si>
    <t>57-60590101</t>
  </si>
  <si>
    <t>2025-09-01T17:26:00.000Z</t>
  </si>
  <si>
    <t>2025-09-01T22:26:00.000Z</t>
  </si>
  <si>
    <t>2025-09-02T19:40:00.000Z</t>
  </si>
  <si>
    <t>2025-09-03T00:40:00.000Z</t>
  </si>
  <si>
    <t>2025-09-01T07:29:12.000Z</t>
  </si>
  <si>
    <t>2025-09-01T12:29:12.000Z</t>
  </si>
  <si>
    <t>CEM3803606:Defective</t>
  </si>
  <si>
    <t>2025-09-02T19:41:13.000Z</t>
  </si>
  <si>
    <t>The defective UPS was uninstalled, and replacement was installed instead. The installed UPS was tested and verified by manager  Katelyn as performing properly.  Task closed.</t>
  </si>
  <si>
    <t>New Item :7360-4010-9090 New Serial Number :57-60590101 Old Item :7360-4010-9090 Old Serial Number :57-60590099</t>
  </si>
  <si>
    <t>2025-09-02T19:41:14.000Z</t>
  </si>
  <si>
    <t>Battery backup is bad and needs to be replaced  [Generated by Portal Login: repa14 Contact: Patrick Reeves 3092411908 ftfmsupport@rdspos.com]</t>
  </si>
  <si>
    <t>2025-09-01T07:29:13.000Z</t>
  </si>
  <si>
    <t>2025-09-01T07:35:17.000Z</t>
  </si>
  <si>
    <t>-Customer states random shutdown on SCO Lane 14. -Customer request replacement of UPS on three SCO's. Confirmed with Patrick Reeves ph# 309-241-1908 email: ftfmsupport@rdspos.com. -Lane #14 install or charge UPS before 08-July-2022. -UPS PID 4970527939. -On-site contacts: Katie Front End Lead &amp;amp; Kaitlyn MOD.</t>
  </si>
  <si>
    <t>2025-09-01T19:09:20.000Z</t>
  </si>
  <si>
    <t>Battery backup is bad and needs to be replaced  [Generated by Portal Login: repa14 Contact: Patrick Reeves 3092411908 ftfmsupport@rdspos.com]-CE IS NOW US153R79--Customer states random shutdown on SCO Lane 14. -Customer request replacement of UPS on three SCO's. Confirmed with Patrick Reeves ph# 309-241-1908 email: ftfmsupport@rdspos.com. -Lane #14 install or charge UPS before 08-July-2022. -UPS PID 4970527939. -On-site contacts: Katie Front End Lead &amp;amp; Kaitlyn MOD.-Order part for customer - UPS PID 4970527939.-LOM order processing, Ordered Part 4970527939, CE Original Part 4970527939, Remedy Id FSC5314194 - (Pick Up)MN, Arden Hillsby Agent to250050-Oracle Order Shipped for Remedy Id: U018740463, Order/Receipt # 181663960, Ordered Part 4970527939, Part Description - R6.0 UPS 110V 800VA with USB communication port &amp; EMC Improvements, Shipment/Receipt #2110375477, Part has been Shipped, Qty 1, Priority NFO, Shipping Method CE Pickup After Hours, BOL/Job NA, Source Location UFF USFMSP1G-CE IS NOW US153R70-CEM3803606:Defective-The defective UPS was uninstalled, and replacement was installed instead. The installed UPS was tested and verified by manager  Katelyn as performing properly.  Task closed.-New Item :7360-4010-9090 New Serial Number :57-60590101 Old Item :7360-4010-9090 Old Serial Number :57-60590099</t>
  </si>
  <si>
    <t>-Customer states random shutdown on SCO Lane 14.
-Customer request replacement of UPS on three SCO's. Confirmed with Patrick Reeves ph# 309-241-1908 email: ftfmsupport@rdspos.com.
-Lane #14 install or charge UPS before 08-July-2022.
-UPS PID 4970527939.
-On-site contacts: Katie Front End Lead &amp; Kaitlyn MOD.</t>
  </si>
  <si>
    <t>2025-09-01T19:09:25.000Z</t>
  </si>
  <si>
    <t>2025-10-23T20:44:27.000Z</t>
  </si>
  <si>
    <t>2025-10-22T11:08:00.000Z</t>
  </si>
  <si>
    <t>2025-10-22T16:08:00.000Z</t>
  </si>
  <si>
    <t>2025-10-23T15:30:00.000Z</t>
  </si>
  <si>
    <t>2025-10-23T20:30:00.000Z</t>
  </si>
  <si>
    <t>2025-10-22T08:15:17.000Z</t>
  </si>
  <si>
    <t>2025-10-22T13:15:17.000Z</t>
  </si>
  <si>
    <t>2025-10-22T13:15:18.000Z</t>
  </si>
  <si>
    <t>2025-10-22T08:15:18.000Z</t>
  </si>
  <si>
    <t>CEM3324656:return part</t>
  </si>
  <si>
    <t>2025-10-23T15:31:31.000Z</t>
  </si>
  <si>
    <t>replaced coin validator and tested. Lane is back to full function.</t>
  </si>
  <si>
    <t>New Item :7360-4010-9090 New Serial Number :57-60587808 Old Item :7360-4010-9090 Old Serial Number :57-60587803</t>
  </si>
  <si>
    <t>2025-10-23T15:31:34.000Z</t>
  </si>
  <si>
    <t>Debris Flap is stuck, Error Code 16-6-0-5-131844  [Generated by Portal Login: coas14 Contact: Ashley 309-213-1564 ftfmsupport@rdspos.com]</t>
  </si>
  <si>
    <t>2025-10-22T08:17:06.000Z</t>
  </si>
  <si>
    <t>checked coin sorter and flap. reset coin sorter and tested.  still not working.  ordered replacement cr5000 coin validator 4970525576</t>
  </si>
  <si>
    <t>2025-10-22T11:33:18.000Z</t>
  </si>
  <si>
    <t>Debris Flap is stuck, Error Code 16-6-0-5-131844  [Generated by Portal Login: coas14 Contact: Ashley 309-213-1564 ftfmsupport@rdspos.com]-CE IS NOW US153R42-checked coin sorter and flap. reset coin sorter and tested.  still not working.  ordered replacement cr5000 coin validator 4970525576-LOM order processing, Part has been Ordered , Remedy Id FSC5374825 - (Next Day) by Agent ab251241-Oracle Order Shipped for Remedy Id: U018782071, Order/Receipt # 181795574, Ordered Part 4970525576, Part Description - Crane Xchange Validator Type A (Service Part), Shipment/Receipt #2111520960, Substitute Part was Shipped, Part has been Shipped, Qty 1, Priority OVERNIGHT, Shipping Method UPS-Air-Next Day Air Saver, BOL/Job 1ZH92Y051301769093, Source Location PTC AVL-CEM3324656:return part-replaced coin validator and tested. Lane is back to full function.-New Item :7360-4010-9090 New Serial Number :57-60587808 Old Item :7360-4010-9090 Old Serial Number :57-60587803</t>
  </si>
  <si>
    <t>2025-08-15T00:52:31.000Z</t>
  </si>
  <si>
    <t>57-60591370</t>
  </si>
  <si>
    <t>2025-08-14T19:06:00.000Z</t>
  </si>
  <si>
    <t>2025-08-15T00:06:00.000Z</t>
  </si>
  <si>
    <t>2025-08-14T19:37:00.000Z</t>
  </si>
  <si>
    <t>2025-08-15T00:37:00.000Z</t>
  </si>
  <si>
    <t>2025-08-14T16:29:34.000Z</t>
  </si>
  <si>
    <t>2025-08-14T21:29:34.000Z</t>
  </si>
  <si>
    <t>I picked up the part from ESL and returned to replace the lock. Replaced the lock that the customer damaged, and now the coin machine is fully functional. Job completed, told the customer not to try and take it apart again.</t>
  </si>
  <si>
    <t>2025-08-14T19:39:12.000Z</t>
  </si>
  <si>
    <t>New Item :7360-4010-9090 New Serial Number :57-60591370 Old Item :7360-4010-9090 Old Serial Number :57-60591370</t>
  </si>
  <si>
    <t>2025-08-14T19:39:13.000Z</t>
  </si>
  <si>
    <t>Part from coin sorter came off of SCO11   [Generated by Portal Login: most14 Contact: Staci Mowder 3096133038 ftfmsupport@rdspos.com]</t>
  </si>
  <si>
    <t>2025-08-14T16:29:35.000Z</t>
  </si>
  <si>
    <t>2025-08-14T16:48:04.000Z</t>
  </si>
  <si>
    <t>Part from coin sorter came off of SCO11   [Generated by Portal Login: most14 Contact: Staci Mowder 3096133038 ftfmsupport@rdspos.com]-CE IS NOW US153N62-I picked up the part from ESL and returned to replace the lock. Replaced the lock that the customer damaged, and now the coin machine is fully functional. Job completed, told the customer not to try and take it apart again.-I picked up the part from ESL and returned to replace the lock. Replaced the lock that the customer damaged, and now the coin machine is fully functional. Job completed, told the customer not to try and take it apart again.-New Item :7360-4010-9090 New Serial Number :57-60591370 Old Item :7360-4010-9090 Old Serial Number :57-60591370</t>
  </si>
  <si>
    <t>2026-04-09T17:11:13.000Z</t>
  </si>
  <si>
    <t>57-60595332</t>
  </si>
  <si>
    <t>2026-04-09T12:25:00.000Z</t>
  </si>
  <si>
    <t>2026-04-09T16:25:00.000Z</t>
  </si>
  <si>
    <t>2026-04-09T12:56:00.000Z</t>
  </si>
  <si>
    <t>2026-04-09T16:56:00.000Z</t>
  </si>
  <si>
    <t>2026-04-08T17:09:07.000Z</t>
  </si>
  <si>
    <t>2026-04-08T21:09:07.000Z</t>
  </si>
  <si>
    <t>2026-04-08T21:09:08.000Z</t>
  </si>
  <si>
    <t>2026-04-08T17:09:08.000Z</t>
  </si>
  <si>
    <t>working properly; pm charge</t>
  </si>
  <si>
    <t>2026-04-09T12:58:48.000Z</t>
  </si>
  <si>
    <t>spoke with front end lead margaret. performed pm on sco 11.</t>
  </si>
  <si>
    <t>New Item :7360-4010-9090 New Serial Number :57-60595332 Old Item :7360-4010-9090 Old Serial Number :57-60595333</t>
  </si>
  <si>
    <t>2026-04-09T12:58:50.000Z</t>
  </si>
  <si>
    <t>Manager requesting sensors cleaned and SCO cleanout on SCO11   [Generated by Portal Login: most14 Contact: Staci Mowder 3096133038 ftfmsupport@rdspos.com]</t>
  </si>
  <si>
    <t>2026-04-08T17:25:11.000Z</t>
  </si>
  <si>
    <t>2026-04-09T07:21:43.000Z</t>
  </si>
  <si>
    <t>Manager requesting sensors cleaned and SCO cleanout on SCO11   [Generated by Portal Login: most14 Contact: Staci Mowder 3096133038 ftfmsupport@rdspos.com]-CE IS NOW US133C42-CE WAS US133C42-CE IS NOW US133U32-working properly; pm charge-spoke with front end lead margaret. performed pm on sco 11.-New Item :7360-4010-9090 New Serial Number :57-60595332 Old Item :7360-4010-9090 Old Serial Number :57-60595333</t>
  </si>
  <si>
    <t>2025-12-22T16:04:45.000Z</t>
  </si>
  <si>
    <t>2025-12-22T09:32:00.000Z</t>
  </si>
  <si>
    <t>2025-12-22T14:32:00.000Z</t>
  </si>
  <si>
    <t>2025-12-22T10:47:00.000Z</t>
  </si>
  <si>
    <t>2025-12-22T15:47:00.000Z</t>
  </si>
  <si>
    <t>2025-12-21T13:39:05.000Z</t>
  </si>
  <si>
    <t>2025-12-21T18:39:05.000Z</t>
  </si>
  <si>
    <t>charging 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t>
  </si>
  <si>
    <t>2025-12-22T10:49:47.000Z</t>
  </si>
  <si>
    <t>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t>
  </si>
  <si>
    <t>2025-12-22T10:49:48.000Z</t>
  </si>
  <si>
    <t>New Item :7360-4010-9090 New Serial Number :57-60588385 Old Item :7360-4010-9090 Old Serial Number :57-60588385</t>
  </si>
  <si>
    <t>2025-12-22T10:49:50.000Z</t>
  </si>
  <si>
    <t>Note recycler error, unexpected note or debris detected by BIN1 sensor. Please see ticket number 7535501460, tech was at the store before the store had opened. Store says the tech left without working on SCO 16. Closed NCR ticket says, charging for no fault found. after troubleshooting the note recycler and the coin recycler from PML, no fault found everything working fine tested with associate taylor, working successfully.&amp;quot; We would like this corrected today please. Thank you in advance. [Generated by Portal Login: coas14 Contact: Ashley Cooper 3092131564 ftfmsupport@rdspos.com]</t>
  </si>
  <si>
    <t>2025-12-21T13:39:50.000Z</t>
  </si>
  <si>
    <t>2025-12-21T21:42:38.000Z</t>
  </si>
  <si>
    <t>Note recycler error, unexpected note or debris detected by BIN1 sensor. Please see ticket number 7535501460, tech was at the store before the store had opened. Store says the tech left without working on SCO 16. Closed NCR ticket says, charging for no fault found. after troubleshooting the note recycler and the coin recycler from PML, no fault found everything working fine tested with associate taylor, working successfully.&amp;quot; We would like this corrected today please. Thank you in advance. [Generated by Portal Login: coas14 Contact: Ashley Cooper 3092131564 ftfmsupport@rdspos.com]-CE IS NOW US133U01-CE WAS US133U01-CE IS NOW US133U14-charging 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Ben-note recycler jammed issues, found 2 pieces of 20$ shredded inside the note recycler and found cent coin jammed inside the note recycler,  clear all the jammed and doing runadd and doing dispense and accept money from pml and reboot system multiple times and tested with manager on site working successfully MOD Ben-New Item :7360-4010-9090 New Serial Number :57-60588385 Old Item :7360-4010-9090 Old Serial Number :57-60588385</t>
  </si>
  <si>
    <t>2026-05-19T22:03:47.000Z</t>
  </si>
  <si>
    <t>2026-05-19T15:56:00.000Z</t>
  </si>
  <si>
    <t>2026-05-19T20:56:00.000Z</t>
  </si>
  <si>
    <t>2026-05-19T16:45:00.000Z</t>
  </si>
  <si>
    <t>2026-05-19T21:45:00.000Z</t>
  </si>
  <si>
    <t>2026-05-19T15:21:56.000Z</t>
  </si>
  <si>
    <t>2026-05-19T20:21:56.000Z</t>
  </si>
  <si>
    <t>2026-05-19T20:21:57.000Z</t>
  </si>
  <si>
    <t>2026-05-19T15:21:57.000Z</t>
  </si>
  <si>
    <t>register 14 had issues with its coin dispenser. on first observation found coin roll paper in the penny hopper. put down the machine and cleaned out the penny hopper. emptied the coins and debris. reloaded the pennies while checking for any excess debris or obstructions. Rebooted the register and did a coin dispense test. machine took back all of the coins and pennies that were removed prior for cleaning. machine ran ADD out of PML to check for any updates. machine rebooted normally and is ready for cash operations. verified my manager Robert.</t>
  </si>
  <si>
    <t>2026-05-19T16:47:00.000Z</t>
  </si>
  <si>
    <t>New Item :7360-4010-9090 New Serial Number :57-60591328 Old Item :7360-4010-9090 Old Serial Number :57-60590093</t>
  </si>
  <si>
    <t>2026-05-19T16:47:01.000Z</t>
  </si>
  <si>
    <t>SCO14 has a Coin Recycler error - Initialization timeout.  [Generated by Portal Login: most14 Contact: Staci Mowder 3096133038 FTFMSupport@rdspos.com]</t>
  </si>
  <si>
    <t>CE IS NOW US153R25</t>
  </si>
  <si>
    <t>2026-05-19T15:23:08.000Z</t>
  </si>
  <si>
    <t>coin roll paper found in penny hopper and machine</t>
  </si>
  <si>
    <t>SCO14 has a Coin Recycler error - Initialization timeout.  [Generated by Portal Login: most14 Contact: Staci Mowder 3096133038 FTFMSupport@rdspos.com]-CE IS NOW US153R25-coin roll paper found in penny hopper and machine-register 14 had issues with its coin dispenser. on first observation found coin roll paper in the penny hopper. put down the machine and cleaned out the penny hopper. emptied the coins and debris. reloaded the pennies while checking for any excess debris or obstructions. Rebooted the register and did a coin dispense test. machine took back all of the coins and pennies that were removed prior for cleaning. machine ran ADD out of PML to check for any updates. machine rebooted normally and is ready for cash operations. verified my manager Robert.-New Item :7360-4010-9090 New Serial Number :57-60591328 Old Item :7360-4010-9090 Old Serial Number :57-60590093</t>
  </si>
  <si>
    <t>2025-09-16T18:19:52.000Z</t>
  </si>
  <si>
    <t>57-60587843</t>
  </si>
  <si>
    <t>2025-09-08T15:16:00.000Z</t>
  </si>
  <si>
    <t>2025-09-08T19:16:00.000Z</t>
  </si>
  <si>
    <t>2025-09-16T14:03:00.000Z</t>
  </si>
  <si>
    <t>2025-09-16T18:03:00.000Z</t>
  </si>
  <si>
    <t>tri lights</t>
  </si>
  <si>
    <t>KD185147</t>
  </si>
  <si>
    <t>2025-09-08T11:02:04.000Z</t>
  </si>
  <si>
    <t>2025-09-08T15:02:04.000Z</t>
  </si>
  <si>
    <t>2025-09-08T15:02:07.000Z</t>
  </si>
  <si>
    <t>2025-09-08T11:02:07.000Z</t>
  </si>
  <si>
    <t>CEM3879951:Bad part</t>
  </si>
  <si>
    <t>2025-09-16T14:07:06.000Z</t>
  </si>
  <si>
    <t>Work perform replace tri-light due not lighting up</t>
  </si>
  <si>
    <t>2025-09-16T14:07:07.000Z</t>
  </si>
  <si>
    <t>New Item :7360-4010-9090 New Serial Number :57-60587843 Old Item :7360-4010-9090 Old Serial Number :57-60587862</t>
  </si>
  <si>
    <t>2025-09-16T14:07:08.000Z</t>
  </si>
  <si>
    <t>SCO 13 the tri-light is completely out, no light  [Generated by Portal Login: besa14 Contact: Sabrina Bechtel 715-498-6611 ftfmsupport@rdspos.com]</t>
  </si>
  <si>
    <t>2025-09-08T12:07:36.000Z</t>
  </si>
  <si>
    <t>2025-09-08T12:39:31.000Z</t>
  </si>
  <si>
    <t>SCO 13 the tri-light is completely out, no light  [Generated by Portal Login: besa14 Contact: Sabrina Bechtel 715-498-6611 ftfmsupport@rdspos.com]-CE IS NOW US133C87-CE WAS US133C87-CE IS NOW US133C93-Lane light fully burned out no response. Ordering new lane light and decal.-LOM order processing, Part has been Ordered , Remedy Id 000000014857601 - (Next Day) by Agent Auto VIP P000-LOM order processing, Part has been Ordered , Remedy Id 000000014857604 - (Next Day) by Agent Auto VIP P000-Oracle Order Shipped for Remedy Id: U018745992, Order/Receipt # 181680912, Ordered Part 4970525295, Part Description - KIT - R6 TRI-LIGHT W/IP CAMERA, Shipment/Receipt #2110506112, Part has been Shipped, Qty 1, Priority OVERNIGHT, Shipping Method UPS-Air-Next Day Air Saver, BOL/Job 1ZH92Y051301527139, Source Location PTC AVL-Oracle Order Shipped for Remedy Id: U018745989, Order/Receipt # 181680908, Ordered Part 4970511101, Part Description - 2 LH/RH Lane Light Graphics Label NCR Fastlane, Shipment/Receipt #2110505017, Part has been Shipped, Qty 1, Priority OVERNIGHT, Shipping Method UPS-Air-Next Day Air Saver, BOL/Job 1ZH92Y051301528843, Source Location PTC AVL-CE IS NOW US133C90-CE IS NOW US133C81-CEM3879951:Bad part-Work perform replace tri-light due not lighting up-New Item :7360-4010-9090 New Serial Number :57-60587843 Old Item :7360-4010-9090 Old Serial Number :57-60587862</t>
  </si>
  <si>
    <t>2025-09-13T19:15:11.000Z</t>
  </si>
  <si>
    <t>57-60590105</t>
  </si>
  <si>
    <t>DELA</t>
  </si>
  <si>
    <t>2025-09-12T14:35:00.000Z</t>
  </si>
  <si>
    <t>2025-09-12T19:35:00.000Z</t>
  </si>
  <si>
    <t>2025-09-13T13:59:00.000Z</t>
  </si>
  <si>
    <t>2025-09-13T18:59:00.000Z</t>
  </si>
  <si>
    <t>2025-09-12T08:05:04.000Z</t>
  </si>
  <si>
    <t>2025-09-12T13:05:04.000Z</t>
  </si>
  <si>
    <t>Oracle Order Shipped for Remedy Id: U018749781, Order/Receipt # 181691441, Ordered Part 4970534153, Part Description - UPS (N70-800) LV 100V/120V 800VA with USB communication Port and EMC Improvements, Shipment/Receipt #2110626438, Part has been Shipped, Qty 1, Priority NFO, Shipping Method CE Pickup After Hours, BOL/Job NA, Source Location UFF USFMSP1G</t>
  </si>
  <si>
    <t>2025-09-12T15:34:40.000Z</t>
  </si>
  <si>
    <t>The original note said that this ticket was for register 14. However, the ticket is mislabeled as 14 has already been swapped out. This ticket actually was applied to register 15 as that one needed a new backup power supply. Shut down the register and remove the old power supply.. engaged the power on the device and the unit and register sprang to life. Register 15 booted up successfully with no problems. Verified by checkout lead Maddie.</t>
  </si>
  <si>
    <t>2025-09-13T14:00:48.000Z</t>
  </si>
  <si>
    <t>New Item :7360-4010-9090 New Serial Number :57-60590105 Old Item :7360-4010-9090 Old Serial Number :57-60590099</t>
  </si>
  <si>
    <t>2025-09-13T14:00:50.000Z</t>
  </si>
  <si>
    <t>SCO 14 needs the battery backup replaced  [Generated by Portal Login: besa14 Contact: Sabrina Bechtel 715-498-6611 ftfmsupport@rdspos.com]</t>
  </si>
  <si>
    <t>2025-09-12T08:05:24.000Z</t>
  </si>
  <si>
    <t>suspending ticket to order a new backup power supply per manager Mike.</t>
  </si>
  <si>
    <t>2025-09-12T14:41:09.000Z</t>
  </si>
  <si>
    <t>SCO 14 needs the battery backup replaced  [Generated by Portal Login: besa14 Contact: Sabrina Bechtel 715-498-6611 ftfmsupport@rdspos.com]-CE IS NOW US153R72-suspending ticket to order a new backup power supply per manager Mike.-LOM order processing, Part has been Ordered , Remedy Id 000000014861613 - (Pick Up)MN, Arden Hillsby Agent Auto CE pickup-Oracle Order Shipped for Remedy Id: U018749781, Order/Receipt # 181691441, Ordered Part 4970534153, Part Description - UPS (N70-800) LV 100V/120V 800VA with USB communication Port and EMC Improvements, Shipment/Receipt #2110626438, Part has been Shipped, Qty 1, Priority NFO, Shipping Method CE Pickup After Hours, BOL/Job NA, Source Location UFF USFMSP1G-The original note said that this ticket was for register 14. However, the ticket is mislabeled as 14 has already been swapped out. This ticket actually was applied to register 15 as that one needed a new backup power supply. Shut down the register and remove the old power supply.. engaged the power on the device and the unit and register sprang to life. Register 15 booted up successfully with no problems. Verified by checkout lead Maddie.-New Item :7360-4010-9090 New Serial Number :57-60590105 Old Item :7360-4010-9090 Old Serial Number :57-60590099</t>
  </si>
  <si>
    <t>2026-06-17T03:16:14.000Z</t>
  </si>
  <si>
    <t>57-60588376</t>
  </si>
  <si>
    <t>2026-06-16T16:39:00.000Z</t>
  </si>
  <si>
    <t>2026-06-16T21:39:00.000Z</t>
  </si>
  <si>
    <t>2026-06-16T21:59:00.000Z</t>
  </si>
  <si>
    <t>2026-06-17T02:59:00.000Z</t>
  </si>
  <si>
    <t>2026-06-16T07:45:04.000Z</t>
  </si>
  <si>
    <t>2026-06-16T12:45:04.000Z</t>
  </si>
  <si>
    <t>CEM4262561:audible rattling after clearing jammed dimes</t>
  </si>
  <si>
    <t>2026-06-16T22:00:57.000Z</t>
  </si>
  <si>
    <t>replaced active cash box and tested without further issue or incident self checkout lane number 14 mod andy</t>
  </si>
  <si>
    <t>New Item :7360-4010-9090 New Serial Number :57-60588376 Old Item :7360-4010-9090 Old Serial Number :57-60590090</t>
  </si>
  <si>
    <t>2026-06-16T22:01:00.000Z</t>
  </si>
  <si>
    <t>SCO14 has a Coin recycler error   [Generated by Portal Login: most14 Contact: Staci Mowder 2694689716 FTFMSupport@rdspos.com]</t>
  </si>
  <si>
    <t>2026-06-16T07:45:49.000Z</t>
  </si>
  <si>
    <t>2026-06-16T09:10:15.000Z</t>
  </si>
  <si>
    <t>SCO14 has a Coin recycler error   [Generated by Portal Login: most14 Contact: Staci Mowder 2694689716 FTFMSupport@rdspos.com]-CE IS NOW US153N76-CE WAS US153N76-CE IS NOW US153N63-CE WAS US153N63-CE IS NOW US153N74-Arrived on site and spoke to MOD regarding issues - accessed SCO and Intitated PML to pinpoint issue; active cashbox gear jam, attempted to release, though no budge. Disassembled the plastic shroud to see if theres any visible obstructions, though still nothing. Realigned belt and reassembled. Suspending and ordering replacement (Part within PPK - Rental is currently being used, and part is within maintenance vehicle, best ETA 6/17) 4970533870-LOM order processing, Part has been Ordered , Remedy Id 000000015064378 - (Next Day) by Agent AUTO VIP-Oracle Order Shipped for Remedy Id: U018944130, Order/Receipt # 182354648, Ordered Part 4970533870, Part Description - CR5000  Active Cashbox Type A (non-dissipative tracks) (Service Part), Shipment/Receipt #2119334513, Part has been Shipped, Qty 1, Priority OVERNIGHT, Shipping Method UPS-Air-Next Day Air Saver, BOL/Job 1ZH92Y061300753386, Source Location UFF USFAX6G-CE IS NOW US153N63-CEM4262561:audible rattling after clearing jammed dimes-replaced active cash box and tested without further issue or incident self checkout lane number 14 mod andy-New Item :7360-4010-9090 New Serial Number :57-60588376 Old Item :7360-4010-9090 Old Serial Number :57-60590090</t>
  </si>
  <si>
    <t>2026-05-19T23:43:31.000Z</t>
  </si>
  <si>
    <t>2026-05-19T17:11:00.000Z</t>
  </si>
  <si>
    <t>2026-05-19T22:11:00.000Z</t>
  </si>
  <si>
    <t>2026-05-19T18:27:00.000Z</t>
  </si>
  <si>
    <t>2026-05-19T23:27:00.000Z</t>
  </si>
  <si>
    <t>2026-05-19T14:28:23.000Z</t>
  </si>
  <si>
    <t>2026-05-19T19:28:23.000Z</t>
  </si>
  <si>
    <t>2026-05-19T16:38:19.000Z</t>
  </si>
  <si>
    <t>cleared jam on active coinbox. tested without further issue or incident self checkout lane number 13 mod danni</t>
  </si>
  <si>
    <t>2026-05-19T18:27:15.000Z</t>
  </si>
  <si>
    <t>New Item :7360-4010-9090 New Serial Number :57-60595319 Old Item :7360-4010-9090 Old Serial Number :57-60595319</t>
  </si>
  <si>
    <t>2026-05-19T18:27:17.000Z</t>
  </si>
  <si>
    <t>SCO13 has a Coin recycler error- Coin box motor jam  [Generated by Portal Login: most14 Contact: Staci Mowder 3096133038 FTFMSupport@rdspos.com]</t>
  </si>
  <si>
    <t>2026-05-19T14:29:35.000Z</t>
  </si>
  <si>
    <t>2026-05-19T16:38:18.000Z</t>
  </si>
  <si>
    <t>SCO13 has a Coin recycler error- Coin box motor jam  [Generated by Portal Login: most14 Contact: Staci Mowder 3096133038 FTFMSupport@rdspos.com]-CE IS NOW US153N64-CE WAS US153N64-CE IS NOW US153N63-cleared jam on active coinbox. tested without further issue or incident self checkout lane number 13 mod danni-New Item :7360-4010-9090 New Serial Number :57-60595319 Old Item :7360-4010-9090 Old Serial Number :57-60595319</t>
  </si>
  <si>
    <t>2025-12-29T20:42:46.000Z</t>
  </si>
  <si>
    <t>57-60587807</t>
  </si>
  <si>
    <t>2025-12-29T15:08:00.000Z</t>
  </si>
  <si>
    <t>2025-12-29T20:08:00.000Z</t>
  </si>
  <si>
    <t>2025-12-29T15:24:00.000Z</t>
  </si>
  <si>
    <t>2025-12-29T20:24:00.000Z</t>
  </si>
  <si>
    <t>2025-12-29T10:10:53.000Z</t>
  </si>
  <si>
    <t>2025-12-29T15:10:53.000Z</t>
  </si>
  <si>
    <t>7687-0181-9898</t>
  </si>
  <si>
    <t>found a piece of coin wrapper on the overflow sensor. removed and tested. testes good. unit is fully operational</t>
  </si>
  <si>
    <t>2025-12-29T15:26:07.000Z</t>
  </si>
  <si>
    <t>New Item :7360-4010-9090 New Serial Number :57-60587807 Old Item :7360-4010-9090 Old Serial Number :57-60587809</t>
  </si>
  <si>
    <t>2025-12-29T15:26:08.000Z</t>
  </si>
  <si>
    <t>Coin recycler error, transfer chamber has overflowed, Error code: 16-6-0--99-67330  [Generated by Portal Login: coas14 Contact: Ashley Cooper 3092131564 ftfmsupport@rdspos.com]</t>
  </si>
  <si>
    <t>2025-12-29T10:10:54.000Z</t>
  </si>
  <si>
    <t>2025-12-29T10:30:29.000Z</t>
  </si>
  <si>
    <t>CE WAS US133E71</t>
  </si>
  <si>
    <t>2025-12-29T10:38:23.000Z</t>
  </si>
  <si>
    <t>Coin recycler error, transfer chamber has overflowed, Error code: 16-6-0--99-67330  [Generated by Portal Login: coas14 Contact: Ashley Cooper 3092131564 ftfmsupport@rdspos.com]-CE IS NOW US133E71-CE WAS US133E71-CE IS NOW US133E72-found a piece of coin wrapper on the overflow sensor. removed and tested. testes good. unit is fully operational-found a piece of coin wrapper on the overflow sensor. removed and tested. testes good. unit is fully operational-New Item :7360-4010-9090 New Serial Number :57-60587807 Old Item :7360-4010-9090 Old Serial Number :57-60587809</t>
  </si>
  <si>
    <t>2025-08-04T15:11:06.000Z</t>
  </si>
  <si>
    <t>57-60588453</t>
  </si>
  <si>
    <t>2025-08-04T09:10:00.000Z</t>
  </si>
  <si>
    <t>2025-08-04T14:10:00.000Z</t>
  </si>
  <si>
    <t>2025-08-04T09:53:00.000Z</t>
  </si>
  <si>
    <t>2025-08-04T14:53:00.000Z</t>
  </si>
  <si>
    <t>2025-08-04T08:09:51.000Z</t>
  </si>
  <si>
    <t>2025-08-04T13:09:51.000Z</t>
  </si>
  <si>
    <t>2025-08-04T13:09:52.000Z</t>
  </si>
  <si>
    <t>2025-08-04T08:09:52.000Z</t>
  </si>
  <si>
    <t>H400-0232-1000</t>
  </si>
  <si>
    <t>customer inserted chocolate in CR5000</t>
  </si>
  <si>
    <t>2025-08-04T09:53:51.000Z</t>
  </si>
  <si>
    <t>upon arrival the site showed me which SCO it was and I inspected the CR5000 and found the validator was caked with chocolate. I replaced the part and ran CADD for firmware updates. I then fully tested it in PML. The SCO is back in service.</t>
  </si>
  <si>
    <t>2025-08-04T09:53:52.000Z</t>
  </si>
  <si>
    <t>New Item :7360-4010-9090 New Serial Number :57-60588453 Old Item :7360-4010-9090 Old Serial Number :57-60590126</t>
  </si>
  <si>
    <t>SCO 13 a child put chocolate inside the coin slot, there is melted chocolate in the coin recycler, causing it to not operate correctly  [Generated by Portal Login: besa14 Contact: Sabrina Bechtel 715-498-6611 ftfmsupport@rdspos.com]</t>
  </si>
  <si>
    <t>2025-08-04T08:09:53.000Z</t>
  </si>
  <si>
    <t>2025-08-04T08:11:03.000Z</t>
  </si>
  <si>
    <t>CEM3820631:chocolate</t>
  </si>
  <si>
    <t>2025-08-04T09:53:49.000Z</t>
  </si>
  <si>
    <t>SCO 13 a child put chocolate inside the coin slot, there is melted chocolate in the coin recycler, causing it to not operate correctly  [Generated by Portal Login: besa14 Contact: Sabrina Bechtel 715-498-6611 ftfmsupport@rdspos.com]-CE IS NOW US153R56-CEM3820631:chocolate-customer inserted chocolate in CR5000-upon arrival the site showed me which SCO it was and I inspected the CR5000 and found the validator was caked with chocolate. I replaced the part and ran CADD for firmware updates. I then fully tested it in PML. The SCO is back in service.-New Item :7360-4010-9090 New Serial Number :57-60588453 Old Item :7360-4010-9090 Old Serial Number :57-60590126</t>
  </si>
  <si>
    <t>2026-04-14T15:49:08.000Z</t>
  </si>
  <si>
    <t>2026-04-14T09:50:00.000Z</t>
  </si>
  <si>
    <t>2026-04-14T14:50:00.000Z</t>
  </si>
  <si>
    <t>2026-04-14T10:36:00.000Z</t>
  </si>
  <si>
    <t>2026-04-14T15:36:00.000Z</t>
  </si>
  <si>
    <t>2026-04-13T14:13:43.000Z</t>
  </si>
  <si>
    <t>2026-04-13T19:13:43.000Z</t>
  </si>
  <si>
    <t>2026-04-13T19:13:45.000Z</t>
  </si>
  <si>
    <t>2026-04-13T14:13:45.000Z</t>
  </si>
  <si>
    <t>Wake Up Sensor Flashing Yellow. Replaced sensor coil and calibrated. Issue Resolved</t>
  </si>
  <si>
    <t>2026-04-14T10:37:27.000Z</t>
  </si>
  <si>
    <t>2026-04-14T10:37:29.000Z</t>
  </si>
  <si>
    <t>SCO12 Coin acceptor has been flashing yellow for months. Would like this resolved as well as SCO cleaned out and all sensors cleaned(per Store Director)  [Generated by Portal Login: most14 Contact: Staci Mowder 3096133038 ftfmsupport@rdspos.com]</t>
  </si>
  <si>
    <t>CE IS NOW US153R51</t>
  </si>
  <si>
    <t>2026-04-13T14:26:25.000Z</t>
  </si>
  <si>
    <t>CEM4202531:sensor wont calibrate</t>
  </si>
  <si>
    <t>2026-04-14T10:37:26.000Z</t>
  </si>
  <si>
    <t>SCO12 Coin acceptor has been flashing yellow for months. Would like this resolved as well as SCO cleaned out and all sensors cleaned(per Store Director)  [Generated by Portal Login: most14 Contact: Staci Mowder 3096133038 ftfmsupport@rdspos.com]-CE IS NOW US153R51-CEM4202531:sensor wont calibrate-Wake Up Sensor Flashing Yellow. Replaced sensor coil and calibrated. Issue Resolved-New Item :7360-4010-9090 New Serial Number :57-60595294 Old Item :7360-4010-9090 Old Serial Number :57-60595294</t>
  </si>
  <si>
    <t>2025-09-04T18:04:28.000Z</t>
  </si>
  <si>
    <t>57-60591327</t>
  </si>
  <si>
    <t>2025-09-04T12:21:00.000Z</t>
  </si>
  <si>
    <t>2025-09-04T17:21:00.000Z</t>
  </si>
  <si>
    <t>2025-09-04T12:49:00.000Z</t>
  </si>
  <si>
    <t>2025-09-04T17:49:00.000Z</t>
  </si>
  <si>
    <t>2025-09-04T09:55:01.000Z</t>
  </si>
  <si>
    <t>2025-09-04T14:55:01.000Z</t>
  </si>
  <si>
    <t>2025-09-04T14:55:03.000Z</t>
  </si>
  <si>
    <t>2025-09-04T09:55:03.000Z</t>
  </si>
  <si>
    <t>CEM3906644:used</t>
  </si>
  <si>
    <t>2025-09-04T12:49:46.000Z</t>
  </si>
  <si>
    <t>replace active cash box and tested good to go Angela verified</t>
  </si>
  <si>
    <t>2025-09-04T12:49:47.000Z</t>
  </si>
  <si>
    <t>New Item :7360-4010-9090 New Serial Number :57-60591327 Old Item :7360-4010-9090 Old Serial Number :57-60591327</t>
  </si>
  <si>
    <t>2025-09-04T12:49:49.000Z</t>
  </si>
  <si>
    <t>SCO11 has a coin recycler error and is making a sound like something is broken inside.  [Generated by Portal Login: most14 Contact: Staci Mowder 3096133038 ftfmsupport@rdspos.com]</t>
  </si>
  <si>
    <t>CE IS NOW US153R12</t>
  </si>
  <si>
    <t>2025-09-04T09:58:51.000Z</t>
  </si>
  <si>
    <t>CE WAS US153R12</t>
  </si>
  <si>
    <t>2025-09-04T10:36:18.000Z</t>
  </si>
  <si>
    <t>SCO11 has a coin recycler error and is making a sound like something is broken inside.  [Generated by Portal Login: most14 Contact: Staci Mowder 3096133038 ftfmsupport@rdspos.com]-CE IS NOW US153R12-CE WAS US153R12-CE IS NOW US153C07-CEM3906644:used-replace active cash box and tested good to go Angela verified-New Item :7360-4010-9090 New Serial Number :57-60591327 Old Item :7360-4010-9090 Old Serial Number :57-60591327</t>
  </si>
  <si>
    <t>2025-08-08T18:33:43.000Z</t>
  </si>
  <si>
    <t>2025-08-08T13:09:00.000Z</t>
  </si>
  <si>
    <t>2025-08-08T18:09:00.000Z</t>
  </si>
  <si>
    <t>2025-08-08T13:16:00.000Z</t>
  </si>
  <si>
    <t>2025-08-08T18:16:00.000Z</t>
  </si>
  <si>
    <t>2025-08-07T13:40:38.000Z</t>
  </si>
  <si>
    <t>2025-08-07T18:40:38.000Z</t>
  </si>
  <si>
    <t>talked with Jess and looked over sc and foubd doors are finw think clip just got in way. a adjusted clip to it noticed position and working great.</t>
  </si>
  <si>
    <t>2025-08-08T13:16:29.000Z</t>
  </si>
  <si>
    <t>2025-08-08T13:16:30.000Z</t>
  </si>
  <si>
    <t>Outer door on SCO15 very difficult to open and gets jammed.   [Generated by Portal Login: most14 Contact: Staci Mowder 3096133038 ftfmsupport@rdspos.com]</t>
  </si>
  <si>
    <t>2025-08-07T13:40:39.000Z</t>
  </si>
  <si>
    <t>2025-08-07T13:43:03.000Z</t>
  </si>
  <si>
    <t>2025-08-08T07:28:06.000Z</t>
  </si>
  <si>
    <t>Outer door on SCO15 very difficult to open and gets jammed.   [Generated by Portal Login: most14 Contact: Staci Mowder 3096133038 ftfmsupport@rdspos.com]-CE IS NOW US153N62-CE WAS US153N62-CE IS NOW US153N66-talked with Jess and looked over sc and foubd doors are finw think clip just got in way. a adjusted clip to it noticed position and working great.-talked with Jess and looked over sc and foubd doors are finw think clip just got in way. a adjusted clip to it noticed position and working great.-New Item :7360-4010-9090 New Serial Number :57-60591306 Old Item :7360-4010-9090 Old Serial Number :57-60595344</t>
  </si>
  <si>
    <t>2025-12-20T00:45:27.000Z</t>
  </si>
  <si>
    <t>SCALE_DISPLAY</t>
  </si>
  <si>
    <t>829Z</t>
  </si>
  <si>
    <t>2025-12-19T19:20:00.000Z</t>
  </si>
  <si>
    <t>2025-12-20T00:20:00.000Z</t>
  </si>
  <si>
    <t>2025-12-19T19:30:00.000Z</t>
  </si>
  <si>
    <t>2025-12-20T00:30:00.000Z</t>
  </si>
  <si>
    <t>2025-12-19T16:26:48.000Z</t>
  </si>
  <si>
    <t>2025-12-19T21:26:48.000Z</t>
  </si>
  <si>
    <t>2025-12-19T21:26:49.000Z</t>
  </si>
  <si>
    <t>2025-12-19T16:26:49.000Z</t>
  </si>
  <si>
    <t>Scale was not beeping when scanning items, found the volume had been turned down and showed cashier how to increase/decrease volume on the scale interface.</t>
  </si>
  <si>
    <t>2025-12-19T19:32:55.000Z</t>
  </si>
  <si>
    <t>2025-12-19T19:32:56.000Z</t>
  </si>
  <si>
    <t>SCO 14 will not beep when scanning items  [Generated by Portal Login: coas14 Contact: Ashley 3092131564 ftfmsupport@rdspos.com]</t>
  </si>
  <si>
    <t>2025-12-19T16:35:38.000Z</t>
  </si>
  <si>
    <t>Volume was accidentally turned down</t>
  </si>
  <si>
    <t>SCO 14 will not beep when scanning items  [Generated by Portal Login: coas14 Contact: Ashley 3092131564 ftfmsupport@rdspos.com]-CE IS NOW US133U10-Volume was accidentally turned down-Scale was not beeping when scanning items, found the volume had been turned down and showed cashier how to increase/decrease volume on the scale interface.-New Item :7360-4010-9090 New Serial Number :57-60587771 Old Item :7360-4010-9090 Old Serial Number :57-60587771</t>
  </si>
  <si>
    <t>2025-10-09T16:19:28.000Z</t>
  </si>
  <si>
    <t>2025-10-09T09:54:00.000Z</t>
  </si>
  <si>
    <t>2025-10-09T13:54:00.000Z</t>
  </si>
  <si>
    <t>2025-10-09T12:04:00.000Z</t>
  </si>
  <si>
    <t>2025-10-09T16:04:00.000Z</t>
  </si>
  <si>
    <t>2025-10-09T09:14:21.000Z</t>
  </si>
  <si>
    <t>2025-10-09T13:14:21.000Z</t>
  </si>
  <si>
    <t>Returned to site after part pickup. Replaced the second cassette recycler that was damaged. Worked with Aaron to reload the money taken out previously. No errors on PML afterwards and reboot went successfully with no errors. Confirmed with Aaron.</t>
  </si>
  <si>
    <t>2025-10-09T12:05:33.000Z</t>
  </si>
  <si>
    <t>replaced damaged cassette recycler</t>
  </si>
  <si>
    <t>2025-10-09T12:05:34.000Z</t>
  </si>
  <si>
    <t>2025-10-09T12:05:35.000Z</t>
  </si>
  <si>
    <t>SCO 12  has a Note recycler error note jam at RRIN1 error code 5-9-0-4-62996  [Generated by Portal Login: besa14 Contact: Sabrina Bechtel 715-498-6611 ftfmsupport@rdspos.com]</t>
  </si>
  <si>
    <t>2025-10-09T09:25:16.000Z</t>
  </si>
  <si>
    <t>CEM3942587:Mylar strip shredded by device</t>
  </si>
  <si>
    <t>2025-10-09T10:38:01.000Z</t>
  </si>
  <si>
    <t>SCO 12  has a Note recycler error note jam at RRIN1 error code 5-9-0-4-62996  [Generated by Portal Login: besa14 Contact: Sabrina Bechtel 715-498-6611 ftfmsupport@rdspos.com]-CE IS NOW US133E77-CEM3942587:Mylar strip shredded by device-Arrived on site. Issue stated that the was a jam on recycler 1. Found one of the Mylar strips in pieces when checking for jam. Removed money and gave to Manager Rhonda. Replaced broken unit with part from PPK. When checking the sco in PML, I got an error for a different recycler. Checked it and found the Mylar strips jammed on both drums. Found what looks like sticky tack on the strips causing the jams. Ordering replacement part 4970524325 for pickup from ESL.-LOM order processing, Part has been Ordered , Remedy Id 000000014883394 - (Pick Up)IN, Indianapolisby Agent Auto CE pickup-Oracle Order Shipped for Remedy Id: U018771120, Order/Receipt # 181764155, Ordered Part 4970524325, Part Description - Fujitsu GSR50 Note Recycler -Dual Drum Recycling Stacker (Service Part), w/ Lid Hold-Down Screws, Shipment/Receipt #2111175187, Part has been Shipped, Qty 1, Priority NFO, Shipping Method CE Pickup After Hours, BOL/Job 2111175187, Source Location UFF USFIND1G-CEM3942588:mylar strips jammed and damaged, had to cut to remove bills-Returned to site after part pickup. Replaced the second cassette recycler that was damaged. Worked with Aaron to reload the money taken out previously. No errors on PML afterwards and reboot went successfully with no errors. Confirmed with Aaron.-replaced damaged cassette recycler-New Item :7360-4010-9090 New Serial Number :57-60590087 Old Item :7360-4010-9090 Old Serial Number :57-60590087</t>
  </si>
  <si>
    <t>2026-08-05T22:18:46.000Z</t>
  </si>
  <si>
    <t>2026-08-05T16:45:00.000Z</t>
  </si>
  <si>
    <t>2026-08-05T20:45:00.000Z</t>
  </si>
  <si>
    <t>2026-08-05T18:03:00.000Z</t>
  </si>
  <si>
    <t>2026-08-05T22:03:00.000Z</t>
  </si>
  <si>
    <t>2026-08-05T14:12:59.000Z</t>
  </si>
  <si>
    <t>2026-08-05T18:12:59.000Z</t>
  </si>
  <si>
    <t>2026-08-05T14:30:55.000Z</t>
  </si>
  <si>
    <t>cleared coins jam in the active coin box and purged coin box, run add for firmware updates then tested successfully by dispensing and accepting coins through the ncr profile manager including dimes. however mod Marie she refused adding dimes back to the Sco mentioned those terminals never dispensing Dimes.</t>
  </si>
  <si>
    <t>2026-08-05T18:04:22.000Z</t>
  </si>
  <si>
    <t>New Item :7360-4010-9090 New Serial Number :57-60587804 Old Item :7360-4010-9090 Old Serial Number :57-60588385</t>
  </si>
  <si>
    <t>2026-08-05T18:04:25.000Z</t>
  </si>
  <si>
    <t>Coin recycler error  [Generated by Portal Login: coas14 Contact: Ashley Cooper 3092131564 ftfmsupport@rdspos.com]</t>
  </si>
  <si>
    <t>CE IS NOW US133U31</t>
  </si>
  <si>
    <t>2026-08-05T14:18:25.000Z</t>
  </si>
  <si>
    <t>CE WAS US133U31</t>
  </si>
  <si>
    <t>2026-08-05T14:30:54.000Z</t>
  </si>
  <si>
    <t>Coin recycler error  [Generated by Portal Login: coas14 Contact: Ashley Cooper 3092131564 ftfmsupport@rdspos.com]-CE IS NOW US133U31-CE WAS US133U31-CE IS NOW US133U12-cleared coins jam in the active coin box and purged coin box, run add for firmware updates then tested successfully by dispensing and accepting coins through the ncr profile manager including dimes. however mod Marie she refused adding dimes back to the Sco mentioned those terminals never dispensing Dimes.-New Item :7360-4010-9090 New Serial Number :57-60587804 Old Item :7360-4010-9090 Old Serial Number :57-60588385</t>
  </si>
  <si>
    <t>2026-01-13T22:00:54.000Z</t>
  </si>
  <si>
    <t>368Z</t>
  </si>
  <si>
    <t>2026-01-09T11:35:00.000Z</t>
  </si>
  <si>
    <t>2026-01-09T17:35:00.000Z</t>
  </si>
  <si>
    <t>2026-01-13T15:42:00.000Z</t>
  </si>
  <si>
    <t>2026-01-13T21:42:00.000Z</t>
  </si>
  <si>
    <t>CHG-missing /damaged kick plate for sco door</t>
  </si>
  <si>
    <t>2026-01-09T10:16:01.000Z</t>
  </si>
  <si>
    <t>2026-01-09T16:16:01.000Z</t>
  </si>
  <si>
    <t>large black kick plate for sco door missing... installed original silver kick plate to new part and secured new plate to door... everything checks out with mgr</t>
  </si>
  <si>
    <t>2026-01-13T15:43:48.000Z</t>
  </si>
  <si>
    <t>2026-01-13T15:43:49.000Z</t>
  </si>
  <si>
    <t>Oracle Order Shipped for Remedy Id: U018843916, Order/Receipt # 181995159, Ordered Part 4970457054, Part Description - BLACK NYLON SPACER 15MM OD x 10.4MM ID x 10MM L, Shipment/Receipt #2115632230, Part has been Shipped, Qty 1, Priority OVERNIGHT, Shipping Method UPS-Air-Next Day Air Saver, BOL/Job 1ZH92Y051302243765, Source Location PTC AVL</t>
  </si>
  <si>
    <t>2026-01-13T21:34:26.000Z</t>
  </si>
  <si>
    <t>SCO12 missing metal piece at the bottom of the SCO  [Generated by Portal Login: most14 Contact: Staci Mowder 3096133038 ftfmsupport@rdspos.com]</t>
  </si>
  <si>
    <t>2026-01-09T10:16:02.000Z</t>
  </si>
  <si>
    <t>2026-01-09T10:21:21.000Z</t>
  </si>
  <si>
    <t>2026-01-09T10:37:16.000Z</t>
  </si>
  <si>
    <t>SCO12 missing metal piece at the bottom of the SCO  [Generated by Portal Login: most14 Contact: Staci Mowder 3096133038 ftfmsupport@rdspos.com]-CE IS NOW US153R70-CE WAS US153R70-CE IS NOW US153R84-CE IS NOW US153R84-Bumper is broken off recommended replacements are PARTS: 4970510942, 4970506680, 4970506263, 0077022120, 7950211307.-LOM order processing, Part has been Ordered , Remedy Id FSC5469018 - (Next Day) by Agent mz185097-LOM order processing, Part has been Ordered , Remedy Id FSC5469026 - (Next Day) by Agent mz185097-LOM order processing, Part has been Ordered , Remedy Id FSC5469028 - (Next Day) by Agent mz185097-LOM order processing, Part has been Ordered , Remedy Id FSC5469033 - (Next Day) by Agent mz185097-LOM order processing, Part has been Ordered , Remedy Id FSC5469035 - (Next Day) by Agent mz185097-Oracle Order Shipped for Remedy Id: U018841423, Order/Receipt # 181987693, Ordered Part 7950211307, Part Description - PANEL - LOWER - DOOR (RAL 7021 Black), Shipment/Receipt #2115291603, Part has been Shipped, Qty 1, Priority OVERNIGHT, Shipping Method UPS-Air-Next Day Air, BOL/Job 1ZH92Y054402221435, Source Location PTC AVL-CE IS NOW US153R78-missing / broken door parts-need to track down new nuts to secure plate to door...-LOM order processing, Part has been Ordered , Remedy Id FSC5472671 - (Next Day) by Agent te185055-CE IS NOW US153R78-missing /damaged kick plate for sco door-large black kick plate for sco door missing... installed original silver kick plate to new part and secured new plate to door... everything checks out with mgr-New Item :7360-4010-9090 New Serial Number :57-60587847 Old Item :7360-4010-9090 Old Serial Number :57-60590109-Oracle Order Shipped for Remedy Id: U018843916, Order/Receipt # 181995159, Ordered Part 4970457054, Part Description - BLACK NYLON SPACER 15MM OD x 10.4MM ID x 10MM L, Shipment/Receipt #2115632230, Part has been Shipped, Qty 1, Priority OVERNIGHT, Shipping Method UPS-Air-Next Day Air Saver, BOL/Job 1ZH92Y051302243765, Source Location PTC AVL</t>
  </si>
  <si>
    <t>2026-04-07T15:06:02.000Z</t>
  </si>
  <si>
    <t>57-60591364</t>
  </si>
  <si>
    <t>2026-04-07T09:20:00.000Z</t>
  </si>
  <si>
    <t>2026-04-07T13:20:00.000Z</t>
  </si>
  <si>
    <t>2026-04-07T10:51:00.000Z</t>
  </si>
  <si>
    <t>2026-04-07T14:51:00.000Z</t>
  </si>
  <si>
    <t>2026-04-06T20:00:59.000Z</t>
  </si>
  <si>
    <t>2026-04-07T00:00:59.000Z</t>
  </si>
  <si>
    <t>Store643</t>
  </si>
  <si>
    <t>New Item :7360-4010-9090 New Serial Number :57-60591364 Old Item :7360-4010-9090 Old Serial Number :57-60591353</t>
  </si>
  <si>
    <t>2026-04-07T10:53:17.000Z</t>
  </si>
  <si>
    <t>Transfer motor jammed  [Generated by Portal Login: coas14 Contact: Ashley Cooper 3092131564 ftfmsupport@rdspos.com]</t>
  </si>
  <si>
    <t>2026-04-06T20:01:00.000Z</t>
  </si>
  <si>
    <t>2026-04-06T20:55:21.000Z</t>
  </si>
  <si>
    <t>coin track is jammed many coins are jammed in the track. took apart the coin recycler found that there was a coin wrapper jammed in the opto sensor. removed jam rebooted tested passed</t>
  </si>
  <si>
    <t>2026-04-07T10:53:15.000Z</t>
  </si>
  <si>
    <t>Transfer motor jammed  [Generated by Portal Login: coas14 Contact: Ashley Cooper 3092131564 ftfmsupport@rdspos.com]-CE IS NOW US133U36-coin track is jammed many coins are jammed in the track. took apart the coin recycler found that there was a coin wrapper jammed in the opto sensor. removed jam rebooted tested passed-New Item :7360-4010-9090 New Serial Number :57-60591364 Old Item :7360-4010-9090 Old Serial Number :57-60591353</t>
  </si>
  <si>
    <t>2025-12-07T22:58:08.000Z</t>
  </si>
  <si>
    <t>57-60591392</t>
  </si>
  <si>
    <t>2025-12-03T12:28:00.000Z</t>
  </si>
  <si>
    <t>2025-12-03T18:28:00.000Z</t>
  </si>
  <si>
    <t>2025-12-07T16:45:00.000Z</t>
  </si>
  <si>
    <t>2025-12-07T22:45:00.000Z</t>
  </si>
  <si>
    <t>2025-12-02T15:00:05.000Z</t>
  </si>
  <si>
    <t>2025-12-02T21:00:05.000Z</t>
  </si>
  <si>
    <t>2025-12-07T14:40:19.000Z</t>
  </si>
  <si>
    <t>sco 13 scale yellow taged by state... calibrated and scale will not calibrate out of spec... replaced load cells with new unit... calibration on new cell and made sure right unitbof measurements is being used.. ok with mgt</t>
  </si>
  <si>
    <t>2025-12-07T16:46:26.000Z</t>
  </si>
  <si>
    <t>New Item :7360-4010-9090 New Serial Number :57-60591392 Old Item :7360-4010-9090 Old Serial Number :57-60591398</t>
  </si>
  <si>
    <t>2025-12-07T16:46:29.000Z</t>
  </si>
  <si>
    <t>SCO 13 scale needs calibrated, it is not weighing correctly  [Generated by Portal Login: coas14 Contact: Ashley 309-213-1564 ftfmsupport@rdspos.com]</t>
  </si>
  <si>
    <t>2025-12-02T15:00:06.000Z</t>
  </si>
  <si>
    <t>2025-12-02T15:12:32.000Z</t>
  </si>
  <si>
    <t>2025-12-03T06:37:05.000Z</t>
  </si>
  <si>
    <t>SCO 13 scale needs calibrated, it is not weighing correctly  [Generated by Portal Login: coas14 Contact: Ashley 309-213-1564 ftfmsupport@rdspos.com]-CE IS NOW US153R76-CE WAS US153R76-CE IS NOW US153R84-CE WAS US153R84-CE IS NOW US153R74-CE WAS US153R74-CE IS NOW US153R78-scale calibration is failing out of spec constantly... .02+ IN upper right and .02- in lower left. this is constant when trying to calibrate.. no obstructions found that would cause issues... ordering new load cell unit for replacment-LOM order processing, Part has been Ordered , Remedy Id 000000014927880 - (Next Day) by Agent Auto VIP P000-Oracle Order Shipped for Remedy Id: U018815283, Order/Receipt # 181904465, Ordered Part 4970529868, Part Description - Scale Assy-7895 Without Calibration Switch w/Cert, Shipment/Receipt #2112707222, Substitute Part was Shipped, Part has been Shipped, Qty 1, Priority OVERNIGHT, Shipping Method UPS-Air-Next Day Air Saver, BOL/Job 1ZH92Y051302028579, Source Location PTC AVL-CE IS NOW US153R77-CE IS NOW US153R78-sco 13 scale yellow taged by state... calibrated and scale will not calibrate out of spec... replaced load cells with new unit... calibration on new cell and made sure right unitbof measurements is being used.. ok with mgt-New Item :7360-4010-9090 New Serial Number :57-60591392 Old Item :7360-4010-9090 Old Serial Number :57-60591398</t>
  </si>
  <si>
    <t>2025-12-10T18:58:35.000Z</t>
  </si>
  <si>
    <t>2025-12-10T11:29:00.000Z</t>
  </si>
  <si>
    <t>2025-12-10T17:29:00.000Z</t>
  </si>
  <si>
    <t>2025-12-10T12:42:00.000Z</t>
  </si>
  <si>
    <t>2025-12-10T18:42:00.000Z</t>
  </si>
  <si>
    <t>2025-12-09T20:34:56.000Z</t>
  </si>
  <si>
    <t>2025-12-10T02:34:56.000Z</t>
  </si>
  <si>
    <t>2025-12-10T02:34:57.000Z</t>
  </si>
  <si>
    <t>2025-12-09T20:34:57.000Z</t>
  </si>
  <si>
    <t>2025-12-10T06:03:41.000Z</t>
  </si>
  <si>
    <t>Machines working normally on register 16. the only thing that might have been out of whack was the Avalanche sensor needed calibration. talk to manager Noelle and she said she had trouble putting coin into the machine. seems like everything was working fine. performed two different coin dispense tests on the machine with coins. machine distributed coins and accurately and no problems. machine also took back all of the coins dispensed no problems. Purge the coin box and remove three $1 coins and exchange them for paper bills to be put back into the machine. everything seems to be working. verified by front end lead montasia.</t>
  </si>
  <si>
    <t>2025-12-10T12:44:13.000Z</t>
  </si>
  <si>
    <t>2025-12-10T12:44:16.000Z</t>
  </si>
  <si>
    <t>SCO 16 coin recycler keeps malfunctioning.  Hopper comes loose when closing SCO door and light turns yellow. Please clean sensors on this SCO as well per managers request  [Generated by Portal Login: most14 Contact: Staci Mowder 3096133038 ftfmsupport@rdspos.com]</t>
  </si>
  <si>
    <t>2025-12-09T20:34:58.000Z</t>
  </si>
  <si>
    <t>2025-12-09T20:37:08.000Z</t>
  </si>
  <si>
    <t>2025-12-10T06:03:40.000Z</t>
  </si>
  <si>
    <t>SCO 16 coin recycler keeps malfunctioning.  Hopper comes loose when closing SCO door and light turns yellow. Please clean sensors on this SCO as well per managers request  [Generated by Portal Login: most14 Contact: Staci Mowder 3096133038 ftfmsupport@rdspos.com]-CE IS NOW US153R70-CE WAS US153R70-CE IS NOW US153R72-Machines working normally on register 16. the only thing that might have been out of whack was the Avalanche sensor needed calibration. talk to manager Noelle and she said she had trouble putting coin into the machine. seems like everything was working fine. performed two different coin dispense tests on the machine with coins. machine distributed coins and accurately and no problems. machine also took back all of the coins dispensed no problems. Purge the coin box and remove three $1 coins and exchange them for paper bills to be put back into the machine. everything seems to be working. verified by front end lead montasia.-New Item :7360-4010-9090 New Serial Number :57-60590108 Old Item :7360-4010-9090 Old Serial Number :57-60590108</t>
  </si>
  <si>
    <t>2026-08-06T16:53:42.000Z</t>
  </si>
  <si>
    <t>57-60587840</t>
  </si>
  <si>
    <t>2026-08-06T11:05:00.000Z</t>
  </si>
  <si>
    <t>2026-08-06T16:05:00.000Z</t>
  </si>
  <si>
    <t>2026-08-06T11:39:00.000Z</t>
  </si>
  <si>
    <t>2026-08-06T16:39:00.000Z</t>
  </si>
  <si>
    <t>AS186046</t>
  </si>
  <si>
    <t>2026-08-06T08:37:28.000Z</t>
  </si>
  <si>
    <t>2026-08-06T13:37:28.000Z</t>
  </si>
  <si>
    <t>2026-08-06T13:37:32.000Z</t>
  </si>
  <si>
    <t>2026-08-06T08:37:32.000Z</t>
  </si>
  <si>
    <t>New Item :7360-4010-9090 New Serial Number :57-60587840 Old Item :7360-4010-9090 Old Serial Number :57-60587840</t>
  </si>
  <si>
    <t>2026-08-06T11:39:51.000Z</t>
  </si>
  <si>
    <t>Note recycler error, Unexpected note or debris detected by TOUT1- error code 5-9-0-4-62985  [Generated by Portal Login: coas14 Contact: Ashley Cooper 3092131564 ftfmsupport@rdspos.com]</t>
  </si>
  <si>
    <t>CE IS NOW US153C52</t>
  </si>
  <si>
    <t>2026-08-06T08:38:16.000Z</t>
  </si>
  <si>
    <t>MEIJER/FRESH THYME #708 arrived on site for self checkout 12 note recycler issues. Upon arrival was informed by team lead Beth at the note recycler was having issues with accepting bills. Went over and inspected the note recycler and found some of the sensors needed to be cleaned. Went over and cleaned the sensors on the main module and then went over and did multiple dispense and acceptance by dispensing five of each denomination and then accepting them back into the note recycler successfully. I then went over and tested out the note recycler with beth who verified that it was indeed in good working order. Self checkout 12 is in good working order.</t>
  </si>
  <si>
    <t>2026-08-06T11:39:49.000Z</t>
  </si>
  <si>
    <t>Note recycler error, Unexpected note or debris detected by TOUT1- error code 5-9-0-4-62985  [Generated by Portal Login: coas14 Contact: Ashley Cooper 3092131564 ftfmsupport@rdspos.com]-CE IS NOW US153C52-MEIJER/FRESH THYME #708 arrived on site for self checkout 12 note recycler issues. Upon arrival was informed by team lead Beth at the note recycler was having issues with accepting bills. Went over and inspected the note recycler and found some of the sensors needed to be cleaned. Went over and cleaned the sensors on the main module and then went over and did multiple dispense and acceptance by dispensing five of each denomination and then accepting them back into the note recycler successfully. I then went over and tested out the note recycler with beth who verified that it was indeed in good working order. Self checkout 12 is in good working order.-New Item :7360-4010-9090 New Serial Number :57-60587840 Old Item :7360-4010-9090 Old Serial Number :57-60587840</t>
  </si>
  <si>
    <t>2026-02-23T20:37:10.000Z</t>
  </si>
  <si>
    <t>2026-02-22T11:49:00.000Z</t>
  </si>
  <si>
    <t>2026-02-22T16:49:00.000Z</t>
  </si>
  <si>
    <t>2026-02-23T15:19:00.000Z</t>
  </si>
  <si>
    <t>2026-02-23T20:19:00.000Z</t>
  </si>
  <si>
    <t>2026-02-22T09:13:46.000Z</t>
  </si>
  <si>
    <t>2026-02-22T14:13:46.000Z</t>
  </si>
  <si>
    <t>2026-02-22T14:13:51.000Z</t>
  </si>
  <si>
    <t>2026-02-22T09:13:51.000Z</t>
  </si>
  <si>
    <t>2026-02-23T15:20:36.000Z</t>
  </si>
  <si>
    <t>New Item :7360-4010-9090 New Serial Number :57-60591368 Old Item :7360-4010-9090 Old Serial Number :57-60591325</t>
  </si>
  <si>
    <t>2026-02-23T15:20:38.000Z</t>
  </si>
  <si>
    <t>Oracle Order Shipped for Remedy Id: U018871212, Order/Receipt # 182089646, Ordered Part 4970525295, Part Description - KIT - R6 TRI-LIGHT W/IP CAMERA, Shipment/Receipt #2117254309, Part has been Shipped, Qty 1, Priority OVERNIGHT, Shipping Method UPS-Air-Next Day Air Saver, BOL/Job 1ZH92Y051302489205, Source Location PTC AVL</t>
  </si>
  <si>
    <t>SCO 11 TriLight is out  [Generated by Portal Login: repa14 Contact: Patrick Reeves 3092411908 ftfmsupport@rdspos.com]</t>
  </si>
  <si>
    <t>2026-02-22T09:13:52.000Z</t>
  </si>
  <si>
    <t>2026-02-22T10:28:34.000Z</t>
  </si>
  <si>
    <t>CE WAS US133U13</t>
  </si>
  <si>
    <t>SCO 11 TriLight is out  [Generated by Portal Login: repa14 Contact: Patrick Reeves 3092411908 ftfmsupport@rdspos.com]-CE IS NOW US133U13-CE WAS US133U13-CE IS NOW US133U34-CE WAS US133U34-CE IS NOW US133U13-The Status light (which is changing from Green to Red) is functioning properly but the Lane light (LED Light) is off, the Tri-light-lane light w camera needs to be replaced, PN: 4970525295.-chargable call-parts-LOM order processing, Part has been Ordered , Remedy Id 000000014985808 - (Next Day) by Agent Auto VIP P000-CE IS NOW US133U34-CEM4119245:Main flag light does not illuminate when connected-Retrieved the ordered replacement and arrived on-site. Located the terminal and removed and replaced the faulty tri-light. Confirmed the unit was fully functional and returned the lane to service.-Retrieved the ordered replacement and arrived on-site. Located the terminal and removed and replaced the faulty tri-light. Confirmed the unit was fully functional and returned the lane to service.-New Item :7360-4010-9090 New Serial Number :57-60591368 Old Item :7360-4010-9090 Old Serial Number :57-60591325-Oracle Order Shipped for Remedy Id: U018871212, Order/Receipt # 182089646, Ordered Part 4970525295, Part Description - KIT - R6 TRI-LIGHT W/IP CAMERA, Shipment/Receipt #2117254309, Part has been Shipped, Qty 1, Priority OVERNIGHT, Shipping Method UPS-Air-Next Day Air Saver, BOL/Job 1ZH92Y051302489205, Source Location PTC AVL</t>
  </si>
  <si>
    <t>The Status light (which is changing from Green to Red) is functioning properly but the Lane light (LED Light) is off, the Tri-light-lane light w camera needs to be replaced, PN: 4970525295.</t>
  </si>
  <si>
    <t>2026-02-22T12:19:01.000Z</t>
  </si>
  <si>
    <t>2026-06-08T19:09:55.000Z</t>
  </si>
  <si>
    <t>57-60590092</t>
  </si>
  <si>
    <t>2026-06-08T12:15:00.000Z</t>
  </si>
  <si>
    <t>2026-06-08T17:15:00.000Z</t>
  </si>
  <si>
    <t>2026-06-08T13:52:00.000Z</t>
  </si>
  <si>
    <t>2026-06-08T18:52:00.000Z</t>
  </si>
  <si>
    <t>2026-06-07T19:01:26.000Z</t>
  </si>
  <si>
    <t>2026-06-08T00:01:26.000Z</t>
  </si>
  <si>
    <t>2026-06-08T00:01:29.000Z</t>
  </si>
  <si>
    <t>2026-06-07T19:01:29.000Z</t>
  </si>
  <si>
    <t>â—â—â—The dual drum cassette tape was mangled. I fixed the tap and tested 5x each cash slot 4x. Tested Good. Mgr Bennett.</t>
  </si>
  <si>
    <t>2026-06-08T13:53:56.000Z</t>
  </si>
  <si>
    <t>New Item :7360-4010-9090 New Serial Number :57-60590092 Old Item :7360-4010-9090 Old Serial Number :57-60591308</t>
  </si>
  <si>
    <t>2026-06-08T13:53:58.000Z</t>
  </si>
  <si>
    <t>Note recycler error, Recycler 1 driver error  [Generated by Portal Login: coas14 Contact: Ashley Cooper 3092131564 ftfmsupport@rdspos.com]</t>
  </si>
  <si>
    <t>2026-06-07T19:04:47.000Z</t>
  </si>
  <si>
    <t>2026-06-08T13:53:55.000Z</t>
  </si>
  <si>
    <t>Note recycler error, Recycler 1 driver error  [Generated by Portal Login: coas14 Contact: Ashley Cooper 3092131564 ftfmsupport@rdspos.com]-CE IS NOW US153R20-â—â—â—The dual drum cassette tape was mangled. I fixed the tap and tested 5x each cash slot 4x. Tested Good. Mgr Bennett.-â—â—â—The dual drum cassette tape was mangled. I fixed the tap and tested 5x each cash slot 4x. Tested Good. Mgr Bennett.-New Item :7360-4010-9090 New Serial Number :57-60590092 Old Item :7360-4010-9090 Old Serial Number :57-60591308</t>
  </si>
  <si>
    <t>2025-08-11T17:37:24.000Z</t>
  </si>
  <si>
    <t>2025-08-11T12:48:00.000Z</t>
  </si>
  <si>
    <t>2025-08-11T16:48:00.000Z</t>
  </si>
  <si>
    <t>2025-08-11T13:04:00.000Z</t>
  </si>
  <si>
    <t>2025-08-11T17:04:00.000Z</t>
  </si>
  <si>
    <t>2025-08-10T15:49:15.000Z</t>
  </si>
  <si>
    <t>2025-08-10T19:49:15.000Z</t>
  </si>
  <si>
    <t>2025-08-11T09:39:13.000Z</t>
  </si>
  <si>
    <t>2025-08-11T13:22:18.000Z</t>
  </si>
  <si>
    <t>New Item :7360-4010-9090 New Serial Number :57-60588418 Old Item :7360-4010-9090 Old Serial Number :57-60587759</t>
  </si>
  <si>
    <t>2025-08-11T13:22:20.000Z</t>
  </si>
  <si>
    <t>Battery backup dead  [Generated by Portal Login: repa14 Contact: Patrick Reeves 3092411908 ftfmsupport@rdspos.com]</t>
  </si>
  <si>
    <t>2025-08-10T15:49:16.000Z</t>
  </si>
  <si>
    <t>2025-08-10T15:59:23.000Z</t>
  </si>
  <si>
    <t>2025-08-11T09:39:12.000Z</t>
  </si>
  <si>
    <t>Battery backup dead  [Generated by Portal Login: repa14 Contact: Patrick Reeves 3092411908 ftfmsupport@rdspos.com]-CE IS NOW US133C75-CE WAS US133C75-CE IS NOW US133C73-battery backup was completely dead so replaced ups and made sure everything is working properly-New Item :7360-4010-9090 New Serial Number :57-60588418 Old Item :7360-4010-9090 Old Serial Number :57-60587759</t>
  </si>
  <si>
    <t>2025-10-22T21:19:32.000Z</t>
  </si>
  <si>
    <t>DISPLAY</t>
  </si>
  <si>
    <t>DEB3</t>
  </si>
  <si>
    <t>2025-10-22T14:43:00.000Z</t>
  </si>
  <si>
    <t>2025-10-22T18:43:00.000Z</t>
  </si>
  <si>
    <t>2025-10-22T17:04:00.000Z</t>
  </si>
  <si>
    <t>2025-10-22T21:04:00.000Z</t>
  </si>
  <si>
    <t>2025-10-22T13:13:28.000Z</t>
  </si>
  <si>
    <t>2025-10-22T17:13:28.000Z</t>
  </si>
  <si>
    <t>2025-10-22T17:13:31.000Z</t>
  </si>
  <si>
    <t>2025-10-22T13:13:31.000Z</t>
  </si>
  <si>
    <t>powered off and cleaned screen.   the sco then came back into service without issue.   tested successfully by Gemma</t>
  </si>
  <si>
    <t>2025-10-22T17:05:11.000Z</t>
  </si>
  <si>
    <t>New Item :7360-4010-9090 New Serial Number :57-60591339 Old Item :7360-4010-9090 Old Serial Number :57-60588451</t>
  </si>
  <si>
    <t>2025-10-22T17:05:14.000Z</t>
  </si>
  <si>
    <t>SCO 14 touchscreen will not register any touch  [Generated by Portal Login: besa14 Contact: Sabrina Bechtel 715-498-6611 ftfmsupport@rdspos.com]</t>
  </si>
  <si>
    <t>2025-10-22T13:16:40.000Z</t>
  </si>
  <si>
    <t>SCO 14 touchscreen will not register any touch  [Generated by Portal Login: besa14 Contact: Sabrina Bechtel 715-498-6611 ftfmsupport@rdspos.com]-CE IS NOW US153C41-57-60591339-powered off and cleaned screen.   the sco then came back into service without issue.   tested successfully by Gemma-New Item :7360-4010-9090 New Serial Number :57-60591339 Old Item :7360-4010-9090 Old Serial Number :57-60588451</t>
  </si>
  <si>
    <t>2025-08-16T22:38:13.000Z</t>
  </si>
  <si>
    <t>57-60588455</t>
  </si>
  <si>
    <t>2025-08-16T17:42:00.000Z</t>
  </si>
  <si>
    <t>2025-08-16T21:42:00.000Z</t>
  </si>
  <si>
    <t>2025-08-16T18:22:00.000Z</t>
  </si>
  <si>
    <t>2025-08-16T22:22:00.000Z</t>
  </si>
  <si>
    <t>2025-08-16T09:58:54.000Z</t>
  </si>
  <si>
    <t>2025-08-16T13:58:54.000Z</t>
  </si>
  <si>
    <t>Call came in for SCO not dispensing nickels. Ran PML and checked coin counts. Saw all nickel counts had moved to logic count from physical bin, indicating hopper issue. Dumped coins from hopper with Lean from store. Opened hopper and found that the belt had unclipped itself. Reattached belt and put hopper back together. Cleared nickel count and re-added nickels back into SCO. Tested with Lean and Kerry from store. Left SCO in service with no other issues present</t>
  </si>
  <si>
    <t>2025-08-16T18:23:31.000Z</t>
  </si>
  <si>
    <t>New Item :7360-4010-9090 New Serial Number :57-60588455 Old Item :7360-4010-9090 Old Serial Number :57-60588450</t>
  </si>
  <si>
    <t>2025-08-16T18:23:34.000Z</t>
  </si>
  <si>
    <t>SCO 13 will not dispense nickles, please clean all sensors while onsite  [Generated by Portal Login: besa14 Contact: Sabrina Bechtel 715-498-6611 ftfmsupport@rdspos.com]</t>
  </si>
  <si>
    <t>CE IS NOW US153C45</t>
  </si>
  <si>
    <t>2025-08-16T10:06:46.000Z</t>
  </si>
  <si>
    <t>Running PML</t>
  </si>
  <si>
    <t>SCO 13 will not dispense nickles, please clean all sensors while onsite  [Generated by Portal Login: besa14 Contact: Sabrina Bechtel 715-498-6611 ftfmsupport@rdspos.com]-CE IS NOW US153C45-Running PML-Call came in for SCO not dispensing nickels. Ran PML and checked coin counts. Saw all nickel counts had moved to logic count from physical bin, indicating hopper issue. Dumped coins from hopper with Lean from store. Opened hopper and found that the belt had unclipped itself. Reattached belt and put hopper back together. Cleared nickel count and re-added nickels back into SCO. Tested with Lean and Kerry from store. Left SCO in service with no other issues present-New Item :7360-4010-9090 New Serial Number :57-60588455 Old Item :7360-4010-9090 Old Serial Number :57-60588450</t>
  </si>
  <si>
    <t>2026-01-04T16:47:21.000Z</t>
  </si>
  <si>
    <t>2026-01-04T10:13:00.000Z</t>
  </si>
  <si>
    <t>2026-01-04T16:13:00.000Z</t>
  </si>
  <si>
    <t>2026-01-04T10:29:00.000Z</t>
  </si>
  <si>
    <t>2026-01-04T16:29:00.000Z</t>
  </si>
  <si>
    <t>2026-01-04T09:14:04.000Z</t>
  </si>
  <si>
    <t>2026-01-04T15:14:04.000Z</t>
  </si>
  <si>
    <t>2026-01-04T10:35:09.000Z</t>
  </si>
  <si>
    <t>2026-01-04T10:35:10.000Z</t>
  </si>
  <si>
    <t>SCO 11 has a $10 bill stuck around the roller   [Generated by Portal Login: besa14 Contact: Sabrina Bechtel 715-498-6611 ftfmsupport@rdspos.com]</t>
  </si>
  <si>
    <t>2026-01-04T09:14:53.000Z</t>
  </si>
  <si>
    <t>SCO 11 has a $10 bill stuck around the roller   [Generated by Portal Login: besa14 Contact: Sabrina Bechtel 715-498-6611 ftfmsupport@rdspos.com]-CE IS NOW US153R81-counts off-scanned barcode, examined issues, purged gsr50, reloaded bills, test good-New Item :7360-4010-9090 New Serial Number :57-60591362 Old Item :7360-4010-9090 Old Serial Number :57-60591345</t>
  </si>
  <si>
    <t>2025-11-30T19:51:25.000Z</t>
  </si>
  <si>
    <t>2025-11-30T14:00:00.000Z</t>
  </si>
  <si>
    <t>2025-11-30T19:00:00.000Z</t>
  </si>
  <si>
    <t>2025-11-30T14:36:00.000Z</t>
  </si>
  <si>
    <t>2025-11-30T19:36:00.000Z</t>
  </si>
  <si>
    <t>Customer Missuse</t>
  </si>
  <si>
    <t>2025-11-25T12:10:21.000Z</t>
  </si>
  <si>
    <t>2025-11-25T17:10:21.000Z</t>
  </si>
  <si>
    <t>2025-11-25T17:10:22.000Z</t>
  </si>
  <si>
    <t>2025-11-25T12:10:22.000Z</t>
  </si>
  <si>
    <t>2025-11-30T14:37:37.000Z</t>
  </si>
  <si>
    <t>SCO15 has damage to coin acceptor inside of SCO  [Generated by Portal Login: most14 Contact: Staci Mowder 3096133038 ftfmsupport@rdspos.com]</t>
  </si>
  <si>
    <t>2025-11-25T12:24:07.000Z</t>
  </si>
  <si>
    <t>Coins recycler is o k , but coupon input chute is ripped off door. resecured and tested good</t>
  </si>
  <si>
    <t>2025-11-30T14:37:35.000Z</t>
  </si>
  <si>
    <t>SCO15 has damage to coin acceptor inside of SCO  [Generated by Portal Login: most14 Contact: Staci Mowder 3096133038 ftfmsupport@rdspos.com]-CE IS NOW US133C87-Coins recycler is o k , but coupon input chute is ripped off door. resecured and tested good-New Item :7360-4010-9090 New Serial Number :57-60587848 Old Item :7360-4010-9090 Old Serial Number :57-60587862</t>
  </si>
  <si>
    <t>2025-10-06T18:37:48.000Z</t>
  </si>
  <si>
    <t>2025-10-06T14:10:00.000Z</t>
  </si>
  <si>
    <t>2025-10-06T18:10:00.000Z</t>
  </si>
  <si>
    <t>2025-10-06T14:20:00.000Z</t>
  </si>
  <si>
    <t>2025-10-06T18:20:00.000Z</t>
  </si>
  <si>
    <t>2025-10-06T09:28:14.000Z</t>
  </si>
  <si>
    <t>2025-10-06T13:28:14.000Z</t>
  </si>
  <si>
    <t>New Item :7360-4010-9090 New Serial Number :57-60595346 Old Item :7360-4010-9090 Old Serial Number :57-60595346</t>
  </si>
  <si>
    <t>2025-10-06T14:21:26.000Z</t>
  </si>
  <si>
    <t>SCO11 has a Jam at RTG3 sensor error  [Generated by Portal Login: most14 Contact: Staci Mowder 3096133038 ftfmsupport@rdspos.com]</t>
  </si>
  <si>
    <t>2025-10-06T09:28:15.000Z</t>
  </si>
  <si>
    <t>CE IS NOW US133B43</t>
  </si>
  <si>
    <t>2025-10-06T09:30:12.000Z</t>
  </si>
  <si>
    <t>Two twenty dollar bills were jammed in the back of the third recycler. Removed and throughly tested gsr 50, tested working. Calibrated wake up sensor.</t>
  </si>
  <si>
    <t>2025-10-06T14:21:23.000Z</t>
  </si>
  <si>
    <t>SCO11 has a Jam at RTG3 sensor error  [Generated by Portal Login: most14 Contact: Staci Mowder 3096133038 ftfmsupport@rdspos.com]-CE IS NOW US133B43-Two twenty dollar bills were jammed in the back of the third recycler. Removed and throughly tested gsr 50, tested working. Calibrated wake up sensor.-New Item :7360-4010-9090 New Serial Number :57-60595346 Old Item :7360-4010-9090 Old Serial Number :57-60595346</t>
  </si>
  <si>
    <t>2026-04-02T21:31:41.000Z</t>
  </si>
  <si>
    <t>2026-04-02T16:41:00.000Z</t>
  </si>
  <si>
    <t>2026-04-02T20:41:00.000Z</t>
  </si>
  <si>
    <t>2026-04-02T17:15:00.000Z</t>
  </si>
  <si>
    <t>2026-04-02T21:15:00.000Z</t>
  </si>
  <si>
    <t>SF185159</t>
  </si>
  <si>
    <t>2026-04-02T15:24:33.000Z</t>
  </si>
  <si>
    <t>2026-04-02T19:24:33.000Z</t>
  </si>
  <si>
    <t>2026-04-02T16:08:11.000Z</t>
  </si>
  <si>
    <t>I had to clear out a torn piece of paper stuck in the acceptor  slot of the coin recycler. It is now accepting  coins again.</t>
  </si>
  <si>
    <t>2026-04-02T17:16:31.000Z</t>
  </si>
  <si>
    <t>2026-04-02T17:16:34.000Z</t>
  </si>
  <si>
    <t>SCO15 has continuous issue with coins getting physically jammed in there and has a coin recycler error  [Generated by Portal Login: most14 Contact: Staci Mowder 3096133038 ftfmsupport@rdspos.com]</t>
  </si>
  <si>
    <t>CE IS NOW US133C27</t>
  </si>
  <si>
    <t>2026-04-02T15:30:34.000Z</t>
  </si>
  <si>
    <t>CE WAS US133C27</t>
  </si>
  <si>
    <t>2026-04-02T16:08:10.000Z</t>
  </si>
  <si>
    <t>SCO15 has continuous issue with coins getting physically jammed in there and has a coin recycler error  [Generated by Portal Login: most14 Contact: Staci Mowder 3096133038 ftfmsupport@rdspos.com]-CE IS NOW US133C27-CE WAS US133C27-CE IS NOW US133C24-I had to clear out a torn piece of paper stuck in the acceptor  slot of the coin recycler. It is now accepting  coins again.-New Item :7360-4010-9090 New Serial Number :57-60588438 Old Item :7360-4010-9090 Old Serial Number :57-60588438</t>
  </si>
  <si>
    <t>2025-09-10T17:16:50.000Z</t>
  </si>
  <si>
    <t>2025-09-10T11:23:00.000Z</t>
  </si>
  <si>
    <t>2025-09-10T16:23:00.000Z</t>
  </si>
  <si>
    <t>2025-09-10T12:05:00.000Z</t>
  </si>
  <si>
    <t>2025-09-10T17:05:00.000Z</t>
  </si>
  <si>
    <t>PL185115</t>
  </si>
  <si>
    <t>2025-09-10T07:39:18.000Z</t>
  </si>
  <si>
    <t>2025-09-10T12:39:18.000Z</t>
  </si>
  <si>
    <t>2025-09-10T12:39:22.000Z</t>
  </si>
  <si>
    <t>2025-09-10T07:39:22.000Z</t>
  </si>
  <si>
    <t>no fault found.</t>
  </si>
  <si>
    <t>2025-09-10T12:05:29.000Z</t>
  </si>
  <si>
    <t>arrived on site and tested note recycler with a dispense and accept test which passed.  was able to verify all parts were working without issue with Ashley.</t>
  </si>
  <si>
    <t>New Item :7360-4010-9090 New Serial Number :57-60587738 Old Item :7360-4010-9090 Old Serial Number :57-60595328</t>
  </si>
  <si>
    <t>2025-09-10T12:05:30.000Z</t>
  </si>
  <si>
    <t>SCO 13 has bills physically stuck that never dispensed, it is also shredding bills, please clean all the sensors as well while on site  [Generated by Portal Login: besa14 Contact: Sabrina Bechtel 715-498-6611 ftfmsupport@rdspos.com]</t>
  </si>
  <si>
    <t>CE IS NOW US153N43</t>
  </si>
  <si>
    <t>2025-09-10T07:43:17.000Z</t>
  </si>
  <si>
    <t>CE WAS US153N43</t>
  </si>
  <si>
    <t>2025-09-10T09:09:37.000Z</t>
  </si>
  <si>
    <t>SCO 13 has bills physically stuck that never dispensed, it is also shredding bills, please clean all the sensors as well while on site  [Generated by Portal Login: besa14 Contact: Sabrina Bechtel 715-498-6611 ftfmsupport@rdspos.com]-CE IS NOW US153N43-CE WAS US153N43-CE IS NOW US153N46-CE WAS US153N46-CE IS NOW US153N40-no fault found.-arrived on site and tested note recycler with a dispense and accept test which passed.  was able to verify all parts were working without issue with Ashley.-New Item :7360-4010-9090 New Serial Number :57-60587738 Old Item :7360-4010-9090 Old Serial Number :57-60595328</t>
  </si>
  <si>
    <t>2025-09-30T20:39:05.000Z</t>
  </si>
  <si>
    <t>58-58517537</t>
  </si>
  <si>
    <t>2025-09-30T15:11:00.000Z</t>
  </si>
  <si>
    <t>2025-09-30T20:11:00.000Z</t>
  </si>
  <si>
    <t>2025-09-30T15:26:00.000Z</t>
  </si>
  <si>
    <t>2025-09-30T20:26:00.000Z</t>
  </si>
  <si>
    <t>MS185959</t>
  </si>
  <si>
    <t>2025-09-30T11:28:19.000Z</t>
  </si>
  <si>
    <t>2025-09-30T16:28:19.000Z</t>
  </si>
  <si>
    <t>CE IS NOW US153R07</t>
  </si>
  <si>
    <t>2025-09-30T11:43:10.000Z</t>
  </si>
  <si>
    <t>FRESH THYME #701 for SCO 15 printer faded print. I cleaned off some gunk on the printer head and had an associate test print, and it was back to normal. Vicky was point of contact.</t>
  </si>
  <si>
    <t>2025-09-30T15:26:56.000Z</t>
  </si>
  <si>
    <t>New Item :7360-4010-9090 New Serial Number :58-58517537 Old Item :7360-4010-9090 Old Serial Number :57-60606703</t>
  </si>
  <si>
    <t>2025-09-30T15:26:58.000Z</t>
  </si>
  <si>
    <t>Receipts on SCO15 printing faded/very lightly   [Generated by Portal Login: most14 Contact: Staci Mowder 3096133038 ftfmsupport@rdspos.com]</t>
  </si>
  <si>
    <t>2025-09-30T11:31:02.000Z</t>
  </si>
  <si>
    <t>CE WAS US153R01</t>
  </si>
  <si>
    <t>2025-09-30T11:42:59.000Z</t>
  </si>
  <si>
    <t>Receipts on SCO15 printing faded/very lightly   [Generated by Portal Login: most14 Contact: Staci Mowder 3096133038 ftfmsupport@rdspos.com]-CE IS NOW US153R01-CE WAS US153R01-CE IS NOW US153R07-FRESH THYME #701 for SCO 15 printer faded print. I cleaned off some gunk on the printer head and had an associate test print, and it was back to normal. Vicky was point of contact.-New Item :7360-4010-9090 New Serial Number :58-58517537 Old Item :7360-4010-9090 Old Serial Number :57-60606703</t>
  </si>
  <si>
    <t>2026-02-23T18:41:16.000Z</t>
  </si>
  <si>
    <t>2026-02-23T18:21:00.000Z</t>
  </si>
  <si>
    <t>2026-02-23T12:24:00.000Z</t>
  </si>
  <si>
    <t>2026-02-23T18:24:00.000Z</t>
  </si>
  <si>
    <t>2026-02-23T08:34:34.000Z</t>
  </si>
  <si>
    <t>2026-02-23T14:34:34.000Z</t>
  </si>
  <si>
    <t>ups 16 is good</t>
  </si>
  <si>
    <t>tested and working good to go tested with Katie manager</t>
  </si>
  <si>
    <t>2026-02-23T12:25:10.000Z</t>
  </si>
  <si>
    <t>2026-02-23T12:25:13.000Z</t>
  </si>
  <si>
    <t>SCO 16 battery back up needs replaced, sco will not power on  [Generated by Portal Login: besa14 Contact: Sabrina Bechtel 715-498-6611 ftfmsupport@rdspos.com]</t>
  </si>
  <si>
    <t>2026-02-23T08:36:13.000Z</t>
  </si>
  <si>
    <t>2026-02-23T08:37:58.000Z</t>
  </si>
  <si>
    <t>SCO 16 battery back up needs replaced, sco will not power on  [Generated by Portal Login: besa14 Contact: Sabrina Bechtel 715-498-6611 ftfmsupport@rdspos.com]-CE IS NOW US153C17-CE WAS US153C17-CE IS NOW US153C07-ups 16 is good-tested and working good to go tested with Katie manager-New Item :7360-4010-9090 New Serial Number :57-60595352 Old Item :7360-4010-9090 Old Serial Number :57-60595352</t>
  </si>
  <si>
    <t>2026-04-18T19:23:47.000Z</t>
  </si>
  <si>
    <t>57-60587792</t>
  </si>
  <si>
    <t>2026-04-18T14:57:00.000Z</t>
  </si>
  <si>
    <t>2026-04-18T18:57:00.000Z</t>
  </si>
  <si>
    <t>2026-04-18T15:07:00.000Z</t>
  </si>
  <si>
    <t>2026-04-18T19:07:00.000Z</t>
  </si>
  <si>
    <t>2026-04-18T06:27:38.000Z</t>
  </si>
  <si>
    <t>2026-04-18T10:27:38.000Z</t>
  </si>
  <si>
    <t>Sco 13 arrived on site. shift manager already fixed the receipt printer. receipt paper was in the receipt printer wrong. did a test print. test print was successful. no fault found</t>
  </si>
  <si>
    <t>2026-04-18T15:07:37.000Z</t>
  </si>
  <si>
    <t>New Item :7360-4010-9090 New Serial Number :57-60587792 Old Item :7360-4010-9090 Old Serial Number :57-60587770</t>
  </si>
  <si>
    <t>2026-04-18T15:07:38.000Z</t>
  </si>
  <si>
    <t>SCO 13 will not print receipt. Receipt comes out blank  [Generated by Portal Login: repa14 Contact: Patrick Reeves 3092411908 ftfmsupport@rdspos.com]</t>
  </si>
  <si>
    <t>2026-04-18T07:01:01.000Z</t>
  </si>
  <si>
    <t>no fault on sco 13</t>
  </si>
  <si>
    <t>SCO 13 will not print receipt. Receipt comes out blank  [Generated by Portal Login: repa14 Contact: Patrick Reeves 3092411908 ftfmsupport@rdspos.com]-CE IS NOW US133C75-no fault on sco 13-Sco 13 arrived on site. shift manager already fixed the receipt printer. receipt paper was in the receipt printer wrong. did a test print. test print was successful. no fault found-New Item :7360-4010-9090 New Serial Number :57-60587792 Old Item :7360-4010-9090 Old Serial Number :57-60587770</t>
  </si>
  <si>
    <t>2026-01-28T22:16:15.000Z</t>
  </si>
  <si>
    <t>2026-01-27T10:45:00.000Z</t>
  </si>
  <si>
    <t>2026-01-27T16:45:00.000Z</t>
  </si>
  <si>
    <t>2026-01-28T15:56:00.000Z</t>
  </si>
  <si>
    <t>2026-01-28T21:56:00.000Z</t>
  </si>
  <si>
    <t>tri-light</t>
  </si>
  <si>
    <t>2026-01-27T08:22:15.000Z</t>
  </si>
  <si>
    <t>2026-01-27T14:22:15.000Z</t>
  </si>
  <si>
    <t>CEM4074159:tri light no good</t>
  </si>
  <si>
    <t>2026-01-28T15:58:08.000Z</t>
  </si>
  <si>
    <t>pick up part and tested with precilla good to go</t>
  </si>
  <si>
    <t>2026-01-28T15:58:11.000Z</t>
  </si>
  <si>
    <t>SCO 11 Tri-Light Mostly Dead   [Generated by Portal Login: most14 Contact: Staci Mowder 3096133038 ftfmsupport@rdspos.com]</t>
  </si>
  <si>
    <t>2026-01-27T08:28:08.000Z</t>
  </si>
  <si>
    <t>need part led out on tri lights 4970525295</t>
  </si>
  <si>
    <t>2026-01-27T11:16:40.000Z</t>
  </si>
  <si>
    <t>SCO 11 Tri-Light Mostly Dead   [Generated by Portal Login: most14 Contact: Staci Mowder 3096133038 ftfmsupport@rdspos.com]-CE IS NOW US153C07-need part led out on tri lights 4970525295-LOM order processing, Part has been Ordered , Remedy Id FSC5487544 - (Same Day) by Agent te185055-Oracle Order Shipped for Remedy Id: U018853434, Order/Receipt # 182028587, Ordered Part 4970525295, Part Description - KIT - R6 TRI-LIGHT W/IP CAMERA, Shipment/Receipt #2116573325, Part has been Shipped, Qty 1, Priority OVERNIGHT, Shipping Method UPS-Air-Next Day Air Saver, BOL/Job 1ZH92Y061300631276, Source Location UFF USFMKE1G-CEM4074159:tri light no good-pick up part and tested with precilla good to go-New Item :7360-4010-9090 New Serial Number :57-60590079 Old Item :7360-4010-9090 Old Serial Number :57-60590079</t>
  </si>
  <si>
    <t>2026-08-11T12:20:43.000Z</t>
  </si>
  <si>
    <t>2026-08-07T20:02:00.000Z</t>
  </si>
  <si>
    <t>2026-08-07T13:23:04.000Z</t>
  </si>
  <si>
    <t>2026-08-07T18:23:04.000Z</t>
  </si>
  <si>
    <t>Oracle Order Shipped for Remedy Id: U018978451, Order/Receipt # 182478016, Ordered Part 2881091728, Part Description - PIN PAD-CM5 ANDROID WIFI/4G/BT SW: NP-STARBUCKS-NAB-LAUNCHER-CM5-US-PROD-IDS, Shipment/Receipt #2120164511, Substitute Part was Shipped, Part has been Shipped, Qty 1, Priority OVERNIGHT, Shipping Method UPS-Air-Next Day Air Saver, BOL/Job 1ZH92Y051303267854, Source Location PTC AVL</t>
  </si>
  <si>
    <t>2026-08-08T12:03:33.000Z</t>
  </si>
  <si>
    <t>Escalation Request: Part ready for pickup, need confirmed CE ETA [Added by: Luigi Blanche Oroc Pabingwit Portal Login: ncr.com Phone Number: 7491128 Email Address: lp185112@ncrvoyix.com Contact By: GIM]</t>
  </si>
  <si>
    <t>2026-08-11T06:58:41.000Z</t>
  </si>
  <si>
    <t xml:space="preserve">Escalation Update: Best ETA at this time 8/11 17:00
</t>
  </si>
  <si>
    <t>2026-08-11T07:20:43.000Z</t>
  </si>
  <si>
    <t>Lock on cosmetic door is stuck and will not unlock, unable to turn key completely   [Generated by Portal Login: coas14 Contact: Ashley Cooper 3092131564 ftfmsupport@rdspos.com]</t>
  </si>
  <si>
    <t>2026-08-07T13:23:05.000Z</t>
  </si>
  <si>
    <t>2026-08-07T13:24:13.000Z</t>
  </si>
  <si>
    <t>2026-08-07T14:05:17.000Z</t>
  </si>
  <si>
    <t xml:space="preserve">Lock on cosmetic door is stuck and will not unlock, unable to turn key completely   [Generated by Portal Login: coas14 Contact: Ashley Cooper 3092131564 ftfmsupport@rdspos.com]-CE IS NOW US153C15-CE WAS US153C15-CE IS NOW US153C12-Lock isn't engaging and allowing inner lock to release. Ordering replacement lock for sco cosmetic door-LOM order processing, Part has been Ordered , Remedy Id FSC5666651 - (Next Day) by Agent dk185294-Oracle Order Shipped for Remedy Id: U018978451, Order/Receipt # 182478016, Ordered Part 2881091728, Part Description - PIN PAD-CM5 ANDROID WIFI/4G/BT SW: NP-STARBUCKS-NAB-LAUNCHER-CM5-US-PROD-IDS, Shipment/Receipt #2120164511, Substitute Part was Shipped, Part has been Shipped, Qty 1, Priority OVERNIGHT, Shipping Method UPS-Air-Next Day Air Saver, BOL/Job 1ZH92Y051303267854, Source Location PTC AVL-Escalation Request: Part ready for pickup, need confirmed CE ETA [Added by: Luigi Blanche Oroc Pabingwit Portal Login: ncr.com Phone Number: 7491128 Email Address: lp185112@ncrvoyix.com Contact By: GIM]-Escalation Update: Best ETA at this time 8/11 17:00
</t>
  </si>
  <si>
    <t>US153W</t>
  </si>
  <si>
    <t>2026-06-13T20:47:17.000Z</t>
  </si>
  <si>
    <t>57-60588450</t>
  </si>
  <si>
    <t>2026-06-13T16:11:00.000Z</t>
  </si>
  <si>
    <t>2026-06-13T20:11:00.000Z</t>
  </si>
  <si>
    <t>2026-06-13T16:32:00.000Z</t>
  </si>
  <si>
    <t>2026-06-13T20:32:00.000Z</t>
  </si>
  <si>
    <t>2026-06-12T09:45:42.000Z</t>
  </si>
  <si>
    <t>2026-06-12T13:45:42.000Z</t>
  </si>
  <si>
    <t>Store523</t>
  </si>
  <si>
    <t>2026-06-13T16:32:59.000Z</t>
  </si>
  <si>
    <t>replaced ups due to bad battery.    boot sco and verified operational.   sco placed back into service</t>
  </si>
  <si>
    <t>New Item :7360-4010-9090 New Serial Number :57-60588450 Old Item :7360-4010-9090 Old Serial Number :57-60591341</t>
  </si>
  <si>
    <t>2026-06-13T16:33:03.000Z</t>
  </si>
  <si>
    <t>SCO11 needs battery backup replaced  [Generated by Portal Login: most14 Contact: Staci Mowder 2694689716 FTFMSupport@rdspos.com]</t>
  </si>
  <si>
    <t>2026-06-12T10:05:27.000Z</t>
  </si>
  <si>
    <t>verified battery is dead while on another task.   ordering new ups.</t>
  </si>
  <si>
    <t>2026-06-12T12:15:45.000Z</t>
  </si>
  <si>
    <t>SCO11 needs battery backup replaced  [Generated by Portal Login: most14 Contact: Staci Mowder 2694689716 FTFMSupport@rdspos.com]-CE IS NOW US153R62-verified battery is dead while on another task.   ordering new ups.-LOM order processing, Part has been Ordered , Remedy Id 000000015061572 - (Next Day) by Agent AUTO VIP-Oracle Order Shipped for Remedy Id: U018941381, Order/Receipt # 182345815, Ordered Part 4970534153, Part Description - UPS (N70-800) LV 100V/120V 800VA with USB communication Port and EMC Improvements, Shipment/Receipt #2119271991, Part has been Shipped, Qty 1, Priority OVERNIGHT, Shipping Method UPS-Air-Next Day Air, BOL/Job 1ZH92Y064400749305, Source Location UFF USFFLL3G-57-60588450-replaced ups due to bad battery.    boot sco and verified operational.   sco placed back into service-New Item :7360-4010-9090 New Serial Number :57-60588450 Old Item :7360-4010-9090 Old Serial Number :57-60591341</t>
  </si>
  <si>
    <t>2026-05-27T17:47:29.000Z</t>
  </si>
  <si>
    <t>2026-05-27T11:48:00.000Z</t>
  </si>
  <si>
    <t>2026-05-27T16:48:00.000Z</t>
  </si>
  <si>
    <t>2026-05-27T12:34:00.000Z</t>
  </si>
  <si>
    <t>2026-05-27T17:34:00.000Z</t>
  </si>
  <si>
    <t>2026-05-26T17:10:04.000Z</t>
  </si>
  <si>
    <t>2026-05-26T22:10:04.000Z</t>
  </si>
  <si>
    <t>2026-05-27T12:34:35.000Z</t>
  </si>
  <si>
    <t>SCO12 has a Coin recycyler error - Active coin box error and is making a grinding noise.  [Generated by Portal Login: most14 Contact: Staci Mowder 3096133038 ftfmsupport@rdspos.com]</t>
  </si>
  <si>
    <t>2026-05-26T17:27:57.000Z</t>
  </si>
  <si>
    <t>Removed jam in ACB and tested everything is now operating normally.</t>
  </si>
  <si>
    <t>2026-05-27T12:34:33.000Z</t>
  </si>
  <si>
    <t>SCO12 has a Coin recycyler error - Active coin box error and is making a grinding noise.  [Generated by Portal Login: most14 Contact: Staci Mowder 3096133038 ftfmsupport@rdspos.com]-CE IS NOW US153C19-Removed jam in ACB and tested everything is now operating normally.-New Item :7360-4010-9090 New Serial Number :57-60588400 Old Item :7360-4010-9090 Old Serial Number :57-60588428</t>
  </si>
  <si>
    <t>2025-11-03T18:28:50.000Z</t>
  </si>
  <si>
    <t>57-60595325</t>
  </si>
  <si>
    <t>TOUCH_SCREEN</t>
  </si>
  <si>
    <t>DEBP</t>
  </si>
  <si>
    <t>2025-10-30T12:40:00.000Z</t>
  </si>
  <si>
    <t>2025-10-30T16:40:00.000Z</t>
  </si>
  <si>
    <t>2025-11-03T13:12:00.000Z</t>
  </si>
  <si>
    <t>2025-11-03T18:12:00.000Z</t>
  </si>
  <si>
    <t>2025-10-30T09:33:02.000Z</t>
  </si>
  <si>
    <t>2025-10-30T13:33:02.000Z</t>
  </si>
  <si>
    <t>CEM3389479:touchscreen partially working</t>
  </si>
  <si>
    <t>2025-11-03T13:12:46.000Z</t>
  </si>
  <si>
    <t>Replaced entire touch screen and ensured all sections functioning without issues.</t>
  </si>
  <si>
    <t>New Item :7360-4010-9090 New Serial Number :57-60595325 Old Item :7360-4010-9090 Old Serial Number :57-60595316</t>
  </si>
  <si>
    <t>2025-11-03T13:12:48.000Z</t>
  </si>
  <si>
    <t>SCO 12 touchscreen is not working  [Generated by Portal Login: besa14 Contact: Sabrina Bechtel 715-498-6611 ftfmsupport@rdspos.com]</t>
  </si>
  <si>
    <t>2025-10-30T09:33:03.000Z</t>
  </si>
  <si>
    <t>2025-10-30T09:41:47.000Z</t>
  </si>
  <si>
    <t>Needs new screen, section of digitizer not working consistently. Ordering new part number 8530311857</t>
  </si>
  <si>
    <t>2025-10-30T13:03:12.000Z</t>
  </si>
  <si>
    <t>SCO 12 touchscreen is not working  [Generated by Portal Login: besa14 Contact: Sabrina Bechtel 715-498-6611 ftfmsupport@rdspos.com]-CE IS NOW US133B55-Needs new screen, section of digitizer not working consistently. Ordering new part number 8530311857-LOM order processing, Part has been Ordered , Remedy Id 000000014900951 - (Next Day) by Agent Auto VIP P000-Oracle Order Shipped for Remedy Id: U018788766, Order/Receipt # 181820499, Ordered Part 4970514474, Part Description - SERVICE ASSEMBLY 7702 PCAP, Shipment/Receipt #2111690156, Part has been Shipped, Qty 1, Priority OVERNIGHT, Shipping Method UPS-Air-Next Day Air Saver, BOL/Job 1ZH92Y051301824157, Source Location PTC AVL-CE IS NOW US133U01-CE WAS US133U01-CE IS NOW US133B55-CEM3389479:touchscreen partially working-Replaced entire touch screen and ensured all sections functioning without issues.-New Item :7360-4010-9090 New Serial Number :57-60595325 Old Item :7360-4010-9090 Old Serial Number :57-60595316</t>
  </si>
  <si>
    <t>2026-01-01T15:58:53.000Z</t>
  </si>
  <si>
    <t>2026-01-01T10:06:00.000Z</t>
  </si>
  <si>
    <t>2026-01-01T15:06:00.000Z</t>
  </si>
  <si>
    <t>2026-01-01T10:45:00.000Z</t>
  </si>
  <si>
    <t>2026-01-01T15:45:00.000Z</t>
  </si>
  <si>
    <t>2026-01-01T09:34:25.000Z</t>
  </si>
  <si>
    <t>2026-01-01T14:34:25.000Z</t>
  </si>
  <si>
    <t>2026-01-01T14:34:26.000Z</t>
  </si>
  <si>
    <t>2026-01-01T09:34:26.000Z</t>
  </si>
  <si>
    <t>1R-RETAIL:NR-NOTE RECYCLER:5Z-RECYCLER MAIN MODULE</t>
  </si>
  <si>
    <t>2026-01-01T10:45:19.000Z</t>
  </si>
  <si>
    <t>1R-RETAIL:8P-COIN RECYCLER:CV-COIN ACCEPTOR/VALIDATOR</t>
  </si>
  <si>
    <t>SCO 16 has a wake-up sensor blocked/calibration sensor fail error code 5-10-0-5-132353.  [Generated by Portal Login: besa14 Contact: Sabrina Bechtel 715-498-6611 ftfmsupport@rdspos.com]</t>
  </si>
  <si>
    <t>2026-01-01T09:35:53.000Z</t>
  </si>
  <si>
    <t>No faults found; cleaning/maintenance</t>
  </si>
  <si>
    <t>2026-01-01T10:45:18.000Z</t>
  </si>
  <si>
    <t>SCO 16 has a wake-up sensor blocked/calibration sensor fail error code 5-10-0-5-132353.  [Generated by Portal Login: besa14 Contact: Sabrina Bechtel 715-498-6611 ftfmsupport@rdspos.com]-CE IS NOW US133E80-No faults found; cleaning/maintenance-Found no errors, but cleaned CR5000 and GSR50 with no errors. Loaded additional cash with MoM Jenni to ensure no errors were occurring.-1R-RETAIL:NR-NOTE RECYCLER:5Z-RECYCLER MAIN MODULE-1R-RETAIL:8P-COIN RECYCLER:CV-COIN ACCEPTOR/VALIDATOR-New Item :7360-4010-9090 New Serial Number :57-60587851 Old Item :7360-4010-9090 Old Serial Number :57-60591391</t>
  </si>
  <si>
    <t>Found no errors, but cleaned CR5000 and GSR50 with no errors. Loaded additional cash with MoM Jenni to ensure no errors were occurring.</t>
  </si>
  <si>
    <t>2026-06-22T21:03:22.000Z</t>
  </si>
  <si>
    <t>2026-06-22T17:03:22.000Z</t>
  </si>
  <si>
    <t>2026-06-22T16:10:41.000Z</t>
  </si>
  <si>
    <t>2026-06-22T20:10:41.000Z</t>
  </si>
  <si>
    <t>Need two replacement SCO keys. Please and thank you Per NCR, &amp;quot;We have a service tech come out that needed to access the coin recycler and could not as we do not have the keys to it.&amp;quot; [Generated by Portal Login: coas14 Contact: Ashley Cooper 3092131564 ftfmsupport@rdspos.com]</t>
  </si>
  <si>
    <t>2026-06-22T16:10:53.000Z</t>
  </si>
  <si>
    <t>Duplicate ticket Remark added by: Ashley Cooper Portal Login: coas14 Phone Number: 3092131564 Email Address: acooper@rdspos.com</t>
  </si>
  <si>
    <t>Need two replacement SCO keys. Please and thank you Per NCR, &amp;quot;We have a service tech come out that needed to access the coin recycler and could not as we do not have the keys to it.&amp;quot; [Generated by Portal Login: coas14 Contact: Ashley Cooper 3092131564 ftfmsupport@rdspos.com]-CE IS NOW US133C87-Duplicate ticket Remark added by: Ashley Cooper Portal Login: coas14 Phone Number: 3092131564 Email Address: acooper@rdspos.com-CE WAS US133C87</t>
  </si>
  <si>
    <t>2026-01-16T16:24:43.000Z</t>
  </si>
  <si>
    <t>57-60591642</t>
  </si>
  <si>
    <t>2026-01-16T10:31:00.000Z</t>
  </si>
  <si>
    <t>2026-01-16T15:31:00.000Z</t>
  </si>
  <si>
    <t>2026-01-16T11:10:00.000Z</t>
  </si>
  <si>
    <t>2026-01-16T16:10:00.000Z</t>
  </si>
  <si>
    <t>DE185081</t>
  </si>
  <si>
    <t>2026-01-15T15:42:19.000Z</t>
  </si>
  <si>
    <t>2026-01-15T20:42:19.000Z</t>
  </si>
  <si>
    <t>2026-01-15T20:42:20.000Z</t>
  </si>
  <si>
    <t>2026-01-15T15:42:20.000Z</t>
  </si>
  <si>
    <t>G554-0310-0000</t>
  </si>
  <si>
    <t>New Item :7360-4010-9090 New Serial Number :57-60591642 Old Item :7360-4010-9090 Old Serial Number :57-60591640</t>
  </si>
  <si>
    <t>2026-01-16T11:13:14.000Z</t>
  </si>
  <si>
    <t>SCO 19 has a coin recycler error coin box motor jammed error code 16-6-0-99-459777  [Generated by Portal Login: besa14 Contact: Sabrina Bechtel 715-498-6611 ftfmsupport@rdspos.com]</t>
  </si>
  <si>
    <t>CE IS NOW US133B46</t>
  </si>
  <si>
    <t>2026-01-15T15:46:21.000Z</t>
  </si>
  <si>
    <t>Cleared jam in active cashbox, no more error. Tested and confirmed it is working properly.</t>
  </si>
  <si>
    <t>2026-01-16T11:13:12.000Z</t>
  </si>
  <si>
    <t>SCO 19 has a coin recycler error coin box motor jammed error code 16-6-0-99-459777  [Generated by Portal Login: besa14 Contact: Sabrina Bechtel 715-498-6611 ftfmsupport@rdspos.com]-CE IS NOW US133B46-Cleared jam in active cashbox, no more error. Tested and confirmed it is working properly.-New Item :7360-4010-9090 New Serial Number :57-60591642 Old Item :7360-4010-9090 Old Serial Number :57-60591640</t>
  </si>
  <si>
    <t>2026-06-09T14:39:57.000Z</t>
  </si>
  <si>
    <t>2026-06-09T10:05:00.000Z</t>
  </si>
  <si>
    <t>2026-06-09T14:05:00.000Z</t>
  </si>
  <si>
    <t>2026-06-09T10:24:00.000Z</t>
  </si>
  <si>
    <t>2026-06-09T14:24:00.000Z</t>
  </si>
  <si>
    <t>CHGC -   Unable to access equipment. Site does not have key to CR5000 unit.</t>
  </si>
  <si>
    <t>2026-06-06T16:06:31.000Z</t>
  </si>
  <si>
    <t>2026-06-06T20:06:31.000Z</t>
  </si>
  <si>
    <t>2026-06-06T20:06:35.000Z</t>
  </si>
  <si>
    <t>2026-06-06T16:06:35.000Z</t>
  </si>
  <si>
    <t>Unable to access equipment. Site does not have key to CR5000 unit.</t>
  </si>
  <si>
    <t>2026-06-09T10:24:53.000Z</t>
  </si>
  <si>
    <t>Arrived on site, site stated they are having issues with dispensing and accepting on CR5000. Site does not have key to unit, unable to access unit. Advised site to obtain key and put ticket back in when they can access equipment. Spoke to MOD Drew</t>
  </si>
  <si>
    <t>2026-06-09T10:24:54.000Z</t>
  </si>
  <si>
    <t>2026-06-09T10:24:55.000Z</t>
  </si>
  <si>
    <t>Note recycler error, note jam at BCLR1 sensor during accept   [Generated by Portal Login: coas14 Contact: Ashley Cooper 3092131564 ftfmsupport@rdspos.com]</t>
  </si>
  <si>
    <t>2026-06-06T16:14:56.000Z</t>
  </si>
  <si>
    <t>2026-06-09T07:31:57.000Z</t>
  </si>
  <si>
    <t>Note recycler error, note jam at BCLR1 sensor during accept   [Generated by Portal Login: coas14 Contact: Ashley Cooper 3092131564 ftfmsupport@rdspos.com]-CE IS NOW US133C81-CE WAS US133C81-CE IS NOW US133C93-Unable to access equipment. Site does not have key to CR5000 unit.-Arrived on site, site stated they are having issues with dispensing and accepting on CR5000. Site does not have key to unit, unable to access unit. Advised site to obtain key and put ticket back in when they can access equipment. Spoke to MOD Drew-New Item :7360-4010-9090 New Serial Number :57-60587823 Old Item :7360-4010-9090 Old Serial Number :57-60587862</t>
  </si>
  <si>
    <t>2026-02-12T22:06:50.000Z</t>
  </si>
  <si>
    <t>2026-02-12T15:19:00.000Z</t>
  </si>
  <si>
    <t>2026-02-12T21:19:00.000Z</t>
  </si>
  <si>
    <t>2026-02-12T15:49:00.000Z</t>
  </si>
  <si>
    <t>2026-02-12T21:49:00.000Z</t>
  </si>
  <si>
    <t>CHG-bad note jam in cash cassette</t>
  </si>
  <si>
    <t>2026-02-12T14:31:27.000Z</t>
  </si>
  <si>
    <t>2026-02-12T20:31:27.000Z</t>
  </si>
  <si>
    <t>2026-02-12T20:31:30.000Z</t>
  </si>
  <si>
    <t>2026-02-12T14:31:30.000Z</t>
  </si>
  <si>
    <t>cash jam in the cash cassette. number of $1 bills were jammed up when loaded. open up the machine and the cassette and removed all of the faulty dollar bills. $6 bills removed from the machine as faulty. traded them for exchange with store associate Julia. The exchanged money was fed back into the machine to keep the balance count correct. ran ADD and rebooted the register. cash test performed by Julia successfully machine ready for operations.</t>
  </si>
  <si>
    <t>2026-02-12T15:49:53.000Z</t>
  </si>
  <si>
    <t>New Item :7360-4010-9090 New Serial Number :57-60590093 Old Item :7360-4010-9090 Old Serial Number :57-60590119</t>
  </si>
  <si>
    <t>2026-02-12T15:49:54.000Z</t>
  </si>
  <si>
    <t>SCO 13 has a note recycler error note jam at RFIN2 sensor error code 5-9-0-4-63011  [Generated by Portal Login: besa14 Contact: Sabrina Bechtel 715-498-6611 ftfmsupport@rdspos.com]</t>
  </si>
  <si>
    <t>2026-02-12T14:32:38.000Z</t>
  </si>
  <si>
    <t>bad note jam in cash cassette</t>
  </si>
  <si>
    <t>SCO 13 has a note recycler error note jam at RFIN2 sensor error code 5-9-0-4-63011  [Generated by Portal Login: besa14 Contact: Sabrina Bechtel 715-498-6611 ftfmsupport@rdspos.com]-CE IS NOW US153R72-bad note jam in cash cassette-cash jam in the cash cassette. number of $1 bills were jammed up when loaded. open up the machine and the cassette and removed all of the faulty dollar bills. $6 bills removed from the machine as faulty. traded them for exchange with store associate Julia. The exchanged money was fed back into the machine to keep the balance count correct. ran ADD and rebooted the register. cash test performed by Julia successfully machine ready for operations.-New Item :7360-4010-9090 New Serial Number :57-60590093 Old Item :7360-4010-9090 Old Serial Number :57-60590119</t>
  </si>
  <si>
    <t>2026-01-24T16:01:35.000Z</t>
  </si>
  <si>
    <t>57-60588430</t>
  </si>
  <si>
    <t>2026-01-24T10:12:00.000Z</t>
  </si>
  <si>
    <t>2026-01-24T15:12:00.000Z</t>
  </si>
  <si>
    <t>2026-01-24T10:43:00.000Z</t>
  </si>
  <si>
    <t>2026-01-24T15:43:00.000Z</t>
  </si>
  <si>
    <t>MEIJER/FRESH THYME #530</t>
  </si>
  <si>
    <t>2026-01-23T16:59:59.000Z</t>
  </si>
  <si>
    <t>2026-01-23T21:59:59.000Z</t>
  </si>
  <si>
    <t>No fault found</t>
  </si>
  <si>
    <t>2026-01-24T10:44:44.000Z</t>
  </si>
  <si>
    <t>Arrived on site. Issue stated that sco16 had no power. Found that the SCO was powered on and in use. Checked it over and found no errors or issues. Confirmed with Hannah.</t>
  </si>
  <si>
    <t>2026-01-24T10:44:45.000Z</t>
  </si>
  <si>
    <t>New Item :7360-4010-9090 New Serial Number :57-60588430 Old Item :7360-4010-9090 Old Serial Number :57-60588430</t>
  </si>
  <si>
    <t>2026-01-24T10:44:46.000Z</t>
  </si>
  <si>
    <t>SCO16 not powering on. May need battery back up replaced   [Generated by Portal Login: most14 Contact: Staci Mowder 3096133038 ftfmsupport@rdspos.com]</t>
  </si>
  <si>
    <t>2026-01-23T17:00:51.000Z</t>
  </si>
  <si>
    <t>2026-01-24T09:01:33.000Z</t>
  </si>
  <si>
    <t>SCO16 not powering on. May need battery back up replaced   [Generated by Portal Login: most14 Contact: Staci Mowder 3096133038 ftfmsupport@rdspos.com]-CE IS NOW US133E75-CE WAS US133E75-CE IS NOW US133E77-CE IS NOW US133E77-No fault found-Arrived on site. Issue stated that sco16 had no power. Found that the SCO was powered on and in use. Checked it over and found no errors or issues. Confirmed with Hannah.-New Item :7360-4010-9090 New Serial Number :57-60588430 Old Item :7360-4010-9090 Old Serial Number :57-60588430</t>
  </si>
  <si>
    <t>2026-02-18T23:05:41.000Z</t>
  </si>
  <si>
    <t>57-60587730</t>
  </si>
  <si>
    <t>2026-02-18T16:06:00.000Z</t>
  </si>
  <si>
    <t>2026-02-18T22:06:00.000Z</t>
  </si>
  <si>
    <t>2026-02-18T16:46:00.000Z</t>
  </si>
  <si>
    <t>2026-02-18T22:46:00.000Z</t>
  </si>
  <si>
    <t>2026-02-18T14:03:03.000Z</t>
  </si>
  <si>
    <t>2026-02-18T20:03:03.000Z</t>
  </si>
  <si>
    <t>New Item :7360-4010-9090 New Serial Number :57-60587730 Old Item :7360-4010-9090 Old Serial Number :57-60587731</t>
  </si>
  <si>
    <t>2026-02-18T16:47:52.000Z</t>
  </si>
  <si>
    <t>2026-02-18T14:03:04.000Z</t>
  </si>
  <si>
    <t>2026-02-18T14:08:19.000Z</t>
  </si>
  <si>
    <t>arrived onsite, cleared jam and removed coin paper from coin track, tested functionality with mod</t>
  </si>
  <si>
    <t>2026-02-18T16:47:49.000Z</t>
  </si>
  <si>
    <t>SCO 12 has a coin recycler error transfer motor jam error code 16-6-0-99-67074  [Generated by Portal Login: besa14 Contact: Sabrina Bechtel 715-498-6611 ftfmsupport@rdspos.com]-CE IS NOW US153N79-arrived onsite, cleared jam and removed coin paper from coin track, tested functionality with mod-New Item :7360-4010-9090 New Serial Number :57-60587730 Old Item :7360-4010-9090 Old Serial Number :57-60587731</t>
  </si>
  <si>
    <t>2026-07-13T16:09:35.000Z</t>
  </si>
  <si>
    <t>57-60588461</t>
  </si>
  <si>
    <t>2026-07-10T10:14:00.000Z</t>
  </si>
  <si>
    <t>2026-07-10T15:14:00.000Z</t>
  </si>
  <si>
    <t>2026-07-13T10:52:00.000Z</t>
  </si>
  <si>
    <t>2026-07-13T15:52:00.000Z</t>
  </si>
  <si>
    <t>2026-07-10T07:46:33.000Z</t>
  </si>
  <si>
    <t>2026-07-10T12:46:33.000Z</t>
  </si>
  <si>
    <t>2026-07-10T12:46:35.000Z</t>
  </si>
  <si>
    <t>2026-07-10T07:46:35.000Z</t>
  </si>
  <si>
    <t>CEM4301317:fried</t>
  </si>
  <si>
    <t>2026-07-13T10:41:47.000Z</t>
  </si>
  <si>
    <t>replaced ups, started register, everything powered up good</t>
  </si>
  <si>
    <t>2026-07-13T10:52:48.000Z</t>
  </si>
  <si>
    <t>New Item :7360-4010-9090 New Serial Number :57-60588461 Old Item :7360-4010-9090 Old Serial Number :57-60591365</t>
  </si>
  <si>
    <t>2026-07-13T10:52:50.000Z</t>
  </si>
  <si>
    <t>SCO18 Not powering on. May need battery backup replaced.  [Generated by Portal Login: most14 Contact: Staci Mowder 2694689716 FTFMSupport@rdspos.com]</t>
  </si>
  <si>
    <t>2026-07-10T07:59:41.000Z</t>
  </si>
  <si>
    <t>scanned barcode, examined issues, ups shot, ordering new one</t>
  </si>
  <si>
    <t>2026-07-10T10:19:26.000Z</t>
  </si>
  <si>
    <t>SCO18 Not powering on. May need battery backup replaced.  [Generated by Portal Login: most14 Contact: Staci Mowder 2694689716 FTFMSupport@rdspos.com]-CE IS NOW US153R19-scanned barcode, examined issues, ups shot, ordering new one-LOM order processing, Part has been Ordered , Remedy Id 000000015080551 - (Next Day) by Agent Auto VIP P000-Oracle Order Shipped for Remedy Id: U018959338, Order/Receipt # 182408518, Ordered Part 4970465804, Part Description - R6.0 UPS 110V 800VA with USB communication port &amp;, Shipment/Receipt #2119704133, Substitute Part was Shipped, Part has been Shipped, Qty 1, Priority OVERNIGHT, Shipping Method UPS-Air-Next Day Air, BOL/Job 1ZH92Y054403140119, Source Location PTC AVL-CEM4301317:fried-replaced ups, started register, everything powered up good-New Item :7360-4010-9090 New Serial Number :57-60588461 Old Item :7360-4010-9090 Old Serial Number :57-60591365</t>
  </si>
  <si>
    <t>2025-11-04T23:36:53.000Z</t>
  </si>
  <si>
    <t>2025-11-04T16:14:00.000Z</t>
  </si>
  <si>
    <t>2025-11-04T22:14:00.000Z</t>
  </si>
  <si>
    <t>2025-11-04T17:12:00.000Z</t>
  </si>
  <si>
    <t>2025-11-04T23:12:00.000Z</t>
  </si>
  <si>
    <t>AR185472</t>
  </si>
  <si>
    <t>2025-11-04T13:39:51.000Z</t>
  </si>
  <si>
    <t>2025-11-04T19:39:51.000Z</t>
  </si>
  <si>
    <t>2025-11-04T19:39:52.000Z</t>
  </si>
  <si>
    <t>2025-11-04T13:39:52.000Z</t>
  </si>
  <si>
    <t>Store543</t>
  </si>
  <si>
    <t>2025-11-04T15:06:50.000Z</t>
  </si>
  <si>
    <t>Looked through all the machine. Cleaned out validator and went into to PML said error was with sorter. Looked at sorter and found where coins where stuck. Unstuck coins and dispensed and accepted three times. Works good and error went away.</t>
  </si>
  <si>
    <t>2025-11-04T17:21:43.000Z</t>
  </si>
  <si>
    <t>2025-11-04T17:21:46.000Z</t>
  </si>
  <si>
    <t>SCO 11 has a coin recycler error sorter module not seated error code 16-6-0-99-524801  [Generated by Portal Login: besa14 Contact: Sabrina Bechtel 715-498-6611 ftfmsupport@rdspos.com]</t>
  </si>
  <si>
    <t>2025-11-04T13:42:58.000Z</t>
  </si>
  <si>
    <t>CE WAS US153R73</t>
  </si>
  <si>
    <t>2025-11-04T14:41:59.000Z</t>
  </si>
  <si>
    <t>SCO 11 has a coin recycler error sorter module not seated error code 16-6-0-99-524801  [Generated by Portal Login: besa14 Contact: Sabrina Bechtel 715-498-6611 ftfmsupport@rdspos.com]-CE IS NOW US153R73-CE WAS US153R73-CE IS NOW US153C17-CE WAS US153C17-CE IS NOW US153R71-CE WAS US153R71-CE IS NOW US153R74-Looked through all the machine. Cleaned out validator and went into to PML said error was with sorter. Looked at sorter and found where coins where stuck. Unstuck coins and dispensed and accepted three times. Works good and error went away.-New Item :7360-4010-9090 New Serial Number :57-60590127 Old Item :7360-4010-9090 Old Serial Number :57-60590127</t>
  </si>
  <si>
    <t>2025-12-11T18:47:36.000Z</t>
  </si>
  <si>
    <t>57-58264234</t>
  </si>
  <si>
    <t>2025-12-11T11:39:00.000Z</t>
  </si>
  <si>
    <t>2025-12-11T17:39:00.000Z</t>
  </si>
  <si>
    <t>2025-12-11T12:28:00.000Z</t>
  </si>
  <si>
    <t>2025-12-11T18:28:00.000Z</t>
  </si>
  <si>
    <t>2025-12-10T08:04:13.000Z</t>
  </si>
  <si>
    <t>2025-12-10T14:04:13.000Z</t>
  </si>
  <si>
    <t>2025-12-10T14:04:14.000Z</t>
  </si>
  <si>
    <t>2025-12-10T08:04:14.000Z</t>
  </si>
  <si>
    <t>CEM4044356: Printer CE Comment:good</t>
  </si>
  <si>
    <t>2025-12-12T17:24:23.000Z</t>
  </si>
  <si>
    <t>CEM4044357: Printer CE Comment:good</t>
  </si>
  <si>
    <t>2025-12-12T17:25:45.000Z</t>
  </si>
  <si>
    <t>CEM4044368: Printer CE Comment:good</t>
  </si>
  <si>
    <t>2025-12-18T09:57:56.000Z</t>
  </si>
  <si>
    <t>SCO22 not powering on. Needs battery backup replaced   [Generated by Portal Login: most14 Contact: Staci Mowder 3096133038 ftfmsupport@rdspos.com]</t>
  </si>
  <si>
    <t>2025-12-10T08:04:15.000Z</t>
  </si>
  <si>
    <t>2025-12-10T08:06:34.000Z</t>
  </si>
  <si>
    <t>2025-12-10T08:16:09.000Z</t>
  </si>
  <si>
    <t>SCO22 not powering on. Needs battery backup replaced   [Generated by Portal Login: most14 Contact: Staci Mowder 3096133038 ftfmsupport@rdspos.com]-CE IS NOW US153N60-CE WAS US153N60-CE IS NOW US153N64-CE IS NOW US153N64-LOM order processing, Part has been Ordered , Remedy Id 000000014933188 - (Next Day) by Agent Hazard Part - E3-LOM order processing, Part has been Ordered , Remedy Id 000000014933190 - (Next Day) by Agent Auto VIP P000-Oracle Order Shipped for Remedy Id: U018820487, Order/Receipt # 181922230, Ordered Part 4970535205, Part Description - PWR SUPPLY-SWITCH MODE300W+24V, Shipment/Receipt #2113247142, Substitute Part was Shipped, Part has been Shipped, Qty 1, Priority OVERNIGHT, Shipping Method UPS-Air-Next Day Air Saver, BOL/Job 1ZH92Y051302069892, Source Location PTC AVL-LOM order processing, Part has been Ordered , Remedy Id 000000014934014 - (Pick Up)MO, Fentonby Agent Auto CE pickup-LOM order processing, Part has been Ordered , Remedy Id U018821307 - (Next Day) by Agent sj185290-Oracle Order Shipped for Remedy Id: U018821274, Order/Receipt # 181924772, Ordered Part 4970534153, Part Description - UPS (N70-800) LV 100V/120V 800VA with USB communication Port and EMC Improvements, Shipment/Receipt #2113316819, Part has been Shipped, Qty 1, Priority NFO, Shipping Method CE Pickup After Hours, BOL/Job NA, Source Location UFF USFSTL1G-Oracle Order Shipped for Remedy Id: U018821307, Order/Receipt # 181924822, Ordered Part 4970527939, Part Description - R6.0 UPS 110V 800VA with USB communication port &amp; EMC Improvements, Shipment/Receipt #2113318991, Part has been Shipped, Qty 1, Priority OVERNIGHT, Shipping Method UPS-Air-Next Day Air Saver, BOL/Job 1ZH92Y061300587459, Source Location UFF USFCVG1G-replaced the defective ups and the unit is functioning normally. contact Mgr was Zeppelin.-New Item :7360-4010-9090 New Serial Number :57-58264234 Old Item :7360-4010-9090 Old Serial Number :57-58264214-Oracle Order Shipped for Remedy Id: U018820485, Order/Receipt # 181922223, Ordered Part 4970465804, Part Description - R6.0 UPS 110V 800VA with USB communication port, Shipment/Receipt #2113406775, Substitute Part was Shipped, Part has been Shipped, Qty 1, Priority REGULAR, Shipping Method UPS-Ground-Ground, BOL/Job 1ZJ21V670340158287, Source Location PDS DIR-CEM4044356: Printer CE Comment:good-CEM4044357: Printer CE Comment:good-CEM4044368: Printer CE Comment:good</t>
  </si>
  <si>
    <t>replaced the defective ups and the unit is functioning normally. contact Mgr was Zeppelin.</t>
  </si>
  <si>
    <t>2025-12-11T12:29:43.000Z</t>
  </si>
  <si>
    <t>2026-06-06T00:08:38.000Z</t>
  </si>
  <si>
    <t>57-60588464</t>
  </si>
  <si>
    <t>2026-05-30T18:36:00.000Z</t>
  </si>
  <si>
    <t>2026-05-30T23:36:00.000Z</t>
  </si>
  <si>
    <t>2026-06-05T18:29:00.000Z</t>
  </si>
  <si>
    <t>2026-06-05T23:29:00.000Z</t>
  </si>
  <si>
    <t>2026-05-30T12:40:01.000Z</t>
  </si>
  <si>
    <t>2026-05-30T17:40:01.000Z</t>
  </si>
  <si>
    <t>2026-05-30T17:40:03.000Z</t>
  </si>
  <si>
    <t>2026-05-30T12:40:03.000Z</t>
  </si>
  <si>
    <t>CEM4252894:display out</t>
  </si>
  <si>
    <t>2026-06-05T18:54:28.000Z</t>
  </si>
  <si>
    <t>Replaced touchscreen display pn 4970514474 SERVICE ASSEMBLY 7702 PCAP.</t>
  </si>
  <si>
    <t>New Item :7360-4010-9090 New Serial Number :57-60588464 Old Item :7360-4010-9090 Old Serial Number :57-60591374</t>
  </si>
  <si>
    <t>2026-06-05T18:54:31.000Z</t>
  </si>
  <si>
    <t>SCO19 screen is black but everything else seems to be working normally.   [Generated by Portal Login: most14 Contact: Staci Mowder 630-320-2349 smowder@rdspos.com]</t>
  </si>
  <si>
    <t>2026-05-30T12:43:56.000Z</t>
  </si>
  <si>
    <t>CE WAS US153R24</t>
  </si>
  <si>
    <t>2026-05-30T16:16:00.000Z</t>
  </si>
  <si>
    <t>SCO19 screen is black but everything else seems to be working normally.   [Generated by Portal Login: most14 Contact: Staci Mowder 630-320-2349 smowder@rdspos.com]-CE IS NOW US153R24-CE WAS US153R24-CE IS NOW US153R27-Lane powers up, peripherals start. Touchscreen display is out. Wavy lines at times. Checked cable connections okay. Rec replaced touch display.-LOM order processing, Part has been Ordered , Remedy Id 000000015052808 - (Pick Up)MN, Arden Hillsby Agent Auto CE pickup-Oracle Order Shipped for Remedy Id: U018933496, Order/Receipt # 182313343, Ordered Part 4970514474, Part Description - SERVICE ASSEMBLY 7702 PCAP, Shipment/Receipt #2118914801, Part has been Shipped, Qty 1, Priority NFO, Shipping Method CE Pickup After Hours, BOL/Job NA, Source Location UFF USFMSP1G-CE IS NOW US153R27-CEM4252894:display out-Replaced touchscreen display pn 4970514474 SERVICE ASSEMBLY 7702 PCAP.-New Item :7360-4010-9090 New Serial Number :57-60588464 Old Item :7360-4010-9090 Old Serial Number :57-60591374</t>
  </si>
  <si>
    <t>2025-08-08T19:47:27.000Z</t>
  </si>
  <si>
    <t>2025-08-07T15:17:00.000Z</t>
  </si>
  <si>
    <t>2025-08-07T19:17:00.000Z</t>
  </si>
  <si>
    <t>2025-08-08T15:33:00.000Z</t>
  </si>
  <si>
    <t>2025-08-08T19:33:00.000Z</t>
  </si>
  <si>
    <t>2025-08-07T11:39:42.000Z</t>
  </si>
  <si>
    <t>2025-08-07T15:39:42.000Z</t>
  </si>
  <si>
    <t>The coupon chute had been pulled free from the fascia door, requiring the door to be replaced.</t>
  </si>
  <si>
    <t>2025-08-08T15:33:35.000Z</t>
  </si>
  <si>
    <t>Arrived on-site and checked in with the store supervisor. Removed and replaced the fascia door and reconnected all components. Recalibrated the door sensor and confirmed with the department supervisor that the lane is fully functional.</t>
  </si>
  <si>
    <t>2025-08-08T15:33:36.000Z</t>
  </si>
  <si>
    <t>The metal bracket on the inside of the SCO door that holder the coupon holder is broken on SCO 18  [Generated by Portal Login: besa14 Contact: Sabrina Bechtel 715-498-6611 ftfmsupport@rdspos.com]</t>
  </si>
  <si>
    <t>2025-08-07T11:58:02.000Z</t>
  </si>
  <si>
    <t>Coupon entry chute has become broken off from the fascia door, requiring the door to be replaced.</t>
  </si>
  <si>
    <t>2025-08-07T15:54:20.000Z</t>
  </si>
  <si>
    <t>The metal bracket on the inside of the SCO door that holder the coupon holder is broken on SCO 18  [Generated by Portal Login: besa14 Contact: Sabrina Bechtel 715-498-6611 ftfmsupport@rdspos.com]-CE IS NOW US133U34-Coupon entry chute has become broken off from the fascia door, requiring the door to be replaced.-Arrived on-site and checked in with the department supervisor. Confirmed that the coupon entry chute had broken off from the inside of the fascia door. Suspending to order a replacement door.-The coupon chute had been pulled free from the fascia door, requiring the door to be replaced.-Arrived on-site and checked in with the store supervisor. Removed and replaced the fascia door and reconnected all components. Recalibrated the door sensor and confirmed with the department supervisor that the lane is fully functional.-New Item :7360-4010-9090 New Serial Number :57-60587771 Old Item :7360-4010-9090 Old Serial Number :57-60587771</t>
  </si>
  <si>
    <t>2025-12-24T17:09:07.000Z</t>
  </si>
  <si>
    <t>57-60587741</t>
  </si>
  <si>
    <t>2025-12-24T11:15:00.000Z</t>
  </si>
  <si>
    <t>2025-12-24T16:15:00.000Z</t>
  </si>
  <si>
    <t>2025-12-24T11:57:00.000Z</t>
  </si>
  <si>
    <t>2025-12-24T16:57:00.000Z</t>
  </si>
  <si>
    <t>DO250136</t>
  </si>
  <si>
    <t>MEIJER/FRESH THYME #919</t>
  </si>
  <si>
    <t>2025-12-24T09:46:28.000Z</t>
  </si>
  <si>
    <t>2025-12-24T14:46:28.000Z</t>
  </si>
  <si>
    <t>2025-12-24T14:46:29.000Z</t>
  </si>
  <si>
    <t>2025-12-24T09:46:29.000Z</t>
  </si>
  <si>
    <t>CE IS NOW US133C22</t>
  </si>
  <si>
    <t>2025-12-24T09:51:00.000Z</t>
  </si>
  <si>
    <t>There were coins jammed in the coin box. I removed the box and spun the wheel, and 4 dimes came out. When I shook it, there was still another dime stuck in there, but the wheel was spinning free. I had to shake it vigorously while spinning the wheel to get the last dime out. It works now, and the manager Shawn tested it.</t>
  </si>
  <si>
    <t>2025-12-24T11:57:38.000Z</t>
  </si>
  <si>
    <t>New Item :7360-4010-9090 New Serial Number :57-60587741 Old Item :7360-4010-9090 Old Serial Number :57-60587741</t>
  </si>
  <si>
    <t>2025-12-24T11:57:40.000Z</t>
  </si>
  <si>
    <t>2025-12-24T09:47:06.000Z</t>
  </si>
  <si>
    <t>2025-12-24T09:49:13.000Z</t>
  </si>
  <si>
    <t>SCO 11 has a coin recycler error coin box motor jammed error code 16-6-0-99-459777  [Generated by Portal Login: besa14 Contact: Sabrina Bechtel 715-498-6611 ftfmsupport@rdspos.com]-CE IS NOW US133C20-CE WAS US133C20-CE IS NOW US133C22-CE IS NOW US133C22-There were coins jammed in the coin box. I removed the box and spun the wheel, and 4 dimes came out. When I shook it, there was still another dime stuck in there, but the wheel was spinning free. I had to shake it vigorously while spinning the wheel to get the last dime out. It works now, and the manager Shawn tested it.-New Item :7360-4010-9090 New Serial Number :57-60587741 Old Item :7360-4010-9090 Old Serial Number :57-60587741</t>
  </si>
  <si>
    <t>2026-06-02T21:48:05.000Z</t>
  </si>
  <si>
    <t>2026-06-02T16:12:00.000Z</t>
  </si>
  <si>
    <t>2026-06-02T21:12:00.000Z</t>
  </si>
  <si>
    <t>2026-06-02T16:34:00.000Z</t>
  </si>
  <si>
    <t>2026-06-02T21:34:00.000Z</t>
  </si>
  <si>
    <t>MC185434</t>
  </si>
  <si>
    <t>2026-06-01T11:50:05.000Z</t>
  </si>
  <si>
    <t>2026-06-01T16:50:05.000Z</t>
  </si>
  <si>
    <t>2026-06-01T16:50:06.000Z</t>
  </si>
  <si>
    <t>2026-06-01T11:50:06.000Z</t>
  </si>
  <si>
    <t>CE IS NOW US153C16</t>
  </si>
  <si>
    <t>2026-06-02T13:16:09.000Z</t>
  </si>
  <si>
    <t>got to site and found that the coin chasis belt had a small degradation. was able.to clip it back. if it happens again, I can use my chassis in my van</t>
  </si>
  <si>
    <t>2026-06-02T16:35:36.000Z</t>
  </si>
  <si>
    <t>2026-06-02T16:35:37.000Z</t>
  </si>
  <si>
    <t>SCO11 has a Coin recycler error and not giving change   [Generated by Portal Login: most14 Contact: Staci Mowder 630-320-2349 ftfmsupport@rdspos.com]</t>
  </si>
  <si>
    <t>CE IS NOW US153C55</t>
  </si>
  <si>
    <t>2026-06-01T11:51:38.000Z</t>
  </si>
  <si>
    <t>CE WAS US153C55</t>
  </si>
  <si>
    <t>2026-06-01T14:26:38.000Z</t>
  </si>
  <si>
    <t>SCO11 has a Coin recycler error and not giving change   [Generated by Portal Login: most14 Contact: Staci Mowder 630-320-2349 ftfmsupport@rdspos.com]-CE IS NOW US153C55-CE WAS US153C55-CE IS NOW US153C23-CE WAS US153C23-CE IS NOW US153C16-CE WAS US153C16-CE IS NOW US153C58-CE WAS US153C58-CE IS NOW US153C16-got to site and found that the coin chasis belt had a small degradation. was able.to clip it back. if it happens again, I can use my chassis in my van-New Item :7360-4010-9090 New Serial Number :57-60587774 Old Item :7360-4010-9090 Old Serial Number :57-60587774</t>
  </si>
  <si>
    <t>2026-06-04T19:16:30.000Z</t>
  </si>
  <si>
    <t>57-605952921432443445</t>
  </si>
  <si>
    <t>2026-06-04T14:30:00.000Z</t>
  </si>
  <si>
    <t>2026-06-04T18:30:00.000Z</t>
  </si>
  <si>
    <t>2026-06-04T14:58:00.000Z</t>
  </si>
  <si>
    <t>2026-06-04T18:58:00.000Z</t>
  </si>
  <si>
    <t>2026-06-03T17:19:56.000Z</t>
  </si>
  <si>
    <t>2026-06-03T21:19:56.000Z</t>
  </si>
  <si>
    <t>I replace the gsr50 because I was here yesterday thoroughly cleaned it it was still randomly jamming went into PML ran 80d early tested notes put back in service process the bad one job complete</t>
  </si>
  <si>
    <t>2026-06-04T14:59:55.000Z</t>
  </si>
  <si>
    <t>New Item :7360-4010-9090 New Serial Number :57-605952921432443445 Old Item :7360-4010-9090 Old Serial Number :57-60595333</t>
  </si>
  <si>
    <t>2026-06-04T14:59:57.000Z</t>
  </si>
  <si>
    <t>SCO15 has reoccuring issue when dispensing $1 bills it is shredding the bill sand sending bills to notebox without recording it.  NCR was on site today and did not resolve issue [Generated by Portal Login: most14 Contact: Staci Mowder 3096133038 ftfmsupport@rdspos.com]</t>
  </si>
  <si>
    <t>2026-06-03T17:24:43.000Z</t>
  </si>
  <si>
    <t>CEM4187359:randomly causes jams</t>
  </si>
  <si>
    <t>SCO15 has reoccuring issue when dispensing $1 bills it is shredding the bill sand sending bills to notebox without recording it.  NCR was on site today and did not resolve issue [Generated by Portal Login: most14 Contact: Staci Mowder 3096133038 ftfmsupport@rdspos.com]-CE IS NOW US133U38-CEM4187359:randomly causes jams-I replace the gsr50 because I was here yesterday thoroughly cleaned it it was still randomly jamming went into PML ran 80d early tested notes put back in service process the bad one job complete-New Item :7360-4010-9090 New Serial Number :57-605952921432443445 Old Item :7360-4010-9090 Old Serial Number :57-60595333</t>
  </si>
  <si>
    <t>2025-10-06T23:05:31.000Z</t>
  </si>
  <si>
    <t>2025-09-23T15:54:00.000Z</t>
  </si>
  <si>
    <t>2025-09-23T19:54:00.000Z</t>
  </si>
  <si>
    <t>2025-10-06T18:49:00.000Z</t>
  </si>
  <si>
    <t>2025-10-06T22:49:00.000Z</t>
  </si>
  <si>
    <t>NL185087</t>
  </si>
  <si>
    <t>2025-09-23T14:48:26.000Z</t>
  </si>
  <si>
    <t>2025-09-23T18:48:26.000Z</t>
  </si>
  <si>
    <t>2025-09-23T18:48:27.000Z</t>
  </si>
  <si>
    <t>2025-09-23T14:48:27.000Z</t>
  </si>
  <si>
    <t>replaced defective tri-light and tested with MOD Marie. she passed the tri-light and released me. no further issues. all clear.</t>
  </si>
  <si>
    <t>2025-10-06T18:51:10.000Z</t>
  </si>
  <si>
    <t>New Item :7360-4010-9090 New Serial Number :57-60587836 Old Item :7360-4010-9090 Old Serial Number :57-60587836</t>
  </si>
  <si>
    <t>2025-10-06T18:51:12.000Z</t>
  </si>
  <si>
    <t>Oracle Order Shipped for Remedy Id: U018758655, Order/Receipt # 181720322, Ordered Part 4970530373, Part Description - ASSEMBLY - TRI-LIGHT/LANE LIGHT HOUSING, NORMAL, Shipment/Receipt #2111118612, Part has been Shipped, Qty 1, Priority OVERNIGHT, Shipping Method UPS-Air-Next Day Air Saver, BOL/Job 1ZH92Y051301681623, Source Location PTC AVL</t>
  </si>
  <si>
    <t>2025-10-07T00:04:29.000Z</t>
  </si>
  <si>
    <t>SCO18 tri-light stays stuck on RED. NCR tech was on site today and now is doing the same thing again  [Generated by Portal Login: most14 Contact: Staci Mowder 3096133038 ftfmsupport@rdspos.com]</t>
  </si>
  <si>
    <t>2025-09-23T15:01:05.000Z</t>
  </si>
  <si>
    <t>2025-09-23T15:40:48.000Z</t>
  </si>
  <si>
    <t>SCO18 tri-light stays stuck on RED. NCR tech was on site today and now is doing the same thing again  [Generated by Portal Login: most14 Contact: Staci Mowder 3096133038 ftfmsupport@rdspos.com]-CE IS NOW US133U01-CE WAS US133U01-CE IS NOW US133U11-CEM3699451:broken trilight-upon arrival LED on sco lane light is red. testing in PML it will only illuminate green or yellow-green. ran ADD multiple times and issue persists. ordering new lane light part 4970530373. if new lane light does not resolve issue this may be software related-LOM order processing, Part has been Ordered , Remedy Id 000000014870375 - (Next Day) by Agent Auto VIP P932-LOM order processing, Part has been Ordered , Remedy Id U018764842 - (Next Day) by Agent sb185674-Oracle Order Shipped for Remedy Id: U018764842, Order/Receipt # 181743129, Ordered Part 4970525777, Part Description - ASSEMBLY - TRI-LIGHT/LANE LIGHT HOUSING, NORMAL, Shipment/Receipt #2111005403, Part has been Shipped, Qty 1, Priority OVERNIGHT, Shipping Method UPS-Air-Next Day Air Saver, BOL/Job 1ZH92Y051301649285, Source Location PTC AVL-CE IS NOW US133U34-Arrived on-site and found that the part ordered was incorrect. Removed and inspected the installed tri-light and confirmed that the LED board was not transferable between tri-lights. Suspending to order the correct replacement unit.-LOM order processing, Part has been Ordered , Remedy Id 000000014877973 - (Next Day) by Agent Auto VIP P000-Oracle Order Shipped for Remedy Id: U018765991, Order/Receipt # 181746166, Ordered Part 4970525295, Part Description - KIT - R6 TRI-LIGHT W/IP CAMERA, Shipment/Receipt #2111043644, Part has been Shipped, Qty 1, Priority OVERNIGHT, Shipping Method UPS-Air-Next Day Air Saver, BOL/Job 1ZH92Y051301661556, Source Location PTC AVL-CE IS NOW US133U04-CEM3942401:stays red-replaced defective tri-light and tested with MOD Marie. she passed the tri-light and released me. no further issues. all clear.-New Item :7360-4010-9090 New Serial Number :57-60587836 Old Item :7360-4010-9090 Old Serial Number :57-60587836-Oracle Order Shipped for Remedy Id: U018758655, Order/Receipt # 181720322, Ordered Part 4970530373, Part Description - ASSEMBLY - TRI-LIGHT/LANE LIGHT HOUSING, NORMAL, Shipment/Receipt #2111118612, Part has been Shipped, Qty 1, Priority OVERNIGHT, Shipping Method UPS-Air-Next Day Air Saver, BOL/Job 1ZH92Y051301681623, Source Location PTC AVL</t>
  </si>
  <si>
    <t>2025-11-19T23:33:18.000Z</t>
  </si>
  <si>
    <t>2025-11-13T08:21:00.000Z</t>
  </si>
  <si>
    <t>2025-11-13T14:21:00.000Z</t>
  </si>
  <si>
    <t>2025-11-19T17:16:00.000Z</t>
  </si>
  <si>
    <t>2025-11-19T23:16:00.000Z</t>
  </si>
  <si>
    <t>2025-11-13T07:27:19.000Z</t>
  </si>
  <si>
    <t>2025-11-13T13:27:19.000Z</t>
  </si>
  <si>
    <t>2025-11-13T13:27:21.000Z</t>
  </si>
  <si>
    <t>2025-11-13T07:27:21.000Z</t>
  </si>
  <si>
    <t>CEM3991075:lane light flickering</t>
  </si>
  <si>
    <t>2025-11-19T17:17:04.000Z</t>
  </si>
  <si>
    <t>Register thirteen needed a new lane light. previous one was flickering when activated. Shut down lane and cut power and remove the old light assembly. Install the new trilight and rebooted the register. Register booted up successfully and the new lane light works as expected. verified by manager Kathy.</t>
  </si>
  <si>
    <t>2025-11-19T17:17:07.000Z</t>
  </si>
  <si>
    <t>SCO13 trilight/light pole is out   [Generated by Portal Login: most14 Contact: Staci Mowder 3096133038 ftfmsupport@rdspos.com]</t>
  </si>
  <si>
    <t>2025-11-13T07:34:08.000Z</t>
  </si>
  <si>
    <t>register 13 had a bad try light. the one that was there was not lighting up when the lane was open. replaced it with one I had in stock. However, this one seems to be O.B f and the light flickers. it also has the wrong sticker on it. suspending ticket to order a different twilight.And a different sticker</t>
  </si>
  <si>
    <t>2025-11-13T09:34:23.000Z</t>
  </si>
  <si>
    <t>SCO13 trilight/light pole is out   [Generated by Portal Login: most14 Contact: Staci Mowder 3096133038 ftfmsupport@rdspos.com]-CE IS NOW US153R72-register 13 had a bad try light. the one that was there was not lighting up when the lane was open. replaced it with one I had in stock. However, this one seems to be O.B f and the light flickers. it also has the wrong sticker on it. suspending ticket to order a different twilight.And a different sticker-LOM order processing, Part has been Ordered , Remedy Id 000000014911771 - (Next Day) by Agent Auto VIP P932-LOM order processing, Part has been Ordered , Remedy Id 000000014911772 - (Next Day) by Agent Auto VIP P932-Oracle Order Shipped for Remedy Id: U018799392, Order/Receipt # 181861374, Ordered Part 4970511101, Part Description - 2 LH/RH Lane Light Graphics Label NCR Fastlane, Shipment/Receipt #2111993566, Part has been Shipped, Qty 1, Priority OVERNIGHT, Shipping Method UPS-Air-Next Day Air Saver, BOL/Job 1ZH92Y051301934190, Source Location PTC AVL-Oracle Order Shipped for Remedy Id: U018799391, Order/Receipt # 181853146, Ordered Part 4970525295, Part Description - KIT - R6 TRI-LIGHT W/IP CAMERA, Shipment/Receipt #2112022645, Part has been Shipped, Qty 1, Priority OVERNIGHT, Shipping Method UPS-Air-Next Day Air Saver, BOL/Job 1ZH92Y051301944401, Source Location PTC AVL-CEM3991075:lane light flickering-Register thirteen needed a new lane light. previous one was flickering when activated. Shut down lane and cut power and remove the old light assembly. Install the new trilight and rebooted the register. Register booted up successfully and the new lane light works as expected. verified by manager Kathy.-New Item :7360-4010-9090 New Serial Number :57-60590093 Old Item :7360-4010-9090 Old Serial Number :57-60590093</t>
  </si>
  <si>
    <t>2025-12-19T19:05:31.000Z</t>
  </si>
  <si>
    <t>57-60588389</t>
  </si>
  <si>
    <t>2025-12-19T13:27:00.000Z</t>
  </si>
  <si>
    <t>2025-12-19T18:27:00.000Z</t>
  </si>
  <si>
    <t>2025-12-19T13:49:00.000Z</t>
  </si>
  <si>
    <t>2025-12-19T18:49:00.000Z</t>
  </si>
  <si>
    <t>MEIJER/FRESH THYME #920</t>
  </si>
  <si>
    <t>2025-12-19T09:07:11.000Z</t>
  </si>
  <si>
    <t>2025-12-19T14:07:11.000Z</t>
  </si>
  <si>
    <t>Store920</t>
  </si>
  <si>
    <t>Dayton OH</t>
  </si>
  <si>
    <t>CE IS NOW US133C36</t>
  </si>
  <si>
    <t>2025-12-19T12:08:21.000Z</t>
  </si>
  <si>
    <t>cleaned print head of a small amount of gunk. had attendant print last receipt. issue is resolved</t>
  </si>
  <si>
    <t>2025-12-19T13:49:44.000Z</t>
  </si>
  <si>
    <t>New Item :7360-4010-9090 New Serial Number :57-60588389 Old Item :7360-4010-9090 Old Serial Number :57-60588389</t>
  </si>
  <si>
    <t>2025-12-19T13:49:47.000Z</t>
  </si>
  <si>
    <t>SCO 13 printer needs repaired or replaced, only printing on half of the receipt paper  [Generated by Portal Login: besa14 Contact: Sabrina Bechtel 715-498-6611 ftfmsupport@rdspos.com]</t>
  </si>
  <si>
    <t>2025-12-19T09:07:12.000Z</t>
  </si>
  <si>
    <t>CE IS NOW US133C37</t>
  </si>
  <si>
    <t>2025-12-19T10:00:53.000Z</t>
  </si>
  <si>
    <t>CE WAS US133C37</t>
  </si>
  <si>
    <t>2025-12-19T12:08:20.000Z</t>
  </si>
  <si>
    <t>SCO 13 printer needs repaired or replaced, only printing on half of the receipt paper  [Generated by Portal Login: besa14 Contact: Sabrina Bechtel 715-498-6611 ftfmsupport@rdspos.com]-CE IS NOW US133C37-CE WAS US133C37-CE IS NOW US133C36-cleaned print head of a small amount of gunk. had attendant print last receipt. issue is resolved-New Item :7360-4010-9090 New Serial Number :57-60588389 Old Item :7360-4010-9090 Old Serial Number :57-60588389</t>
  </si>
  <si>
    <t>2026-07-08T16:46:32.000Z</t>
  </si>
  <si>
    <t>2026-07-08T11:56:00.000Z</t>
  </si>
  <si>
    <t>2026-07-08T15:56:00.000Z</t>
  </si>
  <si>
    <t>2026-07-08T12:29:00.000Z</t>
  </si>
  <si>
    <t>2026-07-08T16:29:00.000Z</t>
  </si>
  <si>
    <t>2026-07-07T21:10:55.000Z</t>
  </si>
  <si>
    <t>2026-07-08T01:10:55.000Z</t>
  </si>
  <si>
    <t>2026-07-08T01:10:56.000Z</t>
  </si>
  <si>
    <t>2026-07-07T21:10:56.000Z</t>
  </si>
  <si>
    <t>Sorter was found in open position causing reported problem. Additionally validator had a broken piece likely causing original issue.</t>
  </si>
  <si>
    <t>2026-07-08T12:29:48.000Z</t>
  </si>
  <si>
    <t>Sorter was in open position on arrival. Closing sorter cleared reported error. Validator replaced for damage at singulator ball springs. New validator configured and terminal back in full service.</t>
  </si>
  <si>
    <t>New Item :7360-4010-9090 New Serial Number :57-60588440 Old Item :7360-4010-9090 Old Serial Number :57-60587805</t>
  </si>
  <si>
    <t>2026-07-08T12:29:49.000Z</t>
  </si>
  <si>
    <t>SCO14 has a Coin recycler error - Sorter module not seated   [Generated by Portal Login: most14 Contact: Staci Mowder 2694689716 FTFMSupport@rdspos.com]</t>
  </si>
  <si>
    <t>2026-07-07T21:28:18.000Z</t>
  </si>
  <si>
    <t>CEM4289196:damaged</t>
  </si>
  <si>
    <t>SCO14 has a Coin recycler error - Sorter module not seated   [Generated by Portal Login: most14 Contact: Staci Mowder 2694689716 FTFMSupport@rdspos.com]-CE IS NOW US133E73-CEM4289196:damaged-Sorter was found in open position causing reported problem. Additionally validator had a broken piece likely causing original issue.-Sorter was in open position on arrival. Closing sorter cleared reported error. Validator replaced for damage at singulator ball springs. New validator configured and terminal back in full service.-New Item :7360-4010-9090 New Serial Number :57-60588440 Old Item :7360-4010-9090 Old Serial Number :57-60587805</t>
  </si>
  <si>
    <t>2026-01-04T13:51:41.000Z</t>
  </si>
  <si>
    <t>57-60591399</t>
  </si>
  <si>
    <t>2026-01-04T07:41:00.000Z</t>
  </si>
  <si>
    <t>2026-01-04T12:41:00.000Z</t>
  </si>
  <si>
    <t>2026-01-04T08:36:00.000Z</t>
  </si>
  <si>
    <t>2026-01-04T13:36:00.000Z</t>
  </si>
  <si>
    <t>2026-01-03T20:49:05.000Z</t>
  </si>
  <si>
    <t>2026-01-04T01:49:05.000Z</t>
  </si>
  <si>
    <t>2026-01-04T01:49:06.000Z</t>
  </si>
  <si>
    <t>2026-01-03T20:49:06.000Z</t>
  </si>
  <si>
    <t>Cr5000 coin recycler at sco 15 showing error 67330, indicating jam in transfer chamber, checked chamber no coins sat in chamber, checked sensor, penny wrapper stuck in front of sensor, removed penny wrapper and tested, device functional</t>
  </si>
  <si>
    <t>2026-01-04T08:37:55.000Z</t>
  </si>
  <si>
    <t>New Item :7360-4010-9090 New Serial Number :57-60591399 Old Item :7360-4010-9090 Old Serial Number :57-60591389</t>
  </si>
  <si>
    <t>2026-01-04T08:37:56.000Z</t>
  </si>
  <si>
    <t>SCO 15 came up with a coin recyler error transfer chamber has overflowed error code 16-6-0-99-67330  [Generated by Portal Login: besa14 Contact: Sabrina Bechtel 715-498-6611 ftfmsupport@rdspos.com]</t>
  </si>
  <si>
    <t>2026-01-03T21:01:29.000Z</t>
  </si>
  <si>
    <t>penny wrapper stuck in front of transfer chamber sensor,</t>
  </si>
  <si>
    <t>SCO 15 came up with a coin recyler error transfer chamber has overflowed error code 16-6-0-99-67330  [Generated by Portal Login: besa14 Contact: Sabrina Bechtel 715-498-6611 ftfmsupport@rdspos.com]-CE IS NOW US133A17-penny wrapper stuck in front of transfer chamber sensor,-Cr5000 coin recycler at sco 15 showing error 67330, indicating jam in transfer chamber, checked chamber no coins sat in chamber, checked sensor, penny wrapper stuck in front of sensor, removed penny wrapper and tested, device functional-New Item :7360-4010-9090 New Serial Number :57-60591399 Old Item :7360-4010-9090 Old Serial Number :57-60591389</t>
  </si>
  <si>
    <t>2025-11-13T21:55:02.000Z</t>
  </si>
  <si>
    <t>2025-11-09T13:00:00.000Z</t>
  </si>
  <si>
    <t>2025-11-09T18:00:00.000Z</t>
  </si>
  <si>
    <t>2025-11-13T16:40:00.000Z</t>
  </si>
  <si>
    <t>2025-11-13T21:40:00.000Z</t>
  </si>
  <si>
    <t>2025-11-09T11:38:48.000Z</t>
  </si>
  <si>
    <t>2025-11-09T16:38:48.000Z</t>
  </si>
  <si>
    <t>57-60595292</t>
  </si>
  <si>
    <t>2025-11-13T09:00:11.000Z</t>
  </si>
  <si>
    <t>replace the power supply on the self checkout.  the POS  booted up and is now functioning properly</t>
  </si>
  <si>
    <t>2025-11-13T16:41:01.000Z</t>
  </si>
  <si>
    <t>New Item :7360-4010-9090 New Serial Number :20-59067334 Old Item :7360-4010-9090 Old Serial Number :57-60595292</t>
  </si>
  <si>
    <t>2025-11-13T16:41:03.000Z</t>
  </si>
  <si>
    <t>SCO 15 needs the battery backup replaced, no power to it - SCO is completely down and unusable  [Generated by Portal Login: besa14 Contact: Sabrina Bechtel 715-498-6611 ftfmsupport@rdspos.com]</t>
  </si>
  <si>
    <t>2025-11-09T11:38:49.000Z</t>
  </si>
  <si>
    <t>CE IS NOW US133C41</t>
  </si>
  <si>
    <t>2025-11-09T11:40:28.000Z</t>
  </si>
  <si>
    <t>Ordering new battery backup</t>
  </si>
  <si>
    <t>2025-11-09T13:34:14.000Z</t>
  </si>
  <si>
    <t>SCO 15 needs the battery backup replaced, no power to it - SCO is completely down and unusable  [Generated by Portal Login: besa14 Contact: Sabrina Bechtel 715-498-6611 ftfmsupport@rdspos.com]-CE IS NOW US133C41-Ordering new battery backup-LOM order processing, Part has been Ordered , Remedy Id FSC5397341 - (Next Day) by Agent nm185335-Oracle Order Shipped for Remedy Id: U018796570, Order/Receipt # 181842160, Ordered Part 4970513710, Part Description - R6.0 UPS 110V 800VA with USB communication port, Shipment/Receipt #2111872701, Part has been Shipped, Qty 1, Priority OVERNIGHT, Shipping Method UPS-Air-Next Day Air Saver, BOL/Job 1ZH92Y061300560192, Source Location UFF USFORF1G-CE IS NOW US133C42-replace the power supply on the self checkout.  the POS  booted up and is now functioning properly-New Item :7360-4010-9090 New Serial Number :20-59067334 Old Item :7360-4010-9090 Old Serial Number :57-60595292</t>
  </si>
  <si>
    <t>2025-08-30T16:06:55.000Z</t>
  </si>
  <si>
    <t>2025-08-27T17:00:00.000Z</t>
  </si>
  <si>
    <t>2025-08-27T21:00:00.000Z</t>
  </si>
  <si>
    <t>2025-08-30T11:49:00.000Z</t>
  </si>
  <si>
    <t>2025-08-30T15:49:00.000Z</t>
  </si>
  <si>
    <t>2025-08-27T10:08:50.000Z</t>
  </si>
  <si>
    <t>2025-08-27T14:08:50.000Z</t>
  </si>
  <si>
    <t>2025-08-27T14:08:53.000Z</t>
  </si>
  <si>
    <t>2025-08-27T10:08:53.000Z</t>
  </si>
  <si>
    <t>charging for damaging the External Door</t>
  </si>
  <si>
    <t>2025-08-30T11:50:59.000Z</t>
  </si>
  <si>
    <t>assist with pickuping and replace physically damaged cabinet door, re wired all cables properly then rebooted terminal successfully and tested by mod Scott</t>
  </si>
  <si>
    <t>2025-08-30T11:51:00.000Z</t>
  </si>
  <si>
    <t>SCO15 has a broken coupon slot and unable to close sco door because of it  [Generated by Portal Login: most14 Contact: Staci Mowder 3096133038 ftfmsupport@rdspos.com]</t>
  </si>
  <si>
    <t>2025-08-27T10:08:54.000Z</t>
  </si>
  <si>
    <t>2025-08-27T10:31:48.000Z</t>
  </si>
  <si>
    <t>broken door</t>
  </si>
  <si>
    <t>2025-08-27T17:06:38.000Z</t>
  </si>
  <si>
    <t>SCO15 has a broken coupon slot and unable to close sco door because of it  [Generated by Portal Login: most14 Contact: Staci Mowder 3096133038 ftfmsupport@rdspos.com]-CE IS NOW US133U12-broken door-ordering facial door, won't hold screws for the coupon bin. physically damaged door.-LOM order processing, Part has been Ordered , Remedy Id 000000014847876 - (Next Day) by Agent Auto VIP P000-Oracle Order Shipped for Remedy Id: U018736142, Order/Receipt # 181651618, Ordered Part 4970527925, Part Description - SERVICE ASSEMBLY - COSMETIC DOOR - KIT, Shipment/Receipt #2110306294, Part has been Shipped, Qty 1, Priority OVERNIGHT, Shipping Method UPS-Air-Next Day Air Saver, BOL/Job 1ZH92Y051301473849, Source Location PTC AVL-LOM order processing, Part has been Ordered , Remedy Id 000000014849506 - (Next Day) by Agent Auto VIP P000-Oracle Order Shipped for Remedy Id: U018737762, Order/Receipt # 181656844, Ordered Part 0061083229, Part Description - STRAP-TIE 1 08.00 X .100, Shipment/Receipt #2110332435, Part has been Shipped, Qty 100, Priority OVERNIGHT, Shipping Method UPS-Air-Next Day Air, BOL/Job 1ZH92Y054401481120, Source Location PTC AVL-CE IS NOW US133U13-physically damaged-pickup and replace physically damaged cabinet door, re wired all cables properly then rebooted terminal successfully and tested by mod Scott-New Item :7360-4010-9090 New Serial Number :57-60587836 Old Item :7360-4010-9090 Old Serial Number :57-60588385-charging for damaging the External Door-assist with pickuping and replace physically damaged cabinet door, re wired all cables properly then rebooted terminal successfully and tested by mod Scott-New Item :7360-4010-9090 New Serial Number :57-60587836 Old Item :7360-4010-9090 Old Serial Number :57-60587836</t>
  </si>
  <si>
    <t>pickup and replace physically damaged cabinet door, re wired all cables properly then rebooted terminal successfully and tested by mod Scott</t>
  </si>
  <si>
    <t>2025-08-30T11:49:54.000Z</t>
  </si>
  <si>
    <t>2026-07-01T20:13:10.000Z</t>
  </si>
  <si>
    <t>2026-07-01T13:42:00.000Z</t>
  </si>
  <si>
    <t>2026-07-01T18:42:00.000Z</t>
  </si>
  <si>
    <t>2026-07-01T14:55:00.000Z</t>
  </si>
  <si>
    <t>2026-07-01T19:55:00.000Z</t>
  </si>
  <si>
    <t>CUSTOMER MIS-USE</t>
  </si>
  <si>
    <t>2026-06-29T14:43:03.000Z</t>
  </si>
  <si>
    <t>2026-06-29T19:43:03.000Z</t>
  </si>
  <si>
    <t>there was a lot of dust and onion peelings inside of the Coin recycler covering up sensors. After cleaning up all the inside of the CR5000 it started functioning again just fine</t>
  </si>
  <si>
    <t>2026-07-01T14:57:43.000Z</t>
  </si>
  <si>
    <t>Vandalism</t>
  </si>
  <si>
    <t>2026-07-01T14:57:45.000Z</t>
  </si>
  <si>
    <t>New Item :7360-4010-9090 New Serial Number :850025765633 Old Item :7360-4010-9090 Old Serial Number :57-60595336</t>
  </si>
  <si>
    <t>SCO11 coin slot is blinking yellow. No errors   [Generated by Portal Login: most14 Contact: Staci Mowder 2694689716 FTFMSupport@rdspos.com]</t>
  </si>
  <si>
    <t>2026-06-29T14:43:47.000Z</t>
  </si>
  <si>
    <t>2026-06-29T17:53:26.000Z</t>
  </si>
  <si>
    <t>SCO11 coin slot is blinking yellow. No errors   [Generated by Portal Login: most14 Contact: Staci Mowder 2694689716 FTFMSupport@rdspos.com]-CE IS NOW US153C13-CE WAS US153C13-CE IS NOW US153C01-CE WAS US153C01-CE IS NOW US153C13-CE WAS US153C13-CE IS NOW US153C01-CE IS NOW US153C01-there was a lot of dust and onion peelings inside of the Coin recycler covering up sensors. After cleaning up all the inside of the CR5000 it started functioning again just fine-Vandalism-New Item :7360-4010-9090 New Serial Number :850025765633 Old Item :7360-4010-9090 Old Serial Number :57-60595336</t>
  </si>
  <si>
    <t>2025-11-23T20:15:38.000Z</t>
  </si>
  <si>
    <t>2025-11-23T11:56:00.000Z</t>
  </si>
  <si>
    <t>2025-11-23T17:56:00.000Z</t>
  </si>
  <si>
    <t>2025-11-23T12:33:00.000Z</t>
  </si>
  <si>
    <t>2025-11-23T18:33:00.000Z</t>
  </si>
  <si>
    <t>EG185115</t>
  </si>
  <si>
    <t>2025-11-23T09:19:12.000Z</t>
  </si>
  <si>
    <t>2025-11-23T15:19:12.000Z</t>
  </si>
  <si>
    <t>2025-11-23T12:34:31.000Z</t>
  </si>
  <si>
    <t>Scanner Scale offline, error code:11-0-0-99--2. SCO is completely down. Requesting service today please. store is very busy. Thank you  [Generated by Portal Login: coas14 Contact: Ashley Cooper 3092131564 FTFMSupport@rdspos.com]</t>
  </si>
  <si>
    <t>2025-11-23T10:00:36.000Z</t>
  </si>
  <si>
    <t>on arrival type a usb wasn't connected to scanner just reconnected the cable works fine now</t>
  </si>
  <si>
    <t>2025-11-23T12:34:29.000Z</t>
  </si>
  <si>
    <t>Scanner Scale offline, error code:11-0-0-99--2. SCO is completely down. Requesting service today please. store is very busy. Thank you  [Generated by Portal Login: coas14 Contact: Ashley Cooper 3092131564 FTFMSupport@rdspos.com]-CE IS NOW US153N78-on arrival type a usb wasn't connected to scanner just reconnected the cable works fine now-New Item :7360-4010-9090 New Serial Number :57-60587849 Old Item :7360-4010-9090 Old Serial Number :57-60587849</t>
  </si>
  <si>
    <t>2026-03-12T18:25:14.000Z</t>
  </si>
  <si>
    <t>2026-03-10T17:09:00.000Z</t>
  </si>
  <si>
    <t>2026-03-10T21:09:00.000Z</t>
  </si>
  <si>
    <t>2026-03-12T14:11:00.000Z</t>
  </si>
  <si>
    <t>2026-03-12T18:11:00.000Z</t>
  </si>
  <si>
    <t>2026-03-05T14:55:33.000Z</t>
  </si>
  <si>
    <t>2026-03-05T19:55:33.000Z</t>
  </si>
  <si>
    <t>2026-03-11T22:40:34.000Z</t>
  </si>
  <si>
    <t>replaced failed UPS and tested successfully. returned unit to service.</t>
  </si>
  <si>
    <t>2026-03-12T14:11:59.000Z</t>
  </si>
  <si>
    <t>2026-03-12T14:12:01.000Z</t>
  </si>
  <si>
    <t>SCO 15 battery backup needs to be replaced Please check all equipment inside of SCO 15 for damage due to a water leak [Generated by Portal Login: besa14 Contact: Sabrina Bechtel 715-498-6611 sbechtel@rdspos.com]</t>
  </si>
  <si>
    <t>2026-03-05T14:56:24.000Z</t>
  </si>
  <si>
    <t>2026-03-08T21:08:50.000Z</t>
  </si>
  <si>
    <t>SCO 15 battery backup needs to be replaced Please check all equipment inside of SCO 15 for damage due to a water leak [Generated by Portal Login: besa14 Contact: Sabrina Bechtel 715-498-6611 sbechtel@rdspos.com]-CE IS NOW US133E74-CE WAS US133E74-CE IS NOW US133E71-CE WAS US133E71-CE IS NOW US133E74-CE WAS US133E74-CE IS NOW US133E71-ordering new UPS for call resolution.-LOM order processing, Part has been Ordered , Remedy Id 000000014996910 - (Next Day) by Agent AUTO VIP-LOM order processing, Part has been Ordered , Remedy Id U018881727 - (Next Day) by Agent sb185674-Oracle Order Shipped for Remedy Id: U018881727, Order/Receipt # 182128595, Ordered Part 4970534153, Part Description - UPS (N70-800) LV 100V/120V 800VA with USB communication Port and EMC Improvements, Shipment/Receipt #2117528859, Part has been Shipped, Qty 1, Priority OVERNIGHT, Shipping Method UPS-Air-Next Day Air Saver, BOL/Job 1ZH92Y051302568469, Source Location PTC AVL-CE IS NOW US133E71-replaced failed UPS and tested successfully. returned unit to service.-New Item :7360-4010-9090 New Serial Number :57-60590087 Old Item :7360-4010-9090 Old Serial Number :57-60590087</t>
  </si>
  <si>
    <t>2025-10-16T16:00:13.000Z</t>
  </si>
  <si>
    <t>57-60588445</t>
  </si>
  <si>
    <t>2025-10-16T11:17:00.000Z</t>
  </si>
  <si>
    <t>2025-10-16T15:17:00.000Z</t>
  </si>
  <si>
    <t>2025-10-16T11:45:00.000Z</t>
  </si>
  <si>
    <t>2025-10-16T15:45:00.000Z</t>
  </si>
  <si>
    <t>2025-10-16T09:14:57.000Z</t>
  </si>
  <si>
    <t>2025-10-16T13:14:57.000Z</t>
  </si>
  <si>
    <t>New Item :7360-4010-9090 New Serial Number :57-60588445 Old Item :7360-4010-9090 Old Serial Number :57-60588422</t>
  </si>
  <si>
    <t>2025-10-16T11:46:41.000Z</t>
  </si>
  <si>
    <t>SCO13 has damage to coin chute/cup  [Generated by Portal Login: most14 Contact: Staci Mowder 3096133038 ftfmsupport@rdspos.com]</t>
  </si>
  <si>
    <t>2025-10-16T09:14:58.000Z</t>
  </si>
  <si>
    <t>2025-10-16T09:15:11.000Z</t>
  </si>
  <si>
    <t>damage to coin chute/cup. fixed the cup and connected back. and reboot the machine and tested with a live customer, and checked with the manager Dan. tested good, the self checkout 13 is back to service.</t>
  </si>
  <si>
    <t>2025-10-16T11:46:38.000Z</t>
  </si>
  <si>
    <t>SCO13 has damage to coin chute/cup  [Generated by Portal Login: most14 Contact: Staci Mowder 3096133038 ftfmsupport@rdspos.com]-CE IS NOW US133E70-damage to coin chute/cup. fixed the cup and connected back. and reboot the machine and tested with a live customer, and checked with the manager Dan. tested good, the self checkout 13 is back to service.-New Item :7360-4010-9090 New Serial Number :57-60588445 Old Item :7360-4010-9090 Old Serial Number :57-60588422</t>
  </si>
  <si>
    <t>2025-09-16T17:48:33.000Z</t>
  </si>
  <si>
    <t>2025-09-08T14:53:00.000Z</t>
  </si>
  <si>
    <t>2025-09-08T18:53:00.000Z</t>
  </si>
  <si>
    <t>2025-09-16T13:30:00.000Z</t>
  </si>
  <si>
    <t>2025-09-16T17:30:00.000Z</t>
  </si>
  <si>
    <t>2025-09-08T10:59:38.000Z</t>
  </si>
  <si>
    <t>2025-09-08T14:59:38.000Z</t>
  </si>
  <si>
    <t>2025-09-08T14:59:41.000Z</t>
  </si>
  <si>
    <t>2025-09-08T10:59:41.000Z</t>
  </si>
  <si>
    <t>Store931</t>
  </si>
  <si>
    <t>CEM3879949:Bad part</t>
  </si>
  <si>
    <t>2025-09-16T13:31:38.000Z</t>
  </si>
  <si>
    <t>2025-09-16T13:31:40.000Z</t>
  </si>
  <si>
    <t>SCO 12 the tri-light is flickering/flashing  [Generated by Portal Login: besa14 Contact: Sabrina Bechtel 715-498-6611 ftfmsupport@rdspos.com]</t>
  </si>
  <si>
    <t>2025-09-08T10:59:42.000Z</t>
  </si>
  <si>
    <t>2025-09-08T12:07:34.000Z</t>
  </si>
  <si>
    <t>2025-09-08T13:11:45.000Z</t>
  </si>
  <si>
    <t>SCO 12 the tri-light is flickering/flashing  [Generated by Portal Login: besa14 Contact: Sabrina Bechtel 715-498-6611 ftfmsupport@rdspos.com]-CE IS NOW US133C87-CE WAS US133C87-CE IS NOW US133C93-CE IS NOW US133C93-Lane light flickering, ordering new lane light and decal.-LOM order processing, Part has been Ordered , Remedy Id 000000014857597 - (Next Day) by Agent Auto VIP P000-LOM order processing, Part has been Ordered , Remedy Id 000000014857599 - (Next Day) by Agent Auto VIP P000-Oracle Order Shipped for Remedy Id: U018745986, Order/Receipt # 181680905, Ordered Part 4970525295, Part Description - KIT - R6 TRI-LIGHT W/IP CAMERA, Shipment/Receipt #2110506111, Part has been Shipped, Qty 1, Priority OVERNIGHT, Shipping Method UPS-Air-Next Day Air Saver, BOL/Job 1ZH92Y051301527059, Source Location PTC AVL-Oracle Order Shipped for Remedy Id: U018745988, Order/Receipt # 181680906, Ordered Part 4970511101, Part Description - 2 LH/RH Lane Light Graphics Label NCR Fastlane, Shipment/Receipt #2110505016, Part has been Shipped, Qty 1, Priority OVERNIGHT, Shipping Method UPS-Air-Next Day Air Saver, BOL/Job 1ZH92Y051301528870, Source Location PTC AVL-CE IS NOW US133C90-CE IS NOW US133C81-CEM3879949:Bad part-Work perform replace tri-light due not lighting up-New Item :7360-4010-9090 New Serial Number :57-60587862 Old Item :7360-4010-9090 Old Serial Number :57-60587862</t>
  </si>
  <si>
    <t>2026-02-16T17:15:23.000Z</t>
  </si>
  <si>
    <t>57-60588451</t>
  </si>
  <si>
    <t>2026-02-16T11:27:00.000Z</t>
  </si>
  <si>
    <t>2026-02-16T16:27:00.000Z</t>
  </si>
  <si>
    <t>2026-02-16T12:01:00.000Z</t>
  </si>
  <si>
    <t>2026-02-16T17:01:00.000Z</t>
  </si>
  <si>
    <t>CHG-task was received expired.</t>
  </si>
  <si>
    <t>2026-02-16T11:01:18.000Z</t>
  </si>
  <si>
    <t>2026-02-16T16:01:18.000Z</t>
  </si>
  <si>
    <t>2026-02-16T16:01:20.000Z</t>
  </si>
  <si>
    <t>2026-02-16T11:01:20.000Z</t>
  </si>
  <si>
    <t>Store537</t>
  </si>
  <si>
    <t>task was received expired.</t>
  </si>
  <si>
    <t>2026-02-16T12:03:07.000Z</t>
  </si>
  <si>
    <t>ups cycled without issue.  however it did not utilize the battery when power is pulled.   replaced ups and verified batter backup is functional.  lane is back in service</t>
  </si>
  <si>
    <t>New Item :7360-4010-9090 New Serial Number :57-60588451 Old Item :7360-4010-9090 Old Serial Number :57-60591339</t>
  </si>
  <si>
    <t>2026-02-16T12:03:08.000Z</t>
  </si>
  <si>
    <t>SCO11 will not power on. May need battery backup replaced   [Generated by Portal Login: most14 Contact: Staci Mowder 3096133038 ftfmsupport@rdspos.com]</t>
  </si>
  <si>
    <t>2026-02-16T11:04:13.000Z</t>
  </si>
  <si>
    <t>2026-02-16T12:03:06.000Z</t>
  </si>
  <si>
    <t>SCO11 will not power on. May need battery backup replaced   [Generated by Portal Login: most14 Contact: Staci Mowder 3096133038 ftfmsupport@rdspos.com]-CE IS NOW US153C41-57-60588451-task was received expired.-ups cycled without issue.  however it did not utilize the battery when power is pulled.   replaced ups and verified batter backup is functional.  lane is back in service-New Item :7360-4010-9090 New Serial Number :57-60588451 Old Item :7360-4010-9090 Old Serial Number :57-60591339</t>
  </si>
  <si>
    <t>2026-05-24T18:26:41.000Z</t>
  </si>
  <si>
    <t>57-60588410</t>
  </si>
  <si>
    <t>2026-05-24T13:15:00.000Z</t>
  </si>
  <si>
    <t>2026-05-24T17:15:00.000Z</t>
  </si>
  <si>
    <t>2026-05-24T14:10:00.000Z</t>
  </si>
  <si>
    <t>2026-05-24T18:10:00.000Z</t>
  </si>
  <si>
    <t>2026-05-23T19:56:54.000Z</t>
  </si>
  <si>
    <t>2026-05-23T23:56:54.000Z</t>
  </si>
  <si>
    <t>2026-05-23T23:56:57.000Z</t>
  </si>
  <si>
    <t>2026-05-23T19:56:57.000Z</t>
  </si>
  <si>
    <t>the unit was closed upon arrival. preformed basic check found the main board on the gsr50 was failing. replaced GSR50 main mod with new. tested with live transactions. all good. unit is now fully operational</t>
  </si>
  <si>
    <t>2026-05-24T14:11:21.000Z</t>
  </si>
  <si>
    <t>Leslie</t>
  </si>
  <si>
    <t>New Item :7360-4010-9090 New Serial Number :57-60588410 Old Item :7360-4010-9090 Old Serial Number :57-60587719</t>
  </si>
  <si>
    <t>2026-05-24T14:11:23.000Z</t>
  </si>
  <si>
    <t>SCO 12 came up with a note recycler error hardware failure error code 5-9-0-4-62976  [Generated by Portal Login: besa14 Contact: Sabrina Bechtel 715-498-6611 ftfmsupport@rdspos.com]</t>
  </si>
  <si>
    <t>2026-05-23T20:00:28.000Z</t>
  </si>
  <si>
    <t>CE WAS US133E77</t>
  </si>
  <si>
    <t>2026-05-24T07:35:03.000Z</t>
  </si>
  <si>
    <t>SCO 12 came up with a note recycler error hardware failure error code 5-9-0-4-62976  [Generated by Portal Login: besa14 Contact: Sabrina Bechtel 715-498-6611 ftfmsupport@rdspos.com]-CE IS NOW US133E77-CE WAS US133E77-CE IS NOW US133E72-CEM4216836:main board failure GSR50 main mod-the unit was closed upon arrival. preformed basic check found the main board on the gsr50 was failing. replaced GSR50 main mod with new. tested with live transactions. all good. unit is now fully operational-Leslie-New Item :7360-4010-9090 New Serial Number :57-60588410 Old Item :7360-4010-9090 Old Serial Number :57-60587719</t>
  </si>
  <si>
    <t>2026-03-24T17:07:15.000Z</t>
  </si>
  <si>
    <t>57-60595328</t>
  </si>
  <si>
    <t>2026-03-24T10:55:00.000Z</t>
  </si>
  <si>
    <t>2026-03-24T15:55:00.000Z</t>
  </si>
  <si>
    <t>2026-03-24T11:52:00.000Z</t>
  </si>
  <si>
    <t>2026-03-24T16:52:00.000Z</t>
  </si>
  <si>
    <t>2026-03-23T19:48:37.000Z</t>
  </si>
  <si>
    <t>2026-03-24T00:48:37.000Z</t>
  </si>
  <si>
    <t>2026-03-24T00:48:38.000Z</t>
  </si>
  <si>
    <t>2026-03-23T19:48:38.000Z</t>
  </si>
  <si>
    <t>Validator Motor Error. Replaced validator and rebooted register. Tested working in live transaction. No Further Errors</t>
  </si>
  <si>
    <t>2026-03-24T11:52:15.000Z</t>
  </si>
  <si>
    <t>New Item :7360-4010-9090 New Serial Number :57-60595328 Old Item :7360-4010-9090 Old Serial Number :57-60595328</t>
  </si>
  <si>
    <t>2026-03-24T11:52:17.000Z</t>
  </si>
  <si>
    <t>SCO 15 has a coin recycler error validator motor error singulator error code 16-6-0-99-131843  [Generated by Portal Login: besa14 Contact: Sabrina Bechtel 715-498-6611 ftfmsupport@rdspos.com]</t>
  </si>
  <si>
    <t>2026-03-23T20:00:13.000Z</t>
  </si>
  <si>
    <t>CEM4163180:validator motor error</t>
  </si>
  <si>
    <t>SCO 15 has a coin recycler error validator motor error singulator error code 16-6-0-99-131843  [Generated by Portal Login: besa14 Contact: Sabrina Bechtel 715-498-6611 ftfmsupport@rdspos.com]-CE IS NOW US153N45-CEM4163180:validator motor error-Validator Motor Error. Replaced validator and rebooted register. Tested working in live transaction. No Further Errors-New Item :7360-4010-9090 New Serial Number :57-60595328 Old Item :7360-4010-9090 Old Serial Number :57-60595328</t>
  </si>
  <si>
    <t>2025-12-09T12:44:34.000Z</t>
  </si>
  <si>
    <t>57-60595296</t>
  </si>
  <si>
    <t>2025-12-09T06:02:00.000Z</t>
  </si>
  <si>
    <t>2025-12-09T11:02:00.000Z</t>
  </si>
  <si>
    <t>2025-12-09T07:33:00.000Z</t>
  </si>
  <si>
    <t>2025-12-09T12:33:00.000Z</t>
  </si>
  <si>
    <t>2025-12-08T17:05:17.000Z</t>
  </si>
  <si>
    <t>2025-12-08T22:05:17.000Z</t>
  </si>
  <si>
    <t>2025-12-08T22:00:40.000Z</t>
  </si>
  <si>
    <t>coin recycler jammed on active cashbox issues reset the cable from both sides and clean the jammed and doing runadd and doing dispense and accept coins from PML and reboot system multiple times and tested with manager on site working successfully MOD Tammy</t>
  </si>
  <si>
    <t>2025-12-09T07:33:34.000Z</t>
  </si>
  <si>
    <t>New Item :7360-4010-9090 New Serial Number :57-60595296 Old Item :7360-4010-9090 Old Serial Number :57-60595310</t>
  </si>
  <si>
    <t>2025-12-09T07:33:36.000Z</t>
  </si>
  <si>
    <t>SCO11 has a Coin recycler error -Coin box motor jammed  [Generated by Portal Login: most14 Contact: Staci Mowder 3096133038 ftfmsupport@rdspos.com]</t>
  </si>
  <si>
    <t>2025-12-08T17:06:21.000Z</t>
  </si>
  <si>
    <t>2025-12-08T22:00:29.000Z</t>
  </si>
  <si>
    <t>SCO11 has a Coin recycler error -Coin box motor jammed  [Generated by Portal Login: most14 Contact: Staci Mowder 3096133038 ftfmsupport@rdspos.com]-CE IS NOW US133U34-CE WAS US133U34-CE IS NOW US133U14-coin recycler jammed on active cashbox issues reset the cable from both sides and clean the jammed and doing runadd and doing dispense and accept coins from PML and reboot system multiple times and tested with manager on site working successfully MOD Tammy-New Item :7360-4010-9090 New Serial Number :57-60595296 Old Item :7360-4010-9090 Old Serial Number :57-60595310</t>
  </si>
  <si>
    <t>2025-08-27T22:30:54.000Z</t>
  </si>
  <si>
    <t>2025-08-27T17:58:00.000Z</t>
  </si>
  <si>
    <t>2025-08-27T21:58:00.000Z</t>
  </si>
  <si>
    <t>2025-08-27T18:13:00.000Z</t>
  </si>
  <si>
    <t>2025-08-27T22:13:00.000Z</t>
  </si>
  <si>
    <t>2025-08-26T14:51:08.000Z</t>
  </si>
  <si>
    <t>2025-08-26T18:51:08.000Z</t>
  </si>
  <si>
    <t>2025-08-26T18:51:10.000Z</t>
  </si>
  <si>
    <t>2025-08-26T14:51:10.000Z</t>
  </si>
  <si>
    <t>arrived to sco and tge latch bar for the cr5000 is not properly seated, allowing coins to spill out and get jammed</t>
  </si>
  <si>
    <t>2025-08-27T18:13:53.000Z</t>
  </si>
  <si>
    <t>Latch for coin recycler that holds the hoppers in place was not secured.All the way which let coins slip through the improper channels and get jammed.As they were not directed to the correct path cleared out jam did dispense and accept tests machine passed all tests. informed store staff of issue to hopefully prevent issue in the future</t>
  </si>
  <si>
    <t>2025-08-27T18:13:54.000Z</t>
  </si>
  <si>
    <t>2025-08-27T18:13:55.000Z</t>
  </si>
  <si>
    <t>Not accepting coins/coins getting jammed in coin chute on SCO13   [Generated by Portal Login: most14 Contact: Staci Mowder 3096133038 ftfmsupport@rdspos.com]</t>
  </si>
  <si>
    <t>2025-08-26T14:53:12.000Z</t>
  </si>
  <si>
    <t>2025-08-27T07:16:21.000Z</t>
  </si>
  <si>
    <t>Not accepting coins/coins getting jammed in coin chute on SCO13   [Generated by Portal Login: most14 Contact: Staci Mowder 3096133038 ftfmsupport@rdspos.com]-CE IS NOW US133C27-CE WAS US133C27-CE IS NOW US133C17-arrived to sco and tge latch bar for the cr5000 is not properly seated, allowing coins to spill out and get jammed-Latch for coin recycler that holds the hoppers in place was not secured.All the way which let coins slip through the improper channels and get jammed.As they were not directed to the correct path cleared out jam did dispense and accept tests machine passed all tests. informed store staff of issue to hopefully prevent issue in the future-New Item :7360-4010-9090 New Serial Number :57-60588438 Old Item :7360-4010-9090 Old Serial Number :57-60588438</t>
  </si>
  <si>
    <t>2025-11-21T18:52:23.000Z</t>
  </si>
  <si>
    <t>2025-11-21T13:25:00.000Z</t>
  </si>
  <si>
    <t>2025-11-21T18:25:00.000Z</t>
  </si>
  <si>
    <t>2025-11-21T13:37:00.000Z</t>
  </si>
  <si>
    <t>2025-11-21T18:37:00.000Z</t>
  </si>
  <si>
    <t>SW Issues</t>
  </si>
  <si>
    <t>2025-11-19T16:10:40.000Z</t>
  </si>
  <si>
    <t>2025-11-19T21:10:40.000Z</t>
  </si>
  <si>
    <t>2025-11-19T21:10:43.000Z</t>
  </si>
  <si>
    <t>2025-11-19T16:10:43.000Z</t>
  </si>
  <si>
    <t>Escalation update: ETA moved for today.</t>
  </si>
  <si>
    <t>2025-11-20T12:31:49.000Z</t>
  </si>
  <si>
    <t>Coin validator was unplugged. Plugged back in and tested working</t>
  </si>
  <si>
    <t>2025-11-21T13:37:44.000Z</t>
  </si>
  <si>
    <t>2025-11-21T13:37:45.000Z</t>
  </si>
  <si>
    <t>Ongoing issue with SCO 12- touch screen often does not accept touch, and coin recycler errors Touch screen was replaced on 11/3/25, please reference ticket number 7530305901  [Generated by Portal Login: coas14 Contact: Ashley 3092131564 ftfmsupport@rdspos.com]</t>
  </si>
  <si>
    <t>2025-11-19T16:14:20.000Z</t>
  </si>
  <si>
    <t>Escalation Request: ETA 11/22.25 is unacceptable. This ticket was created as a priority 1 as the store now down TWO SCO's now.  [Added by: Ashley Cooper Portal Login: coas14 Phone Number: 309-213-1564 Email Address: acooper@rdspos.com Contact By: GIM]</t>
  </si>
  <si>
    <t>2025-11-20T10:20:12.000Z</t>
  </si>
  <si>
    <t>Ongoing issue with SCO 12- touch screen often does not accept touch, and coin recycler errors Touch screen was replaced on 11/3/25, please reference ticket number 7530305901  [Generated by Portal Login: coas14 Contact: Ashley 3092131564 ftfmsupport@rdspos.com]-CE IS NOW US133B43-Escalation Request: ETA 11/22.25 is unacceptable. This ticket was created as a priority 1 as the store now down TWO SCO's now.  [Added by: Ashley Cooper Portal Login: coas14 Phone Number: 309-213-1564 Email Address: acooper@rdspos.com Contact By: GIM]-Escalation update: ETA moved for today. -Coin validator was unplugged. Plugged back in and tested working-New Item :7360-4010-9090 New Serial Number :57-60595316 Old Item :7360-4010-9090 Old Serial Number :57-60595316</t>
  </si>
  <si>
    <t>2025-08-01T20:44:04.000Z</t>
  </si>
  <si>
    <t>57-60587811</t>
  </si>
  <si>
    <t>2025-08-01T15:14:00.000Z</t>
  </si>
  <si>
    <t>2025-08-01T19:14:00.000Z</t>
  </si>
  <si>
    <t>2025-08-01T16:29:00.000Z</t>
  </si>
  <si>
    <t>2025-08-01T20:29:00.000Z</t>
  </si>
  <si>
    <t>2025-08-01T14:22:31.000Z</t>
  </si>
  <si>
    <t>2025-08-01T18:22:31.000Z</t>
  </si>
  <si>
    <t>2025-08-01T18:22:32.000Z</t>
  </si>
  <si>
    <t>2025-08-01T14:22:32.000Z</t>
  </si>
  <si>
    <t>Store649</t>
  </si>
  <si>
    <t>Arrived on-site and checked in with the store supervisor. The CE was advised that a coin had gotten fed into the note recycler, causing the initial jam. When inspecting the note recycler, the CE found a bill jammed behind the first recycler cassette, causing secondary bill jams. Cleared the jammed bill and reloaded all removed singles before testing the recycler successfully. Returned the lane to service and observed customer transactions.</t>
  </si>
  <si>
    <t>2025-08-01T16:29:48.000Z</t>
  </si>
  <si>
    <t>New Item :7360-4010-9090 New Serial Number :57-60587811 Old Item :7360-4010-9090 Old Serial Number :57-60587811</t>
  </si>
  <si>
    <t>2025-08-01T16:29:49.000Z</t>
  </si>
  <si>
    <t>SCO 11 will not accept $1.00 bills, keeps crinkling the bill up and spitting it back out, please clean all sensor while onsite as well  [Generated by Portal Login: besa14 Contact: Sabrina Bechtel 715-498-6611 ftfmsupport@rdspos.com]</t>
  </si>
  <si>
    <t>2025-08-01T14:25:46.000Z</t>
  </si>
  <si>
    <t>Located a note jammed into the mechanism behind the 1st recycler cassette, causing notes to jam when entering the recycler spine. The CE was also advised by the staff that they had removed a coin jammed in the main module the shift prior.</t>
  </si>
  <si>
    <t>SCO 11 will not accept $1.00 bills, keeps crinkling the bill up and spitting it back out, please clean all sensor while onsite as well  [Generated by Portal Login: besa14 Contact: Sabrina Bechtel 715-498-6611 ftfmsupport@rdspos.com]-CE IS NOW US133U34-Arrived on-site and checked in with the store supervisor. The CE was advised that a coin had gotten fed into the note recycler, causing the initial jam. When inspecting the note recycler, the CE found a bill jammed behind the first recycler cassette, causing secondary bill jams. Cleared the jammed bill and reloaded all removed singles before testing the recycler successfully. Returned the lane to service and observed customer transactions.-Located a note jammed into the mechanism behind the 1st recycler cassette, causing notes to jam when entering the recycler spine. The CE was also advised by the staff that they had removed a coin jammed in the main module the shift prior.-New Item :7360-4010-9090 New Serial Number :57-60587811 Old Item :7360-4010-9090 Old Serial Number :57-60587811</t>
  </si>
  <si>
    <t>2026-04-02T21:13:35.000Z</t>
  </si>
  <si>
    <t>2026-04-02T16:08:00.000Z</t>
  </si>
  <si>
    <t>2026-04-02T20:08:00.000Z</t>
  </si>
  <si>
    <t>2026-04-02T16:54:00.000Z</t>
  </si>
  <si>
    <t>2026-04-02T20:54:00.000Z</t>
  </si>
  <si>
    <t>2026-04-02T13:12:50.000Z</t>
  </si>
  <si>
    <t>2026-04-02T17:12:50.000Z</t>
  </si>
  <si>
    <t>2026-04-02T16:55:24.000Z</t>
  </si>
  <si>
    <t>SCO11 has a Note recycler error. Error code 5-9-0-4-62976  [Generated by Portal Login: most14 Contact: Staci Mowder 3096133038 ftfmsupport@rdspos.com]</t>
  </si>
  <si>
    <t>2026-04-02T13:14:11.000Z</t>
  </si>
  <si>
    <t>I had to clear the dust and debris from the main module top module of the gsr50 note recycler unit on the self checkout at the Meijer fresh thyme Fresh Market store. I tested the unit and confirm that it was working properly at this time with no issues</t>
  </si>
  <si>
    <t>2026-04-02T16:55:22.000Z</t>
  </si>
  <si>
    <t>SCO11 has a Note recycler error. Error code 5-9-0-4-62976  [Generated by Portal Login: most14 Contact: Staci Mowder 3096133038 ftfmsupport@rdspos.com]-CE IS NOW US133E62-I had to clear the dust and debris from the main module top module of the gsr50 note recycler unit on the self checkout at the Meijer fresh thyme Fresh Market store. I tested the unit and confirm that it was working properly at this time with no issues-New Item :7360-4010-9090 New Serial Number :57-60588383 Old Item :7360-4010-9090 Old Serial Number :57-60591393</t>
  </si>
  <si>
    <t>2026-03-19T19:22:44.000Z</t>
  </si>
  <si>
    <t>2026-03-18T13:30:00.000Z</t>
  </si>
  <si>
    <t>2026-03-18T17:30:00.000Z</t>
  </si>
  <si>
    <t>2026-03-19T15:07:00.000Z</t>
  </si>
  <si>
    <t>2026-03-19T19:07:00.000Z</t>
  </si>
  <si>
    <t>2026-03-17T16:45:08.000Z</t>
  </si>
  <si>
    <t>2026-03-17T20:45:08.000Z</t>
  </si>
  <si>
    <t>2026-03-17T20:45:09.000Z</t>
  </si>
  <si>
    <t>2026-03-17T16:45:09.000Z</t>
  </si>
  <si>
    <t>2026-03-19T13:14:30.000Z</t>
  </si>
  <si>
    <t>Replaced 7895 scanner cable at sco 17, tested, scanner fully functional</t>
  </si>
  <si>
    <t>2026-03-19T15:09:55.000Z</t>
  </si>
  <si>
    <t>2026-03-19T15:09:57.000Z</t>
  </si>
  <si>
    <t>SCO17 Scanner/scale is offline  [Generated by Portal Login: most14 Contact: Staci Mowder 3096133038 ftfmsupport@rdspos.com]</t>
  </si>
  <si>
    <t>2026-03-17T17:11:21.000Z</t>
  </si>
  <si>
    <t>CE WAS US133A15</t>
  </si>
  <si>
    <t>2026-03-18T06:51:22.000Z</t>
  </si>
  <si>
    <t>SCO17 Scanner/scale is offline  [Generated by Portal Login: most14 Contact: Staci Mowder 3096133038 ftfmsupport@rdspos.com]-CE IS NOW US133A15-CE WAS US133A15-CE IS NOW US133A85-scanner scale not scanning, checked cables and reseated, no scan moved scale to another sco, and scans. order cable.-LOM order processing, Part has been Ordered , Remedy Id FSC5538534 - (Next Day) by Agent jj250475-Oracle Order Shipped for Remedy Id: U018886944, Order/Receipt # 182146579, Ordered Part 4970529515, Part Description - CABLE - USB+PWR 12V TO MODULAR RJ50 (2.13M), Shipment/Receipt #2117674037, Part has been Shipped, Qty 1, Priority OVERNIGHT, Shipping Method UPS-Air-Next Day Air Saver, BOL/Job 1ZH92Y051302606060, Source Location PTC AVL-CE IS NOW US133A17-Replaced 7895 scanner cable at sco 17, tested, scanner fully functional-New Item :7360-4010-9090 New Serial Number :57-60591376 Old Item :7360-4010-9090 Old Serial Number :57-60591384</t>
  </si>
  <si>
    <t>2025-09-18T15:10:17.000Z</t>
  </si>
  <si>
    <t>2025-09-18T09:50:00.000Z</t>
  </si>
  <si>
    <t>2025-09-18T14:50:00.000Z</t>
  </si>
  <si>
    <t>2025-09-18T09:53:00.000Z</t>
  </si>
  <si>
    <t>2025-09-18T14:53:00.000Z</t>
  </si>
  <si>
    <t>2025-09-17T16:20:30.000Z</t>
  </si>
  <si>
    <t>2025-09-17T21:20:30.000Z</t>
  </si>
  <si>
    <t>2025-09-17T21:20:32.000Z</t>
  </si>
  <si>
    <t>2025-09-17T16:20:32.000Z</t>
  </si>
  <si>
    <t>New Item :7360-4010-9090 New Serial Number :57-60606703 Old Item :7360-4010-9090 Old Serial Number :57-60606703</t>
  </si>
  <si>
    <t>2025-09-18T09:53:45.000Z</t>
  </si>
  <si>
    <t>SCO13 has a Note recycler error- Note jam ar RRIN1  [Generated by Portal Login: most14 Contact: Staci Mowder 3096133038 ftfmsupport@rdspos.com]</t>
  </si>
  <si>
    <t>2025-09-18T06:30:07.000Z</t>
  </si>
  <si>
    <t>MEIJER/FRESH THYME #701 arrived on site for self checkout 13 note recycler issues. Upon arrival was informed by the store manager that the self-checkout had been fixed last night and that the ticket was not closed. Self checkout 13 is in good working order.</t>
  </si>
  <si>
    <t>2025-09-18T09:53:42.000Z</t>
  </si>
  <si>
    <t>SCO13 has a Note recycler error- Note jam ar RRIN1  [Generated by Portal Login: most14 Contact: Staci Mowder 3096133038 ftfmsupport@rdspos.com]-CE IS NOW US153R02-MEIJER/FRESH THYME #701 arrived on site for self checkout 13 note recycler issues. Upon arrival was informed by the store manager that the self-checkout had been fixed last night and that the ticket was not closed. Self checkout 13 is in good working order.-New Item :7360-4010-9090 New Serial Number :57-60606703 Old Item :7360-4010-9090 Old Serial Number :57-60606703</t>
  </si>
  <si>
    <t>2026-03-19T15:40:13.000Z</t>
  </si>
  <si>
    <t>2026-03-18T17:23:00.000Z</t>
  </si>
  <si>
    <t>2026-03-18T21:23:00.000Z</t>
  </si>
  <si>
    <t>2026-03-19T11:23:00.000Z</t>
  </si>
  <si>
    <t>2026-03-19T15:23:00.000Z</t>
  </si>
  <si>
    <t>NBD:  || SLA@1</t>
  </si>
  <si>
    <t>2026-03-18T15:58:31.000Z</t>
  </si>
  <si>
    <t>2026-03-18T19:58:31.000Z</t>
  </si>
  <si>
    <t>CEM4125665:defective</t>
  </si>
  <si>
    <t>2026-03-19T11:24:09.000Z</t>
  </si>
  <si>
    <t>Active coinbox replaced for issue reported by site. No issues during loading new ACB.</t>
  </si>
  <si>
    <t>2026-03-19T11:24:11.000Z</t>
  </si>
  <si>
    <t>SCO14 getting a Coin recycler error on and off consistently for the past week.  [Generated by Portal Login: most14 Contact: Staci Mowder 3096133038 ftfmsupport@rdspos.com]</t>
  </si>
  <si>
    <t>2026-03-18T15:58:32.000Z</t>
  </si>
  <si>
    <t>2026-03-18T16:01:19.000Z</t>
  </si>
  <si>
    <t>2026-03-18T16:15:50.000Z</t>
  </si>
  <si>
    <t>SCO14 getting a Coin recycler error on and off consistently for the past week.  [Generated by Portal Login: most14 Contact: Staci Mowder 3096133038 ftfmsupport@rdspos.com]-CE IS NOW US133E77-CE WAS US133E77-CE IS NOW US133E73-Manager reports intermittent error with active coinbox. SNFI showed repccuring error. Suspending task to order 4970533870.-LOM order processing, Part has been Ordered , Remedy Id 000000015002606 - (Pick Up)IN, Indianapolisby Agent Auto CE pickup-Oracle Order Shipped for Remedy Id: U018887210, Order/Receipt # 182147078, Ordered Part 4970533870, Part Description - CR5000  Active Cashbox Type A (non-dissipative tracks) (Service Part), Shipment/Receipt #2117678249, Part has been Shipped, Qty 1, Priority NFO, Shipping Method CE Pickup After Hours, BOL/Job NA, Source Location UFF USFIND1G-CEM4125665:defective-Active coinbox replaced for issue reported by site. No issues during loading new ACB.-New Item :7360-4010-9090 New Serial Number :57-60590100 Old Item :7360-4010-9090 Old Serial Number :57-60588422</t>
  </si>
  <si>
    <t>2025-12-21T23:33:04.000Z</t>
  </si>
  <si>
    <t>57-60588417</t>
  </si>
  <si>
    <t>2025-12-20T10:33:00.000Z</t>
  </si>
  <si>
    <t>2025-12-20T15:33:00.000Z</t>
  </si>
  <si>
    <t>2025-12-21T18:19:00.000Z</t>
  </si>
  <si>
    <t>2025-12-21T23:19:00.000Z</t>
  </si>
  <si>
    <t>Broken</t>
  </si>
  <si>
    <t>2025-12-19T19:38:29.000Z</t>
  </si>
  <si>
    <t>2025-12-20T00:38:29.000Z</t>
  </si>
  <si>
    <t>2025-12-20T00:38:30.000Z</t>
  </si>
  <si>
    <t>2025-12-19T19:38:30.000Z</t>
  </si>
  <si>
    <t>CEM3908239:broken</t>
  </si>
  <si>
    <t>2025-12-21T18:20:07.000Z</t>
  </si>
  <si>
    <t>replaced defective frame with new. tested with manager Anna. tested good. unit is fully operational.</t>
  </si>
  <si>
    <t>New Item :7360-4010-9090 New Serial Number :57-60588417 Old Item :7360-4010-9090 Old Serial Number :57-60587719</t>
  </si>
  <si>
    <t>2025-12-21T18:20:09.000Z</t>
  </si>
  <si>
    <t>Ongoing error, Coin/Bill Dispenser error, Error code: 5-0-0--99-0 Device offline, Crane CR5000 Xchange Coin Recycler.  Repetitive error on SCO 15. Would like this resolved this weekend please. [Generated by Portal Login: coas14 Contact: Ashley Cooper 3092131564 ftfmsupport@rdspos.com]</t>
  </si>
  <si>
    <t>2025-12-19T19:41:40.000Z</t>
  </si>
  <si>
    <t>Suspended for part order. Recycler 3 frame is defective; not accepting bills into cassette in that location</t>
  </si>
  <si>
    <t>2025-12-20T13:24:42.000Z</t>
  </si>
  <si>
    <t>Ongoing error, Coin/Bill Dispenser error, Error code: 5-0-0--99-0 Device offline, Crane CR5000 Xchange Coin Recycler.  Repetitive error on SCO 15. Would like this resolved this weekend please. [Generated by Portal Login: coas14 Contact: Ashley Cooper 3092131564 ftfmsupport@rdspos.com]-CE IS NOW US133E80-Suspended for part order. Recycler 3 frame is defective; not accepting bills into cassette in that location-CEM3831935:Defective-LOM order processing, Part has been Ordered , Remedy Id 000000014940868 - (Next Day) by Agent Auto VIP P000-Oracle Order Shipped for Remedy Id: U018828110, Order/Receipt # 181944889, Ordered Part 4970520232, Part Description - Fujitsu GSR50 Note Recycler - Dual Drum Recycling, Shipment/Receipt #2113932185, Part has been Shipped, Qty 1, Priority OVERNIGHT, Shipping Method UPS-Air-Next Day Air Saver, BOL/Job 1ZH92Y051302124483, Source Location PTC AVL-LOM Order Processing, Part has been Ordered, Remedy ID 000000014941335- (Pick Up) by Agent Auto CE pickup-Oracle Order Shipped for Remedy Id: U018828604, Order/Receipt # 181945339, Ordered Part 4970520232, Part Description - Fujitsu GSR50 Note Recycler - Dual Drum Recycling Frame (Service Part), Turtle Legs, Shipment/Receipt #2113988184, Part has been Shipped, Qty 1, Priority NFO, Shipping Method CE Pickup After Hours, BOL/Job NA, Source Location UFF USFIND1G-CE IS NOW US133E72-CEM3908239:broken-replaced defective frame with new. tested with manager Anna. tested good. unit is fully operational.-New Item :7360-4010-9090 New Serial Number :57-60588417 Old Item :7360-4010-9090 Old Serial Number :57-60587719</t>
  </si>
  <si>
    <t>2025-12-12T17:31:42.000Z</t>
  </si>
  <si>
    <t>57-60591307</t>
  </si>
  <si>
    <t>2025-12-12T10:57:00.000Z</t>
  </si>
  <si>
    <t>2025-12-12T16:57:00.000Z</t>
  </si>
  <si>
    <t>2025-12-12T11:18:00.000Z</t>
  </si>
  <si>
    <t>2025-12-12T17:18:00.000Z</t>
  </si>
  <si>
    <t>2025-12-09T21:29:45.000Z</t>
  </si>
  <si>
    <t>2025-12-10T03:29:45.000Z</t>
  </si>
  <si>
    <t>2025-12-10T03:29:46.000Z</t>
  </si>
  <si>
    <t>2025-12-09T21:29:46.000Z</t>
  </si>
  <si>
    <t>no fault found. cash dispenser had a lot of dust and food particles in it. blew out the dust and cleared the sensors and nothing was wrong with the machine. machine dispensed cash two separate times and a test accurately with no problems.</t>
  </si>
  <si>
    <t>2025-12-12T11:19:03.000Z</t>
  </si>
  <si>
    <t>original notes said that register 18 was having problems with its cash dispenser. talking to manager Kim she said that they were loading it a few days prior and the thing froze up and seized and gave them problems. looked at the machine and opened up the cash dispenser. found lots of dust and food particles at the acceptance. blew out the dust and food particles throughout the machine. successfully ran ADD and then performed a cash dispense test. register successfully dispensed cash accurately with no problems. register also took back all of the cash that was dispensed no problems. register 18s back and ready for business.</t>
  </si>
  <si>
    <t>New Item :7360-4010-9090 New Serial Number :57-60591307 Old Item :7360-4010-9090 Old Serial Number :57-60591374</t>
  </si>
  <si>
    <t>2025-12-12T11:19:04.000Z</t>
  </si>
  <si>
    <t>SCO18 has a Note recycler error - Hardware failure.  [Generated by Portal Login: most14 Contact: Staci Mowder 3096133038 ftfmsupport@rdspos.com]</t>
  </si>
  <si>
    <t>2025-12-09T21:32:05.000Z</t>
  </si>
  <si>
    <t>2025-12-10T06:03:29.000Z</t>
  </si>
  <si>
    <t>SCO18 has a Note recycler error - Hardware failure.  [Generated by Portal Login: most14 Contact: Staci Mowder 3096133038 ftfmsupport@rdspos.com]-CE IS NOW US153R70-CE WAS US153R70-CE IS NOW US153R72-CE IS NOW US153R72-CE WAS US153R72-CE IS NOW US153R79-CE WAS US153R79-CE IS NOW US153R72-no fault found. cash dispenser had a lot of dust and food particles in it. blew out the dust and cleared the sensors and nothing was wrong with the machine. machine dispensed cash two separate times and a test accurately with no problems.-original notes said that register 18 was having problems with its cash dispenser. talking to manager Kim she said that they were loading it a few days prior and the thing froze up and seized and gave them problems. looked at the machine and opened up the cash dispenser. found lots of dust and food particles at the acceptance. blew out the dust and food particles throughout the machine. successfully ran ADD and then performed a cash dispense test. register successfully dispensed cash accurately with no problems. register also took back all of the cash that was dispensed no problems. register 18s back and ready for business.-New Item :7360-4010-9090 New Serial Number :57-60591307 Old Item :7360-4010-9090 Old Serial Number :57-60591374</t>
  </si>
  <si>
    <t>2025-12-03T17:32:18.000Z</t>
  </si>
  <si>
    <t>2025-12-03T11:28:00.000Z</t>
  </si>
  <si>
    <t>2025-12-03T12:14:00.000Z</t>
  </si>
  <si>
    <t>2025-12-03T17:14:00.000Z</t>
  </si>
  <si>
    <t>TF185088</t>
  </si>
  <si>
    <t>2025-12-02T20:39:01.000Z</t>
  </si>
  <si>
    <t>2025-12-03T01:39:01.000Z</t>
  </si>
  <si>
    <t>2025-12-03T01:39:05.000Z</t>
  </si>
  <si>
    <t>2025-12-02T20:39:05.000Z</t>
  </si>
  <si>
    <t>2025-12-03T06:36:22.000Z</t>
  </si>
  <si>
    <t>cleaned sensors. tested accept and dispense working 4 times</t>
  </si>
  <si>
    <t>2025-12-03T12:15:53.000Z</t>
  </si>
  <si>
    <t>2025-12-03T12:15:55.000Z</t>
  </si>
  <si>
    <t>SCO 15 having issues with accepting bills, customer is requesting tech onsite to service this lane  [Generated by Portal Login: besa14 Contact: Sabrina Bechtel 715-498-6611 ftfmsupport@rdspos.com]</t>
  </si>
  <si>
    <t>2025-12-02T20:54:50.000Z</t>
  </si>
  <si>
    <t>CE WAS US133B47</t>
  </si>
  <si>
    <t>2025-12-03T06:36:21.000Z</t>
  </si>
  <si>
    <t>SCO 15 having issues with accepting bills, customer is requesting tech onsite to service this lane  [Generated by Portal Login: besa14 Contact: Sabrina Bechtel 715-498-6611 ftfmsupport@rdspos.com]-CE IS NOW US133B47-CE WAS US133B47-CE IS NOW US133B45-cleaned sensors. tested accept and dispense working 4 times-New Item :7360-4010-9090 New Serial Number :57-60595316 Old Item :7360-4010-9090 Old Serial Number :57-60595316</t>
  </si>
  <si>
    <t>2025-12-28T02:15:30.000Z</t>
  </si>
  <si>
    <t>57-60588425</t>
  </si>
  <si>
    <t>2025-12-27T19:47:00.000Z</t>
  </si>
  <si>
    <t>2025-12-28T01:47:00.000Z</t>
  </si>
  <si>
    <t>2025-12-27T20:02:00.000Z</t>
  </si>
  <si>
    <t>2025-12-28T02:02:00.000Z</t>
  </si>
  <si>
    <t>2025-12-27T16:40:22.000Z</t>
  </si>
  <si>
    <t>2025-12-27T22:40:22.000Z</t>
  </si>
  <si>
    <t>1R-RETAIL:82-SCANNER/SCAN-SCALE:SL-SCALE</t>
  </si>
  <si>
    <t>2025-12-27T20:03:52.000Z</t>
  </si>
  <si>
    <t>1R-RETAIL:82-SCANNER/SCAN-SCALE:2S-SCANNER</t>
  </si>
  <si>
    <t>New Item :7360-4010-9090 New Serial Number :57-60588425 Old Item :7360-4010-9090 Old Serial Number :57-60588425</t>
  </si>
  <si>
    <t>Scanner Scale error, device offline, error code: 11-0-0--99-2. Appears to be a power issue, scanner power cable has been reset and pin pad is not getting power. SCO 15 is completely down. Please check all power cables. Thank you. [Generated by Portal Login: coas14 Contact: Ashley Cooper 3092131564 ftfmsupport@rdspos.com]</t>
  </si>
  <si>
    <t>2025-12-27T16:40:23.000Z</t>
  </si>
  <si>
    <t>CE IS NOW US153R77</t>
  </si>
  <si>
    <t>2025-12-27T16:44:44.000Z</t>
  </si>
  <si>
    <t>â—â—â—Scale offline. debit read3r offline. I reseated the cable on both ends and rebooted the lane. Tested Good. Mgr Rob</t>
  </si>
  <si>
    <t>2025-12-27T20:03:01.000Z</t>
  </si>
  <si>
    <t>Scanner Scale error, device offline, error code: 11-0-0--99-2. Appears to be a power issue, scanner power cable has been reset and pin pad is not getting power. SCO 15 is completely down. Please check all power cables. Thank you. [Generated by Portal Login: coas14 Contact: Ashley Cooper 3092131564 ftfmsupport@rdspos.com]-CE IS NOW US153R77-???Scale offline. debit read3r offline. I reseated the cable on both ends and rebooted the lane. Tested Good. Mgr Rob-1R-RETAIL:82-SCANNER/SCAN-SCALE:SL-SCALE-1R-RETAIL:82-SCANNER/SCAN-SCALE:2S-SCANNER-New Item :7360-4010-9090 New Serial Number :57-60588425 Old Item :7360-4010-9090 Old Serial Number :57-60588425</t>
  </si>
  <si>
    <t>2025-09-16T11:46:27.000Z</t>
  </si>
  <si>
    <t>2025-09-16T07:10:00.000Z</t>
  </si>
  <si>
    <t>2025-09-16T11:10:00.000Z</t>
  </si>
  <si>
    <t>2025-09-16T07:29:00.000Z</t>
  </si>
  <si>
    <t>2025-09-16T11:29:00.000Z</t>
  </si>
  <si>
    <t>SW185189</t>
  </si>
  <si>
    <t>2025-09-15T16:37:07.000Z</t>
  </si>
  <si>
    <t>2025-09-15T20:37:07.000Z</t>
  </si>
  <si>
    <t>2025-09-15T20:37:12.000Z</t>
  </si>
  <si>
    <t>2025-09-15T16:37:12.000Z</t>
  </si>
  <si>
    <t>New Item :7360-4010-9090 New Serial Number :57-60591389 Old Item :7360-4010-9090 Old Serial Number :57-60591389</t>
  </si>
  <si>
    <t>2025-09-16T07:33:07.000Z</t>
  </si>
  <si>
    <t>Unable to put the coin recycler back on the track after clearing a coin recycler error, module not seated error SCO is completely down, requesting a tech on site as soon as possible. Thank you! [Generated by Portal Login: coas14 Contact: Ashley 309-213-1564 ftfmsupport@rdspos.com]</t>
  </si>
  <si>
    <t>2025-09-15T16:40:53.000Z</t>
  </si>
  <si>
    <t>Reseated active coin box</t>
  </si>
  <si>
    <t>2025-09-16T07:33:05.000Z</t>
  </si>
  <si>
    <t>Unable to put the coin recycler back on the track after clearing a coin recycler error, module not seated error SCO is completely down, requesting a tech on site as soon as possible. Thank you! [Generated by Portal Login: coas14 Contact: Ashley 309-213-1564 ftfmsupport@rdspos.com]-CE IS NOW US133A16-Reseated active coin box-New Item :7360-4010-9090 New Serial Number :57-60591389 Old Item :7360-4010-9090 Old Serial Number :57-60591389</t>
  </si>
  <si>
    <t>2026-06-02T23:54:16.000Z</t>
  </si>
  <si>
    <t>57-60588411</t>
  </si>
  <si>
    <t>2026-06-02T17:26:00.000Z</t>
  </si>
  <si>
    <t>2026-06-02T21:26:00.000Z</t>
  </si>
  <si>
    <t>2026-06-02T19:36:00.000Z</t>
  </si>
  <si>
    <t>2026-06-02T23:36:00.000Z</t>
  </si>
  <si>
    <t>2026-06-02T16:31:31.000Z</t>
  </si>
  <si>
    <t>2026-06-02T20:31:31.000Z</t>
  </si>
  <si>
    <t>Arrived on site for self-checkout 16 at Fresh Thyme. Checked in at the front-end register. Upon arrival at self-checkout 16, the self-checkout was powered off. I powered on the self-checkout and began to inspect the active cash box and found the locking screw for the white gear on the active cash box. I was able to confirm the error by led status light was flashing yellow. Using a key, I was able to pop the locking screw out and cleared the error. I then began to load PLM and run some dispense and accept coins tests. During this tests, I saw the dime counts were at zero, so I checked the active cash box and saw dimes inside. I decided to remove the dimes and feed them back into the cash box. This was successful and remaining dispense and accept coins tests were also successful. Self-checkout 16 is good to go. Closing ticket.</t>
  </si>
  <si>
    <t>2026-06-02T19:38:05.000Z</t>
  </si>
  <si>
    <t>New Item :7360-4010-9090 New Serial Number :57-60588411 Old Item :7360-4010-9090 Old Serial Number :57-60595312</t>
  </si>
  <si>
    <t>2026-06-02T19:38:06.000Z</t>
  </si>
  <si>
    <t>Active Coin Box Error  [Generated by Portal Login: repa14 Contact: Patrick Reeves 3092411908 ftfmsupport@rdspos.com]</t>
  </si>
  <si>
    <t>2026-06-02T16:31:32.000Z</t>
  </si>
  <si>
    <t>2026-06-02T16:32:18.000Z</t>
  </si>
  <si>
    <t>Locking screw on active cash box was pushed in causing the error.</t>
  </si>
  <si>
    <t>Active Coin Box Error  [Generated by Portal Login: repa14 Contact: Patrick Reeves 3092411908 ftfmsupport@rdspos.com]-CE IS NOW US133C27-Locking screw on active cash box was pushed in causing the error.-Arrived on site for self-checkout 16 at Fresh Thyme. Checked in at the front-end register. Upon arrival at self-checkout 16, the self-checkout was powered off. I powered on the self-checkout and began to inspect the active cash box and found the locking screw for the white gear on the active cash box. I was able to confirm the error by led status light was flashing yellow. Using a key, I was able to pop the locking screw out and cleared the error. I then began to load PLM and run some dispense and accept coins tests. During this tests, I saw the dime counts were at zero, so I checked the active cash box and saw dimes inside. I decided to remove the dimes and feed them back into the cash box. This was successful and remaining dispense and accept coins tests were also successful. Self-checkout 16 is good to go. Closing ticket.-New Item :7360-4010-9090 New Serial Number :57-60588411 Old Item :7360-4010-9090 Old Serial Number :57-60595312</t>
  </si>
  <si>
    <t>2026-07-23T00:00:17.000Z</t>
  </si>
  <si>
    <t>57-60587822</t>
  </si>
  <si>
    <t>2026-07-22T18:16:00.000Z</t>
  </si>
  <si>
    <t>2026-07-22T23:16:00.000Z</t>
  </si>
  <si>
    <t>2026-07-22T18:44:00.000Z</t>
  </si>
  <si>
    <t>2026-07-22T23:44:00.000Z</t>
  </si>
  <si>
    <t>2026-07-22T08:26:02.000Z</t>
  </si>
  <si>
    <t>2026-07-22T13:26:02.000Z</t>
  </si>
  <si>
    <t>7289-1751-9898</t>
  </si>
  <si>
    <t>New Item :7360-4010-9090 New Serial Number :57-60587822 Old Item :7360-4010-9090 Old Serial Number :57-60587729</t>
  </si>
  <si>
    <t>2026-07-22T18:48:29.000Z</t>
  </si>
  <si>
    <t>SCO11 has a Coin recycler error-Sorter module not seated.   [Generated by Portal Login: most14 Contact: Staci Mowder 2694689716 FTFMSupport@rdspos.com]</t>
  </si>
  <si>
    <t>2026-07-22T08:26:03.000Z</t>
  </si>
  <si>
    <t>2026-07-22T08:37:01.000Z</t>
  </si>
  <si>
    <t>Sorter module unlocked on arrival (photo attached).  Locked sorter module and reset coin recycler.  Entered PML to examine new error, ACB over volts.   Removed ACB and cleared coin jam inside it.  Coin recycler tests ok.</t>
  </si>
  <si>
    <t>2026-07-22T18:48:27.000Z</t>
  </si>
  <si>
    <t>SCO11 has a Coin recycler error-Sorter module not seated.   [Generated by Portal Login: most14 Contact: Staci Mowder 2694689716 FTFMSupport@rdspos.com]-CE IS NOW US153C54-Sorter module unlocked on arrival (photo attached).  Locked sorter module and reset coin recycler.  Entered PML to examine new error, ACB over volts.   Removed ACB and cleared coin jam inside it.  Coin recycler tests ok.-New Item :7360-4010-9090 New Serial Number :57-60587822 Old Item :7360-4010-9090 Old Serial Number :57-60587729</t>
  </si>
  <si>
    <t>2026-01-11T20:03:52.000Z</t>
  </si>
  <si>
    <t>57-60587827</t>
  </si>
  <si>
    <t>2026-01-11T13:39:00.000Z</t>
  </si>
  <si>
    <t>2026-01-11T19:39:00.000Z</t>
  </si>
  <si>
    <t>2026-01-11T13:49:00.000Z</t>
  </si>
  <si>
    <t>2026-01-11T19:49:00.000Z</t>
  </si>
  <si>
    <t>2026-01-11T12:38:42.000Z</t>
  </si>
  <si>
    <t>2026-01-11T18:38:42.000Z</t>
  </si>
  <si>
    <t>2026-01-11T18:38:44.000Z</t>
  </si>
  <si>
    <t>2026-01-11T12:38:44.000Z</t>
  </si>
  <si>
    <t>7773-F452</t>
  </si>
  <si>
    <t>New Item :7360-4010-9090 New Serial Number :57-60587827 Old Item :7360-4010-9090 Old Serial Number :57-60587729</t>
  </si>
  <si>
    <t>2026-01-11T13:49:56.000Z</t>
  </si>
  <si>
    <t>SCO12 having repeated errors and bills jamming and spits out after bill insertion  [Generated by Portal Login: most14 Contact: Staci Mowder 3096133038 ftfmsupport@rdspos.com]</t>
  </si>
  <si>
    <t>2026-01-11T12:38:45.000Z</t>
  </si>
  <si>
    <t>2026-01-11T12:39:26.000Z</t>
  </si>
  <si>
    <t>MEIJER/FRESH THYME #710 arrived on site for self checkout 12 note recycler issues. Upon arrival went over and checked on the third cassette and found a $10 bill stuck behind the cassette. Remove the $10 bill and handed it over to manager Doug and then we went over and loaded up cash into the note recycler successfully without any issues. Self checkout 12 is in good working order.</t>
  </si>
  <si>
    <t>2026-01-11T13:49:53.000Z</t>
  </si>
  <si>
    <t>SCO12 having repeated errors and bills jamming and spits out after bill insertion  [Generated by Portal Login: most14 Contact: Staci Mowder 3096133038 ftfmsupport@rdspos.com]-CE IS NOW US153R02-MEIJER/FRESH THYME #710 arrived on site for self checkout 12 note recycler issues. Upon arrival went over and checked on the third cassette and found a $10 bill stuck behind the cassette. Remove the $10 bill and handed it over to manager Doug and then we went over and loaded up cash into the note recycler successfully without any issues. Self checkout 12 is in good working order.-New Item :7360-4010-9090 New Serial Number :57-60587827 Old Item :7360-4010-9090 Old Serial Number :57-60587729</t>
  </si>
  <si>
    <t>2026-07-04T18:42:21.000Z</t>
  </si>
  <si>
    <t>57-60591386</t>
  </si>
  <si>
    <t>2026-07-04T14:13:00.000Z</t>
  </si>
  <si>
    <t>2026-07-04T18:13:00.000Z</t>
  </si>
  <si>
    <t>2026-07-04T14:29:00.000Z</t>
  </si>
  <si>
    <t>2026-07-04T18:29:00.000Z</t>
  </si>
  <si>
    <t>2026-07-03T10:32:48.000Z</t>
  </si>
  <si>
    <t>2026-07-03T14:32:48.000Z</t>
  </si>
  <si>
    <t>Store employee dropped nickel roll in recycler during fill by mistake, was unable to remove as they were not informed how to access transfer chamber under coinbox, removed stuck roll, tested with employee, coin recycler in ssco6 lane 12 is fully functional</t>
  </si>
  <si>
    <t>2026-07-04T14:30:40.000Z</t>
  </si>
  <si>
    <t>cr5000 coin recycler improperly loaded with change</t>
  </si>
  <si>
    <t>New Item :7360-4010-9090 New Serial Number :57-60591386 Old Item :7360-4010-9090 Old Serial Number :57-60591330</t>
  </si>
  <si>
    <t>2026-07-04T14:30:41.000Z</t>
  </si>
  <si>
    <t>Transfer Motor Jammed  [Generated by Portal Login: repa14 Contact: Patrick Reeves 3092411908 ftfmsupport@rdspos.com]</t>
  </si>
  <si>
    <t>2026-07-03T10:35:10.000Z</t>
  </si>
  <si>
    <t>Re-routed</t>
  </si>
  <si>
    <t>2026-07-03T11:56:36.000Z</t>
  </si>
  <si>
    <t>Transfer Motor Jammed  [Generated by Portal Login: repa14 Contact: Patrick Reeves 3092411908 ftfmsupport@rdspos.com]-CE IS NOW US133A18-Re-routed-CE WAS US133A18-CE IS NOW US133A17-Store employee dropped nickel roll in recycler during fill by mistake, was unable to remove as they were not informed how to access transfer chamber under coinbox, removed stuck roll, tested with employee, coin recycler in ssco6 lane 12 is fully functional-cr5000 coin recycler improperly loaded with change-New Item :7360-4010-9090 New Serial Number :57-60591386 Old Item :7360-4010-9090 Old Serial Number :57-60591330</t>
  </si>
  <si>
    <t>2025-09-22T20:39:11.000Z</t>
  </si>
  <si>
    <t>57-60587726</t>
  </si>
  <si>
    <t>2025-09-22T14:19:00.000Z</t>
  </si>
  <si>
    <t>2025-09-22T19:19:00.000Z</t>
  </si>
  <si>
    <t>2025-09-22T15:23:00.000Z</t>
  </si>
  <si>
    <t>2025-09-22T20:23:00.000Z</t>
  </si>
  <si>
    <t>2025-09-22T10:20:39.000Z</t>
  </si>
  <si>
    <t>2025-09-22T15:20:39.000Z</t>
  </si>
  <si>
    <t>2025-09-22T15:20:42.000Z</t>
  </si>
  <si>
    <t>2025-09-22T10:20:42.000Z</t>
  </si>
  <si>
    <t>7289-8024-9898</t>
  </si>
  <si>
    <t>2025-09-22T12:55:17.000Z</t>
  </si>
  <si>
    <t>arrived onsite, verified issue, coin counts were all off, reset them with mod, went to test dispense after reloading, nickles hopper still wouldn't dispense, swapped with known working and it was, opened up hopper, track was reclipped disconnected piece, tested with mod, no other issues found</t>
  </si>
  <si>
    <t>2025-09-22T15:24:12.000Z</t>
  </si>
  <si>
    <t>New Item :7360-4010-9090 New Serial Number :57-60587726 Old Item :7360-4010-9090 Old Serial Number :57-60591370</t>
  </si>
  <si>
    <t>2025-09-22T15:24:14.000Z</t>
  </si>
  <si>
    <t>SCO16 is not dispensing nickels and nickels are greyed out in cash management   [Generated by Portal Login: most14 Contact: Staci Mowder 3096133038 ftfmsupport@rdspos.com]</t>
  </si>
  <si>
    <t>2025-09-22T10:21:52.000Z</t>
  </si>
  <si>
    <t>2025-09-22T12:55:07.000Z</t>
  </si>
  <si>
    <t>SCO16 is not dispensing nickels and nickels are greyed out in cash management   [Generated by Portal Login: most14 Contact: Staci Mowder 3096133038 ftfmsupport@rdspos.com]-CE IS NOW US153N63-CE WAS US153N63-CE IS NOW US153N79-arrived onsite, verified issue, coin counts were all off, reset them with mod, went to test dispense after reloading, nickles hopper still wouldn't dispense, swapped with known working and it was, opened up hopper, track was reclipped disconnected piece, tested with mod, no other issues found-New Item :7360-4010-9090 New Serial Number :57-60587726 Old Item :7360-4010-9090 Old Serial Number :57-60591370</t>
  </si>
  <si>
    <t>2026-02-13T19:15:08.000Z</t>
  </si>
  <si>
    <t>57-60591304</t>
  </si>
  <si>
    <t>2026-02-13T12:19:00.000Z</t>
  </si>
  <si>
    <t>2026-02-13T18:19:00.000Z</t>
  </si>
  <si>
    <t>2026-02-13T12:59:00.000Z</t>
  </si>
  <si>
    <t>2026-02-13T18:59:00.000Z</t>
  </si>
  <si>
    <t>2026-02-13T11:07:04.000Z</t>
  </si>
  <si>
    <t>2026-02-13T17:07:04.000Z</t>
  </si>
  <si>
    <t>Active coinbox jammed, over volts.  Replaced active coinbox and zeroed logical coin counts.  All available coins removed from coinbox prior to arrival.</t>
  </si>
  <si>
    <t>2026-02-13T13:01:25.000Z</t>
  </si>
  <si>
    <t>New Item :7360-4010-9090 New Serial Number :57-60591304 Old Item :7360-4010-9090 Old Serial Number :57-60588467</t>
  </si>
  <si>
    <t>2026-02-13T13:01:28.000Z</t>
  </si>
  <si>
    <t>SCO 14 has a coin box motor jammed- Error code: 5-10-0-20-459777  [Generated by Portal Login: besa14 Contact: Sabrina Bechtel 715-498-6611 ftfmsupport@rdspos.com]</t>
  </si>
  <si>
    <t>2026-02-13T11:07:05.000Z</t>
  </si>
  <si>
    <t>2026-02-13T11:07:46.000Z</t>
  </si>
  <si>
    <t>CEM4115344:Jammed</t>
  </si>
  <si>
    <t>SCO 14 has a coin box motor jammed- Error code: 5-10-0-20-459777  [Generated by Portal Login: besa14 Contact: Sabrina Bechtel 715-498-6611 ftfmsupport@rdspos.com]-CE IS NOW US153R04-CEM4115344:Jammed-Active coinbox jammed, over volts.  Replaced active coinbox and zeroed logical coin counts.  All available coins removed from coinbox prior to arrival.-New Item :7360-4010-9090 New Serial Number :57-60591304 Old Item :7360-4010-9090 Old Serial Number :57-60588467</t>
  </si>
  <si>
    <t>2026-03-04T18:55:39.000Z</t>
  </si>
  <si>
    <t>57-60587867</t>
  </si>
  <si>
    <t>2026-02-25T07:00:00.000Z</t>
  </si>
  <si>
    <t>2026-02-25T13:00:00.000Z</t>
  </si>
  <si>
    <t>2026-03-04T12:38:00.000Z</t>
  </si>
  <si>
    <t>2026-03-04T18:38:00.000Z</t>
  </si>
  <si>
    <t>RESEAT BELT</t>
  </si>
  <si>
    <t>2026-02-24T12:43:45.000Z</t>
  </si>
  <si>
    <t>2026-02-24T18:43:45.000Z</t>
  </si>
  <si>
    <t>2026-03-02T07:51:10.000Z</t>
  </si>
  <si>
    <t>belt in quater hopper was disconnected... repaired belt and tested unit... unit is now working as normal dispensing quarters normaly...ok eith mgt joe</t>
  </si>
  <si>
    <t>2026-03-04T12:39:07.000Z</t>
  </si>
  <si>
    <t>New Item :7360-4010-9090 New Serial Number :57-60587867 Old Item :7360-4010-9090 Old Serial Number :57-60590095</t>
  </si>
  <si>
    <t>2026-03-04T12:39:09.000Z</t>
  </si>
  <si>
    <t>SCO12 not dispensing quarters in cash management or to customers   [Generated by Portal Login: most14 Contact: Staci Mowder 3096133038 ftfmsupport@rdspos.com]</t>
  </si>
  <si>
    <t>2026-02-24T12:46:26.000Z</t>
  </si>
  <si>
    <t>The BCR not dispensing quarters. I found quarters in the BCR. I removed all the quarters and went into pml check the coin count and found that these no quarters counted. I tried to put the quarters back into the BCR and found that when I use the bulk coin in the coins are not being counted but when I use the Coin recycler the coins are being coined. Ordering a sorter module.</t>
  </si>
  <si>
    <t>2026-02-25T08:06:49.000Z</t>
  </si>
  <si>
    <t>SCO12 not dispensing quarters in cash management or to customers   [Generated by Portal Login: most14 Contact: Staci Mowder 3096133038 ftfmsupport@rdspos.com]-CE IS NOW US153R73-The BCR not dispensing quarters. I found quarters in the BCR. I removed all the quarters and went into pml check the coin count and found that these no quarters counted. I tried to put the quarters back into the BCR and found that when I use the bulk coin in the coins are not being counted but when I use the Coin recycler the coins are being coined. Ordering a sorter module.-The sorter module doesn't come with the cable. im order the cables only.-LOM order processing, Part has been Ordered , Remedy Id FSC5518237 - (Next Day) by Agent te185055-Oracle Order Shipped for Remedy Id: U018873586, Order/Receipt # 182101415, Ordered Part 4970530888, Part Description - Cable - CR5000 Sorter Assy (1=5) - Service Part, Shipment/Receipt #2117312358, Part has been Shipped, Qty 1, Priority OVERNIGHT, Shipping Method UPS-Air-Next Day Air Saver, BOL/Job 1ZH92Y051302504894, Source Location PTC AVL-CE IS NOW US153R79-Replaced sorter assembly cable. Had mgr test dispense for quarters. System processes request, but coin recycler won't dispense. Entering PML. Device in healthy state. Attempted 41 cent dispense. Didn't dispense a quarter, instead 4 dimes and a penny. Checked accounting for coin counts. Reboot lane.-Sorter (Type A) 4970521463-CE IS NOW US153R78-belt in quater hopper was disconnected... repaired belt and tested unit... unit is now working as normal dispensing quarters normaly...ok eith mgt joe-New Item :7360-4010-9090 New Serial Number :57-60587867 Old Item :7360-4010-9090 Old Serial Number :57-60590095</t>
  </si>
  <si>
    <t>2025-12-19T20:14:27.000Z</t>
  </si>
  <si>
    <t>57-60591336</t>
  </si>
  <si>
    <t>2025-12-19T13:59:00.000Z</t>
  </si>
  <si>
    <t>2025-12-19T18:59:00.000Z</t>
  </si>
  <si>
    <t>2025-12-19T14:54:00.000Z</t>
  </si>
  <si>
    <t>2025-12-19T19:54:00.000Z</t>
  </si>
  <si>
    <t>2025-12-19T10:25:44.000Z</t>
  </si>
  <si>
    <t>2025-12-19T15:25:44.000Z</t>
  </si>
  <si>
    <t>2025-12-19T15:25:45.000Z</t>
  </si>
  <si>
    <t>2025-12-19T10:25:45.000Z</t>
  </si>
  <si>
    <t>2025-12-19T13:28:57.000Z</t>
  </si>
  <si>
    <t>Ups not functional, replaced ups, register able to power on with and without wall power. also noticed input belts on cash recycler jammed, replaced pick mechanism mod Amy/ Nathan</t>
  </si>
  <si>
    <t>2025-12-19T14:58:04.000Z</t>
  </si>
  <si>
    <t>New Item :7360-4010-9090 New Serial Number :57-60591336 Old Item :7360-4010-9090 Old Serial Number :57-60588409</t>
  </si>
  <si>
    <t>2025-12-19T14:58:07.000Z</t>
  </si>
  <si>
    <t>Battery backup on SCO11 needs replaced   [Generated by Portal Login: most14 Contact: Staci Mowder 3096133038 ftfmsupport@rdspos.com]</t>
  </si>
  <si>
    <t>CE IS NOW US133A12</t>
  </si>
  <si>
    <t>2025-12-19T10:27:16.000Z</t>
  </si>
  <si>
    <t>CE WAS US133A12</t>
  </si>
  <si>
    <t>2025-12-19T11:09:48.000Z</t>
  </si>
  <si>
    <t>Battery backup on SCO11 needs replaced   [Generated by Portal Login: most14 Contact: Staci Mowder 3096133038 ftfmsupport@rdspos.com]-CE IS NOW US133A12-CE WAS US133A12-CE IS NOW US133A11-CE WAS US133A11-CE IS NOW US133A17-CE IS NOW US133A17-Ups not functional, replaced ups, register able to power on with and without wall power. also noticed input belts on cash recycler jammed, replaced pick mechanism mod Amy/ Nathan-New Item :7360-4010-9090 New Serial Number :57-60591336 Old Item :7360-4010-9090 Old Serial Number :57-60588409</t>
  </si>
  <si>
    <t>2026-05-09T15:51:03.000Z</t>
  </si>
  <si>
    <t>57-60587829</t>
  </si>
  <si>
    <t>2026-05-09T11:03:00.000Z</t>
  </si>
  <si>
    <t>2026-05-09T15:03:00.000Z</t>
  </si>
  <si>
    <t>2026-05-09T11:34:00.000Z</t>
  </si>
  <si>
    <t>2026-05-09T15:34:00.000Z</t>
  </si>
  <si>
    <t>2026-05-08T17:49:08.000Z</t>
  </si>
  <si>
    <t>2026-05-08T21:49:08.000Z</t>
  </si>
  <si>
    <t>7687-0154-9898</t>
  </si>
  <si>
    <t>2026-05-09T06:23:13.000Z</t>
  </si>
  <si>
    <t>replaced battery backup ups for terminal 12, rebooted terminal then tested successfully by mod Christa</t>
  </si>
  <si>
    <t>2026-05-09T11:11:09.000Z</t>
  </si>
  <si>
    <t>New Item :7360-4010-9090 New Serial Number :57-60587829 Old Item :7360-4010-9090 Old Serial Number :57-60588385</t>
  </si>
  <si>
    <t>2026-05-09T11:35:53.000Z</t>
  </si>
  <si>
    <t>2026-05-08T17:49:22.000Z</t>
  </si>
  <si>
    <t>2026-05-08T18:04:13.000Z</t>
  </si>
  <si>
    <t>SCO will not stay powered on after power outage. Please replace battery backup.  [Generated by Portal Login: coas14 Contact: Ashley N Cooper 3092131564 ftfmsupport@rdspos.com]-CE IS NOW US133U01-CE WAS US133U01-CE IS NOW US133U10-CE WAS US133U10-CE IS NOW US133U12-replaced battery backup ups for terminal 12, rebooted terminal then tested successfully by mod Christa-New Item :7360-4010-9090 New Serial Number :57-60587829 Old Item :7360-4010-9090 Old Serial Number :57-60588385</t>
  </si>
  <si>
    <t>2025-10-17T00:40:43.000Z</t>
  </si>
  <si>
    <t>57-60595309</t>
  </si>
  <si>
    <t>2025-10-16T18:38:00.000Z</t>
  </si>
  <si>
    <t>2025-10-16T23:38:00.000Z</t>
  </si>
  <si>
    <t>2025-10-16T19:27:00.000Z</t>
  </si>
  <si>
    <t>2025-10-17T00:27:00.000Z</t>
  </si>
  <si>
    <t>2025-10-16T10:27:41.000Z</t>
  </si>
  <si>
    <t>2025-10-16T15:27:41.000Z</t>
  </si>
  <si>
    <t>2025-10-16T15:27:42.000Z</t>
  </si>
  <si>
    <t>2025-10-16T10:27:42.000Z</t>
  </si>
  <si>
    <t>New Item :7360-4010-9090 New Serial Number :57-60595309 Old Item :7360-4010-9090 Old Serial Number :57-60595298</t>
  </si>
  <si>
    <t>2025-10-16T19:28:24.000Z</t>
  </si>
  <si>
    <t>SCO 14 has a coin recycler error coin box jammed error code 16-6-0-99-459777  [Generated by Portal Login: besa14 Contact: Sabrina Bechtel 715-498-6611 ftfmsupport@rdspos.com]</t>
  </si>
  <si>
    <t>2025-10-16T10:27:43.000Z</t>
  </si>
  <si>
    <t>2025-10-16T10:45:00.000Z</t>
  </si>
  <si>
    <t>cleared coin jam and testes dispensing and accepting bills and coins successfully</t>
  </si>
  <si>
    <t>2025-10-16T19:28:21.000Z</t>
  </si>
  <si>
    <t>SCO 14 has a coin recycler error coin box jammed error code 16-6-0-99-459777  [Generated by Portal Login: besa14 Contact: Sabrina Bechtel 715-498-6611 ftfmsupport@rdspos.com]-CE IS NOW US153C09-cleared coin jam and testes dispensing and accepting bills and coins successfully-New Item :7360-4010-9090 New Serial Number :57-60595309 Old Item :7360-4010-9090 Old Serial Number :57-60595298</t>
  </si>
  <si>
    <t>2025-09-22T21:56:26.000Z</t>
  </si>
  <si>
    <t>57-60591326</t>
  </si>
  <si>
    <t>2025-09-22T17:09:00.000Z</t>
  </si>
  <si>
    <t>2025-09-22T21:09:00.000Z</t>
  </si>
  <si>
    <t>2025-09-22T17:40:00.000Z</t>
  </si>
  <si>
    <t>2025-09-22T21:40:00.000Z</t>
  </si>
  <si>
    <t>NON NCR</t>
  </si>
  <si>
    <t>GB185165</t>
  </si>
  <si>
    <t>2025-09-21T12:42:20.000Z</t>
  </si>
  <si>
    <t>2025-09-21T16:42:20.000Z</t>
  </si>
  <si>
    <t>CE IS NOW US133E41</t>
  </si>
  <si>
    <t>2025-09-22T13:09:13.000Z</t>
  </si>
  <si>
    <t>Register has no power. Ups will not power up. Replaced defective ups and watched customer complete transaction successfully</t>
  </si>
  <si>
    <t>2025-09-22T17:41:56.000Z</t>
  </si>
  <si>
    <t>New Item :7360-4010-9090 New Serial Number :57-60591326 Old Item :7360-4010-9090 Old Serial Number :57-60590104</t>
  </si>
  <si>
    <t>2025-09-22T17:41:59.000Z</t>
  </si>
  <si>
    <t>SCO16 needs a replacement battery backup. SCO not powering on   [Generated by Portal Login: most14 Contact: Staci Mowder 3096133038 ftfmsupport@rdspos.com]</t>
  </si>
  <si>
    <t>CE IS NOW US133E43</t>
  </si>
  <si>
    <t>2025-09-21T13:23:36.000Z</t>
  </si>
  <si>
    <t>CE WAS US133E43</t>
  </si>
  <si>
    <t>2025-09-21T22:09:35.000Z</t>
  </si>
  <si>
    <t>SCO16 needs a replacement battery backup. SCO not powering on   [Generated by Portal Login: most14 Contact: Staci Mowder 3096133038 ftfmsupport@rdspos.com]-CE IS NOW US133E43-CE WAS US133E43-CE IS NOW US133E44-CE WAS US133E44-CE IS NOW US133E41-Register has no power. Ups will not power up. Replaced defective ups and watched customer complete transaction successfully-New Item :7360-4010-9090 New Serial Number :57-60591326 Old Item :7360-4010-9090 Old Serial Number :57-60590104</t>
  </si>
  <si>
    <t>2025-10-02T12:30:23.000Z</t>
  </si>
  <si>
    <t>57-60587734</t>
  </si>
  <si>
    <t>2025-10-02T07:28:00.000Z</t>
  </si>
  <si>
    <t>2025-10-02T11:28:00.000Z</t>
  </si>
  <si>
    <t>2025-10-02T08:14:00.000Z</t>
  </si>
  <si>
    <t>2025-10-02T12:14:00.000Z</t>
  </si>
  <si>
    <t>2025-10-01T21:38:58.000Z</t>
  </si>
  <si>
    <t>2025-10-02T01:38:58.000Z</t>
  </si>
  <si>
    <t>2025-10-02T01:38:59.000Z</t>
  </si>
  <si>
    <t>2025-10-01T21:38:59.000Z</t>
  </si>
  <si>
    <t>New Item :7360-4010-9090 New Serial Number :57-60587734 Old Item :7360-4010-9090 Old Serial Number :57-60587756</t>
  </si>
  <si>
    <t>2025-10-02T08:16:24.000Z</t>
  </si>
  <si>
    <t>SCO 13 making a clunking noise inside the coin recycler. It is operational, but very noisy  [Generated by Portal Login: repa14 Contact: Patrick Reeves 3092411908 ftfmsupport@rdspos.com]</t>
  </si>
  <si>
    <t>2025-10-02T06:35:52.000Z</t>
  </si>
  <si>
    <t>cleared coins jam in the chassis and   strict the belt movement. fixed active coin box count then tested successfully by dispensing and accepting coins through the ncr profile manager. report to mod Matt</t>
  </si>
  <si>
    <t>2025-10-02T08:16:21.000Z</t>
  </si>
  <si>
    <t>SCO 13 making a clunking noise inside the coin recycler. It is operational, but very noisy  [Generated by Portal Login: repa14 Contact: Patrick Reeves 3092411908 ftfmsupport@rdspos.com]-CE IS NOW US133U12-cleared coins jam in the chassis and   strict the belt movement. fixed active coin box count then tested successfully by dispensing and accepting coins through the ncr profile manager. report to mod Matt-New Item :7360-4010-9090 New Serial Number :57-60587734 Old Item :7360-4010-9090 Old Serial Number :57-60587756</t>
  </si>
  <si>
    <t>2026-06-29T14:31:35.000Z</t>
  </si>
  <si>
    <t>2026-06-29T09:46:00.000Z</t>
  </si>
  <si>
    <t>2026-06-29T13:46:00.000Z</t>
  </si>
  <si>
    <t>2026-06-29T10:19:00.000Z</t>
  </si>
  <si>
    <t>2026-06-29T14:19:00.000Z</t>
  </si>
  <si>
    <t>CHGC -   empty out all the coins from each coin hopper.</t>
  </si>
  <si>
    <t>2026-06-26T15:26:41.000Z</t>
  </si>
  <si>
    <t>2026-06-26T19:26:41.000Z</t>
  </si>
  <si>
    <t>Sco 12 the coin counts on the cr5000 was off in pml. empty out all the coins from each coin hopper.</t>
  </si>
  <si>
    <t>2026-06-29T10:19:46.000Z</t>
  </si>
  <si>
    <t>Sco 12 reset the coin counts in pml. verify that coins can be dispense and accepted multiple times. verify with the shift manager that sco 12 is working properly.</t>
  </si>
  <si>
    <t>2026-06-29T10:19:47.000Z</t>
  </si>
  <si>
    <t>New Item :7360-4010-9090 New Serial Number :57-60587759 Old Item :7360-4010-9090 Old Serial Number :57-60587759</t>
  </si>
  <si>
    <t>2026-06-29T10:19:48.000Z</t>
  </si>
  <si>
    <t>SCO12 not dispensing coins  [Generated by Portal Login: most14 Contact: Staci Mowder 2694689716 FTFMSupport@rdspos.com]</t>
  </si>
  <si>
    <t>2026-06-26T15:36:12.000Z</t>
  </si>
  <si>
    <t>CE WAS US133C72</t>
  </si>
  <si>
    <t>2026-06-28T13:13:25.000Z</t>
  </si>
  <si>
    <t>SCO12 not dispensing coins  [Generated by Portal Login: most14 Contact: Staci Mowder 2694689716 FTFMSupport@rdspos.com]-CE IS NOW US133C72-CE WAS US133C72-CE IS NOW US133C93-CE WAS US133C93-CE IS NOW US133C75-Sco 12 the coin counts on the cr5000 was off in pml. empty out all the coins from each coin hopper.-Sco 12 reset the coin counts in pml. verify that coins can be dispense and accepted multiple times. verify with the shift manager that sco 12 is working properly.-New Item :7360-4010-9090 New Serial Number :57-60587759 Old Item :7360-4010-9090 Old Serial Number :57-60587759</t>
  </si>
  <si>
    <t>2026-01-21T23:42:39.000Z</t>
  </si>
  <si>
    <t>2026-01-21T16:54:00.000Z</t>
  </si>
  <si>
    <t>2026-01-21T21:54:00.000Z</t>
  </si>
  <si>
    <t>2026-01-21T18:27:00.000Z</t>
  </si>
  <si>
    <t>2026-01-21T23:27:00.000Z</t>
  </si>
  <si>
    <t>2026-01-21T14:20:09.000Z</t>
  </si>
  <si>
    <t>2026-01-21T19:20:09.000Z</t>
  </si>
  <si>
    <t>7932-2173-9805</t>
  </si>
  <si>
    <t>CEM4077585:tpic sensor issue</t>
  </si>
  <si>
    <t>2026-01-21T18:28:18.000Z</t>
  </si>
  <si>
    <t>@@@checked in with Dara...replaced the gsr50 top mod, tested and works...informed Dara of completion@@@</t>
  </si>
  <si>
    <t>New Item :7360-4010-9090 New Serial Number :57-60587769 Old Item :7360-4010-9090 Old Serial Number :57-60587784</t>
  </si>
  <si>
    <t>2026-01-21T18:28:20.000Z</t>
  </si>
  <si>
    <t>SCO 14 has a note recycler error jam in main module error code 5-9-0-4-62980  [Generated by Portal Login: besa14 Contact: Sabrina Bechtel 715-498-6611 ftfmsupport@rdspos.com]</t>
  </si>
  <si>
    <t>2026-01-21T14:20:10.000Z</t>
  </si>
  <si>
    <t>CE IS NOW US133B34</t>
  </si>
  <si>
    <t>2026-01-21T14:22:36.000Z</t>
  </si>
  <si>
    <t>CE WAS US133B34</t>
  </si>
  <si>
    <t>2026-01-21T16:20:42.000Z</t>
  </si>
  <si>
    <t>SCO 14 has a note recycler error jam in main module error code 5-9-0-4-62980  [Generated by Portal Login: besa14 Contact: Sabrina Bechtel 715-498-6611 ftfmsupport@rdspos.com]-CE IS NOW US133B34-CE WAS US133B34-CE IS NOW US133B35-CE IS NOW US133B35-CEM4077585:tpic sensor issue-@@@checked in with Dara...replaced the gsr50 top mod, tested and works...informed Dara of completion@@@-New Item :7360-4010-9090 New Serial Number :57-60587769 Old Item :7360-4010-9090 Old Serial Number :57-60587784</t>
  </si>
  <si>
    <t>2025-10-14T21:21:41.000Z</t>
  </si>
  <si>
    <t>57-60595323</t>
  </si>
  <si>
    <t>2025-10-08T18:30:00.000Z</t>
  </si>
  <si>
    <t>2025-10-08T22:30:00.000Z</t>
  </si>
  <si>
    <t>2025-10-14T17:06:00.000Z</t>
  </si>
  <si>
    <t>2025-10-14T21:06:00.000Z</t>
  </si>
  <si>
    <t>NFF</t>
  </si>
  <si>
    <t>2025-10-08T16:43:26.000Z</t>
  </si>
  <si>
    <t>2025-10-08T20:43:26.000Z</t>
  </si>
  <si>
    <t>arrived on site to replace cable. sco was in use, scanning and weighing items</t>
  </si>
  <si>
    <t>2025-10-14T17:07:58.000Z</t>
  </si>
  <si>
    <t>New Item :7360-4010-9090 New Serial Number :57-60595323 Old Item :7360-4010-9090 Old Serial Number :57-60595334</t>
  </si>
  <si>
    <t>2025-10-14T17:08:01.000Z</t>
  </si>
  <si>
    <t>CEM3962223: Printer CE Comment:not used</t>
  </si>
  <si>
    <t>2025-10-14T17:45:45.000Z</t>
  </si>
  <si>
    <t>Scale not weighing, even after powercycling cable on both ends, not seeing it in firmware on SCO14. Also makes a strange noise when rebooting   [Generated by Portal Login: most14 Contact: Staci Mowder 3096133038 ftfmsupport@rdspos.com]</t>
  </si>
  <si>
    <t>2025-10-08T16:43:27.000Z</t>
  </si>
  <si>
    <t>2025-10-08T16:52:43.000Z</t>
  </si>
  <si>
    <t>arravied to site worked with systems to conclude that the issue is with the scale communication cable. ordeing new scale communication cable.</t>
  </si>
  <si>
    <t>2025-10-08T19:13:30.000Z</t>
  </si>
  <si>
    <t>Scale not weighing, even after powercycling cable on both ends, not seeing it in firmware on SCO14. Also makes a strange noise when rebooting   [Generated by Portal Login: most14 Contact: Staci Mowder 3096133038 ftfmsupport@rdspos.com]-CE IS NOW US133B52-arravied to site worked with systems to conclude that the issue is with the scale communication cable. ordeing new scale communication cable.-LOM order processing, Part has been Ordered , Remedy Id 000000014883049 - (Next Day) by Agent Auto VIP P000-4970529515-guru noted that it could be the port or the cable causing the issue.-Oracle Order Shipped for Remedy Id: U018770863, Order/Receipt # 181762296, Ordered Part 4970529515, Part Description - CABLE - USB+PWR 12V TO MODULAR RJ50 (2.13M), Shipment/Receipt #2111160487, Part has been Shipped, Qty 1, Priority OVERNIGHT, Shipping Method UPS-Air-Next Day Air Saver, BOL/Job 1ZH92Y051301694833, Source Location PTC AVL-arravied to site the part that the guru gave me was not comparable to the part being used at the store.  need pos cable 4970508118-LOM order processing, Part has been Ordered , Remedy Id 000000014885860 - (Next Day) by Agent Auto VIP P000-Oracle Order Shipped for Remedy Id: U018773836, Order/Receipt # 181769996, Ordered Part 4970508118, Part Description - CABLE - 1.2M USB +POWER (12V) TO 2X4 LATCH-N-LOCK, Shipment/Receipt #2111237658, Part has been Shipped, Qty 1, Priority OVERNIGHT, Shipping Method UPS-Air-Next Day Air Saver, BOL/Job 1ZH92Y051301708176, Source Location PTC AVL-CE IS NOW US133B47-arrived on site to replace cable. sco was in use, scanning and weighing items-New Item :7360-4010-9090 New Serial Number :57-60595323 Old Item :7360-4010-9090 Old Serial Number :57-60595334-CEM3962223: Printer CE Comment:not used</t>
  </si>
  <si>
    <t>2025-10-30T16:05:33.000Z</t>
  </si>
  <si>
    <t>2025-10-30T09:26:00.000Z</t>
  </si>
  <si>
    <t>2025-10-30T14:26:00.000Z</t>
  </si>
  <si>
    <t>2025-10-30T10:50:00.000Z</t>
  </si>
  <si>
    <t>2025-10-30T15:50:00.000Z</t>
  </si>
  <si>
    <t>SA185395</t>
  </si>
  <si>
    <t>2025-10-30T08:40:10.000Z</t>
  </si>
  <si>
    <t>2025-10-30T13:40:10.000Z</t>
  </si>
  <si>
    <t>On Troubleshooting it was found that the coin validator type G I'd bad,which has been replaced,and self check out now operational</t>
  </si>
  <si>
    <t>2025-10-30T10:51:30.000Z</t>
  </si>
  <si>
    <t>2025-10-30T10:51:32.000Z</t>
  </si>
  <si>
    <t>SCO18 has Validator motor error-singulator error  [Generated by Portal Login: most14 Contact: Staci Mowder 3096133038 ftfmsupport@rdspos.com]</t>
  </si>
  <si>
    <t>2025-10-30T08:40:11.000Z</t>
  </si>
  <si>
    <t>2025-10-30T08:43:30.000Z</t>
  </si>
  <si>
    <t>CEM3717768:defective</t>
  </si>
  <si>
    <t>SCO18 has Validator motor error-singulator error  [Generated by Portal Login: most14 Contact: Staci Mowder 3096133038 ftfmsupport@rdspos.com]-CE IS NOW US153C17-CEM3717768:defective-On Troubleshooting it was found that the coin validator type G I'd bad,which has been replaced,and self check out now operational-New Item :7360-4010-9090 New Serial Number :57-60591374 Old Item :7360-4010-9090 Old Serial Number :57-60591374</t>
  </si>
  <si>
    <t>2026-08-11T15:34:44.000Z</t>
  </si>
  <si>
    <t>2026-08-11T10:06:00.000Z</t>
  </si>
  <si>
    <t>2026-08-11T15:06:00.000Z</t>
  </si>
  <si>
    <t>2026-08-11T10:21:00.000Z</t>
  </si>
  <si>
    <t>2026-08-11T15:21:00.000Z</t>
  </si>
  <si>
    <t>2026-08-11T08:28:12.000Z</t>
  </si>
  <si>
    <t>2026-08-11T13:28:12.000Z</t>
  </si>
  <si>
    <t>Note Recycler Error. Unexpected note or debris detected by TOUT1  [Generated by Portal Login: repa14 Contact: Patrick Reeves 3092411908 ftfmsupport@rdspos.com]</t>
  </si>
  <si>
    <t>CE IS NOW US153R36</t>
  </si>
  <si>
    <t>2026-08-11T08:30:51.000Z</t>
  </si>
  <si>
    <t>Note Recycler Error. Unexpected note or debris detected by TOUT1  [Generated by Portal Login: repa14 Contact: Patrick Reeves 3092411908 ftfmsupport@rdspos.com]-CE IS NOW US153R36</t>
  </si>
  <si>
    <t>2026-03-25T20:54:51.000Z</t>
  </si>
  <si>
    <t>57-60590121</t>
  </si>
  <si>
    <t>2026-03-25T16:05:00.000Z</t>
  </si>
  <si>
    <t>2026-03-25T20:05:00.000Z</t>
  </si>
  <si>
    <t>2026-03-25T16:39:00.000Z</t>
  </si>
  <si>
    <t>2026-03-25T20:39:00.000Z</t>
  </si>
  <si>
    <t>2026-03-24T18:27:33.000Z</t>
  </si>
  <si>
    <t>2026-03-24T22:27:33.000Z</t>
  </si>
  <si>
    <t>New Item :7360-4010-9090 New Serial Number :57-60590121 Old Item :7360-4010-9090 Old Serial Number :57-60588409</t>
  </si>
  <si>
    <t>2026-03-25T16:40:46.000Z</t>
  </si>
  <si>
    <t>SCO16 has a coin recycler error-Transfer chamber has overflowed  [Generated by Portal Login: most14 Contact: Staci Mowder 3096133038 ftfmsupport@rdspos.com]</t>
  </si>
  <si>
    <t>2026-03-24T19:11:56.000Z</t>
  </si>
  <si>
    <t>cr5000 at sco 16 had transfer chamber error, checked transfer chamber sensor, found penny wrapper piece, removed debris tested, device fully fucntional</t>
  </si>
  <si>
    <t>2026-03-25T16:40:44.000Z</t>
  </si>
  <si>
    <t>SCO16 has a coin recycler error-Transfer chamber has overflowed  [Generated by Portal Login: most14 Contact: Staci Mowder 3096133038 ftfmsupport@rdspos.com]-CE IS NOW US133A17-cr5000 at sco 16 had transfer chamber error, checked transfer chamber sensor, found penny wrapper piece, removed debris tested, device fully fucntional-New Item :7360-4010-9090 New Serial Number :57-60590121 Old Item :7360-4010-9090 Old Serial Number :57-60588409</t>
  </si>
  <si>
    <t>2026-07-29T19:33:11.000Z</t>
  </si>
  <si>
    <t>2026-07-29T13:48:00.000Z</t>
  </si>
  <si>
    <t>2026-07-29T18:48:00.000Z</t>
  </si>
  <si>
    <t>2026-07-29T14:19:00.000Z</t>
  </si>
  <si>
    <t>2026-07-29T19:19:00.000Z</t>
  </si>
  <si>
    <t>2026-07-29T11:34:25.000Z</t>
  </si>
  <si>
    <t>2026-07-29T16:34:25.000Z</t>
  </si>
  <si>
    <t>paper from a coin roll stuck in the coin recycler</t>
  </si>
  <si>
    <t>2026-07-29T14:20:10.000Z</t>
  </si>
  <si>
    <t>opto sensor was blocked, track is clear, found a small piece of a paper coin roll stuck in the chamber, cleared and tested ok with Ashley</t>
  </si>
  <si>
    <t>2026-07-29T14:20:12.000Z</t>
  </si>
  <si>
    <t>SCO16 has a Coin recycler error - Transfer chamber has overflowed  [Generated by Portal Login: most14 Contact: Staci Mowder 2694689716 FTFMSupport@rdspos.com]</t>
  </si>
  <si>
    <t>CE IS NOW US153M60</t>
  </si>
  <si>
    <t>2026-07-29T11:35:10.000Z</t>
  </si>
  <si>
    <t>CE WAS US153M60</t>
  </si>
  <si>
    <t>2026-07-29T11:37:10.000Z</t>
  </si>
  <si>
    <t>SCO16 has a Coin recycler error - Transfer chamber has overflowed  [Generated by Portal Login: most14 Contact: Staci Mowder 2694689716 FTFMSupport@rdspos.com]-CE IS NOW US153M60-CE WAS US153M60-CE IS NOW US153N60-paper from a coin roll stuck in the coin recycler-opto sensor was blocked, track is clear, found a small piece of a paper coin roll stuck in the chamber, cleared and tested ok with Ashley-New Item :7360-4010-9090 New Serial Number :57-60587726 Old Item :7360-4010-9090 Old Serial Number :57-60591370</t>
  </si>
  <si>
    <t>2026-06-03T22:15:40.000Z</t>
  </si>
  <si>
    <t>2026-06-03T16:30:00.000Z</t>
  </si>
  <si>
    <t>2026-06-03T21:30:00.000Z</t>
  </si>
  <si>
    <t>2026-06-03T16:58:00.000Z</t>
  </si>
  <si>
    <t>2026-06-03T21:58:00.000Z</t>
  </si>
  <si>
    <t>2026-06-03T13:44:24.000Z</t>
  </si>
  <si>
    <t>2026-06-03T18:44:24.000Z</t>
  </si>
  <si>
    <t>scanned barcode, examined issues, counts are incorrect. cleared coin counts, reloaded coins, test good</t>
  </si>
  <si>
    <t>2026-06-03T16:29:07.000Z</t>
  </si>
  <si>
    <t>2026-06-03T16:58:59.000Z</t>
  </si>
  <si>
    <t>SCO13 not dispensing nickels  [Generated by Portal Login: most14 Contact: Staci Mowder 3096133038 ftfmsupport@rdspos.com]</t>
  </si>
  <si>
    <t>2026-06-03T13:45:09.000Z</t>
  </si>
  <si>
    <t>user error</t>
  </si>
  <si>
    <t>SCO13 not dispensing nickels  [Generated by Portal Login: most14 Contact: Staci Mowder 3096133038 ftfmsupport@rdspos.com]-CE IS NOW US153R19-user error-scanned barcode, examined issues, counts are incorrect. cleared coin counts, reloaded coins, test good-New Item :7360-4010-9090 New Serial Number :57-60588469 Old Item :7360-4010-9090 Old Serial Number :57-60591365</t>
  </si>
  <si>
    <t>2025-09-13T19:02:50.000Z</t>
  </si>
  <si>
    <t>57-60590102</t>
  </si>
  <si>
    <t>2025-09-12T14:37:00.000Z</t>
  </si>
  <si>
    <t>2025-09-12T19:37:00.000Z</t>
  </si>
  <si>
    <t>2025-09-13T13:46:00.000Z</t>
  </si>
  <si>
    <t>2025-09-13T18:46:00.000Z</t>
  </si>
  <si>
    <t>2025-09-12T08:07:02.000Z</t>
  </si>
  <si>
    <t>2025-09-12T13:07:02.000Z</t>
  </si>
  <si>
    <t>2025-09-12T13:07:05.000Z</t>
  </si>
  <si>
    <t>2025-09-12T08:07:05.000Z</t>
  </si>
  <si>
    <t>Oracle Order Shipped for Remedy Id: U018749949, Order/Receipt # 181691705, Ordered Part 4970534153, Part Description - UPS (N70-800) LV 100V/120V 800VA with USB communication Port and EMC Improvements, Shipment/Receipt #2110628699, Part has been Shipped, Qty 1, Priority OVERNIGHT, Shipping Method UPS-Air-Next Day Air, BOL/Job 1ZH92Y054401550608, Source Location PTC AVL</t>
  </si>
  <si>
    <t>2025-09-12T21:04:24.000Z</t>
  </si>
  <si>
    <t>Register 16 needed a new power supply. Shut down the register and remove the old backup power supply. Install the new backup power supply and connect all the cables. powered up the register with no problems. register 16 is ready for business. certified by checkout Maddie.</t>
  </si>
  <si>
    <t>2025-09-13T13:48:01.000Z</t>
  </si>
  <si>
    <t>New Item :7360-4010-9090 New Serial Number :57-60590102 Old Item :7360-4010-9090 Old Serial Number :57-60590099</t>
  </si>
  <si>
    <t>2025-09-13T13:48:03.000Z</t>
  </si>
  <si>
    <t>SCO 16 needs the battery backup replaced  [Generated by Portal Login: besa14 Contact: Sabrina Bechtel 715-498-6611 ftfmsupport@rdspos.com]</t>
  </si>
  <si>
    <t>2025-09-12T08:07:06.000Z</t>
  </si>
  <si>
    <t>2025-09-12T08:07:14.000Z</t>
  </si>
  <si>
    <t>With instructions from manager Mike, we're going to order a new backup power supply as they've had trouble with this other one. Just suspending a ticket to order a backup.</t>
  </si>
  <si>
    <t>2025-09-12T14:43:15.000Z</t>
  </si>
  <si>
    <t>SCO 16 needs the battery backup replaced  [Generated by Portal Login: besa14 Contact: Sabrina Bechtel 715-498-6611 ftfmsupport@rdspos.com]-CE IS NOW US153R72-With instructions from manager Mike, we're going to order a new backup power supply as they've had trouble with this other one. Just suspending a ticket to order a backup.-LOM order processing, Part has been Ordered , Remedy Id 000000014861620 - (Pick Up)ARDEN HILLS by Agent Auto CE pickup-LOM order processing, Part has been Ordered , Remedy Id FSC5328386 - (Next Day) by Agent to250050-Oracle Order Shipped for Remedy Id: U018749951, Order/Receipt # 181691662, Ordered Part 4970534153, Part Description - UPS (N70-800) LV 100V/120V 800VA with USB communication Port and EMC Improvements, Shipment/Receipt #2110628060, Part has been Shipped, Qty 1, Priority OVERNIGHT, Shipping Method UPS-Air-Next Day Air, BOL/Job 1ZH92Y054401550153, Source Location PTC AVL-Oracle Order Shipped for Remedy Id: U018749949, Order/Receipt # 181691705, Ordered Part 4970534153, Part Description - UPS (N70-800) LV 100V/120V 800VA with USB communication Port and EMC Improvements, Shipment/Receipt #2110628699, Part has been Shipped, Qty 1, Priority OVERNIGHT, Shipping Method UPS-Air-Next Day Air, BOL/Job 1ZH92Y054401550608, Source Location PTC AVL-Register 16 needed a new power supply. Shut down the register and remove the old backup power supply. Install the new backup power supply and connect all the cables. powered up the register with no problems. register 16 is ready for business. certified by checkout Maddie.-New Item :7360-4010-9090 New Serial Number :57-60590102 Old Item :7360-4010-9090 Old Serial Number :57-60590099</t>
  </si>
  <si>
    <t>2026-06-07T22:12:27.000Z</t>
  </si>
  <si>
    <t>2026-06-07T15:52:00.000Z</t>
  </si>
  <si>
    <t>2026-06-07T19:52:00.000Z</t>
  </si>
  <si>
    <t>2026-06-07T17:59:00.000Z</t>
  </si>
  <si>
    <t>2026-06-07T21:59:00.000Z</t>
  </si>
  <si>
    <t>2026-06-05T15:35:05.000Z</t>
  </si>
  <si>
    <t>2026-06-05T19:35:05.000Z</t>
  </si>
  <si>
    <t>CEM4202464:grinding noise</t>
  </si>
  <si>
    <t>2026-06-07T18:00:02.000Z</t>
  </si>
  <si>
    <t>arrived to site replace the grinding Top Model restarted the land and then test lane for full function.</t>
  </si>
  <si>
    <t>2026-06-07T18:00:05.000Z</t>
  </si>
  <si>
    <t>SCO12 has a Note recycler error  [Generated by Portal Login: most14 Contact: Staci Mowder 2694689716 FTFMSupport@rdspos.com]</t>
  </si>
  <si>
    <t>2026-06-05T16:01:40.000Z</t>
  </si>
  <si>
    <t>2026-06-06T06:13:59.000Z</t>
  </si>
  <si>
    <t>SCO12 has a Note recycler error  [Generated by Portal Login: most14 Contact: Staci Mowder 2694689716 FTFMSupport@rdspos.com]-CE IS NOW US133B35-CE WAS US133B35-CE IS NOW US133B52-top mod-CEM4202464:grinding noise-arrived to site replace the grinding Top Model restarted the land and then test lane for full function.-New Item :7360-4010-9090 New Serial Number :57-60595346 Old Item :7360-4010-9090 Old Serial Number :57-60595346</t>
  </si>
  <si>
    <t>2025-10-09T18:05:47.000Z</t>
  </si>
  <si>
    <t>2025-10-09T12:09:00.000Z</t>
  </si>
  <si>
    <t>2025-10-09T17:09:00.000Z</t>
  </si>
  <si>
    <t>2025-10-09T12:49:00.000Z</t>
  </si>
  <si>
    <t>2025-10-09T17:49:00.000Z</t>
  </si>
  <si>
    <t>TL185158</t>
  </si>
  <si>
    <t>2025-10-07T11:57:34.000Z</t>
  </si>
  <si>
    <t>2025-10-07T16:57:34.000Z</t>
  </si>
  <si>
    <t>CE IS NOW US153N46</t>
  </si>
  <si>
    <t>2025-10-09T09:04:41.000Z</t>
  </si>
  <si>
    <t>upon arrival found nickels jammed in sorter path dt sorter cable blocking.   moved cable into necessary position clearedjam and tested. issue resolved</t>
  </si>
  <si>
    <t>2025-10-09T12:50:28.000Z</t>
  </si>
  <si>
    <t>2025-10-09T12:50:31.000Z</t>
  </si>
  <si>
    <t>SCO 15 has a coin recycler error sorter module not seated error code 16-6-0-99-524801  [Generated by Portal Login: besa14 Contact: Sabrina Bechtel 715-498-6611 ftfmsupport@rdspos.com]</t>
  </si>
  <si>
    <t>2025-10-07T13:17:58.000Z</t>
  </si>
  <si>
    <t>CE WAS US153N45</t>
  </si>
  <si>
    <t>2025-10-09T09:04:31.000Z</t>
  </si>
  <si>
    <t>SCO 15 has a coin recycler error sorter module not seated error code 16-6-0-99-524801  [Generated by Portal Login: besa14 Contact: Sabrina Bechtel 715-498-6611 ftfmsupport@rdspos.com]-CE IS NOW US153N45-CE WAS US153N45-CE IS NOW US153N46-upon arrival found nickels jammed in sorter path dt sorter cable blocking.   moved cable into necessary position clearedjam and tested. issue resolved-New Item :7360-4010-9090 New Serial Number :57-60595294 Old Item :7360-4010-9090 Old Serial Number :57-60595294</t>
  </si>
  <si>
    <t>2025-11-22T15:57:48.000Z</t>
  </si>
  <si>
    <t>2025-11-22T09:18:00.000Z</t>
  </si>
  <si>
    <t>2025-11-22T15:18:00.000Z</t>
  </si>
  <si>
    <t>2025-11-22T09:43:00.000Z</t>
  </si>
  <si>
    <t>2025-11-22T15:43:00.000Z</t>
  </si>
  <si>
    <t>TD185152</t>
  </si>
  <si>
    <t>2025-11-21T18:14:42.000Z</t>
  </si>
  <si>
    <t>2025-11-22T00:14:42.000Z</t>
  </si>
  <si>
    <t>2025-11-22T00:14:48.000Z</t>
  </si>
  <si>
    <t>2025-11-21T18:14:48.000Z</t>
  </si>
  <si>
    <t>billable. no fault found. upon arrival staff said machine was off and after rebooting diagnostics showed no error for gsr50 dollar side nor for coin side. successfully tested dispense ans accept for both dollar side and coin side successfully and thrn rebooting to normal mode.</t>
  </si>
  <si>
    <t>2025-11-22T09:43:22.000Z</t>
  </si>
  <si>
    <t>2025-11-22T09:43:23.000Z</t>
  </si>
  <si>
    <t>Note recycler offline. Devices in error, Scanner scale offline.  [Generated by Portal Login: coas14 Contact: Ashley Cooper 3092131564 FTFMSupport@rdspos.com]</t>
  </si>
  <si>
    <t>2025-11-21T18:14:49.000Z</t>
  </si>
  <si>
    <t>CE IS NOW US153R55</t>
  </si>
  <si>
    <t>2025-11-21T18:18:32.000Z</t>
  </si>
  <si>
    <t>Note recycler offline. Devices in error, Scanner scale offline.  [Generated by Portal Login: coas14 Contact: Ashley Cooper 3092131564 FTFMSupport@rdspos.com]-CE IS NOW US153R55-billable. no fault found. upon arrival staff said machine was off and after rebooting diagnostics showed no error for gsr50 dollar side nor for coin side. successfully tested dispense ans accept for both dollar side and coin side successfully and thrn rebooting to normal mode.-billable. no fault found. upon arrival staff said machine was off and after rebooting diagnostics showed no error for gsr50 dollar side nor for coin side. successfully tested dispense ans accept for both dollar side and coin side successfully and thrn rebooting to normal mode.-New Item :7360-4010-9090 New Serial Number :57-60588452 Old Item :7360-4010-9090 Old Serial Number :57-60588452</t>
  </si>
  <si>
    <t>2025-11-22T02:04:52.000Z</t>
  </si>
  <si>
    <t>2025-11-21T19:40:00.000Z</t>
  </si>
  <si>
    <t>2025-11-22T00:40:00.000Z</t>
  </si>
  <si>
    <t>2025-11-21T20:43:00.000Z</t>
  </si>
  <si>
    <t>2025-11-22T01:43:00.000Z</t>
  </si>
  <si>
    <t>2025-11-20T20:39:32.000Z</t>
  </si>
  <si>
    <t>2025-11-21T01:39:32.000Z</t>
  </si>
  <si>
    <t>cr5000 was originally not dispensing quarters. After troubleshooting,  found coin wrapper paper in the transfer track. When testing resolution,  cr5000 stopped accepting dimes. replaced coin validator, cr500 started accepting coins.</t>
  </si>
  <si>
    <t>2025-11-21T20:47:54.000Z</t>
  </si>
  <si>
    <t>2025-11-21T20:47:56.000Z</t>
  </si>
  <si>
    <t>Still will not dispense coins  [Generated by Portal Login: coas14 Contact: Ashley  309-213-1564 FTFMSupport@rdspos.com]</t>
  </si>
  <si>
    <t>2025-11-20T20:48:04.000Z</t>
  </si>
  <si>
    <t>CEM4016391:wont take dimes</t>
  </si>
  <si>
    <t>Still will not dispense coins  [Generated by Portal Login: coas14 Contact: Ashley  309-213-1564 FTFMSupport@rdspos.com]-CE IS NOW US133E75-CEM4016391:wont take dimes-cr5000 was originally not dispensing quarters. After troubleshooting,  found coin wrapper paper in the transfer track. When testing resolution,  cr5000 stopped accepting dimes. replaced coin validator, cr500 started accepting coins.-New Item :7360-4010-9090 New Serial Number :57-60588417 Old Item :7360-4010-9090 Old Serial Number :57-60587719</t>
  </si>
  <si>
    <t>2025-10-26T00:00:38.000Z</t>
  </si>
  <si>
    <t>2025-10-24T19:20:00.000Z</t>
  </si>
  <si>
    <t>2025-10-25T00:20:00.000Z</t>
  </si>
  <si>
    <t>2025-10-25T18:43:00.000Z</t>
  </si>
  <si>
    <t>2025-10-25T23:43:00.000Z</t>
  </si>
  <si>
    <t>2025-10-24T14:19:11.000Z</t>
  </si>
  <si>
    <t>2025-10-24T19:19:11.000Z</t>
  </si>
  <si>
    <t>I arrived on site and used parts of Travis validator to fix my validator. Both of our new validators came damaged due to poor shipping methods. Hopefully, this will be fixed soon. Replaced after merging the parts together and it was good to go. Job completed</t>
  </si>
  <si>
    <t>2025-10-25T18:48:12.000Z</t>
  </si>
  <si>
    <t>2025-10-25T18:48:14.000Z</t>
  </si>
  <si>
    <t>SCO 13 came up with a recycler error code 15-9-0-5-24832  [Generated by Portal Login: besa14 Contact: Sabrina Bechtel 715-498-6611 ftfmsupport@rdspos.com]</t>
  </si>
  <si>
    <t>2025-10-24T14:19:12.000Z</t>
  </si>
  <si>
    <t>2025-10-24T14:23:03.000Z</t>
  </si>
  <si>
    <t>Coin recycler and coin exchange fell out. [Remark added by: Ashley Portal Login: coas14 Phone Number: 3092131564 Email Address: FTFMSupport@rdspos.com]</t>
  </si>
  <si>
    <t>2025-10-24T18:13:35.000Z</t>
  </si>
  <si>
    <t>SCO 13 came up with a recycler error code 15-9-0-5-24832  [Generated by Portal Login: besa14 Contact: Sabrina Bechtel 715-498-6611 ftfmsupport@rdspos.com]-CE IS NOW US153N63- Coin recycler and coin exchange fell out. [Remark added by: Ashley Portal Login: coas14 Phone Number: 3092131564 Email Address: FTFMSupport@rdspos.com]-validator has physically come apart, screw mounts broken. do not have replacement on hand, suspending for later service.-CEM3967891:filthy and nonfunctional-validator filthy and errors out-obf validator. suspending.-CE IS NOW US153N62-CEM3992865:Cannibalized validated, do to poor shipping-I arrived on site and used parts of Travis validator to fix my validator. Both of our new validators came damaged due to poor shipping methods. Hopefully, this will be fixed soon. Replaced after merging the parts together and it was good to go. Job completed-I arrived on site and used parts of Travis validator to fix my validator. Both of our new validators came damaged due to poor shipping methods. Hopefully, this will be fixed soon. Replaced after merging the parts together and it was good to go. Job completed-New Item :7360-4010-9090 New Serial Number :57-60587731 Old Item :7360-4010-9090 Old Serial Number :57-60587731</t>
  </si>
  <si>
    <t>2025-12-21T11:25:14.000Z</t>
  </si>
  <si>
    <t>2025-12-21T05:51:00.000Z</t>
  </si>
  <si>
    <t>2025-12-21T10:51:00.000Z</t>
  </si>
  <si>
    <t>2025-12-21T06:12:00.000Z</t>
  </si>
  <si>
    <t>2025-12-21T11:12:00.000Z</t>
  </si>
  <si>
    <t>2025-12-20T19:47:45.000Z</t>
  </si>
  <si>
    <t>2025-12-21T00:47:45.000Z</t>
  </si>
  <si>
    <t>charging for no fault found.  after troubleshooting the note recycler and the coin recycler  from PML, no fault found everything working fine tested with associate taylor, working successfully</t>
  </si>
  <si>
    <t>2025-12-21T06:13:00.000Z</t>
  </si>
  <si>
    <t>after troubleshooting the note recycler and the coin recycler  from PML, no fault found everything working fine tested with associate taylor, working successfully</t>
  </si>
  <si>
    <t>2025-12-21T06:13:01.000Z</t>
  </si>
  <si>
    <t>Note recycler error, unexpected note or debris detected by BIN1 sensor  [Generated by Portal Login: coas14 Contact: Ashley Cooper 3092131564 ftfmsupport@rdspos.com]</t>
  </si>
  <si>
    <t>2025-12-20T19:47:46.000Z</t>
  </si>
  <si>
    <t>2025-12-20T20:05:47.000Z</t>
  </si>
  <si>
    <t>2025-12-20T21:52:57.000Z</t>
  </si>
  <si>
    <t>Note recycler error, unexpected note or debris detected by BIN1 sensor  [Generated by Portal Login: coas14 Contact: Ashley Cooper 3092131564 ftfmsupport@rdspos.com]-CE IS NOW US133U01-CE WAS US133U01-CE IS NOW US133U14-charging for no fault found.  after troubleshooting the note recycler and the coin recycler  from PML, no fault found everything working fine tested with associate taylor, working successfully-after troubleshooting the note recycler and the coin recycler  from PML, no fault found everything working fine tested with associate taylor, working successfully-New Item :7360-4010-9090 New Serial Number :57-60587826 Old Item :7360-4010-9090 Old Serial Number :57-60588385</t>
  </si>
  <si>
    <t>2025-08-25T00:11:23.000Z</t>
  </si>
  <si>
    <t>57-60588405</t>
  </si>
  <si>
    <t>2025-08-24T19:38:00.000Z</t>
  </si>
  <si>
    <t>2025-08-24T23:38:00.000Z</t>
  </si>
  <si>
    <t>2025-08-24T19:54:00.000Z</t>
  </si>
  <si>
    <t>2025-08-24T23:54:00.000Z</t>
  </si>
  <si>
    <t>RN185148</t>
  </si>
  <si>
    <t>2025-08-24T14:05:03.000Z</t>
  </si>
  <si>
    <t>2025-08-24T18:05:03.000Z</t>
  </si>
  <si>
    <t>2025-08-24T18:05:06.000Z</t>
  </si>
  <si>
    <t>2025-08-24T14:05:06.000Z</t>
  </si>
  <si>
    <t>New Item :7360-4010-9090 New Serial Number :57-60588405 Old Item :7360-4010-9090 Old Serial Number :57-60588429</t>
  </si>
  <si>
    <t>2025-08-24T19:56:07.000Z</t>
  </si>
  <si>
    <t>Issue with transfer module/coin sorter on SCO 14  [Generated by Portal Login: most14 Contact: Staci Mowder 3096133038 ftfmsupport@rdspos.com]</t>
  </si>
  <si>
    <t>CE IS NOW US133C19</t>
  </si>
  <si>
    <t>2025-08-24T16:08:35.000Z</t>
  </si>
  <si>
    <t>The machine was giving the error for the transfer track overflowing. Removed coin box and found thay the track was fine, not overflowing or jammed. Removed panel behind hoppers and found a large piece of paper blocking the sensor. Removed this and put machine back together. Error was cleared and coin machine now works.</t>
  </si>
  <si>
    <t>2025-08-24T19:56:05.000Z</t>
  </si>
  <si>
    <t>Issue with transfer module/coin sorter on SCO 14  [Generated by Portal Login: most14 Contact: Staci Mowder 3096133038 ftfmsupport@rdspos.com]-CE IS NOW US133C19-The machine was giving the error for the transfer track overflowing. Removed coin box and found thay the track was fine, not overflowing or jammed. Removed panel behind hoppers and found a large piece of paper blocking the sensor. Removed this and put machine back together. Error was cleared and coin machine now works.-New Item :7360-4010-9090 New Serial Number :57-60588405 Old Item :7360-4010-9090 Old Serial Number :57-60588429</t>
  </si>
  <si>
    <t>2026-01-13T15:39:03.000Z</t>
  </si>
  <si>
    <t>2026-01-13T08:35:00.000Z</t>
  </si>
  <si>
    <t>2026-01-13T14:35:00.000Z</t>
  </si>
  <si>
    <t>2026-01-13T09:23:00.000Z</t>
  </si>
  <si>
    <t>2026-01-13T15:23:00.000Z</t>
  </si>
  <si>
    <t>2026-01-12T15:53:26.000Z</t>
  </si>
  <si>
    <t>2026-01-12T21:53:26.000Z</t>
  </si>
  <si>
    <t>2026-01-12T21:53:27.000Z</t>
  </si>
  <si>
    <t>2026-01-12T15:53:27.000Z</t>
  </si>
  <si>
    <t>replaced the active coinbox due to reject count exceeding limit errors and the validator due to intermittent motor errors, ran ADD, tested ok, local contact supervisor Jen</t>
  </si>
  <si>
    <t>2026-01-13T09:24:17.000Z</t>
  </si>
  <si>
    <t>1R-RETAIL:8P-COIN RECYCLER:CZ-COIN ACTIVE CASHBOX</t>
  </si>
  <si>
    <t>2026-01-13T09:24:19.000Z</t>
  </si>
  <si>
    <t>New Item :7360-4010-9090 New Serial Number :57-60591306 Old Item :7360-4010-9090 Old Serial Number :57-60587849</t>
  </si>
  <si>
    <t>2026-01-13T09:24:20.000Z</t>
  </si>
  <si>
    <t>SCO 15 has a coin recycler error validator motor error singulator error code 16-6-0-99-131843 SCO 15 is unusable until this error is cleared [Generated by Portal Login: besa14 Contact: Sabrina Bechtel 715-498-6611 ftfmsupport@rdspos.com]</t>
  </si>
  <si>
    <t>2026-01-12T15:53:28.000Z</t>
  </si>
  <si>
    <t>2026-01-12T16:05:37.000Z</t>
  </si>
  <si>
    <t>2026-01-13T05:25:48.000Z</t>
  </si>
  <si>
    <t>SCO 15 has a coin recycler error validator motor error singulator error code 16-6-0-99-131843 SCO 15 is unusable until this error is cleared [Generated by Portal Login: besa14 Contact: Sabrina Bechtel 715-498-6611 ftfmsupport@rdspos.com]-CE IS NOW US153N64-CE WAS US153N64-CE IS NOW US153N60-CEM4091721:intermittently throwing an error-CEM4091722:reject count exceeding errors-replaced the active coinbox due to reject count exceeding limit errors and the validator due to intermittent motor errors, ran ADD, tested ok, local contact supervisor Jen-1R-RETAIL:8P-COIN RECYCLER:CZ-COIN ACTIVE CASHBOX-New Item :7360-4010-9090 New Serial Number :57-60591306 Old Item :7360-4010-9090 Old Serial Number :57-60587849</t>
  </si>
  <si>
    <t>2025-09-03T19:45:57.000Z</t>
  </si>
  <si>
    <t>2025-09-01T20:15:00.000Z</t>
  </si>
  <si>
    <t>2025-09-02T01:15:00.000Z</t>
  </si>
  <si>
    <t>2025-09-03T14:30:00.000Z</t>
  </si>
  <si>
    <t>2025-09-03T19:30:00.000Z</t>
  </si>
  <si>
    <t>2025-09-01T07:36:39.000Z</t>
  </si>
  <si>
    <t>2025-09-01T12:36:39.000Z</t>
  </si>
  <si>
    <t>2025-09-01T12:36:42.000Z</t>
  </si>
  <si>
    <t>2025-09-01T07:36:42.000Z</t>
  </si>
  <si>
    <t>2025-09-03T14:30:41.000Z</t>
  </si>
  <si>
    <t>New Item :7360-4010-9090 New Serial Number :57-60590105 Old Item :7360-4010-9090 Old Serial Number :57-60590105</t>
  </si>
  <si>
    <t>2025-09-03T14:30:43.000Z</t>
  </si>
  <si>
    <t>2025-09-01T07:38:24.000Z</t>
  </si>
  <si>
    <t>-Customer states random shutdown on SCO Lane 15. -Customer request replacement of UPS on three SCO's. Confirmed with Patrick Reeves ph# 309-241-1908 email: ftfmsupport@rdspos.com. -UPS PID 4970527939. -On-site contacts: Katie Front End Lead &amp;amp; Kaitlyn MOD.</t>
  </si>
  <si>
    <t>2025-09-01T20:23:56.000Z</t>
  </si>
  <si>
    <t>Battery backup is bad and needs to be replaced  [Generated by Portal Login: repa14 Contact: Patrick Reeves 3092411908 ftfmsupport@rdspos.com]-CE IS NOW US153R79--Customer states random shutdown on SCO Lane 15. -Customer request replacement of UPS on three SCO's. Confirmed with Patrick Reeves ph# 309-241-1908 email: ftfmsupport@rdspos.com. -UPS PID 4970527939. -On-site contacts: Katie Front End Lead &amp;amp; Kaitlyn MOD.-LOM order processing, Ordered Part 4970527939, CE Original Part 4970527939, Remedy Id FSC5314225 - (Pick Up)MN, Arden Hillsby Agent to250050-Oracle Order Shipped for Remedy Id: U018740533, Order/Receipt # 181665401, Ordered Part 4970534153, Part Description - UPS (N70-800) LV 100V/120V 800VA with USB communication Port and EMC Improvements, Shipment/Receipt #2110389628, Part has been Shipped, Qty 1, Priority OVERNIGHT, Shipping Method UPS-Air-Next Day Air Saver, BOL/Job 1ZH92Y061300476515, Source Location UFF USFMKE1G- This ticket can be closed, this location is having a power issue. [Remark added by: Ashle Cooper Portal Login: coas14 Phone Number: 309-213-1564 Email Address: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:57-60590105 Old Item :7360-4010-9090 Old Serial Number :57-60590105</t>
  </si>
  <si>
    <t>2026-02-23T19:10:43.000Z</t>
  </si>
  <si>
    <t>2026-02-23T12:43:00.000Z</t>
  </si>
  <si>
    <t>2026-02-23T18:43:00.000Z</t>
  </si>
  <si>
    <t>2026-02-23T12:56:00.000Z</t>
  </si>
  <si>
    <t>2026-02-23T18:56:00.000Z</t>
  </si>
  <si>
    <t>2026-02-23T08:32:48.000Z</t>
  </si>
  <si>
    <t>2026-02-23T14:32:48.000Z</t>
  </si>
  <si>
    <t>2026-02-23T12:25:09.000Z</t>
  </si>
  <si>
    <t>tested with Katie and working good to go</t>
  </si>
  <si>
    <t>2026-02-23T12:56:28.000Z</t>
  </si>
  <si>
    <t>2026-02-23T12:56:30.000Z</t>
  </si>
  <si>
    <t>SCO 15 battery back up needs replaced, sco will not power on  [Generated by Portal Login: besa14 Contact: Sabrina Bechtel 715-498-6611 ftfmsupport@rdspos.com]</t>
  </si>
  <si>
    <t>2026-02-23T08:32:49.000Z</t>
  </si>
  <si>
    <t>2026-02-23T08:36:15.000Z</t>
  </si>
  <si>
    <t>2026-02-23T08:38:01.000Z</t>
  </si>
  <si>
    <t>SCO 15 battery back up needs replaced, sco will not power on  [Generated by Portal Login: besa14 Contact: Sabrina Bechtel 715-498-6611 ftfmsupport@rdspos.com]-CE IS NOW US153C17-CE WAS US153C17-CE IS NOW US153C07-CE IS NOW US153C07-tested with Katie and working good to go-New Item :7360-4010-9090 New Serial Number :57-60595352 Old Item :7360-4010-9090 Old Serial Number :57-60595352</t>
  </si>
  <si>
    <t>2026-03-24T23:01:15.000Z</t>
  </si>
  <si>
    <t>2026-03-24T18:12:00.000Z</t>
  </si>
  <si>
    <t>2026-03-24T22:12:00.000Z</t>
  </si>
  <si>
    <t>2026-03-24T18:46:00.000Z</t>
  </si>
  <si>
    <t>2026-03-24T22:46:00.000Z</t>
  </si>
  <si>
    <t>2026-03-24T13:13:09.000Z</t>
  </si>
  <si>
    <t>2026-03-24T17:13:09.000Z</t>
  </si>
  <si>
    <t>2026-03-24T17:13:10.000Z</t>
  </si>
  <si>
    <t>2026-03-24T13:13:10.000Z</t>
  </si>
  <si>
    <t>Cleared 5 quarters and plastic debris blocking validator path. Debris unjammed and manager Bridgette ran test cash transaction with no issues.</t>
  </si>
  <si>
    <t>2026-03-24T18:46:49.000Z</t>
  </si>
  <si>
    <t>New Item :7360-4010-9090 New Serial Number :57-60588402 Old Item :7360-4010-9090 Old Serial Number :57-60591352</t>
  </si>
  <si>
    <t>2026-03-24T18:46:50.000Z</t>
  </si>
  <si>
    <t>SCO 11 has a coin recycler error accept/reject flap not working or jammed error code 16-6-0-99-132097  [Generated by Portal Login: besa14 Contact: Sabrina Bechtel 715-498-6611 ftfmsupport@rdspos.com]</t>
  </si>
  <si>
    <t>2026-03-24T15:02:56.000Z</t>
  </si>
  <si>
    <t>Clearing debris issues is customer responsibility.</t>
  </si>
  <si>
    <t>SCO 11 has a coin recycler error accept/reject flap not working or jammed error code 16-6-0-99-132097  [Generated by Portal Login: besa14 Contact: Sabrina Bechtel 715-498-6611 ftfmsupport@rdspos.com]-CE IS NOW US133E73-Clearing debris issues is customer responsibility.-Cleared 5 quarters and plastic debris blocking validator path. Debris unjammed and manager Bridgette ran test cash transaction with no issues.-New Item :7360-4010-9090 New Serial Number :57-60588402 Old Item :7360-4010-9090 Old Serial Number :57-60591352</t>
  </si>
  <si>
    <t>2025-09-29T16:50:29.000Z</t>
  </si>
  <si>
    <t>57-60588460</t>
  </si>
  <si>
    <t>2025-09-29T11:28:00.000Z</t>
  </si>
  <si>
    <t>2025-09-29T16:28:00.000Z</t>
  </si>
  <si>
    <t>2025-09-29T11:37:00.000Z</t>
  </si>
  <si>
    <t>2025-09-29T16:37:00.000Z</t>
  </si>
  <si>
    <t>2025-09-29T11:02:18.000Z</t>
  </si>
  <si>
    <t>2025-09-29T16:02:18.000Z</t>
  </si>
  <si>
    <t>New Item :7360-4010-9090 New Serial Number :57-60588460 Old Item :7360-4010-9090 Old Serial Number :57-60588460</t>
  </si>
  <si>
    <t>2025-09-29T11:38:04.000Z</t>
  </si>
  <si>
    <t>Printer is off the track  [Generated by Portal Login: coas14 Contact: Ashley 309-213-1564 ftfmsupport@rdspos.com]</t>
  </si>
  <si>
    <t>2025-09-29T11:04:24.000Z</t>
  </si>
  <si>
    <t>checked in with manager kim advised recipt printer is off track reattached printer and replaced missing screw printer test successfully with manager kim</t>
  </si>
  <si>
    <t>2025-09-29T11:38:01.000Z</t>
  </si>
  <si>
    <t>Printer is off the track  [Generated by Portal Login: coas14 Contact: Ashley 309-213-1564 ftfmsupport@rdspos.com]-CE IS NOW US153R71-checked in with manager kim advised recipt printer is off track reattached printer and replaced missing screw printer test successfully with manager kim-New Item :7360-4010-9090 New Serial Number :57-60588460 Old Item :7360-4010-9090 Old Serial Number :57-60588460</t>
  </si>
  <si>
    <t>2025-11-30T22:59:04.000Z</t>
  </si>
  <si>
    <t>2025-11-30T16:45:00.000Z</t>
  </si>
  <si>
    <t>2025-11-30T21:45:00.000Z</t>
  </si>
  <si>
    <t>2025-11-30T17:24:00.000Z</t>
  </si>
  <si>
    <t>2025-11-30T22:24:00.000Z</t>
  </si>
  <si>
    <t>2025-11-30T14:14:08.000Z</t>
  </si>
  <si>
    <t>2025-11-30T19:14:08.000Z</t>
  </si>
  <si>
    <t>2025-11-30T19:14:11.000Z</t>
  </si>
  <si>
    <t>2025-11-30T14:14:11.000Z</t>
  </si>
  <si>
    <t>CEM3996548:defective</t>
  </si>
  <si>
    <t>2025-11-30T17:46:55.000Z</t>
  </si>
  <si>
    <t>I remove the jammed from the active coinbox, Coinbox still had error. I replaced it and it is working properly.</t>
  </si>
  <si>
    <t>2025-11-30T17:46:56.000Z</t>
  </si>
  <si>
    <t>2025-11-30T17:46:58.000Z</t>
  </si>
  <si>
    <t>CO 14 has a coin recycler error no tachs on active coin box track motorerror code 16-6-0-99-459779  [Generated by Portal Login: besa14 Contact: Sabrina Bechtel 715-498-6611 ftfmsupport@rdspos.com]</t>
  </si>
  <si>
    <t>2025-11-30T14:16:36.000Z</t>
  </si>
  <si>
    <t>2025-11-30T16:30:21.000Z</t>
  </si>
  <si>
    <t>CO 14 has a coin recycler error no tachs on active coin box track motorerror code 16-6-0-99-459779  [Generated by Portal Login: besa14 Contact: Sabrina Bechtel 715-498-6611 ftfmsupport@rdspos.com]-CE IS NOW US133A15-CE WAS US133A15-CE IS NOW US133A18-CE IS NOW US133A18-CEM3996548:defective-I remove the jammed from the active coinbox, Coinbox still had error. I replaced it and it is working properly.-New Item :7360-4010-9090 New Serial Number :57-60591389 Old Item :7360-4010-9090 Old Serial Number :57-60591389</t>
  </si>
  <si>
    <t>2025-11-05T21:27:19.000Z</t>
  </si>
  <si>
    <t>2025-11-05T14:08:00.000Z</t>
  </si>
  <si>
    <t>2025-11-05T19:08:00.000Z</t>
  </si>
  <si>
    <t>2025-11-05T16:14:00.000Z</t>
  </si>
  <si>
    <t>2025-11-05T21:14:00.000Z</t>
  </si>
  <si>
    <t>2025-11-05T12:53:34.000Z</t>
  </si>
  <si>
    <t>2025-11-05T17:53:34.000Z</t>
  </si>
  <si>
    <t>2025-11-05T17:53:35.000Z</t>
  </si>
  <si>
    <t>2025-11-05T12:53:35.000Z</t>
  </si>
  <si>
    <t>New Item :7360-4010-9090 New Serial Number :57-60588384 Old Item :7360-4010-9090 Old Serial Number :57-60595308</t>
  </si>
  <si>
    <t>2025-11-05T15:50:04.000Z</t>
  </si>
  <si>
    <t>assisted c54 in troubleshooting and fixing the sco. tested unit with no further problems</t>
  </si>
  <si>
    <t>2025-11-05T16:14:27.000Z</t>
  </si>
  <si>
    <t>New Item :7360-4010-9090 New Serial Number :57-60595308 Old Item :7360-4010-9090 Old Serial Number :57-60588384</t>
  </si>
  <si>
    <t>2025-11-05T16:14:30.000Z</t>
  </si>
  <si>
    <t>SCO13 has a coin recycler error-coin box motor jam  [Generated by Portal Login: most14 Contact: Staci Mowder 3096133038 ftfmsupport@rdspos.com]</t>
  </si>
  <si>
    <t>2025-11-05T12:54:02.000Z</t>
  </si>
  <si>
    <t>CE WAS US133C52</t>
  </si>
  <si>
    <t>2025-11-05T13:29:53.000Z</t>
  </si>
  <si>
    <t>SCO13 has a coin recycler error-coin box motor jam  [Generated by Portal Login: most14 Contact: Staci Mowder 3096133038 ftfmsupport@rdspos.com]-CE IS NOW US133C52-CE WAS US133C52-CE IS NOW US133C54-CE IS NOW US133C54-CE IS NOW US133C52-CEM3965942:motor failure-Arrived on site and terminal appeared to be working correctly. Ran PML and tested coins, dimes and nickels occasionally would not dispense but I could not consistently recreate it. When the recycler was self-testing, active coin box sounded abnormal despite seeming to work. Replaced active coin box and tested with no issues.-New Item :7360-4010-9090 New Serial Number :57-60588384 Old Item :7360-4010-9090 Old Serial Number :57-60595308-assisted c54 in troubleshooting and fixing the sco. tested unit with no further problems-New Item :7360-4010-9090 New Serial Number :57-60595308 Old Item :7360-4010-9090 Old Serial Number :57-60588384</t>
  </si>
  <si>
    <t>Arrived on site and terminal appeared to be working correctly. Ran PML and tested coins, dimes and nickels occasionally would not dispense but I could not consistently recreate it. When the recycler was self-testing, active coin box sounded abnormal despite seeming to work. Replaced active coin box and tested with no issues.</t>
  </si>
  <si>
    <t>2025-11-05T15:50:02.000Z</t>
  </si>
  <si>
    <t>2025-08-26T21:22:54.000Z</t>
  </si>
  <si>
    <t>57-60591643</t>
  </si>
  <si>
    <t>2025-08-26T16:50:00.000Z</t>
  </si>
  <si>
    <t>2025-08-26T20:50:00.000Z</t>
  </si>
  <si>
    <t>2025-08-26T17:09:00.000Z</t>
  </si>
  <si>
    <t>2025-08-26T21:09:00.000Z</t>
  </si>
  <si>
    <t>2025-08-25T14:50:52.000Z</t>
  </si>
  <si>
    <t>2025-08-25T18:50:52.000Z</t>
  </si>
  <si>
    <t>2025-08-25T18:50:55.000Z</t>
  </si>
  <si>
    <t>2025-08-25T14:50:55.000Z</t>
  </si>
  <si>
    <t>ups replacement</t>
  </si>
  <si>
    <t>2025-08-26T17:10:38.000Z</t>
  </si>
  <si>
    <t>ups not powering on. replaced unit and powered on sco. returned to service</t>
  </si>
  <si>
    <t>New Item :7360-4010-9090 New Serial Number :57-60591643 Old Item :7360-4010-9090 Old Serial Number :57-60591646</t>
  </si>
  <si>
    <t>SCO16 not powering on. May need new battery backup  [Generated by Portal Login: most14 Contact: Staci Mowder 3096133038 ftfmsupport@rdspos.com]</t>
  </si>
  <si>
    <t>2025-08-25T14:50:56.000Z</t>
  </si>
  <si>
    <t>CE IS NOW US133B48</t>
  </si>
  <si>
    <t>2025-08-25T14:51:51.000Z</t>
  </si>
  <si>
    <t>CE WAS US133B48</t>
  </si>
  <si>
    <t>2025-08-26T16:35:18.000Z</t>
  </si>
  <si>
    <t>SCO16 not powering on. May need new battery backup  [Generated by Portal Login: most14 Contact: Staci Mowder 3096133038 ftfmsupport@rdspos.com]-CE IS NOW US133B48-CE WAS US133B48-CE IS NOW US133B47-CEM3870447:dead battery-ups replacement-ups not powering on. replaced unit and powered on sco. returned to service-New Item :7360-4010-9090 New Serial Number :57-60591643 Old Item :7360-4010-9090 Old Serial Number :57-60591646</t>
  </si>
  <si>
    <t>2026-03-22T01:44:51.000Z</t>
  </si>
  <si>
    <t>57-60587727</t>
  </si>
  <si>
    <t>2026-03-21T20:00:00.000Z</t>
  </si>
  <si>
    <t>2026-03-22T01:00:00.000Z</t>
  </si>
  <si>
    <t>2026-03-21T20:30:00.000Z</t>
  </si>
  <si>
    <t>2026-03-22T01:30:00.000Z</t>
  </si>
  <si>
    <t>2026-03-21T13:45:00.000Z</t>
  </si>
  <si>
    <t>2026-03-21T18:45:00.000Z</t>
  </si>
  <si>
    <t>2026-03-21T14:00:19.000Z</t>
  </si>
  <si>
    <t>2026-03-21T20:31:10.000Z</t>
  </si>
  <si>
    <t>New Item :7360-4010-9090 New Serial Number :57-60587727 Old Item :7360-4010-9090 Old Serial Number :57-60587728</t>
  </si>
  <si>
    <t>2026-03-21T20:31:14.000Z</t>
  </si>
  <si>
    <t>SCO 12 powers down and when it does battery backup is beeping. Battery Backup needs to be replaced  [Generated by Portal Login: repa14 Contact: Patrick Reeves 3092411908 ftfmsupport@rdspos.com]</t>
  </si>
  <si>
    <t>2026-03-21T13:47:56.000Z</t>
  </si>
  <si>
    <t>2026-03-21T14:00:17.000Z</t>
  </si>
  <si>
    <t>SCO 12 powers down and when it does battery backup is beeping. Battery Backup needs to be replaced  [Generated by Portal Login: repa14 Contact: Patrick Reeves 3092411908 ftfmsupport@rdspos.com]-CE IS NOW US153R02-CE WAS US153R02-CE IS NOW US153R04-Shutdown SCO and replaced failing UPS/Battery Backup unit.-New Item :7360-4010-9090 New Serial Number :57-60587727 Old Item :7360-4010-9090 Old Serial Number :57-60587728</t>
  </si>
  <si>
    <t>2026-08-03T19:51:24.000Z</t>
  </si>
  <si>
    <t>57-60591322</t>
  </si>
  <si>
    <t>2026-08-03T15:15:00.000Z</t>
  </si>
  <si>
    <t>2026-08-03T19:15:00.000Z</t>
  </si>
  <si>
    <t>2026-08-03T15:37:00.000Z</t>
  </si>
  <si>
    <t>2026-08-03T19:37:00.000Z</t>
  </si>
  <si>
    <t>AF185074</t>
  </si>
  <si>
    <t>2026-08-02T22:05:51.000Z</t>
  </si>
  <si>
    <t>2026-08-03T02:05:51.000Z</t>
  </si>
  <si>
    <t>2026-08-03T11:25:35.000Z</t>
  </si>
  <si>
    <t>@@@ sco was error free on arrival..per mod Alemush..this has been working all day without issue..so I stress tested the note recycler for all denominations and paths..everything is working as should..@@@</t>
  </si>
  <si>
    <t>2026-08-03T15:38:08.000Z</t>
  </si>
  <si>
    <t>New Item :7360-4010-9090 New Serial Number :57-60591322 Old Item :7360-4010-9090 Old Serial Number :57-60587784</t>
  </si>
  <si>
    <t>2026-08-03T15:38:11.000Z</t>
  </si>
  <si>
    <t>SCO15 has a Note recycler error - Firmware error  [Generated by Portal Login: most14 Contact: Staci Mowder 2694689716 FTFMSupport@rdspos.com]</t>
  </si>
  <si>
    <t>2026-08-03T05:29:16.000Z</t>
  </si>
  <si>
    <t>@@@ store is closed till 8am.@@@</t>
  </si>
  <si>
    <t>2026-08-03T06:57:38.000Z</t>
  </si>
  <si>
    <t>SCO15 has a Note recycler error - Firmware error  [Generated by Portal Login: most14 Contact: Staci Mowder 2694689716 FTFMSupport@rdspos.com]-CE IS NOW US133B36-@@@ store is closed till 8am.@@@-CE WAS US133B36-CE IS NOW US133B33-@@@ sco was error free on arrival..per mod Alemush..this has been working all day without issue..so I stress tested the note recycler for all denominations and paths..everything is working as should..@@@-New Item :7360-4010-9090 New Serial Number :57-60591322 Old Item :7360-4010-9090 Old Serial Number :57-60587784</t>
  </si>
  <si>
    <t>2025-09-03T15:28:32.000Z</t>
  </si>
  <si>
    <t>57-60595293</t>
  </si>
  <si>
    <t>2025-09-03T09:07:00.000Z</t>
  </si>
  <si>
    <t>2025-09-03T14:07:00.000Z</t>
  </si>
  <si>
    <t>2025-09-03T10:10:00.000Z</t>
  </si>
  <si>
    <t>2025-09-03T15:10:00.000Z</t>
  </si>
  <si>
    <t>2025-09-02T11:31:09.000Z</t>
  </si>
  <si>
    <t>2025-09-02T16:31:09.000Z</t>
  </si>
  <si>
    <t>2025-09-02T22:38:38.000Z</t>
  </si>
  <si>
    <t>Arrived on site and tested self-checkout number 18. The coupon slot hanging on the cable and that is a reason why the customer was not able to close the front door. Mount the coupon slot and now everything is good</t>
  </si>
  <si>
    <t>2025-09-03T10:11:11.000Z</t>
  </si>
  <si>
    <t>New Item :7360-4010-9090 New Serial Number :57-60595293 Old Item :7360-4010-9090 Old Serial Number :57-60595293</t>
  </si>
  <si>
    <t>2025-09-03T10:11:13.000Z</t>
  </si>
  <si>
    <t>Coupon slot is broken off and hanging there making it difficult to close door on SCO18  [Generated by Portal Login: most14 Contact: Staci Mowder 3096133038 ftfmsupport@rdspos.com]</t>
  </si>
  <si>
    <t>2025-09-02T11:35:34.000Z</t>
  </si>
  <si>
    <t>CE WAS US153C19</t>
  </si>
  <si>
    <t>2025-09-02T11:55:01.000Z</t>
  </si>
  <si>
    <t>Coupon slot is broken off and hanging there making it difficult to close door on SCO18  [Generated by Portal Login: most14 Contact: Staci Mowder 3096133038 ftfmsupport@rdspos.com]-CE IS NOW US153C19-CE WAS US153C19-CE IS NOW US153C15-CE WAS US153C15-CE IS NOW US153C18-Arrived on site and tested self-checkout number 18. The coupon slot hanging on the cable and that is a reason why the customer was not able to close the front door. Mount the coupon slot and now everything is good-New Item :7360-4010-9090 New Serial Number :57-60595293 Old Item :7360-4010-9090 Old Serial Number :57-60595293</t>
  </si>
  <si>
    <t>2026-08-06T17:34:22.000Z</t>
  </si>
  <si>
    <t>2026-08-06T12:08:00.000Z</t>
  </si>
  <si>
    <t>2026-08-06T16:08:00.000Z</t>
  </si>
  <si>
    <t>2026-08-06T13:21:00.000Z</t>
  </si>
  <si>
    <t>2026-08-06T17:21:00.000Z</t>
  </si>
  <si>
    <t>2026-08-06T11:15:14.000Z</t>
  </si>
  <si>
    <t>2026-08-06T15:15:14.000Z</t>
  </si>
  <si>
    <t>2026-08-06T13:22:15.000Z</t>
  </si>
  <si>
    <t>Lock on cosmetic door is extreamly hard to open It has bent a key trying to access the inside of the SCO cabinet. If we fiddle with it enough, we can get the lock to spring, but the door does not open easily.  [Generated by Portal Login: coas14 Contact: Ashley Cooper 3092131564 ftfmsupport@rdspos.com]</t>
  </si>
  <si>
    <t>2026-08-06T11:16:47.000Z</t>
  </si>
  <si>
    <t>upon arrival the cosmetic door lock was difficult to operate. tried cleaning and rebooting to no avail. replaced the dual latch assembly and then tested unit with no further problems</t>
  </si>
  <si>
    <t>2026-08-06T13:22:13.000Z</t>
  </si>
  <si>
    <t>Lock on cosmetic door is extreamly hard to open It has bent a key trying to access the inside of the SCO cabinet. If we fiddle with it enough, we can get the lock to spring, but the door does not open easily.  [Generated by Portal Login: coas14 Contact: Ashley Cooper 3092131564 ftfmsupport@rdspos.com]-CE IS NOW US133C52-upon arrival the cosmetic door lock was difficult to operate. tried cleaning and rebooting to no avail. replaced the dual latch assembly and then tested unit with no further problems-New Item :7360-4010-9090 New Serial Number :57-60595308 Old Item :7360-4010-9090 Old Serial Number :57-60595308</t>
  </si>
  <si>
    <t>2025-11-28T23:57:58.000Z</t>
  </si>
  <si>
    <t>2025-11-28T16:43:00.000Z</t>
  </si>
  <si>
    <t>2025-11-28T22:43:00.000Z</t>
  </si>
  <si>
    <t>2025-11-28T17:44:00.000Z</t>
  </si>
  <si>
    <t>2025-11-28T23:44:00.000Z</t>
  </si>
  <si>
    <t>2025-11-28T08:51:25.000Z</t>
  </si>
  <si>
    <t>2025-11-28T14:51:25.000Z</t>
  </si>
  <si>
    <t>EQUIP NOT COVERED</t>
  </si>
  <si>
    <t>no fault found</t>
  </si>
  <si>
    <t>2025-11-28T17:46:04.000Z</t>
  </si>
  <si>
    <t>no issues found with the quarters on the coin recycler in register 11.  was able to dispense and accept all coins in pml and a cash test transaction. the card reader is not functioning but is out of scope.  informed manager Brad.</t>
  </si>
  <si>
    <t>New Item :7360-4010-9090 New Serial Number :57-60587856 Old Item :7360-4010-9090 Old Serial Number :57-60587849</t>
  </si>
  <si>
    <t>2025-11-28T17:46:05.000Z</t>
  </si>
  <si>
    <t>SCO 11 will not detect the quarters coin box. It will not accept or dispense any quarters.   [Generated by Portal Login: besa14 Contact: Sabrina Bechtel 715-498-6611 ftfmsupport@rdspos.com]</t>
  </si>
  <si>
    <t>2025-11-28T08:56:14.000Z</t>
  </si>
  <si>
    <t>2025-11-28T12:36:50.000Z</t>
  </si>
  <si>
    <t>SCO 11 will not detect the quarters coin box. It will not accept or dispense any quarters.   [Generated by Portal Login: besa14 Contact: Sabrina Bechtel 715-498-6611 ftfmsupport@rdspos.com]-CE IS NOW US153N78-CE WAS US153N78-CE IS NOW US153N62-LOM order processing, Part has been Ordered , Remedy Id 000000014924185 - (Pick Up)MO, Fentonby Agent Auto CE pickup-CE WAS US153N62-CE IS NOW US153N64-Oracle Order Shipped for Remedy Id: U018811736, Order/Receipt # 181893347, Ordered Part 4970524534, Part Description - CR5000 Hopper type B (service Part), Shipment/Receipt #2112410720, Part has been Shipped, Qty 1, Priority NFO, Shipping Method CE Pickup After Hours, BOL/Job NA, Source Location UFF USFSTL1G-no fault found-no issues found with the quarters on the coin recycler in register 11.  was able to dispense and accept all coins in pml and a cash test transaction. the card reader is not functioning but is out of scope.  informed manager Brad.-New Item :7360-4010-9090 New Serial Number :57-60587856 Old Item :7360-4010-9090 Old Serial Number :57-60587849</t>
  </si>
  <si>
    <t>2026-07-18T17:06:03.000Z</t>
  </si>
  <si>
    <t>2026-07-18T11:20:00.000Z</t>
  </si>
  <si>
    <t>2026-07-18T16:20:00.000Z</t>
  </si>
  <si>
    <t>2026-07-18T11:51:00.000Z</t>
  </si>
  <si>
    <t>2026-07-18T16:51:00.000Z</t>
  </si>
  <si>
    <t>2026-07-18T07:36:53.000Z</t>
  </si>
  <si>
    <t>2026-07-18T12:36:53.000Z</t>
  </si>
  <si>
    <t>there was a jam detected in the opto sensor, removed a paper scrap from the unit and tested ok, also corrected active coinbox counts, confirmed with supervisor Luke</t>
  </si>
  <si>
    <t>2026-07-18T11:53:11.000Z</t>
  </si>
  <si>
    <t>New Item :7360-4010-9090 New Serial Number :57-60587731 Old Item :7360-4010-9090 Old Serial Number :57-60587726</t>
  </si>
  <si>
    <t>2026-07-18T11:53:12.000Z</t>
  </si>
  <si>
    <t>Transfer Chamber is Jammed  [Generated by Portal Login: repa14 Contact: Patrick Reeves 3092411908 ftfmsupport@rdspos.com]</t>
  </si>
  <si>
    <t>2026-07-18T07:49:10.000Z</t>
  </si>
  <si>
    <t>paper stuck in the opto sensor</t>
  </si>
  <si>
    <t>Transfer Chamber is Jammed  [Generated by Portal Login: repa14 Contact: Patrick Reeves 3092411908 ftfmsupport@rdspos.com]-CE IS NOW US153N60-paper stuck in the opto sensor-there was a jam detected in the opto sensor, removed a paper scrap from the unit and tested ok, also corrected active coinbox counts, confirmed with supervisor Luke-New Item :7360-4010-9090 New Serial Number :57-60587731 Old Item :7360-4010-9090 Old Serial Number :57-60587726</t>
  </si>
  <si>
    <t>2026-03-24T18:34:07.000Z</t>
  </si>
  <si>
    <t>2026-03-21T12:44:00.000Z</t>
  </si>
  <si>
    <t>2026-03-21T17:44:00.000Z</t>
  </si>
  <si>
    <t>2026-03-24T13:16:00.000Z</t>
  </si>
  <si>
    <t>2026-03-24T18:16:00.000Z</t>
  </si>
  <si>
    <t>CHGC -   active coinbox destroyed by the customer</t>
  </si>
  <si>
    <t>EC240000</t>
  </si>
  <si>
    <t>2026-03-21T06:18:53.000Z</t>
  </si>
  <si>
    <t>2026-03-21T11:18:53.000Z</t>
  </si>
  <si>
    <t>2026-03-21T11:18:55.000Z</t>
  </si>
  <si>
    <t>2026-03-21T06:18:55.000Z</t>
  </si>
  <si>
    <t>replaced active cashbox destroyed by customer</t>
  </si>
  <si>
    <t>2026-03-24T13:16:05.000Z</t>
  </si>
  <si>
    <t>damaged by customer</t>
  </si>
  <si>
    <t>2026-03-24T13:16:06.000Z</t>
  </si>
  <si>
    <t>New Item :7360-4010-9090 New Serial Number :57-60587774 Old Item :7360-4010-9090 Old Serial Number :57-60587787</t>
  </si>
  <si>
    <t>2026-03-24T13:17:46.000Z</t>
  </si>
  <si>
    <t>SCO 13 Coin Box jammed. Customer took apart and now can't get it back together Coin box is in cash office. Once it is repaired/replaced the new box goes into SCO 13 and the box in SCO 13 goes back to SCO 16 [Generated by Portal Login: repa14 Contact: Patrick Reeves 3092411908 ftfmsupport@rdspos.com]</t>
  </si>
  <si>
    <t>2026-03-21T07:01:40.000Z</t>
  </si>
  <si>
    <t>CE WAS US153R04</t>
  </si>
  <si>
    <t>2026-03-21T07:02:48.000Z</t>
  </si>
  <si>
    <t>SCO 13 Coin Box jammed. Customer took apart and now can't get it back together Coin box is in cash office. Once it is repaired/replaced the new box goes into SCO 13 and the box in SCO 13 goes back to SCO 16 [Generated by Portal Login: repa14 Contact: Patrick Reeves 3092411908 ftfmsupport@rdspos.com]-CE IS NOW US153R04-CE WAS US153R04-CE IS NOW US153C17-ACB needs to be ordered for replacement-LOM order processing, Part has been Ordered , Remedy Id FSC5541432 - (Next Day) by Agent ma185589-Oracle Order Shipped for Remedy Id: U018888882, Order/Receipt # 182151964, Ordered Part 4970533870, Part Description - CR5000  Active Cashbox Type A (non-dissipative tracks) (Service Part), Shipment/Receipt #2117718695, Part has been Shipped, Qty 1, Priority OVERNIGHT, Shipping Method UPS-Air-Next Day Air Saver, BOL/Job 1ZH92Y051302621025, Source Location PTC AVL-CE IS NOW US153R03-CEM4132169:destroyed by the customer-active coinbox destroyed by the customer-replaced active cashbox destroyed by customer-damaged by customer-New Item :7360-4010-9090 New Serial Number :57-60587774 Old Item :7360-4010-9090 Old Serial Number :57-60587787</t>
  </si>
  <si>
    <t>2026-01-29T22:26:58.000Z</t>
  </si>
  <si>
    <t>57-60587725</t>
  </si>
  <si>
    <t>2026-01-29T16:41:00.000Z</t>
  </si>
  <si>
    <t>2026-01-29T21:41:00.000Z</t>
  </si>
  <si>
    <t>2026-01-29T17:08:00.000Z</t>
  </si>
  <si>
    <t>2026-01-29T22:08:00.000Z</t>
  </si>
  <si>
    <t>2026-01-29T14:35:08.000Z</t>
  </si>
  <si>
    <t>2026-01-29T19:35:08.000Z</t>
  </si>
  <si>
    <t>2026-01-29T19:35:09.000Z</t>
  </si>
  <si>
    <t>2026-01-29T14:35:09.000Z</t>
  </si>
  <si>
    <t>7169-7011-9001</t>
  </si>
  <si>
    <t>Found a coin jam in recycler</t>
  </si>
  <si>
    <t>2026-01-29T17:09:13.000Z</t>
  </si>
  <si>
    <t>removed coin jam</t>
  </si>
  <si>
    <t>2026-01-29T17:09:15.000Z</t>
  </si>
  <si>
    <t>New Item :7360-4010-9090 New Serial Number :57-60587725 Old Item :7360-4010-9090 Old Serial Number :57-60587725</t>
  </si>
  <si>
    <t>Coin recycler error, accept/reject flap not working or jammed, error code:16-6-0--99-132097  [Generated by Portal Login: coas14 Contact: Ashley Cooper 3092131564 ftfmsupport@rdspos.com]</t>
  </si>
  <si>
    <t>2026-01-29T14:37:29.000Z</t>
  </si>
  <si>
    <t>2026-01-29T15:33:20.000Z</t>
  </si>
  <si>
    <t>Coin recycler error, accept/reject flap not working or jammed, error code:16-6-0--99-132097  [Generated by Portal Login: coas14 Contact: Ashley Cooper 3092131564 ftfmsupport@rdspos.com]-CE IS NOW US133C17-CE WAS US133C17-CE IS NOW US133C28-Found a coin jam in recycler-removed coin jam-New Item :7360-4010-9090 New Serial Number :57-60587725 Old Item :7360-4010-9090 Old Serial Number :57-60587725</t>
  </si>
  <si>
    <t>2026-01-29T20:02:58.000Z</t>
  </si>
  <si>
    <t>2026-01-29T13:33:00.000Z</t>
  </si>
  <si>
    <t>2026-01-29T19:33:00.000Z</t>
  </si>
  <si>
    <t>2026-01-29T13:34:00.000Z</t>
  </si>
  <si>
    <t>2026-01-29T19:34:00.000Z</t>
  </si>
  <si>
    <t>2026-01-27T08:25:40.000Z</t>
  </si>
  <si>
    <t>2026-01-27T14:25:40.000Z</t>
  </si>
  <si>
    <t>CEM4074170:used light out</t>
  </si>
  <si>
    <t>2026-01-29T13:45:22.000Z</t>
  </si>
  <si>
    <t>2026-01-29T13:45:24.000Z</t>
  </si>
  <si>
    <t>SCO 13 Tri-Light Half Dead  [Generated by Portal Login: most14 Contact: Staci Mowder 3096133038 ftfmsupport@rdspos.com]</t>
  </si>
  <si>
    <t>2026-01-27T08:25:41.000Z</t>
  </si>
  <si>
    <t>2026-01-27T08:28:05.000Z</t>
  </si>
  <si>
    <t>LOM order processing, Part has been Ordered , Remedy Id FSC5487549 - (Same Day) by Agent te185055</t>
  </si>
  <si>
    <t>2026-01-27T11:32:37.000Z</t>
  </si>
  <si>
    <t>SCO 13 Tri-Light Half Dead  [Generated by Portal Login: most14 Contact: Staci Mowder 3096133038 ftfmsupport@rdspos.com]-CE IS NOW US153C07-LOM order processing, Part has been Ordered , Remedy Id FSC5487549 - (Same Day) by Agent te185055-Oracle Order Shipped for Remedy Id: U018853445, Order/Receipt # 182028610, Ordered Part 4970525295, Part Description - KIT - R6 TRI-LIGHT W/IP CAMERA, Shipment/Receipt #2116577249, Part has been Shipped, Qty 1, Priority OVERNIGHT, Shipping Method UPS-Air-Next Day Air Saver, BOL/Job 1ZH92Y051302309435, Source Location PTC AVL-CEM4074170:used light out-replace Twilight and test it with Nathaniel-New Item :7360-4010-9090 New Serial Number :57-60590079 Old Item :7360-4010-9090 Old Serial Number :57-60590079</t>
  </si>
  <si>
    <t>2026-04-29T13:43:08.000Z</t>
  </si>
  <si>
    <t>2026-04-29T08:43:08.000Z</t>
  </si>
  <si>
    <t>2026-04-29T07:50:35.000Z</t>
  </si>
  <si>
    <t>2026-04-29T12:50:35.000Z</t>
  </si>
  <si>
    <t>2026-04-29T12:50:36.000Z</t>
  </si>
  <si>
    <t>2026-04-29T07:50:36.000Z</t>
  </si>
  <si>
    <t>CE WAS US153C27</t>
  </si>
  <si>
    <t>SCO16 not powering on, may need battery backup replaced   [Generated by Portal Login: most14 Contact: Staci Mowder 3096133038 ftfmsupport@rdspos.com]</t>
  </si>
  <si>
    <t>2026-04-29T08:42:33.000Z</t>
  </si>
  <si>
    <t>Store was able to get SCO powered on Remark added by: Staci Mowder Portal Login: most14 Phone Number: 3096133038 Email Address: smowder@rdspos.com</t>
  </si>
  <si>
    <t>SCO16 not powering on, may need battery backup replaced   [Generated by Portal Login: most14 Contact: Staci Mowder 3096133038 ftfmsupport@rdspos.com]-CE IS NOW US153C27-Store was able to get SCO powered on Remark added by: Staci Mowder Portal Login: most14 Phone Number: 3096133038 Email Address: smowder@rdspos.com-CE WAS US153C27</t>
  </si>
  <si>
    <t>2026-02-26T21:38:07.000Z</t>
  </si>
  <si>
    <t>57-60587746</t>
  </si>
  <si>
    <t>2026-02-26T15:57:00.000Z</t>
  </si>
  <si>
    <t>2026-02-26T20:57:00.000Z</t>
  </si>
  <si>
    <t>2026-02-26T16:19:00.000Z</t>
  </si>
  <si>
    <t>2026-02-26T21:19:00.000Z</t>
  </si>
  <si>
    <t>2026-02-26T14:12:57.000Z</t>
  </si>
  <si>
    <t>2026-02-26T19:12:57.000Z</t>
  </si>
  <si>
    <t>Sco 17 reset the Cr5000 by pressing the reset button. open PML and verify that the Cr5000 is showing healthy. verify that coins can be dispense and accepted multiple times. verify with the shift manager that sco 17 is working properly</t>
  </si>
  <si>
    <t>2026-02-26T16:20:54.000Z</t>
  </si>
  <si>
    <t>New Item :7360-4010-9090 New Serial Number :57-60587746 Old Item :7360-4010-9090 Old Serial Number :57-60587746</t>
  </si>
  <si>
    <t>2026-02-26T16:20:55.000Z</t>
  </si>
  <si>
    <t>SCO 17 has a coin recycler error hopper 1 transfer jammed error code 5-10-0-4-524545  [Generated by Portal Login: besa14 Contact: Sabrina Bechtel 715-498-6611 ftfmsupport@rdspos.com]</t>
  </si>
  <si>
    <t>2026-02-26T14:12:58.000Z</t>
  </si>
  <si>
    <t>2026-02-26T15:09:16.000Z</t>
  </si>
  <si>
    <t>Sco 17 anybody can press the reset button without breaking it</t>
  </si>
  <si>
    <t>SCO 17 has a coin recycler error hopper 1 transfer jammed error code 5-10-0-4-524545  [Generated by Portal Login: besa14 Contact: Sabrina Bechtel 715-498-6611 ftfmsupport@rdspos.com]-CE IS NOW US133C75-Sco 17 anybody can press the reset button without breaking it-Sco 17 reset the Cr5000 by pressing the reset button. open PML and verify that the Cr5000 is showing healthy. verify that coins can be dispense and accepted multiple times. verify with the shift manager that sco 17 is working properly-New Item :7360-4010-9090 New Serial Number :57-60587746 Old Item :7360-4010-9090 Old Serial Number :57-60587746</t>
  </si>
  <si>
    <t>2025-11-20T17:04:20.000Z</t>
  </si>
  <si>
    <t>2025-11-20T10:40:00.000Z</t>
  </si>
  <si>
    <t>2025-11-20T16:40:00.000Z</t>
  </si>
  <si>
    <t>2025-11-20T10:52:00.000Z</t>
  </si>
  <si>
    <t>2025-11-20T16:52:00.000Z</t>
  </si>
  <si>
    <t>2025-11-05T12:26:07.000Z</t>
  </si>
  <si>
    <t>2025-11-05T18:26:07.000Z</t>
  </si>
  <si>
    <t>CEM3996924:no light</t>
  </si>
  <si>
    <t>2025-11-20T10:52:40.000Z</t>
  </si>
  <si>
    <t>2025-11-20T10:52:41.000Z</t>
  </si>
  <si>
    <t>2025-11-20T10:52:43.000Z</t>
  </si>
  <si>
    <t>SCO 12 the tri-light is out and will not light up at all  [Generated by Portal Login: besa14 Contact: Sabrina Bechtel 715-498-6611 ftfmsupport@rdspos.com]</t>
  </si>
  <si>
    <t>2025-11-05T12:26:08.000Z</t>
  </si>
  <si>
    <t>2025-11-05T12:30:11.000Z</t>
  </si>
  <si>
    <t>SCO 12 the tri-light is out and will not light up at all  [Generated by Portal Login: besa14 Contact: Sabrina Bechtel 715-498-6611 ftfmsupport@rdspos.com]-CE IS NOW US153R81-needs part 4970525295-LOM order processing, Part has been Ordered , Remedy Id 000000014905599 - (Next Day) by Agent Auto VIP P932-ordered parts-Oracle Order Shipped for Remedy Id: U018793363, Order/Receipt # 181833897, Ordered Part 4970525295, Part Description - KIT - R6 TRI-LIGHT W/IP CAMERA, Shipment/Receipt #2112022625, Part has been Shipped, Qty 1, Priority OVERNIGHT, Shipping Method UPS-Air-Next Day Air Saver, BOL/Job 1ZH92Y051301944938, Source Location PTC AVL-CEM3996924:no light-scanned barcode, replaced tri light assembly, test good-New Item :7360-4010-9090 New Serial Number :57-60591365 Old Item :7360-4010-9090 Old Serial Number :57-60591345</t>
  </si>
  <si>
    <t>2025-10-31T13:07:08.000Z</t>
  </si>
  <si>
    <t>2025-10-31T07:51:00.000Z</t>
  </si>
  <si>
    <t>2025-10-31T11:51:00.000Z</t>
  </si>
  <si>
    <t>2025-10-31T08:54:00.000Z</t>
  </si>
  <si>
    <t>2025-10-31T12:54:00.000Z</t>
  </si>
  <si>
    <t>2025-10-29T18:29:41.000Z</t>
  </si>
  <si>
    <t>2025-10-29T22:29:41.000Z</t>
  </si>
  <si>
    <t>2025-10-31T08:55:04.000Z</t>
  </si>
  <si>
    <t>The Receipt Printer was functioning properly with good printing quality (photos attached) but the Meijer's Associate requested to replace it for her, So, replaced a new Receipt Printer, also, Logged in to the PML and successfully tested the Fujitsu GSR50 Note Recycler (no fault found), Runned ADD and successfully tested the Terminal</t>
  </si>
  <si>
    <t>New Item :7360-4010-9090 New Serial Number :57-60587783 Old Item :7360-4010-9090 Old Serial Number :57-60587772</t>
  </si>
  <si>
    <t>2025-10-31T08:55:05.000Z</t>
  </si>
  <si>
    <t>Note recycler Error Jam in Main Module. Printer not feeding properly as well Note Recycler Error Code 5 9 0 4 62984
Printer not feeding receipt properly. Possible printer cover issue [Generated by Portal Login: repa14 Contact: Patrick Reeves 3092411908 ftfmsupport@rdspos.com]</t>
  </si>
  <si>
    <t>2025-10-29T18:29:42.000Z</t>
  </si>
  <si>
    <t>2025-10-30T06:15:04.000Z</t>
  </si>
  <si>
    <t>2025-10-30T07:20:38.000Z</t>
  </si>
  <si>
    <t>Note recycler Error Jam in Main Module. Printer not feeding properly as well Note Recycler Error Code 5 9 0 4 62984
Printer not feeding receipt properly. Possible printer cover issue [Generated by Portal Login: repa14 Contact: Patrick Reeves 3092411908 ftfmsupport@rdspos.com]-CE IS NOW US133U13-CE WAS US133U13-CE IS NOW US133U38-CE WAS US133U38-CE IS NOW US133U13-CEM3581148:Printer Not Cutting paper properly-charging for no fault found-The Receipt Printer was functioning properly with good printing quality (photos attached) but the Meijer's Associate requested to replace it for her, So, replaced a new Receipt Printer, also, Logged in to the PML and successfully tested the Fujitsu GSR50 Note Recycler (no fault found), Runned ADD and successfully tested the Terminal-New Item :7360-4010-9090 New Serial Number :57-60587783 Old Item :7360-4010-9090 Old Serial Number :57-60587772</t>
  </si>
  <si>
    <t>2026-03-11T15:02:12.000Z</t>
  </si>
  <si>
    <t>57-60591319</t>
  </si>
  <si>
    <t>2026-03-11T08:51:00.000Z</t>
  </si>
  <si>
    <t>2026-03-11T13:51:00.000Z</t>
  </si>
  <si>
    <t>2026-03-11T09:46:00.000Z</t>
  </si>
  <si>
    <t>2026-03-11T14:46:00.000Z</t>
  </si>
  <si>
    <t>2026-03-11T07:52:47.000Z</t>
  </si>
  <si>
    <t>2026-03-11T12:52:47.000Z</t>
  </si>
  <si>
    <t>New Item :7360-4010-9090 New Serial Number :57-60591319 Old Item :7360-4010-9090 Old Serial Number :57-60591319</t>
  </si>
  <si>
    <t>2026-03-11T09:47:07.000Z</t>
  </si>
  <si>
    <t>Note Recycler Error - Jam at RTG3 Sensor Error Code 5-9-0-4-63025
  [Generated by Portal Login: repa14 Contact: Patrick Reeves 3092411908 ftfmsupport@rdspos.com]</t>
  </si>
  <si>
    <t>2026-03-11T07:52:48.000Z</t>
  </si>
  <si>
    <t>2026-03-11T07:59:21.000Z</t>
  </si>
  <si>
    <t>Multiple jams. cleared all the jams and ran a.d.d and Rebooted. tested ok with Kim</t>
  </si>
  <si>
    <t>2026-03-11T09:47:05.000Z</t>
  </si>
  <si>
    <t>Note Recycler Error - Jam at RTG3 Sensor Error Code 5-9-0-4-63025
  [Generated by Portal Login: repa14 Contact: Patrick Reeves 3092411908 ftfmsupport@rdspos.com]-CE IS NOW US153R73-Multiple jams. cleared all the jams and ran a.d.d and Rebooted. tested ok with Kim-New Item :7360-4010-9090 New Serial Number :57-60591319 Old Item :7360-4010-9090 Old Serial Number :57-60591319</t>
  </si>
  <si>
    <t>2025-12-12T19:14:11.000Z</t>
  </si>
  <si>
    <t>2025-12-10T21:02:00.000Z</t>
  </si>
  <si>
    <t>2025-12-11T02:02:00.000Z</t>
  </si>
  <si>
    <t>2025-12-12T14:00:00.000Z</t>
  </si>
  <si>
    <t>2025-12-12T19:00:00.000Z</t>
  </si>
  <si>
    <t>CR185216</t>
  </si>
  <si>
    <t>2025-12-10T14:10:32.000Z</t>
  </si>
  <si>
    <t>2025-12-10T19:10:32.000Z</t>
  </si>
  <si>
    <t>2025-12-12T11:36:54.000Z</t>
  </si>
  <si>
    <t>Removed a $5 that was jammed, tested several times no issues</t>
  </si>
  <si>
    <t>2025-12-12T14:02:44.000Z</t>
  </si>
  <si>
    <t>New Item :7360-4010-9090 New Serial Number :57-60595318 Old Item :7360-4010-9090 Old Serial Number :57-60595334</t>
  </si>
  <si>
    <t>2025-12-12T14:02:46.000Z</t>
  </si>
  <si>
    <t>Note recycler error -Jam at RTG2 sensor on SCO17  [Generated by Portal Login: most14 Contact: Staci Mowder 3096133038 ftfmsupport@rdspos.com]</t>
  </si>
  <si>
    <t>2025-12-10T14:10:33.000Z</t>
  </si>
  <si>
    <t>2025-12-10T14:17:46.000Z</t>
  </si>
  <si>
    <t>no site access</t>
  </si>
  <si>
    <t>2025-12-10T21:03:07.000Z</t>
  </si>
  <si>
    <t>Note recycler error -Jam at RTG2 sensor on SCO17  [Generated by Portal Login: most14 Contact: Staci Mowder 3096133038 ftfmsupport@rdspos.com]-CE IS NOW US133B52-no site access-CE WAS US133B52-CE IS NOW US133B48-CE IS NOW US133B48-Removed a $5 that was jammed, tested several times no issues-New Item :7360-4010-9090 New Serial Number :57-60595318 Old Item :7360-4010-9090 Old Serial Number :57-60595334</t>
  </si>
  <si>
    <t>2025-12-06T17:10:11.000Z</t>
  </si>
  <si>
    <t>2025-12-06T11:23:00.000Z</t>
  </si>
  <si>
    <t>2025-12-06T16:23:00.000Z</t>
  </si>
  <si>
    <t>2025-12-06T11:57:00.000Z</t>
  </si>
  <si>
    <t>2025-12-06T16:57:00.000Z</t>
  </si>
  <si>
    <t>2025-12-06T09:09:51.000Z</t>
  </si>
  <si>
    <t>2025-12-06T14:09:51.000Z</t>
  </si>
  <si>
    <t>2025-12-06T14:09:52.000Z</t>
  </si>
  <si>
    <t>2025-12-06T09:09:52.000Z</t>
  </si>
  <si>
    <t>Arrived on site. Issue stated that there was an error on recycler 1 of the gsr50. Found a torn bill right at exit and a sticky bill at the recycler drum causing the issue. Removed both, cleaned all the sensors, then tested with dispensing and accepting bills. No issues found in PML. Tested on a transaction and had no issues. Confirmed with Anna.</t>
  </si>
  <si>
    <t>2025-12-06T11:58:34.000Z</t>
  </si>
  <si>
    <t>2025-12-06T11:58:35.000Z</t>
  </si>
  <si>
    <t>SCO 11 has a note recycler error unexpected note or debris detected by RRIN1 error code 5-9-0-37-63252 Please clean out all the sensors on this SCO, as the store states that this SCO is a troublesome SCO. [Generated by Portal Login: besa14 Contact: Sabrina Bechtel 715-498-6611 ftfmsupport@rdspos.com]</t>
  </si>
  <si>
    <t>2025-12-06T09:27:25.000Z</t>
  </si>
  <si>
    <t>damaged and sticky bills removed</t>
  </si>
  <si>
    <t>SCO 11 has a note recycler error unexpected note or debris detected by RRIN1 error code 5-9-0-37-63252 Please clean out all the sensors on this SCO, as the store states that this SCO is a troublesome SCO. [Generated by Portal Login: besa14 Contact: Sabrina Bechtel 715-498-6611 ftfmsupport@rdspos.com]-CE IS NOW US133E77-damaged and sticky bills removed-Arrived on site. Issue stated that there was an error on recycler 1 of the gsr50. Found a torn bill right at exit and a sticky bill at the recycler drum causing the issue. Removed both, cleaned all the sensors, then tested with dispensing and accepting bills. No issues found in PML. Tested on a transaction and had no issues. Confirmed with Anna.-New Item :7360-4010-9090 New Serial Number :57-60588413 Old Item :7360-4010-9090 Old Serial Number :57-60587719</t>
  </si>
  <si>
    <t>2026-08-10T14:18:45.000Z</t>
  </si>
  <si>
    <t>2026-08-10T08:44:00.000Z</t>
  </si>
  <si>
    <t>2026-08-10T13:44:00.000Z</t>
  </si>
  <si>
    <t>2026-08-10T09:03:00.000Z</t>
  </si>
  <si>
    <t>2026-08-10T14:03:00.000Z</t>
  </si>
  <si>
    <t>2026-08-10T07:55:01.000Z</t>
  </si>
  <si>
    <t>2026-08-10T12:55:01.000Z</t>
  </si>
  <si>
    <t>no fault found, no lane number was mentioned in notes and supervisors on site unaware of any sco lock issue, walked to all 8 of the sco's with supervisor Ani and we tested all of thr vault locks, all of the unlock and lock normally</t>
  </si>
  <si>
    <t>2026-08-10T09:03:58.000Z</t>
  </si>
  <si>
    <t>New Item :7360-4010-9090 New Serial Number :57-60591351 Old Item :7360-4010-9090 Old Serial Number :57-60587849</t>
  </si>
  <si>
    <t>2026-08-10T09:03:59.000Z</t>
  </si>
  <si>
    <t>Vault door lock broke in the unlocked postition. Will need service today as soon as possible please  [Generated by Portal Login: coas14 Contact: Ashley Cooper 3092131564 ftfmsupport@rdspos.com]</t>
  </si>
  <si>
    <t>2026-08-10T07:56:13.000Z</t>
  </si>
  <si>
    <t>Vault door lock broke in the unlocked postition. Will need service today as soon as possible please  [Generated by Portal Login: coas14 Contact: Ashley Cooper 3092131564 ftfmsupport@rdspos.com]-CE IS NOW US153N60-no fault found-no fault found, no lane number was mentioned in notes and supervisors on site unaware of any sco lock issue, walked to all 8 of the sco's with supervisor Ani and we tested all of thr vault locks, all of the unlock and lock normally-New Item :7360-4010-9090 New Serial Number :57-60591351 Old Item :7360-4010-9090 Old Serial Number :57-60587849</t>
  </si>
  <si>
    <t>2026-05-17T20:38:18.000Z</t>
  </si>
  <si>
    <t>57-60587819</t>
  </si>
  <si>
    <t>2026-05-17T14:54:00.000Z</t>
  </si>
  <si>
    <t>2026-05-17T19:54:00.000Z</t>
  </si>
  <si>
    <t>2026-05-17T15:19:00.000Z</t>
  </si>
  <si>
    <t>2026-05-17T20:19:00.000Z</t>
  </si>
  <si>
    <t>2026-05-16T14:13:37.000Z</t>
  </si>
  <si>
    <t>2026-05-16T19:13:37.000Z</t>
  </si>
  <si>
    <t>7932-2174-9805</t>
  </si>
  <si>
    <t>CEM4253681:debris flap error</t>
  </si>
  <si>
    <t>2026-05-17T15:20:43.000Z</t>
  </si>
  <si>
    <t>replaced the defective validator on register 12 and the unit tested OK. contact Mgr was Jen.</t>
  </si>
  <si>
    <t>New Item :7360-4010-9090 New Serial Number :57-60587819 Old Item :7360-4010-9090 Old Serial Number :57-60587842</t>
  </si>
  <si>
    <t>2026-05-17T15:20:45.000Z</t>
  </si>
  <si>
    <t>Coin Recycler Error Debris Flap Stuck  [Generated by Portal Login: repa14 Contact: Patrick Reeves 3092411908 ftfmsupport@rdspos.com]</t>
  </si>
  <si>
    <t>2026-05-16T14:17:25.000Z</t>
  </si>
  <si>
    <t>2026-05-16T15:30:20.000Z</t>
  </si>
  <si>
    <t>Coin Recycler Error Debris Flap Stuck  [Generated by Portal Login: repa14 Contact: Patrick Reeves 3092411908 ftfmsupport@rdspos.com]-CE IS NOW US153N64-CE WAS US153N64-CE IS NOW US153N62-CE WAS US153N62-CE IS NOW US153N64-CEM4253681:debris flap error-replaced the defective validator on register 12 and the unit tested OK. contact Mgr was Jen.-New Item :7360-4010-9090 New Serial Number :57-60587819 Old Item :7360-4010-9090 Old Serial Number :57-60587842</t>
  </si>
  <si>
    <t>2026-05-06T13:42:57.000Z</t>
  </si>
  <si>
    <t>57-60591356</t>
  </si>
  <si>
    <t>2026-05-06T09:11:00.000Z</t>
  </si>
  <si>
    <t>2026-05-06T13:11:00.000Z</t>
  </si>
  <si>
    <t>2026-05-06T09:29:00.000Z</t>
  </si>
  <si>
    <t>2026-05-06T13:29:00.000Z</t>
  </si>
  <si>
    <t>2026-05-05T17:13:14.000Z</t>
  </si>
  <si>
    <t>2026-05-05T21:13:14.000Z</t>
  </si>
  <si>
    <t>open and in use on my arrival: pml tests good; no fault found. spoke with monitor heather and user tom (by text as he was off work).</t>
  </si>
  <si>
    <t>2026-05-06T09:30:15.000Z</t>
  </si>
  <si>
    <t>New Item :7360-4010-9090 New Serial Number :57-60591356 Old Item :7360-4010-9090 Old Serial Number :57-60591372</t>
  </si>
  <si>
    <t>2026-05-06T09:30:16.000Z</t>
  </si>
  <si>
    <t>SCO16 has a broken coin flap relase housing(green piece)  [Generated by Portal Login: most14 Contact: Staci Mowder 3096133038 ftfmsupport@rdspos.com]</t>
  </si>
  <si>
    <t>2026-05-05T17:13:15.000Z</t>
  </si>
  <si>
    <t>2026-05-05T17:16:28.000Z</t>
  </si>
  <si>
    <t>no issies, no faultfound</t>
  </si>
  <si>
    <t>SCO16 has a broken coin flap relase housing(green piece)  [Generated by Portal Login: most14 Contact: Staci Mowder 3096133038 ftfmsupport@rdspos.com]-CE IS NOW US133U32-no issies, no faultfound-open and in use on my arrival: pml tests good; no fault found. spoke with monitor heather and user tom (by text as he was off work).-New Item :7360-4010-9090 New Serial Number :57-60591356 Old Item :7360-4010-9090 Old Serial Number :57-60591372</t>
  </si>
  <si>
    <t>2025-10-12T13:52:23.000Z</t>
  </si>
  <si>
    <t>2025-10-12T08:14:00.000Z</t>
  </si>
  <si>
    <t>2025-10-12T13:14:00.000Z</t>
  </si>
  <si>
    <t>2025-10-12T08:38:00.000Z</t>
  </si>
  <si>
    <t>2025-10-12T13:38:00.000Z</t>
  </si>
  <si>
    <t>2025-10-10T10:12:14.000Z</t>
  </si>
  <si>
    <t>2025-10-10T15:12:14.000Z</t>
  </si>
  <si>
    <t>2025-10-10T15:12:17.000Z</t>
  </si>
  <si>
    <t>2025-10-10T10:12:17.000Z</t>
  </si>
  <si>
    <t>57-60591338</t>
  </si>
  <si>
    <t>No faults found</t>
  </si>
  <si>
    <t>2025-10-12T08:38:17.000Z</t>
  </si>
  <si>
    <t>Arrived with replacement ups in hand but all lanes were up... no lane nunber was in the call notes, site  personnel is unaware of any issues, worked with manager Michelle to try and contact store director David to see if they can figure out what lane was called in but was unable to, closing call</t>
  </si>
  <si>
    <t>New Item :7360-4010-9090 New Serial Number :7528303495 Old Item :7360-4010-9090 Old Serial Number :57-60591338</t>
  </si>
  <si>
    <t>2025-10-12T08:38:18.000Z</t>
  </si>
  <si>
    <t>Battery backup dead, not getting any power  [Generated by Portal Login: coas14 Contact: Ashley 309-213-1564 ftfmsupport@rdspos.com]</t>
  </si>
  <si>
    <t>2025-10-10T10:13:39.000Z</t>
  </si>
  <si>
    <t>LOM order processing, Part has been Ordered , Remedy Id 000000014884369 - (Next Day) by Agent AUTO VIP</t>
  </si>
  <si>
    <t>2025-10-10T10:23:20.000Z</t>
  </si>
  <si>
    <t>Battery backup dead, not getting any power  [Generated by Portal Login: coas14 Contact: Ashley 309-213-1564 ftfmsupport@rdspos.com]-CE IS NOW US153N60-LOM order processing, Part has been Ordered , Remedy Id 000000014884369 - (Next Day) by Agent AUTO VIP-Oracle Order Shipped for Remedy Id: U018772065, Order/Receipt # 181768204, Ordered Part 4970513710, Part Description - R6.0 UPS 110V 800VA with USB communication port, Shipment/Receipt #2111197461, Part has been Shipped, Qty 1, Priority OVERNIGHT, Shipping Method UPS-Air-Next Day Air, BOL/Job 1ZH92Y064400531085, Source Location UFF USFEWR1G-No faults found-Arrived with replacement ups in hand but all lanes were up... no lane nunber was in the call notes, site  personnel is unaware of any issues, worked with manager Michelle to try and contact store director David to see if they can figure out what lane was called in but was unable to, closing call-New Item :7360-4010-9090 New Serial Number :7528303495 Old Item :7360-4010-9090 Old Serial Number :57-60591338</t>
  </si>
  <si>
    <t>2026-06-07T16:56:13.000Z</t>
  </si>
  <si>
    <t>57-60588436</t>
  </si>
  <si>
    <t>2026-06-03T14:50:00.000Z</t>
  </si>
  <si>
    <t>2026-06-03T18:50:00.000Z</t>
  </si>
  <si>
    <t>2026-06-07T12:39:00.000Z</t>
  </si>
  <si>
    <t>2026-06-07T16:39:00.000Z</t>
  </si>
  <si>
    <t>2026-06-01T13:10:13.000Z</t>
  </si>
  <si>
    <t>2026-06-01T17:10:13.000Z</t>
  </si>
  <si>
    <t>2026-06-01T17:10:15.000Z</t>
  </si>
  <si>
    <t>2026-06-01T13:10:15.000Z</t>
  </si>
  <si>
    <t>7746-1810-8801</t>
  </si>
  <si>
    <t>CEM4288448:No light</t>
  </si>
  <si>
    <t>2026-06-07T12:40:41.000Z</t>
  </si>
  <si>
    <t>Follow up on previous CE visit to replace the trilight and cable due to damage locking clip. Replace and confirm the trilight is back in service</t>
  </si>
  <si>
    <t>New Item :7360-4010-9090 New Serial Number :57-60588436 Old Item :7360-4010-9090 Old Serial Number :57-60588442</t>
  </si>
  <si>
    <t>2026-06-07T12:40:44.000Z</t>
  </si>
  <si>
    <t>SCO14 white light is flashing constantly   [Generated by Portal Login: most14 Contact: Staci Mowder 3096133038 ftfmsupport@rdspos.com]</t>
  </si>
  <si>
    <t>2026-06-01T13:15:33.000Z</t>
  </si>
  <si>
    <t>LOM order processing, Part has been Ordered , Remedy Id 000000015055458 - (Pick Up)IN, Indianapolisby Agent Auto CE pickup</t>
  </si>
  <si>
    <t>2026-06-03T15:31:29.000Z</t>
  </si>
  <si>
    <t>SCO14 white light is flashing constantly   [Generated by Portal Login: most14 Contact: Staci Mowder 3096133038 ftfmsupport@rdspos.com]-CE IS NOW US133E75-LOM order processing, Part has been Ordered , Remedy Id 000000015055458 - (Pick Up)IN, Indianapolisby Agent Auto CE pickup-Oracle Order Shipped for Remedy Id: U018935780, Order/Receipt # 182323916, Ordered Part 4970525295, Part Description - KIT - R6 TRI-LIGHT W/IP CAMERA, Shipment/Receipt #2119125519, Part has been Shipped, Qty 1, Priority NFO, Shipping Method CE Pickup After Hours, BOL/Job TOM CANNON NCR, Source Location UFF USFIND1G-Lane light is flickering. cable swap did not fix issue. Ordered new tri light from ESL. Tried light was OBF, ordering new trilight to Southport UPS. CE note: Trilight cable is unplugged on IO box, store found flickering light discomforting to customers, wished light to stay powered off.-CE note: Trilight cable is unplugged on IO box, store found flickering light discomforting to customers, wished light to stay powered off.-CEM4244616:lane light defective-lane light defective,  no power-LOM order processing, Part has been Ordered , Remedy Id 000000015055584 - (Next Day) by Agent Auto VIP P000-Oracle Order Shipped for Remedy Id: U018935900, Order/Receipt # 182324230, Ordered Part 4970525295, Part Description - KIT - R6 TRI-LIGHT W/IP CAMERA, Shipment/Receipt #2119141692, Part has been Shipped, Qty 1, Priority OVERNIGHT, Shipping Method UPS-Air-Next Day Air Saver, BOL/Job 1ZH92Y051302978249, Source Location PTC AVL-CEM4244622:OBF, not functional-not functional,  no power to trilight, cable was fine-installed new trilight. new trilight has no power. OBF, order2 new trilights to ensure call is closed next visit.-LOM order processing, Part has been Ordered , Remedy Id 000000015056936 - (Next Day) by Agent Auto VIP P000-Oracle Order Shipped for Remedy Id: U018937121, Order/Receipt # 182329176, Ordered Part 4970525295, Part Description - KIT - R6 TRI-LIGHT W/IP CAMERA, Shipment/Receipt #2119162504, Part has been Shipped, Qty 1, Priority OVERNIGHT, Shipping Method UPS-Air-Next Day Air, BOL/Job 1ZH92Y054402983845, Source Location PTC AVL-Sunday ups 11-4-CE IS NOW US133E79-CEM4288448:No light-Follow up on previous CE visit to replace the trilight and cable due to damage locking clip. Replace and confirm the trilight is back in service-New Item :7360-4010-9090 New Serial Number :57-60588436 Old Item :7360-4010-9090 Old Serial Number :57-60588442</t>
  </si>
  <si>
    <t>2026-03-06T22:17:04.000Z</t>
  </si>
  <si>
    <t>57-60595305</t>
  </si>
  <si>
    <t>2026-03-06T15:57:00.000Z</t>
  </si>
  <si>
    <t>2026-03-06T21:57:00.000Z</t>
  </si>
  <si>
    <t>2026-03-06T16:01:00.000Z</t>
  </si>
  <si>
    <t>2026-03-06T22:01:00.000Z</t>
  </si>
  <si>
    <t>2026-03-05T17:59:38.000Z</t>
  </si>
  <si>
    <t>2026-03-05T23:59:38.000Z</t>
  </si>
  <si>
    <t>2026-03-05T23:59:39.000Z</t>
  </si>
  <si>
    <t>2026-03-05T17:59:39.000Z</t>
  </si>
  <si>
    <t>Oracle Order Shipped for Remedy Id: U018878605, Order/Receipt # 182117991, Ordered Part 4970534153, Part Description - UPS (N70-800) LV 100V/120V 800VA with USB communication Port and EMC Improvements, Shipment/Receipt #2117443183, Part has been Shipped, Qty 1, Priority OVERNIGHT, Shipping Method UPS-Air-Next Day Air Saver, BOL/Job 1ZH92Y051302543397, Source Location PTC AVL</t>
  </si>
  <si>
    <t>2026-03-06T16:01:39.000Z</t>
  </si>
  <si>
    <t>New Item :7360-4010-9090 New Serial Number :57-60595305 Old Item :7360-4010-9090 Old Serial Number :57-60595319</t>
  </si>
  <si>
    <t>2026-03-06T16:01:41.000Z</t>
  </si>
  <si>
    <t>SCO 16 Not powering on at all. May need battery backup replaced.  [Generated by Portal Login: most14 Contact: Staci Mowder 3096133038 ftfmsupport@rdspos.com]</t>
  </si>
  <si>
    <t>2026-03-05T18:26:02.000Z</t>
  </si>
  <si>
    <t>SCO 16 Not powering on at all. May need battery backup replaced.  [Generated by Portal Login: most14 Contact: Staci Mowder 3096133038 ftfmsupport@rdspos.com]-CE IS NOW US153N64-ups confirmed bad.  ordered replacement to ups on lesson ferry rd.-LOM order processing, Part has been Ordered , Remedy Id 000000014993838 - (Next Day) by Agent Auto VIP P000-Oracle Order Shipped for Remedy Id: U018878605, Order/Receipt # 182117991, Ordered Part 4970534153, Part Description - UPS (N70-800) LV 100V/120V 800VA with USB communication Port and EMC Improvements, Shipment/Receipt #2117443183, Part has been Shipped, Qty 1, Priority OVERNIGHT, Shipping Method UPS-Air-Next Day Air Saver, BOL/Job 1ZH92Y051302543397, Source Location PTC AVL-Oracle Order Shipped for Remedy Id: U018878605, Order/Receipt # 182117991, Ordered Part 4970534153, Part Description - UPS (N70-800) LV 100V/120V 800VA with USB communication Port and EMC Improvements, Shipment/Receipt #2117443183, Part has been Shipped, Qty 1, Priority OVERNIGHT, Shipping Method UPS-Air-Next Day Air Saver, BOL/Job 1ZH92Y051302543397, Source Location PTC AVL-replaced the defective ups and the unit tested OK.-New Item :7360-4010-9090 New Serial Number :57-60595305 Old Item :7360-4010-9090 Old Serial Number :57-60595319</t>
  </si>
  <si>
    <t>2025-12-31T20:44:04.000Z</t>
  </si>
  <si>
    <t>2025-12-31T14:49:00.000Z</t>
  </si>
  <si>
    <t>2025-12-31T19:49:00.000Z</t>
  </si>
  <si>
    <t>2025-12-31T15:28:00.000Z</t>
  </si>
  <si>
    <t>2025-12-31T20:28:00.000Z</t>
  </si>
  <si>
    <t>2025-12-31T11:46:51.000Z</t>
  </si>
  <si>
    <t>2025-12-31T16:46:51.000Z</t>
  </si>
  <si>
    <t>2025-12-31T16:46:52.000Z</t>
  </si>
  <si>
    <t>2025-12-31T11:46:52.000Z</t>
  </si>
  <si>
    <t>2025-12-31T15:29:04.000Z</t>
  </si>
  <si>
    <t>SCO14 has a Coin Recycler error - Coin Box motor jammed  [Generated by Portal Login: most14 Contact: Staci Mowder 3096133038 ftfmsupport@rdspos.com]</t>
  </si>
  <si>
    <t>2025-12-31T11:50:23.000Z</t>
  </si>
  <si>
    <t>Cleared jam in ACB. Tested with MOD Cindy and confirmed SCO is now working correctly. Closing call</t>
  </si>
  <si>
    <t>2025-12-31T15:29:01.000Z</t>
  </si>
  <si>
    <t>SCO14 has a Coin Recycler error - Coin Box motor jammed  [Generated by Portal Login: most14 Contact: Staci Mowder 3096133038 ftfmsupport@rdspos.com]-CE IS NOW US153C45-Cleared jam in ACB. Tested with MOD Cindy and confirmed SCO is now working correctly. Closing call-New Item :7360-4010-9090 New Serial Number :57-60591339 Old Item :7360-4010-9090 Old Serial Number :57-60591339</t>
  </si>
  <si>
    <t>2025-12-24T21:40:28.000Z</t>
  </si>
  <si>
    <t>57-60588444</t>
  </si>
  <si>
    <t>2025-12-24T16:21:00.000Z</t>
  </si>
  <si>
    <t>2025-12-24T21:21:00.000Z</t>
  </si>
  <si>
    <t>2025-12-24T16:22:00.000Z</t>
  </si>
  <si>
    <t>2025-12-24T21:22:00.000Z</t>
  </si>
  <si>
    <t>2025-12-23T16:09:03.000Z</t>
  </si>
  <si>
    <t>2025-12-23T21:09:03.000Z</t>
  </si>
  <si>
    <t>New Item :7360-4010-9090 New Serial Number :57-60588444 Old Item :7360-4010-9090 Old Serial Number :57-60588444</t>
  </si>
  <si>
    <t>2025-12-24T16:25:01.000Z</t>
  </si>
  <si>
    <t>SCO11 has Reocurring Note recycler errors, money getting jammed and sometimes not giving change  [Generated by Portal Login: most14 Contact: Staci Mowder 3096133038 ftfmsupport@rdspos.com]</t>
  </si>
  <si>
    <t>2025-12-23T16:09:04.000Z</t>
  </si>
  <si>
    <t>2025-12-23T16:11:29.000Z</t>
  </si>
  <si>
    <t>blew out dust and tested successfully. unit was functional on arrival</t>
  </si>
  <si>
    <t>2025-12-24T16:24:59.000Z</t>
  </si>
  <si>
    <t>SCO11 has Reocurring Note recycler errors, money getting jammed and sometimes not giving change  [Generated by Portal Login: most14 Contact: Staci Mowder 3096133038 ftfmsupport@rdspos.com]-CE IS NOW US133E71-blew out dust and tested successfully. unit was functional on arrival-New Item :7360-4010-9090 New Serial Number :57-60588444 Old Item :7360-4010-9090 Old Serial Number :57-60588444</t>
  </si>
  <si>
    <t>2026-04-27T14:43:08.000Z</t>
  </si>
  <si>
    <t>2026-04-27T08:21:00.000Z</t>
  </si>
  <si>
    <t>2026-04-27T13:21:00.000Z</t>
  </si>
  <si>
    <t>2026-04-27T09:22:00.000Z</t>
  </si>
  <si>
    <t>2026-04-27T14:22:00.000Z</t>
  </si>
  <si>
    <t>2026-04-26T20:19:25.000Z</t>
  </si>
  <si>
    <t>2026-04-27T01:19:25.000Z</t>
  </si>
  <si>
    <t>2026-04-27T01:19:30.000Z</t>
  </si>
  <si>
    <t>2026-04-26T20:19:30.000Z</t>
  </si>
  <si>
    <t>Arrived on site and tested self-checkout number 16. The coin acceptor gives me an error.  Replaced coin acceptor restart self-checkout and tested works fine</t>
  </si>
  <si>
    <t>2026-04-27T09:24:05.000Z</t>
  </si>
  <si>
    <t>2026-04-27T09:24:07.000Z</t>
  </si>
  <si>
    <t>SCO 16 has a coin recycler error accept/reject flap not working error code 16-6-0-99-132097  [Generated by Portal Login: besa14 Contact: Sabrina Bechtel 715-498-6611 ftfmsupport@rdspos.com]</t>
  </si>
  <si>
    <t>2026-04-26T20:24:38.000Z</t>
  </si>
  <si>
    <t>CEM4195404:coin acceptor</t>
  </si>
  <si>
    <t>SCO 16 has a coin recycler error accept/reject flap not working error code 16-6-0-99-132097  [Generated by Portal Login: besa14 Contact: Sabrina Bechtel 715-498-6611 ftfmsupport@rdspos.com]-CE IS NOW US153C18-CEM4195404:coin acceptor-Arrived on site and tested self-checkout number 16. The coin acceptor gives me an error.  Replaced coin acceptor restart self-checkout and tested works fine-New Item :7360-4010-9090 New Serial Number :57-60595315 Old Item :7360-4010-9090 Old Serial Number :57-60595315</t>
  </si>
  <si>
    <t>2026-07-27T14:20:20.000Z</t>
  </si>
  <si>
    <t>2026-07-27T08:41:00.000Z</t>
  </si>
  <si>
    <t>2026-07-27T12:41:00.000Z</t>
  </si>
  <si>
    <t>2026-07-27T10:03:00.000Z</t>
  </si>
  <si>
    <t>2026-07-27T14:03:00.000Z</t>
  </si>
  <si>
    <t>2026-07-26T12:15:28.000Z</t>
  </si>
  <si>
    <t>2026-07-26T16:15:28.000Z</t>
  </si>
  <si>
    <t>Spoke to lead Katrina, validator on bcr is rejecting all coins. replace validator and ran ADD, tested good by lead Katrina</t>
  </si>
  <si>
    <t>2026-07-27T10:04:16.000Z</t>
  </si>
  <si>
    <t>New Item :7360-4010-9090 New Serial Number :57-60588409 Old Item :7360-4010-9090 Old Serial Number :57-60588372</t>
  </si>
  <si>
    <t>2026-07-27T10:04:19.000Z</t>
  </si>
  <si>
    <t>Booted back up with active coin box exceeded reject limit. Error code: 16-6-0-5-459267  [Generated by Portal Login: coas14 Contact: Ashley Cooper 3092131564 FTFMSupport@rdspos.com]</t>
  </si>
  <si>
    <t>2026-07-26T12:15:29.000Z</t>
  </si>
  <si>
    <t>2026-07-26T12:18:34.000Z</t>
  </si>
  <si>
    <t>CEM4302647:rejects all coins</t>
  </si>
  <si>
    <t>2026-07-27T10:04:15.000Z</t>
  </si>
  <si>
    <t>Booted back up with active coin box exceeded reject limit. Error code: 16-6-0-5-459267  [Generated by Portal Login: coas14 Contact: Ashley Cooper 3092131564 FTFMSupport@rdspos.com]-CE IS NOW US133A15-CEM4302647:rejects all coins-Spoke to lead Katrina, validator on bcr is rejecting all coins. replace validator and ran ADD, tested good by lead Katrina-New Item :7360-4010-9090 New Serial Number :57-60588409 Old Item :7360-4010-9090 Old Serial Number :57-60588372</t>
  </si>
  <si>
    <t>2025-10-20T15:28:52.000Z</t>
  </si>
  <si>
    <t>364W</t>
  </si>
  <si>
    <t>2025-10-17T11:43:00.000Z</t>
  </si>
  <si>
    <t>2025-10-17T16:43:00.000Z</t>
  </si>
  <si>
    <t>2025-10-20T10:12:00.000Z</t>
  </si>
  <si>
    <t>2025-10-20T15:12:00.000Z</t>
  </si>
  <si>
    <t>2025-10-16T08:48:41.000Z</t>
  </si>
  <si>
    <t>2025-10-16T13:48:41.000Z</t>
  </si>
  <si>
    <t>Arrived on site and repair self-checkout coupon slot mounted to main door. Tested works fine</t>
  </si>
  <si>
    <t>2025-10-20T10:14:40.000Z</t>
  </si>
  <si>
    <t>2025-10-20T10:14:41.000Z</t>
  </si>
  <si>
    <t>SCO 15 the coupon holder, it is completely pulled away from the inside of the door Causing the sco door to be hard to close [Generated by Portal Login: besa14 Contact: Sabrina Bechtel 715-498-6611 ftfmsupport@rdspos.com]</t>
  </si>
  <si>
    <t>2025-10-16T08:48:42.000Z</t>
  </si>
  <si>
    <t>CE IS NOW US153C06</t>
  </si>
  <si>
    <t>2025-10-16T09:02:28.000Z</t>
  </si>
  <si>
    <t>CE WAS US153C06</t>
  </si>
  <si>
    <t>2025-10-16T19:17:04.000Z</t>
  </si>
  <si>
    <t>SCO 15 the coupon holder, it is completely pulled away from the inside of the door Causing the sco door to be hard to close [Generated by Portal Login: besa14 Contact: Sabrina Bechtel 715-498-6611 ftfmsupport@rdspos.com]-CE IS NOW US153C06-CE WAS US153C06-CE IS NOW US153C18-Arrived on site and tested self-checkout number 15. The door has physical damage. The coupon slot is hanging on the cable. To repair that, we need to order the front door, I spoke with the customer, and I will fix that. i will drill a small hole and screw it that door. I don't have the right tools to do that today. I told the customer that I  will come back Monday-CE IS NOW US153C18-Arrived on site and repair self-checkout coupon slot mounted to main door. Tested works fine-Arrived on site and repair self-checkout coupon slot mounted to main door. Tested works fine-New Item :7360-4010-9090 New Serial Number :57-60595315 Old Item :7360-4010-9090 Old Serial Number :57-60595315</t>
  </si>
  <si>
    <t>2026-01-10T22:56:05.000Z</t>
  </si>
  <si>
    <t>57-58264214</t>
  </si>
  <si>
    <t>2026-01-10T16:11:00.000Z</t>
  </si>
  <si>
    <t>2026-01-10T22:11:00.000Z</t>
  </si>
  <si>
    <t>2026-01-10T16:42:00.000Z</t>
  </si>
  <si>
    <t>2026-01-10T22:42:00.000Z</t>
  </si>
  <si>
    <t>2026-01-10T12:35:21.000Z</t>
  </si>
  <si>
    <t>2026-01-10T18:35:21.000Z</t>
  </si>
  <si>
    <t>2026-01-10T18:35:23.000Z</t>
  </si>
  <si>
    <t>2026-01-10T12:35:23.000Z</t>
  </si>
  <si>
    <t>no fault found. store had already cleared jam before I arrived. contact Mgr was Dawayne.</t>
  </si>
  <si>
    <t>2026-01-10T16:42:51.000Z</t>
  </si>
  <si>
    <t>New Item :7360-4010-9090 New Serial Number :57-58264214 Old Item :7360-4010-9090 Old Serial Number :57-58264214</t>
  </si>
  <si>
    <t>2026-01-10T16:42:52.000Z</t>
  </si>
  <si>
    <t>SCO21 has a Coin recycler error-Jam in main module  [Generated by Portal Login: most14 Contact: Staci Mowder 3096133038 ftfmsupport@rdspos.com]</t>
  </si>
  <si>
    <t>2026-01-10T12:37:09.000Z</t>
  </si>
  <si>
    <t>SCO21 has a Coin recycler error-Jam in main module  [Generated by Portal Login: most14 Contact: Staci Mowder 3096133038 ftfmsupport@rdspos.com]-CE IS NOW US153N64-no fault found.-no fault found. store had already cleared jam before I arrived. contact Mgr was Dawayne.-New Item :7360-4010-9090 New Serial Number :57-58264214 Old Item :7360-4010-9090 Old Serial Number :57-58264214</t>
  </si>
  <si>
    <t>2025-12-02T20:27:45.000Z</t>
  </si>
  <si>
    <t>2025-12-02T13:47:00.000Z</t>
  </si>
  <si>
    <t>2025-12-02T19:47:00.000Z</t>
  </si>
  <si>
    <t>2025-12-02T14:09:00.000Z</t>
  </si>
  <si>
    <t>2025-12-02T20:09:00.000Z</t>
  </si>
  <si>
    <t>2025-12-02T13:14:36.000Z</t>
  </si>
  <si>
    <t>2025-12-02T19:14:36.000Z</t>
  </si>
  <si>
    <t>2025-12-02T14:11:08.000Z</t>
  </si>
  <si>
    <t>SCO 11 is dead, no power to the battery backup Battery backup was just replaced today on NCR ticket number 7532803915. The replacement battery backup is dead and will not power on at all, the SCO will not power on either. [Generated by Portal Login: besa14 Contact: Sabrina Bechtel 715-498-6611 ftfmsupport@rdspos.com]</t>
  </si>
  <si>
    <t>2025-12-02T13:14:37.000Z</t>
  </si>
  <si>
    <t>2025-12-02T13:16:11.000Z</t>
  </si>
  <si>
    <t>arrived on site and spoke with Angalee. after found that unit is not powered on due to power supply voltage issue from power cable. replaced power cable.</t>
  </si>
  <si>
    <t>2025-12-02T14:11:06.000Z</t>
  </si>
  <si>
    <t>SCO 11 is dead, no power to the battery backup Battery backup was just replaced today on NCR ticket number 7532803915. The replacement battery backup is dead and will not power on at all, the SCO will not power on either. [Generated by Portal Login: besa14 Contact: Sabrina Bechtel 715-498-6611 ftfmsupport@rdspos.com]-CE IS NOW US153C08-arrived on site and spoke with Angalee. after found that unit is not powered on due to power supply voltage issue from power cable. replaced power cable.-New Item :7360-4010-9090 New Serial Number :57-60591332 Old Item :7360-4010-9090 Old Serial Number :57-60591327</t>
  </si>
  <si>
    <t>2026-05-09T12:26:18.000Z</t>
  </si>
  <si>
    <t>2026-05-09T06:59:00.000Z</t>
  </si>
  <si>
    <t>2026-05-09T10:59:00.000Z</t>
  </si>
  <si>
    <t>2026-05-09T08:12:00.000Z</t>
  </si>
  <si>
    <t>2026-05-09T12:12:00.000Z</t>
  </si>
  <si>
    <t>2026-05-08T17:39:09.000Z</t>
  </si>
  <si>
    <t>2026-05-08T21:39:09.000Z</t>
  </si>
  <si>
    <t>2026-05-09T06:23:20.000Z</t>
  </si>
  <si>
    <t>replaced battery backup ups for terminal 16, rebooted terminal then tested successfully by mod Christa</t>
  </si>
  <si>
    <t>2026-05-09T08:13:11.000Z</t>
  </si>
  <si>
    <t>2026-05-08T17:51:29.000Z</t>
  </si>
  <si>
    <t>CE WAS US133U10</t>
  </si>
  <si>
    <t>2026-05-08T17:51:30.000Z</t>
  </si>
  <si>
    <t>SCO will not stay powered on after a power outage. Please replace battery backup.  [Generated by Portal Login: coas14 Contact: Ashley N Cooper 3092131564 ftfmsupport@rdspos.com]-CE IS NOW US133U10-CE WAS US133U10-CE IS NOW US133U01-CE WAS US133U01-CE IS NOW US133U10-CE WAS US133U10-CE IS NOW US133U12-replaced battery backup ups for terminal 16, rebooted terminal then tested successfully by mod Christa-New Item :7360-4010-9090 New Serial Number :57-60588385 Old Item :7360-4010-9090 Old Serial Number :57-60588385</t>
  </si>
  <si>
    <t>2026-01-05T17:23:05.000Z</t>
  </si>
  <si>
    <t>20-58992944</t>
  </si>
  <si>
    <t>2026-01-05T11:59:00.000Z</t>
  </si>
  <si>
    <t>2026-01-05T16:59:00.000Z</t>
  </si>
  <si>
    <t>2026-01-05T12:08:00.000Z</t>
  </si>
  <si>
    <t>2026-01-05T17:08:00.000Z</t>
  </si>
  <si>
    <t>2026-01-05T09:20:44.000Z</t>
  </si>
  <si>
    <t>2026-01-05T14:20:44.000Z</t>
  </si>
  <si>
    <t>2026-01-05T10:54:40.000Z</t>
  </si>
  <si>
    <t>2026-01-05T12:08:50.000Z</t>
  </si>
  <si>
    <t>New Item :7360-4010-9090 New Serial Number :20-58992944 Old Item :7360-4010-9090 Old Serial Number :57-60587724</t>
  </si>
  <si>
    <t>2026-01-05T12:08:51.000Z</t>
  </si>
  <si>
    <t>SCO 14 needs an annual PM, please clean and blow out the sco, store requested  [Generated by Portal Login: besa14 Contact: Sabrina Bechtel 715-498-6611 ftfmsupport@rdspos.com]</t>
  </si>
  <si>
    <t>2026-01-05T09:20:51.000Z</t>
  </si>
  <si>
    <t>2026-01-05T09:51:59.000Z</t>
  </si>
  <si>
    <t>SCO 14 needs an annual PM, please clean and blow out the sco, store requested  [Generated by Portal Login: besa14 Contact: Sabrina Bechtel 715-498-6611 ftfmsupport@rdspos.com]-CE IS NOW US133C71-CE WAS US133C71-CE IS NOW US133C72-CE IS NOW US133C72-cleaned entire inside of self checkout, only some extra dust.-New Item :7360-4010-9090 New Serial Number :20-58992944 Old Item :7360-4010-9090 Old Serial Number :57-60587724</t>
  </si>
  <si>
    <t>2026-02-12T22:31:41.000Z</t>
  </si>
  <si>
    <t>2026-02-12T16:14:00.000Z</t>
  </si>
  <si>
    <t>2026-02-12T22:14:00.000Z</t>
  </si>
  <si>
    <t>2026-02-12T14:38:15.000Z</t>
  </si>
  <si>
    <t>2026-02-12T20:38:15.000Z</t>
  </si>
  <si>
    <t>2026-02-12T20:38:17.000Z</t>
  </si>
  <si>
    <t>2026-02-12T14:38:17.000Z</t>
  </si>
  <si>
    <t>2026-02-12T16:15:58.000Z</t>
  </si>
  <si>
    <t>SCO14 printing very light/faint on receipts  [Generated by Portal Login: most14 Contact: Staci Mowder 3096133038 ftfmsupport@rdspos.com]</t>
  </si>
  <si>
    <t>2026-02-12T14:41:09.000Z</t>
  </si>
  <si>
    <t>Paper jam cleared, and roller and printer cleaned. David the manager tested and verified printer printout is clear and visibly legible. Task closed.</t>
  </si>
  <si>
    <t>2026-02-12T16:15:56.000Z</t>
  </si>
  <si>
    <t>SCO14 printing very light/faint on receipts  [Generated by Portal Login: most14 Contact: Staci Mowder 3096133038 ftfmsupport@rdspos.com]-CE IS NOW US153R70-Paper jam cleared, and roller and printer cleaned. David the manager tested and verified printer printout is clear and visibly legible. Task closed.-New Item :7360-4010-9090 New Serial Number :57-60591374 Old Item :7360-4010-9090 Old Serial Number :57-60591374</t>
  </si>
  <si>
    <t>2025-09-03T19:45:29.000Z</t>
  </si>
  <si>
    <t>2025-09-03T13:38:00.000Z</t>
  </si>
  <si>
    <t>2025-09-03T18:38:00.000Z</t>
  </si>
  <si>
    <t>2025-09-03T13:50:00.000Z</t>
  </si>
  <si>
    <t>2025-09-03T18:50:00.000Z</t>
  </si>
  <si>
    <t>2025-09-03T10:28:50.000Z</t>
  </si>
  <si>
    <t>2025-09-03T15:28:50.000Z</t>
  </si>
  <si>
    <t>2025-09-03T15:28:53.000Z</t>
  </si>
  <si>
    <t>2025-09-03T10:28:53.000Z</t>
  </si>
  <si>
    <t>2025-09-03T14:28:01.000Z</t>
  </si>
  <si>
    <t>SCO 15 will not power on, needs the battery backup replaced  [Generated by Portal Login: besa14 Contact: Sabrina Bechtel 715-498-6611 ftfmsupport@rdspos.com]</t>
  </si>
  <si>
    <t>2025-09-03T10:29:06.000Z</t>
  </si>
  <si>
    <t>2025-09-03T14:27:58.000Z</t>
  </si>
  <si>
    <t>SCO 15 will not power on, needs the battery backup replaced  [Generated by Portal Login: besa14 Contact: Sabrina Bechtel 715-498-6611 ftfmsupport@rdspos.com]-CE IS NOW US153R73-Got to site and found all SCO were being used. talked with the site employees and found out that in the morning all the sco were rebooting and shut down and then start up again. I talked with Mike the store manager and he said that the Network rack also went down, he came in this morning and the battery back for the network rack was also beeping. The site had a power issues. Checked all the UPSs and all of them had green LED on them and no beeping. The site had power issues. no UPS is needed. Ok with Mike because all the SCOs were affected.-New Item :7360-4010-9090 New Serial Number :57-60588471 Old Item :7360-4010-9090 Old Serial Number :57-60588471</t>
  </si>
  <si>
    <t>2025-09-29T18:07:35.000Z</t>
  </si>
  <si>
    <t>2025-09-29T12:12:00.000Z</t>
  </si>
  <si>
    <t>2025-09-29T17:12:00.000Z</t>
  </si>
  <si>
    <t>2025-09-29T12:54:00.000Z</t>
  </si>
  <si>
    <t>2025-09-29T17:54:00.000Z</t>
  </si>
  <si>
    <t>2025-09-29T06:50:29.000Z</t>
  </si>
  <si>
    <t>2025-09-29T11:50:29.000Z</t>
  </si>
  <si>
    <t>2025-09-29T12:54:37.000Z</t>
  </si>
  <si>
    <t>SCO 12, vault door hard to open and close. Key issues  [Generated by Portal Login: repa14 Contact: Patrick Reeves 3092411908 ftfmsupport@rdspos.com]</t>
  </si>
  <si>
    <t>2025-09-29T06:50:30.000Z</t>
  </si>
  <si>
    <t>2025-09-29T08:01:36.000Z</t>
  </si>
  <si>
    <t>level and fix internal door noting wrong with it tested with caller call it in</t>
  </si>
  <si>
    <t>2025-09-29T12:54:35.000Z</t>
  </si>
  <si>
    <t>SCO 12, vault door hard to open and close. Key issues  [Generated by Portal Login: repa14 Contact: Patrick Reeves 3092411908 ftfmsupport@rdspos.com]-CE IS NOW US153C07-level and fix internal door noting wrong with it tested with caller call it in-New Item :7360-4010-9090 New Serial Number :57-60595315 Old Item :7360-4010-9090 Old Serial Number :57-60595315</t>
  </si>
  <si>
    <t>2026-02-10T17:58:33.000Z</t>
  </si>
  <si>
    <t>57-60591366</t>
  </si>
  <si>
    <t>2026-02-10T11:15:00.000Z</t>
  </si>
  <si>
    <t>2026-02-10T17:15:00.000Z</t>
  </si>
  <si>
    <t>2026-02-10T11:43:00.000Z</t>
  </si>
  <si>
    <t>2026-02-10T17:43:00.000Z</t>
  </si>
  <si>
    <t>2026-02-10T09:37:55.000Z</t>
  </si>
  <si>
    <t>2026-02-10T15:37:55.000Z</t>
  </si>
  <si>
    <t>removed almost a whole coin wrapping</t>
  </si>
  <si>
    <t>2026-02-10T11:43:52.000Z</t>
  </si>
  <si>
    <t>removed almost a whole coin wrapping, tested recycler several times with manager Levi. suggested  purging and doing an audit due to no coins in pml.</t>
  </si>
  <si>
    <t>New Item :7360-4010-9090 New Serial Number :57-60591366 Old Item :7360-4010-9090 Old Serial Number :57-60588467</t>
  </si>
  <si>
    <t>2026-02-10T11:43:53.000Z</t>
  </si>
  <si>
    <t>Coin Recycler error, Error code: 16-6-0--996786  [Generated by Portal Login: coas14 Contact: Ashley Cooper 3092131564 acooper@rdspos.com]</t>
  </si>
  <si>
    <t>2026-02-10T09:37:56.000Z</t>
  </si>
  <si>
    <t>CE IS NOW US153R03</t>
  </si>
  <si>
    <t>2026-02-10T09:39:28.000Z</t>
  </si>
  <si>
    <t>Coin Recycler error, Error code: 16-6-0--996786  [Generated by Portal Login: coas14 Contact: Ashley Cooper 3092131564 acooper@rdspos.com]-CE IS NOW US153R03-removed almost a whole coin wrapping-removed almost a whole coin wrapping-removed almost a whole coin wrapping, tested recycler several times with manager Levi. suggested  purging and doing an audit due to no coins in pml.-New Item :7360-4010-9090 New Serial Number :57-60591366 Old Item :7360-4010-9090 Old Serial Number :57-60588467</t>
  </si>
  <si>
    <t>2025-12-12T18:32:44.000Z</t>
  </si>
  <si>
    <t>57-60595320</t>
  </si>
  <si>
    <t>2025-12-12T12:05:00.000Z</t>
  </si>
  <si>
    <t>2025-12-12T17:05:00.000Z</t>
  </si>
  <si>
    <t>2025-12-12T13:17:00.000Z</t>
  </si>
  <si>
    <t>2025-12-12T18:17:00.000Z</t>
  </si>
  <si>
    <t>2025-12-12T09:17:15.000Z</t>
  </si>
  <si>
    <t>2025-12-12T14:17:15.000Z</t>
  </si>
  <si>
    <t>New Item :7360-4010-9090 New Serial Number :57-60595320 Old Item :7360-4010-9090 Old Serial Number :57-60595310</t>
  </si>
  <si>
    <t>2025-12-12T13:17:26.000Z</t>
  </si>
  <si>
    <t>On SCO18 When inserting bills making a strange sound and has a bill recycler error   [Generated by Portal Login: most14 Contact: Staci Mowder 3096133038 ftfmsupport@rdspos.com]</t>
  </si>
  <si>
    <t>2025-12-12T09:20:41.000Z</t>
  </si>
  <si>
    <t>main module in feed belts are jammed. I was able to unjam the belts.  rebooted tested passed</t>
  </si>
  <si>
    <t>2025-12-12T13:17:24.000Z</t>
  </si>
  <si>
    <t>On SCO18 When inserting bills making a strange sound and has a bill recycler error   [Generated by Portal Login: most14 Contact: Staci Mowder 3096133038 ftfmsupport@rdspos.com]-CE IS NOW US133U36-main module in feed belts are jammed. I was able to unjam the belts.  rebooted tested passed-New Item :7360-4010-9090 New Serial Number :57-60595320 Old Item :7360-4010-9090 Old Serial Number :57-60595310</t>
  </si>
  <si>
    <t>2026-03-05T21:08:04.000Z</t>
  </si>
  <si>
    <t>2026-03-05T11:21:00.000Z</t>
  </si>
  <si>
    <t>2026-03-05T17:21:00.000Z</t>
  </si>
  <si>
    <t>2026-03-05T11:46:00.000Z</t>
  </si>
  <si>
    <t>2026-03-05T17:46:00.000Z</t>
  </si>
  <si>
    <t>2026-03-04T15:16:22.000Z</t>
  </si>
  <si>
    <t>2026-03-04T21:16:22.000Z</t>
  </si>
  <si>
    <t>2026-03-04T21:16:23.000Z</t>
  </si>
  <si>
    <t>2026-03-04T15:16:23.000Z</t>
  </si>
  <si>
    <t>Active coin jam has an unrecoverable coin jam. Replaced active coin box. Tested and working. Returned the lane to service.</t>
  </si>
  <si>
    <t>2026-03-05T14:54:31.000Z</t>
  </si>
  <si>
    <t>New Item :7360-4010-9090 New Serial Number :57-60590117 Old Item :7360-4010-9090 Old Serial Number :57-60591345</t>
  </si>
  <si>
    <t>2026-03-05T14:54:33.000Z</t>
  </si>
  <si>
    <t>2026-03-04T22:48:54.000Z</t>
  </si>
  <si>
    <t>CEM4124887:Coin jam</t>
  </si>
  <si>
    <t>SCO 15 has a coin recycler error sorter module not seated error code 16-6-0-99-524801  [Generated by Portal Login: besa14 Contact: Sabrina Bechtel 715-498-6611 ftfmsupport@rdspos.com]-CE IS NOW US153R80-CEM4124887:Coin jam-Active coin jam has an unrecoverable coin jam. Replaced active coin box. Tested and working. Returned the lane to service.-New Item :7360-4010-9090 New Serial Number :57-60590117 Old Item :7360-4010-9090 Old Serial Number :57-60591345</t>
  </si>
  <si>
    <t>2026-07-03T15:35:38.000Z</t>
  </si>
  <si>
    <t>57-60591381</t>
  </si>
  <si>
    <t>2026-07-03T09:37:00.000Z</t>
  </si>
  <si>
    <t>2026-07-03T14:37:00.000Z</t>
  </si>
  <si>
    <t>2026-07-03T10:20:00.000Z</t>
  </si>
  <si>
    <t>2026-07-03T15:20:00.000Z</t>
  </si>
  <si>
    <t>2026-07-03T08:59:29.000Z</t>
  </si>
  <si>
    <t>2026-07-03T13:59:29.000Z</t>
  </si>
  <si>
    <t>original notes said that register 15 was suffering from some kind of coin problem. notes said that there was a jam. on observation found that machine was spitting out pennies and totally rejecting them. broke down the machine by each component and eventually found that the coin separator mechanism was jammed up with paper from leftover coin rolls. remove the obstruction and informed manager Kathy to tell her staff to separate coin roll paper from the coins when they are loading the machine. put the machine back together and fed back all of the loose change into the machine successfully. was able to perform a coin dispense test accurately. machine also took back all of the coins dispensed with no problems or errors. rebooted the register and it came back ready for cash operations. verified by manager Kathy.</t>
  </si>
  <si>
    <t>2026-07-03T10:21:52.000Z</t>
  </si>
  <si>
    <t>New Item :7360-4010-9090 New Serial Number :57-60591381 Old Item :7360-4010-9090 Old Serial Number :57-60591331</t>
  </si>
  <si>
    <t>2026-07-03T10:21:53.000Z</t>
  </si>
  <si>
    <t>Hopper 1 Transfer Path Jammed  [Generated by Portal Login: repa14 Contact: Patrick Reeves 3092411908 ftfmsupport@rdspos.com]</t>
  </si>
  <si>
    <t>2026-07-03T08:59:42.000Z</t>
  </si>
  <si>
    <t>coin Roll paper debris jammed up coin separator validator</t>
  </si>
  <si>
    <t>Hopper 1 Transfer Path Jammed  [Generated by Portal Login: repa14 Contact: Patrick Reeves 3092411908 ftfmsupport@rdspos.com]-CE IS NOW US153R25-coin Roll paper debris jammed up coin separator validator-original notes said that register 15 was suffering from some kind of coin problem. notes said that there was a jam. on observation found that machine was spitting out pennies and totally rejecting them. broke down the machine by each component and eventually found that the coin separator mechanism was jammed up with paper from leftover coin rolls. remove the obstruction and informed manager Kathy to tell her staff to separate coin roll paper from the coins when they are loading the machine. put the machine back together and fed back all of the loose change into the machine successfully. was able to perform a coin dispense test accurately. machine also took back all of the coins dispensed with no problems or errors. rebooted the register and it came back ready for cash operations. verified by manager Kathy.-New Item :7360-4010-9090 New Serial Number :57-60591381 Old Item :7360-4010-9090 Old Serial Number :57-60591331</t>
  </si>
  <si>
    <t>2026-05-13T20:15:23.000Z</t>
  </si>
  <si>
    <t>57-60591361</t>
  </si>
  <si>
    <t>2026-05-13T15:24:00.000Z</t>
  </si>
  <si>
    <t>2026-05-13T19:24:00.000Z</t>
  </si>
  <si>
    <t>2026-05-13T15:55:00.000Z</t>
  </si>
  <si>
    <t>2026-05-13T19:55:00.000Z</t>
  </si>
  <si>
    <t>DH185058</t>
  </si>
  <si>
    <t>2026-05-13T12:05:09.000Z</t>
  </si>
  <si>
    <t>2026-05-13T16:05:09.000Z</t>
  </si>
  <si>
    <t>CEM4224534:Motor jam</t>
  </si>
  <si>
    <t>2026-05-13T15:58:23.000Z</t>
  </si>
  <si>
    <t>Active Cash Box motor jam, replaced bad Active Cash Box and tested good</t>
  </si>
  <si>
    <t>New Item :7360-4010-9090 New Serial Number :57-60591361 Old Item :7360-4010-9090 Old Serial Number :57-60591372</t>
  </si>
  <si>
    <t>2026-05-13T15:58:26.000Z</t>
  </si>
  <si>
    <t>SCO11 has a Coin Recycler error - Coin box motor jammed  [Generated by Portal Login: most14 Contact: Staci Mowder 3096133038 ftfmsupport@rdspos.com]</t>
  </si>
  <si>
    <t>2026-05-13T12:23:28.000Z</t>
  </si>
  <si>
    <t>CE WAS US133U38</t>
  </si>
  <si>
    <t>2026-05-13T12:23:41.000Z</t>
  </si>
  <si>
    <t>SCO11 has a Coin Recycler error - Coin box motor jammed  [Generated by Portal Login: most14 Contact: Staci Mowder 3096133038 ftfmsupport@rdspos.com]-CE IS NOW US133U38-CE WAS US133U38-CE IS NOW US133U35-CEM4224534:Motor jam-Active Cash Box motor jam, replaced bad Active Cash Box and tested good-New Item :7360-4010-9090 New Serial Number :57-60591361 Old Item :7360-4010-9090 Old Serial Number :57-60591372</t>
  </si>
  <si>
    <t>2025-09-12T19:31:55.000Z</t>
  </si>
  <si>
    <t>2025-09-12T13:43:00.000Z</t>
  </si>
  <si>
    <t>2025-09-12T18:43:00.000Z</t>
  </si>
  <si>
    <t>2025-09-12T14:17:00.000Z</t>
  </si>
  <si>
    <t>2025-09-12T19:17:00.000Z</t>
  </si>
  <si>
    <t>2025-09-12T07:19:11.000Z</t>
  </si>
  <si>
    <t>2025-09-12T12:19:11.000Z</t>
  </si>
  <si>
    <t>2025-09-12T12:19:14.000Z</t>
  </si>
  <si>
    <t>2025-09-12T07:19:14.000Z</t>
  </si>
  <si>
    <t>New Item :7360-4010-9090 New Serial Number :57-60588471 Old Item :7360-4010-9090 Old Serial Number :57-60590101</t>
  </si>
  <si>
    <t>2025-09-12T14:19:29.000Z</t>
  </si>
  <si>
    <t>SCO 11 needs the battery backup replaced  [Generated by Portal Login: besa14 Contact: Sabrina Bechtel 715-498-6611 ftfmsupport@rdspos.com]</t>
  </si>
  <si>
    <t>2025-09-12T07:20:18.000Z</t>
  </si>
  <si>
    <t>Register 11 was dead for the count. The battery backup totally failed and was out of power. Remove the old device and install a new backup battery unit. Connected all the cords and rebooted the register. Power was supplied and the register booted up normally with no problems or hiccups. Verified by store manager Mike.</t>
  </si>
  <si>
    <t>2025-09-12T14:19:26.000Z</t>
  </si>
  <si>
    <t>SCO 11 needs the battery backup replaced  [Generated by Portal Login: besa14 Contact: Sabrina Bechtel 715-498-6611 ftfmsupport@rdspos.com]-CE IS NOW US153R72-Register 11 was dead for the count. The battery backup totally failed and was out of power. Remove the old device and install a new backup battery unit. Connected all the cords and rebooted the register. Power was supplied and the register booted up normally with no problems or hiccups. Verified by store manager Mike.-New Item :7360-4010-9090 New Serial Number :57-60588471 Old Item :7360-4010-9090 Old Serial Number :57-60590101</t>
  </si>
  <si>
    <t>2025-11-03T19:10:55.000Z</t>
  </si>
  <si>
    <t>2025-11-03T10:38:00.000Z</t>
  </si>
  <si>
    <t>2025-11-03T16:38:00.000Z</t>
  </si>
  <si>
    <t>2025-11-03T12:53:00.000Z</t>
  </si>
  <si>
    <t>2025-11-03T18:53:00.000Z</t>
  </si>
  <si>
    <t>2025-11-03T08:56:23.000Z</t>
  </si>
  <si>
    <t>2025-11-03T14:56:23.000Z</t>
  </si>
  <si>
    <t>active coinbox maintenance screw left engaged, paper coin roll was jammed in unit</t>
  </si>
  <si>
    <t>2025-11-03T12:54:07.000Z</t>
  </si>
  <si>
    <t>the maintenance screw on the active cashbox was left engaged causing the no tachs error, reset and error cleared but on testing the coins were not dispensing or accepting in correct amounts, took chassis apart and found part of a paper coin roll was stuck in the unit causing coins to jam in the chassis, removed and reloaded, tested ok with supervisor Ivy</t>
  </si>
  <si>
    <t>2025-11-03T12:54:08.000Z</t>
  </si>
  <si>
    <t>Coin recycler not seated error  [Generated by Portal Login: coas14 Contact: Ashley 309-213-1564 ftfmsupport@rdspos.com]</t>
  </si>
  <si>
    <t>2025-11-03T08:57:46.000Z</t>
  </si>
  <si>
    <t>CEM3998529:miscounting, dimes getting lost when loading</t>
  </si>
  <si>
    <t>2025-11-03T12:10:44.000Z</t>
  </si>
  <si>
    <t>Coin recycler not seated error  [Generated by Portal Login: coas14 Contact: Ashley 309-213-1564 ftfmsupport@rdspos.com]-CE IS NOW US153N60-CEM3998529:miscounting, dimes getting lost when loading-active coinbox maintenance screw left engaged, paper coin roll was jammed in unit-the maintenance screw on the active cashbox was left engaged causing the no tachs error, reset and error cleared but on testing the coins were not dispensing or accepting in correct amounts, took chassis apart and found part of a paper coin roll was stuck in the unit causing coins to jam in the chassis, removed and reloaded, tested ok with supervisor Ivy-New Item :7360-4010-9090 New Serial Number :57-60595355 Old Item :7360-4010-9090 Old Serial Number :57-60595295</t>
  </si>
  <si>
    <t>2026-04-09T17:49:26.000Z</t>
  </si>
  <si>
    <t>57-60595317</t>
  </si>
  <si>
    <t>2026-04-09T13:00:00.000Z</t>
  </si>
  <si>
    <t>2026-04-09T17:00:00.000Z</t>
  </si>
  <si>
    <t>2026-04-09T13:31:00.000Z</t>
  </si>
  <si>
    <t>2026-04-09T17:31:00.000Z</t>
  </si>
  <si>
    <t>2026-04-08T17:16:37.000Z</t>
  </si>
  <si>
    <t>2026-04-08T21:16:37.000Z</t>
  </si>
  <si>
    <t>working properly. performed requested pm</t>
  </si>
  <si>
    <t>2026-04-09T13:31:24.000Z</t>
  </si>
  <si>
    <t>spoke with front end lead margaret. performed pm on sco 13.</t>
  </si>
  <si>
    <t>New Item :7360-4010-9090 New Serial Number :57-60595317 Old Item :7360-4010-9090 Old Serial Number :57-60595333</t>
  </si>
  <si>
    <t>2026-04-09T13:31:25.000Z</t>
  </si>
  <si>
    <t>Manager requesting sensors cleaned and SCO cleanout on SCO13  [Generated by Portal Login: most14 Contact: Staci Mowder 3096133038 ftfmsupport@rdspos.com]</t>
  </si>
  <si>
    <t>2026-04-08T17:25:07.000Z</t>
  </si>
  <si>
    <t>2026-04-09T07:21:31.000Z</t>
  </si>
  <si>
    <t>Manager requesting sensors cleaned and SCO cleanout on SCO13  [Generated by Portal Login: most14 Contact: Staci Mowder 3096133038 ftfmsupport@rdspos.com]-CE IS NOW US133C42-CE WAS US133C42-CE IS NOW US133U32-working properly. performed requested pm-spoke with front end lead margaret. performed pm on sco 13.-New Item :7360-4010-9090 New Serial Number :57-60595317 Old Item :7360-4010-9090 Old Serial Number :57-60595333</t>
  </si>
  <si>
    <t>2026-04-19T23:48:42.000Z</t>
  </si>
  <si>
    <t>2026-04-19T18:06:00.000Z</t>
  </si>
  <si>
    <t>2026-04-19T22:06:00.000Z</t>
  </si>
  <si>
    <t>2026-04-19T19:31:00.000Z</t>
  </si>
  <si>
    <t>2026-04-19T23:31:00.000Z</t>
  </si>
  <si>
    <t>2026-04-19T17:04:02.000Z</t>
  </si>
  <si>
    <t>2026-04-19T21:04:02.000Z</t>
  </si>
  <si>
    <t>Found in pml that the cr5000 wouldn't dispense pennies. pml count showed 3 pennies in the hopper, but there were clearly over 100  I purged all hoppers and redeposited the coins. I found that as soon as I tried to dispense the penny count went from 229 to 0.   I replaced the penny hopper, deposited coins and found that it would track pennies without issue.  I was able to dispense and accept coins without issue.</t>
  </si>
  <si>
    <t>2026-04-19T19:32:03.000Z</t>
  </si>
  <si>
    <t>New Item :7360-4010-9090 New Serial Number :57-60588436 Old Item :7360-4010-9090 Old Serial Number :57-60588404</t>
  </si>
  <si>
    <t>2026-04-19T19:32:05.000Z</t>
  </si>
  <si>
    <t>Coin recycler Error  [Generated by Portal Login: repa14 Contact: Patrick Reeves 3092411908 ftfmsupport@rdspos.com]</t>
  </si>
  <si>
    <t>2026-04-19T17:10:10.000Z</t>
  </si>
  <si>
    <t>CEM4194138:defective</t>
  </si>
  <si>
    <t>Coin recycler Error  [Generated by Portal Login: repa14 Contact: Patrick Reeves 3092411908 ftfmsupport@rdspos.com]-CE IS NOW US133E74-CEM4194138:defective-Found in pml that the cr5000 wouldn't dispense pennies. pml count showed 3 pennies in the hopper, but there were clearly over 100  I purged all hoppers and redeposited the coins. I found that as soon as I tried to dispense the penny count went from 229 to 0.   I replaced the penny hopper, deposited coins and found that it would track pennies without issue.  I was able to dispense and accept coins without issue.-New Item :7360-4010-9090 New Serial Number :57-60588436 Old Item :7360-4010-9090 Old Serial Number :57-60588404</t>
  </si>
  <si>
    <t>2025-10-07T02:01:04.000Z</t>
  </si>
  <si>
    <t>57-60595299</t>
  </si>
  <si>
    <t>2025-10-06T20:29:00.000Z</t>
  </si>
  <si>
    <t>2025-10-07T01:29:00.000Z</t>
  </si>
  <si>
    <t>2025-10-06T20:45:00.000Z</t>
  </si>
  <si>
    <t>2025-10-07T01:45:00.000Z</t>
  </si>
  <si>
    <t>MEIJER/FRESH THYME #492</t>
  </si>
  <si>
    <t>2025-10-06T16:16:29.000Z</t>
  </si>
  <si>
    <t>2025-10-06T21:16:29.000Z</t>
  </si>
  <si>
    <t>2025-10-06T21:16:30.000Z</t>
  </si>
  <si>
    <t>2025-10-06T16:16:30.000Z</t>
  </si>
  <si>
    <t>7360-4310-9090</t>
  </si>
  <si>
    <t>SSCO R6C Full Function, 3 Bag, XR7 Plus</t>
  </si>
  <si>
    <t>paper debris in sorter module</t>
  </si>
  <si>
    <t>2025-10-06T20:46:30.000Z</t>
  </si>
  <si>
    <t>paper debris jamming coin sorter. cleared and tested without further issue or incident self checkout lane number 12 mod wendy</t>
  </si>
  <si>
    <t>New Item :7360-4010-9090 New Serial Number :57-60595299 Old Item :7360-4310-9090 Old Serial Number :20-59053579</t>
  </si>
  <si>
    <t>2025-10-06T20:46:31.000Z</t>
  </si>
  <si>
    <t>SCO12 has a coin recyler error 16-6-0--99-67586  [Generated by Portal Login: most14 Contact: Staci Mowder 3096133038 ftfmsupport@rdspos.com]</t>
  </si>
  <si>
    <t>2025-10-06T16:21:28.000Z</t>
  </si>
  <si>
    <t>2025-10-06T19:23:23.000Z</t>
  </si>
  <si>
    <t>SCO12 has a coin recyler error 16-6-0--99-67586  [Generated by Portal Login: most14 Contact: Staci Mowder 3096133038 ftfmsupport@rdspos.com]-CE IS NOW US153N60-CE WAS US153N60-CE IS NOW US153N63-paper debris in sorter module-paper debris jamming coin sorter. cleared and tested without further issue or incident self checkout lane number 12 mod wendy-New Item :7360-4010-9090 New Serial Number :57-60595299 Old Item :7360-4310-9090 Old Serial Number :20-59053579</t>
  </si>
  <si>
    <t>2025-10-31T22:49:15.000Z</t>
  </si>
  <si>
    <t>2025-10-31T16:34:00.000Z</t>
  </si>
  <si>
    <t>2025-10-31T21:34:00.000Z</t>
  </si>
  <si>
    <t>2025-10-31T17:31:00.000Z</t>
  </si>
  <si>
    <t>2025-10-31T22:31:00.000Z</t>
  </si>
  <si>
    <t>2025-10-31T14:03:16.000Z</t>
  </si>
  <si>
    <t>2025-10-31T19:03:16.000Z</t>
  </si>
  <si>
    <t>tested both bill recycle and coin recycler extensively. could not replicate any fault. self checkout lane number 11 mod jesse</t>
  </si>
  <si>
    <t>2025-10-31T17:31:54.000Z</t>
  </si>
  <si>
    <t>2025-10-31T17:31:55.000Z</t>
  </si>
  <si>
    <t>SCO11 has a coin recycler error. Also either not giving proper change or no change at all.   [Generated by Portal Login: most14 Contact: Staci Mowder 3096133038 ftfmsupport@rdspos.com]</t>
  </si>
  <si>
    <t>2025-10-31T14:04:47.000Z</t>
  </si>
  <si>
    <t>SCO11 has a coin recycler error. Also either not giving proper change or no change at all.   [Generated by Portal Login: most14 Contact: Staci Mowder 3096133038 ftfmsupport@rdspos.com]-CE IS NOW US153N63-no fault found-tested both bill recycle and coin recycler extensively. could not replicate any fault. self checkout lane number 11 mod jesse-1R-RETAIL:NR-NOTE RECYCLER:5Z-RECYCLER MAIN MODULE-New Item :7360-4010-9090 New Serial Number :57-60595355 Old Item :7360-4010-9090 Old Serial Number :57-60588435</t>
  </si>
  <si>
    <t>2025-09-08T20:35:22.000Z</t>
  </si>
  <si>
    <t>2025-09-08T14:03:00.000Z</t>
  </si>
  <si>
    <t>2025-09-08T19:03:00.000Z</t>
  </si>
  <si>
    <t>2025-09-08T20:16:00.000Z</t>
  </si>
  <si>
    <t>2025-09-08T13:11:32.000Z</t>
  </si>
  <si>
    <t>2025-09-08T18:11:32.000Z</t>
  </si>
  <si>
    <t>2025-09-08T18:11:37.000Z</t>
  </si>
  <si>
    <t>2025-09-08T13:11:37.000Z</t>
  </si>
  <si>
    <t>2025-09-08T15:19:55.000Z</t>
  </si>
  <si>
    <t>SCO 11 has a coin recycler error sorter module not seated error code 5-10-0-5-524801  [Generated by Portal Login: besa14 Contact: Sabrina Bechtel 715-498-6611 ftfmsupport@rdspos.com]</t>
  </si>
  <si>
    <t>2025-09-08T13:16:00.000Z</t>
  </si>
  <si>
    <t>a huge handful of coins were jammed in the front area of the chassis behind the coin validator and belt. had to take chassis off of base and shake the coins out. once put back and the sco booted up I tested with MOD Bill and accepted all coins back into the device with no issues. if issue comes back I highly recommend the whole coin recycler be replaced excluding the hoppers. otherwise SCO 11 is back in service</t>
  </si>
  <si>
    <t>2025-09-08T15:19:52.000Z</t>
  </si>
  <si>
    <t>SCO 11 has a coin recycler error sorter module not seated error code 5-10-0-5-524801  [Generated by Portal Login: besa14 Contact: Sabrina Bechtel 715-498-6611 ftfmsupport@rdspos.com]-CE IS NOW US153R01-a huge handful of coins were jammed in the front area of the chassis behind the coin validator and belt. had to take chassis off of base and shake the coins out. once put back and the sco booted up I tested with MOD Bill and accepted all coins back into the device with no issues. if issue comes back I highly recommend the whole coin recycler be replaced excluding the hoppers. otherwise SCO 11 is back in service-New Item :7360-4010-9090 New Serial Number :57-60588467 Old Item :7360-4010-9090 Old Serial Number :57-60588467</t>
  </si>
  <si>
    <t>2025-08-25T23:38:38.000Z</t>
  </si>
  <si>
    <t>57-60587861</t>
  </si>
  <si>
    <t>2025-08-25T18:38:00.000Z</t>
  </si>
  <si>
    <t>2025-08-25T22:38:00.000Z</t>
  </si>
  <si>
    <t>2025-08-25T19:21:00.000Z</t>
  </si>
  <si>
    <t>2025-08-25T23:21:00.000Z</t>
  </si>
  <si>
    <t>2025-08-25T15:49:12.000Z</t>
  </si>
  <si>
    <t>2025-08-25T19:49:12.000Z</t>
  </si>
  <si>
    <t>2025-08-25T19:49:15.000Z</t>
  </si>
  <si>
    <t>2025-08-25T15:49:15.000Z</t>
  </si>
  <si>
    <t>Arrived on site. Issue stated that coin recycler was jammed. Found that the debris flap on acceptor doesn't automatically retract. Replaced with a new acceptor. Works as intended on replacement. Confirmed with Savanna and Jeff.</t>
  </si>
  <si>
    <t>2025-08-25T19:22:57.000Z</t>
  </si>
  <si>
    <t>replaced part</t>
  </si>
  <si>
    <t>2025-08-25T19:22:58.000Z</t>
  </si>
  <si>
    <t>New Item :7360-4010-9090 New Serial Number :57-60587861 Old Item :7360-4010-9090 Old Serial Number :57-60591391</t>
  </si>
  <si>
    <t>2025-08-25T19:22:59.000Z</t>
  </si>
  <si>
    <t>Coin recycler error, exit cup entry path jammed. Error code 16-6-0--99-524550  [Generated by Portal Login: coas14 Contact: Ashley 309-213-1564 ftfmsupport@rdspos.com]</t>
  </si>
  <si>
    <t>2025-08-25T15:51:38.000Z</t>
  </si>
  <si>
    <t>CEM3896748:arms for debris flap do not retract</t>
  </si>
  <si>
    <t>Coin recycler error, exit cup entry path jammed. Error code 16-6-0--99-524550  [Generated by Portal Login: coas14 Contact: Ashley 309-213-1564 ftfmsupport@rdspos.com]-CE IS NOW US133E77-CEM3896748:arms for debris flap do not retract-Arrived on site. Issue stated that coin recycler was jammed. Found that the debris flap on acceptor doesn't automatically retract. Replaced with a new acceptor. Works as intended on replacement. Confirmed with Savanna and Jeff.-replaced part-New Item :7360-4010-9090 New Serial Number :57-60587861 Old Item :7360-4010-9090 Old Serial Number :57-60591391</t>
  </si>
  <si>
    <t>2025-11-15T20:24:37.000Z</t>
  </si>
  <si>
    <t>57-60591309</t>
  </si>
  <si>
    <t>2025-11-14T10:27:00.000Z</t>
  </si>
  <si>
    <t>2025-11-14T15:27:00.000Z</t>
  </si>
  <si>
    <t>2025-11-15T15:10:00.000Z</t>
  </si>
  <si>
    <t>2025-11-15T20:10:00.000Z</t>
  </si>
  <si>
    <t>2025-11-13T16:45:30.000Z</t>
  </si>
  <si>
    <t>2025-11-13T21:45:30.000Z</t>
  </si>
  <si>
    <t>the casset in the 3rd position has a bad sensor. swapped with new and reloaded with Aaron. tested. tested good. unit is now fully operational.</t>
  </si>
  <si>
    <t>2025-11-15T15:13:02.000Z</t>
  </si>
  <si>
    <t>CEM3997309:broken</t>
  </si>
  <si>
    <t>2025-11-15T15:13:06.000Z</t>
  </si>
  <si>
    <t>New Item :7360-4010-9090 New Serial Number :57-60591309 Old Item :7360-4010-9090 Old Serial Number :57-60590098</t>
  </si>
  <si>
    <t>2025-11-15T15:13:07.000Z</t>
  </si>
  <si>
    <t>Note Jammed at RNCK 3 Sensor on SCO17.  [Generated by Portal Login: most14 Contact: Staci Mowder 3096133038 ftfmsupport@rdspos.com]</t>
  </si>
  <si>
    <t>2025-11-13T16:56:01.000Z</t>
  </si>
  <si>
    <t>2025-11-13T19:46:06.000Z</t>
  </si>
  <si>
    <t>Note Jammed at RNCK 3 Sensor on SCO17.  [Generated by Portal Login: most14 Contact: Staci Mowder 3096133038 ftfmsupport@rdspos.com]-CE IS NOW US133E74-CE WAS US133E74-CE IS NOW US133E71-CE WAS US133E71-CE IS NOW US133E76-4970524325 dual drum recycler sensor is failing. after clearing and cleaning, fault is still occurring.-LOM order processing, Part has been Ordered , Remedy Id FSC5403795 - (Next Day) by Agent ld250256-Oracle Order Shipped for Remedy Id: U018800213, Order/Receipt # 181855846, Ordered Part 4970524325, Part Description - Fujitsu GSR50 Note Recycler -Dual Drum Recycling S, Shipment/Receipt #2111951248, Part has been Shipped, Qty 1, Priority OVERNIGHT, Shipping Method UPS-Air-Next Day Air, BOL/Job 1ZH92Y054401918435, Source Location PTC AVL-CE IS NOW US133E72-the casset in the 3rd position has a bad sensor. swapped with new and reloaded with Aaron. tested. tested good. unit is now fully operational.-CEM3997309:broken-New Item :7360-4010-9090 New Serial Number :57-60591309 Old Item :7360-4010-9090 Old Serial Number :57-60590098</t>
  </si>
  <si>
    <t>2025-09-12T19:51:28.000Z</t>
  </si>
  <si>
    <t>2025-09-12T14:21:00.000Z</t>
  </si>
  <si>
    <t>2025-09-12T19:21:00.000Z</t>
  </si>
  <si>
    <t>2025-09-12T14:34:00.000Z</t>
  </si>
  <si>
    <t>2025-09-12T19:34:00.000Z</t>
  </si>
  <si>
    <t>2025-09-12T08:03:28.000Z</t>
  </si>
  <si>
    <t>2025-09-12T13:03:28.000Z</t>
  </si>
  <si>
    <t>New Item :7360-4010-9090 New Serial Number :57-60590099 Old Item :7360-4010-9090 Old Serial Number :57-60590105</t>
  </si>
  <si>
    <t>2025-09-12T14:38:32.000Z</t>
  </si>
  <si>
    <t>SCO 13 needs the battery backup replaced  [Generated by Portal Login: besa14 Contact: Sabrina Bechtel 715-498-6611 ftfmsupport@rdspos.com]</t>
  </si>
  <si>
    <t>2025-09-12T08:03:34.000Z</t>
  </si>
  <si>
    <t>Register 13 needed a new power supply. Shut down the register and remove the old power supply and install a new one. Connected all the cables and rebooted the lane. Registered booted up successfully with no problems. Verified by checkout</t>
  </si>
  <si>
    <t>2025-09-12T14:38:30.000Z</t>
  </si>
  <si>
    <t>SCO 13 needs the battery backup replaced  [Generated by Portal Login: besa14 Contact: Sabrina Bechtel 715-498-6611 ftfmsupport@rdspos.com]-CE IS NOW US153R72-Register 13 needed a new power supply. Shut down the register and remove the old power supply and install a new one. Connected all the cables and rebooted the lane. Registered booted up successfully with no problems. Verified by checkout-New Item :7360-4010-9090 New Serial Number :57-60590099 Old Item :7360-4010-9090 Old Serial Number :57-60590105</t>
  </si>
  <si>
    <t>2026-02-25T21:22:37.000Z</t>
  </si>
  <si>
    <t>57-60587779</t>
  </si>
  <si>
    <t>2026-02-25T14:41:00.000Z</t>
  </si>
  <si>
    <t>2026-02-25T20:41:00.000Z</t>
  </si>
  <si>
    <t>2026-02-25T15:06:00.000Z</t>
  </si>
  <si>
    <t>2026-02-25T21:06:00.000Z</t>
  </si>
  <si>
    <t>2026-02-25T13:04:01.000Z</t>
  </si>
  <si>
    <t>2026-02-25T19:04:01.000Z</t>
  </si>
  <si>
    <t>7289-1443-9898</t>
  </si>
  <si>
    <t>spill damage</t>
  </si>
  <si>
    <t>2026-02-25T15:07:20.000Z</t>
  </si>
  <si>
    <t>spill damged validator, replaced ran ADD and tested successfully</t>
  </si>
  <si>
    <t>New Item :7360-4010-9090 New Serial Number :57-60587779 Old Item :7360-4010-9090 Old Serial Number :57-60587853</t>
  </si>
  <si>
    <t>2026-02-25T15:07:21.000Z</t>
  </si>
  <si>
    <t>SCO 13 has a coin recycler error validator motor error singulator error code 16-6-0-99-131843  [Generated by Portal Login: besa14 Contact: Sabrina Bechtel 715-498-6611 ftfmsupport@rdspos.com]</t>
  </si>
  <si>
    <t>2026-02-25T13:04:02.000Z</t>
  </si>
  <si>
    <t>2026-02-25T13:05:01.000Z</t>
  </si>
  <si>
    <t>2026-02-25T13:12:22.000Z</t>
  </si>
  <si>
    <t>SCO 13 has a coin recycler error validator motor error singulator error code 16-6-0-99-131843  [Generated by Portal Login: besa14 Contact: Sabrina Bechtel 715-498-6611 ftfmsupport@rdspos.com]-CE IS NOW US153C18-CE WAS US153C18-CE IS NOW US153C21-CE WAS US153C21-CE IS NOW US153C09-CEM4130370:spill damage-spill damage-spill damged validator, replaced ran ADD and tested successfully-New Item :7360-4010-9090 New Serial Number :57-60587779 Old Item :7360-4010-9090 Old Serial Number :57-60587853</t>
  </si>
  <si>
    <t>2025-12-27T23:49:33.000Z</t>
  </si>
  <si>
    <t>2025-12-27T18:04:00.000Z</t>
  </si>
  <si>
    <t>2025-12-27T23:04:00.000Z</t>
  </si>
  <si>
    <t>2025-12-27T18:32:00.000Z</t>
  </si>
  <si>
    <t>2025-12-27T23:32:00.000Z</t>
  </si>
  <si>
    <t>2025-12-27T16:12:47.000Z</t>
  </si>
  <si>
    <t>2025-12-27T21:12:47.000Z</t>
  </si>
  <si>
    <t>Sco 14 replace active coin box. open PML and ran add. verify that coins can be dispense and accepted multiple times. verify with the team lead that sco 14 is working properly</t>
  </si>
  <si>
    <t>2025-12-27T18:33:25.000Z</t>
  </si>
  <si>
    <t>New Item :7360-4010-9090 New Serial Number :57-60587770 Old Item :7360-4010-9090 Old Serial Number :57-60588433</t>
  </si>
  <si>
    <t>2025-12-27T18:33:28.000Z</t>
  </si>
  <si>
    <t>Active coin box error, Error code:16-6-0--99-459781  [Generated by Portal Login: coas14 Contact: Ashley 3092131564 ftfmsupport@rdspos.com]</t>
  </si>
  <si>
    <t>2025-12-27T16:13:46.000Z</t>
  </si>
  <si>
    <t>CEM4013610:bad</t>
  </si>
  <si>
    <t>Active coin box error, Error code:16-6-0--99-459781  [Generated by Portal Login: coas14 Contact: Ashley 3092131564 ftfmsupport@rdspos.com]-CE IS NOW US133C75-CEM4013610:bad-Sco 14 replace active coin box. open PML and ran add. verify that coins can be dispense and accepted multiple times. verify with the team lead that sco 14 is working properly-New Item :7360-4010-9090 New Serial Number :57-60587770 Old Item :7360-4010-9090 Old Serial Number :57-60588433</t>
  </si>
  <si>
    <t>2025-10-13T17:48:08.000Z</t>
  </si>
  <si>
    <t>2025-10-13T11:53:00.000Z</t>
  </si>
  <si>
    <t>2025-10-13T16:53:00.000Z</t>
  </si>
  <si>
    <t>2025-10-13T12:30:00.000Z</t>
  </si>
  <si>
    <t>2025-10-13T17:30:00.000Z</t>
  </si>
  <si>
    <t>2025-10-13T10:56:51.000Z</t>
  </si>
  <si>
    <t>2025-10-13T15:56:51.000Z</t>
  </si>
  <si>
    <t>extraction of all remaining coins from active cashbox</t>
  </si>
  <si>
    <t>2025-10-13T12:35:47.000Z</t>
  </si>
  <si>
    <t>2025-10-13T12:35:49.000Z</t>
  </si>
  <si>
    <t>On SCO 12- Needing assistance removing all coins from coin overflow box. Quarters are not dispensing if quarters are less than 50.00. Quarters are not dispensing if quarters are less than $50.00 so we are trying to remove all coins and add them back in, but cannot get last few coins out of the overflow box. Please also confirm all coins are empty with Vicky before leaving site. [Generated by Portal Login: coas14 Contact: Ashley 3092131564 ftfmsupport@rdspos.com]</t>
  </si>
  <si>
    <t>2025-10-13T10:59:54.000Z</t>
  </si>
  <si>
    <t>lane turned off at arrival</t>
  </si>
  <si>
    <t>2025-10-13T11:53:22.000Z</t>
  </si>
  <si>
    <t>On SCO 12- Needing assistance removing all coins from coin overflow box. Quarters are not dispensing if quarters are less than 50.00. Quarters are not dispensing if quarters are less than $50.00 so we are trying to remove all coins and add them back in, but cannot get last few coins out of the overflow box. Please also confirm all coins are empty with Vicky before leaving site. [Generated by Portal Login: coas14 Contact: Ashley 3092131564 ftfmsupport@rdspos.com]-CE IS NOW US153R03-lane turned off at arrival-extraction of all remaining coins from active cashbox-New Item :7360-4010-9090 New Serial Number :57-60591366 Old Item :7360-4010-9090 Old Serial Number :57-60588467</t>
  </si>
  <si>
    <t>2025-10-02T15:29:13.000Z</t>
  </si>
  <si>
    <t>57-60587737</t>
  </si>
  <si>
    <t>2025-10-02T10:47:00.000Z</t>
  </si>
  <si>
    <t>2025-10-02T14:47:00.000Z</t>
  </si>
  <si>
    <t>2025-10-02T11:14:00.000Z</t>
  </si>
  <si>
    <t>2025-10-02T15:14:00.000Z</t>
  </si>
  <si>
    <t>WS-TPSM</t>
  </si>
  <si>
    <t>2025-10-02T10:28:34.000Z</t>
  </si>
  <si>
    <t>2025-10-02T14:28:34.000Z</t>
  </si>
  <si>
    <t>someone inserted a coin wrapper into the coin recycling</t>
  </si>
  <si>
    <t>2025-10-02T11:15:18.000Z</t>
  </si>
  <si>
    <t>this ticket was created because during a customer transaction the coin recycler jammed and this was a huge hard jam. upon disassembling the coin recycler piece by piece found that one track was off that's how hard the jam was that it forced one of the tracks to come this attached there was probably $7 worth of coins jammed behind the validator and in the return shoot so I had to disassemble that as well and then had to clear the belts. what was found was a coin wrapper in two pieces the bulk of it was in the chamber the other part had worked its way through into the return shoot and was causing the jam. removed all pieces of coin wrapper and cleaned. performed dispense and accept test and all tests are good.</t>
  </si>
  <si>
    <t>New Item :7360-4010-9090 New Serial Number :57-60587737 Old Item :7360-4010-9090 Old Serial Number :57-60591357</t>
  </si>
  <si>
    <t>ST928 - FT - REG11 - Coin recycler validator not functioning</t>
  </si>
  <si>
    <t>2025-10-02T10:28:35.000Z</t>
  </si>
  <si>
    <t>ST928 - FT - REG11 - Coin recycler validator not functioning
SCO **DEGRADED**
Robert CE US133C71 called in stating that he is in the store and assist the store with REG11, he is asking for a work order.
Creating a work order.</t>
  </si>
  <si>
    <t>2025-10-02T10:31:38.000Z</t>
  </si>
  <si>
    <t>ST928 - FT - REG11 - Coin recycler validator not functioning-ST928 - FT - REG11 - Coin recycler validator not functioning
SCO **DEGRADED**
Robert CE US133C71 called in stating that he is in the store and assist the store with REG11, he is asking for a work order.
Creating a work order.-CE IS NOW US133C71-someone inserted a coin wrapper into the coin recycling-this ticket was created because during a customer transaction the coin recycler jammed and this was a huge hard jam. upon disassembling the coin recycler piece by piece found that one track was off that's how hard the jam was that it forced one of the tracks to come this attached there was probably $7 worth of coins jammed behind the validator and in the return shoot so I had to disassemble that as well and then had to clear the belts. what was found was a coin wrapper in two pieces the bulk of it was in the chamber the other part had worked its way through into the return shoot and was causing the jam. removed all pieces of coin wrapper and cleaned. performed dispense and accept test and all tests are good.-New Item :7360-4010-9090 New Serial Number :57-60587737 Old Item :7360-4010-9090 Old Serial Number :57-60591357</t>
  </si>
  <si>
    <t>2025-08-27T20:35:41.000Z</t>
  </si>
  <si>
    <t>2025-08-27T14:39:00.000Z</t>
  </si>
  <si>
    <t>2025-08-27T18:39:00.000Z</t>
  </si>
  <si>
    <t>2025-08-27T16:21:00.000Z</t>
  </si>
  <si>
    <t>2025-08-27T20:21:00.000Z</t>
  </si>
  <si>
    <t>2025-08-26T15:47:08.000Z</t>
  </si>
  <si>
    <t>2025-08-26T19:47:08.000Z</t>
  </si>
  <si>
    <t>2025-08-27T16:21:54.000Z</t>
  </si>
  <si>
    <t>SCO13 is not printing anything on the receipt  [Generated by Portal Login: coas14 Contact: Ashley 309-213-1564 ftfmsupport@rdspos.com]</t>
  </si>
  <si>
    <t>2025-08-26T15:57:18.000Z</t>
  </si>
  <si>
    <t>upon arrival the printer was jammed and printing blank receipts. removed jammed paper and cleaned. tested unit with no further problems</t>
  </si>
  <si>
    <t>2025-08-27T16:21:51.000Z</t>
  </si>
  <si>
    <t>SCO13 is not printing anything on the receipt  [Generated by Portal Login: coas14 Contact: Ashley 309-213-1564 ftfmsupport@rdspos.com]-CE IS NOW US133C52-upon arrival the printer was jammed and printing blank receipts. removed jammed paper and cleaned. tested unit with no further problems-New Item :7360-4010-9090 New Serial Number :57-60595308 Old Item :7360-4010-9090 Old Serial Number :57-60595308</t>
  </si>
  <si>
    <t>2025-11-15T22:05:20.000Z</t>
  </si>
  <si>
    <t>2025-11-15T15:55:00.000Z</t>
  </si>
  <si>
    <t>2025-11-15T20:55:00.000Z</t>
  </si>
  <si>
    <t>2025-11-15T16:49:00.000Z</t>
  </si>
  <si>
    <t>2025-11-15T21:49:00.000Z</t>
  </si>
  <si>
    <t>2025-11-15T10:28:22.000Z</t>
  </si>
  <si>
    <t>2025-11-15T15:28:22.000Z</t>
  </si>
  <si>
    <t>New Item :7360-4010-9090 New Serial Number :57-60591329 Old Item :7360-4010-9090 Old Serial Number :57-60591326</t>
  </si>
  <si>
    <t>2025-11-15T16:49:35.000Z</t>
  </si>
  <si>
    <t>SCO 14 has a coin blockage in the exit chute  [Generated by Portal Login: most14 Contact: Staci Mowder 3096133038 ftfmsupport@rdspos.com]</t>
  </si>
  <si>
    <t>2025-11-15T10:28:23.000Z</t>
  </si>
  <si>
    <t>2025-11-15T12:59:50.000Z</t>
  </si>
  <si>
    <t>On arrival, found that SCO was in cards only mode, but didn't see any error lights on CR5000. Went into PML and tested hoppers and then cashbox. In advanced accounting, found that the active cashbox was showing a jam. Removed cashbox and used service screw to engage cashbox gear and worked jam loose,  then tested successfully in PML with multiple coins multiple times. SCO is back in service. Confirmed operational with MOD Andreas.</t>
  </si>
  <si>
    <t>2025-11-15T16:49:33.000Z</t>
  </si>
  <si>
    <t>SCO 14 has a coin blockage in the exit chute  [Generated by Portal Login: most14 Contact: Staci Mowder 3096133038 ftfmsupport@rdspos.com]-CE IS NOW US133E44-On arrival, found that SCO was in cards only mode, but didn't see any error lights on CR5000. Went into PML and tested hoppers and then cashbox. In advanced accounting, found that the active cashbox was showing a jam. Removed cashbox and used service screw to engage cashbox gear and worked jam loose,  then tested successfully in PML with multiple coins multiple times. SCO is back in service. Confirmed operational with MOD Andreas.-New Item :7360-4010-9090 New Serial Number :57-60591329 Old Item :7360-4010-9090 Old Serial Number :57-60591326</t>
  </si>
  <si>
    <t>2025-12-13T19:50:53.000Z</t>
  </si>
  <si>
    <t>2025-12-13T12:42:00.000Z</t>
  </si>
  <si>
    <t>2025-12-13T18:42:00.000Z</t>
  </si>
  <si>
    <t>2025-12-13T13:36:00.000Z</t>
  </si>
  <si>
    <t>2025-12-13T19:36:00.000Z</t>
  </si>
  <si>
    <t>2025-12-12T22:28:54.000Z</t>
  </si>
  <si>
    <t>2025-12-13T04:28:54.000Z</t>
  </si>
  <si>
    <t>2025-12-13T04:28:56.000Z</t>
  </si>
  <si>
    <t>2025-12-12T22:28:56.000Z</t>
  </si>
  <si>
    <t>register 13 had a bad coin acceptor with motor burnout or something. shut down the register and remove the old coin acceptor validator. install the new acceptor validator and ran ADD. perform cash dispense test successfully with the coins. machine also took back all of the coins dispensed accurately no problems. also pulled four $1 coins out of the cash box and exchange them with the manager on duty for for paper bills to be fed back into the machine. machine is now in ready for cash mode. verified by checkout Kyle.</t>
  </si>
  <si>
    <t>2025-12-13T13:37:00.000Z</t>
  </si>
  <si>
    <t>2025-12-13T13:37:02.000Z</t>
  </si>
  <si>
    <t>SCO 13 has a Coin recycler error -Validator motor error singulator  [Generated by Portal Login: most14 Contact: Staci Mowder 3096133038 ftfmsupport@rdspos.com]</t>
  </si>
  <si>
    <t>2025-12-12T22:28:57.000Z</t>
  </si>
  <si>
    <t>2025-12-12T22:31:52.000Z</t>
  </si>
  <si>
    <t>CEM4034407: motor problems</t>
  </si>
  <si>
    <t>SCO 13 has a Coin recycler error -Validator motor error singulator  [Generated by Portal Login: most14 Contact: Staci Mowder 3096133038 ftfmsupport@rdspos.com]-CE IS NOW US153R72-CEM4034407: motor problems-register 13 had a bad coin acceptor with motor burnout or something. shut down the register and remove the old coin acceptor validator. install the new acceptor validator and ran ADD. perform cash dispense test successfully with the coins. machine also took back all of the coins dispensed accurately no problems. also pulled four $1 coins out of the cash box and exchange them with the manager on duty for for paper bills to be fed back into the machine. machine is now in ready for cash mode. verified by checkout Kyle.-New Item :7360-4010-9090 New Serial Number :57-60590095 Old Item :7360-4010-9090 Old Serial Number :57-60590095</t>
  </si>
  <si>
    <t>2026-02-23T17:10:39.000Z</t>
  </si>
  <si>
    <t>2026-02-23T10:42:00.000Z</t>
  </si>
  <si>
    <t>2026-02-23T16:42:00.000Z</t>
  </si>
  <si>
    <t>2026-02-23T10:52:00.000Z</t>
  </si>
  <si>
    <t>2026-02-23T16:52:00.000Z</t>
  </si>
  <si>
    <t>2026-02-23T08:27:35.000Z</t>
  </si>
  <si>
    <t>2026-02-23T14:27:35.000Z</t>
  </si>
  <si>
    <t>2026-02-23T14:27:36.000Z</t>
  </si>
  <si>
    <t>2026-02-23T08:27:36.000Z</t>
  </si>
  <si>
    <t>57-53428883</t>
  </si>
  <si>
    <t>safe lock handle not opening... no fault found.. unit is working as normal... user error... no fault with lock..ok with mgt</t>
  </si>
  <si>
    <t>2026-02-23T10:53:28.000Z</t>
  </si>
  <si>
    <t>New Item :7360-4010-9090 New Serial Number :57-60590105 Old Item :7360-4010-9090 Old Serial Number :57-53428883</t>
  </si>
  <si>
    <t>2026-02-23T10:53:29.000Z</t>
  </si>
  <si>
    <t>Inner vault door lock will not budge, unable to unlock door  [Generated by Portal Login: coas14 Contact: Ashley N Cooper 3092131564 ftfmsupport@rdspos.com]</t>
  </si>
  <si>
    <t>2026-02-23T08:36:37.000Z</t>
  </si>
  <si>
    <t>no fault found.. unit is working as normal... user error... no fault with lock.</t>
  </si>
  <si>
    <t>Inner vault door lock will not budge, unable to unlock door  [Generated by Portal Login: coas14 Contact: Ashley N Cooper 3092131564 ftfmsupport@rdspos.com]-CE IS NOW US153R78-no fault found.. unit is working as normal... user error... no fault with lock.-safe lock handle not opening... no fault found.. unit is working as normal... user error... no fault with lock..ok with mgt-New Item :7360-4010-9090 New Serial Number :57-60590105 Old Item :7360-4010-9090 Old Serial Number :57-53428883</t>
  </si>
  <si>
    <t>2026-03-26T23:13:43.000Z</t>
  </si>
  <si>
    <t>2026-03-26T17:31:00.000Z</t>
  </si>
  <si>
    <t>2026-03-26T22:31:00.000Z</t>
  </si>
  <si>
    <t>2026-03-26T17:59:00.000Z</t>
  </si>
  <si>
    <t>2026-03-26T22:59:00.000Z</t>
  </si>
  <si>
    <t>2026-03-26T13:18:12.000Z</t>
  </si>
  <si>
    <t>2026-03-26T18:18:12.000Z</t>
  </si>
  <si>
    <t>2026-03-26T18:18:14.000Z</t>
  </si>
  <si>
    <t>2026-03-26T13:18:14.000Z</t>
  </si>
  <si>
    <t>2026-03-26T13:34:37.000Z</t>
  </si>
  <si>
    <t>Arrived on site and seen that they had a jam and the motor popped out. I un-jammed it and reinserted it</t>
  </si>
  <si>
    <t>2026-03-26T18:01:58.000Z</t>
  </si>
  <si>
    <t>New Item :7360-4010-9090 New Serial Number :57-60588453 Old Item :7360-4010-9090 Old Serial Number :57-60588453</t>
  </si>
  <si>
    <t>2026-03-26T18:02:00.000Z</t>
  </si>
  <si>
    <t>SCO12 has a Coin recycler error - transfer track motor jam  [Generated by Portal Login: most14 Contact: Staci Mowder 3096133038 ftfmsupport@rdspos.com]</t>
  </si>
  <si>
    <t>2026-03-26T13:18:15.000Z</t>
  </si>
  <si>
    <t>CE IS NOW US153R57</t>
  </si>
  <si>
    <t>2026-03-26T13:19:21.000Z</t>
  </si>
  <si>
    <t>CE WAS US153R57</t>
  </si>
  <si>
    <t>2026-03-26T13:24:57.000Z</t>
  </si>
  <si>
    <t>SCO12 has a Coin recycler error - transfer track motor jam  [Generated by Portal Login: most14 Contact: Staci Mowder 3096133038 ftfmsupport@rdspos.com]-CE IS NOW US153R57-CE WAS US153R57-CE IS NOW US153R58-CE IS NOW US153R58-Arrived on site and seen that they had a jam and the motor popped out. I un-jammed it and reinserted it-New Item :7360-4010-9090 New Serial Number :57-60588453 Old Item :7360-4010-9090 Old Serial Number :57-60588453</t>
  </si>
  <si>
    <t>2026-03-05T19:05:02.000Z</t>
  </si>
  <si>
    <t>2026-03-04T13:04:00.000Z</t>
  </si>
  <si>
    <t>2026-03-04T18:04:00.000Z</t>
  </si>
  <si>
    <t>2026-03-05T13:50:00.000Z</t>
  </si>
  <si>
    <t>2026-03-05T18:50:00.000Z</t>
  </si>
  <si>
    <t>SCO14 has a piece broken off on the coupon slot</t>
  </si>
  <si>
    <t>2026-03-04T08:42:35.000Z</t>
  </si>
  <si>
    <t>2026-03-04T13:42:35.000Z</t>
  </si>
  <si>
    <t>2026-03-04T13:42:36.000Z</t>
  </si>
  <si>
    <t>2026-03-04T08:42:36.000Z</t>
  </si>
  <si>
    <t>Oracle Order Shipped for Remedy Id: U018877522, Order/Receipt # 182115267, Ordered Part 4970527925, Part Description - SERVICE ASSEMBLY - COSMETIC DOOR - KIT, Shipment/Receipt #2117418084, Part has been Shipped, Qty 1, Priority NFO, Shipping Method CE Pickup After Hours, BOL/Job NA, Source Location UFF USFPIT2G</t>
  </si>
  <si>
    <t>2026-03-04T14:03:38.000Z</t>
  </si>
  <si>
    <t>replaced cosmetic door, everything now attached properly</t>
  </si>
  <si>
    <t>2026-03-05T13:50:52.000Z</t>
  </si>
  <si>
    <t>New Item :7360-4010-9090 New Serial Number :57-60591386 Old Item :7360-4010-9090 Old Serial Number :57-60591399</t>
  </si>
  <si>
    <t>2026-03-05T13:50:54.000Z</t>
  </si>
  <si>
    <t>SCO14 has a piece broken off on the coupon slot   [Generated by Portal Login: most14 Contact: Staci Mowder 3096133038 ftfmsupport@rdspos.com]</t>
  </si>
  <si>
    <t>2026-03-04T08:43:54.000Z</t>
  </si>
  <si>
    <t>all four screw holes on door for the coupon chute are broken, ordering new outer door frame part 4970527925</t>
  </si>
  <si>
    <t>2026-03-04T13:19:50.000Z</t>
  </si>
  <si>
    <t>SCO14 has a piece broken off on the coupon slot   [Generated by Portal Login: most14 Contact: Staci Mowder 3096133038 ftfmsupport@rdspos.com]-CE IS NOW US133A17-all four screw holes on door for the coupon chute are broken, ordering new outer door frame part 4970527925-LOM order processing, Part has been Ordered , Remedy Id 000000014992650 - (Pick Up)PA, Cranberry Townshipby Agent Auto CE pickup-Oracle Order Shipped for Remedy Id: U018877522, Order/Receipt # 182115267, Ordered Part 4970527925, Part Description - SERVICE ASSEMBLY - COSMETIC DOOR - KIT, Shipment/Receipt #2117418084, Part has been Shipped, Qty 1, Priority NFO, Shipping Method CE Pickup After Hours, BOL/Job NA, Source Location UFF USFPIT2G-replaced cosmetic door, everything now attached properly-New Item :7360-4010-9090 New Serial Number :57-60591386 Old Item :7360-4010-9090 Old Serial Number :57-60591399</t>
  </si>
  <si>
    <t>2026-02-11T21:55:19.000Z</t>
  </si>
  <si>
    <t>57-60588386</t>
  </si>
  <si>
    <t>2026-02-11T15:36:00.000Z</t>
  </si>
  <si>
    <t>2026-02-11T20:36:00.000Z</t>
  </si>
  <si>
    <t>2026-02-11T16:40:00.000Z</t>
  </si>
  <si>
    <t>2026-02-11T21:40:00.000Z</t>
  </si>
  <si>
    <t>2026-02-11T14:35:55.000Z</t>
  </si>
  <si>
    <t>2026-02-11T19:35:55.000Z</t>
  </si>
  <si>
    <t>2026-02-11T19:35:56.000Z</t>
  </si>
  <si>
    <t>2026-02-11T14:35:56.000Z</t>
  </si>
  <si>
    <t>New Item :7360-4010-9090 New Serial Number :57-60588386 Old Item :7360-4010-9090 Old Serial Number :57-60591369</t>
  </si>
  <si>
    <t>2026-02-11T16:40:45.000Z</t>
  </si>
  <si>
    <t>2026-02-11T14:38:49.000Z</t>
  </si>
  <si>
    <t>I had to clear coin roll debris from the overflow transfer chamber sensor on the coin recycler for the self checkout at the Meijer fresh thyme store. I tested the unit and confirm that it's working properly at this time with no issues</t>
  </si>
  <si>
    <t>2026-02-11T16:40:43.000Z</t>
  </si>
  <si>
    <t>SCO 16 has a coin recycler error transfer chamber has overflowed error code 16-6-0-99-67330  [Generated by Portal Login: besa14 Contact: Sabrina Bechtel 715-498-6611 ftfmsupport@rdspos.com]-CE IS NOW US133E62-I had to clear coin roll debris from the overflow transfer chamber sensor on the coin recycler for the self checkout at the Meijer fresh thyme store. I tested the unit and confirm that it's working properly at this time with no issues-New Item :7360-4010-9090 New Serial Number :57-60588386 Old Item :7360-4010-9090 Old Serial Number :57-60591369</t>
  </si>
  <si>
    <t>2026-06-03T20:26:05.000Z</t>
  </si>
  <si>
    <t>2026-06-03T15:33:00.000Z</t>
  </si>
  <si>
    <t>2026-06-03T19:33:00.000Z</t>
  </si>
  <si>
    <t>2026-06-03T16:10:00.000Z</t>
  </si>
  <si>
    <t>2026-06-03T20:10:00.000Z</t>
  </si>
  <si>
    <t>2026-06-03T13:36:14.000Z</t>
  </si>
  <si>
    <t>2026-06-03T17:36:14.000Z</t>
  </si>
  <si>
    <t>2026-06-03T17:36:15.000Z</t>
  </si>
  <si>
    <t>2026-06-03T13:36:15.000Z</t>
  </si>
  <si>
    <t>New Item :7360-4010-9090 New Serial Number :57-60587784 Old Item :7360-4010-9090 Old Serial Number :57-60591358</t>
  </si>
  <si>
    <t>2026-06-03T16:10:34.000Z</t>
  </si>
  <si>
    <t>Unexpected note or debris detected by RFIN2 sensor, Error code: 5-9-0-37-36267  [Generated by Portal Login: coas14 Contact: Ashley Cooper 3092131564 ftfmsupport@rdspos.com]</t>
  </si>
  <si>
    <t>2026-06-03T13:36:59.000Z</t>
  </si>
  <si>
    <t>@@@ the GSR50 RFIN2 sensor was dirty ... cleaned it ... tested and functioning @@@</t>
  </si>
  <si>
    <t>2026-06-03T16:10:32.000Z</t>
  </si>
  <si>
    <t>Unexpected note or debris detected by RFIN2 sensor, Error code: 5-9-0-37-36267  [Generated by Portal Login: coas14 Contact: Ashley Cooper 3092131564 ftfmsupport@rdspos.com]-CE IS NOW US133B31-@@@ the GSR50 RFIN2 sensor was dirty ... cleaned it ... tested and functioning @@@-New Item :7360-4010-9090 New Serial Number :57-60587784 Old Item :7360-4010-9090 Old Serial Number :57-60591358</t>
  </si>
  <si>
    <t>2026-03-25T16:38:57.000Z</t>
  </si>
  <si>
    <t>2026-03-25T10:02:00.000Z</t>
  </si>
  <si>
    <t>2026-03-25T14:02:00.000Z</t>
  </si>
  <si>
    <t>2026-03-25T12:24:00.000Z</t>
  </si>
  <si>
    <t>2026-03-25T16:24:00.000Z</t>
  </si>
  <si>
    <t>2026-03-23T10:46:15.000Z</t>
  </si>
  <si>
    <t>2026-03-23T14:46:15.000Z</t>
  </si>
  <si>
    <t>CEM4183113:Bad rear sensor</t>
  </si>
  <si>
    <t>2026-03-25T12:26:22.000Z</t>
  </si>
  <si>
    <t>Follow up on previous visit to replace cassette due to sensor error. Replace and test the new cassette confirm is back in service</t>
  </si>
  <si>
    <t>2026-03-25T12:26:24.000Z</t>
  </si>
  <si>
    <t>SCO 17 has a note recycler error recycler 1 device error error code 5-9-0-37-16656  [Generated by Portal Login: besa14 Contact: Sabrina Bechtel 715-498-6611 ftfmsupport@rdspos.com]</t>
  </si>
  <si>
    <t>2026-03-23T11:01:58.000Z</t>
  </si>
  <si>
    <t>2026-03-24T10:53:30.000Z</t>
  </si>
  <si>
    <t>SCO 17 has a note recycler error recycler 1 device error error code 5-9-0-37-16656  [Generated by Portal Login: besa14 Contact: Sabrina Bechtel 715-498-6611 ftfmsupport@rdspos.com]-CE IS NOW US133E74-CE WAS US133E74-CE IS NOW US133E79-Escalation Request: Penalty account. Breaching SLA [Added by: Vannie Kristoffer Tabares Portal Login: ncr.com Phone Number: 6788085046 Email Address: vanniekristoffer.tabares@ncrvoyix.com Contact By: GIM]-CE will run this next.-Arrive on site find SCO 17 gsr50 recycler1 back sensor is giving interment error. Order replacement 4970524325-LOM order processing, Part has been Ordered , Remedy Id 000000015006821 - (Next Day) by Agent AUTO VIP-Oracle Order Shipped for Remedy Id: U018891176, Order/Receipt # 182161187, Ordered Part 4970524325, Part Description - Fujitsu GSR50 Note Recycler -Dual Drum Recycling Stacker (Service Part), w/ Lid Hold-Down Screws, Shipment/Receipt #2117775504, Part has been Shipped, Qty 1, Priority OVERNIGHT, Shipping Method UPS-Air-Next Day Air Saver, BOL/Job 1ZH92Y061300674944, Source Location UFF USFCAE1G-CEM4183113:Bad rear sensor-Follow up on previous visit to replace cassette due to sensor error. Replace and test the new cassette confirm is back in service-New Item :7360-4010-9090 New Serial Number :57-60588399 Old Item :7360-4010-9090 Old Serial Number :57-60587797</t>
  </si>
  <si>
    <t>2026-03-14T15:20:16.000Z</t>
  </si>
  <si>
    <t>2026-03-14T10:29:00.000Z</t>
  </si>
  <si>
    <t>2026-03-14T14:29:00.000Z</t>
  </si>
  <si>
    <t>2026-03-14T10:56:00.000Z</t>
  </si>
  <si>
    <t>2026-03-14T14:56:00.000Z</t>
  </si>
  <si>
    <t>2026-03-13T09:14:40.000Z</t>
  </si>
  <si>
    <t>2026-03-13T13:14:40.000Z</t>
  </si>
  <si>
    <t>2026-03-14T11:08:18.000Z</t>
  </si>
  <si>
    <t>SCO 14 has a blinking light on the coin recycler, constant issues Not happy with the technician that was onsite yesterday. Requesting a different technician than who was onsite yesterday for this SCO.  [Generated by Portal Login: besa14 Contact: Sabrina Bechtel 715-498-6611 ftfmsupport@rdspos.com]</t>
  </si>
  <si>
    <t>2026-03-13T09:31:36.000Z</t>
  </si>
  <si>
    <t>Sco 14 open PML and reset the Cr5000. calibrated the wake up sensor and calibrated the coin entry chute. verify that coins can be dispense and accepted multiple times. verify with the store manager that sco 14 is working properly</t>
  </si>
  <si>
    <t>2026-03-14T10:56:48.000Z</t>
  </si>
  <si>
    <t>SCO 14 has a blinking light on the coin recycler, constant issues Not happy with the technician that was onsite yesterday. Requesting a different technician than who was onsite yesterday for this SCO.  [Generated by Portal Login: besa14 Contact: Sabrina Bechtel 715-498-6611 ftfmsupport@rdspos.com]-CE IS NOW US133C75-Sco 14 open PML and reset the Cr5000. calibrated the wake up sensor and calibrated the coin entry chute. verify that coins can be dispense and accepted multiple times. verify with the store manager that sco 14 is working properly-New Item :7360-4010-9090 New Serial Number :57-60587724 Old Item :7360-4010-9090 Old Serial Number :57-60587724</t>
  </si>
  <si>
    <t>2026-01-05T18:10:57.000Z</t>
  </si>
  <si>
    <t>20-59026948</t>
  </si>
  <si>
    <t>2026-01-05T12:47:00.000Z</t>
  </si>
  <si>
    <t>2026-01-05T17:47:00.000Z</t>
  </si>
  <si>
    <t>2026-01-05T12:56:00.000Z</t>
  </si>
  <si>
    <t>2026-01-05T17:56:00.000Z</t>
  </si>
  <si>
    <t>2026-01-05T09:26:01.000Z</t>
  </si>
  <si>
    <t>2026-01-05T14:26:01.000Z</t>
  </si>
  <si>
    <t>2026-01-05T09:52:06.000Z</t>
  </si>
  <si>
    <t>2026-01-05T12:57:28.000Z</t>
  </si>
  <si>
    <t>New Item :7360-4010-9090 New Serial Number :20-59026948 Old Item :7360-4010-9090 Old Serial Number :57-60587723</t>
  </si>
  <si>
    <t>2026-01-05T12:57:29.000Z</t>
  </si>
  <si>
    <t>SCO 17 needs an annual PM, please clean and blow out the sco, store requested  [Generated by Portal Login: besa14 Contact: Sabrina Bechtel 715-498-6611 ftfmsupport@rdspos.com]</t>
  </si>
  <si>
    <t>2026-01-05T09:26:11.000Z</t>
  </si>
  <si>
    <t>2026-01-05T09:52:05.000Z</t>
  </si>
  <si>
    <t>SCO 17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:20-59026948 Old Item :7360-4010-9090 Old Serial Number :57-60587723</t>
  </si>
  <si>
    <t>2025-11-07T21:25:07.000Z</t>
  </si>
  <si>
    <t>2025-11-07T10:59:00.000Z</t>
  </si>
  <si>
    <t>2025-11-07T15:59:00.000Z</t>
  </si>
  <si>
    <t>2025-11-07T16:07:00.000Z</t>
  </si>
  <si>
    <t>2025-11-07T21:07:00.000Z</t>
  </si>
  <si>
    <t>2025-11-07T09:51:13.000Z</t>
  </si>
  <si>
    <t>2025-11-07T14:51:13.000Z</t>
  </si>
  <si>
    <t>Arrived on site with door. Task was replacing broken fascia door. Task proceeded without issue. Confirmed install with Steven and he disposed of old door.</t>
  </si>
  <si>
    <t>2025-11-07T16:09:29.000Z</t>
  </si>
  <si>
    <t>damage possibly caused by vandalism</t>
  </si>
  <si>
    <t>2025-11-07T16:09:30.000Z</t>
  </si>
  <si>
    <t>2025-11-07T16:09:31.000Z</t>
  </si>
  <si>
    <t>SCO 12 the coupon slot is falling off of the interior door, appears that the screws are stripped  [Generated by Portal Login: besa14 Contact: Sabrina Bechtel 715-498-6611 ftfmsupport@rdspos.com]</t>
  </si>
  <si>
    <t>2025-11-07T09:51:14.000Z</t>
  </si>
  <si>
    <t>2025-11-07T09:53:44.000Z</t>
  </si>
  <si>
    <t>Arrived on site. Issue stated that the coupon chute had been removed for the door. Found that a new door will need to be ordered. Ordering replacement part 4970527925. Also ordered new decals, part 4970524829.</t>
  </si>
  <si>
    <t>2025-11-07T11:12:02.000Z</t>
  </si>
  <si>
    <t>SCO 12 the coupon slot is falling off of the interior door, appears that the screws are stripped  [Generated by Portal Login: besa14 Contact: Sabrina Bechtel 715-498-6611 ftfmsupport@rdspos.com]-CE IS NOW US133E77-Arrived on site. Issue stated that the coupon chute had been removed for the door. Found that a new door will need to be ordered. Ordering replacement part 4970527925. Also ordered new decals, part 4970524829.-LOM order processing, Part has been Ordered , Remedy Id 000000014907121 - (Next Day) by Agent Auto VIP P932-LOM order processing, Part has been Ordered , Remedy Id 000000014907122 - (Pick Up)IN, Indianapolisby Agent Auto CE pickup-Oracle Order Shipped for Remedy Id: U018794846, Order/Receipt # 181839876, Ordered Part 4970527925, Part Description - SERVICE ASSEMBLY - COSMETIC DOOR - KIT, Shipment/Receipt #2111842486, Part has been Shipped, Qty 1, Priority NFO, Shipping Method CE Pickup After Hours, BOL/Job NA, Source Location UFF USFIND1G-Arrived on site with door. Task was replacing broken fascia door. Task proceeded without issue. Confirmed install with Steven and he disposed of old door.-damage possibly caused by vandalism-New Item :7360-4010-9090 New Serial Number :57-60590087 Old Item :7360-4010-9090 Old Serial Number :57-60590087</t>
  </si>
  <si>
    <t>2025-11-26T21:17:01.000Z</t>
  </si>
  <si>
    <t>57-60591639</t>
  </si>
  <si>
    <t>2025-11-26T15:52:00.000Z</t>
  </si>
  <si>
    <t>2025-11-26T20:52:00.000Z</t>
  </si>
  <si>
    <t>2025-11-26T16:01:00.000Z</t>
  </si>
  <si>
    <t>2025-11-26T21:01:00.000Z</t>
  </si>
  <si>
    <t>2025-11-26T14:01:27.000Z</t>
  </si>
  <si>
    <t>2025-11-26T19:01:27.000Z</t>
  </si>
  <si>
    <t>19K4</t>
  </si>
  <si>
    <t>19K4-NO OR BAD POWER SUPPLIED TO ATM OR NOT PLUGGED IN</t>
  </si>
  <si>
    <t>2025-11-26T19:01:29.000Z</t>
  </si>
  <si>
    <t>2025-11-26T14:01:29.000Z</t>
  </si>
  <si>
    <t>Just had to return on the UPS, turned it on, no beeping now, no issues</t>
  </si>
  <si>
    <t>2025-11-26T16:02:28.000Z</t>
  </si>
  <si>
    <t>New Item :7360-4010-9090 New Serial Number :57-60591639 Old Item :7360-4010-9090 Old Serial Number :57-60591646</t>
  </si>
  <si>
    <t>2025-11-26T16:02:29.000Z</t>
  </si>
  <si>
    <t>SCO10 not powering on. Battery backup is dead   [Generated by Portal Login: most14 Contact: Staci Mowder 3096133038 ftfmsupport@rdspos.com]</t>
  </si>
  <si>
    <t>2025-11-26T14:01:30.000Z</t>
  </si>
  <si>
    <t>2025-11-26T14:03:26.000Z</t>
  </si>
  <si>
    <t>2025-11-26T14:04:04.000Z</t>
  </si>
  <si>
    <t>SCO10 not powering on. Battery backup is dead   [Generated by Portal Login: most14 Contact: Staci Mowder 3096133038 ftfmsupport@rdspos.com]-CE IS NOW US133B45-CE WAS US133B45-CE IS NOW US133B48-CE IS NOW US133B48-Just had to return on the UPS, turned it on, no beeping now, no issues-Just had to return on the UPS, turned it on, no beeping now, no issues-New Item :7360-4010-9090 New Serial Number :57-60591639 Old Item :7360-4010-9090 Old Serial Number :57-60591646</t>
  </si>
  <si>
    <t>2025-08-17T20:11:15.000Z</t>
  </si>
  <si>
    <t>57-60595339</t>
  </si>
  <si>
    <t>2025-08-17T14:05:00.000Z</t>
  </si>
  <si>
    <t>2025-08-17T19:05:00.000Z</t>
  </si>
  <si>
    <t>2025-08-17T14:50:00.000Z</t>
  </si>
  <si>
    <t>2025-08-17T19:50:00.000Z</t>
  </si>
  <si>
    <t>JM185557</t>
  </si>
  <si>
    <t>2025-08-17T08:04:58.000Z</t>
  </si>
  <si>
    <t>2025-08-17T13:04:58.000Z</t>
  </si>
  <si>
    <t>2025-08-17T13:05:02.000Z</t>
  </si>
  <si>
    <t>2025-08-17T08:05:02.000Z</t>
  </si>
  <si>
    <t>New Item :7360-4010-9090 New Serial Number :57-60595339 Old Item :7360-4010-9090 Old Serial Number :57-60595354</t>
  </si>
  <si>
    <t>2025-08-17T14:51:16.000Z</t>
  </si>
  <si>
    <t>SCO 11 issue with the locking mechanism, unable to open the exterior door on this SCO  [Generated by Portal Login: besa14 Contact: Sabrina Bechtel 715-498-6611 ftfmsupport@rdspos.com]</t>
  </si>
  <si>
    <t>2025-08-17T08:20:43.000Z</t>
  </si>
  <si>
    <t>one of the latches on the outside cabinet door was sticking and not opening. adjusted latches.</t>
  </si>
  <si>
    <t>2025-08-17T14:51:15.000Z</t>
  </si>
  <si>
    <t>SCO 11 issue with the locking mechanism, unable to open the exterior door on this SCO  [Generated by Portal Login: besa14 Contact: Sabrina Bechtel 715-498-6611 ftfmsupport@rdspos.com]-CE IS NOW US153C06-one of the latches on the outside cabinet door was sticking and not opening. adjusted latches.-New Item :7360-4010-9090 New Serial Number :57-60595339 Old Item :7360-4010-9090 Old Serial Number :57-60595354</t>
  </si>
  <si>
    <t>2025-11-06T18:59:09.000Z</t>
  </si>
  <si>
    <t>2025-11-06T12:52:00.000Z</t>
  </si>
  <si>
    <t>2025-11-06T17:52:00.000Z</t>
  </si>
  <si>
    <t>2025-11-06T13:46:00.000Z</t>
  </si>
  <si>
    <t>2025-11-06T18:46:00.000Z</t>
  </si>
  <si>
    <t>2025-11-06T12:05:32.000Z</t>
  </si>
  <si>
    <t>2025-11-06T17:05:32.000Z</t>
  </si>
  <si>
    <t>2025-11-06T13:47:05.000Z</t>
  </si>
  <si>
    <t>SCO 11 needs the bill acceptor sensors cleaned  [Generated by Portal Login: besa14 Contact: Sabrina Bechtel 715-498-6611 ftfmsupport@rdspos.com]</t>
  </si>
  <si>
    <t>2025-11-06T12:06:12.000Z</t>
  </si>
  <si>
    <t>tested cash recycler module cleaned sensors.  unit is operational no issues found.</t>
  </si>
  <si>
    <t>2025-11-06T13:47:03.000Z</t>
  </si>
  <si>
    <t>SCO 11 needs the bill acceptor sensors cleaned  [Generated by Portal Login: besa14 Contact: Sabrina Bechtel 715-498-6611 ftfmsupport@rdspos.com]-CE IS NOW US133U36-tested cash recycler module cleaned sensors.  unit is operational no issues found.-New Item :7360-4010-9090 New Serial Number :57-60591372 Old Item :7360-4010-9090 Old Serial Number :57-60591372</t>
  </si>
  <si>
    <t>2026-02-16T18:40:41.000Z</t>
  </si>
  <si>
    <t>57-60587743</t>
  </si>
  <si>
    <t>2026-02-16T12:19:00.000Z</t>
  </si>
  <si>
    <t>2026-02-16T18:19:00.000Z</t>
  </si>
  <si>
    <t>2026-02-16T12:26:00.000Z</t>
  </si>
  <si>
    <t>2026-02-16T18:26:00.000Z</t>
  </si>
  <si>
    <t>2026-02-16T10:59:56.000Z</t>
  </si>
  <si>
    <t>2026-02-16T16:59:56.000Z</t>
  </si>
  <si>
    <t>2026-02-16T16:59:57.000Z</t>
  </si>
  <si>
    <t>2026-02-16T10:59:57.000Z</t>
  </si>
  <si>
    <t>No Fault found. when I arrived on site I spoke to the store director and he stated that no ticket was put in and they didn't have any scos down also no Sco or issue was specified in the problem summary</t>
  </si>
  <si>
    <t>2026-02-16T12:27:09.000Z</t>
  </si>
  <si>
    <t>New Item :7360-4010-9090 New Serial Number :57-60587743 Old Item :7360-4010-9090 Old Serial Number :57-60587743</t>
  </si>
  <si>
    <t>2026-02-16T12:27:11.000Z</t>
  </si>
  <si>
    <t>Testing email  [Generated by Portal Login: repa14 Contact: Patrick Reeves 3092411908 ftfmsupport@rdspos.com]</t>
  </si>
  <si>
    <t>2026-02-16T11:02:07.000Z</t>
  </si>
  <si>
    <t>Testing email  [Generated by Portal Login: repa14 Contact: Patrick Reeves 3092411908 ftfmsupport@rdspos.com]-CE IS NOW US153C19-no fault found-No Fault found. when I arrived on site I spoke to the store director and he stated that no ticket was put in and they didn't have any scos down also no Sco or issue was specified in the problem summary-New Item :7360-4010-9090 New Serial Number :57-60587743 Old Item :7360-4010-9090 Old Serial Number :57-60587743</t>
  </si>
  <si>
    <t>2026-08-05T18:39:18.000Z</t>
  </si>
  <si>
    <t>57-60587805</t>
  </si>
  <si>
    <t>2026-08-05T13:21:00.000Z</t>
  </si>
  <si>
    <t>2026-08-05T17:21:00.000Z</t>
  </si>
  <si>
    <t>2026-08-05T14:22:00.000Z</t>
  </si>
  <si>
    <t>2026-08-05T18:22:00.000Z</t>
  </si>
  <si>
    <t>RH185219</t>
  </si>
  <si>
    <t>2026-08-05T10:01:06.000Z</t>
  </si>
  <si>
    <t>2026-08-05T14:01:06.000Z</t>
  </si>
  <si>
    <t>Hollington Richard</t>
  </si>
  <si>
    <t>2026-08-05T11:56:16.000Z</t>
  </si>
  <si>
    <t>UPS had likely turned itself off to protect itself and the wider SCO. Turning it back on worked properly and the system is back up and running now.</t>
  </si>
  <si>
    <t>2026-08-05T14:23:35.000Z</t>
  </si>
  <si>
    <t>New Item :7360-4010-9090 New Serial Number :57-60587805 Old Item :7360-4010-9090 Old Serial Number :57-60587805</t>
  </si>
  <si>
    <t>2026-08-05T14:23:37.000Z</t>
  </si>
  <si>
    <t>SCO15 will not power on after power outage. May need APC replaced  [Generated by Portal Login: most14 Contact: Staci Mowder 2694689716 FTFMSupport@rdspos.com]</t>
  </si>
  <si>
    <t>2026-08-05T10:05:22.000Z</t>
  </si>
  <si>
    <t>2026-08-05T11:56:15.000Z</t>
  </si>
  <si>
    <t>SCO15 will not power on after power outage. May need APC replaced  [Generated by Portal Login: most14 Contact: Staci Mowder 2694689716 FTFMSupport@rdspos.com]-CE IS NOW US133E73-CE WAS US133E73-CE IS NOW US133E76-UPS had likely turned itself off to protect itself and the wider SCO. Turning it back on worked properly and the system is back up and running now.-New Item :7360-4010-9090 New Serial Number :57-60587805 Old Item :7360-4010-9090 Old Serial Number :57-60587805</t>
  </si>
  <si>
    <t>2025-12-17T18:57:12.000Z</t>
  </si>
  <si>
    <t>57-60595348</t>
  </si>
  <si>
    <t>2025-12-17T12:13:00.000Z</t>
  </si>
  <si>
    <t>2025-12-17T18:13:00.000Z</t>
  </si>
  <si>
    <t>2025-12-17T12:40:00.000Z</t>
  </si>
  <si>
    <t>2025-12-17T18:40:00.000Z</t>
  </si>
  <si>
    <t>2025-12-16T17:20:31.000Z</t>
  </si>
  <si>
    <t>2025-12-16T23:20:31.000Z</t>
  </si>
  <si>
    <t>2025-12-17T10:42:30.000Z</t>
  </si>
  <si>
    <t>Sco 13 acb jammed up. white gear not moving when unlocked. was able to get the jam cleared by rocking the white gear back and forth gently. then tested accept and dispense of each denomination in pml numerous times. tests successful. acb working properly. verified resolution with supervisor Ana.</t>
  </si>
  <si>
    <t>2025-12-17T12:40:26.000Z</t>
  </si>
  <si>
    <t>New Item :7360-4010-9090 New Serial Number :57-60595348 Old Item :7360-4010-9090 Old Serial Number :57-60595340</t>
  </si>
  <si>
    <t>2025-12-17T12:40:28.000Z</t>
  </si>
  <si>
    <t>Coin Recycler Error Coin Box Motor Jam 16-6-0--99-459777  [Generated by Portal Login: repa14 Contact: Patrick Reeves 3092411908 ftfmsupport@rdspos.com]</t>
  </si>
  <si>
    <t>2025-12-16T17:20:32.000Z</t>
  </si>
  <si>
    <t>2025-12-16T17:23:24.000Z</t>
  </si>
  <si>
    <t>CE WAS US153C28</t>
  </si>
  <si>
    <t>2025-12-16T17:24:01.000Z</t>
  </si>
  <si>
    <t>Coin Recycler Error Coin Box Motor Jam 16-6-0--99-459777  [Generated by Portal Login: repa14 Contact: Patrick Reeves 3092411908 ftfmsupport@rdspos.com]-CE IS NOW US153C28-CE WAS US153C28-CE IS NOW US153C27-CE WAS US153C27-CE IS NOW US153C24-CE IS NOW US153C24-CE WAS US153C24-CE IS NOW US153C14-Sco 13 acb jammed up. white gear not moving when unlocked. was able to get the jam cleared by rocking the white gear back and forth gently. then tested accept and dispense of each denomination in pml numerous times. tests successful. acb working properly. verified resolution with supervisor Ana.-New Item :7360-4010-9090 New Serial Number :57-60595348 Old Item :7360-4010-9090 Old Serial Number :57-60595340</t>
  </si>
  <si>
    <t>2026-08-05T18:45:11.000Z</t>
  </si>
  <si>
    <t>2026-08-05T14:24:00.000Z</t>
  </si>
  <si>
    <t>2026-08-05T18:24:00.000Z</t>
  </si>
  <si>
    <t>2026-08-05T14:31:00.000Z</t>
  </si>
  <si>
    <t>2026-08-05T18:31:00.000Z</t>
  </si>
  <si>
    <t>2026-08-05T10:04:44.000Z</t>
  </si>
  <si>
    <t>2026-08-05T14:04:44.000Z</t>
  </si>
  <si>
    <t>2026-08-05T11:55:51.000Z</t>
  </si>
  <si>
    <t>2026-08-05T14:33:04.000Z</t>
  </si>
  <si>
    <t>2026-08-05T14:33:06.000Z</t>
  </si>
  <si>
    <t>SCO12 will not power on after power outage. May need  APC replaced  [Generated by Portal Login: most14 Contact: Staci Mowder 2694689716 FTFMSupport@rdspos.com]</t>
  </si>
  <si>
    <t>2026-08-05T10:05:20.000Z</t>
  </si>
  <si>
    <t>2026-08-05T11:55:50.000Z</t>
  </si>
  <si>
    <t>SCO12 will not power on after power outage. May need  APC replaced  [Generated by Portal Login: most14 Contact: Staci Mowder 2694689716 FTFMSupport@rdspos.com]-CE IS NOW US133E73-CE WAS US133E73-CE IS NOW US133E76-UPS had likely turned itself off to protect itself and the wider SCO. Turning it back on worked properly and the system is back up and running now.-New Item :7360-4010-9090 New Serial Number :57-60587805 Old Item :7360-4010-9090 Old Serial Number :57-60587805</t>
  </si>
  <si>
    <t>2025-11-22T21:39:51.000Z</t>
  </si>
  <si>
    <t>57-60595327</t>
  </si>
  <si>
    <t>PRJ7</t>
  </si>
  <si>
    <t>2025-11-22T15:55:00.000Z</t>
  </si>
  <si>
    <t>2025-11-22T20:55:00.000Z</t>
  </si>
  <si>
    <t>2025-11-22T16:22:00.000Z</t>
  </si>
  <si>
    <t>2025-11-22T21:22:00.000Z</t>
  </si>
  <si>
    <t>2025-11-22T14:23:16.000Z</t>
  </si>
  <si>
    <t>2025-11-22T19:23:16.000Z</t>
  </si>
  <si>
    <t>Arrived on-site and checked in with the department manager. Located the affected register and found it in use and functioning. The CE was advised that another team member reseated the printer cable successfully and the register booted up as normal. CE tested the lane and confirmed the register is fully functional.</t>
  </si>
  <si>
    <t>2025-11-22T16:22:45.000Z</t>
  </si>
  <si>
    <t>New Item :7360-4010-9090 New Serial Number :57-60595327 Old Item :7360-4010-9090 Old Serial Number :57-60595311</t>
  </si>
  <si>
    <t>2025-11-22T16:22:46.000Z</t>
  </si>
  <si>
    <t>Stuck on reboot, POS printer stuck, tried to reset the printer cable but unable to unplug, it is jammed. SCO is completely down.  Service today would be appreciated.
 [Generated by Portal Login: coas14 Contact: Ashley Cooper 3092131564 FTFMSupport@rdspos.com]</t>
  </si>
  <si>
    <t>2025-11-22T14:24:37.000Z</t>
  </si>
  <si>
    <t>Register was in-use when the CE arrived due to another attendant reseating the cable successfully.</t>
  </si>
  <si>
    <t>Stuck on reboot, POS printer stuck, tried to reset the printer cable but unable to unplug, it is jammed. SCO is completely down.  Service today would be appreciated.
 [Generated by Portal Login: coas14 Contact: Ashley Cooper 3092131564 FTFMSupport@rdspos.com]-CE IS NOW US133U34-Register was in-use when the CE arrived due to another attendant reseating the cable successfully.-Arrived on-site and checked in with the department manager. Located the affected register and found it in use and functioning. The CE was advised that another team member reseated the printer cable successfully and the register booted up as normal. CE tested the lane and confirmed the register is fully functional.-New Item :7360-4010-9090 New Serial Number :57-60595327 Old Item :7360-4010-9090 Old Serial Number :57-60595311</t>
  </si>
  <si>
    <t>2025-10-10T20:10:25.000Z</t>
  </si>
  <si>
    <t>57-60587720</t>
  </si>
  <si>
    <t>2025-10-10T14:16:00.000Z</t>
  </si>
  <si>
    <t>2025-10-10T19:16:00.000Z</t>
  </si>
  <si>
    <t>2025-10-10T14:53:00.000Z</t>
  </si>
  <si>
    <t>2025-10-10T19:53:00.000Z</t>
  </si>
  <si>
    <t>2025-10-07T19:28:32.000Z</t>
  </si>
  <si>
    <t>2025-10-08T00:28:32.000Z</t>
  </si>
  <si>
    <t>2025-10-09T22:18:06.000Z</t>
  </si>
  <si>
    <t>Found all lights on main module flashing. Went into pml cycled and throughly pmd main module. Error cleared out. All sensors showing within range. Bill test successful in pml.</t>
  </si>
  <si>
    <t>2025-10-10T14:54:21.000Z</t>
  </si>
  <si>
    <t>New Item :7360-4010-9090 New Serial Number :57-60587720 Old Item :7360-4010-9090 Old Serial Number :57-60587790</t>
  </si>
  <si>
    <t>2025-10-10T14:54:24.000Z</t>
  </si>
  <si>
    <t>SCO 15 hardware failure error code 5-9-0-4-62976  [Generated by Portal Login: besa14 Contact: Sabrina Bechtel 715-498-6611 ftfmsupport@rdspos.com]</t>
  </si>
  <si>
    <t>2025-10-07T19:28:33.000Z</t>
  </si>
  <si>
    <t>CE IS NOW US153C24</t>
  </si>
  <si>
    <t>2025-10-07T19:31:03.000Z</t>
  </si>
  <si>
    <t>CE WAS US153C24</t>
  </si>
  <si>
    <t>2025-10-08T08:56:43.000Z</t>
  </si>
  <si>
    <t>SCO 15 hardware failure error code 5-9-0-4-62976  [Generated by Portal Login: besa14 Contact: Sabrina Bechtel 715-498-6611 ftfmsupport@rdspos.com]-CE IS NOW US153C24-CE WAS US153C24-CE IS NOW US153C10-CE WAS US153C10-CE IS NOW US153C16-CE WAS US153C16-CE IS NOW US153C14-CE WAS US153C14-CE IS NOW US153C06-CE WAS US153C06-CE IS NOW US153C10-Found all lights on main module flashing. Went into pml cycled and throughly pmd main module. Error cleared out. All sensors showing within range. Bill test successful in pml.-New Item :7360-4010-9090 New Serial Number :57-60587720 Old Item :7360-4010-9090 Old Serial Number :57-60587790</t>
  </si>
  <si>
    <t>2026-01-05T17:58:48.000Z</t>
  </si>
  <si>
    <t>20-58993039</t>
  </si>
  <si>
    <t>2026-01-05T12:11:00.000Z</t>
  </si>
  <si>
    <t>2026-01-05T17:11:00.000Z</t>
  </si>
  <si>
    <t>2026-01-05T12:44:00.000Z</t>
  </si>
  <si>
    <t>2026-01-05T17:44:00.000Z</t>
  </si>
  <si>
    <t>2026-01-05T09:22:43.000Z</t>
  </si>
  <si>
    <t>2026-01-05T14:22:43.000Z</t>
  </si>
  <si>
    <t>2026-01-05T14:22:44.000Z</t>
  </si>
  <si>
    <t>2026-01-05T09:22:44.000Z</t>
  </si>
  <si>
    <t>2026-01-05T09:51:57.000Z</t>
  </si>
  <si>
    <t>Coin recycler had jammed a coin wrapper inside, and the sorter was unplugged</t>
  </si>
  <si>
    <t>2026-01-05T12:45:03.000Z</t>
  </si>
  <si>
    <t>New Item :7360-4010-9090 New Serial Number :20-58993039 Old Item :7360-4010-9090 Old Serial Number :57-60587724</t>
  </si>
  <si>
    <t>2026-01-05T12:45:04.000Z</t>
  </si>
  <si>
    <t>SCO 15 needs an annual PM, please clean and blow out the sco, store requested  [Generated by Portal Login: besa14 Contact: Sabrina Bechtel 715-498-6611 ftfmsupport@rdspos.com]</t>
  </si>
  <si>
    <t>2026-01-05T09:22:51.000Z</t>
  </si>
  <si>
    <t>2026-01-05T09:51:56.000Z</t>
  </si>
  <si>
    <t>SCO 15 needs an annual PM, please clean and blow out the sco, store requested  [Generated by Portal Login: besa14 Contact: Sabrina Bechtel 715-498-6611 ftfmsupport@rdspos.com]-CE IS NOW US133C71-CE WAS US133C71-CE IS NOW US133C72-Coin recycler had jammed a coin wrapper inside, and the sorter was unplugged-New Item :7360-4010-9090 New Serial Number :20-58993039 Old Item :7360-4010-9090 Old Serial Number :57-60587724</t>
  </si>
  <si>
    <t>2026-01-27T16:26:57.000Z</t>
  </si>
  <si>
    <t>57-60588372</t>
  </si>
  <si>
    <t>2026-01-27T10:09:00.000Z</t>
  </si>
  <si>
    <t>2026-01-27T15:09:00.000Z</t>
  </si>
  <si>
    <t>2026-01-27T11:09:00.000Z</t>
  </si>
  <si>
    <t>2026-01-27T16:09:00.000Z</t>
  </si>
  <si>
    <t>2026-01-27T08:09:00.000Z</t>
  </si>
  <si>
    <t>2026-01-27T13:09:00.000Z</t>
  </si>
  <si>
    <t>2026-01-27T13:09:06.000Z</t>
  </si>
  <si>
    <t>2026-01-27T08:09:06.000Z</t>
  </si>
  <si>
    <t>New Item :7360-4010-9090 New Serial Number :57-60588372 Old Item :7360-4010-9090 Old Serial Number :57-60588409</t>
  </si>
  <si>
    <t>2026-01-27T11:09:59.000Z</t>
  </si>
  <si>
    <t>SCO 14 came up with a coin recycler error coin box motor jammed error code 16-6-0-99-459777  [Generated by Portal Login: besa14 Contact: Sabrina Bechtel 715-498-6611 ftfmsupport@rdspos.com]</t>
  </si>
  <si>
    <t>2026-01-27T08:13:09.000Z</t>
  </si>
  <si>
    <t>Cr5000 coin recycler at sco 14 had coin jam in active cashbox, cleared jam, tested, coin recycler working</t>
  </si>
  <si>
    <t>2026-01-27T11:09:57.000Z</t>
  </si>
  <si>
    <t>SCO 14 came up with a coin recycler error coin box motor jammed error code 16-6-0-99-459777  [Generated by Portal Login: besa14 Contact: Sabrina Bechtel 715-498-6611 ftfmsupport@rdspos.com]-CE IS NOW US133A17-Cr5000 coin recycler at sco 14 had coin jam in active cashbox, cleared jam, tested, coin recycler working-New Item :7360-4010-9090 New Serial Number :57-60588372 Old Item :7360-4010-9090 Old Serial Number :57-60588409</t>
  </si>
  <si>
    <t>2026-01-17T20:13:45.000Z</t>
  </si>
  <si>
    <t>2026-01-17T12:00:00.000Z</t>
  </si>
  <si>
    <t>2026-01-17T18:00:00.000Z</t>
  </si>
  <si>
    <t>2026-01-17T13:58:00.000Z</t>
  </si>
  <si>
    <t>2026-01-17T19:58:00.000Z</t>
  </si>
  <si>
    <t>2026-01-17T11:40:08.000Z</t>
  </si>
  <si>
    <t>2026-01-17T17:40:08.000Z</t>
  </si>
  <si>
    <t>2026-01-17T17:40:13.000Z</t>
  </si>
  <si>
    <t>2026-01-17T11:40:13.000Z</t>
  </si>
  <si>
    <t>original note said that there was problems with register 14. further diagnosis said that there was a blockage in the coin path. on examination found a piece of paper from a coin roll that had worked its way into the machine and was blocking sensors. also noticed that the coin count on the machine seem to be off. after removing the paper obstruction we purged the coin machine of all of its contents. four $1 coins were removed and exchanged for paper bills which were later fed into the machine. manually reloaded the coins into the machine to get proper coin counts. after everything was loaded rebooted the registers successfully. register came up in normal mode and was ready for cash operations. process verified by manager Ben.</t>
  </si>
  <si>
    <t>2026-01-17T13:59:26.000Z</t>
  </si>
  <si>
    <t>2026-01-17T13:59:27.000Z</t>
  </si>
  <si>
    <t>Coin recycler error, transfer chamber has overflowed, error code: 16-6-0--9967330  [Generated by Portal Login: coas14 Contact: Ashley Cooper 3092131564 ftfmsupport@rdspos.com]</t>
  </si>
  <si>
    <t>2026-01-17T11:41:43.000Z</t>
  </si>
  <si>
    <t>paper debris from coin roll blocking sensors inside machine.</t>
  </si>
  <si>
    <t>Coin recycler error, transfer chamber has overflowed, error code: 16-6-0--9967330  [Generated by Portal Login: coas14 Contact: Ashley Cooper 3092131564 ftfmsupport@rdspos.com]-CE IS NOW US153R72-paper debris from coin roll blocking sensors inside machine.-original note said that there was problems with register 14. further diagnosis said that there was a blockage in the coin path. on examination found a piece of paper from a coin roll that had worked its way into the machine and was blocking sensors. also noticed that the coin count on the machine seem to be off. after removing the paper obstruction we purged the coin machine of all of its contents. four $1 coins were removed and exchanged for paper bills which were later fed into the machine. manually reloaded the coins into the machine to get proper coin counts. after everything was loaded rebooted the registers successfully. register came up in normal mode and was ready for cash operations. process verified by manager Ben.-New Item :7360-4010-9090 New Serial Number :57-60591398 Old Item :7360-4010-9090 Old Serial Number :57-60591398</t>
  </si>
  <si>
    <t>2026-06-10T22:53:03.000Z</t>
  </si>
  <si>
    <t>57-60588416</t>
  </si>
  <si>
    <t>2026-06-09T13:58:00.000Z</t>
  </si>
  <si>
    <t>2026-06-09T17:58:00.000Z</t>
  </si>
  <si>
    <t>2026-06-10T18:39:00.000Z</t>
  </si>
  <si>
    <t>2026-06-10T22:39:00.000Z</t>
  </si>
  <si>
    <t>CHGC -   Damage to door</t>
  </si>
  <si>
    <t>2026-06-09T09:16:17.000Z</t>
  </si>
  <si>
    <t>2026-06-09T13:16:17.000Z</t>
  </si>
  <si>
    <t>2026-06-09T13:16:20.000Z</t>
  </si>
  <si>
    <t>2026-06-09T09:16:20.000Z</t>
  </si>
  <si>
    <t>Damage to door caused by negligence/misuse</t>
  </si>
  <si>
    <t>2026-06-10T18:41:21.000Z</t>
  </si>
  <si>
    <t>Upon receiving the equipment, I began the removal of the old door and replaced it with the new one. After install, I then recalibrated wake up and coin exit sensors and made sure no errors were oresent</t>
  </si>
  <si>
    <t>New Item :7360-4010-9090 New Serial Number :57-60588416 Old Item :7360-4010-9090 Old Serial Number :57-60595329</t>
  </si>
  <si>
    <t>2026-06-10T18:41:23.000Z</t>
  </si>
  <si>
    <t>Coupon chute broken, screws are broken off Currently we have it duct tapped in place so we can close the door. The cable that is on the front of the box is still attached and does not look damaged or loose. [Generated by Portal Login: coas14 Contact: Ashley Cooper 3092131564 ftfmsupport@rdspos.com]</t>
  </si>
  <si>
    <t>2026-06-09T09:26:45.000Z</t>
  </si>
  <si>
    <t>Suspended for part order. Door has been damaged by site; coupon chute cannot be held by door as screw retention pieces and the plastic associated with them were destroyed</t>
  </si>
  <si>
    <t>2026-06-09T14:11:18.000Z</t>
  </si>
  <si>
    <t>Coupon chute broken, screws are broken off Currently we have it duct tapped in place so we can close the door. The cable that is on the front of the box is still attached and does not look damaged or loose. [Generated by Portal Login: coas14 Contact: Ashley Cooper 3092131564 ftfmsupport@rdspos.com]-CE IS NOW US133E80-Suspended for part order. Door has been damaged by site; coupon chute cannot be held by door as screw retention pieces and the plastic associated with them were destroyed-Damage to door-LOM order processing, Part has been Ordered , Remedy Id 000000015059265 - (Next Day) by Agent Auto VIP P000-Oracle Order Shipped for Remedy Id: U018939328, Order/Receipt # 182337939, Ordered Part 4970527925, Part Description - SERVICE ASSEMBLY - COSMETIC DOOR - KIT, Shipment/Receipt #2119222449, Part has been Shipped, Qty 1, Priority OVERNIGHT, Shipping Method UPS-Air-Next Day Air Saver, BOL/Job 1ZH92Y051303000131, Source Location PTC AVL-Damage to door caused by negligence/misuse-Upon receiving the equipment, I began the removal of the old door and replaced it with the new one. After install, I then recalibrated wake up and coin exit sensors and made sure no errors were oresent-New Item :7360-4010-9090 New Serial Number :57-60588416 Old Item :7360-4010-9090 Old Serial Number :57-60595329</t>
  </si>
  <si>
    <t>2026-01-29T19:56:47.000Z</t>
  </si>
  <si>
    <t>2026-01-29T12:41:00.000Z</t>
  </si>
  <si>
    <t>2026-01-29T18:41:00.000Z</t>
  </si>
  <si>
    <t>2026-01-29T13:30:00.000Z</t>
  </si>
  <si>
    <t>2026-01-29T19:30:00.000Z</t>
  </si>
  <si>
    <t>2026-01-27T08:24:10.000Z</t>
  </si>
  <si>
    <t>2026-01-27T14:24:10.000Z</t>
  </si>
  <si>
    <t>CEM4074169:light out</t>
  </si>
  <si>
    <t>2026-01-29T13:43:24.000Z</t>
  </si>
  <si>
    <t>2026-01-29T13:43:27.000Z</t>
  </si>
  <si>
    <t>SCO 12 Tri-Light DIM   [Generated by Portal Login: most14 Contact: Staci Mowder 3096133038 ftfmsupport@rdspos.com]</t>
  </si>
  <si>
    <t>2026-01-27T08:28:06.000Z</t>
  </si>
  <si>
    <t>LOM order processing, Part has been Ordered , Remedy Id FSC5487546 - (Same Day) by Agent te185055</t>
  </si>
  <si>
    <t>2026-01-27T11:29:11.000Z</t>
  </si>
  <si>
    <t>SCO 12 Tri-Light DIM   [Generated by Portal Login: most14 Contact: Staci Mowder 3096133038 ftfmsupport@rdspos.com]-CE IS NOW US153C07-LOM order processing, Part has been Ordered , Remedy Id FSC5487546 - (Same Day) by Agent te185055-Oracle Order Shipped for Remedy Id: U018853441, Order/Receipt # 182028604, Ordered Part 4970525295, Part Description - KIT - R6 TRI-LIGHT W/IP CAMERA, Shipment/Receipt #2116577248, Part has been Shipped, Qty 1, Priority OVERNIGHT, Shipping Method UPS-Air-Next Day Air Saver, BOL/Job 1ZH92Y051302309471, Source Location PTC AVL-CEM4074169:light out-replace Twilight and test it with Nathaniel-New Item :7360-4010-9090 New Serial Number :57-60590079 Old Item :7360-4010-9090 Old Serial Number :57-60590079</t>
  </si>
  <si>
    <t>2026-07-10T18:23:30.000Z</t>
  </si>
  <si>
    <t>57-60591318</t>
  </si>
  <si>
    <t>2026-07-06T15:25:00.000Z</t>
  </si>
  <si>
    <t>2026-07-06T20:25:00.000Z</t>
  </si>
  <si>
    <t>2026-07-10T13:07:00.000Z</t>
  </si>
  <si>
    <t>2026-07-10T18:07:00.000Z</t>
  </si>
  <si>
    <t>2026-07-06T13:58:06.000Z</t>
  </si>
  <si>
    <t>2026-07-06T18:58:06.000Z</t>
  </si>
  <si>
    <t>replaced sorter module and tested without further issue or incident self checkout lane number 16 mod andy no discrepancy between identity and advance tabs</t>
  </si>
  <si>
    <t>2026-07-10T13:07:24.000Z</t>
  </si>
  <si>
    <t>New Item :7360-4010-9090 New Serial Number :57-60591318 Old Item :7360-4010-9090 Old Serial Number :57-60591382</t>
  </si>
  <si>
    <t>2026-07-10T13:07:27.000Z</t>
  </si>
  <si>
    <t>Oracle Order Shipped for Remedy Id: U018959435, Order/Receipt # 182408638, Ordered Part 4970520636, Part Description - CR5000 Controller Card (service Part, Shipment/Receipt #2119705064, Part has been Shipped, Qty 1, Priority OVERNIGHT, Shipping Method UPS-Air-Next Day Air, BOL/Job 1ZH92Y050344414314, Source Location PTC AVL</t>
  </si>
  <si>
    <t>2026-07-10T22:33:13.000Z</t>
  </si>
  <si>
    <t>SCO 16 will not dispense coins  [Generated by Portal Login: coas14 Contact: Ashley Cooper 3092131564 ftfmsupport@rdspos.com]</t>
  </si>
  <si>
    <t>2026-07-06T14:01:19.000Z</t>
  </si>
  <si>
    <t>Arrived on site and spoke to MOD regarding issues - accessed SCO and noticed no hardware errors via LED indicators, though ran into several issues when initiating PML, despite clearing drivers. 1. ACB full of each demonination; purged the ACB and retested on each deposit mode. CR5 will depsite the demoninations correctly if done one at a time, though multiple at a time causes the coin to by passing the sorter and dump directly into the ACB. 2; after purging and clearing multiple times, noticed that identity and advanced tabs have different readings on coin counts. Purged and reset once again, though same issue is persistent. Suspending and ordering replacements - PN: 4970521463 &amp; 4970506899</t>
  </si>
  <si>
    <t>2026-07-06T17:31:54.000Z</t>
  </si>
  <si>
    <t>SCO 16 will not dispense coins  [Generated by Portal Login: coas14 Contact: Ashley Cooper 3092131564 ftfmsupport@rdspos.com]-CE IS NOW US153N74-Arrived on site and spoke to MOD regarding issues - accessed SCO and noticed no hardware errors via LED indicators, though ran into several issues when initiating PML, despite clearing drivers. 1. ACB full of each demonination; purged the ACB and retested on each deposit mode. CR5 will depsite the demoninations correctly if done one at a time, though multiple at a time causes the coin to by passing the sorter and dump directly into the ACB. 2; after purging and clearing multiple times, noticed that identity and advanced tabs have different readings on coin counts. Purged and reset once again, though same issue is persistent. Suspending and ordering replacements - PN: 4970521463 &amp; 4970506899-LOM order processing, Part has been Ordered , Remedy Id 000000015077727 - (Next Day) by Agent AUTO VIP-LOM order processing, Part has been Ordered , Remedy Id 000000015077738 - (Next Day) by Agent Auto VIP P000-Oracle Order Shipped for Remedy Id: U018956776, Order/Receipt # 182399175, Ordered Part 4970521463, Part Description - CR5000   Sorter Module Type A (Service Part), Shipment/Receipt #2119640383, Part has been Shipped, Qty 1, Priority OVERNIGHT, Shipping Method UPS-Air-Next Day Air Saver, BOL/Job 1ZH92Y061300773239, Source Location UFF USFAX6G-Oracle Order Shipped for Remedy Id: U018956787, Order/Receipt # 182399183, Ordered Part 4970520636, Part Description - CR5000 Controller Card (service Part, Shipment/Receipt #2119641080, Part has been Shipped, Qty 1, Priority OVERNIGHT, Shipping Method UPS-Air-Next Day Air Saver, BOL/Job 1ZH92Y050303120164, Source Location PTC AVL-***Arrived on site and spoke to MOD regarding issues - accessed SCO and noticed no hardware errors via LED indicators, though ran into several issues when initiating PML, despite clearing drivers. 1. ACB full of each demonination, purged the ACB and retested on each deposit mode. CR5 will deposit the demoninations correctly if done one at a time, though multiple at a time causes the coin to by passing the sorter and dump directly into the ACB. 2 after purging and clearing multiple times, noticed that identity and advanced tabs have different readings on coin counts. Purged and reset once again, though same issue is persistent. Suspending and ordering replacements - PN: 4970521463 &amp; 4970506899-Awaiting part delivery-LOM order processing, Part has been Ordered , Remedy Id 000000015079260 - (Next Day) by Agent Auto VIP P000-LOM Order Processing, Part has been Ordered, Remedy ID 000000015079259- (Pick Up) by Agent Auto CE pickup-Oracle Order Shipped for Remedy Id: U018958180, Order/Receipt # 182403954, Ordered Part 4970521463, Part Description - CR5000   Sorter Module Type A (Service Part), Shipment/Receipt #2119673537, Part has been Shipped, Qty 1, Priority NFO, Shipping Method CE Pickup After Hours, BOL/Job NA, Source Location UFF USFSTL1G-Oracle Order Shipped for Remedy Id: U018958177, Order/Receipt # 182403950, Ordered Part 4970520636, Part Description - CR5000 Controller Card (service Part, Shipment/Receipt #2119673979, Part has been Shipped, Qty 1, Priority OVERNIGHT, Shipping Method UPS-Air-Next Day Air Saver, BOL/Job 1ZH92Y050303129558, Source Location PTC AVL-CE IS NOW US153N63-LOM order processing, Part has been Ordered , Remedy Id 000000015080645 - (Next Day) by Agent Auto VIP P000-CEM4313893:diverts all coins into acb under load-replaced sorter module and tested without further issue or incident self checkout lane number 16 mod andy no discrepancy between identity and advance tabs-New Item :7360-4010-9090 New Serial Number :57-60591318 Old Item :7360-4010-9090 Old Serial Number :57-60591382-Oracle Order Shipped for Remedy Id: U018959435, Order/Receipt # 182408638, Ordered Part 4970520636, Part Description - CR5000 Controller Card (service Part, Shipment/Receipt #2119705064, Part has been Shipped, Qty 1, Priority OVERNIGHT, Shipping Method UPS-Air-Next Day Air, BOL/Job 1ZH92Y050344414314, Source Location PTC AVL</t>
  </si>
  <si>
    <t>2026-05-09T12:44:31.000Z</t>
  </si>
  <si>
    <t>57-60587830</t>
  </si>
  <si>
    <t>2026-05-09T08:26:00.000Z</t>
  </si>
  <si>
    <t>2026-05-09T12:26:00.000Z</t>
  </si>
  <si>
    <t>2026-05-09T08:29:00.000Z</t>
  </si>
  <si>
    <t>2026-05-09T12:29:00.000Z</t>
  </si>
  <si>
    <t>2026-05-08T17:43:23.000Z</t>
  </si>
  <si>
    <t>2026-05-08T21:43:23.000Z</t>
  </si>
  <si>
    <t>CEM4223728:ups</t>
  </si>
  <si>
    <t>2026-05-09T08:25:06.000Z</t>
  </si>
  <si>
    <t>2026-05-09T08:25:07.000Z</t>
  </si>
  <si>
    <t>New Item :7360-4010-9090 New Serial Number :57-60587830 Old Item :7360-4010-9090 Old Serial Number :57-60587804</t>
  </si>
  <si>
    <t>2026-05-09T08:30:06.000Z</t>
  </si>
  <si>
    <t>SCO will not stay on after a power outage. Please replace battery backup.  [Generated by Portal Login: coas14 Contact: Ashley N Cooper 3092131564 ftfmsupport@rdspos.com]</t>
  </si>
  <si>
    <t>2026-05-08T17:43:35.000Z</t>
  </si>
  <si>
    <t>2026-05-08T18:04:18.000Z</t>
  </si>
  <si>
    <t>SCO will not stay on after a power outage. Please replace battery backup.  [Generated by Portal Login: coas14 Contact: Ashley N Cooper 3092131564 ftfmsupport@rdspos.com]-CE IS NOW US133U01-CE WAS US133U01-CE IS NOW US133U10-CE WAS US133U10-CE IS NOW US133U12-replaced battery backup ups for terminal 17, rebooted terminal then tested successfully by mod Christa-CEM4223728:ups-CE IS NOW US133U12-New Item :7360-4010-9090 New Serial Number :57-60587830 Old Item :7360-4010-9090 Old Serial Number :57-60587804</t>
  </si>
  <si>
    <t>replaced battery backup ups for terminal 17, rebooted terminal then tested successfully by mod Christa</t>
  </si>
  <si>
    <t>2026-01-29T01:30:22.000Z</t>
  </si>
  <si>
    <t>2026-01-28T14:43:00.000Z</t>
  </si>
  <si>
    <t>2026-01-28T19:43:00.000Z</t>
  </si>
  <si>
    <t>2026-01-28T15:02:00.000Z</t>
  </si>
  <si>
    <t>2026-01-28T20:02:00.000Z</t>
  </si>
  <si>
    <t>2026-01-27T17:14:40.000Z</t>
  </si>
  <si>
    <t>2026-01-27T22:14:40.000Z</t>
  </si>
  <si>
    <t>2026-01-27T22:14:41.000Z</t>
  </si>
  <si>
    <t>2026-01-27T17:14:41.000Z</t>
  </si>
  <si>
    <t>2026-01-28T15:11:48.000Z</t>
  </si>
  <si>
    <t>Scanner Scale Device in error, error code: 11-0-0--99--2.   [Generated by Portal Login: coas14 Contact: Ashley N Cooper 309-213-1564 ftfmsupport@rdspos.com]</t>
  </si>
  <si>
    <t>2026-01-27T22:46:37.000Z</t>
  </si>
  <si>
    <t>call stated that scale was not on. inspection confirms and also reveals that this is the type of port in the scale that doesn't hold the cable very tight. this does allow the cable to wiggle loose from time to time. reseated cable and zip tied to ensure it's staying in the port. brought back online and scale operates as expected</t>
  </si>
  <si>
    <t>2026-01-28T15:11:46.000Z</t>
  </si>
  <si>
    <t>Scanner Scale Device in error, error code: 11-0-0--99--2.   [Generated by Portal Login: coas14 Contact: Ashley N Cooper 309-213-1564 ftfmsupport@rdspos.com]-CE IS NOW US133C71-call stated that scale was not on. inspection confirms and also reveals that this is the type of port in the scale that doesn't hold the cable very tight. this does allow the cable to wiggle loose from time to time. reseated cable and zip tied to ensure it's staying in the port. brought back online and scale operates as expected-New Item :7360-4010-9090 New Serial Number :57-60587759 Old Item :7360-4010-9090 Old Serial Number :57-60587759</t>
  </si>
  <si>
    <t>2025-09-23T15:46:07.000Z</t>
  </si>
  <si>
    <t>57-60595342</t>
  </si>
  <si>
    <t>2025-09-23T09:19:00.000Z</t>
  </si>
  <si>
    <t>2025-09-23T14:19:00.000Z</t>
  </si>
  <si>
    <t>2025-09-23T10:32:00.000Z</t>
  </si>
  <si>
    <t>2025-09-23T15:32:00.000Z</t>
  </si>
  <si>
    <t>2025-09-23T07:18:19.000Z</t>
  </si>
  <si>
    <t>2025-09-23T12:18:19.000Z</t>
  </si>
  <si>
    <t>2025-09-23T12:18:22.000Z</t>
  </si>
  <si>
    <t>2025-09-23T07:18:22.000Z</t>
  </si>
  <si>
    <t>New Item :7360-4010-9090 New Serial Number :57-60595342 Old Item :7360-4010-9090 Old Serial Number :57-60595342</t>
  </si>
  <si>
    <t>2025-09-23T10:33:36.000Z</t>
  </si>
  <si>
    <t>SCO 14 - Coin Box Motor Jam. Error Code: 16-6-0--99-459777  [Generated by Portal Login: repa14 Contact: Patrick Reeves 3092411908 ftfmsupport@rdspos.com]</t>
  </si>
  <si>
    <t>2025-09-23T07:18:23.000Z</t>
  </si>
  <si>
    <t>CE IS NOW US153C21</t>
  </si>
  <si>
    <t>2025-09-23T07:19:25.000Z</t>
  </si>
  <si>
    <t>Readjusted active cashbox and tested. Site contact Stacy</t>
  </si>
  <si>
    <t>2025-09-23T10:33:33.000Z</t>
  </si>
  <si>
    <t>SCO 14 - Coin Box Motor Jam. Error Code: 16-6-0--99-459777  [Generated by Portal Login: repa14 Contact: Patrick Reeves 3092411908 ftfmsupport@rdspos.com]-CE IS NOW US153C21-Readjusted active cashbox and tested. Site contact Stacy-New Item :7360-4010-9090 New Serial Number :57-60595342 Old Item :7360-4010-9090 Old Serial Number :57-60595342</t>
  </si>
  <si>
    <t>2026-01-30T21:16:01.000Z</t>
  </si>
  <si>
    <t>2026-01-30T14:51:00.000Z</t>
  </si>
  <si>
    <t>2026-01-30T19:51:00.000Z</t>
  </si>
  <si>
    <t>2026-01-30T16:01:00.000Z</t>
  </si>
  <si>
    <t>2026-01-30T21:01:00.000Z</t>
  </si>
  <si>
    <t>CHG-Arrived on-site and checked in with the store manager. Inspected the note recycler and found the unit operational</t>
  </si>
  <si>
    <t>2026-01-30T11:58:08.000Z</t>
  </si>
  <si>
    <t>2026-01-30T16:58:08.000Z</t>
  </si>
  <si>
    <t>Arrived on-site and checked in with the store manager. Inspected the note recycler and found the unit operational. Dusted out the recycler and tested in PML and returned the lane to service.</t>
  </si>
  <si>
    <t>2026-01-30T16:02:12.000Z</t>
  </si>
  <si>
    <t>New Item :7360-4010-9090 New Serial Number :57-60591364 Old Item :7360-4010-9090 Old Serial Number :57-60591378</t>
  </si>
  <si>
    <t>2026-01-30T16:02:13.000Z</t>
  </si>
  <si>
    <t>SCO16 has a Note recycler error - Note jam at RFIN1 sensor.   [Generated by Portal Login: most14 Contact: Staci Mowder 3096133038 ftfmsupport@rdspos.com]</t>
  </si>
  <si>
    <t>2026-01-30T12:20:07.000Z</t>
  </si>
  <si>
    <t>SCO16 has a Note recycler error - Note jam at RFIN1 sensor.   [Generated by Portal Login: most14 Contact: Staci Mowder 3096133038 ftfmsupport@rdspos.com]-CE IS NOW US133U34-Arrived on-site and checked in with the store manager. Inspected the note recycler and found the unit operational. Dusted out the recycler and tested in PML and returned the lane to service.-Arrived on-site and checked in with the store manager. Inspected the note recycler and found the unit operational. Dusted out the recycler and tested in PML and returned the lane to service.-New Item :7360-4010-9090 New Serial Number :57-60591364 Old Item :7360-4010-9090 Old Serial Number :57-60591378</t>
  </si>
  <si>
    <t>2026-02-23T12:28:00.000Z</t>
  </si>
  <si>
    <t>2026-02-23T18:28:00.000Z</t>
  </si>
  <si>
    <t>2026-02-23T12:40:00.000Z</t>
  </si>
  <si>
    <t>2026-02-23T18:40:00.000Z</t>
  </si>
  <si>
    <t>2026-02-23T08:25:30.000Z</t>
  </si>
  <si>
    <t>2026-02-23T14:25:30.000Z</t>
  </si>
  <si>
    <t>2026-02-23T08:38:08.000Z</t>
  </si>
  <si>
    <t>puck up and replace ups and tested with katie</t>
  </si>
  <si>
    <t>2026-02-23T12:54:28.000Z</t>
  </si>
  <si>
    <t>2026-02-23T12:54:30.000Z</t>
  </si>
  <si>
    <t>SCO 11 battery back up needs replaced, will not power on  [Generated by Portal Login: besa14 Contact: Sabrina Bechtel 715-498-6611 ftfmsupport@rdspos.com]</t>
  </si>
  <si>
    <t>2026-02-23T08:25:31.000Z</t>
  </si>
  <si>
    <t>2026-02-23T08:36:18.000Z</t>
  </si>
  <si>
    <t>2026-02-23T08:38:07.000Z</t>
  </si>
  <si>
    <t>SCO 11 battery back up needs replaced, will not power on  [Generated by Portal Login: besa14 Contact: Sabrina Bechtel 715-498-6611 ftfmsupport@rdspos.com]-CE IS NOW US153C17-CE WAS US153C17-CE IS NOW US153C07-puck up and replace ups and tested with katie-New Item :7360-4010-9090 New Serial Number :57-60595352 Old Item :7360-4010-9090 Old Serial Number :57-60595352</t>
  </si>
  <si>
    <t>2026-07-13T23:06:33.000Z</t>
  </si>
  <si>
    <t>57-60591393</t>
  </si>
  <si>
    <t>2026-07-13T18:45:00.000Z</t>
  </si>
  <si>
    <t>2026-07-13T22:45:00.000Z</t>
  </si>
  <si>
    <t>2026-07-13T18:52:00.000Z</t>
  </si>
  <si>
    <t>2026-07-13T22:52:00.000Z</t>
  </si>
  <si>
    <t>MISSING PART</t>
  </si>
  <si>
    <t>2026-07-12T13:26:09.000Z</t>
  </si>
  <si>
    <t>2026-07-12T17:26:09.000Z</t>
  </si>
  <si>
    <t>CEM4332739:x</t>
  </si>
  <si>
    <t>2026-07-13T18:48:39.000Z</t>
  </si>
  <si>
    <t>I had to replace the defective broken cash box for the note recycler unit on the self checkout at the Meijer fresh thyme store. I tested the unit and confirm that it's working properly at this time with no issues</t>
  </si>
  <si>
    <t>2026-07-13T18:54:04.000Z</t>
  </si>
  <si>
    <t>New Item :7360-4010-9090 New Serial Number :57-60591393 Old Item :7360-4010-9090 Old Serial Number :57-60591393</t>
  </si>
  <si>
    <t>2026-07-13T18:54:07.000Z</t>
  </si>
  <si>
    <t>SCO #13 note box needs repaired. The pusher is missing gears and does not push forward. There are two black pieces loose in the box.  [Generated by Portal Login: most14 Contact: Staci Mowder 2694689716 FTFMSupport@rdspos.com]</t>
  </si>
  <si>
    <t>2026-07-12T13:36:27.000Z</t>
  </si>
  <si>
    <t>ordering replacement cash box for the self checkout</t>
  </si>
  <si>
    <t>2026-07-12T16:01:56.000Z</t>
  </si>
  <si>
    <t>SCO #13 note box needs repaired. The pusher is missing gears and does not push forward. There are two black pieces loose in the box.  [Generated by Portal Login: most14 Contact: Staci Mowder 2694689716 FTFMSupport@rdspos.com]-CE IS NOW US133E62-ordering replacement cash box for the self checkout-LOM order processing, Part has been Ordered , Remedy Id 000000015081807 - (Next Day) by Agent Auto VIP P000-Oracle Order Shipped for Remedy Id: U018960775, Order/Receipt # 182410049, Ordered Part 4970514333, Part Description - Fujitsu GSR50 Note Recycler - Cashbox (Service Par, Shipment/Receipt #2119731755, Part has been Shipped, Qty 1, Priority OVERNIGHT, Shipping Method UPS-Air-Next Day Air Saver, BOL/Job 1ZH92Y051303143559, Source Location PTC AVL-Oracle Order Shipped for Remedy Id: U018960775, Order/Receipt # 182410048, Ordered Part 4970514333, Part Description - Fujitsu GSR50 Note Recycler - Cashbox (Service Par, Shipment/Receipt #2119731754, Part has been Shipped, Qty 1, Priority OVERNIGHT, Shipping Method UPS-Air-Next Day Air Saver, BOL/Job 1ZH92Y051303143531, Source Location PTC AVL-CEM4332739:x-I had to replace the defective broken cash box for the note recycler unit on the self checkout at the Meijer fresh thyme store. I tested the unit and confirm that it's working properly at this time with no issues-New Item :7360-4010-9090 New Serial Number :57-60591393 Old Item :7360-4010-9090 Old Serial Number :57-60591393</t>
  </si>
  <si>
    <t>2025-11-21T18:52:11.000Z</t>
  </si>
  <si>
    <t>2025-11-21T13:01:00.000Z</t>
  </si>
  <si>
    <t>2025-11-21T18:01:00.000Z</t>
  </si>
  <si>
    <t>2025-11-21T13:38:00.000Z</t>
  </si>
  <si>
    <t>2025-11-21T18:38:00.000Z</t>
  </si>
  <si>
    <t>2025-11-16T19:28:39.000Z</t>
  </si>
  <si>
    <t>2025-11-17T00:28:39.000Z</t>
  </si>
  <si>
    <t>CEM4020335:printing with streaks</t>
  </si>
  <si>
    <t>2025-11-21T13:40:24.000Z</t>
  </si>
  <si>
    <t>replaced defective printer and tested new printer working</t>
  </si>
  <si>
    <t>New Item :7360-4010-9090 New Serial Number :57-60595325 Old Item :7360-4010-9090 Old Serial Number :57-60595325</t>
  </si>
  <si>
    <t>2025-11-21T13:40:27.000Z</t>
  </si>
  <si>
    <t>SCO15 printer repeatedly jamming every few transactions   [Generated by Portal Login: most14 Contact: Staci Mowder 3096133038 ftfmsupport@rdspos.com]</t>
  </si>
  <si>
    <t>2025-11-16T19:28:40.000Z</t>
  </si>
  <si>
    <t>2025-11-16T19:31:42.000Z</t>
  </si>
  <si>
    <t>2025-11-17T05:14:26.000Z</t>
  </si>
  <si>
    <t>SCO15 printer repeatedly jamming every few transactions   [Generated by Portal Login: most14 Contact: Staci Mowder 3096133038 ftfmsupport@rdspos.com]-CE IS NOW US133B55-CE WAS US133B55-CE IS NOW US133B43-CE IS NOW US133B43-Suspending to order a printer before arriving to site. pn 4970532606-LOM order processing, Part has been Ordered , Remedy Id 000000014915851 - (Next Day) by Agent Auto VIP P932-Oracle Order Shipped for Remedy Id: U018803385, Order/Receipt # 181865253, Ordered Part 4970536541, Part Description - SSCO6 80MM PRINTER 2-ST, Shipment/Receipt #2112036968, Part has been Shipped, Qty 1, Priority OVERNIGHT, Shipping Method UPS-Air-Next Day Air Saver, BOL/Job 1ZJ7141K0102418896, Source Location PDS DIR- Please reset all cash values while on site.  [Remark added by: Ashley N Cooper Portal Login: coas14 Phone Number: 3092131564 Email Address: FTFMSupport@rdspos.com]-CE IS NOW US133B43-CE WAS US133B43-CE IS NOW US133B45-CEM4020335:printing with streaks-replaced defective printer and tested new printer working-New Item :7360-4010-9090 New Serial Number :57-60595325 Old Item :7360-4010-9090 Old Serial Number :57-60595325</t>
  </si>
  <si>
    <t>2025-10-23T21:08:50.000Z</t>
  </si>
  <si>
    <t>2025-10-23T15:17:00.000Z</t>
  </si>
  <si>
    <t>2025-10-23T20:17:00.000Z</t>
  </si>
  <si>
    <t>2025-10-23T15:50:00.000Z</t>
  </si>
  <si>
    <t>2025-10-23T20:50:00.000Z</t>
  </si>
  <si>
    <t>2025-10-20T15:50:48.000Z</t>
  </si>
  <si>
    <t>2025-10-20T20:50:48.000Z</t>
  </si>
  <si>
    <t>2025-10-20T20:50:49.000Z</t>
  </si>
  <si>
    <t>2025-10-20T15:50:49.000Z</t>
  </si>
  <si>
    <t>no fault found. Skinner scale is working fine just needed a power cycle with the cable and a reboot.</t>
  </si>
  <si>
    <t>2025-10-23T15:51:14.000Z</t>
  </si>
  <si>
    <t>Hello register 14 is having issues with a scanner scale. Complaints of it turning off in the middle of a transaction. Shut down the register and power cycle the scanner scale. Cleaned out a bunch of debris from the scale plates. Reconnected all the cables and rebooted the register. The scale came up normal. Performed several simulated transactions with items being weighed for produce weight measurements. Everything seemed accurate. Verified by checkout lead Chris.</t>
  </si>
  <si>
    <t>New Item :7360-4010-9090 New Serial Number :57-60591359 Old Item :7360-4010-9090 Old Serial Number :57-60591359</t>
  </si>
  <si>
    <t>2025-10-23T15:51:15.000Z</t>
  </si>
  <si>
    <t>SCO14 scanner/scale keeps randomly rebooting and not seeing any scanner in firmware program   [Generated by Portal Login: most14 Contact: Staci Mowder 3096133038 ftfmsupport@rdspos.com]</t>
  </si>
  <si>
    <t>2025-10-20T15:53:50.000Z</t>
  </si>
  <si>
    <t>2025-10-20T16:55:17.000Z</t>
  </si>
  <si>
    <t>SCO14 scanner/scale keeps randomly rebooting and not seeing any scanner in firmware program   [Generated by Portal Login: most14 Contact: Staci Mowder 3096133038 ftfmsupport@rdspos.com]-CE IS NOW US153R78-CE WAS US153R78-CE IS NOW US153R73-CE WAS US153R73-CE IS NOW US153R72-no fault found. Skinner scale is working fine just needed a power cycle with the cable and a reboot.-Hello register 14 is having issues with a scanner scale. Complaints of it turning off in the middle of a transaction. Shut down the register and power cycle the scanner scale. Cleaned out a bunch of debris from the scale plates. Reconnected all the cables and rebooted the register. The scale came up normal. Performed several simulated transactions with items being weighed for produce weight measurements. Everything seemed accurate. Verified by checkout lead Chris.-New Item :7360-4010-9090 New Serial Number :57-60591359 Old Item :7360-4010-9090 Old Serial Number :57-60591359</t>
  </si>
  <si>
    <t>2025-10-08T21:37:17.000Z</t>
  </si>
  <si>
    <t>2025-10-08T15:26:00.000Z</t>
  </si>
  <si>
    <t>2025-10-08T19:26:00.000Z</t>
  </si>
  <si>
    <t>2025-10-08T17:24:00.000Z</t>
  </si>
  <si>
    <t>2025-10-08T21:24:00.000Z</t>
  </si>
  <si>
    <t>2025-10-08T14:59:36.000Z</t>
  </si>
  <si>
    <t>2025-10-08T18:59:36.000Z</t>
  </si>
  <si>
    <t>CEM3934964:Northville fresh thyme</t>
  </si>
  <si>
    <t>2025-10-08T17:25:20.000Z</t>
  </si>
  <si>
    <t>trilight displaying incorrect colors. showing red whenever a customer is actively using the SCO. retrieved new io board from ESL and returned to replace. SCO tested and returned to full service.</t>
  </si>
  <si>
    <t>2025-10-08T17:25:21.000Z</t>
  </si>
  <si>
    <t>New Item :7360-4010-9090 New Serial Number :57-60587826 Old Item :7360-4010-9090 Old Serial Number :57-60587826</t>
  </si>
  <si>
    <t>2025-10-08T17:25:22.000Z</t>
  </si>
  <si>
    <t>SCO 18 the tri-light remains red regardless of the status on the lane  [Generated by Portal Login: besa14 Contact: Sabrina Bechtel 715-498-6611 ftfmsupport@rdspos.com]</t>
  </si>
  <si>
    <t>2025-10-08T14:59:37.000Z</t>
  </si>
  <si>
    <t>2025-10-08T15:07:38.000Z</t>
  </si>
  <si>
    <t>LOM order processing, Part has been Ordered , Remedy Id 000000014882788 - (Pick Up)MI, Wayneby Agent Auto CE pickup</t>
  </si>
  <si>
    <t>2025-10-08T15:48:50.000Z</t>
  </si>
  <si>
    <t>SCO 18 the tri-light remains red regardless of the status on the lane  [Generated by Portal Login: besa14 Contact: Sabrina Bechtel 715-498-6611 ftfmsupport@rdspos.com]-CE IS NOW US133U01-LOM order processing, Part has been Ordered , Remedy Id 000000014882788 - (Pick Up)MI, Wayneby Agent Auto CE pickup-Oracle Order Shipped for Remedy Id: U018770599, Order/Receipt # 181761879, Ordered Part 4970532667, Part Description - Complete IO Assembly (CAD0892++), Shipment/Receipt #2111156770, Part has been Shipped, Qty 1, Priority NFO, Shipping Method CE Pickup After Hours, BOL/Job ESL, Source Location UFF USFDTW1G-CEM3934964:Northville fresh thyme-trilight displaying incorrect colors. showing red whenever a customer is actively using the SCO. retrieved new io board from ESL and returned to replace. SCO tested and returned to full service.-New Item :7360-4010-9090 New Serial Number :57-60587826 Old Item :7360-4010-9090 Old Serial Number :57-60587826</t>
  </si>
  <si>
    <t>2026-08-06T17:46:23.000Z</t>
  </si>
  <si>
    <t>57-60588421</t>
  </si>
  <si>
    <t>2026-08-06T12:26:00.000Z</t>
  </si>
  <si>
    <t>2026-08-06T16:26:00.000Z</t>
  </si>
  <si>
    <t>2026-08-06T13:30:00.000Z</t>
  </si>
  <si>
    <t>2026-08-06T17:30:00.000Z</t>
  </si>
  <si>
    <t>2026-08-05T18:09:58.000Z</t>
  </si>
  <si>
    <t>2026-08-05T22:09:58.000Z</t>
  </si>
  <si>
    <t>Store923</t>
  </si>
  <si>
    <t>replaced ups</t>
  </si>
  <si>
    <t>2026-08-06T13:31:46.000Z</t>
  </si>
  <si>
    <t>upon arrival rerouted power to prove ups was dead. replaced ups and tested all functions. issue is resolved</t>
  </si>
  <si>
    <t>New Item :7360-4010-9090 New Serial Number :57-60588421 Old Item :7360-4010-9090 Old Serial Number :57-60588439</t>
  </si>
  <si>
    <t>2026-08-06T13:31:48.000Z</t>
  </si>
  <si>
    <t>SCO11 will not power on, May need APC replaced   [Generated by Portal Login: most14 Contact: Staci Mowder 2694689716 FTFMSupport@rdspos.com]</t>
  </si>
  <si>
    <t>2026-08-05T18:09:59.000Z</t>
  </si>
  <si>
    <t>CE IS NOW US133C23</t>
  </si>
  <si>
    <t>2026-08-05T18:47:18.000Z</t>
  </si>
  <si>
    <t>CE WAS US133C23</t>
  </si>
  <si>
    <t>2026-08-06T06:49:18.000Z</t>
  </si>
  <si>
    <t>SCO11 will not power on, May need APC replaced   [Generated by Portal Login: most14 Contact: Staci Mowder 2694689716 FTFMSupport@rdspos.com]-CE IS NOW US133C23-CE WAS US133C23-CE IS NOW US133C25-CE WAS US133C25-CE IS NOW US133C36-replaced ups-upon arrival rerouted power to prove ups was dead. replaced ups and tested all functions. issue is resolved-New Item :7360-4010-9090 New Serial Number :57-60588421 Old Item :7360-4010-9090 Old Serial Number :57-60588439</t>
  </si>
  <si>
    <t>2026-04-29T13:41:14.000Z</t>
  </si>
  <si>
    <t>2026-04-29T08:41:14.000Z</t>
  </si>
  <si>
    <t>2026-04-29T07:48:05.000Z</t>
  </si>
  <si>
    <t>2026-04-29T12:48:05.000Z</t>
  </si>
  <si>
    <t>2026-04-29T07:51:50.000Z</t>
  </si>
  <si>
    <t>Store was able to get SCO powered on  Remark added by: Staci Mowder Portal Login: most14 Phone Number: 3096133038 Email Address: smowder@rdspos.com</t>
  </si>
  <si>
    <t>SCO12 not powering on, may need battery backup replaced.  [Generated by Portal Login: most14 Contact: Staci Mowder 3096133038 ftfmsupport@rdspos.com]</t>
  </si>
  <si>
    <t>2026-04-29T07:51:46.000Z</t>
  </si>
  <si>
    <t>2026-04-29T07:51:49.000Z</t>
  </si>
  <si>
    <t>SCO12 not powering on, may need battery backup replaced.  [Generated by Portal Login: most14 Contact: Staci Mowder 3096133038 ftfmsupport@rdspos.com]-CE IS NOW US153C13-CE WAS US153C13-CE IS NOW US153C27-Store was able to get SCO powered on  Remark added by: Staci Mowder Portal Login: most14 Phone Number: 3096133038 Email Address: smowder@rdspos.com-CE WAS US153C27</t>
  </si>
  <si>
    <t>2026-04-20T20:14:26.000Z</t>
  </si>
  <si>
    <t>57-60587793</t>
  </si>
  <si>
    <t>2026-04-20T15:45:00.000Z</t>
  </si>
  <si>
    <t>2026-04-20T19:45:00.000Z</t>
  </si>
  <si>
    <t>2026-04-20T15:55:00.000Z</t>
  </si>
  <si>
    <t>2026-04-20T19:55:00.000Z</t>
  </si>
  <si>
    <t>MEIJER/FRESH THYME #529</t>
  </si>
  <si>
    <t>2026-04-20T09:20:13.000Z</t>
  </si>
  <si>
    <t>2026-04-20T13:20:13.000Z</t>
  </si>
  <si>
    <t>2026-04-20T13:20:14.000Z</t>
  </si>
  <si>
    <t>2026-04-20T09:20:14.000Z</t>
  </si>
  <si>
    <t>the locking mechanism pin for the lower lock was biting into the plastic. flipped the pin around to have it facing the opposite direction. tested. tested good. unit is fully operational.</t>
  </si>
  <si>
    <t>2026-04-20T15:56:46.000Z</t>
  </si>
  <si>
    <t>New Item :7360-4010-9090 New Serial Number :57-60587793 Old Item :7360-4010-9090 Old Serial Number :57-60587795</t>
  </si>
  <si>
    <t>2026-04-20T15:56:47.000Z</t>
  </si>
  <si>
    <t>SCO 13 having issues with the locking mechanism, they have to jiggle the key in the lock in order to get the exterior door open This key works fine on all the other SCO's. The store is requesting a tech onsite.  [Generated by Portal Login: besa14 Contact: Sabrina Bechtel 715-498-6611 ftfmsupport@rdspos.com]</t>
  </si>
  <si>
    <t>2026-04-20T09:21:23.000Z</t>
  </si>
  <si>
    <t>SCO 13 having issues with the locking mechanism, they have to jiggle the key in the lock in order to get the exterior door open This key works fine on all the other SCO's. The store is requesting a tech onsite.  [Generated by Portal Login: besa14 Contact: Sabrina Bechtel 715-498-6611 ftfmsupport@rdspos.com]-CE IS NOW US133E72-the locking mechanism pin for the lower lock was biting into the plastic. flipped the pin around to have it facing the opposite direction. tested. tested good. unit is fully operational.-the locking mechanism pin for the lower lock was biting into the plastic. flipped the pin around to have it facing the opposite direction. tested. tested good. unit is fully operational.-New Item :7360-4010-9090 New Serial Number :57-60587793 Old Item :7360-4010-9090 Old Serial Number :57-60587795</t>
  </si>
  <si>
    <t>2026-07-27T18:29:02.000Z</t>
  </si>
  <si>
    <t>57-60591344</t>
  </si>
  <si>
    <t>2026-07-27T13:24:00.000Z</t>
  </si>
  <si>
    <t>2026-07-27T17:24:00.000Z</t>
  </si>
  <si>
    <t>2026-07-27T14:13:00.000Z</t>
  </si>
  <si>
    <t>2026-07-27T18:13:00.000Z</t>
  </si>
  <si>
    <t>2026-07-27T10:51:56.000Z</t>
  </si>
  <si>
    <t>2026-07-27T14:51:56.000Z</t>
  </si>
  <si>
    <t>upon arrival the battery back up unit was on and functional. site still requested the battery back up unit be replaced. replaced the unit and then tested with no further problems</t>
  </si>
  <si>
    <t>2026-07-27T14:14:26.000Z</t>
  </si>
  <si>
    <t>New Item :7360-4010-9090 New Serial Number :57-60591344 Old Item :7360-4010-9090 Old Serial Number :57-60595308</t>
  </si>
  <si>
    <t>2026-07-27T14:14:27.000Z</t>
  </si>
  <si>
    <t>Previous ticket number 7620602902 was closed with no notes. Requesting the battery backup to be replaced again as previously requested SCO 14 shuts down and battery backup beeps after every power outage even after power cycling.  [Generated by Portal Login: coas14 Contact: Ashley Cooper 3092131564 ftfmsupport@rdspos.com]</t>
  </si>
  <si>
    <t>CE IS NOW US133C50</t>
  </si>
  <si>
    <t>2026-07-27T10:56:26.000Z</t>
  </si>
  <si>
    <t>CE WAS US133C50</t>
  </si>
  <si>
    <t>2026-07-27T10:56:45.000Z</t>
  </si>
  <si>
    <t>Previous ticket number 7620602902 was closed with no notes. Requesting the battery backup to be replaced again as previously requested SCO 14 shuts down and battery backup beeps after every power outage even after power cycling.  [Generated by Portal Login: coas14 Contact: Ashley Cooper 3092131564 ftfmsupport@rdspos.com]-CE IS NOW US133C50-CE WAS US133C50-CE IS NOW US133C52-retrieved part from c50 in route to the site-upon arrival the battery back up unit was on and functional. site still requested the battery back up unit be replaced. replaced the unit and then tested with no further problems-upon arrival the battery back up unit was on and functional. site still requested the battery back up unit be replaced. replaced the unit and then tested with no further problems-New Item :7360-4010-9090 New Serial Number :57-60591344 Old Item :7360-4010-9090 Old Serial Number :57-60595308</t>
  </si>
  <si>
    <t>2026-05-09T16:21:15.000Z</t>
  </si>
  <si>
    <t>57-60587818</t>
  </si>
  <si>
    <t>2026-05-09T11:43:00.000Z</t>
  </si>
  <si>
    <t>2026-05-09T15:43:00.000Z</t>
  </si>
  <si>
    <t>2026-05-09T12:08:00.000Z</t>
  </si>
  <si>
    <t>2026-05-09T16:08:00.000Z</t>
  </si>
  <si>
    <t>2026-05-09T11:31:57.000Z</t>
  </si>
  <si>
    <t>2026-05-09T15:31:57.000Z</t>
  </si>
  <si>
    <t>New Item :7360-4010-9090 New Serial Number :57-60587818 Old Item :7360-4010-9090 Old Serial Number :57-60587804</t>
  </si>
  <si>
    <t>2026-05-09T12:09:37.000Z</t>
  </si>
  <si>
    <t>Battery backup needs replaced. SCO will not stay powered on after a power outage.  [Generated by Portal Login: coas14 Contact: Ashley N Cooper 3092131564 ftfmsupport@rdspos.com]</t>
  </si>
  <si>
    <t>2026-05-09T11:32:06.000Z</t>
  </si>
  <si>
    <t>replaced battery backup ups for terminal 11, rebooted terminal then tested successfully by mod Christa</t>
  </si>
  <si>
    <t>2026-05-09T11:35:52.000Z</t>
  </si>
  <si>
    <t>Battery backup needs replaced. SCO will not stay powered on after a power outage.  [Generated by Portal Login: coas14 Contact: Ashley N Cooper 3092131564 ftfmsupport@rdspos.com]-CE IS NOW US133U12-replaced battery backup ups for terminal 11, rebooted terminal then tested successfully by mod Christa-New Item :7360-4010-9090 New Serial Number :57-60587818 Old Item :7360-4010-9090 Old Serial Number :57-60587804</t>
  </si>
  <si>
    <t>2026-03-14T21:39:08.000Z</t>
  </si>
  <si>
    <t>57-60591388</t>
  </si>
  <si>
    <t>2026-03-14T17:18:00.000Z</t>
  </si>
  <si>
    <t>2026-03-14T21:18:00.000Z</t>
  </si>
  <si>
    <t>2026-03-14T17:21:00.000Z</t>
  </si>
  <si>
    <t>2026-03-14T21:21:00.000Z</t>
  </si>
  <si>
    <t>TS185323</t>
  </si>
  <si>
    <t>2026-03-12T11:18:44.000Z</t>
  </si>
  <si>
    <t>2026-03-12T15:18:44.000Z</t>
  </si>
  <si>
    <t>Nff</t>
  </si>
  <si>
    <t>2026-03-14T17:22:33.000Z</t>
  </si>
  <si>
    <t>Arrived at the store and found the sco. Store associates stated that the device was not having issues. Sarah stated she did not put a ticket in for it. That also did not have a key to the Cr5000 for me to test it</t>
  </si>
  <si>
    <t>New Item :7360-4010-9090 New Serial Number :57-60591388 Old Item :7360-4010-9090 Old Serial Number :57-60591388</t>
  </si>
  <si>
    <t>2026-03-14T17:22:35.000Z</t>
  </si>
  <si>
    <t>SCO 15 has a coin recycler error device is not responding error code 16-6-0-99-0  [Generated by Portal Login: besa14 Contact: Sabrina Bechtel 715-498-6611 ftfmsupport@rdspos.com]</t>
  </si>
  <si>
    <t>2026-03-12T11:18:45.000Z</t>
  </si>
  <si>
    <t>CE IS NOW US133E42</t>
  </si>
  <si>
    <t>2026-03-12T11:20:08.000Z</t>
  </si>
  <si>
    <t>CE WAS US133E42</t>
  </si>
  <si>
    <t>2026-03-13T07:20:20.000Z</t>
  </si>
  <si>
    <t>SCO 15 has a coin recycler error device is not responding error code 16-6-0-99-0  [Generated by Portal Login: besa14 Contact: Sabrina Bechtel 715-498-6611 ftfmsupport@rdspos.com]-CE IS NOW US133E42-CE WAS US133E42-CE IS NOW US133E43-CE WAS US133E43-CE IS NOW US133E42-CE WAS US133E42-CE IS NOW US133E43-Nff-Arrived at the store and found the sco. Store associates stated that the device was not having issues. Sarah stated she did not put a ticket in for it. That also did not have a key to the Cr5000 for me to test it-New Item :7360-4010-9090 New Serial Number :57-60591388 Old Item :7360-4010-9090 Old Serial Number :57-60591388</t>
  </si>
  <si>
    <t>2026-05-02T00:25:09.000Z</t>
  </si>
  <si>
    <t>2026-04-29T18:00:00.000Z</t>
  </si>
  <si>
    <t>2026-04-29T23:00:00.000Z</t>
  </si>
  <si>
    <t>2026-05-01T19:13:00.000Z</t>
  </si>
  <si>
    <t>2026-05-02T00:13:00.000Z</t>
  </si>
  <si>
    <t>2026-04-29T12:28:01.000Z</t>
  </si>
  <si>
    <t>2026-04-29T17:28:01.000Z</t>
  </si>
  <si>
    <t>CEM4155039:Lane light not working</t>
  </si>
  <si>
    <t>2026-05-01T19:10:14.000Z</t>
  </si>
  <si>
    <t>2026-05-01T19:13:16.000Z</t>
  </si>
  <si>
    <t>New Item :7360-4010-9090 New Serial Number :086700689608 Old Item :7360-4010-9090 Old Serial Number :57-60587790</t>
  </si>
  <si>
    <t>2026-05-01T19:13:18.000Z</t>
  </si>
  <si>
    <t>SCO 12 tri-light it out, not working  [Generated by Portal Login: besa14 Contact: Sabrina Bechtel 715-498-6611 ftfmsupport@rdspos.com]</t>
  </si>
  <si>
    <t>2026-04-29T12:39:34.000Z</t>
  </si>
  <si>
    <t>2026-04-29T18:01:17.000Z</t>
  </si>
  <si>
    <t>SCO 12 tri-light it out, not working  [Generated by Portal Login: besa14 Contact: Sabrina Bechtel 715-498-6611 ftfmsupport@rdspos.com]-CE IS NOW US153C10-Ordering Tri-Light w/Camera-LOM order processing, Part has been Ordered , Remedy Id 000000015031393 - (Next Day) by Agent Auto VIP P000-Oracle Order Shipped for Remedy Id: U018914397, Order/Receipt # 182241371, Ordered Part 4970525295, Part Description - KIT - R6 TRI-LIGHT W/IP CAMERA, Shipment/Receipt #2118313768, Part has been Shipped, Qty 1, Priority OVERNIGHT, Shipping Method UPS-Air-Next Day Air Saver, BOL/Job 1ZH92Y051302804417, Source Location PTC AVL-CEM4155039:Lane light not working-Replaced tri light for sco lane. Secured connections and rebooted sco. Light now working normal.-New Item :7360-4010-9090 New Serial Number :086700689608 Old Item :7360-4010-9090 Old Serial Number :57-60587790</t>
  </si>
  <si>
    <t>2025-09-16T18:00:53.000Z</t>
  </si>
  <si>
    <t>2025-09-08T15:19:00.000Z</t>
  </si>
  <si>
    <t>2025-09-08T19:19:00.000Z</t>
  </si>
  <si>
    <t>2025-09-16T13:43:00.000Z</t>
  </si>
  <si>
    <t>2025-09-16T17:43:00.000Z</t>
  </si>
  <si>
    <t>2025-09-08T11:04:03.000Z</t>
  </si>
  <si>
    <t>2025-09-08T15:04:03.000Z</t>
  </si>
  <si>
    <t>2025-09-08T15:04:06.000Z</t>
  </si>
  <si>
    <t>2025-09-08T11:04:06.000Z</t>
  </si>
  <si>
    <t>CEM3879950:Bad part</t>
  </si>
  <si>
    <t>2025-09-16T13:44:53.000Z</t>
  </si>
  <si>
    <t>2025-09-16T13:44:55.000Z</t>
  </si>
  <si>
    <t>SCO 14 the tri-light is completely out, not working  [Generated by Portal Login: besa14 Contact: Sabrina Bechtel 715-498-6611 ftfmsupport@rdspos.com]</t>
  </si>
  <si>
    <t>2025-09-08T12:07:37.000Z</t>
  </si>
  <si>
    <t>2025-09-08T13:11:28.000Z</t>
  </si>
  <si>
    <t>SCO 14 the tri-light is completely out, not working  [Generated by Portal Login: besa14 Contact: Sabrina Bechtel 715-498-6611 ftfmsupport@rdspos.com]-CE IS NOW US133C87-CE WAS US133C87-CE IS NOW US133C93-Lane light burned out. ordering new lane light and decal.-LOM order processing, Part has been Ordered , Remedy Id 000000014857605 - (Next Day) by Agent Auto VIP P000-LOM order processing, Part has been Ordered , Remedy Id 000000014857606 - (Next Day) by Agent Auto VIP P000-Oracle Order Shipped for Remedy Id: U018745995, Order/Receipt # 181680914, Ordered Part 4970525295, Part Description - KIT - R6 TRI-LIGHT W/IP CAMERA, Shipment/Receipt #2110506113, Part has been Shipped, Qty 1, Priority OVERNIGHT, Shipping Method UPS-Air-Next Day Air Saver, BOL/Job 1ZH92Y051301527175, Source Location PTC AVL-Oracle Order Shipped for Remedy Id: U018745996, Order/Receipt # 181680915, Ordered Part 4970511101, Part Description - 2 LH/RH Lane Light Graphics Label NCR Fastlane, Shipment/Receipt #2110505132, Part has been Shipped, Qty 1, Priority OVERNIGHT, Shipping Method UPS-Air-Next Day Air Saver, BOL/Job 1ZH92Y051301528889, Source Location PTC AVL-CE IS NOW US133C90-CE IS NOW US133C81-CEM3879950:Bad part-Work perform replace tri-light due not lighting up-New Item :7360-4010-9090 New Serial Number :57-60587862 Old Item :7360-4010-9090 Old Serial Number :57-60587862</t>
  </si>
  <si>
    <t>2025-10-10T20:16:30.000Z</t>
  </si>
  <si>
    <t>57-60590088</t>
  </si>
  <si>
    <t>2025-10-10T14:56:00.000Z</t>
  </si>
  <si>
    <t>2025-10-10T19:56:00.000Z</t>
  </si>
  <si>
    <t>2025-10-10T15:03:00.000Z</t>
  </si>
  <si>
    <t>2025-10-10T20:03:00.000Z</t>
  </si>
  <si>
    <t>2025-10-07T19:30:49.000Z</t>
  </si>
  <si>
    <t>2025-10-08T00:30:49.000Z</t>
  </si>
  <si>
    <t>2025-10-09T22:17:57.000Z</t>
  </si>
  <si>
    <t>Gave coin and bill recycler through cleaning with air and alcohol wipes. All sensors showing clear for both units. Calibrated wake up sensor for coins.</t>
  </si>
  <si>
    <t>2025-10-10T15:04:35.000Z</t>
  </si>
  <si>
    <t>New Item :7360-4010-9090 New Serial Number :57-60590088 Old Item :7360-4010-9090 Old Serial Number :57-60587790</t>
  </si>
  <si>
    <t>2025-10-10T15:04:37.000Z</t>
  </si>
  <si>
    <t>SCO 17 having issues dispensing money, says it dispensed money but nothing came out   [Generated by Portal Login: besa14 Contact: Sabrina Bechtel 715-498-6611 ftfmsupport@rdspos.com]</t>
  </si>
  <si>
    <t>2025-10-07T19:30:50.000Z</t>
  </si>
  <si>
    <t>2025-10-07T19:31:01.000Z</t>
  </si>
  <si>
    <t>2025-10-08T08:56:35.000Z</t>
  </si>
  <si>
    <t>SCO 17 having issues dispensing money, says it dispensed money but nothing came out   [Generated by Portal Login: besa14 Contact: Sabrina Bechtel 715-498-6611 ftfmsupport@rdspos.com]-CE IS NOW US153C24-CE WAS US153C24-CE IS NOW US153C10-CE WAS US153C10-CE IS NOW US153C16-CE WAS US153C16-CE IS NOW US153C14-CEM3942644:excess printer-CE WAS US153C14-CE IS NOW US153C06-CE WAS US153C06-CE IS NOW US153C10-Gave coin and bill recycler through cleaning with air and alcohol wipes. All sensors showing clear for both units. Calibrated wake up sensor for coins.-New Item :7360-4010-9090 New Serial Number :57-60590088 Old Item :7360-4010-9090 Old Serial Number :57-60587790</t>
  </si>
  <si>
    <t>2026-02-09T22:32:50.000Z</t>
  </si>
  <si>
    <t>57-60587803</t>
  </si>
  <si>
    <t>2026-02-09T15:43:00.000Z</t>
  </si>
  <si>
    <t>2026-02-09T21:43:00.000Z</t>
  </si>
  <si>
    <t>2026-02-09T16:17:00.000Z</t>
  </si>
  <si>
    <t>2026-02-09T22:17:00.000Z</t>
  </si>
  <si>
    <t>DE185059</t>
  </si>
  <si>
    <t>2026-02-09T14:46:56.000Z</t>
  </si>
  <si>
    <t>2026-02-09T20:46:56.000Z</t>
  </si>
  <si>
    <t>Store962</t>
  </si>
  <si>
    <t>02/09/26 @ 15:50</t>
  </si>
  <si>
    <t>2026-02-09T15:00:03.000Z</t>
  </si>
  <si>
    <t>Reset UPS, test voltage; 120v AC good, cycle power to UPS and toggle breaker and front panel on/off button on UPS. Restart SCO, test functionality with MOD, Katrina. All appears to be operating properly now</t>
  </si>
  <si>
    <t>2026-02-09T16:16:23.000Z</t>
  </si>
  <si>
    <t>New Item :7360-4010-9090 New Serial Number :57-60587803 Old Item :7360-4010-9090 Old Serial Number :57-60587817</t>
  </si>
  <si>
    <t>2026-02-09T16:20:56.000Z</t>
  </si>
  <si>
    <t>SCO13 needs battery back up replaced   [Generated by Portal Login: most14 Contact: Staci Mowder 3096133038 ftfmsupport@rdspos.com]</t>
  </si>
  <si>
    <t>2026-02-09T14:46:57.000Z</t>
  </si>
  <si>
    <t>2026-02-09T14:48:01.000Z</t>
  </si>
  <si>
    <t>CE WAS US153R46</t>
  </si>
  <si>
    <t>2026-02-09T14:48:02.000Z</t>
  </si>
  <si>
    <t>SCO13 needs battery back up replaced   [Generated by Portal Login: most14 Contact: Staci Mowder 3096133038 ftfmsupport@rdspos.com]-CE IS NOW US153R46-CE WAS US153R46-CE IS NOW US153R40-02/09/26 @ 15:50-Reset UPS, test voltage; 120v AC good, cycle power to UPS and toggle breaker and front panel on/off button on UPS. Restart SCO, test functionality with MOD, Katrina. All appears to be operating properly now-New Item :7360-4010-9090 New Serial Number :57-60587803 Old Item :7360-4010-9090 Old Serial Number :57-60587817</t>
  </si>
  <si>
    <t>2025-08-08T18:21:38.000Z</t>
  </si>
  <si>
    <t>2025-08-08T12:50:00.000Z</t>
  </si>
  <si>
    <t>2025-08-08T17:50:00.000Z</t>
  </si>
  <si>
    <t>2025-08-08T13:06:00.000Z</t>
  </si>
  <si>
    <t>2025-08-08T18:06:00.000Z</t>
  </si>
  <si>
    <t>2025-08-07T13:42:50.000Z</t>
  </si>
  <si>
    <t>2025-08-07T18:42:50.000Z</t>
  </si>
  <si>
    <t>2025-08-08T13:07:56.000Z</t>
  </si>
  <si>
    <t>New Item :7360-4010-9090 New Serial Number :57-60590113 Old Item :7360-4010-9090 Old Serial Number :57-60595344</t>
  </si>
  <si>
    <t>2025-08-08T13:07:57.000Z</t>
  </si>
  <si>
    <t>Outer door on SCO16 is very difficult to open/jammed.  [Generated by Portal Login: most14 Contact: Staci Mowder 3096133038 ftfmsupport@rdspos.com]</t>
  </si>
  <si>
    <t>2025-08-07T13:43:02.000Z</t>
  </si>
  <si>
    <t>2025-08-08T08:11:44.000Z</t>
  </si>
  <si>
    <t>Outer door on SCO16 is very difficult to open/jammed.  [Generated by Portal Login: most14 Contact: Staci Mowder 3096133038 ftfmsupport@rdspos.com]-CE IS NOW US153N62-CE WAS US153N62-CE IS NOW US153N66-talked with Jess and looked over sc and foubd doors are finw think clip just got in way. a adjusted clip to it noticed position and working great.-talked with Jess and looked over sc and foubd doors are finw think clip just got in way. a adjusted clip to it noticed position and working great.-New Item :7360-4010-9090 New Serial Number :57-60590113 Old Item :7360-4010-9090 Old Serial Number :57-60595344</t>
  </si>
  <si>
    <t>2026-04-11T15:16:21.000Z</t>
  </si>
  <si>
    <t>57-60595357</t>
  </si>
  <si>
    <t>2026-04-11T09:40:00.000Z</t>
  </si>
  <si>
    <t>2026-04-11T14:40:00.000Z</t>
  </si>
  <si>
    <t>2026-04-11T10:02:00.000Z</t>
  </si>
  <si>
    <t>2026-04-11T15:02:00.000Z</t>
  </si>
  <si>
    <t>2026-04-11T08:16:27.000Z</t>
  </si>
  <si>
    <t>2026-04-11T13:16:27.000Z</t>
  </si>
  <si>
    <t>2026-04-11T13:16:28.000Z</t>
  </si>
  <si>
    <t>2026-04-11T08:16:28.000Z</t>
  </si>
  <si>
    <t>2026-04-11T08:44:45.000Z</t>
  </si>
  <si>
    <t>Upon arrival, SCO 11 coin bezel LED flashing red. Upon further inspection, internal LED health lights flashing red twice on 3 indicating a block in validator shoot. I remove the side and find a gold dollar coin wedged. I remove, replace part, and reset CR5000. Machine now functioning properly. SCO 11 brought back in to full operation. No further action taken. Closing call.</t>
  </si>
  <si>
    <t>2026-04-11T10:02:37.000Z</t>
  </si>
  <si>
    <t>New Item :7360-4010-9090 New Serial Number :57-60595357 Old Item :7360-4010-9090 Old Serial Number :57-60595357</t>
  </si>
  <si>
    <t>2026-04-11T10:02:39.000Z</t>
  </si>
  <si>
    <t>Transfer chamber cover open  [Generated by Portal Login: coas14 Contact: Ashley Cooper 3092131564 ftfmsupport@rdspos.com]</t>
  </si>
  <si>
    <t>CE IS NOW US153R52</t>
  </si>
  <si>
    <t>2026-04-11T08:17:08.000Z</t>
  </si>
  <si>
    <t>CE WAS US153R52</t>
  </si>
  <si>
    <t>2026-04-11T08:40:24.000Z</t>
  </si>
  <si>
    <t>Transfer chamber cover open  [Generated by Portal Login: coas14 Contact: Ashley Cooper 3092131564 ftfmsupport@rdspos.com]-CE IS NOW US153R52-CE WAS US153R52-CE IS NOW US153R54-CE IS NOW US153R54-Upon arrival, SCO 11 coin bezel LED flashing red. Upon further inspection, internal LED health lights flashing red twice on 3 indicating a block in validator shoot. I remove the side and find a gold dollar coin wedged. I remove, replace part, and reset CR5000. Machine now functioning properly. SCO 11 brought back in to full operation. No further action taken. Closing call.-New Item :7360-4010-9090 New Serial Number :57-60595357 Old Item :7360-4010-9090 Old Serial Number :57-60595357</t>
  </si>
  <si>
    <t>2026-02-24T18:33:16.000Z</t>
  </si>
  <si>
    <t>164702778TEMP</t>
  </si>
  <si>
    <t>2026-02-24T11:56:00.000Z</t>
  </si>
  <si>
    <t>2026-02-24T17:56:00.000Z</t>
  </si>
  <si>
    <t>2026-02-24T12:18:00.000Z</t>
  </si>
  <si>
    <t>2026-02-24T18:18:00.000Z</t>
  </si>
  <si>
    <t>2026-02-24T09:16:28.000Z</t>
  </si>
  <si>
    <t>2026-02-24T15:16:28.000Z</t>
  </si>
  <si>
    <t>2026-02-24T09:49:22.000Z</t>
  </si>
  <si>
    <t>The door was very sticky And hard to open. Adjusted the door by adding Lube on the door latch. tested ok with Mike.</t>
  </si>
  <si>
    <t>2026-02-24T12:19:56.000Z</t>
  </si>
  <si>
    <t>New Item :7360-4010-9090 New Serial Number :57-53428883 Old Item :7360-4010-9090 Old Serial Number :57-53428883</t>
  </si>
  <si>
    <t>2026-02-24T12:19:58.000Z</t>
  </si>
  <si>
    <t>Inner vault door is very hard to open, Please see ticket number 7605405427. Store has requested a different technician as the previous tech did not troubleshoot Previous ticket states, &amp;quot;safe lock handle not opening... no fault found.. unit is working as normal... user error...&amp;quot; Store manager is not happy, All other vault locks are not a struggle to open. Please ask for Michael before leaving site for testing. Thank you! [Generated by Portal Login: coas14 Contact: Ashley Cooper 3092131564 ftfmsupport@rdspos.com]</t>
  </si>
  <si>
    <t>2026-02-24T09:16:29.000Z</t>
  </si>
  <si>
    <t>2026-02-24T09:17:29.000Z</t>
  </si>
  <si>
    <t>2026-02-24T09:49:21.000Z</t>
  </si>
  <si>
    <t>Inner vault door is very hard to open, Please see ticket number 7605405427. Store has requested a different technician as the previous tech did not troubleshoot Previous ticket states, &amp;quot;safe lock handle not opening... no fault found.. unit is working as normal... user error...&amp;quot; Store manager is not happy, All other vault locks are not a struggle to open. Please ask for Michael before leaving site for testing. Thank you! [Generated by Portal Login: coas14 Contact: Ashley Cooper 3092131564 ftfmsupport@rdspos.com]-CE IS NOW US153R72-CE WAS US153R72-CE IS NOW US153R73-The door was very sticky And hard to open. Adjusted the door by adding Lube on the door latch. tested ok with Mike.-New Item :7360-4010-9090 New Serial Number :57-53428883 Old Item :7360-4010-9090 Old Serial Number :57-53428883</t>
  </si>
  <si>
    <t>2026-05-15T20:27:49.000Z</t>
  </si>
  <si>
    <t>2026-05-15T14:17:00.000Z</t>
  </si>
  <si>
    <t>2026-05-15T19:17:00.000Z</t>
  </si>
  <si>
    <t>2026-05-15T15:12:00.000Z</t>
  </si>
  <si>
    <t>2026-05-15T20:12:00.000Z</t>
  </si>
  <si>
    <t>2026-05-14T14:42:13.000Z</t>
  </si>
  <si>
    <t>2026-05-14T19:42:13.000Z</t>
  </si>
  <si>
    <t>2026-05-15T09:07:49.000Z</t>
  </si>
  <si>
    <t>Wake up sensor needed to be calibrated and after doing so I was able to resolve issue</t>
  </si>
  <si>
    <t>2026-05-15T15:12:24.000Z</t>
  </si>
  <si>
    <t>2026-05-15T15:12:26.000Z</t>
  </si>
  <si>
    <t>Coin recycler flashing amber   [Generated by Portal Login: coas14 Contact: Ashley N Cooper 3092131564 ftfmsupport@rdspos.com]</t>
  </si>
  <si>
    <t>2026-05-14T14:43:51.000Z</t>
  </si>
  <si>
    <t>2026-05-15T09:07:48.000Z</t>
  </si>
  <si>
    <t>Coin recycler flashing amber   [Generated by Portal Login: coas14 Contact: Ashley N Cooper 3092131564 ftfmsupport@rdspos.com]-CE IS NOW US153C13-CE WAS US153C13-CE IS NOW US153C12-Wake up sensor needed to be calibrated and after doing so I was able to resolve issue-New Item :7360-4010-9090 New Serial Number :57-60595315 Old Item :7360-4010-9090 Old Serial Number :57-60595315</t>
  </si>
  <si>
    <t>2025-12-09T20:54:06.000Z</t>
  </si>
  <si>
    <t>57-60590110</t>
  </si>
  <si>
    <t>2025-12-06T20:07:00.000Z</t>
  </si>
  <si>
    <t>2025-12-07T01:07:00.000Z</t>
  </si>
  <si>
    <t>2025-12-09T15:38:00.000Z</t>
  </si>
  <si>
    <t>2025-12-09T20:38:00.000Z</t>
  </si>
  <si>
    <t>2025-12-06T16:41:37.000Z</t>
  </si>
  <si>
    <t>2025-12-06T21:41:37.000Z</t>
  </si>
  <si>
    <t>CEM3908205:bad sensor</t>
  </si>
  <si>
    <t>2025-12-09T15:40:04.000Z</t>
  </si>
  <si>
    <t>replaced defective casset with new. rebooted to update firmware. tested. tested good. unit is fully operational</t>
  </si>
  <si>
    <t>New Item :7360-4010-9090 New Serial Number :57-60590110 Old Item :7360-4010-9090 Old Serial Number :57-60590087</t>
  </si>
  <si>
    <t>2025-12-09T15:40:06.000Z</t>
  </si>
  <si>
    <t>SCO 13 has a note recycler error recycler 2 device error code 5-9-0-5-20752  [Generated by Portal Login: besa14 Contact: Sabrina Bechtel 715-498-6611 ftfmsupport@rdspos.com]</t>
  </si>
  <si>
    <t>2025-12-06T16:45:05.000Z</t>
  </si>
  <si>
    <t>Correct cash count in PML, but 2nd cassette has intermittent error with RFHT2 sensor not moving or moving slow. SNFI shows this is a repeat issue. Ordering cassette 4970524325.</t>
  </si>
  <si>
    <t>2025-12-06T20:46:03.000Z</t>
  </si>
  <si>
    <t>SCO 13 has a note recycler error recycler 2 device error code 5-9-0-5-20752  [Generated by Portal Login: besa14 Contact: Sabrina Bechtel 715-498-6611 ftfmsupport@rdspos.com]-CE IS NOW US133E73-Correct cash count in PML, but 2nd cassette has intermittent error with RFHT2 sensor not moving or moving slow. SNFI shows this is a repeat issue. Ordering cassette 4970524325.-LOM order processing, Part has been Ordered , Remedy Id 000000014930539 - (Pick Up)IN, Indianapolisby Agent Auto CE pickup-Oracle Order Shipped for Remedy Id: U018817966, Order/Receipt # 181911054, Ordered Part 4970524325, Part Description - Fujitsu GSR50 Note Recycler -Dual Drum Recycling Stacker (Service Part), w/ Lid Hold-Down Screws, Shipment/Receipt #2112951361, Part has been Shipped, Qty 1, Priority NFO, Shipping Method CE Pickup After Hours, BOL/Job NA, Source Location UFF USFIND1G-CE IS NOW US133E72-CEM3908205:bad sensor-replaced defective casset with new. rebooted to update firmware. tested. tested good. unit is fully operational-New Item :7360-4010-9090 New Serial Number :57-60590110 Old Item :7360-4010-9090 Old Serial Number :57-60590087</t>
  </si>
  <si>
    <t>2026-02-24T21:32:20.000Z</t>
  </si>
  <si>
    <t>2026-02-22T12:20:00.000Z</t>
  </si>
  <si>
    <t>2026-02-22T17:20:00.000Z</t>
  </si>
  <si>
    <t>2026-02-24T16:18:00.000Z</t>
  </si>
  <si>
    <t>2026-02-24T21:18:00.000Z</t>
  </si>
  <si>
    <t>CHG-lane light</t>
  </si>
  <si>
    <t>DO185068</t>
  </si>
  <si>
    <t>2026-02-22T09:18:27.000Z</t>
  </si>
  <si>
    <t>2026-02-22T14:18:27.000Z</t>
  </si>
  <si>
    <t>lane light</t>
  </si>
  <si>
    <t>2026-02-24T16:20:36.000Z</t>
  </si>
  <si>
    <t>lane light flickering. replaced trilight assembly, moved labeled flag over. observed unit use with no issue.</t>
  </si>
  <si>
    <t>2026-02-24T16:20:38.000Z</t>
  </si>
  <si>
    <t>SCo 16 TriLight goes in and out  [Generated by Portal Login: repa14 Contact: Patrick Reeves 3092411908 ftfmsupport@rdspos.com]</t>
  </si>
  <si>
    <t>2026-02-22T09:18:28.000Z</t>
  </si>
  <si>
    <t>2026-02-22T09:18:39.000Z</t>
  </si>
  <si>
    <t>2026-02-22T11:12:09.000Z</t>
  </si>
  <si>
    <t>SCo 16 TriLight goes in and out  [Generated by Portal Login: repa14 Contact: Patrick Reeves 3092411908 ftfmsupport@rdspos.com]-CE IS NOW US133U34-CE WAS US133U34-CE IS NOW US133U13-The Status light (which is changing from Green to Red) is functioning properly but the Lane light (LED Light) is blinking, the Tri-light-lane light w/ camera needs to be replaced, PN: 4970525295.-chargable call-parts-LOM order processing, Part has been Ordered , Remedy Id 000000014985811 - (Next Day) by Agent Auto VIP P000-Oracle Order Shipped for Remedy Id: U018871215, Order/Receipt # 182089649, Ordered Part 4970525295, Part Description - KIT - R6 TRI-LIGHT W/IP CAMERA, Shipment/Receipt #2117254310, Part has been Shipped, Qty 1, Priority OVERNIGHT, Shipping Method UPS-Air-Next Day Air Saver, BOL/Job 1ZH92Y051302489161, Source Location PTC AVL-CE IS NOW US133U31-CEM4069676:white light dead-lane light-lane light flickering. replaced trilight assembly, moved labeled flag over. observed unit use with no issue.-New Item :7360-4010-9090 New Serial Number :57-60591364 Old Item :7360-4010-9090 Old Serial Number :57-60591378</t>
  </si>
  <si>
    <t>The Status light (which is changing from Green to Red) is functioning properly but the Lane light (LED Light) is blinking, the Tri-light-lane light w/ camera needs to be replaced, PN: 4970525295.</t>
  </si>
  <si>
    <t>2026-02-22T12:35:30.000Z</t>
  </si>
  <si>
    <t>2026-04-09T16:40:30.000Z</t>
  </si>
  <si>
    <t>57-60595300</t>
  </si>
  <si>
    <t>2026-04-09T11:56:00.000Z</t>
  </si>
  <si>
    <t>2026-04-09T15:56:00.000Z</t>
  </si>
  <si>
    <t>2026-04-09T12:23:00.000Z</t>
  </si>
  <si>
    <t>2026-04-09T16:23:00.000Z</t>
  </si>
  <si>
    <t>2026-04-08T17:13:52.000Z</t>
  </si>
  <si>
    <t>2026-04-08T21:13:52.000Z</t>
  </si>
  <si>
    <t>pm performed</t>
  </si>
  <si>
    <t>2026-04-09T12:23:30.000Z</t>
  </si>
  <si>
    <t>spoke with front end lead margaret. performed pm on sco 12.</t>
  </si>
  <si>
    <t>New Item :7360-4010-9090 New Serial Number :57-60595300 Old Item :7360-4010-9090 Old Serial Number :57-60595333</t>
  </si>
  <si>
    <t>2026-04-09T12:23:31.000Z</t>
  </si>
  <si>
    <t>Manager requesting sensors cleaned and SCO cleanout on SCO12  [Generated by Portal Login: most14 Contact: Staci Mowder 3096133038 ftfmsupport@rdspos.com]</t>
  </si>
  <si>
    <t>2026-04-09T07:21:34.000Z</t>
  </si>
  <si>
    <t>Manager requesting sensors cleaned and SCO cleanout on SCO12  [Generated by Portal Login: most14 Contact: Staci Mowder 3096133038 ftfmsupport@rdspos.com]-CE IS NOW US133C42-CE WAS US133C42-CE IS NOW US133U32-pm performed-spoke with front end lead margaret. performed pm on sco 12.-New Item :7360-4010-9090 New Serial Number :57-60595300 Old Item :7360-4010-9090 Old Serial Number :57-60595333</t>
  </si>
  <si>
    <t>2026-06-03T15:28:42.000Z</t>
  </si>
  <si>
    <t>2026-06-03T10:50:00.000Z</t>
  </si>
  <si>
    <t>2026-06-03T11:17:00.000Z</t>
  </si>
  <si>
    <t>2026-06-03T15:17:00.000Z</t>
  </si>
  <si>
    <t>2026-06-02T10:47:51.000Z</t>
  </si>
  <si>
    <t>2026-06-02T14:47:51.000Z</t>
  </si>
  <si>
    <t>2026-06-03T08:28:29.000Z</t>
  </si>
  <si>
    <t>I thoroughly clean the gsr50 went into PML thoroughly tested it multiple times could not get it to fail put back in service job complete</t>
  </si>
  <si>
    <t>2026-06-03T11:17:40.000Z</t>
  </si>
  <si>
    <t>New Item :7360-4010-9090 New Serial Number :57-60595292 Old Item :7360-4010-9090 Old Serial Number :57-60595333</t>
  </si>
  <si>
    <t>2026-06-03T11:17:42.000Z</t>
  </si>
  <si>
    <t>SCO15 when dispensing $1 bills it is shredding the bills and sending bills to notebox without recording it. Manager at the store is Mark  [Generated by Portal Login: most14 Contact: Staci Mowder 630-320-2349 ftfmsupport@rdspos.com]</t>
  </si>
  <si>
    <t>CE IS NOW US133C44</t>
  </si>
  <si>
    <t>2026-06-02T10:50:59.000Z</t>
  </si>
  <si>
    <t>CE WAS US133C44</t>
  </si>
  <si>
    <t>2026-06-02T14:00:34.000Z</t>
  </si>
  <si>
    <t>SCO15 when dispensing $1 bills it is shredding the bills and sending bills to notebox without recording it. Manager at the store is Mark  [Generated by Portal Login: most14 Contact: Staci Mowder 630-320-2349 ftfmsupport@rdspos.com]-CE IS NOW US133C44-CE WAS US133C44-CE IS NOW US133U32-CE IS NOW US133U32-CE WAS US133U32-CE IS NOW US133U38-I thoroughly clean the gsr50 went into PML thoroughly tested it multiple times could not get it to fail put back in service job complete-New Item :7360-4010-9090 New Serial Number :57-60595292 Old Item :7360-4010-9090 Old Serial Number :57-60595333</t>
  </si>
  <si>
    <t>2026-06-10T00:24:13.000Z</t>
  </si>
  <si>
    <t>2026-06-08T16:22:00.000Z</t>
  </si>
  <si>
    <t>2026-06-08T21:22:00.000Z</t>
  </si>
  <si>
    <t>2026-06-09T19:09:00.000Z</t>
  </si>
  <si>
    <t>2026-06-10T00:09:00.000Z</t>
  </si>
  <si>
    <t>2026-06-08T12:12:39.000Z</t>
  </si>
  <si>
    <t>2026-06-08T17:12:39.000Z</t>
  </si>
  <si>
    <t>CEM4154330:used</t>
  </si>
  <si>
    <t>2026-06-09T19:09:18.000Z</t>
  </si>
  <si>
    <t>I had 2 obf out of 3  part tri light and replace and tested and working good to go for now ordering another for 15 under different ticket good to go for now</t>
  </si>
  <si>
    <t>2026-06-09T19:09:20.000Z</t>
  </si>
  <si>
    <t>SCO light on SCO13 is blinking constantly  [Generated by Portal Login: most14 Contact: Staci Mowder 2694689716 FTFMSupport@rdspos.com]</t>
  </si>
  <si>
    <t>2026-06-08T12:16:42.000Z</t>
  </si>
  <si>
    <t>need 2 io cards backlight light not on and replacement of flag pole didnt turn on light</t>
  </si>
  <si>
    <t>2026-06-08T17:09:32.000Z</t>
  </si>
  <si>
    <t>SCO light on SCO13 is blinking constantly  [Generated by Portal Login: most14 Contact: Staci Mowder 2694689716 FTFMSupport@rdspos.com]-CE IS NOW US153C07-need 2 io cards backlight light not on and replacement of flag pole didnt turn on light-LOM order processing, Part has been Ordered , Remedy Id 000000015058728 - (Pick Up)IL, Elk Grove Villageby Agent Auto CE pickup-Oracle Order Shipped for Remedy Id: U018938893, Order/Receipt # 182334949, Ordered Part 4970532667, Part Description - Complete  IO Assembly (CAD0892++), Shipment/Receipt #2119207463, Part has been Shipped, Qty 1, Priority NFO, Shipping Method CE Pickup After Hours, BOL/Job NA, Source Location UFF USFORD1G-CEM4154328:used-CEM4154329:used-CEM4154330:used-I had 2 obf out of 3  part tri light and replace and tested and working good to go for now ordering another for 15 under different ticket good to go for now-New Item :7360-4010-9090 New Serial Number :57-60587853 Old Item :7360-4010-9090 Old Serial Number :57-60587853</t>
  </si>
  <si>
    <t>2025-10-14T22:28:27.000Z</t>
  </si>
  <si>
    <t>2025-10-14T17:09:00.000Z</t>
  </si>
  <si>
    <t>2025-10-14T21:09:00.000Z</t>
  </si>
  <si>
    <t>2025-10-14T18:15:00.000Z</t>
  </si>
  <si>
    <t>2025-10-14T22:15:00.000Z</t>
  </si>
  <si>
    <t>2025-10-12T18:15:52.000Z</t>
  </si>
  <si>
    <t>2025-10-12T22:15:52.000Z</t>
  </si>
  <si>
    <t>2025-10-12T22:15:57.000Z</t>
  </si>
  <si>
    <t>2025-10-12T18:15:57.000Z</t>
  </si>
  <si>
    <t>2025-10-14T17:08:43.000Z</t>
  </si>
  <si>
    <t>tri-light burned out. replaced light assembly and tested working</t>
  </si>
  <si>
    <t>2025-10-14T18:15:27.000Z</t>
  </si>
  <si>
    <t>2025-10-14T18:15:28.000Z</t>
  </si>
  <si>
    <t>SCO 13 tri light has gone dark and will no longer work  [Generated by Portal Login: besa14 Contact: Sabrina Bechtel 715-498-6611 ftfmsupport@rdspos.com]</t>
  </si>
  <si>
    <t>2025-10-12T18:15:58.000Z</t>
  </si>
  <si>
    <t>2025-10-12T18:19:49.000Z</t>
  </si>
  <si>
    <t>LOM order processing, Part has been Ordered , Remedy Id 000000014885862 - (Next Day) by Agent Auto VIP P000</t>
  </si>
  <si>
    <t>2025-10-12T19:35:58.000Z</t>
  </si>
  <si>
    <t>SCO 13 tri light has gone dark and will no longer work  [Generated by Portal Login: besa14 Contact: Sabrina Bechtel 715-498-6611 ftfmsupport@rdspos.com]-CE IS NOW US133B52-LOM order processing, Part has been Ordered , Remedy Id 000000014885862 - (Next Day) by Agent Auto VIP P000-Oracle Order Shipped for Remedy Id: U018773838, Order/Receipt # 181769998, Ordered Part 4970538446, Part Description - SERVICE PART-R6 TRILIGHT/LANELIGHT (FUSED), LAYOUT REDESIGN, Shipment/Receipt #2111237979, Part has been Shipped, Qty 1, Priority OVERNIGHT, Shipping Method UPS-Air-Next Day Air Saver, BOL/Job 1ZH92Y051301708738, Source Location PTC AVL-CE WAS US133B52-CE IS NOW US133B47-CE IS NOW US133B47-tri-light burned out. replaced light assembly and tested working-New Item :7360-4010-9090 New Serial Number :57-60595330 Old Item :7360-4010-9090 Old Serial Number :57-60595316</t>
  </si>
  <si>
    <t>2025-09-22T20:32:43.000Z</t>
  </si>
  <si>
    <t>2025-09-18T09:55:00.000Z</t>
  </si>
  <si>
    <t>2025-09-18T14:55:00.000Z</t>
  </si>
  <si>
    <t>2025-09-22T15:18:00.000Z</t>
  </si>
  <si>
    <t>2025-09-22T20:18:00.000Z</t>
  </si>
  <si>
    <t>2025-09-17T12:16:52.000Z</t>
  </si>
  <si>
    <t>2025-09-17T17:16:52.000Z</t>
  </si>
  <si>
    <t>2025-09-17T17:16:55.000Z</t>
  </si>
  <si>
    <t>2025-09-17T12:16:55.000Z</t>
  </si>
  <si>
    <t>MEIJER/FRESH THYME #701 arrived on site for self-checkout 11 coin chassis replacement. Upon arrival went over and replaced the coin chassis making sure to transfer all the parts from the old chassis to the new chassis. I then went over and emptied out the coinage from the coin recycler and then refilled the coin recycler after purging the cash list. After refilling the coin recycler with all the coinage successfully I then went over and did a dispense and acceptance test in which I just spent five of each denomination successfully and then accepted them back into the coin recycler without any issues. Self checkout 11 is now in good working order.</t>
  </si>
  <si>
    <t>Damage to coin chassis requiring it to be replaced</t>
  </si>
  <si>
    <t>2025-09-22T15:20:43.000Z</t>
  </si>
  <si>
    <t>SCO 11 has a coin recycler error transfer track motor error code 16-6-0-99-67076  [Generated by Portal Login: besa14 Contact: Sabrina Bechtel 715-498-6611 ftfmsupport@rdspos.com]</t>
  </si>
  <si>
    <t>2025-09-17T12:20:47.000Z</t>
  </si>
  <si>
    <t>CE WAS US153R03</t>
  </si>
  <si>
    <t>2025-09-18T07:24:33.000Z</t>
  </si>
  <si>
    <t>SCO 11 has a coin recycler error transfer track motor error code 16-6-0-99-67076  [Generated by Portal Login: besa14 Contact: Sabrina Bechtel 715-498-6611 ftfmsupport@rdspos.com]-CE IS NOW US153R03-CE WAS US153R03-CE IS NOW US153R02-Suspending task to order part number 4970523480 to UPS at 1314 S 1st St, Milwaukee, WI 53204. Chassis is broken and needs to be replaced.-LOM order processing, Part has been Ordered , Remedy Id 000000014866255 - (Next Day) by Agent Auto VIP P000-Oracle Order Shipped for Remedy Id: U018754505, Order/Receipt # 181705695, Ordered Part 4970523480, Part Description - CHASSIS MODULE ONLY - NO MOTOR SORTER ACTIVE CASHB, Shipment/Receipt #2110742626, Part has been Shipped, Qty 1, Priority OVERNIGHT, Shipping Method UPS-Air-Next Day Air Saver, BOL/Job 1ZH92Y051301580036, Source Location PTC AVL-CE IS NOW US153R02-CEM3891568:Broken link-MEIJER/FRESH THYME #701 arrived on site for self-checkout 11 coin chassis replacement. Upon arrival went over and replaced the coin chassis making sure to transfer all the parts from the old chassis to the new chassis. I then went over and emptied out the coinage from the coin recycler and then refilled the coin recycler after purging the cash list. After refilling the coin recycler with all the coinage successfully I then went over and did a dispense and acceptance test in which I just spent five of each denomination successfully and then accepted them back into the coin recycler without any issues. Self checkout 11 is now in good working order.-Damage to coin chassis requiring it to be replaced-New Item :7360-4010-9090 New Serial Number :57-60588467 Old Item :7360-4010-9090 Old Serial Number :57-60588467</t>
  </si>
  <si>
    <t>2026-05-06T18:20:03.000Z</t>
  </si>
  <si>
    <t>2026-05-06T11:41:00.000Z</t>
  </si>
  <si>
    <t>2026-05-06T16:41:00.000Z</t>
  </si>
  <si>
    <t>2026-05-06T13:03:00.000Z</t>
  </si>
  <si>
    <t>2026-05-06T18:03:00.000Z</t>
  </si>
  <si>
    <t>2026-05-06T08:31:56.000Z</t>
  </si>
  <si>
    <t>2026-05-06T13:31:56.000Z</t>
  </si>
  <si>
    <t>2026-05-06T13:04:31.000Z</t>
  </si>
  <si>
    <t>Difficulty opening outer door/lock on SCO16  [Generated by Portal Login: most14 Contact: Staci Mowder 3096133038 FTFMSupport@rdspos.com]</t>
  </si>
  <si>
    <t>2026-05-06T08:31:57.000Z</t>
  </si>
  <si>
    <t>2026-05-06T08:43:23.000Z</t>
  </si>
  <si>
    <t>Pmd both recyclers and checked for sensor warnings. tightened lock and door pegs.</t>
  </si>
  <si>
    <t>2026-05-06T13:04:28.000Z</t>
  </si>
  <si>
    <t>Difficulty opening outer door/lock on SCO16  [Generated by Portal Login: most14 Contact: Staci Mowder 3096133038 FTFMSupport@rdspos.com]-CE IS NOW US153C10-Pmd both recyclers and checked for sensor warnings. tightened lock and door pegs.-New Item :7360-4010-9090 New Serial Number :57-60587732 Old Item :7360-4010-9090 Old Serial Number :57-60587732</t>
  </si>
  <si>
    <t>2026-02-03T15:19:35.000Z</t>
  </si>
  <si>
    <t>2026-02-03T09:20:00.000Z</t>
  </si>
  <si>
    <t>2026-02-03T14:20:00.000Z</t>
  </si>
  <si>
    <t>2026-02-03T10:06:00.000Z</t>
  </si>
  <si>
    <t>2026-02-03T15:06:00.000Z</t>
  </si>
  <si>
    <t>CHG-Piece of paper coin wrappers at opto sensor.</t>
  </si>
  <si>
    <t>2026-02-01T19:22:13.000Z</t>
  </si>
  <si>
    <t>2026-02-02T00:22:13.000Z</t>
  </si>
  <si>
    <t>Piece of paper coin wrappers at opto sensor.</t>
  </si>
  <si>
    <t>2026-02-03T10:06:43.000Z</t>
  </si>
  <si>
    <t>On arrival, found that CR5000 coin recycler was showing a jam at the opto sensor. Used blower to remove paper coin wrappers from sensor and rebooted SCO to update CADD. Tested in PML successfully. Store staff able to pull totals and refill cash.</t>
  </si>
  <si>
    <t>New Item :7360-4010-9090 New Serial Number :57-60591329 Old Item :7360-4010-9090 Old Serial Number :57-60591388</t>
  </si>
  <si>
    <t>2026-02-03T10:06:44.000Z</t>
  </si>
  <si>
    <t>SCO 14 has a coin recycler error transfer change has overflowed error code 16-6-0-99-67330  [Generated by Portal Login: besa14 Contact: Sabrina Bechtel 715-498-6611 rdsilsupport@rdspos.com]</t>
  </si>
  <si>
    <t>2026-02-01T19:22:14.000Z</t>
  </si>
  <si>
    <t>2026-02-01T19:54:06.000Z</t>
  </si>
  <si>
    <t>CEM4090565:Def</t>
  </si>
  <si>
    <t>2026-02-02T15:42:07.000Z</t>
  </si>
  <si>
    <t>SCO 14 has a coin recycler error transfer change has overflowed error code 16-6-0-99-67330  [Generated by Portal Login: besa14 Contact: Sabrina Bechtel 715-498-6611 rdsilsupport@rdspos.com]-CE IS NOW US133E43-CEM4090565:Def-CE WAS US133E43-CE IS NOW US133E44-Piece of paper coin wrappers at opto sensor.-On arrival, found that CR5000 coin recycler was showing a jam at the opto sensor. Used blower to remove paper coin wrappers from sensor and rebooted SCO to update CADD. Tested in PML successfully. Store staff able to pull totals and refill cash.-New Item :7360-4010-9090 New Serial Number :57-60591329 Old Item :7360-4010-9090 Old Serial Number :57-60591388</t>
  </si>
  <si>
    <t>2025-09-02T19:32:27.000Z</t>
  </si>
  <si>
    <t>2025-08-05T17:12:00.000Z</t>
  </si>
  <si>
    <t>2025-08-05T22:12:00.000Z</t>
  </si>
  <si>
    <t>2025-09-02T14:13:00.000Z</t>
  </si>
  <si>
    <t>2025-09-02T19:13:00.000Z</t>
  </si>
  <si>
    <t>2025-08-05T14:00:16.000Z</t>
  </si>
  <si>
    <t>2025-08-05T19:00:16.000Z</t>
  </si>
  <si>
    <t>2025-08-05T19:00:19.000Z</t>
  </si>
  <si>
    <t>2025-08-05T14:00:19.000Z</t>
  </si>
  <si>
    <t>CEM3900765:LED light flickers win Lane is open</t>
  </si>
  <si>
    <t>2025-09-02T14:15:43.000Z</t>
  </si>
  <si>
    <t>The tri-light was not working very well on Lane 12. When it was open in Lane mode the light would flicker and did not look appropriate. Shut down the machine and remove the old defective piece. Install the new one and apply the lane stickers. Rebooted the lane and ran add. The tri-lite came up working as expected and everything is good. Verified by front-end lead Bob.</t>
  </si>
  <si>
    <t>2025-09-02T14:15:44.000Z</t>
  </si>
  <si>
    <t>2025-09-02T14:15:46.000Z</t>
  </si>
  <si>
    <t>SCO12 has a flashing self checkout sign.
  [Generated by Portal Login: most14 Contact: Staci Mowder 3096133038 ftfmsupport@rdspos.com]</t>
  </si>
  <si>
    <t>2025-08-05T14:01:41.000Z</t>
  </si>
  <si>
    <t>register 12 need the new try light. suspending ticket to order a new one.</t>
  </si>
  <si>
    <t>2025-08-05T20:32:34.000Z</t>
  </si>
  <si>
    <t>SCO12 has a flashing self checkout sign.
  [Generated by Portal Login: most14 Contact: Staci Mowder 3096133038 ftfmsupport@rdspos.com]-CE IS NOW US153R72-register 12 need the new try light. suspending ticket to order a new one.-LOM order processing, Part has been Ordered , Remedy Id 000000014829563 - (Next Day) by Agent Auto VIP P932-Oracle Order Shipped for Remedy Id: U018718043, Order/Receipt # 181597196, Ordered Part 4970530375, Part Description - Kit-Tri-light with IP Camera, Shipment/Receipt #2109939978, Part has been Shipped, Qty 1, Priority OVERNIGHT, Shipping Method UPS-Air-Next Day Air Saver, BOL/Job 1ZH92Y051301341259, Source Location PTC AVL-CEM3859017: The lane light doesnt light up lane indicator only lights up yellow-Lane indicator only lit up yellow. Lane light wouldn't light up at all.-The lane light is OBF ordering a new one. Suspending ticket.-LOM order processing, Part has been Ordered , Remedy Id 000000014831527 - (Next Day) by Agent Auto VIP P000-Oracle Order Shipped for Remedy Id: U018719937, Order/Receipt # 181601767, Ordered Part 4970510648, Part Description - Label Tri-Light 7360, Shipment/Receipt #2109968668, Part has been Shipped, Qty 1, Priority OVERNIGHT, Shipping Method UPS-Air-Next Day Air, BOL/Job 1ZH92Y054401355212, Source Location PTC AVL-part delivered was the wrong one and apparently used. suspending ticket to order another one hopefully they get it right this time.-LOM order processing, Part has been Ordered , Remedy Id 000000014835179 - (Next Day) by Agent Auto VIP P932-Oracle Order Shipped for Remedy Id: U018723499, Order/Receipt # 181613148, Ordered Part 4970510648, Part Description - Label Tri-Light 7360, Shipment/Receipt #2110316288, Part has been Shipped, Qty 1, Priority OVERNIGHT, Shipping Method UPS-Air-Next Day Air Saver, BOL/Job 1Z773Y8W0373235846, Source Location PDS DIR-LOM order processing, Part has been Ordered , Remedy Id FSC5310265 - (Same Day) by Agent mz185097-still waiting for another try light. the first two they sent were obf and were labeled with another stores sticker. I need something that works and hopefully is not used equipment or has the sticker from another store.-Oracle Order Shipped for Remedy Id: U018737426, Order/Receipt # 181656072, Ordered Part 4970530375, Part Description - Kit-Tri-light with IP Camera, Shipment/Receipt #2110330953, Part has been Shipped, Qty 1, Priority OVERNIGHT, Shipping Method UPS-Air-Next Day Air, BOL/Job 1ZH92Y054401480274, Source Location PTC AVL-CEM3900765:LED light flickers win Lane is open-The tri-light was not working very well on Lane 12. When it was open in Lane mode the light would flicker and did not look appropriate. Shut down the machine and remove the old defective piece. Install the new one and apply the lane stickers. Rebooted the lane and ran add. The tri-lite came up working as expected and everything is good. Verified by front-end lead Bob.-New Item :7360-4010-9090 New Serial Number :57-60588425 Old Item :7360-4010-9090 Old Serial Number :57-60588425</t>
  </si>
  <si>
    <t>2025-10-14T21:15:49.000Z</t>
  </si>
  <si>
    <t>2025-10-14T15:46:00.000Z</t>
  </si>
  <si>
    <t>2025-10-14T20:46:00.000Z</t>
  </si>
  <si>
    <t>2025-10-14T15:59:00.000Z</t>
  </si>
  <si>
    <t>2025-10-14T20:59:00.000Z</t>
  </si>
  <si>
    <t>2025-10-11T14:09:07.000Z</t>
  </si>
  <si>
    <t>2025-10-11T19:09:07.000Z</t>
  </si>
  <si>
    <t>The power button on the backup power supply is broken and forced on</t>
  </si>
  <si>
    <t>2025-10-14T16:01:21.000Z</t>
  </si>
  <si>
    <t>register 14 was in trouble with a backup power supply. shut down the register and remove the old power supply that had failed. installed the new power supply and connected the cables. booted up the register and everything included successfully. register 14 is ready for business. verified by Noellie</t>
  </si>
  <si>
    <t>2025-10-14T16:01:22.000Z</t>
  </si>
  <si>
    <t>SCO 14 battery back up is dead, will not power on and it is squealing  [Generated by Portal Login: besa14 Contact: Sabrina Bechtel 715-498-6611 ftfmsupport@rdspos.com]</t>
  </si>
  <si>
    <t>2025-10-11T14:20:56.000Z</t>
  </si>
  <si>
    <t>The register needs a new backup power supply. suspending ticket to order one</t>
  </si>
  <si>
    <t>2025-10-11T20:42:39.000Z</t>
  </si>
  <si>
    <t>SCO 14 battery back up is dead, will not power on and it is squealing  [Generated by Portal Login: besa14 Contact: Sabrina Bechtel 715-498-6611 ftfmsupport@rdspos.com]-CE IS NOW US153R72-The register needs a new backup power supply. suspending ticket to order one-LOM order processing, Part has been Ordered , Remedy Id 000000014885465 - (Next Day) by Agent Auto VIP P000-Oracle Order Shipped for Remedy Id: U018773346, Order/Receipt # 181769573, Ordered Part 4970534153, Part Description - UPS (N70-800) LV 100V/120V 800VA with USB communication Port and EMC Improvements, Shipment/Receipt #2111222292, Part has been Shipped, Qty 1, Priority OVERNIGHT, Shipping Method UPS-Air-Next Day Air Saver, BOL/Job 1ZH92Y051301706490, Source Location PTC AVL-The power button on the backup power supply is broken and forced on-register 14 was in trouble with a backup power supply. shut down the register and remove the old power supply that had failed. installed the new power supply and connected the cables. booted up the register and everything included successfully. register 14 is ready for business. verified by Noellie-New Item :7360-4010-9090 New Serial Number :57-60590108 Old Item :7360-4010-9090 Old Serial Number :57-60590108</t>
  </si>
  <si>
    <t>2026-03-16T15:31:02.000Z</t>
  </si>
  <si>
    <t>2026-03-16T11:03:00.000Z</t>
  </si>
  <si>
    <t>2026-03-16T15:03:00.000Z</t>
  </si>
  <si>
    <t>2026-03-16T11:16:00.000Z</t>
  </si>
  <si>
    <t>2026-03-16T15:16:00.000Z</t>
  </si>
  <si>
    <t>2026-03-16T09:26:10.000Z</t>
  </si>
  <si>
    <t>2026-03-16T13:26:10.000Z</t>
  </si>
  <si>
    <t>2026-03-16T13:26:12.000Z</t>
  </si>
  <si>
    <t>2026-03-16T09:26:12.000Z</t>
  </si>
  <si>
    <t>2026-03-16T11:17:57.000Z</t>
  </si>
  <si>
    <t>SCO12 spitting bills back out,has a Note recycler error-Note validator failure  [Generated by Portal Login: most14 Contact: Staci Mowder 3096133038 ftfmsupport@rdspos.com]</t>
  </si>
  <si>
    <t>2026-03-16T09:45:27.000Z</t>
  </si>
  <si>
    <t>No errors showing. removed small $5 fragment from top mod and cleared out a bunch of dust/ debris and tested good</t>
  </si>
  <si>
    <t>2026-03-16T11:17:54.000Z</t>
  </si>
  <si>
    <t>SCO12 spitting bills back out,has a Note recycler error-Note validator failure  [Generated by Portal Login: most14 Contact: Staci Mowder 3096133038 ftfmsupport@rdspos.com]-CE IS NOW US133C87-No errors showing. removed small $5 fragment from top mod and cleared out a bunch of dust/ debris and tested good-New Item :7360-4010-9090 New Serial Number :57-60587823 Old Item :7360-4010-9090 Old Serial Number :57-60587862</t>
  </si>
  <si>
    <t>2026-07-06T18:36:19.000Z</t>
  </si>
  <si>
    <t>2026-07-03T16:42:00.000Z</t>
  </si>
  <si>
    <t>2026-07-03T21:42:00.000Z</t>
  </si>
  <si>
    <t>2026-07-06T13:23:00.000Z</t>
  </si>
  <si>
    <t>2026-07-06T18:23:00.000Z</t>
  </si>
  <si>
    <t>2026-07-03T16:09:38.000Z</t>
  </si>
  <si>
    <t>2026-07-03T21:09:38.000Z</t>
  </si>
  <si>
    <t>CEM4303672:Defective</t>
  </si>
  <si>
    <t>2026-07-06T13:22:18.000Z</t>
  </si>
  <si>
    <t>New Item :7360-4010-9090 New Serial Number :57-60595328 Old Item :7360-4010-9090 Old Serial Number :57-60595335</t>
  </si>
  <si>
    <t>2026-07-06T13:24:09.000Z</t>
  </si>
  <si>
    <t>Battery backup faulty  [Generated by Portal Login: repa14 Contact: Patrick Reeves 3092411908 ftfmsupport@rdspos.com]</t>
  </si>
  <si>
    <t>2026-07-03T16:13:15.000Z</t>
  </si>
  <si>
    <t>CE arrived onsite and spoke with Riley who called in the issue. Multiple times over the last week she has come into work at 6am and the SCO would be off and the UPS beeping, requiring her to power off UPS and then power back on. Indicative of failing UPS. Ordering Replacement UPS.</t>
  </si>
  <si>
    <t>2026-07-03T16:43:49.000Z</t>
  </si>
  <si>
    <t>Battery backup faulty  [Generated by Portal Login: repa14 Contact: Patrick Reeves 3092411908 ftfmsupport@rdspos.com]-CE IS NOW US153R51-CE arrived onsite and spoke with Riley who called in the issue. Multiple times over the last week she has come into work at 6am and the SCO would be off and the UPS beeping, requiring her to power off UPS and then power back on. Indicative of failing UPS. Ordering Replacement UPS.-LOM order processing, Part has been Ordered , Remedy Id 000000015076014 - (Next Day) by Agent FSC Order-Oracle Order Shipped for Remedy Id: U018955069, Order/Receipt # 182393544, Ordered Part 4970534153, Part Description - UPS (N70-800) LV 100V/120V 800VA with USB communication Port and EMC Improvements, Shipment/Receipt #2119603690, Part has been Shipped, Qty 1, Priority OVERNIGHT, Shipping Method UPS-Air-Next Day Air, BOL/Job 1ZH92Y060100770782, Source Location UFF USFDTW1G-CE IS NOW US153R54-CEM4303672:Defective-Successfully swapped out defective UPS for new. Tested and confirmed functional. SCO brought back in to full operation. Confirmed with MoD. No further action taken. Closing call.-New Item :7360-4010-9090 New Serial Number :57-60595328 Old Item :7360-4010-9090 Old Serial Number :57-60595335</t>
  </si>
  <si>
    <t>2026-04-13T16:11:56.000Z</t>
  </si>
  <si>
    <t>2026-04-13T11:13:00.000Z</t>
  </si>
  <si>
    <t>2026-04-13T15:13:00.000Z</t>
  </si>
  <si>
    <t>2026-04-13T11:53:00.000Z</t>
  </si>
  <si>
    <t>2026-04-13T15:53:00.000Z</t>
  </si>
  <si>
    <t>2026-04-13T09:13:21.000Z</t>
  </si>
  <si>
    <t>2026-04-13T13:13:21.000Z</t>
  </si>
  <si>
    <t>Found the error in PML and cleaned entire validator; error still occured. Also saw the motor would not turn so I replaced the part, let FW download and reset the machine . Tested it with PML and a transaction.</t>
  </si>
  <si>
    <t>2026-04-13T11:54:27.000Z</t>
  </si>
  <si>
    <t>2026-04-13T11:54:30.000Z</t>
  </si>
  <si>
    <t>Validator motor error- singulator. Error code: 16-6-0-99-131843.  [Generated by Portal Login: coas14 Contact: Ashley Cooper 3092131564 ftfmsupport@rdspos.com]</t>
  </si>
  <si>
    <t>2026-04-13T09:17:42.000Z</t>
  </si>
  <si>
    <t>CEM4064661:Defective</t>
  </si>
  <si>
    <t>Validator motor error- singulator. Error code: 16-6-0-99-131843.  [Generated by Portal Login: coas14 Contact: Ashley Cooper 3092131564 ftfmsupport@rdspos.com]-CE IS NOW US133E80-CEM4064661:Defective-Found the error in PML and cleaned entire validator; error still occured. Also saw the motor would not turn so I replaced the part, let FW download and reset the machine . Tested it with PML and a transaction.-New Item :7360-4010-9090 New Serial Number :57-60588404 Old Item :7360-4010-9090 Old Serial Number :57-60588404</t>
  </si>
  <si>
    <t>2025-11-03T20:16:59.000Z</t>
  </si>
  <si>
    <t>2025-11-03T14:25:00.000Z</t>
  </si>
  <si>
    <t>2025-11-03T19:25:00.000Z</t>
  </si>
  <si>
    <t>2025-11-03T15:04:00.000Z</t>
  </si>
  <si>
    <t>2025-11-03T20:04:00.000Z</t>
  </si>
  <si>
    <t>2025-11-03T13:30:06.000Z</t>
  </si>
  <si>
    <t>2025-11-03T18:30:06.000Z</t>
  </si>
  <si>
    <t>jam in coin recycler validator at accept reject flap. found paper jammed in flap. removed debris and cleaned validator. tested with Marlo and rebooted.</t>
  </si>
  <si>
    <t>2025-11-03T15:04:22.000Z</t>
  </si>
  <si>
    <t>New Item :7360-4010-9090 New Serial Number :57-60595327 Old Item :7360-4010-9090 Old Serial Number :57-60595320</t>
  </si>
  <si>
    <t>2025-11-03T15:04:23.000Z</t>
  </si>
  <si>
    <t>SCO 17 has a coin recycler error accept/reject flap not working or jammed error code 5-10-0-4-132097  [Generated by Portal Login: besa14 Contact: Sabrina Bechtel 715-498-6611 ftfmsupport@rdspos.com]</t>
  </si>
  <si>
    <t>2025-11-03T13:32:48.000Z</t>
  </si>
  <si>
    <t>debris in validator</t>
  </si>
  <si>
    <t>SCO 17 has a coin recycler error accept/reject flap not working or jammed error code 5-10-0-4-132097  [Generated by Portal Login: besa14 Contact: Sabrina Bechtel 715-498-6611 ftfmsupport@rdspos.com]-CE IS NOW US133U31-debris in validator-jam in coin recycler validator at accept reject flap. found paper jammed in flap. removed debris and cleaned validator. tested with Marlo and rebooted.-New Item :7360-4010-9090 New Serial Number :57-60595327 Old Item :7360-4010-9090 Old Serial Number :57-60595320</t>
  </si>
  <si>
    <t>2025-09-28T21:12:17.000Z</t>
  </si>
  <si>
    <t>2025-09-28T16:44:00.000Z</t>
  </si>
  <si>
    <t>2025-09-28T20:44:00.000Z</t>
  </si>
  <si>
    <t>2025-09-28T16:54:00.000Z</t>
  </si>
  <si>
    <t>2025-09-28T20:54:00.000Z</t>
  </si>
  <si>
    <t>debris</t>
  </si>
  <si>
    <t>2025-09-27T08:48:45.000Z</t>
  </si>
  <si>
    <t>2025-09-27T12:48:45.000Z</t>
  </si>
  <si>
    <t>2025-09-27T12:48:46.000Z</t>
  </si>
  <si>
    <t>2025-09-27T08:48:46.000Z</t>
  </si>
  <si>
    <t>2025-09-28T05:38:42.000Z</t>
  </si>
  <si>
    <t>several notes jammed in transport. cleared and tested successfully. returned unit to service.</t>
  </si>
  <si>
    <t>2025-09-28T16:56:03.000Z</t>
  </si>
  <si>
    <t>2025-09-28T16:56:05.000Z</t>
  </si>
  <si>
    <t>Note Jam at RFINI1 sensor  [Generated by Portal Login: coas14 Contact: Ashley  309-2131-564 FTFMSupport@rdspos.com]</t>
  </si>
  <si>
    <t>2025-09-27T09:31:15.000Z</t>
  </si>
  <si>
    <t>2025-09-28T05:38:38.000Z</t>
  </si>
  <si>
    <t>Note Jam at RFINI1 sensor  [Generated by Portal Login: coas14 Contact: Ashley  309-2131-564 FTFMSupport@rdspos.com]-CE IS NOW US133E75-CE WAS US133E75-CE IS NOW US133E71-several notes jammed in transport. cleared and tested successfully. returned unit to service.-New Item :7360-4010-9090 New Serial Number :57-60588404 Old Item :7360-4010-9090 Old Serial Number :57-60588404</t>
  </si>
  <si>
    <t>2025-12-31T17:48:16.000Z</t>
  </si>
  <si>
    <t>2025-12-30T21:12:00.000Z</t>
  </si>
  <si>
    <t>2025-12-31T02:12:00.000Z</t>
  </si>
  <si>
    <t>2025-12-31T12:32:00.000Z</t>
  </si>
  <si>
    <t>2025-12-31T17:32:00.000Z</t>
  </si>
  <si>
    <t>2025-12-30T14:29:41.000Z</t>
  </si>
  <si>
    <t>2025-12-30T19:29:41.000Z</t>
  </si>
  <si>
    <t>2025-12-30T19:29:43.000Z</t>
  </si>
  <si>
    <t>2025-12-30T14:29:43.000Z</t>
  </si>
  <si>
    <t>Customer responsibility.</t>
  </si>
  <si>
    <t>2025-12-31T12:34:28.000Z</t>
  </si>
  <si>
    <t>Arrived on site. Issuestated that sco11 wasn't dispensing coins. Found the unit was out of pennies and the store is waiting on getting more pennies. Confirmed with Romeo.</t>
  </si>
  <si>
    <t>New Item :7360-4010-9090 New Serial Number :57-60588402 Old Item :7360-4010-9090 Old Serial Number :57-60590124</t>
  </si>
  <si>
    <t>2025-12-31T12:34:30.000Z</t>
  </si>
  <si>
    <t>SCO 11 will not dispense any coins.   [Generated by Portal Login: coas14 Contact: Ashley N Cooper 3092131564 ftfmsupport@rdspos.com]</t>
  </si>
  <si>
    <t>2025-12-30T14:33:11.000Z</t>
  </si>
  <si>
    <t>Arrived on site as the doors were being locked. Suspending for no site access.</t>
  </si>
  <si>
    <t>2025-12-30T21:13:48.000Z</t>
  </si>
  <si>
    <t>SCO 11 will not dispense any coins.   [Generated by Portal Login: coas14 Contact: Ashley N Cooper 3092131564 ftfmsupport@rdspos.com]-CE IS NOW US133E77-Arrived on site as the doors were being locked. Suspending for no site access.-Customer responsibility.-Arrived on site. Issuestated that sco11 wasn't dispensing coins. Found the unit was out of pennies and the store is waiting on getting more pennies. Confirmed with Romeo.-New Item :7360-4010-9090 New Serial Number :57-60588402 Old Item :7360-4010-9090 Old Serial Number :57-60590124</t>
  </si>
  <si>
    <t>2025-09-26T22:05:02.000Z</t>
  </si>
  <si>
    <t>2025-09-26T17:23:00.000Z</t>
  </si>
  <si>
    <t>2025-09-26T21:23:00.000Z</t>
  </si>
  <si>
    <t>2025-09-26T17:51:00.000Z</t>
  </si>
  <si>
    <t>2025-09-26T21:51:00.000Z</t>
  </si>
  <si>
    <t>customer missuse</t>
  </si>
  <si>
    <t>2025-09-23T10:17:41.000Z</t>
  </si>
  <si>
    <t>2025-09-23T14:17:41.000Z</t>
  </si>
  <si>
    <t>2025-09-24T08:50:56.000Z</t>
  </si>
  <si>
    <t>Screw sockets were ripped off of cabinet door with  coupon chute. re-attached securely with wood screws</t>
  </si>
  <si>
    <t>2025-09-26T17:53:03.000Z</t>
  </si>
  <si>
    <t>2025-09-26T17:53:06.000Z</t>
  </si>
  <si>
    <t>Inside of coupon acceptor fell off, the whole 4x4 metal plate, screws are missing as well.  [Generated by Portal Login: coas14 Contact: Ashley 309-213-1564 ftfmsupport@rdspos.com]</t>
  </si>
  <si>
    <t>2025-09-23T10:17:42.000Z</t>
  </si>
  <si>
    <t>2025-09-23T10:20:55.000Z</t>
  </si>
  <si>
    <t>2025-09-24T08:50:45.000Z</t>
  </si>
  <si>
    <t>Inside of coupon acceptor fell off, the whole 4x4 metal plate, screws are missing as well.  [Generated by Portal Login: coas14 Contact: Ashley 309-213-1564 ftfmsupport@rdspos.com]-CE IS NOW US133C81-CE WAS US133C81-CE IS NOW US133C87-Screw sockets were ripped off of cabinet door with  coupon chute. re-attached securely with wood screws-New Item :7360-4010-9090 New Serial Number :57-60587823 Old Item :7360-4010-9090 Old Serial Number :57-60587862</t>
  </si>
  <si>
    <t>2025-11-28T17:20:29.000Z</t>
  </si>
  <si>
    <t>2025-11-28T09:03:00.000Z</t>
  </si>
  <si>
    <t>2025-11-28T14:03:00.000Z</t>
  </si>
  <si>
    <t>2025-11-28T12:07:00.000Z</t>
  </si>
  <si>
    <t>2025-11-28T17:07:00.000Z</t>
  </si>
  <si>
    <t>CB185256</t>
  </si>
  <si>
    <t>2025-11-27T12:28:05.000Z</t>
  </si>
  <si>
    <t>2025-11-27T17:28:05.000Z</t>
  </si>
  <si>
    <t>2025-11-27T17:28:06.000Z</t>
  </si>
  <si>
    <t>2025-11-27T12:28:06.000Z</t>
  </si>
  <si>
    <t>CEM3888150:Physically broken screw hole and over voltage</t>
  </si>
  <si>
    <t>2025-11-28T12:08:52.000Z</t>
  </si>
  <si>
    <t>Replaced Coin Validator. Tested coin recycler, Verified working with Supervisor Josh.</t>
  </si>
  <si>
    <t>New Item :7360-4010-9090 New Serial Number :57-60591399 Old Item :7360-4010-9090 Old Serial Number :57-60591386</t>
  </si>
  <si>
    <t>2025-11-28T12:08:54.000Z</t>
  </si>
  <si>
    <t>Validator Motor Error - Singulator  [Generated by Portal Login: repa14 Contact: Patrick Reeves 3092411908 ftfmsupport@rdspos.com]</t>
  </si>
  <si>
    <t>2025-11-27T12:54:46.000Z</t>
  </si>
  <si>
    <t>2025-11-28T07:33:26.000Z</t>
  </si>
  <si>
    <t>Validator Motor Error - Singulator  [Generated by Portal Login: repa14 Contact: Patrick Reeves 3092411908 ftfmsupport@rdspos.com]-CE IS NOW US133A15-CE WAS US133A15-CE IS NOW US133A12-Validator has a broken screw hole and is not spinning. Ordered new Validator for pickup. Heading to Cranberry to pick up park.-LOM order processing, Part has been Ordered , Remedy Id 000000014923838 - (Pick Up)PA, Cranberry Townshipby Agent Auto CE pickup-Oracle Order Shipped for Remedy Id: U018811402, Order/Receipt # 181892906, Ordered Part 4970526620, Part Description - Crane Xchange Validator Type A (Service Part), Shipment/Receipt #2112395903, Part has been Shipped, Qty 1, Priority NFO, Shipping Method CE Pickup After Hours, BOL/Job NA, Source Location UFF USFPIT2G-CEM3888150:Physically broken screw hole and over voltage-Replaced Coin Validator. Tested coin recycler, Verified working with Supervisor Josh.-New Item :7360-4010-9090 New Serial Number :57-60591399 Old Item :7360-4010-9090 Old Serial Number :57-60591386</t>
  </si>
  <si>
    <t>2026-05-02T20:31:53.000Z</t>
  </si>
  <si>
    <t>2026-05-02T15:55:00.000Z</t>
  </si>
  <si>
    <t>2026-05-02T19:55:00.000Z</t>
  </si>
  <si>
    <t>2026-05-02T16:17:00.000Z</t>
  </si>
  <si>
    <t>2026-05-02T20:17:00.000Z</t>
  </si>
  <si>
    <t>GT185096</t>
  </si>
  <si>
    <t>2026-04-28T20:03:47.000Z</t>
  </si>
  <si>
    <t>2026-04-29T00:03:47.000Z</t>
  </si>
  <si>
    <t>clear the small amount of dust and debris from the transfer chamber no longer getting an error</t>
  </si>
  <si>
    <t>2026-05-02T16:18:22.000Z</t>
  </si>
  <si>
    <t>verifying coins accepting and dispensing via customer transactions</t>
  </si>
  <si>
    <t>2026-05-02T16:18:25.000Z</t>
  </si>
  <si>
    <t>SCO12 has a Coin recycler error-Transfer chamber has overflowed  [Generated by Portal Login: most14 Contact: Staci Mowder 3096133038 ftfmsupport@rdspos.com]</t>
  </si>
  <si>
    <t>CE IS NOW US133C29</t>
  </si>
  <si>
    <t>2026-04-28T20:13:51.000Z</t>
  </si>
  <si>
    <t>Escalation Request: Penalty Acct. Breaching SLA. Need to complete to assign tech and resolve asap. [Added by: Vannie Kristoffer Tabares Portal Login: ncr.com Phone Number: 6788085046 Email Address: vanniekristoffer.tabares@ncrvoyix.com Contact By: GIM]</t>
  </si>
  <si>
    <t>2026-04-30T09:56:56.000Z</t>
  </si>
  <si>
    <t>SCO12 has a Coin recycler error-Transfer chamber has overflowed  [Generated by Portal Login: most14 Contact: Staci Mowder 3096133038 ftfmsupport@rdspos.com]-CE IS NOW US133C29-Escalation Request: Penalty Acct. Breaching SLA. Need to complete to assign tech and resolve asap. [Added by: Vannie Kristoffer Tabares Portal Login: ncr.com Phone Number: 6788085046 Email Address: vanniekristoffer.tabares@ncrvoyix.com Contact By: GIM]-Escalation Update: Due to low resources in the area, we cannot run this call at the requested time, ETA has been set for 4/30/2026 20:00, we apologize for the delay.-CE WAS US133C29-CE IS NOW US133C17-CE WAS US133C17-CE IS NOW US133C23-clear the small amount of dust and debris from the transfer chamber no longer getting an error-verifying coins accepting and dispensing via customer transactions-New Item :7360-4010-9090 New Serial Number :57-60588439 Old Item :7360-4010-9090 Old Serial Number :57-60588439</t>
  </si>
  <si>
    <t>2025-09-21T23:21:26.000Z</t>
  </si>
  <si>
    <t>2025-09-21T17:29:00.000Z</t>
  </si>
  <si>
    <t>2025-09-21T22:29:00.000Z</t>
  </si>
  <si>
    <t>2025-09-21T18:08:00.000Z</t>
  </si>
  <si>
    <t>2025-09-21T23:08:00.000Z</t>
  </si>
  <si>
    <t>2025-09-21T13:15:14.000Z</t>
  </si>
  <si>
    <t>2025-09-21T18:15:14.000Z</t>
  </si>
  <si>
    <t>tested both bill recycler and coin recycler in pml. only notable issue was the active coinbox as unseated. seated and tested without further issue or incident self checkout lane number 13 mod dee</t>
  </si>
  <si>
    <t>2025-09-21T18:08:34.000Z</t>
  </si>
  <si>
    <t>2025-09-21T18:08:35.000Z</t>
  </si>
  <si>
    <t>SCO13 has a note recycler error-Hardware failure.  [Generated by Portal Login: most14 Contact: Staci Mowder 3096133038 ftfmsupport@rdspos.com]</t>
  </si>
  <si>
    <t>2025-09-21T13:15:15.000Z</t>
  </si>
  <si>
    <t>2025-09-21T13:22:43.000Z</t>
  </si>
  <si>
    <t>SCO13 has a note recycler error-Hardware failure.  [Generated by Portal Login: most14 Contact: Staci Mowder 3096133038 ftfmsupport@rdspos.com]-CE IS NOW US153N63-no fault found-tested both bill recycler and coin recycler in pml. only notable issue was the active coinbox as unseated. seated and tested without further issue or incident self checkout lane number 13 mod dee-New Item :7360-4010-9090 New Serial Number :57-60595319 Old Item :7360-4010-9090 Old Serial Number :57-60595306</t>
  </si>
  <si>
    <t>2025-10-23T19:26:21.000Z</t>
  </si>
  <si>
    <t>2025-10-23T13:53:00.000Z</t>
  </si>
  <si>
    <t>2025-10-23T17:53:00.000Z</t>
  </si>
  <si>
    <t>2025-10-23T15:12:00.000Z</t>
  </si>
  <si>
    <t>2025-10-23T19:12:00.000Z</t>
  </si>
  <si>
    <t>2025-10-23T09:30:43.000Z</t>
  </si>
  <si>
    <t>2025-10-23T13:30:43.000Z</t>
  </si>
  <si>
    <t>2025-10-23T15:13:56.000Z</t>
  </si>
  <si>
    <t>2025-10-23T09:31:05.000Z</t>
  </si>
  <si>
    <t>upon arrival the coin sorter was out of position. repositioned properly and then tested unit with no further problems</t>
  </si>
  <si>
    <t>2025-10-23T15:13:54.000Z</t>
  </si>
  <si>
    <t>SCO 13 has a coin recycler error sorter module not seated error code 16-6-0-99-524801  [Generated by Portal Login: besa14 Contact: Sabrina Bechtel 715-498-6611 ftfmsupport@rdspos.com]-CE IS NOW US133C52-upon arrival the coin sorter was out of position. repositioned properly and then tested unit with no further problems-New Item :7360-4010-9090 New Serial Number :57-60595308 Old Item :7360-4010-9090 Old Serial Number :57-60595308</t>
  </si>
  <si>
    <t>2026-07-26T18:38:58.000Z</t>
  </si>
  <si>
    <t>2026-07-26T14:23:00.000Z</t>
  </si>
  <si>
    <t>2026-07-26T18:23:00.000Z</t>
  </si>
  <si>
    <t>2026-07-26T14:24:00.000Z</t>
  </si>
  <si>
    <t>2026-07-26T18:24:00.000Z</t>
  </si>
  <si>
    <t>2026-07-25T19:36:02.000Z</t>
  </si>
  <si>
    <t>2026-07-25T23:36:02.000Z</t>
  </si>
  <si>
    <t>2026-07-25T23:36:06.000Z</t>
  </si>
  <si>
    <t>2026-07-25T19:36:06.000Z</t>
  </si>
  <si>
    <t>found the ups was working with no issues so call will be closed</t>
  </si>
  <si>
    <t>2026-07-26T14:24:53.000Z</t>
  </si>
  <si>
    <t>2026-07-26T14:24:54.000Z</t>
  </si>
  <si>
    <t>Battery backup needs to be replaced on SCO 12. It is beeping continuously  [Generated by Portal Login: coas14 Contact: Ashley Cooper 3092131564 FTFMSupport@rdspos.com]</t>
  </si>
  <si>
    <t>2026-07-25T19:38:13.000Z</t>
  </si>
  <si>
    <t>LOM order processing, Part has been Ordered , Remedy Id FSC5654898 - (Same Day) by Agent nm185335</t>
  </si>
  <si>
    <t>2026-07-25T20:08:37.000Z</t>
  </si>
  <si>
    <t>Battery backup needs to be replaced on SCO 12. It is beeping continuously  [Generated by Portal Login: coas14 Contact: Ashley Cooper 3092131564 FTFMSupport@rdspos.com]-CE IS NOW US133C55-LOM order processing, Part has been Ordered , Remedy Id FSC5654898 - (Same Day) by Agent nm185335-found the ups was working with no issues so call will be closed-New Item :7360-4010-9090 New Serial Number :57-60595308 Old Item :7360-4010-9090 Old Serial Number :57-60595308</t>
  </si>
  <si>
    <t>2026-01-14T17:55:32.000Z</t>
  </si>
  <si>
    <t>57-60588441</t>
  </si>
  <si>
    <t>2026-01-08T17:19:00.000Z</t>
  </si>
  <si>
    <t>2026-01-08T22:19:00.000Z</t>
  </si>
  <si>
    <t>2026-01-14T12:42:00.000Z</t>
  </si>
  <si>
    <t>2026-01-14T17:42:00.000Z</t>
  </si>
  <si>
    <t>2026-01-08T14:27:36.000Z</t>
  </si>
  <si>
    <t>2026-01-08T19:27:36.000Z</t>
  </si>
  <si>
    <t>CEM4037561:No light</t>
  </si>
  <si>
    <t>2026-01-14T12:42:49.000Z</t>
  </si>
  <si>
    <t>Follow upon previous to replace trilight, confirm it is working and have the sticker on it.</t>
  </si>
  <si>
    <t>New Item :7360-4010-9090 New Serial Number :57-60588441 Old Item :7360-4010-9090 Old Serial Number :57-60588404</t>
  </si>
  <si>
    <t>2026-01-14T12:42:51.000Z</t>
  </si>
  <si>
    <t>Tri-light will not light up at all, the light with the SCO sticker on it is light flashing like a strobe light  [Generated by Portal Login: coas14 Contact: Ashley N Cooper 3092131564 ftfmsupport@rdspos.com]</t>
  </si>
  <si>
    <t>2026-01-08T14:27:37.000Z</t>
  </si>
  <si>
    <t>2026-01-08T14:36:53.000Z</t>
  </si>
  <si>
    <t>2026-01-08T16:22:41.000Z</t>
  </si>
  <si>
    <t>Tri-light will not light up at all, the light with the SCO sticker on it is light flashing like a strobe light  [Generated by Portal Login: coas14 Contact: Ashley N Cooper 3092131564 ftfmsupport@rdspos.com]-CE IS NOW US133E80-CE WAS US133E80-CE IS NOW US133E79-CE IS NOW US133E79-Arrive on site find trilight is flickering and test with new cable with same issue remain. Order replacement-LOM order processing, Part has been Ordered , Remedy Id 000000014953796 - (Pick Up)IN, Indianapolisby Agent Auto CE pickup-LOM order processing, Part has been Ordered , Remedy Id 000000014953818 - (Pick Up)INDIANAPOLIS by Agent Auto CE pickup-Oracle Order Shipped for Remedy Id: U018840924, Order/Receipt # 181984236, Ordered Part 4970525295, Part Description - KIT - R6 TRI-LIGHT W/IP CAMERA, Shipment/Receipt #2115215974, Part has been Shipped, Qty 1, Priority NFO, Shipping Method CE Pickup After Hours, BOL/Job NA, Source Location UFF USFIND1G-CE IS NOW US133E79-CEM4094576:Not functional-Trilight not lighting up-The new trilight not lighting up after install, old trilight works but flickering. New trilight is OBF order new light and graphic-LOM order processing, Part has been Ordered , Remedy Id 000000014953933 - (Next Day) by Agent Auto VIP P000-LOM order processing, Part has been Ordered , Remedy Id 000000014953934 - (Pick Up)IN, Indianapolisby Agent Auto CE pickup-Oracle Order Shipped for Remedy Id: U018841070, Order/Receipt # 181984404, Ordered Part 4970511101, Part Description - 2 LH/RH Lane Light Graphics Label  NCR Fastlane, Shipment/Receipt #2115226312, Part has been Shipped, Qty 1, Priority NFO, Shipping Method CE Pickup After Hours, BOL/Job NA, Source Location UFF USFIND1G-Oracle Order Shipped for Remedy Id: U018841112, Order/Receipt # 181984465, Ordered Part 4970525295, Part Description - KIT - R6 TRI-LIGHT W/IP CAMERA, Shipment/Receipt #2115279588, Part has been Shipped, Qty 1, Priority OVERNIGHT, Shipping Method UPS-Air-Next Day Air Saver, BOL/Job 1ZH92Y051302219327, Source Location PTC AVL-New trilight is order to site and arrive on Monday. Tracking 1ZH92Y051302219327-CEM4037561:No light-Follow upon previous to replace trilight, confirm it is working and have the sticker on it.-New Item :7360-4010-9090 New Serial Number :57-60588441 Old Item :7360-4010-9090 Old Serial Number :57-60588404</t>
  </si>
  <si>
    <t>2026-03-03T21:46:23.000Z</t>
  </si>
  <si>
    <t>57-60587813</t>
  </si>
  <si>
    <t>2026-03-03T16:02:00.000Z</t>
  </si>
  <si>
    <t>2026-03-03T21:02:00.000Z</t>
  </si>
  <si>
    <t>2026-03-03T16:33:00.000Z</t>
  </si>
  <si>
    <t>2026-03-03T21:33:00.000Z</t>
  </si>
  <si>
    <t>CHG- locking bar and motor weren't properly seated on the CR5000</t>
  </si>
  <si>
    <t>2026-03-02T13:26:16.000Z</t>
  </si>
  <si>
    <t>2026-03-02T18:26:16.000Z</t>
  </si>
  <si>
    <t>On arrival sco was powered down. While booting I found that the locking bar and motor weren't properly seated on the CR5000. I seated both parts and then once in PML successfully tested by dispensing and accepting.</t>
  </si>
  <si>
    <t>2026-03-03T16:34:42.000Z</t>
  </si>
  <si>
    <t>New Item :7360-4010-9090 New Serial Number :57-60587813 Old Item :7360-4010-9090 Old Serial Number :57-60587805</t>
  </si>
  <si>
    <t>2026-03-03T16:34:43.000Z</t>
  </si>
  <si>
    <t>SCO16 has a Sorter module not seated error  [Generated by Portal Login: most14 Contact: Staci Mowder 3096133038 ftfmsupport@rdspos.com]</t>
  </si>
  <si>
    <t>2026-03-02T13:29:38.000Z</t>
  </si>
  <si>
    <t>2026-03-03T14:43:36.000Z</t>
  </si>
  <si>
    <t>SCO16 has a Sorter module not seated error  [Generated by Portal Login: most14 Contact: Staci Mowder 3096133038 ftfmsupport@rdspos.com]-CE IS NOW US133E73-CE WAS US133E73-CE IS NOW US133E74-CE IS NOW US133E74-On arrival sco was powered down. While booting I found that the locking bar and motor weren't properly seated on the CR5000. I seated both parts and then once in PML successfully tested by dispensing and accepting.-On arrival sco was powered down. While booting I found that the locking bar and motor weren't properly seated on the CR5000. I seated both parts and then once in PML successfully tested by dispensing and accepting.-New Item :7360-4010-9090 New Serial Number :57-60587813 Old Item :7360-4010-9090 Old Serial Number :57-60587805</t>
  </si>
  <si>
    <t>2026-04-09T18:27:03.000Z</t>
  </si>
  <si>
    <t>2026-04-09T14:00:00.000Z</t>
  </si>
  <si>
    <t>2026-04-09T18:00:00.000Z</t>
  </si>
  <si>
    <t>2026-04-09T14:13:00.000Z</t>
  </si>
  <si>
    <t>2026-04-09T18:13:00.000Z</t>
  </si>
  <si>
    <t>2026-04-08T17:21:40.000Z</t>
  </si>
  <si>
    <t>2026-04-08T21:21:40.000Z</t>
  </si>
  <si>
    <t>was working properly; but store requested and i performed pm</t>
  </si>
  <si>
    <t>2026-04-09T14:15:09.000Z</t>
  </si>
  <si>
    <t>spoke with front end lead margaret. performed pm on sco 15.</t>
  </si>
  <si>
    <t>2026-04-09T14:15:10.000Z</t>
  </si>
  <si>
    <t>Manager requesting sensors cleaned and SCO cleanout on SCO15
  [Generated by Portal Login: most14 Contact: Staci Mowder 3096133038 ftfmsupport@rdspos.com]</t>
  </si>
  <si>
    <t>2026-04-08T17:25:10.000Z</t>
  </si>
  <si>
    <t>2026-04-09T07:21:40.000Z</t>
  </si>
  <si>
    <t>Manager requesting sensors cleaned and SCO cleanout on SCO15
  [Generated by Portal Login: most14 Contact: Staci Mowder 3096133038 ftfmsupport@rdspos.com]-CE IS NOW US133C42-CE WAS US133C42-CE IS NOW US133U32-CE IS NOW US133U32-was working properly; but store requested and i performed pm-spoke with front end lead margaret. performed pm on sco 15.-New Item :7360-4010-9090 New Serial Number :57-60595292 Old Item :7360-4010-9090 Old Serial Number :57-60595333</t>
  </si>
  <si>
    <t>2025-12-11T18:11:00.000Z</t>
  </si>
  <si>
    <t>57-60590115</t>
  </si>
  <si>
    <t>2025-12-11T10:34:00.000Z</t>
  </si>
  <si>
    <t>2025-12-11T16:34:00.000Z</t>
  </si>
  <si>
    <t>2025-12-11T11:58:00.000Z</t>
  </si>
  <si>
    <t>2025-12-11T17:58:00.000Z</t>
  </si>
  <si>
    <t>2025-12-09T20:09:34.000Z</t>
  </si>
  <si>
    <t>2025-12-10T02:09:34.000Z</t>
  </si>
  <si>
    <t>2025-12-10T02:09:36.000Z</t>
  </si>
  <si>
    <t>2025-12-09T20:09:36.000Z</t>
  </si>
  <si>
    <t>coin counts incorrect</t>
  </si>
  <si>
    <t>2025-12-11T11:58:59.000Z</t>
  </si>
  <si>
    <t>scanned barcode, examined issues, purged coins, reseated belt in quarter hopper, reloaded coins, test good</t>
  </si>
  <si>
    <t>New Item :7360-4010-9090 New Serial Number :57-60590115 Old Item :7360-4010-9090 Old Serial Number :57-60591365</t>
  </si>
  <si>
    <t>2025-12-11T11:59:00.000Z</t>
  </si>
  <si>
    <t>SCO17 not dispensing quarters. Quarters are greyed out in cash management   [Generated by Portal Login: most14 Contact: Staci Mowder 3096133038 ftfmsupport@rdspos.com]</t>
  </si>
  <si>
    <t>2025-12-09T20:11:09.000Z</t>
  </si>
  <si>
    <t>CE WAS US153R81</t>
  </si>
  <si>
    <t>2025-12-10T06:15:32.000Z</t>
  </si>
  <si>
    <t>SCO17 not dispensing quarters. Quarters are greyed out in cash management   [Generated by Portal Login: most14 Contact: Staci Mowder 3096133038 ftfmsupport@rdspos.com]-CE IS NOW US153R81-CE WAS US153R81-CE IS NOW US153R80-CE WAS US153R80-CE IS NOW US153R81-coin counts incorrect-scanned barcode, examined issues, purged coins, reseated belt in quarter hopper, reloaded coins, test good-New Item :7360-4010-9090 New Serial Number :57-60590115 Old Item :7360-4010-9090 Old Serial Number :57-60591365</t>
  </si>
  <si>
    <t>2026-07-14T21:27:32.000Z</t>
  </si>
  <si>
    <t>2026-07-14T15:46:00.000Z</t>
  </si>
  <si>
    <t>2026-07-14T20:46:00.000Z</t>
  </si>
  <si>
    <t>2026-07-14T16:11:00.000Z</t>
  </si>
  <si>
    <t>2026-07-14T21:11:00.000Z</t>
  </si>
  <si>
    <t>2026-07-09T08:04:57.000Z</t>
  </si>
  <si>
    <t>2026-07-09T13:04:57.000Z</t>
  </si>
  <si>
    <t>2026-07-09T13:04:58.000Z</t>
  </si>
  <si>
    <t>2026-07-09T08:04:58.000Z</t>
  </si>
  <si>
    <t>CEM4303948:dead unit,  no power</t>
  </si>
  <si>
    <t>2026-07-14T16:15:34.000Z</t>
  </si>
  <si>
    <t>register 12 needed a new power supply. the only one was completely shot and not working. shut down the equipment and remove the old backup power supply. install the new one and connected the cables. push the power button and everything started coming to life. or just your booted up successfully and it's ready for action. verified by front end manager Rihanna and Kyle.</t>
  </si>
  <si>
    <t>2026-07-14T16:15:35.000Z</t>
  </si>
  <si>
    <t>2026-07-14T16:15:37.000Z</t>
  </si>
  <si>
    <t>SCO12 not powering on. May need battery backup replaced  [Generated by Portal Login: most14 Contact: Staci Mowder 2694689716 FTFMSupport@rdspos.com]</t>
  </si>
  <si>
    <t>2026-07-09T08:20:49.000Z</t>
  </si>
  <si>
    <t>CE WAS US153R25</t>
  </si>
  <si>
    <t>2026-07-10T07:00:07.000Z</t>
  </si>
  <si>
    <t>SCO12 not powering on. May need battery backup replaced  [Generated by Portal Login: most14 Contact: Staci Mowder 2694689716 FTFMSupport@rdspos.com]-CE IS NOW US153R25-CE WAS US153R25-CE IS NOW US153R20-CE IS NOW US153R20-â—â—â—Ordering ups. 4970506744-LOM order processing, Part has been Ordered , Remedy Id 000000015080577 - (Next Day) by Agent Auto VIP P000-Oracle Order Shipped for Remedy Id: U018959364, Order/Receipt # 182408551, Ordered Part 4970506744, Part Description - R6.0 UPS 110V 800VA with USB communication port &amp;, Shipment/Receipt #2119704435, Substitute Part was Shipped, Part has been Shipped, Qty 1, Priority OVERNIGHT, Shipping Method UPS-Air-Next Day Air, BOL/Job 1ZH92Y054403140084, Source Location PTC AVL-CE WAS US153R20-CE IS NOW US153R25-CE IS NOW US153R25-CEM4303948:dead unit, no power-CEM4303948:dead unit,  no power-register 12 needed a new power supply. the only one was completely shot and not working. shut down the equipment and remove the old backup power supply. install the new one and connected the cables. push the power button and everything started coming to life. or just your booted up successfully and it's ready for action. verified by front end manager Rihanna and Kyle.-New Item :7360-4010-9090 New Serial Number :57-60587867 Old Item :7360-4010-9090 Old Serial Number :57-60590095</t>
  </si>
  <si>
    <t>2025-10-05T00:30:53.000Z</t>
  </si>
  <si>
    <t>2025-10-03T11:52:00.000Z</t>
  </si>
  <si>
    <t>2025-10-03T16:52:00.000Z</t>
  </si>
  <si>
    <t>2025-10-04T19:09:00.000Z</t>
  </si>
  <si>
    <t>2025-10-05T00:09:00.000Z</t>
  </si>
  <si>
    <t>damaged</t>
  </si>
  <si>
    <t>2025-10-01T08:33:03.000Z</t>
  </si>
  <si>
    <t>2025-10-01T13:33:03.000Z</t>
  </si>
  <si>
    <t>2025-10-01T13:33:04.000Z</t>
  </si>
  <si>
    <t>2025-10-01T08:33:04.000Z</t>
  </si>
  <si>
    <t>â—â—â—I replaced the door and calibrated the door sensor. Mgr Christopher</t>
  </si>
  <si>
    <t>2025-10-04T19:17:01.000Z</t>
  </si>
  <si>
    <t>2025-10-04T19:17:03.000Z</t>
  </si>
  <si>
    <t>2025-10-04T19:17:04.000Z</t>
  </si>
  <si>
    <t>Outer door on SCO is coming off the hinges  [Generated by Portal Login: coas14 Contact: Ashley 309-213-1564 ftfmsupport@rdspos.com]</t>
  </si>
  <si>
    <t>2025-10-01T09:00:11.000Z</t>
  </si>
  <si>
    <t>2025-10-03T10:03:46.000Z</t>
  </si>
  <si>
    <t>Outer door on SCO is coming off the hinges  [Generated by Portal Login: coas14 Contact: Ashley 309-213-1564 ftfmsupport@rdspos.com]-CE IS NOW US153R72-CE WAS US153R72-CE IS NOW US153R84-Door is physically damaged screw holes are ripped out. ordering new door 4970525485.-LOM order processing, Part has been Ordered , Remedy Id FSC5352559 - (Next Day) by Agent ab251241-Oracle Order Shipped for Remedy Id: U018766624, Order/Receipt # 181748818, Ordered Part 4970525485, Part Description - SERVICE ASSY-COSMETIC DOOR KIT 7360, Shipment/Receipt #2111046268, Part has been Shipped, Qty 1, Priority OVERNIGHT, Shipping Method UPS-Air-Next Day Air, BOL/Job 1ZH92Y054401662774, Source Location PTC AVL-CE IS NOW US153R77-???Part received. Mandatory break.  I will install part after break eta 515pm.-CE IS NOW US153R77-???I replaced the door and calibrated the door sensor. Mgr Christopher-???I replaced the door and calibrated the door sensor. Mgr Christopher-New Item :7360-4010-9090 New Serial Number :57-60591398 Old Item :7360-4010-9090 Old Serial Number :57-60591398</t>
  </si>
  <si>
    <t>2025-09-15T01:55:10.000Z</t>
  </si>
  <si>
    <t>57-60595303</t>
  </si>
  <si>
    <t>2025-09-14T15:52:00.000Z</t>
  </si>
  <si>
    <t>2025-09-14T20:52:00.000Z</t>
  </si>
  <si>
    <t>2025-09-14T20:41:00.000Z</t>
  </si>
  <si>
    <t>2025-09-15T01:41:00.000Z</t>
  </si>
  <si>
    <t>2025-09-14T13:00:56.000Z</t>
  </si>
  <si>
    <t>2025-09-14T18:00:56.000Z</t>
  </si>
  <si>
    <t>2025-09-14T19:44:48.000Z</t>
  </si>
  <si>
    <t>replaced defective ups and tested without further issue or incident self checkout lane number 12 mod dee</t>
  </si>
  <si>
    <t>2025-09-14T20:43:11.000Z</t>
  </si>
  <si>
    <t>New Item :7360-4010-9090 New Serial Number :57-60595303 Old Item :7360-4010-9090 Old Serial Number :57-60591338</t>
  </si>
  <si>
    <t>2025-09-14T20:43:13.000Z</t>
  </si>
  <si>
    <t>SCO 12 needs the battery back up replaced, SCO will not stay powered on and the battery backup keeps beeping  [Generated by Portal Login: besa14 Contact: Sabrina Bechtel 715-498-6611 ftfmsupport@rdspos.com]</t>
  </si>
  <si>
    <t>2025-09-14T13:00:57.000Z</t>
  </si>
  <si>
    <t>2025-09-14T13:05:16.000Z</t>
  </si>
  <si>
    <t>CE WAS US153N79</t>
  </si>
  <si>
    <t>2025-09-14T13:05:31.000Z</t>
  </si>
  <si>
    <t>SCO 12 needs the battery back up replaced, SCO will not stay powered on and the battery backup keeps beeping  [Generated by Portal Login: besa14 Contact: Sabrina Bechtel 715-498-6611 ftfmsupport@rdspos.com]-CE IS NOW US153N79-CE WAS US153N79-CE IS NOW US153N74-Arrived on site and spoke to MOD regarding issues - accessed SCO and attempted to use an alternative to power the SCO until the replacement arrived, though fell through. suspending, and ordering replacement - PN: 4970513710-LOM order processing, Part has been Ordered , Remedy Id 000000014862922 - (Pick Up)MO, Fentonby Agent Auto CE pickup-Oracle Order Shipped for Remedy Id: U018751359, Order/Receipt # 181692845, Ordered Part 4970534153, Part Description - UPS (N70-800) LV 100V/120V 800VA with USB communication Port and EMC Improvements, Shipment/Receipt #2110653260, Part has been Shipped, Qty 1, Priority NFO, Shipping Method CE Pickup After Hours, BOL/Job NA, Source Location UFF USFSTL1G-CE IS NOW US153N63-replaced defective ups and tested without further issue or incident self checkout lane number 12 mod dee-New Item :7360-4010-9090 New Serial Number :57-60595303 Old Item :7360-4010-9090 Old Serial Number :57-60591338</t>
  </si>
  <si>
    <t>2026-03-02T15:30:13.000Z</t>
  </si>
  <si>
    <t>2026-02-26T12:48:00.000Z</t>
  </si>
  <si>
    <t>2026-02-26T18:48:00.000Z</t>
  </si>
  <si>
    <t>2026-03-02T09:17:00.000Z</t>
  </si>
  <si>
    <t>2026-03-02T15:17:00.000Z</t>
  </si>
  <si>
    <t>2026-02-26T08:46:40.000Z</t>
  </si>
  <si>
    <t>2026-02-26T14:46:40.000Z</t>
  </si>
  <si>
    <t>2026-02-26T14:46:41.000Z</t>
  </si>
  <si>
    <t>2026-02-26T08:46:41.000Z</t>
  </si>
  <si>
    <t>Prioritizing task</t>
  </si>
  <si>
    <t>2026-03-02T06:36:06.000Z</t>
  </si>
  <si>
    <t>The BCR had issues with the motor. Replaced the motor and ran a.d.d and Rebooted.  tested OK with  Mausea</t>
  </si>
  <si>
    <t>2026-03-02T09:18:15.000Z</t>
  </si>
  <si>
    <t>2026-03-02T09:18:18.000Z</t>
  </si>
  <si>
    <t>SCO11 has a Coin recycler error-Transfer chamber has overflowed  [Generated by Portal Login: most14 Contact: Staci Mowder 3096133038 ftfmsupport@rdspos.com]</t>
  </si>
  <si>
    <t>2026-02-26T08:51:38.000Z</t>
  </si>
  <si>
    <t>The BCR motor is bad. reseated the cable to the motor and powered cycle the BCR and still the same issue. When the reset button is push only the coin validator runs. ordering a motor</t>
  </si>
  <si>
    <t>2026-02-26T13:24:43.000Z</t>
  </si>
  <si>
    <t>SCO11 has a Coin recycler error-Transfer chamber has overflowed  [Generated by Portal Login: most14 Contact: Staci Mowder 3096133038 ftfmsupport@rdspos.com]-CE IS NOW US153R73-The BCR motor is bad. reseated the cable to the motor and powered cycle the BCR and still the same issue. When the reset button is push only the coin validator runs. ordering a motor-LOM order processing, Part has been Ordered , Remedy Id 000000014988761 - (Pick Up)MN, Arden Hillsby Agent Auto CE pickup-Oracle Order Shipped for Remedy Id: U018873820, Order/Receipt # 182101810, Ordered Part 4970521470, Part Description - CR5000 Transfer Chamber Motor (Service Part), Shipment/Receipt #2117314608, Part has been Shipped, Qty 1, Priority NFO, Shipping Method CE Pickup After Hours, BOL/Job NA, Source Location UFF USFMSP1G-Prioritizing task-The BCR had issues with the motor. Replaced the motor and ran a.d.d and Rebooted.  tested OK with  Mausea-New Item :7360-4010-9090 New Serial Number :57-60590108 Old Item :7360-4010-9090 Old Serial Number :57-60590108</t>
  </si>
  <si>
    <t>2026-06-04T20:37:07.000Z</t>
  </si>
  <si>
    <t>2026-06-03T17:07:00.000Z</t>
  </si>
  <si>
    <t>2026-06-03T22:07:00.000Z</t>
  </si>
  <si>
    <t>2026-06-04T15:24:00.000Z</t>
  </si>
  <si>
    <t>2026-06-04T20:24:00.000Z</t>
  </si>
  <si>
    <t>The plastic Belt inside of the Chasis is broken, one of the links has shattered</t>
  </si>
  <si>
    <t>2026-06-03T09:39:02.000Z</t>
  </si>
  <si>
    <t>2026-06-03T14:39:02.000Z</t>
  </si>
  <si>
    <t>CEM4266261:broken track</t>
  </si>
  <si>
    <t>2026-06-04T15:25:57.000Z</t>
  </si>
  <si>
    <t>Replaced coin recycler chassis and transferred all components from the old recycler chassis to the new one.  Purged all coins from the recycler and redeposited back into machine.  Replaced coin acceptor/validator, debris flap dirty/sticking.</t>
  </si>
  <si>
    <t>2026-06-04T15:25:58.000Z</t>
  </si>
  <si>
    <t>New Item :7360-4010-9090 New Serial Number :57-60587822 Old Item :7360-4010-9090 Old Serial Number :57-60587774</t>
  </si>
  <si>
    <t>2026-06-04T15:26:00.000Z</t>
  </si>
  <si>
    <t>A tech was on site yesterday for SCO11 and now has a transfer track motor error   [Generated by Portal Login: most14 Contact: Staci Mowder 2694689716 FTFMSupport@rdspos.com]</t>
  </si>
  <si>
    <t>2026-06-03T09:40:30.000Z</t>
  </si>
  <si>
    <t>Got to site,  found the issue with Sco.  The plastic Belt inside of the Chasis is broken, one of the links has shattered.  need to order new Chasis: 4970533872.  please send to UPS in Wisconsin please. UPS:5300 S 108th St, Hales Corners, WI 53130.  thank you</t>
  </si>
  <si>
    <t>2026-06-03T17:22:16.000Z</t>
  </si>
  <si>
    <t>A tech was on site yesterday for SCO11 and now has a transfer track motor error   [Generated by Portal Login: most14 Contact: Staci Mowder 2694689716 FTFMSupport@rdspos.com]-CE IS NOW US153C16-Got to site,  found the issue with Sco.  The plastic Belt inside of the Chasis is broken, one of the links has shattered.  need to order new Chasis: 4970533872.  please send to UPS in Wisconsin please. UPS:5300 S 108th St, Hales Corners, WI 53130.  thank you-LOM order processing, Part has been Ordered , Remedy Id FSC5609043 - (Next Day) by Agent ma250820-Oracle Order Shipped for Remedy Id: U018936054, Order/Receipt # 182324418, Ordered Part 4970533872, Part Description - Chassis module only; No motor, sorter , Active cas, Shipment/Receipt #2119130353, Part has been Shipped, Qty 1, Priority OVERNIGHT, Shipping Method UPS-Air-Next Day Air Saver, BOL/Job 1ZH92Y051302975046, Source Location PTC AVL-LOM order processing, Part has been Ordered , Remedy Id FSC5609215 - (Same Day) by Agent av250380-CE IS NOW US153C54-CEM4266260:debris flap sticking-CEM4266261:broken track-Replaced coin recycler chassis and transferred all components from the old recycler chassis to the new one.  Purged all coins from the recycler and redeposited back into machine.  Replaced coin acceptor/validator, debris flap dirty/sticking.-New Item :7360-4010-9090 New Serial Number :57-60587822 Old Item :7360-4010-9090 Old Serial Number :57-60587774</t>
  </si>
  <si>
    <t>2025-09-08T16:54:18.000Z</t>
  </si>
  <si>
    <t>57-60587797</t>
  </si>
  <si>
    <t>2025-09-08T12:04:00.000Z</t>
  </si>
  <si>
    <t>2025-09-08T16:04:00.000Z</t>
  </si>
  <si>
    <t>2025-09-08T12:34:00.000Z</t>
  </si>
  <si>
    <t>2025-09-08T16:34:00.000Z</t>
  </si>
  <si>
    <t>2025-09-08T09:29:09.000Z</t>
  </si>
  <si>
    <t>2025-09-08T13:29:09.000Z</t>
  </si>
  <si>
    <t>2025-09-08T13:29:12.000Z</t>
  </si>
  <si>
    <t>2025-09-08T09:29:12.000Z</t>
  </si>
  <si>
    <t>coin recycler error showing, clean and reseated are modules, perform device reset, perform passing test with Danielle, device in service making good transactions.</t>
  </si>
  <si>
    <t>2025-09-08T12:36:48.000Z</t>
  </si>
  <si>
    <t>New Item :7360-4010-9090 New Serial Number :57-60587797 Old Item :7360-4010-9090 Old Serial Number :57-60587797</t>
  </si>
  <si>
    <t>2025-09-08T12:36:49.000Z</t>
  </si>
  <si>
    <t>SCO14 has a Coin recycler error-Transfer chamber has overflowed  [Generated by Portal Login: most14 Contact: Staci Mowder 3096133038 ftfmsupport@rdspos.com]</t>
  </si>
  <si>
    <t>2025-09-08T09:29:13.000Z</t>
  </si>
  <si>
    <t>2025-09-08T09:54:54.000Z</t>
  </si>
  <si>
    <t>2025-09-08T12:36:46.000Z</t>
  </si>
  <si>
    <t>SCO14 has a Coin recycler error-Transfer chamber has overflowed  [Generated by Portal Login: most14 Contact: Staci Mowder 3096133038 ftfmsupport@rdspos.com]-CE IS NOW US133E78-coin recycler error showing, clean and reseated are modules, perform device reset, perform passing test with Danielle, device in service making good transactions.-coin recycler error showing, clean and reseated are modules, perform device reset, perform passing test with Danielle, device in service making good transactions.-New Item :7360-4010-9090 New Serial Number :57-60587797 Old Item :7360-4010-9090 Old Serial Number :57-60587797</t>
  </si>
  <si>
    <t>2026-01-08T18:53:18.000Z</t>
  </si>
  <si>
    <t>57-60595350</t>
  </si>
  <si>
    <t>2026-01-08T11:49:00.000Z</t>
  </si>
  <si>
    <t>2026-01-08T17:49:00.000Z</t>
  </si>
  <si>
    <t>2026-01-08T12:35:00.000Z</t>
  </si>
  <si>
    <t>2026-01-08T18:35:00.000Z</t>
  </si>
  <si>
    <t>2026-01-08T07:52:37.000Z</t>
  </si>
  <si>
    <t>2026-01-08T13:52:37.000Z</t>
  </si>
  <si>
    <t>2026-01-08T13:52:38.000Z</t>
  </si>
  <si>
    <t>2026-01-08T07:52:38.000Z</t>
  </si>
  <si>
    <t>cleared a piece of coin wrapper that was stuck in the validator and the coin recycler tested OK. no issue found with the scale. may have not been fully level when customer was using it.  tested with Mgr with no issues.</t>
  </si>
  <si>
    <t>2026-01-08T12:36:21.000Z</t>
  </si>
  <si>
    <t>2026-01-08T12:36:22.000Z</t>
  </si>
  <si>
    <t>New Item :7360-4010-9090 New Serial Number :57-60595350 Old Item :7360-4310-9090 Old Serial Number :20-59053579</t>
  </si>
  <si>
    <t>SCO11 Coin acceptor is jammed.  Also 30 second delay when weighing items [Generated by Portal Login: most14 Contact: Staci Mowder 3096133038 ftfmsupport@rdspos.com]</t>
  </si>
  <si>
    <t>2026-01-08T07:58:16.000Z</t>
  </si>
  <si>
    <t>paper was fed into the coin recycler causing error.</t>
  </si>
  <si>
    <t>SCO11 Coin acceptor is jammed.  Also 30 second delay when weighing items [Generated by Portal Login: most14 Contact: Staci Mowder 3096133038 ftfmsupport@rdspos.com]-CE IS NOW US153N64-paper was fed into the coin recycler causing error.-cleared a piece of coin wrapper that was stuck in the validator and the coin recycler tested OK. no issue found with the scale. may have not been fully level when customer was using it.  tested with Mgr with no issues.-1R-RETAIL:8P-COIN RECYCLER:CV-COIN ACCEPTOR/VALIDATOR-New Item :7360-4010-9090 New Serial Number :57-60595350 Old Item :7360-4310-9090 Old Serial Number :20-59053579</t>
  </si>
  <si>
    <t>2026-02-07T22:09:13.000Z</t>
  </si>
  <si>
    <t>2026-02-06T16:01:00.000Z</t>
  </si>
  <si>
    <t>2026-02-06T22:01:00.000Z</t>
  </si>
  <si>
    <t>2026-02-07T15:56:00.000Z</t>
  </si>
  <si>
    <t>2026-02-07T21:56:00.000Z</t>
  </si>
  <si>
    <t>2026-02-06T15:08:47.000Z</t>
  </si>
  <si>
    <t>2026-02-06T21:08:47.000Z</t>
  </si>
  <si>
    <t>2026-02-06T21:08:48.000Z</t>
  </si>
  <si>
    <t>2026-02-06T15:08:48.000Z</t>
  </si>
  <si>
    <t>pn 4970532667 shorted to unusablility when customer moved lane without powering down first</t>
  </si>
  <si>
    <t>2026-02-07T15:56:38.000Z</t>
  </si>
  <si>
    <t>replaced io assembly and tested without further issue or incident self checkout lane number 22 mod deandre</t>
  </si>
  <si>
    <t>New Item :7360-4010-9090 New Serial Number :57-58264234 Old Item :7360-4010-9090 Old Serial Number :57-58264214</t>
  </si>
  <si>
    <t>2026-02-07T15:56:40.000Z</t>
  </si>
  <si>
    <t>SCO22 has an I/O Box Error - Trilight enable/disable failure  [Generated by Portal Login: most14 Contact: Staci Mowder 3096133038 ftfmsupport@rdspos.com]</t>
  </si>
  <si>
    <t>2026-02-06T15:08:49.000Z</t>
  </si>
  <si>
    <t>2026-02-06T15:19:28.000Z</t>
  </si>
  <si>
    <t>Customer moved the SCO and damaged the try light and also blow the io board. Ordering a new IO board to ESL</t>
  </si>
  <si>
    <t>2026-02-06T17:07:53.000Z</t>
  </si>
  <si>
    <t>SCO22 has an I/O Box Error - Trilight enable/disable failure  [Generated by Portal Login: most14 Contact: Staci Mowder 3096133038 ftfmsupport@rdspos.com]-CE IS NOW US153N62-Customer moved the SCO and damaged the try light and also blow the io board. Ordering a new IO board to ESL-LOM order processing, Part has been Ordered , Remedy Id 000000014975207 - (Pick Up)MO, Fentonby Agent Auto CE pickup-Oracle Order Shipped for Remedy Id: U018861034, Order/Receipt # 182051464, Ordered Part 4970532667, Part Description - Complete IO Assembly (CAD0892++), Shipment/Receipt #2116891793, Part has been Shipped, Qty 1, Priority NFO, Shipping Method CE Pickup After Hours, BOL/Job NA, Source Location UFF USFSTL1G-I have the IO board from esl, just didn't have time to replace it tonight. Will return tomorrow-CE WAS US153N62-CE IS NOW US153N63-CEM4106934:reportedly blown when customer moved lane without powering off sco-pn 4970532667 shorted to unusablility when customer moved lane without powering down first-replaced io assembly and tested without further issue or incident self checkout lane number 22 mod deandre-New Item :7360-4010-9090 New Serial Number :57-58264234 Old Item :7360-4010-9090 Old Serial Number :57-58264214</t>
  </si>
  <si>
    <t>2026-05-11T20:30:26.000Z</t>
  </si>
  <si>
    <t>57-60591383</t>
  </si>
  <si>
    <t>2026-05-11T12:35:00.000Z</t>
  </si>
  <si>
    <t>2026-05-11T17:35:00.000Z</t>
  </si>
  <si>
    <t>2026-05-11T14:53:00.000Z</t>
  </si>
  <si>
    <t>2026-05-11T19:53:00.000Z</t>
  </si>
  <si>
    <t>AO185118</t>
  </si>
  <si>
    <t>2026-05-11T08:58:34.000Z</t>
  </si>
  <si>
    <t>2026-05-11T13:58:34.000Z</t>
  </si>
  <si>
    <t>G552-2000-5001</t>
  </si>
  <si>
    <t>New Item :7360-4010-9090 New Serial Number :57-60591383 Old Item :7360-4010-9090 Old Serial Number :57-60591383</t>
  </si>
  <si>
    <t>2026-05-11T14:54:41.000Z</t>
  </si>
  <si>
    <t>SCO 12 has a coin recycler error exit cup entry path jammed error code 16-6-0-99-524550  [Generated by Portal Login: besa14 Contact: Sabrina Bechtel 715-498-6611 ftfmsupport@rdspos.com]</t>
  </si>
  <si>
    <t>CE IS NOW US153R11</t>
  </si>
  <si>
    <t>2026-05-11T09:01:44.000Z</t>
  </si>
  <si>
    <t>coins were jammed in lifte assembly, after clearing coins all errors went away and machine is operational.</t>
  </si>
  <si>
    <t>2026-05-11T14:54:39.000Z</t>
  </si>
  <si>
    <t>SCO 12 has a coin recycler error exit cup entry path jammed error code 16-6-0-99-524550  [Generated by Portal Login: besa14 Contact: Sabrina Bechtel 715-498-6611 ftfmsupport@rdspos.com]-CE IS NOW US153R11-coins were jammed in lifte assembly, after clearing coins all errors went away and machine is operational.-New Item :7360-4010-9090 New Serial Number :57-60591383 Old Item :7360-4010-9090 Old Serial Number :57-60591383</t>
  </si>
  <si>
    <t>2026-01-05T17:10:38.000Z</t>
  </si>
  <si>
    <t>2026-01-05T11:50:00.000Z</t>
  </si>
  <si>
    <t>2026-01-05T16:50:00.000Z</t>
  </si>
  <si>
    <t>2026-01-05T11:54:00.000Z</t>
  </si>
  <si>
    <t>2026-01-05T16:54:00.000Z</t>
  </si>
  <si>
    <t>2026-01-05T09:18:56.000Z</t>
  </si>
  <si>
    <t>2026-01-05T14:18:56.000Z</t>
  </si>
  <si>
    <t>2026-01-05T14:18:57.000Z</t>
  </si>
  <si>
    <t>2026-01-05T09:18:57.000Z</t>
  </si>
  <si>
    <t>2026-01-05T09:52:04.000Z</t>
  </si>
  <si>
    <t>2026-01-05T11:57:51.000Z</t>
  </si>
  <si>
    <t>2026-01-05T11:57:53.000Z</t>
  </si>
  <si>
    <t>SCO 13 needs an annual PM, please clean and blow out the sco, store requested  [Generated by Portal Login: besa14 Contact: Sabrina Bechtel 715-498-6611 ftfmsupport@rdspos.com]</t>
  </si>
  <si>
    <t>2026-01-05T09:19:11.000Z</t>
  </si>
  <si>
    <t>2026-01-05T09:52:03.000Z</t>
  </si>
  <si>
    <t>SCO 13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:57-60587735 Old Item :7360-4010-9090 Old Serial Number :57-60587735</t>
  </si>
  <si>
    <t>2025-11-05T11:40:11.000Z</t>
  </si>
  <si>
    <t>57-60587838</t>
  </si>
  <si>
    <t>2025-11-05T05:50:00.000Z</t>
  </si>
  <si>
    <t>2025-11-05T10:50:00.000Z</t>
  </si>
  <si>
    <t>2025-11-05T06:26:00.000Z</t>
  </si>
  <si>
    <t>2025-11-05T11:26:00.000Z</t>
  </si>
  <si>
    <t>2025-11-04T14:55:17.000Z</t>
  </si>
  <si>
    <t>2025-11-04T19:55:17.000Z</t>
  </si>
  <si>
    <t>2025-11-04T21:22:45.000Z</t>
  </si>
  <si>
    <t>coin recycler sorter issues,  reset the sorter cable and the sorter board and did runadd and did dispense and accept coins from PML working successfully and tested with manager on site working successfully MOD Izik</t>
  </si>
  <si>
    <t>2025-11-05T06:26:47.000Z</t>
  </si>
  <si>
    <t>New Item :7360-4010-9090 New Serial Number :57-60587838 Old Item :7360-4010-9090 Old Serial Number :57-60587834</t>
  </si>
  <si>
    <t>2025-11-05T06:26:50.000Z</t>
  </si>
  <si>
    <t>SCO16 has a Coin recycler error-coin recycler not seated.  [Generated by Portal Login: most14 Contact: Staci Mowder 3096133038 ftfmsupport@rdspos.com]</t>
  </si>
  <si>
    <t>2025-11-04T14:55:35.000Z</t>
  </si>
  <si>
    <t>2025-11-04T21:20:41.000Z</t>
  </si>
  <si>
    <t>SCO16 has a Coin recycler error-coin recycler not seated.  [Generated by Portal Login: most14 Contact: Staci Mowder 3096133038 ftfmsupport@rdspos.com]-CE IS NOW US133U10-CE WAS US133U10-CE IS NOW US133U13-CE WAS US133U13-CE IS NOW US133U14-coin recycler sorter issues,  reset the sorter cable and the sorter board and did runadd and did dispense and accept coins from PML working successfully and tested with manager on site working successfully MOD Izik-New Item :7360-4010-9090 New Serial Number :57-60587838 Old Item :7360-4010-9090 Old Serial Number :57-60587834</t>
  </si>
  <si>
    <t>2026-03-07T17:16:40.000Z</t>
  </si>
  <si>
    <t>57-60591330</t>
  </si>
  <si>
    <t>2026-03-07T10:54:00.000Z</t>
  </si>
  <si>
    <t>2026-03-07T15:54:00.000Z</t>
  </si>
  <si>
    <t>2026-03-07T12:01:00.000Z</t>
  </si>
  <si>
    <t>2026-03-07T17:01:00.000Z</t>
  </si>
  <si>
    <t>2026-03-07T09:14:09.000Z</t>
  </si>
  <si>
    <t>2026-03-07T14:14:09.000Z</t>
  </si>
  <si>
    <t>2026-03-07T14:14:11.000Z</t>
  </si>
  <si>
    <t>2026-03-07T09:14:11.000Z</t>
  </si>
  <si>
    <t>New Item :7360-4010-9090 New Serial Number :57-60591330 Old Item :7360-4010-9090 Old Serial Number :57-60591399</t>
  </si>
  <si>
    <t>2026-03-07T12:01:35.000Z</t>
  </si>
  <si>
    <t>SCO17 has a coin recycler error-Sorter module not seated  [Generated by Portal Login: most14 Contact: Staci Mowder 3096133038 ftfmsupport@rdspos.com]</t>
  </si>
  <si>
    <t>2026-03-07T09:35:09.000Z</t>
  </si>
  <si>
    <t>I remove Jam from the coin belt and tested the self-checkout it is working properly</t>
  </si>
  <si>
    <t>2026-03-07T12:01:33.000Z</t>
  </si>
  <si>
    <t>SCO17 has a coin recycler error-Sorter module not seated  [Generated by Portal Login: most14 Contact: Staci Mowder 3096133038 ftfmsupport@rdspos.com]-CE IS NOW US133A18-I remove Jam from the coin belt and tested the self-checkout it is working properly-New Item :7360-4010-9090 New Serial Number :57-60591330 Old Item :7360-4010-9090 Old Serial Number :57-60591399</t>
  </si>
  <si>
    <t>2025-12-10T22:01:33.000Z</t>
  </si>
  <si>
    <t>7SFB</t>
  </si>
  <si>
    <t>2025-12-10T15:43:00.000Z</t>
  </si>
  <si>
    <t>2025-12-10T20:43:00.000Z</t>
  </si>
  <si>
    <t>2025-12-10T16:47:00.000Z</t>
  </si>
  <si>
    <t>2025-12-10T21:47:00.000Z</t>
  </si>
  <si>
    <t>2025-12-10T14:16:39.000Z</t>
  </si>
  <si>
    <t>2025-12-10T19:16:39.000Z</t>
  </si>
  <si>
    <t>Color Bi-Optic Imager - Scanner/Scale with Non-Sapphire Top Plate, US Scale Certification (Full Size)</t>
  </si>
  <si>
    <t>Arrived onsite for self-checkout 11 issues with the GSR50 jamming. Spoke to the MOD Kevin and he informed where the GSR50 was jamming up. I loaded PLM and saw that the GSR50 was giving no errors. I then decided to run several dispenses and accepting tests to try to get the GSR50 to jam. I've done the tests in small groups, individual bills, and a large group, could not get the GSR50 to jam. Along with no errors in PLM I consider this GSR50 to be a good unit. Closing ticket.</t>
  </si>
  <si>
    <t>2025-12-10T16:48:08.000Z</t>
  </si>
  <si>
    <t>New Item :7360-4010-9090 New Serial Number :57-60588421 Old Item :7895-3111-1000 Old Serial Number :S120-60117269</t>
  </si>
  <si>
    <t>2025-12-10T16:48:09.000Z</t>
  </si>
  <si>
    <t>SCO11 bills jamming frequently and has a Note recycler error.   [Generated by Portal Login: most14 Contact: Staci Mowder 3096133038 ftfmsupport@rdspos.com]</t>
  </si>
  <si>
    <t>2025-12-10T14:19:41.000Z</t>
  </si>
  <si>
    <t>No faults found on self-checkout 11. Operating as intended.</t>
  </si>
  <si>
    <t>SCO11 bills jamming frequently and has a Note recycler error.   [Generated by Portal Login: most14 Contact: Staci Mowder 3096133038 ftfmsupport@rdspos.com]-CE IS NOW US133C27-No faults found on self-checkout 11. Operating as intended.-Arrived onsite for self-checkout 11 issues with the GSR50 jamming. Spoke to the MOD Kevin and he informed where the GSR50 was jamming up. I loaded PLM and saw that the GSR50 was giving no errors. I then decided to run several dispenses and accepting tests to try to get the GSR50 to jam. I've done the tests in small groups, individual bills, and a large group, could not get the GSR50 to jam. Along with no errors in PLM I consider this GSR50 to be a good unit. Closing ticket.-New Item :7360-4010-9090 New Serial Number :57-60588421 Old Item :7895-3111-1000 Old Serial Number :S120-60117269</t>
  </si>
  <si>
    <t>2026-02-27T16:38:03.000Z</t>
  </si>
  <si>
    <t>2026-02-27T10:36:00.000Z</t>
  </si>
  <si>
    <t>2026-02-27T15:36:00.000Z</t>
  </si>
  <si>
    <t>2026-02-27T11:25:00.000Z</t>
  </si>
  <si>
    <t>2026-02-27T16:25:00.000Z</t>
  </si>
  <si>
    <t>2026-02-27T09:36:27.000Z</t>
  </si>
  <si>
    <t>2026-02-27T14:36:27.000Z</t>
  </si>
  <si>
    <t>2026-02-27T14:36:30.000Z</t>
  </si>
  <si>
    <t>2026-02-27T09:36:30.000Z</t>
  </si>
  <si>
    <t>Sco 17 replace coin sorter and replace penny hopper. ran Add in PML. Verify that Cr5000 is showing healthy. Reset the coin counts. verify that coins can be dispense and accepted multiple times. verify with the store manager that sco 17 is working properly</t>
  </si>
  <si>
    <t>2026-02-27T11:25:38.000Z</t>
  </si>
  <si>
    <t>New Item :7360-4010-9090 New Serial Number :57-60587737 Old Item :7360-4010-9090 Old Serial Number :57-60587737</t>
  </si>
  <si>
    <t>2026-02-27T11:25:40.000Z</t>
  </si>
  <si>
    <t>Oracle Order Shipped for Remedy Id: U018874318, Order/Receipt # 182104056, Ordered Part 4970521463, Part Description - CR5000   Sorter Module Type A (Service Part), Shipment/Receipt #2117331472, Part has been Shipped, Qty 1, Priority OVERNIGHT, Shipping Method UPS-Air-Next Day Air, BOL/Job 1ZH92Y064400655166, Source Location UFF USFBHM1G</t>
  </si>
  <si>
    <t>2026-02-27T12:04:17.000Z</t>
  </si>
  <si>
    <t>SCO 17 will not accept any pennies, it just spits them right back out Since this SCO was just worked on last night, the store is requesting a different technician than whoever was onsite yesterday please [Generated by Portal Login: besa14 Contact: Sabrina Bechtel 715-498-6611 sbechtel@rdspos.com]</t>
  </si>
  <si>
    <t>2026-02-27T09:39:49.000Z</t>
  </si>
  <si>
    <t>LOM order processing, Part has been Ordered , Remedy Id 000000014989319 - (Next Day) by Agent Auto VIP P000</t>
  </si>
  <si>
    <t>2026-02-27T10:54:40.000Z</t>
  </si>
  <si>
    <t>SCO 17 will not accept any pennies, it just spits them right back out Since this SCO was just worked on last night, the store is requesting a different technician than whoever was onsite yesterday please [Generated by Portal Login: besa14 Contact: Sabrina Bechtel 715-498-6611 sbechtel@rdspos.com]-CE IS NOW US133C75-LOM order processing, Part has been Ordered , Remedy Id 000000014989319 - (Next Day) by Agent Auto VIP P000-LOM order processing, Part has been Ordered , Remedy Id 000000014989325 - (Next Day) by Agent AUTO VIP-CEM4161481:bad-CEM4161482:bad-Sco 17 replace coin sorter and replace penny hopper. ran Add in PML. Verify that Cr5000 is showing healthy. Reset the coin counts. verify that coins can be dispense and accepted multiple times. verify with the store manager that sco 17 is working properly-New Item :7360-4010-9090 New Serial Number :57-60587737 Old Item :7360-4010-9090 Old Serial Number :57-60587737-Oracle Order Shipped for Remedy Id: U018874318, Order/Receipt # 182104056, Ordered Part 4970521463, Part Description - CR5000   Sorter Module Type A (Service Part), Shipment/Receipt #2117331472, Part has been Shipped, Qty 1, Priority OVERNIGHT, Shipping Method UPS-Air-Next Day Air, BOL/Job 1ZH92Y064400655166, Source Location UFF USFBHM1G</t>
  </si>
  <si>
    <t>2026-08-07T21:51:35.000Z</t>
  </si>
  <si>
    <t>2026-08-07T15:27:00.000Z</t>
  </si>
  <si>
    <t>2026-08-07T19:27:00.000Z</t>
  </si>
  <si>
    <t>2026-08-07T15:31:00.000Z</t>
  </si>
  <si>
    <t>2026-08-07T19:31:00.000Z</t>
  </si>
  <si>
    <t>2026-08-07T09:54:12.000Z</t>
  </si>
  <si>
    <t>2026-08-07T13:54:12.000Z</t>
  </si>
  <si>
    <t>CEM4354287:bad</t>
  </si>
  <si>
    <t>2026-08-07T15:32:24.000Z</t>
  </si>
  <si>
    <t>when I got to the fresh time I want to register 11 Where are they were having mopolis issues with the active cash box and the software thing they had way too much change in what they had they had to do a cash advance to get that all corrected and their  coin bucket kept on saying there's coins in it I was told by the gurus to receive all the cables and try recalibrating the sensor after doing that it was finally seeing that there was no coins in there again I had team lead Colleen witnessed everything I did</t>
  </si>
  <si>
    <t>New Item :7360-4010-9090 New Serial Number :12203316 Old Item :7360-4010-9090 Old Serial Number :57-60591393</t>
  </si>
  <si>
    <t>2026-08-07T15:32:26.000Z</t>
  </si>
  <si>
    <t>2026-08-07T09:59:02.000Z</t>
  </si>
  <si>
    <t>2026-08-07T10:00:57.000Z</t>
  </si>
  <si>
    <t>Not dispensing coins when change is due and making a loud griding noise when trying to dispense coins  [Generated by Portal Login: coas14 Contact: Ashley Cooper 3092131564 ftfmsupport@rdspos.com]-CE IS NOW US133E73-CE WAS US133E73-CE IS NOW US133E63-CEM4354287:bad-when I got to the fresh time I want to register 11 Where are they were having mopolis issues with the active cash box and the software thing they had way too much change in what they had they had to do a cash advance to get that all corrected and their  coin bucket kept on saying there's coins in it I was told by the gurus to receive all the cables and try recalibrating the sensor after doing that it was finally seeing that there was no coins in there again I had team lead Colleen witnessed everything I did-New Item :7360-4010-9090 New Serial Number :12203316 Old Item :7360-4010-9090 Old Serial Number :57-60591393</t>
  </si>
  <si>
    <t>2026-01-29T20:02:52.000Z</t>
  </si>
  <si>
    <t>2026-01-29T13:38:00.000Z</t>
  </si>
  <si>
    <t>2026-01-29T19:38:00.000Z</t>
  </si>
  <si>
    <t>2026-01-29T13:39:00.000Z</t>
  </si>
  <si>
    <t>2026-01-29T19:39:00.000Z</t>
  </si>
  <si>
    <t>2026-01-27T08:28:36.000Z</t>
  </si>
  <si>
    <t>2026-01-27T14:28:36.000Z</t>
  </si>
  <si>
    <t>CEM4120989:light out</t>
  </si>
  <si>
    <t>2026-01-29T13:47:01.000Z</t>
  </si>
  <si>
    <t>2026-01-29T13:47:02.000Z</t>
  </si>
  <si>
    <t>2026-01-29T13:47:04.000Z</t>
  </si>
  <si>
    <t>SCO 16 Tri-Light Flickering   [Generated by Portal Login: most14 Contact: Staci Mowder 3096133038 ftfmsupport@rdspos.com]</t>
  </si>
  <si>
    <t>2026-01-27T08:28:37.000Z</t>
  </si>
  <si>
    <t>2026-01-27T08:32:15.000Z</t>
  </si>
  <si>
    <t>LOM order processing, Part has been Ordered , Remedy Id FSC5487553 - (Same Day) by Agent te185055</t>
  </si>
  <si>
    <t>2026-01-27T11:36:04.000Z</t>
  </si>
  <si>
    <t>SCO 16 Tri-Light Flickering   [Generated by Portal Login: most14 Contact: Staci Mowder 3096133038 ftfmsupport@rdspos.com]-CE IS NOW US153C07-LOM order processing, Part has been Ordered , Remedy Id FSC5487553 - (Same Day) by Agent te185055-Oracle Order Shipped for Remedy Id: U018853449, Order/Receipt # 182028639, Ordered Part 4970525295, Part Description - KIT - R6 TRI-LIGHT W/IP CAMERA, Shipment/Receipt #2116573875, Part has been Shipped, Qty 1, Priority OVERNIGHT, Shipping Method UPS-Air-Next Day Air Saver, BOL/Job 1ZH92Y061300631203, Source Location UFF USFOMA1G-CEM4120989:light out-replace Twilight and test it with Nathaniel-New Item :7360-4010-9090 New Serial Number :57-60590079 Old Item :7360-4010-9090 Old Serial Number :57-60590079</t>
  </si>
  <si>
    <t>2025-08-09T12:53:18.000Z</t>
  </si>
  <si>
    <t>2025-08-09T07:59:00.000Z</t>
  </si>
  <si>
    <t>2025-08-09T11:59:00.000Z</t>
  </si>
  <si>
    <t>2025-08-09T08:36:00.000Z</t>
  </si>
  <si>
    <t>2025-08-09T12:36:00.000Z</t>
  </si>
  <si>
    <t>2025-08-08T21:00:01.000Z</t>
  </si>
  <si>
    <t>2025-08-09T01:00:01.000Z</t>
  </si>
  <si>
    <t>2025-08-09T08:36:40.000Z</t>
  </si>
  <si>
    <t>2025-08-09T08:36:41.000Z</t>
  </si>
  <si>
    <t>Coin Recycler Error Debris Flap Stuck Error Code 16-6-0--99-131844  [Generated by Portal Login: repa14 Contact: Patrick Reeves 309.241.1908 ftfmsupport@rdspos.com]</t>
  </si>
  <si>
    <t>2025-08-08T21:00:02.000Z</t>
  </si>
  <si>
    <t>2025-08-08T21:01:39.000Z</t>
  </si>
  <si>
    <t>Arrived on site. Issue stated and error on the coin machine involving the debris flap. No errors shown on cr5 lights or in PML. Checked if anything was stuck and found nothing. Confirmed with Doug.</t>
  </si>
  <si>
    <t>2025-08-09T08:36:39.000Z</t>
  </si>
  <si>
    <t>Coin Recycler Error Debris Flap Stuck Error Code 16-6-0--99-131844  [Generated by Portal Login: repa14 Contact: Patrick Reeves 309.241.1908 ftfmsupport@rdspos.com]-CE IS NOW US133E77-Arrived on site. Issue stated and error on the coin machine involving the debris flap. No errors shown on cr5 lights or in PML. Checked if anything was stuck and found nothing. Confirmed with Doug.-no fault found.-New Item :7360-4010-9090 New Serial Number :57-60587855 Old Item :7360-4010-9090 Old Serial Number :57-60587855</t>
  </si>
  <si>
    <t>2026-03-06T02:07:07.000Z</t>
  </si>
  <si>
    <t>57-60588426</t>
  </si>
  <si>
    <t>2026-03-05T20:28:00.000Z</t>
  </si>
  <si>
    <t>2026-03-06T01:28:00.000Z</t>
  </si>
  <si>
    <t>2026-03-05T20:49:00.000Z</t>
  </si>
  <si>
    <t>2026-03-06T01:49:00.000Z</t>
  </si>
  <si>
    <t>2026-03-02T09:15:14.000Z</t>
  </si>
  <si>
    <t>2026-03-02T14:15:14.000Z</t>
  </si>
  <si>
    <t>2026-03-02T14:15:15.000Z</t>
  </si>
  <si>
    <t>2026-03-02T09:15:15.000Z</t>
  </si>
  <si>
    <t>CEM4027307:Bad led</t>
  </si>
  <si>
    <t>2026-03-05T20:50:25.000Z</t>
  </si>
  <si>
    <t>Follow up on previous visit to replace trilight due to led burn out, cable was replaced too due to latch was damaged. Confirm the new trilight is working</t>
  </si>
  <si>
    <t>2026-03-05T20:50:26.000Z</t>
  </si>
  <si>
    <t>New Item :7360-4010-9090 New Serial Number :57-60588426 Old Item :7360-4010-9090 Old Serial Number :57-60588404</t>
  </si>
  <si>
    <t>2026-03-05T20:50:28.000Z</t>
  </si>
  <si>
    <t>SCO 16 tri-light is out  [Generated by Portal Login: besa14 Contact: Sabrina Bechtel 715-498-6611 ftfmsupport@rdspos.com]</t>
  </si>
  <si>
    <t>2026-03-02T09:15:16.000Z</t>
  </si>
  <si>
    <t>2026-03-02T10:41:19.000Z</t>
  </si>
  <si>
    <t>2026-03-02T19:17:33.000Z</t>
  </si>
  <si>
    <t>SCO 16 tri-light is out  [Generated by Portal Login: besa14 Contact: Sabrina Bechtel 715-498-6611 ftfmsupport@rdspos.com]-CE IS NOW US133E74-CE WAS US133E74-CE IS NOW US133E79-LOM order processing, Part has been Ordered , Remedy Id 000000014991494 - (Next Day) by Agent Auto VIP P000-LOM order processing, Part has been Ordered , Remedy Id 000000014991493 - (Pick Up)IN, Indianapolisby Agent Auto CE pickup-LOM order processing, Part has been Ordered , Remedy Id 000000014991496 - (Pick Up)IN, Indianapolisby Agent Auto CE pickup-The trilight is burn out, cable had damaged latch. Order trilight with camera, graphic and new cable-Oracle Order Shipped for Remedy Id: U018876524, Order/Receipt # 182110098, Ordered Part 4970523835, Part Description - CABLE - TRILIGHT AND LANE LIGHT EXTENDER, Shipment/Receipt #2117385316, Part has been Shipped, Qty 1, Priority OVERNIGHT, Shipping Method UPS-Air-Next Day Air Saver, BOL/Job 1ZH92Y051302525531, Source Location PTC AVL-Oracle Order Shipped for Remedy Id: U018876527, Order/Receipt # 182110101, Ordered Part 4970511101, Part Description - 2 LH/RH Lane Light Graphics Label  NCR Fastlane, Shipment/Receipt #2117385288, Part has been Shipped, Qty 1, Priority NFO, Shipping Method CE Pickup After Hours, BOL/Job NA, Source Location UFF USFIND1G-Oracle Order Shipped for Remedy Id: U018876526, Order/Receipt # 182110099, Ordered Part 4970525295, Part Description - KIT - R6 TRI-LIGHT W/IP CAMERA, Shipment/Receipt #2117385287, Part has been Shipped, Qty 1, Priority NFO, Shipping Method CE Pickup After Hours, BOL/Job NA, Source Location UFF USFIND1G-CE WAS US133E79-CE IS NOW US133E75-CE WAS US133E75-CE IS NOW US133E79-CEM4027307:Bad led-Follow up on previous visit to replace trilight due to led burn out, cable was replaced too due to latch was damaged. Confirm the new trilight is working-New Item :7360-4010-9090 New Serial Number :57-60588426 Old Item :7360-4010-9090 Old Serial Number :57-60588404</t>
  </si>
  <si>
    <t>2026-05-19T00:23:49.000Z</t>
  </si>
  <si>
    <t>2026-05-14T18:24:00.000Z</t>
  </si>
  <si>
    <t>2026-05-14T23:24:00.000Z</t>
  </si>
  <si>
    <t>2026-05-18T19:06:00.000Z</t>
  </si>
  <si>
    <t>2026-05-19T00:06:00.000Z</t>
  </si>
  <si>
    <t>2026-05-14T17:22:45.000Z</t>
  </si>
  <si>
    <t>2026-05-14T22:22:45.000Z</t>
  </si>
  <si>
    <t>57-60587777</t>
  </si>
  <si>
    <t>Ups store closed 20mins away. unable to pick up parts in time. will return when able.</t>
  </si>
  <si>
    <t>2026-05-16T16:21:40.000Z</t>
  </si>
  <si>
    <t>Replaced keylock with latching mechanism. also adjusted top door peg lower to align the top latch better. door now opening without a lift.</t>
  </si>
  <si>
    <t>2026-05-18T19:06:27.000Z</t>
  </si>
  <si>
    <t>New Item :7360-4010-9090 New Serial Number :42060110 Old Item :7360-4010-9090 Old Serial Number :57-60587777</t>
  </si>
  <si>
    <t>2026-05-18T19:06:30.000Z</t>
  </si>
  <si>
    <t>Outer door VERY hard to open. Tech was out 7 days ago and did not correct the issue. Please see ticket number 	
7612604388.  [Generated by Portal Login: coas14 Contact: Patrick Reeves 309-214-1908 ftfmsupport@rdspos.com]</t>
  </si>
  <si>
    <t>2026-05-14T17:22:46.000Z</t>
  </si>
  <si>
    <t>2026-05-14T17:26:32.000Z</t>
  </si>
  <si>
    <t>Ordering dual latch lock and keylock.</t>
  </si>
  <si>
    <t>2026-05-14T19:01:19.000Z</t>
  </si>
  <si>
    <t>Outer door VERY hard to open. Tech was out 7 days ago and did not correct the issue. Please see ticket number 	
7612604388.  [Generated by Portal Login: coas14 Contact: Patrick Reeves 309-214-1908 ftfmsupport@rdspos.com]-CE IS NOW US153C10-Ordering dual latch lock and keylock.-LOM order processing, Part has been Ordered , Remedy Id 000000015042246 - (Next Day) by Agent Auto VIP P000-LOM order processing, Part has been Ordered , Remedy Id 000000015042248 - (Next Day) by Agent Auto VIP P000-LOM order processing, Part has been Ordered , Remedy Id 000000015042250 - (Next Day) by Agent Auto VIP P000-Also, ordered a 3rd part, the whole door. Lock, latch mechanism, and door ordered to default.-Oracle Order Shipped for Remedy Id: U018923984, Order/Receipt # 182278415, Ordered Part 4970527925, Part Description - SERVICE ASSEMBLY - COSMETIC DOOR - KIT, Shipment/Receipt #2118606568, Part has been Shipped, Qty 1, Priority OVERNIGHT, Shipping Method UPS-Air-Next Day Air, BOL/Job 1ZH92Y054402875819, Source Location PTC AVL-Oracle Order Shipped for Remedy Id: U018923982, Order/Receipt # 182278412, Ordered Part 4970537247, Part Description - SERVICE ASSEMBLY - DUAL LATCH DOOR, Shipment/Receipt #2118605506, Part has been Shipped, Qty 1, Priority OVERNIGHT, Shipping Method UPS-Air-Next Day Air, BOL/Job 1ZH92Y054402878790, Source Location PTC AVL-Oracle Order Shipped for Remedy Id: U018923983, Order/Receipt # 182278414, Ordered Part 0068627041, Part Description - KEY LOCK, KEYED TO EK333, WITH STRENGTHENED BRASS, Shipment/Receipt #2118605501, Part has been Shipped, Qty 1, Priority OVERNIGHT, Shipping Method UPS-Air-Next Day Air, BOL/Job 1ZH92Y054402879619, Source Location PTC AVL-Ups store closed 20mins away. unable to pick up parts in time. will return when able.-Replaced keylock with latching mechanism. also adjusted top door peg lower to align the top latch better. door now opening without a lift.-New Item :7360-4010-9090 New Serial Number :42060110 Old Item :7360-4010-9090 Old Serial Number :57-60587777</t>
  </si>
  <si>
    <t>2026-02-22T19:34:15.000Z</t>
  </si>
  <si>
    <t>2026-02-22T13:12:00.000Z</t>
  </si>
  <si>
    <t>2026-02-22T19:12:00.000Z</t>
  </si>
  <si>
    <t>2026-02-22T13:16:00.000Z</t>
  </si>
  <si>
    <t>2026-02-22T19:16:00.000Z</t>
  </si>
  <si>
    <t>2026-02-21T19:28:17.000Z</t>
  </si>
  <si>
    <t>2026-02-22T01:28:17.000Z</t>
  </si>
  <si>
    <t>CEM4121028:used</t>
  </si>
  <si>
    <t>2026-02-22T13:18:22.000Z</t>
  </si>
  <si>
    <t>pick up and replace and tested with Scott good to go</t>
  </si>
  <si>
    <t>2026-02-22T13:18:24.000Z</t>
  </si>
  <si>
    <t>Big bill notebox is cracked and needs to be replaced  [Generated by Portal Login: repa14 Contact: patrick Reeves 3092411908 ftfmsupport@rdspos.com]</t>
  </si>
  <si>
    <t>2026-02-21T19:28:18.000Z</t>
  </si>
  <si>
    <t>2026-02-21T19:39:56.000Z</t>
  </si>
  <si>
    <t>2026-02-22T10:44:20.000Z</t>
  </si>
  <si>
    <t>Big bill notebox is cracked and needs to be replaced  [Generated by Portal Login: repa14 Contact: patrick Reeves 3092411908 ftfmsupport@rdspos.com]-CE IS NOW US153C05-CE WAS US153C05-CE IS NOW US153C07-LOM Order Processing, Part has been Ordered, Remedy ID 000000014985789- (Pick Up) by Agent Auto CE pickup-Oracle Order Shipped for Remedy Id: U018871192, Order/Receipt # 182089620, Ordered Part 4970514333, Part Description - Fujitsu GSR50 Note Recycler - Cashbox (Service Part), Shipment/Receipt #2117239324, Part has been Shipped, Qty 1, Priority NFO, Shipping Method CE Pickup After Hours, BOL/Job NA, Source Location UFF USFORD1G-CEM4121028:used-pick up and replace and tested with Scott good to go-New Item :7360-4010-9090 New Serial Number :57-60595331 Old Item :7360-4010-9090 Old Serial Number :57-60595331</t>
  </si>
  <si>
    <t>2026-04-11T16:35:08.000Z</t>
  </si>
  <si>
    <t>2026-04-11T10:13:00.000Z</t>
  </si>
  <si>
    <t>2026-04-11T15:13:00.000Z</t>
  </si>
  <si>
    <t>2026-04-11T11:23:00.000Z</t>
  </si>
  <si>
    <t>2026-04-11T16:23:00.000Z</t>
  </si>
  <si>
    <t>2026-04-10T16:00:58.000Z</t>
  </si>
  <si>
    <t>2026-04-10T21:00:58.000Z</t>
  </si>
  <si>
    <t>CEM4212516:damaged belt</t>
  </si>
  <si>
    <t>2026-04-11T11:23:52.000Z</t>
  </si>
  <si>
    <t>replaced active coin box due to it kept getting jammed. Tested successfully verified by Amanda onsite</t>
  </si>
  <si>
    <t>2026-04-11T11:23:54.000Z</t>
  </si>
  <si>
    <t>SCO12 has a Coin recycler error- Active coin box error  [Generated by Portal Login: most14 Contact: Staci Mowder 3096133038 ftfmsupport@rdspos.com]</t>
  </si>
  <si>
    <t>CE IS NOW US153C04</t>
  </si>
  <si>
    <t>2026-04-10T16:02:45.000Z</t>
  </si>
  <si>
    <t>CE WAS US153C04</t>
  </si>
  <si>
    <t>2026-04-10T20:41:21.000Z</t>
  </si>
  <si>
    <t>SCO12 has a Coin recycler error- Active coin box error  [Generated by Portal Login: most14 Contact: Staci Mowder 3096133038 ftfmsupport@rdspos.com]-CE IS NOW US153C04-CE WAS US153C04-CE IS NOW US153C09-CEM4212516:damaged belt-replaced active coin box due to it kept getting jammed. Tested successfully verified by Amanda onsite-New Item :7360-4010-9090 New Serial Number :57-60588400 Old Item :7360-4010-9090 Old Serial Number :57-60588428</t>
  </si>
  <si>
    <t>2025-10-08T21:07:59.000Z</t>
  </si>
  <si>
    <t>2025-10-08T14:33:00.000Z</t>
  </si>
  <si>
    <t>2025-10-08T19:33:00.000Z</t>
  </si>
  <si>
    <t>2025-10-08T15:49:00.000Z</t>
  </si>
  <si>
    <t>2025-10-08T20:49:00.000Z</t>
  </si>
  <si>
    <t>2025-10-08T09:02:31.000Z</t>
  </si>
  <si>
    <t>2025-10-08T14:02:31.000Z</t>
  </si>
  <si>
    <t>2025-10-08T14:02:32.000Z</t>
  </si>
  <si>
    <t>2025-10-08T09:02:32.000Z</t>
  </si>
  <si>
    <t>Validator singulator disk motor stalled. unable to troubleshoot had to replace. everything is now operating normally.</t>
  </si>
  <si>
    <t>2025-10-08T15:51:11.000Z</t>
  </si>
  <si>
    <t>New Item :7360-4010-9090 New Serial Number :57-60595342 Old Item :7360-4010-9090 Old Serial Number :57-60595298</t>
  </si>
  <si>
    <t>2025-10-08T15:51:13.000Z</t>
  </si>
  <si>
    <t>SCO 12 has a coin recycler error validator motor error singulator error code 16-6-0-99-131843  [Generated by Portal Login: besa14 Contact: Sabrina Bechtel 715-498-6611 ftfmsupport@rdspos.com]</t>
  </si>
  <si>
    <t>2025-10-08T09:35:57.000Z</t>
  </si>
  <si>
    <t>CEM3949460:motor stalled</t>
  </si>
  <si>
    <t>SCO 12 has a coin recycler error validator motor error singulator error code 16-6-0-99-131843  [Generated by Portal Login: besa14 Contact: Sabrina Bechtel 715-498-6611 ftfmsupport@rdspos.com]-CE IS NOW US153C19-CEM3949460:motor stalled-Validator singulator disk motor stalled. unable to troubleshoot had to replace. everything is now operating normally.-New Item :7360-4010-9090 New Serial Number :57-60595342 Old Item :7360-4010-9090 Old Serial Number :57-60595298</t>
  </si>
  <si>
    <t>2026-02-16T16:02:26.000Z</t>
  </si>
  <si>
    <t>2026-02-16T09:36:00.000Z</t>
  </si>
  <si>
    <t>2026-02-16T15:36:00.000Z</t>
  </si>
  <si>
    <t>2026-02-16T09:49:00.000Z</t>
  </si>
  <si>
    <t>2026-02-16T15:49:00.000Z</t>
  </si>
  <si>
    <t>2026-02-15T14:53:38.000Z</t>
  </si>
  <si>
    <t>2026-02-15T20:53:38.000Z</t>
  </si>
  <si>
    <t>arrived onsite, verified issue, gained access to sco, loaded sco into pml, cleared coin paper from sorter, tested with mod, no other issues found</t>
  </si>
  <si>
    <t>2026-02-16T09:47:55.000Z</t>
  </si>
  <si>
    <t>New Item :7360-4010-9090 New Serial Number :57-60587856 Old Item :7360-4010-9090 Old Serial Number :57-60587819</t>
  </si>
  <si>
    <t>2026-02-16T09:50:21.000Z</t>
  </si>
  <si>
    <t>Coin Recycler Error Transfer Chamber overflowed 16-6-0--99-67330  [Generated by Portal Login: repa14 Contact: Patrick Reeves 3092411908 ftfmsupprot@rdspos.com]</t>
  </si>
  <si>
    <t>2026-02-15T14:53:39.000Z</t>
  </si>
  <si>
    <t>2026-02-15T15:14:03.000Z</t>
  </si>
  <si>
    <t>2026-02-16T07:18:41.000Z</t>
  </si>
  <si>
    <t>Coin Recycler Error Transfer Chamber overflowed 16-6-0--99-67330  [Generated by Portal Login: repa14 Contact: Patrick Reeves 3092411908 ftfmsupprot@rdspos.com]-CE IS NOW US153N63-CE WAS US153N63-CE IS NOW US153N79-arrived onsite, verified issue, gained access to sco, loaded sco into pml, cleared coin paper from sorter, tested with mod, no other issues found-arrived onsite, verified issue, gained access to sco, loaded sco into pml, cleared coin paper from sorter, tested with mod, no other issues found-New Item :7360-4010-9090 New Serial Number :57-60587856 Old Item :7360-4010-9090 Old Serial Number :57-60587819</t>
  </si>
  <si>
    <t>2025-12-05T17:43:37.000Z</t>
  </si>
  <si>
    <t>2025-12-05T11:38:00.000Z</t>
  </si>
  <si>
    <t>2025-12-05T16:38:00.000Z</t>
  </si>
  <si>
    <t>2025-12-05T12:26:00.000Z</t>
  </si>
  <si>
    <t>2025-12-05T17:26:00.000Z</t>
  </si>
  <si>
    <t>2025-12-05T10:48:53.000Z</t>
  </si>
  <si>
    <t>2025-12-05T15:48:53.000Z</t>
  </si>
  <si>
    <t>2025-12-05T12:31:42.000Z</t>
  </si>
  <si>
    <t>SCO 13 has a note recycler error recycler 2 device error code 5-9-0-37-20752  [Generated by Portal Login: besa14 Contact: Sabrina Bechtel 715-498-6611 ftfmsupport@rdspos.com]</t>
  </si>
  <si>
    <t>2025-12-05T10:49:25.000Z</t>
  </si>
  <si>
    <t>2 $5 bills needed removed from 2nd cassette and adjusted rollers to make sure sensors weren't being blocked.  tested cash with front end and was successful</t>
  </si>
  <si>
    <t>2025-12-05T12:31:40.000Z</t>
  </si>
  <si>
    <t>SCO 13 has a note recycler error recycler 2 device error code 5-9-0-37-20752  [Generated by Portal Login: besa14 Contact: Sabrina Bechtel 715-498-6611 ftfmsupport@rdspos.com]-CE IS NOW US133E76-2 $5 bills needed removed from 2nd cassette and adjusted rollers to make sure sensors weren't being blocked.  tested cash with front end and was successful-New Item :7360-4010-9090 New Serial Number :57-60590110 Old Item :7360-4010-9090 Old Serial Number :57-60590087</t>
  </si>
  <si>
    <t>2025-12-07T19:03:59.000Z</t>
  </si>
  <si>
    <t>2025-12-07T13:20:00.000Z</t>
  </si>
  <si>
    <t>2025-12-07T18:20:00.000Z</t>
  </si>
  <si>
    <t>2025-12-07T13:48:00.000Z</t>
  </si>
  <si>
    <t>2025-12-07T18:48:00.000Z</t>
  </si>
  <si>
    <t>2025-12-06T16:22:38.000Z</t>
  </si>
  <si>
    <t>2025-12-06T21:22:38.000Z</t>
  </si>
  <si>
    <t>2025-12-07T11:12:34.000Z</t>
  </si>
  <si>
    <t>Gsr50 jam error with no jam present. Reseated all doors in top module and error cleared. Tested with MOD Cindy and had no errors. Watched transactions with no issues. Closing call</t>
  </si>
  <si>
    <t>2025-12-07T13:48:27.000Z</t>
  </si>
  <si>
    <t>2025-12-07T13:48:29.000Z</t>
  </si>
  <si>
    <t>SCO 16 has a note recycler error jam in main module error code 5-9-0-4-62984.  [Generated by Portal Login: besa14 Contact: Sabrina Bechtel 715-498-6611 ftfmsupport@rdspos.com]</t>
  </si>
  <si>
    <t>2025-12-06T16:22:39.000Z</t>
  </si>
  <si>
    <t>2025-12-06T16:24:49.000Z</t>
  </si>
  <si>
    <t>CE WAS US153C41</t>
  </si>
  <si>
    <t>2025-12-07T11:12:33.000Z</t>
  </si>
  <si>
    <t>SCO 16 has a note recycler error jam in main module error code 5-9-0-4-62984.  [Generated by Portal Login: besa14 Contact: Sabrina Bechtel 715-498-6611 ftfmsupport@rdspos.com]-CE IS NOW US153C41-CE WAS US153C41-CE IS NOW US153C45-Gsr50 jam error with no jam present. Reseated all doors in top module and error cleared. Tested with MOD Cindy and had no errors. Watched transactions with no issues. Closing call-New Item :7360-4010-9090 New Serial Number :57-60588465 Old Item :7360-4010-9090 Old Serial Number :57-60588451</t>
  </si>
  <si>
    <t>2026-06-02T20:55:42.000Z</t>
  </si>
  <si>
    <t>34DS</t>
  </si>
  <si>
    <t>2026-06-02T08:25:00.000Z</t>
  </si>
  <si>
    <t>2026-06-02T13:25:00.000Z</t>
  </si>
  <si>
    <t>2026-06-02T14:50:00.000Z</t>
  </si>
  <si>
    <t>2026-06-02T19:50:00.000Z</t>
  </si>
  <si>
    <t>2026-06-01T20:41:50.000Z</t>
  </si>
  <si>
    <t>2026-06-02T01:41:50.000Z</t>
  </si>
  <si>
    <t>lane has blue screen need reimage ncr dont service software for this site Its RDS that do reimage good to go for now Michelle will call RDS for reimage good to go for now</t>
  </si>
  <si>
    <t>2026-06-02T14:52:08.000Z</t>
  </si>
  <si>
    <t>2026-06-02T14:52:10.000Z</t>
  </si>
  <si>
    <t>Oracle Order Shipped for Remedy Id: U018934777, Order/Receipt # 182320721, Ordered Part 0068627916, Part Description - DRIVE, 120GB 2.5 SSD, SATA, BICS4, Shipment/Receipt #2118959984, Part has been Shipped, Qty 1, Priority OVERNIGHT, Shipping Method UPS-Air-Next Day Air Saver, BOL/Job 1ZH92Y051302969302, Source Location PTC AVL</t>
  </si>
  <si>
    <t>2026-06-02T23:33:31.000Z</t>
  </si>
  <si>
    <t>SCO 16 will not boot up all the way, SCO is not pingable, appears to be offline. Manager not comfortable resetting cables  [Generated by Portal Login: coas14 Contact: Ashley Cooper 3092131564 ftfmsupport@rdspos.com]</t>
  </si>
  <si>
    <t>2026-06-01T20:55:13.000Z</t>
  </si>
  <si>
    <t>2026-06-02T07:39:03.000Z</t>
  </si>
  <si>
    <t>SCO 16 will not boot up all the way, SCO is not pingable, appears to be offline. Manager not comfortable resetting cables  [Generated by Portal Login: coas14 Contact: Ashley Cooper 3092131564 ftfmsupport@rdspos.com]-CE IS NOW US153C05-CE WAS US153C05-CE IS NOW US153C07-call helpdesk they were doing investigation they didn't see open tickets was on hold for 45 min to get clarification ordering HD ssd blue screen of death need SSD and we call them back for images set up  as $$$$$$$$$$$$$$$$$$$$$$$$$$$$$$$$$$$$$$$$$$$$$$$$$$$$for call not being in there system if they give you a hard time tell them its was put in through the portal thats why they cant see call open  for this site $$$$$$$$$$$$$$$$$$$$$$$$$$$$$$$$$$$$$$$$$$$$$$$$$$$$$$$$$$$$$$$$-LOM order processing, Part has been Ordered , Remedy Id 000000015054261 - (Next Day) by Agent Auto VIP P000-CE IS NOW US153C07-6167358888-lane has blue screen need reimage ncr dont service software for this site Its RDS that do reimage good to go for now Michelle will call RDS for reimage good to go for now-New Item :7360-4010-9090 New Serial Number :57-60587767 Old Item :7360-4010-9090 Old Serial Number :57-60587767-Oracle Order Shipped for Remedy Id: U018934777, Order/Receipt # 182320721, Ordered Part 0068627916, Part Description - DRIVE, 120GB 2.5 SSD, SATA, BICS4, Shipment/Receipt #2118959984, Part has been Shipped, Qty 1, Priority OVERNIGHT, Shipping Method UPS-Air-Next Day Air Saver, BOL/Job 1ZH92Y051302969302, Source Location PTC AVL</t>
  </si>
  <si>
    <t>2025-12-07T18:40:16.000Z</t>
  </si>
  <si>
    <t>2025-12-07T12:56:00.000Z</t>
  </si>
  <si>
    <t>2025-12-07T17:56:00.000Z</t>
  </si>
  <si>
    <t>2025-12-07T13:24:00.000Z</t>
  </si>
  <si>
    <t>2025-12-07T18:24:00.000Z</t>
  </si>
  <si>
    <t>2025-12-06T18:59:15.000Z</t>
  </si>
  <si>
    <t>2025-12-06T23:59:15.000Z</t>
  </si>
  <si>
    <t>2025-12-06T23:59:16.000Z</t>
  </si>
  <si>
    <t>2025-12-06T18:59:16.000Z</t>
  </si>
  <si>
    <t>CEM4065835:no tach on singularity motor</t>
  </si>
  <si>
    <t>2025-12-07T13:08:20.000Z</t>
  </si>
  <si>
    <t>@@@ no tach seen on singularity motor error, replaced and tested new validator without issue, worked with mod Ethan@@@</t>
  </si>
  <si>
    <t>2025-12-07T13:25:02.000Z</t>
  </si>
  <si>
    <t>New Item :7360-4010-9090 New Serial Number :57-60591322 Old Item :7360-4010-9090 Old Serial Number :57-60587769</t>
  </si>
  <si>
    <t>2025-12-07T13:25:04.000Z</t>
  </si>
  <si>
    <t>2025-12-06T19:02:39.000Z</t>
  </si>
  <si>
    <t>2025-12-07T12:01:11.000Z</t>
  </si>
  <si>
    <t>SCO 15 has a coin recycler error validator motor error singulator error code 16-6-0-99-131843  [Generated by Portal Login: besa14 Contact: Sabrina Bechtel 715-498-6611 ftfmsupport@rdspos.com]-CE IS NOW US133B35-CE WAS US133B35-CE IS NOW US133B33-CE IS NOW US133B33-CEM4065835:no tach on singularity motor-@@@ no tach seen on singularity motor error, replaced and tested new validator without issue, worked with mod Ethan@@@-New Item :7360-4010-9090 New Serial Number :57-60591322 Old Item :7360-4010-9090 Old Serial Number :57-60587769</t>
  </si>
  <si>
    <t>2025-08-27T22:12:31.000Z</t>
  </si>
  <si>
    <t>57-60587758</t>
  </si>
  <si>
    <t>2025-08-27T17:41:00.000Z</t>
  </si>
  <si>
    <t>2025-08-27T21:41:00.000Z</t>
  </si>
  <si>
    <t>2025-08-27T17:56:00.000Z</t>
  </si>
  <si>
    <t>2025-08-27T21:56:00.000Z</t>
  </si>
  <si>
    <t>2025-08-26T14:54:44.000Z</t>
  </si>
  <si>
    <t>2025-08-26T18:54:44.000Z</t>
  </si>
  <si>
    <t>2025-08-27T07:16:20.000Z</t>
  </si>
  <si>
    <t>On arrival soft check out 12 was. According to employees difficult to open the security door upon testing it. It did seem a little hard to open but nothing too out of the ordinary went in and tried to clean out the mechanism of the lock mechanism in the path as best as possible.  Door does move a little bit smoother than before but nothing out of the ordinary</t>
  </si>
  <si>
    <t>2025-08-27T17:56:49.000Z</t>
  </si>
  <si>
    <t>New Item :7360-4010-9090 New Serial Number :57-60587758 Old Item :7360-4010-9090 Old Serial Number :57-60588438</t>
  </si>
  <si>
    <t>2025-08-27T17:56:52.000Z</t>
  </si>
  <si>
    <t>SCO12 knob on door keeps getting jammed and is difficult to open.  [Generated by Portal Login: most14 Contact: Staci Mowder 3096133038 ftfmsupport@rdspos.com]</t>
  </si>
  <si>
    <t>2025-08-26T14:54:45.000Z</t>
  </si>
  <si>
    <t>2025-08-26T14:54:50.000Z</t>
  </si>
  <si>
    <t>2025-08-27T07:16:19.000Z</t>
  </si>
  <si>
    <t>SCO12 knob on door keeps getting jammed and is difficult to open.  [Generated by Portal Login: most14 Contact: Staci Mowder 3096133038 ftfmsupport@rdspos.com]-CE IS NOW US133C27-CE WAS US133C27-CE IS NOW US133C17-On arrival soft check out 12 was. According to employees difficult to open the security door upon testing it. It did seem a little hard to open but nothing too out of the ordinary went in and tried to clean out the mechanism of the lock mechanism in the path as best as possible.  Door does move a little bit smoother than before but nothing out of the ordinary-New Item :7360-4010-9090 New Serial Number :57-60587758 Old Item :7360-4010-9090 Old Serial Number :57-60588438</t>
  </si>
  <si>
    <t>2025-09-16T14:31:58.000Z</t>
  </si>
  <si>
    <t>2025-09-16T09:23:00.000Z</t>
  </si>
  <si>
    <t>2025-09-16T13:23:00.000Z</t>
  </si>
  <si>
    <t>2025-09-16T10:18:00.000Z</t>
  </si>
  <si>
    <t>2025-09-16T14:18:00.000Z</t>
  </si>
  <si>
    <t>2025-09-15T13:23:10.000Z</t>
  </si>
  <si>
    <t>2025-09-15T17:23:10.000Z</t>
  </si>
  <si>
    <t>2025-09-15T17:23:12.000Z</t>
  </si>
  <si>
    <t>2025-09-15T13:23:12.000Z</t>
  </si>
  <si>
    <t>There was a paper stuck in the reject flap. They said they were loading the coins and the paper got stuck in the crane validator/acceptor</t>
  </si>
  <si>
    <t>2025-09-16T10:19:47.000Z</t>
  </si>
  <si>
    <t>Took off the crane validator, took the paper out of the rejected flap</t>
  </si>
  <si>
    <t>2025-09-16T10:19:48.000Z</t>
  </si>
  <si>
    <t>SCO 15 has a coin recycler error accept/reject flap not working or jammed error code 16-6-0-99-132097  [Generated by Portal Login: besa14 Contact: Sabrina Bechtel 715-498-6611 ftfmsupport@rdspos.com]</t>
  </si>
  <si>
    <t>2025-09-15T13:23:13.000Z</t>
  </si>
  <si>
    <t>2025-09-15T13:24:47.000Z</t>
  </si>
  <si>
    <t>2025-09-16T07:34:56.000Z</t>
  </si>
  <si>
    <t>SCO 15 has a coin recycler error accept/reject flap not working or jammed error code 16-6-0-99-132097  [Generated by Portal Login: besa14 Contact: Sabrina Bechtel 715-498-6611 ftfmsupport@rdspos.com]-CE IS NOW US133C44-CE WAS US133C44-CE IS NOW US133C42-There was a paper stuck in the reject flap. They said they were loading the coins and the paper got stuck in the crane validator/acceptor-Took off the crane validator, took the paper out of the rejected flap-New Item :7360-4010-9090 New Serial Number :20-59067334 Old Item :7360-4010-9090 Old Serial Number :57-60595292</t>
  </si>
  <si>
    <t>2025-12-24T21:34:46.000Z</t>
  </si>
  <si>
    <t>2025-12-24T15:12:00.000Z</t>
  </si>
  <si>
    <t>2025-12-24T20:12:00.000Z</t>
  </si>
  <si>
    <t>2025-12-24T16:19:00.000Z</t>
  </si>
  <si>
    <t>2025-12-24T21:19:00.000Z</t>
  </si>
  <si>
    <t>2025-12-23T16:11:46.000Z</t>
  </si>
  <si>
    <t>2025-12-23T21:11:46.000Z</t>
  </si>
  <si>
    <t>2025-12-23T21:11:48.000Z</t>
  </si>
  <si>
    <t>2025-12-23T16:11:48.000Z</t>
  </si>
  <si>
    <t>2025-12-24T16:20:44.000Z</t>
  </si>
  <si>
    <t>SCO16 reoccuring Note recycler error and not giving proper change  [Generated by Portal Login: most14 Contact: Staci Mowder 3096133038 ftfmsupport@rdspos.com]</t>
  </si>
  <si>
    <t>2025-12-23T16:12:00.000Z</t>
  </si>
  <si>
    <t>blew out dust and tested successfully. unit was functional on arrival.</t>
  </si>
  <si>
    <t>2025-12-24T16:20:41.000Z</t>
  </si>
  <si>
    <t>SCO16 reoccuring Note recycler error and not giving proper change  [Generated by Portal Login: most14 Contact: Staci Mowder 3096133038 ftfmsupport@rdspos.com]-CE IS NOW US133E71-blew out dust and tested successfully. unit was functional on arrival.-New Item :7360-4010-9090 New Serial Number :57-60588444 Old Item :7360-4010-9090 Old Serial Number :57-60588444</t>
  </si>
  <si>
    <t>2025-12-18T22:38:20.000Z</t>
  </si>
  <si>
    <t>2025-12-18T16:54:00.000Z</t>
  </si>
  <si>
    <t>2025-12-18T21:54:00.000Z</t>
  </si>
  <si>
    <t>2025-12-18T17:19:00.000Z</t>
  </si>
  <si>
    <t>2025-12-18T22:19:00.000Z</t>
  </si>
  <si>
    <t>2025-12-18T15:49:47.000Z</t>
  </si>
  <si>
    <t>2025-12-18T20:49:47.000Z</t>
  </si>
  <si>
    <t>2025-12-18T17:21:24.000Z</t>
  </si>
  <si>
    <t>Door/lock is jammed on SCO16 and unable to open outer door   [Generated by Portal Login: most14 Contact: Staci Mowder 3096133038 ftfmsupport@rdspos.com]</t>
  </si>
  <si>
    <t>2025-12-18T15:54:04.000Z</t>
  </si>
  <si>
    <t>Arrived on-site and checked in with the store manager. Inspected the door latch and confirmed the latch clip at the bottom of the mechanism was jammed on the door. Removed the latch mechanism and repositioned the clip to ensure the mechanism functioned smoothly. Tested with the store manager and returned the lane to service.</t>
  </si>
  <si>
    <t>2025-12-18T17:21:22.000Z</t>
  </si>
  <si>
    <t>Door/lock is jammed on SCO16 and unable to open outer door   [Generated by Portal Login: most14 Contact: Staci Mowder 3096133038 ftfmsupport@rdspos.com]-CE IS NOW US133U34-Arrived on-site and checked in with the store manager. Inspected the door latch and confirmed the latch clip at the bottom of the mechanism was jammed on the door. Removed the latch mechanism and repositioned the clip to ensure the mechanism functioned smoothly. Tested with the store manager and returned the lane to service.-New Item :7360-4010-9090 New Serial Number :57-60591364 Old Item :7360-4010-9090 Old Serial Number :57-60591378</t>
  </si>
  <si>
    <t>2026-07-11T14:28:49.000Z</t>
  </si>
  <si>
    <t>2026-07-11T08:22:00.000Z</t>
  </si>
  <si>
    <t>2026-07-11T13:22:00.000Z</t>
  </si>
  <si>
    <t>2026-07-11T09:14:00.000Z</t>
  </si>
  <si>
    <t>2026-07-11T14:14:00.000Z</t>
  </si>
  <si>
    <t>2026-07-10T08:10:54.000Z</t>
  </si>
  <si>
    <t>2026-07-10T13:10:54.000Z</t>
  </si>
  <si>
    <t>2026-07-11T07:44:02.000Z</t>
  </si>
  <si>
    <t>The main module for BNR was not accepting bills all the time. I found lots of dirt in the BNR. Cleaned the BNR and ran a.d.d.  tested ok with  Danielle</t>
  </si>
  <si>
    <t>2026-07-11T09:15:06.000Z</t>
  </si>
  <si>
    <t>2026-07-11T09:15:09.000Z</t>
  </si>
  <si>
    <t>Very slow in cash management, continously has Bill recycler errors on and off, Manager requesting a tech come on site, check it out and clean sensors on SCO15   [Generated by Portal Login: most14 Contact: Staci Mowder 2694689716 FTFMSupport@rdspos.com]</t>
  </si>
  <si>
    <t>2026-07-10T08:10:55.000Z</t>
  </si>
  <si>
    <t>2026-07-10T08:11:51.000Z</t>
  </si>
  <si>
    <t>2026-07-10T19:27:19.000Z</t>
  </si>
  <si>
    <t>Very slow in cash management, continously has Bill recycler errors on and off, Manager requesting a tech come on site, check it out and clean sensors on SCO15   [Generated by Portal Login: most14 Contact: Staci Mowder 2694689716 FTFMSupport@rdspos.com]-CE IS NOW US153R25-CE WAS US153R25-CE IS NOW US153R27-CE WAS US153R27-CE IS NOW US153R21-CE IS NOW US153R21-The main module for BNR was not accepting bills all the time. I found lots of dirt in the BNR. Cleaned the BNR and ran a.d.d.  tested ok with  Danielle-New Item :7360-4010-9090 New Serial Number :57-60590109 Old Item :7360-4010-9090 Old Serial Number :57-60590109</t>
  </si>
  <si>
    <t>2026-07-14T23:46:44.000Z</t>
  </si>
  <si>
    <t>p#8619412262</t>
  </si>
  <si>
    <t>2026-07-13T12:11:00.000Z</t>
  </si>
  <si>
    <t>2026-07-13T16:11:00.000Z</t>
  </si>
  <si>
    <t>2026-07-14T19:30:00.000Z</t>
  </si>
  <si>
    <t>2026-07-14T23:30:00.000Z</t>
  </si>
  <si>
    <t>2026-07-13T09:25:11.000Z</t>
  </si>
  <si>
    <t>2026-07-13T13:25:11.000Z</t>
  </si>
  <si>
    <t>CEM4339761:not responding to touch</t>
  </si>
  <si>
    <t>2026-07-14T19:30:15.000Z</t>
  </si>
  <si>
    <t>@@@ the touch function stopped responding ... replaced it ... tested and functioning @@@</t>
  </si>
  <si>
    <t>New Item :7360-4010-9090 New Serial Number :p#8619412262 Old Item :7360-4010-9090 Old Serial Number :57-60587769</t>
  </si>
  <si>
    <t>2026-07-14T19:30:17.000Z</t>
  </si>
  <si>
    <t>SCO15 not acceptingt touch on monitor   [Generated by Portal Login: most14 Contact: Staci Mowder 2694689716 FTFMSupport@rdspos.com]</t>
  </si>
  <si>
    <t>2026-07-13T11:05:20.000Z</t>
  </si>
  <si>
    <t>@@@ suspending to order new p-cap touch screen @@@</t>
  </si>
  <si>
    <t>2026-07-13T12:37:43.000Z</t>
  </si>
  <si>
    <t>SCO15 not acceptingt touch on monitor   [Generated by Portal Login: most14 Contact: Staci Mowder 2694689716 FTFMSupport@rdspos.com]-CE IS NOW US133B36-@@@ suspending to order new p-cap touch screen @@@-LOM order processing, Part has been Ordered , Remedy Id 000000015082378 - (Next Day) by Agent Auto VIP P000-Oracle Order Shipped for Remedy Id: U018961219, Order/Receipt # 182414641, Ordered Part 4970514474, Part Description - SERVICE ASSEMBLY 7702 PCAP, Shipment/Receipt #2119747862, Part has been Shipped, Qty 1, Priority OVERNIGHT, Shipping Method UPS-Air-Next Day Air Saver, BOL/Job 1ZH92Y051303151451, Source Location PTC AVL-CE IS NOW US133B31-CEM4339761:not responding to touch-@@@ the touch function stopped responding ... replaced it ... tested and functioning @@@-New Item :7360-4010-9090 New Serial Number :p#8619412262 Old Item :7360-4010-9090 Old Serial Number :57-60587769</t>
  </si>
  <si>
    <t>2025-09-04T22:22:36.000Z</t>
  </si>
  <si>
    <t>2025-09-04T16:33:00.000Z</t>
  </si>
  <si>
    <t>2025-09-04T21:33:00.000Z</t>
  </si>
  <si>
    <t>2025-09-04T17:06:00.000Z</t>
  </si>
  <si>
    <t>2025-09-04T22:06:00.000Z</t>
  </si>
  <si>
    <t>JF185270</t>
  </si>
  <si>
    <t>2025-09-03T16:35:28.000Z</t>
  </si>
  <si>
    <t>2025-09-03T21:35:28.000Z</t>
  </si>
  <si>
    <t>2025-09-03T21:35:31.000Z</t>
  </si>
  <si>
    <t>2025-09-03T16:35:31.000Z</t>
  </si>
  <si>
    <t>CE IS NOW US153R47</t>
  </si>
  <si>
    <t>2025-09-04T11:48:52.000Z</t>
  </si>
  <si>
    <t>cleaned and reset the coin insert part. and tested out everything seems normal.</t>
  </si>
  <si>
    <t>2025-09-04T17:06:44.000Z</t>
  </si>
  <si>
    <t>2025-09-04T17:06:47.000Z</t>
  </si>
  <si>
    <t>SCO11 has a coin recycler error-debris flap stuck.  [Generated by Portal Login: most14 Contact: Staci Mowder 3096133038 ftfmsupport@rdspos.com]</t>
  </si>
  <si>
    <t>2025-09-03T16:35:32.000Z</t>
  </si>
  <si>
    <t>2025-09-03T16:54:01.000Z</t>
  </si>
  <si>
    <t>2025-09-04T11:48:51.000Z</t>
  </si>
  <si>
    <t>SCO11 has a coin recycler error-debris flap stuck.  [Generated by Portal Login: most14 Contact: Staci Mowder 3096133038 ftfmsupport@rdspos.com]-CE IS NOW US153R46-CE WAS US153R46-CE IS NOW US153R47-cleaned and reset the coin insert part. and tested out everything seems normal.-New Item :7360-4010-9090 New Serial Number :57-60587817 Old Item :7360-4010-9090 Old Serial Number :57-60587817</t>
  </si>
  <si>
    <t>2025-09-19T16:56:45.000Z</t>
  </si>
  <si>
    <t>2025-09-19T10:22:00.000Z</t>
  </si>
  <si>
    <t>2025-09-19T15:22:00.000Z</t>
  </si>
  <si>
    <t>2025-09-19T11:41:00.000Z</t>
  </si>
  <si>
    <t>2025-09-19T16:41:00.000Z</t>
  </si>
  <si>
    <t>2025-09-18T21:54:29.000Z</t>
  </si>
  <si>
    <t>2025-09-19T02:54:29.000Z</t>
  </si>
  <si>
    <t>2025-09-19T02:54:32.000Z</t>
  </si>
  <si>
    <t>2025-09-18T21:54:32.000Z</t>
  </si>
  <si>
    <t>physical damage to Acceptor</t>
  </si>
  <si>
    <t>2025-09-19T11:41:15.000Z</t>
  </si>
  <si>
    <t>validator clips on side were damaged on arrival.  replaced validator and there was an issue with the door control board which cleared after reseatting all the cables.  calibrated exit cup and avalanche sensor.  verified functionality with a dispense and accept test which passed without issue.  returned SCO to service</t>
  </si>
  <si>
    <t>2025-09-19T11:41:16.000Z</t>
  </si>
  <si>
    <t>Coin acceptor on SCO12 is broken off   [Generated by Portal Login: most14 Contact: Staci Mowder 3096133038 ftfmsupport@rdspos.com]</t>
  </si>
  <si>
    <t>2025-09-18T21:58:01.000Z</t>
  </si>
  <si>
    <t>CE WAS US153N46</t>
  </si>
  <si>
    <t>2025-09-19T07:48:01.000Z</t>
  </si>
  <si>
    <t>Coin acceptor on SCO12 is broken off   [Generated by Portal Login: most14 Contact: Staci Mowder 3096133038 ftfmsupport@rdspos.com]-CE IS NOW US153N46-CE WAS US153N46-CE IS NOW US153N40-CEM3913492:damaged clips on the side-physical damage to Acceptor-validator clips on side were damaged on arrival.  replaced validator and there was an issue with the door control board which cleared after reseatting all the cables.  calibrated exit cup and avalanche sensor.  verified functionality with a dispense and accept test which passed without issue.  returned SCO to service-New Item :7360-4010-9090 New Serial Number :57-60595294 Old Item :7360-4010-9090 Old Serial Number :57-60595294</t>
  </si>
  <si>
    <t>2025-09-19T17:21:01.000Z</t>
  </si>
  <si>
    <t>57-60595356</t>
  </si>
  <si>
    <t>2025-09-19T11:55:00.000Z</t>
  </si>
  <si>
    <t>2025-09-19T16:55:00.000Z</t>
  </si>
  <si>
    <t>2025-09-19T12:05:00.000Z</t>
  </si>
  <si>
    <t>2025-09-19T17:05:00.000Z</t>
  </si>
  <si>
    <t>2025-09-19T08:27:33.000Z</t>
  </si>
  <si>
    <t>2025-09-19T13:27:33.000Z</t>
  </si>
  <si>
    <t>2025-09-19T13:27:37.000Z</t>
  </si>
  <si>
    <t>2025-09-19T08:27:37.000Z</t>
  </si>
  <si>
    <t>came onsite talked with James frontend manager. looked over sco printer found about 2ft of receipt paper rolled up in top lid roller. removed. cleared rollers and print head. tested looks great.</t>
  </si>
  <si>
    <t>2025-09-19T12:06:27.000Z</t>
  </si>
  <si>
    <t>New Item :7360-4010-9090 New Serial Number :57-60595356 Old Item :7360-4310-9090 Old Serial Number :20-59053579</t>
  </si>
  <si>
    <t>2025-09-19T12:06:28.000Z</t>
  </si>
  <si>
    <t>Receipt print is super faded and hard to read  [Generated by Portal Login: coas14 Contact: Ashley 309-213-1564 ftfmsupport@rdspos.com]</t>
  </si>
  <si>
    <t>CE IS NOW US153N66</t>
  </si>
  <si>
    <t>2025-09-19T08:34:24.000Z</t>
  </si>
  <si>
    <t>Receipt print is super faded and hard to read  [Generated by Portal Login: coas14 Contact: Ashley 309-213-1564 ftfmsupport@rdspos.com]-CE IS NOW US153N66-came onsite talked with James frontend manager. looked over sco printer found about 2ft of receipt paper rolled up in top lid roller. removed. cleared rollers and print head. tested looks great.-came onsite talked with James frontend manager. looked over sco printer found about 2ft of receipt paper rolled up in top lid roller. removed. cleared rollers and print head. tested looks great.-New Item :7360-4010-9090 New Serial Number :57-60595356 Old Item :7360-4310-9090 Old Serial Number :20-59053579</t>
  </si>
  <si>
    <t>2026-06-20T02:58:44.000Z</t>
  </si>
  <si>
    <t>57-58264226</t>
  </si>
  <si>
    <t>2026-06-19T21:23:00.000Z</t>
  </si>
  <si>
    <t>2026-06-20T02:23:00.000Z</t>
  </si>
  <si>
    <t>2026-06-19T21:47:00.000Z</t>
  </si>
  <si>
    <t>2026-06-20T02:47:00.000Z</t>
  </si>
  <si>
    <t>2026-06-19T12:53:11.000Z</t>
  </si>
  <si>
    <t>2026-06-19T17:53:11.000Z</t>
  </si>
  <si>
    <t>2026-06-19T17:53:13.000Z</t>
  </si>
  <si>
    <t>2026-06-19T12:53:13.000Z</t>
  </si>
  <si>
    <t>2026-06-19T20:12:58.000Z</t>
  </si>
  <si>
    <t>dying battery on ups. replaced and tested without further issue or incident self checkout lane number 7 mod deandre</t>
  </si>
  <si>
    <t>2026-06-19T21:47:40.000Z</t>
  </si>
  <si>
    <t>New Item :7360-4010-9090 New Serial Number :57-58264226 Old Item :7360-4010-9090 Old Serial Number :57-58264214</t>
  </si>
  <si>
    <t>2026-06-19T21:47:42.000Z</t>
  </si>
  <si>
    <t>SCO7 not powering on. May need battery backup replaced   [Generated by Portal Login: most14 Contact: Staci Mowder 2694689716 FTFMSupport@rdspos.com]</t>
  </si>
  <si>
    <t>2026-06-19T12:53:14.000Z</t>
  </si>
  <si>
    <t>2026-06-19T12:57:59.000Z</t>
  </si>
  <si>
    <t>2026-06-19T20:12:56.000Z</t>
  </si>
  <si>
    <t>SCO7 not powering on. May need battery backup replaced   [Generated by Portal Login: most14 Contact: Staci Mowder 2694689716 FTFMSupport@rdspos.com]-CE IS NOW US153N64-CE WAS US153N64-CE IS NOW US153N63-CE IS NOW US153N63-dying battery on ups. replaced and tested without further issue or incident self checkout lane number 7 mod deandre-New Item :7360-4010-9090 New Serial Number :57-58264226 Old Item :7360-4010-9090 Old Serial Number :57-58264214</t>
  </si>
  <si>
    <t>2025-08-11T18:50:42.000Z</t>
  </si>
  <si>
    <t>2025-08-09T18:15:00.000Z</t>
  </si>
  <si>
    <t>2025-08-09T22:15:00.000Z</t>
  </si>
  <si>
    <t>2025-08-11T14:32:00.000Z</t>
  </si>
  <si>
    <t>2025-08-11T18:32:00.000Z</t>
  </si>
  <si>
    <t>2025-08-09T15:09:15.000Z</t>
  </si>
  <si>
    <t>2025-08-09T19:09:15.000Z</t>
  </si>
  <si>
    <t>CEM3743097:not accepting pennies</t>
  </si>
  <si>
    <t>2025-08-11T14:33:48.000Z</t>
  </si>
  <si>
    <t>replaced coin hopper but validator kept rejecting pennies even after running ADD so replaced validator as well then tested and made sure everything is working properly</t>
  </si>
  <si>
    <t>2025-08-11T14:33:51.000Z</t>
  </si>
  <si>
    <t>2025-08-11T14:33:52.000Z</t>
  </si>
  <si>
    <t>SCO will spit pennies out, but will not accept any pennies. All other coins are fine  [Generated by Portal Login: repa14 Contact: Patrick Reeves 3092411908 ftfmsupport@rdspos.com]</t>
  </si>
  <si>
    <t>2025-08-09T15:09:16.000Z</t>
  </si>
  <si>
    <t>2025-08-09T15:11:01.000Z</t>
  </si>
  <si>
    <t>LOM order processing, Part has been Ordered , Remedy Id 000000014832631 - (Next Day) by Agent Auto VIP P000</t>
  </si>
  <si>
    <t>2025-08-09T18:28:09.000Z</t>
  </si>
  <si>
    <t>SCO will spit pennies out, but will not accept any pennies. All other coins are fine  [Generated by Portal Login: repa14 Contact: Patrick Reeves 3092411908 ftfmsupport@rdspos.com]-CE IS NOW US133C75-LOM order processing, Part has been Ordered , Remedy Id 000000014832631 - (Next Day) by Agent Auto VIP P000-sco 14 penny hopper isn't accepting any pennies. unable to get access to the parts list to order a new order penny hopper.-LOM order processing, Part has been Ordered , Remedy Id 000000014832801 - (Pick Up)OH, Clevelandby Agent Auto CE pickup-Oracle Order Shipped for Remedy Id: U018721303, Order/Receipt # 181605730, Ordered Part 4970524534, Part Description - CR5000 Hopper type B (service Part), Shipment/Receipt #2109989478, Part has been Shipped, Qty 1, Priority NFO, Shipping Method CE Pickup After Hours, BOL/Job NA, Source Location UFF USFCLE1G-Oracle Order Shipped for Remedy Id: U018721090, Order/Receipt # 181605549, Ordered Part 4970524534, Part Description - CR5000 Hopper type B (service Part), Shipment/Receipt #2109983165, Part has been Shipped, Qty 1, Priority OVERNIGHT, Shipping Method UPS-Air-Next Day Air Saver, BOL/Job 1ZH92Y051301360087, Source Location PTC AVL-CE WAS US133C75-CE IS NOW US133C73-CEM3743096:bad hopper-CEM3743097:not accepting pennies-replaced coin hopper but validator kept rejecting pennies even after running ADD so replaced validator as well then tested and made sure everything is working properly-New Item :7360-4010-9090 New Serial Number :57-60587792 Old Item :7360-4010-9090 Old Serial Number :57-60587770</t>
  </si>
  <si>
    <t>2026-04-03T17:12:03.000Z</t>
  </si>
  <si>
    <t>2026-04-03T10:31:00.000Z</t>
  </si>
  <si>
    <t>2026-04-03T15:31:00.000Z</t>
  </si>
  <si>
    <t>2026-04-03T11:56:00.000Z</t>
  </si>
  <si>
    <t>2026-04-03T16:56:00.000Z</t>
  </si>
  <si>
    <t>2026-04-02T08:10:12.000Z</t>
  </si>
  <si>
    <t>2026-04-02T13:10:12.000Z</t>
  </si>
  <si>
    <t>2026-04-02T13:10:14.000Z</t>
  </si>
  <si>
    <t>2026-04-02T08:10:14.000Z</t>
  </si>
  <si>
    <t>store dropped in coin wrapper with coins and caused a jam that broke the belt</t>
  </si>
  <si>
    <t>2026-04-03T11:56:24.000Z</t>
  </si>
  <si>
    <t>replaced the defective coin recycler chassis and removed all the jammed coins. we then tested the CR5000 and reinserted all the coins back in the sco. The SCO is back in service.</t>
  </si>
  <si>
    <t>2026-04-03T11:56:25.000Z</t>
  </si>
  <si>
    <t>SCO12  has a Coin recycler error-Transfer motor jam NCR has been on site twice already for this same error on this same SCO. Work for a bit then shows same error [Generated by Portal Login: most14 Contact: Staci Mowder 3096133038 ftfmsupport@rdspos.com]</t>
  </si>
  <si>
    <t>CE IS NOW US153R38</t>
  </si>
  <si>
    <t>2026-04-02T08:13:44.000Z</t>
  </si>
  <si>
    <t>CE WAS US153R38</t>
  </si>
  <si>
    <t>2026-04-02T11:27:59.000Z</t>
  </si>
  <si>
    <t>SCO12  has a Coin recycler error-Transfer motor jam NCR has been on site twice already for this same error on this same SCO. Work for a bit then shows same error [Generated by Portal Login: most14 Contact: Staci Mowder 3096133038 ftfmsupport@rdspos.com]-CE IS NOW US153R38-CE WAS US153R38-CE IS NOW US153R40-CE IS NOW US153R40-Arrived at store and found that there was a jam behind the validator. The belt hooks were snapped on a belt link and was causing the jam. Ordering pn 4970533872-LOM order processing, Part has been Ordered , Remedy Id 000000015012583 - (Next Day) by Agent Auto VIP P000-Oracle Order Shipped for Remedy Id: U018896657, Order/Receipt # 182181176, Ordered Part 4970523480, Part Description - Chassis module only; No motor, sorter , Active cas, Shipment/Receipt #2117897709, Substitute Part was Shipped, Part has been Shipped, Qty 1, Priority OVERNIGHT, Shipping Method UPS-Air-Next Day Air Saver, BOL/Job 1ZH92Y051302677369, Source Location PTC AVL-CE IS NOW US153R32-CEM3877427:damaged belt-store dropped in coin wrapper with coins and caused a jam that broke the belt-replaced the defective coin recycler chassis and removed all the jammed coins. we then tested the CR5000 and reinserted all the coins back in the sco. The SCO is back in service.-New Item :7360-4010-9090 New Serial Number :57-60588453 Old Item :7360-4010-9090 Old Serial Number :57-60588453</t>
  </si>
  <si>
    <t>2026-03-08T16:22:59.000Z</t>
  </si>
  <si>
    <t>2026-03-08T11:22:00.000Z</t>
  </si>
  <si>
    <t>2026-03-08T15:22:00.000Z</t>
  </si>
  <si>
    <t>2026-03-08T12:07:00.000Z</t>
  </si>
  <si>
    <t>2026-03-08T16:07:00.000Z</t>
  </si>
  <si>
    <t>2026-03-08T10:14:02.000Z</t>
  </si>
  <si>
    <t>2026-03-08T14:14:02.000Z</t>
  </si>
  <si>
    <t>The power cable was unplugged from the main power outlet (caused by the customer), re-plugged it, Rebooted the terminal and successfully tested and approved by Meijer's TL Liam</t>
  </si>
  <si>
    <t>2026-03-08T12:07:50.000Z</t>
  </si>
  <si>
    <t>2026-03-08T12:07:51.000Z</t>
  </si>
  <si>
    <t>SCO14 powers off after a few minutes of powering on. NCR tech was on site this morning to replace battery backup   [Generated by Portal Login: most14 Contact: Staci Mowder 3096133038 ftfmsupport@rdspos.com]</t>
  </si>
  <si>
    <t>2026-03-08T10:28:00.000Z</t>
  </si>
  <si>
    <t>charging for causing the problem by the store</t>
  </si>
  <si>
    <t>SCO14 powers off after a few minutes of powering on. NCR tech was on site this morning to replace battery backup   [Generated by Portal Login: most14 Contact: Staci Mowder 3096133038 ftfmsupport@rdspos.com]-CE IS NOW US133U13-charging for causing the problem by the store-The power cable was unplugged from the main power outlet (caused by the customer), re-plugged it, Rebooted the terminal and successfully tested and approved by Meijer's TL Liam-New Item :7360-4010-9090 New Serial Number :57-60587864 Old Item :7360-4010-9090 Old Serial Number :57-60587834</t>
  </si>
  <si>
    <t>2026-02-07T00:35:38.000Z</t>
  </si>
  <si>
    <t>2026-02-06T19:08:00.000Z</t>
  </si>
  <si>
    <t>2026-02-07T00:08:00.000Z</t>
  </si>
  <si>
    <t>2026-02-06T19:21:00.000Z</t>
  </si>
  <si>
    <t>2026-02-07T00:21:00.000Z</t>
  </si>
  <si>
    <t>CHG-Switch no set to lock position.</t>
  </si>
  <si>
    <t>2026-02-05T09:50:37.000Z</t>
  </si>
  <si>
    <t>2026-02-05T14:50:37.000Z</t>
  </si>
  <si>
    <t>2026-02-05T14:50:38.000Z</t>
  </si>
  <si>
    <t>2026-02-05T09:50:38.000Z</t>
  </si>
  <si>
    <t>Arrived on site. Issue stated that the sorter was improperly seated. Found that the sorter lock switch had been left unlocked. Moved the switch to the locked position and issue cleared up. Confirmed with Taylor.</t>
  </si>
  <si>
    <t>2026-02-06T19:21:41.000Z</t>
  </si>
  <si>
    <t>2026-02-06T19:21:42.000Z</t>
  </si>
  <si>
    <t>SCO15 has a coin recycler error- Sorter module not seated  [Generated by Portal Login: most14 Contact: Staci Mowder 3096133038 ftfmsupport@rdspos.com]</t>
  </si>
  <si>
    <t>2026-02-05T09:52:49.000Z</t>
  </si>
  <si>
    <t>Switch no set to lock position.</t>
  </si>
  <si>
    <t>SCO15 has a coin recycler error- Sorter module not seated  [Generated by Portal Login: most14 Contact: Staci Mowder 3096133038 ftfmsupport@rdspos.com]-CE IS NOW US133E77-Switch no set to lock position.-Arrived on site. Issue stated that the sorter was improperly seated. Found that the sorter lock switch had been left unlocked. Moved the switch to the locked position and issue cleared up. Confirmed with Taylor.-New Item :7360-4010-9090 New Serial Number :57-60588422 Old Item :7360-4010-9090 Old Serial Number :57-60588422</t>
  </si>
  <si>
    <t>2026-02-04T13:59:45.000Z</t>
  </si>
  <si>
    <t>57-60591333</t>
  </si>
  <si>
    <t>2026-02-04T07:59:00.000Z</t>
  </si>
  <si>
    <t>2026-02-04T12:59:00.000Z</t>
  </si>
  <si>
    <t>2026-02-04T08:42:00.000Z</t>
  </si>
  <si>
    <t>2026-02-04T13:42:00.000Z</t>
  </si>
  <si>
    <t>2026-02-02T18:57:31.000Z</t>
  </si>
  <si>
    <t>2026-02-02T23:57:31.000Z</t>
  </si>
  <si>
    <t>New Item :7360-4010-9090 New Serial Number :57-60591333 Old Item :7360-4010-9090 Old Serial Number :57-60588372</t>
  </si>
  <si>
    <t>2026-02-04T08:44:10.000Z</t>
  </si>
  <si>
    <t>SCO12 not dispensing coins   [Generated by Portal Login: most14 Contact: Staci Mowder 3096133038 ftfmsupport@rdspos.com]</t>
  </si>
  <si>
    <t>2026-02-02T19:21:35.000Z</t>
  </si>
  <si>
    <t>Tested acceptance/dispense coins recycler dispensing/accepting all denoms in recycler</t>
  </si>
  <si>
    <t>2026-02-04T08:44:09.000Z</t>
  </si>
  <si>
    <t>SCO12 not dispensing coins   [Generated by Portal Login: most14 Contact: Staci Mowder 3096133038 ftfmsupport@rdspos.com]-CE IS NOW US133A17-Tested acceptance/dispense coins recycler dispensing/accepting all denoms in recycler-New Item :7360-4010-9090 New Serial Number :57-60591333 Old Item :7360-4010-9090 Old Serial Number :57-60588372</t>
  </si>
  <si>
    <t>2026-04-01T15:39:36.000Z</t>
  </si>
  <si>
    <t>57-60588396</t>
  </si>
  <si>
    <t>2026-04-01T10:18:00.000Z</t>
  </si>
  <si>
    <t>2026-04-01T14:18:00.000Z</t>
  </si>
  <si>
    <t>2026-04-01T11:22:00.000Z</t>
  </si>
  <si>
    <t>2026-04-01T15:22:00.000Z</t>
  </si>
  <si>
    <t>2026-03-31T21:12:08.000Z</t>
  </si>
  <si>
    <t>2026-04-01T01:12:08.000Z</t>
  </si>
  <si>
    <t>CEM4152369:BVOUT sensor sill not clear</t>
  </si>
  <si>
    <t>2026-04-01T11:23:36.000Z</t>
  </si>
  <si>
    <t>upon arrival found lane with BVOUT error. I cleaned the sensors twice and error persisted. replaced top module and ran test. issue is resolved</t>
  </si>
  <si>
    <t>New Item :7360-4010-9090 New Serial Number :57-60588396 Old Item :7360-4010-9090 Old Serial Number :57-60588424</t>
  </si>
  <si>
    <t>2026-04-01T11:23:38.000Z</t>
  </si>
  <si>
    <t>SCO12 has a Note recycler error- Jam in top module.  [Generated by Portal Login: most14 Contact: Staci Mowder 3096133038 ftfmsupport@rdspos.com]</t>
  </si>
  <si>
    <t>2026-04-01T06:56:13.000Z</t>
  </si>
  <si>
    <t>2026-04-01T09:33:50.000Z</t>
  </si>
  <si>
    <t>SCO12 has a Note recycler error- Jam in top module.  [Generated by Portal Login: most14 Contact: Staci Mowder 3096133038 ftfmsupport@rdspos.com]-CE IS NOW US133C37-CE WAS US133C37-CE IS NOW US133C36-CEM4152369:BVOUT sensor sill not clear-upon arrival found lane with BVOUT error. I cleaned the sensors twice and error persisted. replaced top module and ran test. issue is resolved-New Item :7360-4010-9090 New Serial Number :57-60588396 Old Item :7360-4010-9090 Old Serial Number :57-60588424</t>
  </si>
  <si>
    <t>2026-01-26T16:40:10.000Z</t>
  </si>
  <si>
    <t>57-60587812</t>
  </si>
  <si>
    <t>2026-01-26T09:38:00.000Z</t>
  </si>
  <si>
    <t>2026-01-26T15:38:00.000Z</t>
  </si>
  <si>
    <t>2026-01-26T10:24:00.000Z</t>
  </si>
  <si>
    <t>2026-01-26T16:24:00.000Z</t>
  </si>
  <si>
    <t>2026-01-26T08:46:36.000Z</t>
  </si>
  <si>
    <t>2026-01-26T14:46:36.000Z</t>
  </si>
  <si>
    <t>New Item :7360-4010-9090 New Serial Number :57-60587812 Old Item :7360-4010-9090 Old Serial Number :57-60587803</t>
  </si>
  <si>
    <t>2026-01-26T10:25:36.000Z</t>
  </si>
  <si>
    <t>SCO will accept bills, but not dispense them  [Generated by Portal Login: repa14 Contact: Patrick Reeves 3092411908 ftfmsupport@rdspos.com]</t>
  </si>
  <si>
    <t>2026-01-26T08:46:37.000Z</t>
  </si>
  <si>
    <t>2026-01-26T08:49:38.000Z</t>
  </si>
  <si>
    <t>Rebooted and ran ADD.  Tested in PML and I was able to dispense $1,$5,$10, and $20s without any issues.  Ran diagnostic logs and ADD a second time.  no faults on GSR50 or BCR. Called Helpdesk and left a message I also sent an email with what I found.</t>
  </si>
  <si>
    <t>2026-01-26T10:25:34.000Z</t>
  </si>
  <si>
    <t>SCO will accept bills, but not dispense them  [Generated by Portal Login: repa14 Contact: Patrick Reeves 3092411908 ftfmsupport@rdspos.com]-CE IS NOW US153R42-Rebooted and ran ADD.  Tested in PML and I was able to dispense $1,$5,$10, and $20s without any issues.  Ran diagnostic logs and ADD a second time.  no faults on GSR50 or BCR. Called Helpdesk and left a message I also sent an email with what I found.-New Item :7360-4010-9090 New Serial Number :57-60587812 Old Item :7360-4010-9090 Old Serial Number :57-60587803</t>
  </si>
  <si>
    <t>2025-11-26T21:22:56.000Z</t>
  </si>
  <si>
    <t>57-60591641</t>
  </si>
  <si>
    <t>2025-11-26T16:03:00.000Z</t>
  </si>
  <si>
    <t>2025-11-26T21:03:00.000Z</t>
  </si>
  <si>
    <t>2025-11-26T16:07:00.000Z</t>
  </si>
  <si>
    <t>2025-11-26T21:07:00.000Z</t>
  </si>
  <si>
    <t>2025-11-26T14:05:18.000Z</t>
  </si>
  <si>
    <t>2025-11-26T19:05:18.000Z</t>
  </si>
  <si>
    <t>2025-11-26T19:05:19.000Z</t>
  </si>
  <si>
    <t>2025-11-26T14:05:19.000Z</t>
  </si>
  <si>
    <t>G531-0369-0000</t>
  </si>
  <si>
    <t>Same as last on3, just had to shut it off and turn it back on properly, no issues</t>
  </si>
  <si>
    <t>2025-11-26T16:08:16.000Z</t>
  </si>
  <si>
    <t>New Item :7360-4010-9090 New Serial Number :57-60591641 Old Item :7360-4010-9090 Old Serial Number :57-60591647</t>
  </si>
  <si>
    <t>SCO17 not powering on. Battery backup is dead  [Generated by Portal Login: most14 Contact: Staci Mowder 3096133038 ftfmsupport@rdspos.com]</t>
  </si>
  <si>
    <t>2025-11-26T14:13:47.000Z</t>
  </si>
  <si>
    <t>SCO17 not powering on. Battery backup is dead  [Generated by Portal Login: most14 Contact: Staci Mowder 3096133038 ftfmsupport@rdspos.com]-CE IS NOW US133B48-Same as last on3, just had to shut it off and turn it back on properly, no issues-Same as last on3, just had to shut it off and turn it back on properly, no issues-New Item :7360-4010-9090 New Serial Number :57-60591641 Old Item :7360-4010-9090 Old Serial Number :57-60591647</t>
  </si>
  <si>
    <t>2026-07-04T14:21:19.000Z</t>
  </si>
  <si>
    <t>2026-07-04T08:37:00.000Z</t>
  </si>
  <si>
    <t>2026-07-04T12:37:00.000Z</t>
  </si>
  <si>
    <t>2026-07-04T10:05:00.000Z</t>
  </si>
  <si>
    <t>2026-07-04T14:05:00.000Z</t>
  </si>
  <si>
    <t>2026-07-03T12:39:13.000Z</t>
  </si>
  <si>
    <t>2026-07-03T16:39:13.000Z</t>
  </si>
  <si>
    <t>New Item :7360-4010-9090 New Serial Number :57-60590100 Old Item :7360-4010-9090 Old Serial Number :57-60590100</t>
  </si>
  <si>
    <t>2026-07-04T10:06:10.000Z</t>
  </si>
  <si>
    <t>Coin recycler Initialization Error  [Generated by Portal Login: repa14 Contact: Patrick Reeves 3092411908 ftfmsupport@rdspos.com]</t>
  </si>
  <si>
    <t>2026-07-03T12:58:31.000Z</t>
  </si>
  <si>
    <t>No error on arrival. Coin recycler had no issues dispensing, purging,  or reloading coins. Sensor recalibrated and ran "runalladd". Manager Ernest updated with follow up if issue returns.</t>
  </si>
  <si>
    <t>2026-07-04T10:06:08.000Z</t>
  </si>
  <si>
    <t>Coin recycler Initialization Error  [Generated by Portal Login: repa14 Contact: Patrick Reeves 3092411908 ftfmsupport@rdspos.com]-CE IS NOW US133E73-No error on arrival. Coin recycler had no issues dispensing, purging,  or reloading coins. Sensor recalibrated and ran "runalladd". Manager Ernest updated with follow up if issue returns.-New Item :7360-4010-9090 New Serial Number :57-60590100 Old Item :7360-4010-9090 Old Serial Number :57-60590100</t>
  </si>
  <si>
    <t>2026-01-16T21:04:56.000Z</t>
  </si>
  <si>
    <t>2026-01-16T09:18:00.000Z</t>
  </si>
  <si>
    <t>2026-01-16T15:18:00.000Z</t>
  </si>
  <si>
    <t>2026-01-16T14:48:00.000Z</t>
  </si>
  <si>
    <t>2026-01-16T20:48:00.000Z</t>
  </si>
  <si>
    <t>2026-01-15T11:33:32.000Z</t>
  </si>
  <si>
    <t>2026-01-15T17:33:32.000Z</t>
  </si>
  <si>
    <t>Picking up coin chassis from storage. returning shortly.</t>
  </si>
  <si>
    <t>2026-01-16T10:45:39.000Z</t>
  </si>
  <si>
    <t>Found in pml the dimes were showing up in the acb. had to dump all coins. zero out the tallies in pml. then inserted all coins successfully. coins all show in correct locations and test good. calibrated wake up sensor.</t>
  </si>
  <si>
    <t>2026-01-16T14:48:45.000Z</t>
  </si>
  <si>
    <t>New Item :7360-4010-9090 New Serial Number :57-60590088 Old Item :7360-4010-9090 Old Serial Number :57-60587732</t>
  </si>
  <si>
    <t>2026-01-16T14:48:47.000Z</t>
  </si>
  <si>
    <t>SCO17 is not dispensing nickels to customers and is greyed out in cash management, no errors  [Generated by Portal Login: most14 Contact: Staci Mowder 3096133038 ftfmsupport@rdspos.com]</t>
  </si>
  <si>
    <t>CE IS NOW US153C22</t>
  </si>
  <si>
    <t>2026-01-15T11:34:56.000Z</t>
  </si>
  <si>
    <t>CE WAS US153C22</t>
  </si>
  <si>
    <t>2026-01-16T07:10:43.000Z</t>
  </si>
  <si>
    <t>SCO17 is not dispensing nickels to customers and is greyed out in cash management, no errors  [Generated by Portal Login: most14 Contact: Staci Mowder 3096133038 ftfmsupport@rdspos.com]-CE IS NOW US153C22-CE WAS US153C22-CE IS NOW US153C10-Picking up coin chassis from storage. returning shortly.-Found in pml the dimes were showing up in the acb. had to dump all coins. zero out the tallies in pml. then inserted all coins successfully. coins all show in correct locations and test good. calibrated wake up sensor.-New Item :7360-4010-9090 New Serial Number :57-60590088 Old Item :7360-4010-9090 Old Serial Number :57-60587732</t>
  </si>
  <si>
    <t>2026-01-18T18:32:05.000Z</t>
  </si>
  <si>
    <t>2026-01-18T11:46:00.000Z</t>
  </si>
  <si>
    <t>2026-01-18T16:46:00.000Z</t>
  </si>
  <si>
    <t>2026-01-18T13:14:00.000Z</t>
  </si>
  <si>
    <t>2026-01-18T18:14:00.000Z</t>
  </si>
  <si>
    <t>2026-01-18T09:38:07.000Z</t>
  </si>
  <si>
    <t>2026-01-18T14:38:07.000Z</t>
  </si>
  <si>
    <t>CEM3908225:broken</t>
  </si>
  <si>
    <t>2026-01-18T13:19:28.000Z</t>
  </si>
  <si>
    <t>replaced defective ACB with new. tested good. unit is now fully operational.</t>
  </si>
  <si>
    <t>2026-01-18T13:19:30.000Z</t>
  </si>
  <si>
    <t>Coin recycler error, active coin box exceeded reject limit, error code: 5-10-0--99-459267  [Generated by Portal Login: coas14 Contact: Ashley Cooper 309-213-1564 ftfmsupport@rdspos.com]</t>
  </si>
  <si>
    <t>2026-01-18T09:41:36.000Z</t>
  </si>
  <si>
    <t>2026-01-18T10:49:21.000Z</t>
  </si>
  <si>
    <t>Coin recycler error, active coin box exceeded reject limit, error code: 5-10-0--99-459267  [Generated by Portal Login: coas14 Contact: Ashley Cooper 309-213-1564 ftfmsupport@rdspos.com]-CE IS NOW US133E80-CE WAS US133E80-CE IS NOW US133E72-CEM3908225:broken-replaced defective ACB with new. tested good. unit is now fully operational.-New Item :7360-4010-9090 New Serial Number :57-60588402 Old Item :7360-4010-9090 Old Serial Number :57-60591352</t>
  </si>
  <si>
    <t>2025-12-13T19:33:28.000Z</t>
  </si>
  <si>
    <t>57-60595324</t>
  </si>
  <si>
    <t>2025-12-12T14:04:00.000Z</t>
  </si>
  <si>
    <t>2025-12-12T19:04:00.000Z</t>
  </si>
  <si>
    <t>2025-12-13T14:18:00.000Z</t>
  </si>
  <si>
    <t>2025-12-13T19:18:00.000Z</t>
  </si>
  <si>
    <t>2025-12-10T14:11:49.000Z</t>
  </si>
  <si>
    <t>2025-12-10T19:11:49.000Z</t>
  </si>
  <si>
    <t>CEM3975954:def</t>
  </si>
  <si>
    <t>2025-12-13T14:20:51.000Z</t>
  </si>
  <si>
    <t>Kept printing and shooting receipts, replaced printer, and its fixed</t>
  </si>
  <si>
    <t>New Item :7360-4010-9090 New Serial Number :57-60595324 Old Item :7360-4010-9090 Old Serial Number :57-60595334</t>
  </si>
  <si>
    <t>2025-12-13T14:20:53.000Z</t>
  </si>
  <si>
    <t>SCO15 receipts shooting onto the floor   [Generated by Portal Login: most14 Contact: Staci Mowder 3096133038 ftfmsupport@rdspos.com]</t>
  </si>
  <si>
    <t>2025-12-10T14:11:50.000Z</t>
  </si>
  <si>
    <t>2025-12-10T14:17:45.000Z</t>
  </si>
  <si>
    <t>2025-12-12T11:35:24.000Z</t>
  </si>
  <si>
    <t>SCO15 receipts shooting onto the floor   [Generated by Portal Login: most14 Contact: Staci Mowder 3096133038 ftfmsupport@rdspos.com]-CE IS NOW US133B52-CE WAS US133B52-CE IS NOW US133B48-Per SP I am to suspend and head to a critical Walmart-CE IS NOW US133B48-CEM3975954:def-Kept printing and shooting receipts, replaced printer, and its fixed-New Item :7360-4010-9090 New Serial Number :57-60595324 Old Item :7360-4010-9090 Old Serial Number :57-60595334</t>
  </si>
  <si>
    <t>2025-08-27T20:47:29.000Z</t>
  </si>
  <si>
    <t>2025-08-27T16:23:00.000Z</t>
  </si>
  <si>
    <t>2025-08-27T20:23:00.000Z</t>
  </si>
  <si>
    <t>2025-08-27T16:35:00.000Z</t>
  </si>
  <si>
    <t>2025-08-27T20:35:00.000Z</t>
  </si>
  <si>
    <t>2025-08-27T15:25:49.000Z</t>
  </si>
  <si>
    <t>2025-08-27T19:25:49.000Z</t>
  </si>
  <si>
    <t>2025-08-27T19:25:52.000Z</t>
  </si>
  <si>
    <t>2025-08-27T15:25:52.000Z</t>
  </si>
  <si>
    <t>2025-08-27T16:35:26.000Z</t>
  </si>
  <si>
    <t>SCO 12 having a hard time dispensing coins  [Generated by Portal Login: besa14 Contact: Sabrina Bechtel 715-498-6611 ftfmsupport@rdspos.com]</t>
  </si>
  <si>
    <t>2025-08-27T15:26:01.000Z</t>
  </si>
  <si>
    <t>upon arrival the internal coin counts were incorrect  purged system and reloaded the coins. tested unit in pml and found no further problems</t>
  </si>
  <si>
    <t>2025-08-27T16:35:25.000Z</t>
  </si>
  <si>
    <t>SCO 12 having a hard time dispensing coins  [Generated by Portal Login: besa14 Contact: Sabrina Bechtel 715-498-6611 ftfmsupport@rdspos.com]-CE IS NOW US133C52-upon arrival the internal coin counts were incorrect  purged system and reloaded the coins. tested unit in pml and found no further problems-New Item :7360-4010-9090 New Serial Number :57-60591344 Old Item :7360-4010-9090 Old Serial Number :57-60595308</t>
  </si>
  <si>
    <t>2026-07-22T22:15:52.000Z</t>
  </si>
  <si>
    <t>2026-07-22T17:42:00.000Z</t>
  </si>
  <si>
    <t>2026-07-22T21:42:00.000Z</t>
  </si>
  <si>
    <t>2026-07-22T18:01:00.000Z</t>
  </si>
  <si>
    <t>2026-07-22T22:01:00.000Z</t>
  </si>
  <si>
    <t>2026-07-22T14:34:37.000Z</t>
  </si>
  <si>
    <t>2026-07-22T18:34:37.000Z</t>
  </si>
  <si>
    <t>New Item :7360-4010-9090 New Serial Number :57-60587831 Old Item :7360-4010-9090 Old Serial Number :57-60587834</t>
  </si>
  <si>
    <t>2026-07-22T18:02:52.000Z</t>
  </si>
  <si>
    <t>SCO15 has a Note recycler error and not accpeting bills.  [Generated by Portal Login: most14 Contact: Staci Mowder 2694689716 FTFMSupport@rdspos.com]</t>
  </si>
  <si>
    <t>2026-07-22T14:34:38.000Z</t>
  </si>
  <si>
    <t>2026-07-22T14:47:34.000Z</t>
  </si>
  <si>
    <t>sco in card only on arrival. cassette 2 badly jammed during dispense testing, but once cleared and gsr50 reset, further testing was successful. sco returned to full service.</t>
  </si>
  <si>
    <t>2026-07-22T18:02:50.000Z</t>
  </si>
  <si>
    <t>SCO15 has a Note recycler error and not accpeting bills.  [Generated by Portal Login: most14 Contact: Staci Mowder 2694689716 FTFMSupport@rdspos.com]-CE IS NOW US133U01-sco in card only on arrival. cassette 2 badly jammed during dispense testing, but once cleared and gsr50 reset, further testing was successful. sco returned to full service.-New Item :7360-4010-9090 New Serial Number :57-60587831 Old Item :7360-4010-9090 Old Serial Number :57-60587834</t>
  </si>
  <si>
    <t>2026-02-07T20:04:06.000Z</t>
  </si>
  <si>
    <t>2026-02-07T13:02:00.000Z</t>
  </si>
  <si>
    <t>2026-02-07T19:02:00.000Z</t>
  </si>
  <si>
    <t>2026-02-07T13:45:00.000Z</t>
  </si>
  <si>
    <t>2026-02-07T19:45:00.000Z</t>
  </si>
  <si>
    <t>2026-02-07T09:42:57.000Z</t>
  </si>
  <si>
    <t>2026-02-07T15:42:57.000Z</t>
  </si>
  <si>
    <t>2026-02-07T10:12:29.000Z</t>
  </si>
  <si>
    <t>outside cosmetic door to register 14 was having lock issues. the lock was functional and okay but it was sticking a little bit. sprayed some WD-40 on the lock mechanism and worked at a few times. lock seem to loosen up and was able to open without so much resistance. door lock success verified by checkout lead Maddie.</t>
  </si>
  <si>
    <t>2026-02-07T13:47:26.000Z</t>
  </si>
  <si>
    <t>2026-02-07T13:47:28.000Z</t>
  </si>
  <si>
    <t>SCO14 outer door will not open, is jammed  [Generated by Portal Login: most14 Contact: Staci Mowder 3096133038 ftfmsupport@rdspos.com]</t>
  </si>
  <si>
    <t>2026-02-07T09:47:58.000Z</t>
  </si>
  <si>
    <t>2026-02-07T10:09:49.000Z</t>
  </si>
  <si>
    <t>SCO14 outer door will not open, is jammed  [Generated by Portal Login: most14 Contact: Staci Mowder 3096133038 ftfmsupport@rdspos.com]-CE IS NOW US153R72-CE WAS US153R72-CE IS NOW US153R84-CE WAS US153R84-CE IS NOW US153R72-outside cosmetic door to register 14 was having lock issues. the lock was functional and okay but it was sticking a little bit. sprayed some WD-40 on the lock mechanism and worked at a few times. lock seem to loosen up and was able to open without so much resistance. door lock success verified by checkout lead Maddie.-New Item :7360-4010-9090 New Serial Number :57-60591359 Old Item :7360-4010-9090 Old Serial Number :57-60591359</t>
  </si>
  <si>
    <t>2026-02-17T20:49:37.000Z</t>
  </si>
  <si>
    <t>2026-02-17T14:31:00.000Z</t>
  </si>
  <si>
    <t>2026-02-17T20:31:00.000Z</t>
  </si>
  <si>
    <t>2026-02-17T14:35:00.000Z</t>
  </si>
  <si>
    <t>2026-02-17T20:35:00.000Z</t>
  </si>
  <si>
    <t>2026-02-17T13:29:19.000Z</t>
  </si>
  <si>
    <t>2026-02-17T19:29:19.000Z</t>
  </si>
  <si>
    <t>2026-02-17T13:34:39.000Z</t>
  </si>
  <si>
    <t>register 15 needed some help with its door locks. manager Rob was complaining about the locks not opening very easily when the key is turned. examine the locks and make sure they were functioning okay. sprayed some lubricant on the lock mechanisms and work them open and closed several times. afterwards confirmed with manager Rob that they were opening much easier than they used to. Rob said he was happy with it.</t>
  </si>
  <si>
    <t>2026-02-17T14:36:24.000Z</t>
  </si>
  <si>
    <t>2026-02-17T14:36:26.000Z</t>
  </si>
  <si>
    <t>SCO 15 the locking mechanism is not working, the outer door will not open  [Generated by Portal Login: besa14 Contact: Sabrina Bechtel 715-498-6611 ftfmsupport@rdspos.com]</t>
  </si>
  <si>
    <t>2026-02-17T13:29:40.000Z</t>
  </si>
  <si>
    <t>2026-02-17T13:34:38.000Z</t>
  </si>
  <si>
    <t>SCO 15 the locking mechanism is not working, the outer door will not open  [Generated by Portal Login: besa14 Contact: Sabrina Bechtel 715-498-6611 ftfmsupport@rdspos.com]-CE IS NOW US153R73-CE WAS US153R73-CE IS NOW US153R72-register 15 needed some help with its door locks. manager Rob was complaining about the locks not opening very easily when the key is turned. examine the locks and make sure they were functioning okay. sprayed some lubricant on the lock mechanisms and work them open and closed several times. afterwards confirmed with manager Rob that they were opening much easier than they used to. Rob said he was happy with it.-New Item :7360-4010-9090 New Serial Number :57-60590093 Old Item :7360-4010-9090 Old Serial Number :57-60590093</t>
  </si>
  <si>
    <t>2026-02-09T22:21:02.000Z</t>
  </si>
  <si>
    <t>57-60587751</t>
  </si>
  <si>
    <t>2026-02-09T14:02:00.000Z</t>
  </si>
  <si>
    <t>2026-02-09T19:02:00.000Z</t>
  </si>
  <si>
    <t>2026-02-09T16:59:00.000Z</t>
  </si>
  <si>
    <t>2026-02-09T21:59:00.000Z</t>
  </si>
  <si>
    <t>BR185083</t>
  </si>
  <si>
    <t>2026-02-09T10:50:12.000Z</t>
  </si>
  <si>
    <t>2026-02-09T15:50:12.000Z</t>
  </si>
  <si>
    <t>2026-02-09T15:50:17.000Z</t>
  </si>
  <si>
    <t>2026-02-09T10:50:17.000Z</t>
  </si>
  <si>
    <t>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  The scanner scale is still showing showing U23. I tried to clone SCO 14'S and It was also unsuccessful, I thought. What I found out was that all scales are showing U23. SCO 14 is the only 2 that T State of Ohio Dept of Agriculture failed. I did a successful recalibration of SCO 14'S scale. Verified by MOM Nrandon Mitchellm</t>
  </si>
  <si>
    <t>2026-02-09T17:03:14.000Z</t>
  </si>
  <si>
    <t>New Item :7360-4010-9090 New Serial Number :57-60587751 Old Item :7360-4010-9090 Old Serial Number :57-60587751</t>
  </si>
  <si>
    <t>2026-02-09T17:03:17.000Z</t>
  </si>
  <si>
    <t>SCO 14 was red tagged by the state for being out of calibration, please calibrate the scanner scale   [Generated by Portal Login: besa14 Contact: Sabrina Bechtel 715-498-6611 ftfmsupport@rdspos.com]</t>
  </si>
  <si>
    <t>2026-02-09T11:42:07.000Z</t>
  </si>
  <si>
    <t>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t>
  </si>
  <si>
    <t>2026-02-09T15:09:04.000Z</t>
  </si>
  <si>
    <t>SCO 14 was red tagged by the state for being out of calibration, please calibrate the scanner scale   [Generated by Portal Login: besa14 Contact: Sabrina Bechtel 715-498-6611 ftfmsupport@rdspos.com]-CE IS NOW US133C20-I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  The scanner scale is still showing showing U23. I tried to clone SCO 14'S and It was also unsuccessful, I thought. What I found out was that all scales are showing U23. SCO 14 is the only 2 that T State of Ohio Dept of Agriculture failed. I did a successful recalibration of SCO 14'S scale. Verified by MOM Nrandon Mitchellm-I arrived onsite and spoke with Sam Yancer Front End Coordinator. He informed me that a State of Ohio inspector said that the scale on SCO 14 was oit of calibration. I found a U23 error code on the scale. I am attempting to recalibrate the scale on SCO 14. According to Tech AssistI need to power down SCO 14. Resaet the cables on the scale and power on. Ivalso removed the jumper for 5 minutes before I booted up SCO 14 again.  The scanner scale is still showing showing U23. I tried to clone SCO 14'S and It was also unsuccessful, I thought. What I found out was that all scales are showing U23. SCO 14 is the only 2 that T State of Ohio Dept of Agriculture failed. I did a successful recalibration of SCO 14'S scale. Verified by MOM Nrandon Mitchellm-New Item :7360-4010-9090 New Serial Number :57-60587751 Old Item :7360-4010-9090 Old Serial Number :57-60587751</t>
  </si>
  <si>
    <t>2026-01-05T18:41:50.000Z</t>
  </si>
  <si>
    <t>20-58993034</t>
  </si>
  <si>
    <t>2026-01-05T13:17:00.000Z</t>
  </si>
  <si>
    <t>2026-01-05T18:17:00.000Z</t>
  </si>
  <si>
    <t>2026-01-05T13:24:00.000Z</t>
  </si>
  <si>
    <t>2026-01-05T18:24:00.000Z</t>
  </si>
  <si>
    <t>2026-01-05T09:16:42.000Z</t>
  </si>
  <si>
    <t>2026-01-05T14:16:42.000Z</t>
  </si>
  <si>
    <t>2026-01-05T09:51:55.000Z</t>
  </si>
  <si>
    <t>2026-01-05T13:26:58.000Z</t>
  </si>
  <si>
    <t>New Item :7360-4010-9090 New Serial Number :20-58993034 Old Item :7360-4010-9090 Old Serial Number :57-60587724</t>
  </si>
  <si>
    <t>2026-01-05T13:26:59.000Z</t>
  </si>
  <si>
    <t>SCO 12 needs an annual PM, please clean and blow out the sco, store requested  [Generated by Portal Login: besa14 Contact: Sabrina Bechtel 715-498-6611 ftfmsupport@rdspos.com]</t>
  </si>
  <si>
    <t>2026-01-05T09:16:43.000Z</t>
  </si>
  <si>
    <t>2026-01-05T09:16:56.000Z</t>
  </si>
  <si>
    <t>2026-01-05T09:51:54.000Z</t>
  </si>
  <si>
    <t>SCO 12 needs an annual PM, please clean and blow out the sco, store requested  [Generated by Portal Login: besa14 Contact: Sabrina Bechtel 715-498-6611 ftfmsupport@rdspos.com]-CE IS NOW US133C71-CE WAS US133C71-CE IS NOW US133C72-cleaned entire inside of self checkout, only some extra dust.-New Item :7360-4010-9090 New Serial Number :20-58993034 Old Item :7360-4010-9090 Old Serial Number :57-60587724</t>
  </si>
  <si>
    <t>2025-12-28T23:48:15.000Z</t>
  </si>
  <si>
    <t>2025-12-28T16:32:00.000Z</t>
  </si>
  <si>
    <t>2025-12-28T22:32:00.000Z</t>
  </si>
  <si>
    <t>2025-12-28T17:32:00.000Z</t>
  </si>
  <si>
    <t>2025-12-28T23:32:00.000Z</t>
  </si>
  <si>
    <t>2025-12-28T15:25:04.000Z</t>
  </si>
  <si>
    <t>2025-12-28T21:25:04.000Z</t>
  </si>
  <si>
    <t>2025-12-28T17:34:28.000Z</t>
  </si>
  <si>
    <t>Coin Recycler Error Transfer Chamber Has Overflowed 16-6-0--99-67330  [Generated by Portal Login: repa14 Contact: Patrick Reeves 3092411908 ftfmsupport@rdspos.com]</t>
  </si>
  <si>
    <t>2025-12-28T15:35:01.000Z</t>
  </si>
  <si>
    <t>arrived onsite and cleaned transfer chamber sensor after cleaning unit is clear of errors and working as expected as verified by ethan MOD</t>
  </si>
  <si>
    <t>2025-12-28T17:34:26.000Z</t>
  </si>
  <si>
    <t>Coin Recycler Error Transfer Chamber Has Overflowed 16-6-0--99-67330  [Generated by Portal Login: repa14 Contact: Patrick Reeves 3092411908 ftfmsupport@rdspos.com]-CE IS NOW US153N75-arrived onsite and cleaned transfer chamber sensor after cleaning unit is clear of errors and working as expected as verified by ethan MOD-New Item :7360-4010-9090 New Serial Number :57-60587731 Old Item :7360-4010-9090 Old Serial Number :57-60587731</t>
  </si>
  <si>
    <t>2026-07-27T18:40:32.000Z</t>
  </si>
  <si>
    <t>2026-07-27T14:15:00.000Z</t>
  </si>
  <si>
    <t>2026-07-27T18:15:00.000Z</t>
  </si>
  <si>
    <t>2026-07-27T14:27:00.000Z</t>
  </si>
  <si>
    <t>2026-07-27T18:27:00.000Z</t>
  </si>
  <si>
    <t>2026-07-27T10:56:21.000Z</t>
  </si>
  <si>
    <t>2026-07-27T14:56:21.000Z</t>
  </si>
  <si>
    <t>2026-07-27T14:27:46.000Z</t>
  </si>
  <si>
    <t>2026-07-27T14:27:47.000Z</t>
  </si>
  <si>
    <t>Previous ticket number 7620804260 was closed with no notes. Requesting the battery backup to be replaced again as previously requested.  SCO 12 shuts down and battery backup beeps after every power outage even after power cycling.  [Generated by Portal Login: coas14 Contact: Ashley Cooper 3092131564 ftfmsupport@rdspos.com]</t>
  </si>
  <si>
    <t>2026-07-27T10:56:24.000Z</t>
  </si>
  <si>
    <t>2026-07-27T11:17:10.000Z</t>
  </si>
  <si>
    <t>Previous ticket number 7620804260 was closed with no notes. Requesting the battery backup to be replaced again as previously requested.  SCO 12 shuts down and battery backup beeps after every power outage even after power cycling.  [Generated by Portal Login: coas14 Contact: Ashley Cooper 3092131564 ftfmsupport@rdspos.com]-CE IS NOW US133C50-CE WAS US133C50-CE IS NOW US133C52-upon arrival the battery back up unit was on and functional. site still requested the battery back up unit be replaced. replaced the unit and then tested with no further problems-upon arrival the battery back up unit was on and functional. site still requested the battery back up unit be replaced. replaced the unit and then tested with no further problems-New Item :7360-4010-9090 New Serial Number :57-60595308 Old Item :7360-4010-9090 Old Serial Number :57-60595308</t>
  </si>
  <si>
    <t>2025-09-14T11:29:49.000Z</t>
  </si>
  <si>
    <t>2025-09-14T06:18:00.000Z</t>
  </si>
  <si>
    <t>2025-09-14T10:18:00.000Z</t>
  </si>
  <si>
    <t>2025-09-14T07:16:00.000Z</t>
  </si>
  <si>
    <t>2025-09-14T11:16:00.000Z</t>
  </si>
  <si>
    <t>2025-09-13T19:19:41.000Z</t>
  </si>
  <si>
    <t>2025-09-13T23:19:41.000Z</t>
  </si>
  <si>
    <t>2025-09-13T23:19:42.000Z</t>
  </si>
  <si>
    <t>2025-09-13T19:19:42.000Z</t>
  </si>
  <si>
    <t>charging for no fault found note recycler gsr50 top module no fault found everything working fine tested with associate working successfully did dispense and accept money from pml and from from sale mood working successfully associate name amber</t>
  </si>
  <si>
    <t>2025-09-14T07:18:42.000Z</t>
  </si>
  <si>
    <t>note recycler gsr50 top module no fault found everything working fine tested with associate working successfully did dispense and accept money from pml and from from sale mood working successfully associate name amber</t>
  </si>
  <si>
    <t>2025-09-14T07:18:43.000Z</t>
  </si>
  <si>
    <t>SCO 15 will not accept any bills  [Generated by Portal Login: besa14 Contact: Sabrina Bechtel 715-498-6611 ftfmsupport@rdspos.com]</t>
  </si>
  <si>
    <t>2025-09-13T19:57:39.000Z</t>
  </si>
  <si>
    <t>2025-09-13T22:15:23.000Z</t>
  </si>
  <si>
    <t>SCO 15 will not accept any bills  [Generated by Portal Login: besa14 Contact: Sabrina Bechtel 715-498-6611 ftfmsupport@rdspos.com]-CE IS NOW US133U13-CE WAS US133U13-CE IS NOW US133U14-charging for no fault found note recycler gsr50 top module no fault found everything working fine tested with associate working successfully did dispense and accept money from pml and from from sale mood working successfully associate name amber-note recycler gsr50 top module no fault found everything working fine tested with associate working successfully did dispense and accept money from pml and from from sale mood working successfully associate name amber-New Item :7360-4010-9090 New Serial Number :57-60587783 Old Item :7360-4010-9090 Old Serial Number :57-60587771</t>
  </si>
  <si>
    <t>2025-11-30T20:21:05.000Z</t>
  </si>
  <si>
    <t>2025-11-30T13:12:00.000Z</t>
  </si>
  <si>
    <t>2025-11-30T19:12:00.000Z</t>
  </si>
  <si>
    <t>2025-11-30T14:06:00.000Z</t>
  </si>
  <si>
    <t>2025-11-30T20:06:00.000Z</t>
  </si>
  <si>
    <t>2025-11-30T12:30:20.000Z</t>
  </si>
  <si>
    <t>2025-11-30T18:30:20.000Z</t>
  </si>
  <si>
    <t>2025-11-30T18:30:21.000Z</t>
  </si>
  <si>
    <t>2025-11-30T12:30:21.000Z</t>
  </si>
  <si>
    <t>this unit was attended on 11/28 and the coin recycler was tested and verified working. contact Mgr was Brad on that service.  Today I worked with Mgr Jen and went into PML and demonstrated the unit will dispense and accept quarters.  She stated the issue occurs when trying to dispense coins in the cash management software only but works in normal SCO program. I informed her the software program is out of scope for NCR and she called helpdesk and left voicemail for guidance about the issue.</t>
  </si>
  <si>
    <t>2025-11-30T14:06:43.000Z</t>
  </si>
  <si>
    <t>2025-11-30T14:06:44.000Z</t>
  </si>
  <si>
    <t>SCO 11 quarter box not accepting or dispensing - customer requesting a tech on site NCR ticket 7533212258 was closed but the customer said no tech was onsite [Generated by Portal Login: besa14 Contact: Sabrina Bechtel 715-498-6611 ftfmsupport@rdspos.com]</t>
  </si>
  <si>
    <t>2025-11-30T12:31:23.000Z</t>
  </si>
  <si>
    <t>non ncr software issue.</t>
  </si>
  <si>
    <t>SCO 11 quarter box not accepting or dispensing - customer requesting a tech on site NCR ticket 7533212258 was closed but the customer said no tech was onsite [Generated by Portal Login: besa14 Contact: Sabrina Bechtel 715-498-6611 ftfmsupport@rdspos.com]-CE IS NOW US153N64-non ncr software issue.-this unit was attended on 11/28 and the coin recycler was tested and verified working. contact Mgr was Brad on that service.  Today I worked with Mgr Jen and went into PML and demonstrated the unit will dispense and accept quarters.  She stated the issue occurs when trying to dispense coins in the cash management software only but works in normal SCO program. I informed her the software program is out of scope for NCR and she called helpdesk and left voicemail for guidance about the issue.-New Item :7360-4010-9090 New Serial Number :57-60587856 Old Item :7360-4010-9090 Old Serial Number :57-60587849</t>
  </si>
  <si>
    <t>2026-07-22T23:31:55.000Z</t>
  </si>
  <si>
    <t>57-60587729</t>
  </si>
  <si>
    <t>2026-07-22T17:55:00.000Z</t>
  </si>
  <si>
    <t>2026-07-22T22:55:00.000Z</t>
  </si>
  <si>
    <t>2026-07-22T18:14:00.000Z</t>
  </si>
  <si>
    <t>2026-07-22T23:14:00.000Z</t>
  </si>
  <si>
    <t>2026-07-22T15:32:16.000Z</t>
  </si>
  <si>
    <t>2026-07-22T20:32:16.000Z</t>
  </si>
  <si>
    <t>New Item :7360-4010-9090 New Serial Number :57-60587729 Old Item :7360-4010-9090 Old Serial Number :57-60587774</t>
  </si>
  <si>
    <t>2026-07-22T18:16:16.000Z</t>
  </si>
  <si>
    <t>APC has been beeping on and off all day, now SCO14 will not power on at all. May need battery backup replaced   [Generated by Portal Login: most14 Contact: Staci Mowder 2694689716 FTFMSupport@rdspos.com]</t>
  </si>
  <si>
    <t>2026-07-22T15:33:13.000Z</t>
  </si>
  <si>
    <t>UPS dead, does not power on.  Verified power outlet is good and replaced UPS.</t>
  </si>
  <si>
    <t>2026-07-22T18:16:12.000Z</t>
  </si>
  <si>
    <t>APC has been beeping on and off all day, now SCO14 will not power on at all. May need battery backup replaced   [Generated by Portal Login: most14 Contact: Staci Mowder 2694689716 FTFMSupport@rdspos.com]-CE IS NOW US153C54-UPS dead, does not power on.  Verified power outlet is good and replaced UPS.-New Item :7360-4010-9090 New Serial Number :57-60587729 Old Item :7360-4010-9090 Old Serial Number :57-60587774</t>
  </si>
  <si>
    <t>2025-11-13T22:25:38.000Z</t>
  </si>
  <si>
    <t>2025-11-13T09:34:00.000Z</t>
  </si>
  <si>
    <t>2025-11-13T14:34:00.000Z</t>
  </si>
  <si>
    <t>2025-11-13T17:10:00.000Z</t>
  </si>
  <si>
    <t>2025-11-13T22:10:00.000Z</t>
  </si>
  <si>
    <t>MA185061</t>
  </si>
  <si>
    <t>2025-11-13T08:14:55.000Z</t>
  </si>
  <si>
    <t>2025-11-13T13:14:55.000Z</t>
  </si>
  <si>
    <t>2025-11-13T13:14:56.000Z</t>
  </si>
  <si>
    <t>2025-11-13T08:14:56.000Z</t>
  </si>
  <si>
    <t>coupon chute broken off of outer door.</t>
  </si>
  <si>
    <t>2025-11-13T16:56:37.000Z</t>
  </si>
  <si>
    <t>upon my arrival the lane was closed. I then removed the old outer door, and replaced it. I then verified functionality, after which the site returned the self checkout lane to full service.</t>
  </si>
  <si>
    <t>2025-11-13T17:10:59.000Z</t>
  </si>
  <si>
    <t>Coupon chute is broken on the inside of SCO door making it difficult to open/close SCO door on SCO11   [Generated by Portal Login: most14 Contact: Staci Mowder 3096133038 ftfmsupport@rdspos.com]</t>
  </si>
  <si>
    <t>2025-11-13T08:22:00.000Z</t>
  </si>
  <si>
    <t>the coupon chute broke off of the door. ordering outer door at ky esl.</t>
  </si>
  <si>
    <t>2025-11-13T10:16:16.000Z</t>
  </si>
  <si>
    <t>Coupon chute is broken on the inside of SCO door making it difficult to open/close SCO door on SCO11   [Generated by Portal Login: most14 Contact: Staci Mowder 3096133038 ftfmsupport@rdspos.com]-CE IS NOW US133C50-the coupon chute broke off of the door. ordering outer door at ky esl.-the coupon chute broke off of the door. ordering outer door at ky esl.-the coupon chute broke off of the door. ordering outer door at ky esl.-LOM order processing, Part has been Ordered , Remedy Id 000000014911720 - (Pick Up)KY, Hebronby Agent Auto CE pickup-Oracle Order Shipped for Remedy Id: U018799343, Order/Receipt # 181853085, Ordered Part 4970527925, Part Description - SERVICE ASSEMBLY - COSMETIC DOOR - KIT, Shipment/Receipt #2111933333, Part has been Shipped, Qty 1, Priority NFO, Shipping Method CE Pickup After Hours, BOL/Job NA, Source Location UFF USFCVG1G-coupon chute broken off of outer door.-upon my arrival the lane was closed. I then removed the old outer door, and replaced it. I then verified functionality, after which the site returned the self checkout lane to full service.-New Item :7360-4010-9090 New Serial Number :57-60595308 Old Item :7360-4010-9090 Old Serial Number :57-60595308</t>
  </si>
  <si>
    <t>2025-11-13T10:16:20.000Z</t>
  </si>
  <si>
    <t>2026-07-06T17:33:21.000Z</t>
  </si>
  <si>
    <t>57-60595353</t>
  </si>
  <si>
    <t>2026-07-03T16:27:00.000Z</t>
  </si>
  <si>
    <t>2026-07-03T21:27:00.000Z</t>
  </si>
  <si>
    <t>2026-07-06T12:19:00.000Z</t>
  </si>
  <si>
    <t>2026-07-06T17:19:00.000Z</t>
  </si>
  <si>
    <t>2026-07-03T16:11:28.000Z</t>
  </si>
  <si>
    <t>2026-07-03T21:11:28.000Z</t>
  </si>
  <si>
    <t>2026-07-06T11:52:38.000Z</t>
  </si>
  <si>
    <t>2026-07-06T12:20:27.000Z</t>
  </si>
  <si>
    <t>New Item :7360-4010-9090 New Serial Number :57-60595353 Old Item :7360-4010-9090 Old Serial Number :57-60595353</t>
  </si>
  <si>
    <t>2026-07-06T12:20:29.000Z</t>
  </si>
  <si>
    <t>2026-07-03T16:40:44.000Z</t>
  </si>
  <si>
    <t>Battery backup faulty  [Generated by Portal Login: repa14 Contact: Patrick Reeves 3092411908 ftfmsupport@rdspos.com]-CE IS NOW US153R51-CE arrived onsite and spoke with Riley who called in the issue. Multiple times over the last week she has come into work at 6am and the SCO would be off and the UPS beeping, requiring her to power off UPS and then power back on. Indicative of failing UPS. Ordering Replacement UPS.-LOM order processing, Part has been Ordered , Remedy Id 000000015076013 - (Next Day) by Agent FSC Order-LOM order processing, Ordered Part 4970534153, CE Original Part 4970534153, Remedy Id U018955231 - (Pick Up)IL, Bloomingtonby Agent mg250380-Oracle Order Shipped for Remedy Id: U018955231, Order/Receipt # 182393427, Ordered Part 4970534153, Part Description - UPS (N70-800) LV 100V/120V 800VA with USB communication Port and EMC Improvements, Shipment/Receipt #2119598680, Part has been Shipped, Qty 1, Priority NFO, Shipping Method CE Pickup After Hours, BOL/Job NA, Source Location UFF USFBMI1G-CE IS NOW US153R54-Successfully swapped out defective UPS for new. Tested and confirmed functional. SCO brought back in to full operation. Confirmed with MoD. No further action taken. Closing call.-New Item :7360-4010-9090 New Serial Number :57-60595353 Old Item :7360-4010-9090 Old Serial Number :57-60595353</t>
  </si>
  <si>
    <t>2025-10-15T13:27:45.000Z</t>
  </si>
  <si>
    <t>2025-10-15T08:33:00.000Z</t>
  </si>
  <si>
    <t>2025-10-15T12:33:00.000Z</t>
  </si>
  <si>
    <t>2025-10-15T09:10:00.000Z</t>
  </si>
  <si>
    <t>2025-10-15T13:10:00.000Z</t>
  </si>
  <si>
    <t>2025-10-14T20:19:50.000Z</t>
  </si>
  <si>
    <t>2025-10-15T00:19:50.000Z</t>
  </si>
  <si>
    <t>CEM3988337:Damaged</t>
  </si>
  <si>
    <t>2025-10-15T09:11:12.000Z</t>
  </si>
  <si>
    <t>Arrive on site spoke to jaff regard the coin box jam. The store reported the black plastic fall out of it when they empty the coin box. Which consisted with jam and there could be is also $1 coin that cause the belt jam. Replace the unit and reset the cash count. Test the sco confirm is back in service</t>
  </si>
  <si>
    <t>2025-10-15T09:11:14.000Z</t>
  </si>
  <si>
    <t>SCO11 has a Coin recycyler error - Coin box motor jammed error.   [Generated by Portal Login: most14 Contact: Staci Mowder 3096133038 ftfmsupport@rdspos.com]</t>
  </si>
  <si>
    <t>2025-10-14T20:19:51.000Z</t>
  </si>
  <si>
    <t>2025-10-14T20:25:30.000Z</t>
  </si>
  <si>
    <t>2025-10-15T07:26:40.000Z</t>
  </si>
  <si>
    <t>SCO11 has a Coin recycyler error - Coin box motor jammed error.   [Generated by Portal Login: most14 Contact: Staci Mowder 3096133038 ftfmsupport@rdspos.com]-CE IS NOW US133E71-CE WAS US133E71-CE IS NOW US133E70-CE WAS US133E70-CE IS NOW US133E79-CEM3988337:Damaged-Arrive on site spoke to jaff regard the coin box jam. The store reported the black plastic fall out of it when they empty the coin box. Which consisted with jam and there could be is also $1 coin that cause the belt jam. Replace the unit and reset the cash count. Test the sco confirm is back in service-New Item :7360-4010-9090 New Serial Number :57-60587805 Old Item :7360-4010-9090 Old Serial Number :57-60587805</t>
  </si>
  <si>
    <t>2026-04-04T00:35:51.000Z</t>
  </si>
  <si>
    <t>20-59053579</t>
  </si>
  <si>
    <t>2026-04-03T14:59:00.000Z</t>
  </si>
  <si>
    <t>2026-04-03T19:59:00.000Z</t>
  </si>
  <si>
    <t>2026-04-03T19:22:00.000Z</t>
  </si>
  <si>
    <t>2026-04-04T00:22:00.000Z</t>
  </si>
  <si>
    <t>2026-04-03T14:10:24.000Z</t>
  </si>
  <si>
    <t>2026-04-03T19:10:24.000Z</t>
  </si>
  <si>
    <t>2026-04-03T19:10:25.000Z</t>
  </si>
  <si>
    <t>2026-04-03T14:10:25.000Z</t>
  </si>
  <si>
    <t>2171-2900-9090</t>
  </si>
  <si>
    <t>Oracle Order Shipped for Remedy Id: U018897512, Order/Receipt # 182183787, Ordered Part 4970534153, Part Description - UPS (N70-800) LV 100V/120V 800VA with USB communication Port and EMC Improvements, Shipment/Receipt #2117913222, Part has been Shipped, Qty 1, Priority NFO, Shipping Method CE Pickup After Hours, BOL/Job NA, Source Location UFF USFSTL1G</t>
  </si>
  <si>
    <t>2026-04-03T16:03:39.000Z</t>
  </si>
  <si>
    <t>I arrived on site and checked the UPS per primary tech and found it was blown. Replaced the bad UPS and powered on the SCO. Everything booted without any issues. Manager logged in and it was good to go. Job completed</t>
  </si>
  <si>
    <t>2026-04-03T19:23:01.000Z</t>
  </si>
  <si>
    <t>New Item :7360-4310-9090 New Serial Number :20-59053579 Old Item :7360-4310-9090 Old Serial Number :20-59053579</t>
  </si>
  <si>
    <t>2026-04-03T19:23:03.000Z</t>
  </si>
  <si>
    <t>SCO 11 will not power on at all, the battery back up is dead and will not power on  [Generated by Portal Login: besa14 Contact: Sabrina Bechtel 715-498-6611 ftfmsupport@rdspos.com]</t>
  </si>
  <si>
    <t>2026-04-03T14:10:26.000Z</t>
  </si>
  <si>
    <t>2026-04-03T14:12:55.000Z</t>
  </si>
  <si>
    <t>suspending task so that a replacement UPS can be ordered</t>
  </si>
  <si>
    <t>2026-04-03T15:09:58.000Z</t>
  </si>
  <si>
    <t>SCO 11 will not power on at all, the battery back up is dead and will not power on  [Generated by Portal Login: besa14 Contact: Sabrina Bechtel 715-498-6611 ftfmsupport@rdspos.com]-CE IS NOW US153N76-suspending task so that a replacement UPS can be ordered-LOM order processing, Part has been Ordered , Remedy Id 000000015013410 - (Pick Up)MO, Fentonby Agent Auto CE pickup-CE WAS US153N76-CE IS NOW US153N62-Oracle Order Shipped for Remedy Id: U018897512, Order/Receipt # 182183787, Ordered Part 4970534153, Part Description - UPS (N70-800) LV 100V/120V 800VA with USB communication Port and EMC Improvements, Shipment/Receipt #2117913222, Part has been Shipped, Qty 1, Priority NFO, Shipping Method CE Pickup After Hours, BOL/Job NA, Source Location UFF USFSTL1G-I arrived on site and checked the UPS per primary tech and found it was blown. Replaced the bad UPS and powered on the SCO. Everything booted without any issues. Manager logged in and it was good to go. Job completed-New Item :7360-4310-9090 New Serial Number :20-59053579 Old Item :7360-4310-9090 Old Serial Number :20-59053579</t>
  </si>
  <si>
    <t>2025-11-24T20:11:51.000Z</t>
  </si>
  <si>
    <t>2025-11-23T15:31:00.000Z</t>
  </si>
  <si>
    <t>2025-11-23T21:31:00.000Z</t>
  </si>
  <si>
    <t>2025-11-24T13:57:00.000Z</t>
  </si>
  <si>
    <t>2025-11-24T19:57:00.000Z</t>
  </si>
  <si>
    <t>CM185248</t>
  </si>
  <si>
    <t>2025-11-23T13:38:12.000Z</t>
  </si>
  <si>
    <t>2025-11-23T19:38:12.000Z</t>
  </si>
  <si>
    <t>CEM3969018:Damaged internal mechanism</t>
  </si>
  <si>
    <t>2025-11-24T13:58:18.000Z</t>
  </si>
  <si>
    <t>Lane 5 had a worn gear GSR50 cashbox.  I switched it out, tested with manager and worked good.  Fresh Tyme contact. Scott, mgr</t>
  </si>
  <si>
    <t>2025-11-24T13:58:20.000Z</t>
  </si>
  <si>
    <t>Note recycler is completely off the hinges  [Generated by Portal Login: coas14 Contact: Ashley Cooper 3092131564 FTFMSupport@rdspos.com]</t>
  </si>
  <si>
    <t>2025-11-23T13:38:13.000Z</t>
  </si>
  <si>
    <t>CE IS NOW US153C03</t>
  </si>
  <si>
    <t>2025-11-23T13:42:40.000Z</t>
  </si>
  <si>
    <t>SCO 5 cashbox was not closing properly.  I inspected the damage with manager and found the gears and springs broken.  Ordering pn:  4970514333</t>
  </si>
  <si>
    <t>2025-11-23T16:39:06.000Z</t>
  </si>
  <si>
    <t>Note recycler is completely off the hinges  [Generated by Portal Login: coas14 Contact: Ashley Cooper 3092131564 FTFMSupport@rdspos.com]-CE IS NOW US153C03-SCO 5 cashbox was not closing properly.  I inspected the damage with manager and found the gears and springs broken.  Ordering pn:  4970514333-LOM order processing, Part has been Ordered , Remedy Id FSC5415399 - (Next Day) by Agent to250050-Oracle Order Shipped for Remedy Id: U018808030, Order/Receipt # 181875670, Ordered Part 4970514333, Part Description - Fujitsu GSR50 Note Recycler - Cashbox (Service Part), Shipment/Receipt #2112175247, Part has been Shipped, Qty 1, Priority OVERNIGHT, Shipping Method UPS-Air-Next Day Air Saver, BOL/Job 1ZH92Y061300571199, Source Location UFF USFORD1G-I was able to obtain pn:  4970514333 from fellow CE C04. Heading to site now.-CEM3969018:Damaged internal mechanism-Lane 5 had a worn gear GSR50 cashbox.  I switched it out, tested with manager and worked good.  Fresh Tyme contact. Scott, mgr-New Item :7360-4010-9090 New Serial Number :57-60595326 Old Item :7360-4010-9090 Old Serial Number :57-60595315</t>
  </si>
  <si>
    <t>2025-10-30T20:28:56.000Z</t>
  </si>
  <si>
    <t>2025-10-30T19:50:00.000Z</t>
  </si>
  <si>
    <t>2025-10-30T16:17:00.000Z</t>
  </si>
  <si>
    <t>2025-10-30T20:17:00.000Z</t>
  </si>
  <si>
    <t>2025-10-29T14:23:40.000Z</t>
  </si>
  <si>
    <t>2025-10-29T18:23:40.000Z</t>
  </si>
  <si>
    <t>2025-10-29T18:23:41.000Z</t>
  </si>
  <si>
    <t>2025-10-29T14:23:41.000Z</t>
  </si>
  <si>
    <t>2025-10-30T07:19:27.000Z</t>
  </si>
  <si>
    <t>Tested scale and found that after 10lbs, the scale would way .02lbs less than it was supposed to. Recalibrated scale and confirmed it is now weighing correctly. Filled out PSR and sent to Weights and Measures. Left a copy with MOD Alexis. Closing call</t>
  </si>
  <si>
    <t>2025-10-30T16:17:11.000Z</t>
  </si>
  <si>
    <t>New Item :7360-4010-9090 New Serial Number :57-60588459 Old Item :7360-4010-9090 Old Serial Number :57-60588450</t>
  </si>
  <si>
    <t>2025-10-30T16:17:14.000Z</t>
  </si>
  <si>
    <t>SCO 15 scanner scale calibration, showing 0.01 to 0.07 weight when nothing is on the scale  [Generated by Portal Login: besa14 Contact: Sabrina Bechtel 715-498-6611 ftfmsupport@rdspos.com]</t>
  </si>
  <si>
    <t>2025-10-29T14:26:14.000Z</t>
  </si>
  <si>
    <t>2025-10-30T07:19:26.000Z</t>
  </si>
  <si>
    <t>SCO 15 scanner scale calibration, showing 0.01 to 0.07 weight when nothing is on the scale  [Generated by Portal Login: besa14 Contact: Sabrina Bechtel 715-498-6611 ftfmsupport@rdspos.com]-CE IS NOW US153C41-CE WAS US153C41-CE IS NOW US153C45-Tested scale and found that after 10lbs, the scale would way .02lbs less than it was supposed to. Recalibrated scale and confirmed it is now weighing correctly. Filled out PSR and sent to Weights and Measures. Left a copy with MOD Alexis. Closing call-New Item :7360-4010-9090 New Serial Number :57-60588459 Old Item :7360-4010-9090 Old Serial Number :57-60588450</t>
  </si>
  <si>
    <t>2026-05-22T16:13:41.000Z</t>
  </si>
  <si>
    <t>57-60587744</t>
  </si>
  <si>
    <t>2026-05-22T09:14:00.000Z</t>
  </si>
  <si>
    <t>2026-05-22T14:14:00.000Z</t>
  </si>
  <si>
    <t>2026-05-22T10:57:00.000Z</t>
  </si>
  <si>
    <t>2026-05-22T15:57:00.000Z</t>
  </si>
  <si>
    <t>JA185274</t>
  </si>
  <si>
    <t>2026-05-21T16:07:50.000Z</t>
  </si>
  <si>
    <t>2026-05-21T21:07:50.000Z</t>
  </si>
  <si>
    <t>2026-05-21T21:07:55.000Z</t>
  </si>
  <si>
    <t>2026-05-21T16:07:55.000Z</t>
  </si>
  <si>
    <t>Heading to auto shop to retrieve part from work van.</t>
  </si>
  <si>
    <t>2026-05-22T08:04:29.000Z</t>
  </si>
  <si>
    <t>Troubleshooted and found that the recycler was jamming bills. Cleared debri from recycler. Tested. Verified working with no issues.</t>
  </si>
  <si>
    <t>2026-05-22T10:58:41.000Z</t>
  </si>
  <si>
    <t>New Item :7360-4010-9090 New Serial Number :57-60587744 Old Item :7360-4010-9090 Old Serial Number :57-60587744</t>
  </si>
  <si>
    <t>2026-05-22T10:58:44.000Z</t>
  </si>
  <si>
    <t>SCO 11 came up with a note recycler error jam at RTG2 sensor error code 5-9-0-4-63009  [Generated by Portal Login: besa14 Contact: Sabrina Bechtel 715-498-6611 ftfmsupport@rdspos.com]</t>
  </si>
  <si>
    <t>2026-05-21T16:08:59.000Z</t>
  </si>
  <si>
    <t>2026-05-21T21:59:55.000Z</t>
  </si>
  <si>
    <t>SCO 11 came up with a note recycler error jam at RTG2 sensor error code 5-9-0-4-63009  [Generated by Portal Login: besa14 Contact: Sabrina Bechtel 715-498-6611 ftfmsupport@rdspos.com]-CE IS NOW US153C27-CE WAS US153C27-CE IS NOW US153C04-Heading to auto shop to retrieve part from work van.-Troubleshooted and found that the recycler was jamming bills. Cleared debri from recycler. Tested. Verified working with no issues.-New Item :7360-4010-9090 New Serial Number :57-60587744 Old Item :7360-4010-9090 Old Serial Number :57-60587744</t>
  </si>
  <si>
    <t>2025-12-08T17:48:01.000Z</t>
  </si>
  <si>
    <t>2025-12-08T10:02:00.000Z</t>
  </si>
  <si>
    <t>2025-12-08T16:02:00.000Z</t>
  </si>
  <si>
    <t>2025-12-08T11:30:00.000Z</t>
  </si>
  <si>
    <t>2025-12-08T17:30:00.000Z</t>
  </si>
  <si>
    <t>2025-12-08T07:05:25.000Z</t>
  </si>
  <si>
    <t>2025-12-08T13:05:25.000Z</t>
  </si>
  <si>
    <t>2025-12-08T13:05:29.000Z</t>
  </si>
  <si>
    <t>2025-12-08T07:05:29.000Z</t>
  </si>
  <si>
    <t>2025-12-08T11:31:29.000Z</t>
  </si>
  <si>
    <t>SCO 13 has a coin recycler error exit cup entry path jammed error code 16-6-0-99-524550  [Generated by Portal Login: besa14 Contact: Sabrina Bechtel 715-498-6611 ftfmsupport@rdspos.com]</t>
  </si>
  <si>
    <t>2025-12-08T07:05:30.000Z</t>
  </si>
  <si>
    <t>2025-12-08T07:11:26.000Z</t>
  </si>
  <si>
    <t>PM coin sorter and tested. Site contact Amanda</t>
  </si>
  <si>
    <t>2025-12-08T11:31:27.000Z</t>
  </si>
  <si>
    <t>SCO 13 has a coin recycler error exit cup entry path jammed error code 16-6-0-99-524550  [Generated by Portal Login: besa14 Contact: Sabrina Bechtel 715-498-6611 ftfmsupport@rdspos.com]-CE IS NOW US153C21-PM coin sorter and tested. Site contact Amanda-New Item :7360-4010-9090 New Serial Number :57-60587722 Old Item :7360-4010-9090 Old Serial Number :57-60587722</t>
  </si>
  <si>
    <t>2025-11-19T19:16:11.000Z</t>
  </si>
  <si>
    <t>2025-11-14T20:06:00.000Z</t>
  </si>
  <si>
    <t>2025-11-15T02:06:00.000Z</t>
  </si>
  <si>
    <t>2025-11-19T13:00:00.000Z</t>
  </si>
  <si>
    <t>2025-11-19T19:00:00.000Z</t>
  </si>
  <si>
    <t>2025-11-14T16:53:26.000Z</t>
  </si>
  <si>
    <t>2025-11-14T22:53:26.000Z</t>
  </si>
  <si>
    <t>CEM3833100:Light</t>
  </si>
  <si>
    <t>2025-11-19T13:00:54.000Z</t>
  </si>
  <si>
    <t>Replaced defective Tri-Light assembly. Verified Tri-Light operation.</t>
  </si>
  <si>
    <t>2025-11-19T13:00:56.000Z</t>
  </si>
  <si>
    <t>Trilight on SCO13 is out   [Generated by Portal Login: most14 Contact: Staci Mowder 3096133038 ftfmsupport@rdspos.com]</t>
  </si>
  <si>
    <t>2025-11-14T16:53:53.000Z</t>
  </si>
  <si>
    <t>2025-11-14T17:09:39.000Z</t>
  </si>
  <si>
    <t>Trilight on SCO13 is out   [Generated by Portal Login: most14 Contact: Staci Mowder 3096133038 ftfmsupport@rdspos.com]-CE IS NOW US153C13-CE WAS US153C13-CE IS NOW US153C19-CE IS NOW US153C19-Tri-light not working. attempted to troubleshoot by reseating cables and rebooting sco but could not resolve ordering PN: 4970523835, 4970525295-LOM order processing, Part has been Ordered , Remedy Id FSC5404548 - (Next Day) by Agent to250050-LOM order processing, Part has been Ordered , Remedy Id FSC5404550 - (Next Day) by Agent to250050-Oracle Order Shipped for Remedy Id: U018800800, Order/Receipt # 181856565, Ordered Part 4970523835, Part Description - CABLE - TRILIGHT AND LANE LIGHT EXTENDER, Shipment/Receipt #2111957818, Part has been Shipped, Qty 1, Priority OVERNIGHT, Shipping Method UPS-Air-Next Day Air, BOL/Job 1ZH92Y054401921252, Source Location PTC AVL-Oracle Order Shipped for Remedy Id: U018800801, Order/Receipt # 181856566, Ordered Part 4970525295, Part Description - KIT - R6 TRI-LIGHT W/IP CAMERA, Shipment/Receipt #2112022646, Part has been Shipped, Qty 1, Priority OVERNIGHT, Shipping Method UPS-Air-Next Day Air, BOL/Job 1ZH92Y050101944988, Source Location PTC AVL-CE IS NOW US153C13-CEM3833100:Light-Replaced defective Tri-Light assembly. Verified Tri-Light operation.-New Item :7360-4010-9090 New Serial Number :57-60595331 Old Item :7360-4010-9090 Old Serial Number :57-60595331</t>
  </si>
  <si>
    <t>2025-09-01T21:06:31.000Z</t>
  </si>
  <si>
    <t>120-60109686</t>
  </si>
  <si>
    <t>82WF</t>
  </si>
  <si>
    <t>2025-08-30T14:10:00.000Z</t>
  </si>
  <si>
    <t>2025-08-30T19:10:00.000Z</t>
  </si>
  <si>
    <t>2025-09-01T15:42:00.000Z</t>
  </si>
  <si>
    <t>2025-09-01T20:42:00.000Z</t>
  </si>
  <si>
    <t>2025-08-28T18:14:44.000Z</t>
  </si>
  <si>
    <t>2025-08-28T23:14:44.000Z</t>
  </si>
  <si>
    <t>2025-08-28T23:14:47.000Z</t>
  </si>
  <si>
    <t>2025-08-28T18:14:47.000Z</t>
  </si>
  <si>
    <t>Vestibule</t>
  </si>
  <si>
    <t>In-counter scanners</t>
  </si>
  <si>
    <t>SCR</t>
  </si>
  <si>
    <t>Scanner</t>
  </si>
  <si>
    <t>wrong firmware for NCR scanners.</t>
  </si>
  <si>
    <t>2025-09-01T15:43:26.000Z</t>
  </si>
  <si>
    <t>replaced the digital board and was able to clone settings from a nearby scanner and the unit is now able to scan short barcodes.</t>
  </si>
  <si>
    <t>New Item :7895-3111-1000 New Serial Number :120-60109686 Old Item :7360-4010-9090 Old Serial Number :57-60587731</t>
  </si>
  <si>
    <t>2025-09-01T15:43:28.000Z</t>
  </si>
  <si>
    <t>SCO 13 scanner scale needs to be replaced. NCR replaced the control board in the scanner scale a month ago and since then it will not scan short barcodes.  See ticket number 7519202824 for reference. We are not able to update the software since the scanner scale replacement. SCO 13 scanner scale needs to be replaced. Thank you [Generated by Portal Login: coas14 Contact: Ashley  309-213-1564 FTFMSupport@rdspos.com]</t>
  </si>
  <si>
    <t>2025-08-28T18:18:06.000Z</t>
  </si>
  <si>
    <t>Worked with GURU, and they are saying the scale has a bad digital board, and it needs to be replaced. I tried the bar codes that he provided and also the firmware clone, but the scale isn't starting the firmware that is on my drive. I see the firmware from my laptop. The files show up, the scale sees the drive, but the option number 2 for updated firmware never shows up. Per GURU, ordering digital board. 4970529873</t>
  </si>
  <si>
    <t>2025-08-30T15:39:56.000Z</t>
  </si>
  <si>
    <t>SCO 13 scanner scale needs to be replaced. NCR replaced the control board in the scanner scale a month ago and since then it will not scan short barcodes.  See ticket number 7519202824 for reference. We are not able to update the software since the scanner scale replacement. SCO 13 scanner scale needs to be replaced. Thank you [Generated by Portal Login: coas14 Contact: Ashley  309-213-1564 FTFMSupport@rdspos.com]-CE IS NOW US153N62-Worked with GURU, and they are saying the scale has a bad digital board, and it needs to be replaced. I tried the bar codes that he provided and also the firmware clone, but the scale isn't starting the firmware that is on my drive. I see the firmware from my laptop. The files show up, the scale sees the drive, but the option number 2 for updated firmware never shows up. Per GURU, ordering digital board. 4970529873-LOM order processing, Part has been Ordered , Remedy Id 000000014850423 - (Pick Up)MO, Fentonby Agent Auto CE pickup-Oracle Order Shipped for Remedy Id: U018738724, Order/Receipt # 181657784, Ordered Part 4970529873, Part Description - FRU: PCBA MP7 MAIN (SERVICE PART), Shipment/Receipt #2110344237, Part has been Shipped, Qty 1, Priority NFO, Shipping Method CE Pickup After Hours, BOL/Job NA, Source Location UFF USFSTL1G-CE WAS US153N62-CE IS NOW US153N64-CEM3607706:not accepting clone-CEM3607707:wrong version for NCR scanners-wrong firmware for NCR scanners.-replaced the digital board and was able to clone settings from a nearby scanner and the unit is now able to scan short barcodes.-New Item :7895-3111-1000 New Serial Number :120-60109686 Old Item :7360-4010-9090 Old Serial Number :57-60587731</t>
  </si>
  <si>
    <t>2026-07-26T11:49:17.000Z</t>
  </si>
  <si>
    <t>2026-07-26T07:04:00.000Z</t>
  </si>
  <si>
    <t>2026-07-26T11:04:00.000Z</t>
  </si>
  <si>
    <t>2026-07-26T07:35:00.000Z</t>
  </si>
  <si>
    <t>2026-07-26T11:35:00.000Z</t>
  </si>
  <si>
    <t>2026-07-25T19:38:01.000Z</t>
  </si>
  <si>
    <t>2026-07-25T23:38:01.000Z</t>
  </si>
  <si>
    <t>2026-07-26T07:36:54.000Z</t>
  </si>
  <si>
    <t>Battery backup on SCO 14 needs to be replaced. SCO 14 is completely down and will not power back on.  [Generated by Portal Login: coas14 Contact: Ashley Cooper 3092131564 FTFMSupport@rdspos.com]</t>
  </si>
  <si>
    <t>2026-07-25T19:38:12.000Z</t>
  </si>
  <si>
    <t>ups is on and working fine with no issues tested ups and all is good</t>
  </si>
  <si>
    <t>2026-07-26T07:36:52.000Z</t>
  </si>
  <si>
    <t>Battery backup on SCO 14 needs to be replaced. SCO 14 is completely down and will not power back on.  [Generated by Portal Login: coas14 Contact: Ashley Cooper 3092131564 FTFMSupport@rdspos.com]-CE IS NOW US133C55-ups is on and working fine with no issues tested ups and all is good-New Item :7360-4010-9090 New Serial Number :57-60595308 Old Item :7360-4010-9090 Old Serial Number :57-60595308</t>
  </si>
  <si>
    <t>2026-02-23T18:35:14.000Z</t>
  </si>
  <si>
    <t>2026-02-23T12:02:00.000Z</t>
  </si>
  <si>
    <t>2026-02-23T18:02:00.000Z</t>
  </si>
  <si>
    <t>2026-02-23T12:18:00.000Z</t>
  </si>
  <si>
    <t>2026-02-23T18:18:00.000Z</t>
  </si>
  <si>
    <t>2026-02-23T08:31:00.000Z</t>
  </si>
  <si>
    <t>2026-02-23T14:31:00.000Z</t>
  </si>
  <si>
    <t>14 replace</t>
  </si>
  <si>
    <t>replace ups after pick up and tested and working good to go Katie verified my work</t>
  </si>
  <si>
    <t>2026-02-23T12:23:00.000Z</t>
  </si>
  <si>
    <t>2026-02-23T12:23:02.000Z</t>
  </si>
  <si>
    <t>SCO 14 battery back up needs replaced, sco will not power on  [Generated by Portal Login: besa14 Contact: Sabrina Bechtel 715-498-6611 ftfmsupport@rdspos.com]</t>
  </si>
  <si>
    <t>2026-02-23T08:31:01.000Z</t>
  </si>
  <si>
    <t>2026-02-23T08:36:16.000Z</t>
  </si>
  <si>
    <t>2026-02-23T08:38:04.000Z</t>
  </si>
  <si>
    <t>SCO 14 battery back up needs replaced, sco will not power on  [Generated by Portal Login: besa14 Contact: Sabrina Bechtel 715-498-6611 ftfmsupport@rdspos.com]-CE IS NOW US153C17-CE WAS US153C17-CE IS NOW US153C07-14 replace-replace ups after pick up and tested and working good to go Katie verified my work-New Item :7360-4010-9090 New Serial Number :57-60595352 Old Item :7360-4010-9090 Old Serial Number :57-60595352</t>
  </si>
  <si>
    <t>2026-01-03T01:01:21.000Z</t>
  </si>
  <si>
    <t>2026-01-02T19:38:00.000Z</t>
  </si>
  <si>
    <t>2026-01-03T00:38:00.000Z</t>
  </si>
  <si>
    <t>2026-01-02T19:44:00.000Z</t>
  </si>
  <si>
    <t>2026-01-03T00:44:00.000Z</t>
  </si>
  <si>
    <t>2026-01-02T13:13:54.000Z</t>
  </si>
  <si>
    <t>2026-01-02T18:13:54.000Z</t>
  </si>
  <si>
    <t>2026-01-02T18:13:55.000Z</t>
  </si>
  <si>
    <t>2026-01-02T13:13:55.000Z</t>
  </si>
  <si>
    <t>paper debris in validatior</t>
  </si>
  <si>
    <t>2026-01-02T19:44:25.000Z</t>
  </si>
  <si>
    <t>arrived on site andnfound paper debris in validatior. blew debris out and tested and coin recycler is now working and sco is back in cash and card mode</t>
  </si>
  <si>
    <t>2026-01-02T19:44:26.000Z</t>
  </si>
  <si>
    <t>SCO 12 has a coin recycler error accept reject flap jammed or not working error code 16-6-0-99-132097  [Generated by Portal Login: besa14 Contact: Sabrina Bechtel 715-498-6611 ftfmsupport@rdspos.com]</t>
  </si>
  <si>
    <t>2026-01-02T13:17:49.000Z</t>
  </si>
  <si>
    <t>2026-01-02T15:38:10.000Z</t>
  </si>
  <si>
    <t>SCO 12 has a coin recycler error accept reject flap jammed or not working error code 16-6-0-99-132097  [Generated by Portal Login: besa14 Contact: Sabrina Bechtel 715-498-6611 ftfmsupport@rdspos.com]-CE IS NOW US133C52-CE WAS US133C52-CE IS NOW US133C57-checkout lizy-paper debris in validatior-arrived on site andnfound paper debris in validatior. blew debris out and tested and coin recycler is now working and sco is back in cash and card mode-New Item :7360-4010-9090 New Serial Number :57-60591344 Old Item :7360-4010-9090 Old Serial Number :57-60595308</t>
  </si>
  <si>
    <t>2026-02-15T21:00:46.000Z</t>
  </si>
  <si>
    <t>2026-02-15T14:07:00.000Z</t>
  </si>
  <si>
    <t>2026-02-15T20:07:00.000Z</t>
  </si>
  <si>
    <t>2026-02-15T14:43:00.000Z</t>
  </si>
  <si>
    <t>2026-02-15T20:43:00.000Z</t>
  </si>
  <si>
    <t>2026-02-14T20:14:30.000Z</t>
  </si>
  <si>
    <t>2026-02-15T02:14:30.000Z</t>
  </si>
  <si>
    <t>software error</t>
  </si>
  <si>
    <t>2026-02-15T14:44:01.000Z</t>
  </si>
  <si>
    <t>software had glitched and stopped detecting hoppers. ran add and tested without further issue or incident self checkout lane number 12 mod barb</t>
  </si>
  <si>
    <t>2026-02-15T14:44:02.000Z</t>
  </si>
  <si>
    <t>Transfer motor jam, error code 16-6-0-99-67074  [Generated by Portal Login: coas14 Contact: Ashley N Cooper 3092131564 ftfmsupport@rdspos.com]</t>
  </si>
  <si>
    <t>2026-02-14T20:14:31.000Z</t>
  </si>
  <si>
    <t>2026-02-14T20:28:14.000Z</t>
  </si>
  <si>
    <t>2026-02-15T12:19:38.000Z</t>
  </si>
  <si>
    <t>Transfer motor jam, error code 16-6-0-99-67074  [Generated by Portal Login: coas14 Contact: Ashley N Cooper 3092131564 ftfmsupport@rdspos.com]-CE IS NOW US153N79-CE WAS US153N79-CE IS NOW US153N63-software error-software had glitched and stopped detecting hoppers. ran add and tested without further issue or incident self checkout lane number 12 mod barb-New Item :7360-4010-9090 New Serial Number :57-60587730 Old Item :7360-4010-9090 Old Serial Number :57-60587731</t>
  </si>
  <si>
    <t>2025-10-02T15:16:35.000Z</t>
  </si>
  <si>
    <t>57-60587765</t>
  </si>
  <si>
    <t>2025-10-02T08:09:00.000Z</t>
  </si>
  <si>
    <t>2025-10-02T12:09:00.000Z</t>
  </si>
  <si>
    <t>2025-10-02T10:46:00.000Z</t>
  </si>
  <si>
    <t>2025-10-02T14:46:00.000Z</t>
  </si>
  <si>
    <t>2025-10-01T14:28:38.000Z</t>
  </si>
  <si>
    <t>2025-10-01T18:28:38.000Z</t>
  </si>
  <si>
    <t>2025-10-01T18:28:39.000Z</t>
  </si>
  <si>
    <t>2025-10-01T14:28:39.000Z</t>
  </si>
  <si>
    <t>this call was because as soon as a customer would put coins into the recycler it would freeze. after doing several tests determined that the sorter was the most probable cause. replaced sorter rebooted and tested again and this time it is giving accurate counts however it is constantly plugged by Avalanche sensor errors which do return the coins to the customer. replaced Avalanche sensor rebooted and tested again. performed multiple dispense and accept tests to ensure no issues. all issues have cleared. manager asked that I go ahead and extract 1-50 cent piece and four $1 coins from the coin recycler. was able to extract them and gave them to the manager.</t>
  </si>
  <si>
    <t>2025-10-02T10:49:30.000Z</t>
  </si>
  <si>
    <t>customer asked me to use our software to extract 1- 50 cent piece and 4 $1 coins</t>
  </si>
  <si>
    <t>2025-10-02T10:49:31.000Z</t>
  </si>
  <si>
    <t>New Item :7360-4010-9090 New Serial Number :57-60587765 Old Item :7360-4010-9090 Old Serial Number :57-60587723</t>
  </si>
  <si>
    <t>SCO12 has a coin recycler error and freezes up after inserting coins. No red lights  [Generated by Portal Login: most14 Contact: Staci Mowder 3096133038 ftfmsupport@rdspos.com]</t>
  </si>
  <si>
    <t>2025-10-01T14:41:55.000Z</t>
  </si>
  <si>
    <t>CEM3973762:not sorting</t>
  </si>
  <si>
    <t>2025-10-02T08:57:23.000Z</t>
  </si>
  <si>
    <t>SCO12 has a coin recycler error and freezes up after inserting coins. No red lights  [Generated by Portal Login: most14 Contact: Staci Mowder 3096133038 ftfmsupport@rdspos.com]-CE IS NOW US133C71-CEM3973762:not sorting-CEM3973763:failed-LOM order processing, Part has been Ordered , Remedy Id 000000014877455 - (Pick Up)OH, Clevelandby Agent Auto CE pickup-Oracle Order Shipped for Remedy Id: U018765469, Order/Receipt # 181745301, Ordered Part 4970533157, Part Description - CR5000 door accessory Kit A( service part), Shipment/Receipt #2111023311, Part has been Shipped, Qty 1, Priority NFO, Shipping Method CE Pickup After Hours, BOL/Job NA, Source Location UFF USFCLE1G-this call was because as soon as a customer would put coins into the recycler it would freeze. after doing several tests determined that the sorter was the most probable cause. replaced sorter rebooted and tested again and this time it is giving accurate counts however it is constantly plugged by Avalanche sensor errors which do return the coins to the customer. replaced Avalanche sensor rebooted and tested again. performed multiple dispense and accept tests to ensure no issues. all issues have cleared. manager asked that I go ahead and extract 1-50 cent piece and four $1 coins from the coin recycler. was able to extract them and gave them to the manager.-customer asked me to use our software to extract 1- 50 cent piece and 4 $1 coins-New Item :7360-4010-9090 New Serial Number :57-60587765 Old Item :7360-4010-9090 Old Serial Number :57-60587723</t>
  </si>
  <si>
    <t>2025-08-01T16:57:31.000Z</t>
  </si>
  <si>
    <t>363O</t>
  </si>
  <si>
    <t>2025-08-01T12:32:00.000Z</t>
  </si>
  <si>
    <t>2025-08-01T16:32:00.000Z</t>
  </si>
  <si>
    <t>2025-08-01T12:41:00.000Z</t>
  </si>
  <si>
    <t>2025-08-01T16:41:00.000Z</t>
  </si>
  <si>
    <t>2025-08-01T10:14:34.000Z</t>
  </si>
  <si>
    <t>2025-08-01T14:14:34.000Z</t>
  </si>
  <si>
    <t>2025-08-01T12:41:47.000Z</t>
  </si>
  <si>
    <t>SCO 15 is missing a wheel in the back on the right hand side, so SCO is not level  [Generated by Portal Login: coas14 Contact: Ashley 309-213-1564 acooper@rdspos.com]</t>
  </si>
  <si>
    <t>2025-08-01T10:14:35.000Z</t>
  </si>
  <si>
    <t>2025-08-01T10:14:52.000Z</t>
  </si>
  <si>
    <t>upon arrival the sco wasn't level. adjusted feet hight and then tested unit with the mod and found no further problems</t>
  </si>
  <si>
    <t>2025-08-01T12:41:45.000Z</t>
  </si>
  <si>
    <t>SCO 15 is missing a wheel in the back on the right hand side, so SCO is not level  [Generated by Portal Login: coas14 Contact: Ashley 309-213-1564 acooper@rdspos.com]-CE IS NOW US133C52-upon arrival the sco wasn't level. adjusted feet hight and then tested unit with the mod and found no further problems-New Item :7360-4010-9090 New Serial Number :57-60595308 Old Item :7360-4010-9090 Old Serial Number :57-60595308</t>
  </si>
  <si>
    <t>2026-05-13T18:00:46.000Z</t>
  </si>
  <si>
    <t>2026-05-13T13:32:00.000Z</t>
  </si>
  <si>
    <t>2026-05-13T17:32:00.000Z</t>
  </si>
  <si>
    <t>2026-05-13T13:45:00.000Z</t>
  </si>
  <si>
    <t>2026-05-13T17:45:00.000Z</t>
  </si>
  <si>
    <t>2026-05-13T09:26:38.000Z</t>
  </si>
  <si>
    <t>2026-05-13T13:26:38.000Z</t>
  </si>
  <si>
    <t>2026-05-13T13:26:39.000Z</t>
  </si>
  <si>
    <t>2026-05-13T09:26:39.000Z</t>
  </si>
  <si>
    <t>New Item :7360-4010-9090 New Serial Number :57-60588383 Old Item :7360-4010-9090 Old Serial Number :57-60588383</t>
  </si>
  <si>
    <t>2026-05-13T13:46:19.000Z</t>
  </si>
  <si>
    <t>Coin Recycler Error  [Generated by Portal Login: repa14 Contact: Patrick Reeves 3092411908 ftfmsupport@rdspos.com]</t>
  </si>
  <si>
    <t>2026-05-13T09:26:40.000Z</t>
  </si>
  <si>
    <t>2026-05-13T09:26:59.000Z</t>
  </si>
  <si>
    <t>a customer dumped a handful of change including a bent quarter into the coin recycler causing the coin sorter to jam and kicking the disorder out of place. I tested the unit and confirmed that it's working properly at this time with no issues</t>
  </si>
  <si>
    <t>2026-05-13T13:46:17.000Z</t>
  </si>
  <si>
    <t>Coin Recycler Error  [Generated by Portal Login: repa14 Contact: Patrick Reeves 3092411908 ftfmsupport@rdspos.com]-CE IS NOW US133E62-a customer dumped a handful of change including a bent quarter into the coin recycler causing the coin sorter to jam and kicking the disorder out of place. I tested the unit and confirmed that it's working properly at this time with no issues-New Item :7360-4010-9090 New Serial Number :57-60588383 Old Item :7360-4010-9090 Old Serial Number :57-60588383</t>
  </si>
  <si>
    <t>2026-02-18T17:49:31.000Z</t>
  </si>
  <si>
    <t>2026-02-18T10:21:00.000Z</t>
  </si>
  <si>
    <t>2026-02-18T16:21:00.000Z</t>
  </si>
  <si>
    <t>2026-02-18T11:33:00.000Z</t>
  </si>
  <si>
    <t>2026-02-18T17:33:00.000Z</t>
  </si>
  <si>
    <t>2026-02-18T08:14:21.000Z</t>
  </si>
  <si>
    <t>2026-02-18T14:14:21.000Z</t>
  </si>
  <si>
    <t>2026-02-18T11:33:59.000Z</t>
  </si>
  <si>
    <t>SCO 11 will not power on, the battery back up is dead and needs replaced  [Generated by Portal Login: besa14 Contact: Sabrina Bechtel 715-498-6611 ftfmsupport@rdspos.com]</t>
  </si>
  <si>
    <t>2026-02-18T08:19:11.000Z</t>
  </si>
  <si>
    <t>Replaced the defective battery backup. Rebooted the lane. Tested and working. Returned the lane to service.</t>
  </si>
  <si>
    <t>2026-02-18T11:33:57.000Z</t>
  </si>
  <si>
    <t>SCO 11 will not power on, the battery back up is dead and needs replaced  [Generated by Portal Login: besa14 Contact: Sabrina Bechtel 715-498-6611 ftfmsupport@rdspos.com]-CE IS NOW US153R80-Replaced the defective battery backup. Rebooted the lane. Tested and working. Returned the lane to service.-New Item :7360-4010-9090 New Serial Number :57-60591362 Old Item :7360-4010-9090 Old Serial Number :57-60591345</t>
  </si>
  <si>
    <t>2026-03-15T21:21:39.000Z</t>
  </si>
  <si>
    <t>2026-03-15T16:56:00.000Z</t>
  </si>
  <si>
    <t>2026-03-15T20:56:00.000Z</t>
  </si>
  <si>
    <t>2026-03-15T17:06:00.000Z</t>
  </si>
  <si>
    <t>2026-03-15T21:06:00.000Z</t>
  </si>
  <si>
    <t>2026-03-15T15:36:30.000Z</t>
  </si>
  <si>
    <t>2026-03-15T19:36:30.000Z</t>
  </si>
  <si>
    <t>2026-03-15T19:36:31.000Z</t>
  </si>
  <si>
    <t>2026-03-15T15:36:31.000Z</t>
  </si>
  <si>
    <t>2026-03-15T17:08:08.000Z</t>
  </si>
  <si>
    <t>SCO 14 is not printing anything on the reciept, receipt is completely blank   [Generated by Portal Login: coas14 Contact: Ashley Cooper 3092131564 ftfmsupport@rdspos.com]</t>
  </si>
  <si>
    <t>2026-03-15T15:38:00.000Z</t>
  </si>
  <si>
    <t>Reseated printer and now printouts are testing good</t>
  </si>
  <si>
    <t>2026-03-15T17:08:06.000Z</t>
  </si>
  <si>
    <t>SCO 14 is not printing anything on the reciept, receipt is completely blank   [Generated by Portal Login: coas14 Contact: Ashley Cooper 3092131564 ftfmsupport@rdspos.com]-CE IS NOW US133C87-Reseated printer and now printouts are testing good-New Item :7360-4010-9090 New Serial Number :57-60587862 Old Item :7360-4010-9090 Old Serial Number :57-60587862</t>
  </si>
  <si>
    <t>2025-08-16T16:19:32.000Z</t>
  </si>
  <si>
    <t>2025-08-16T11:42:00.000Z</t>
  </si>
  <si>
    <t>2025-08-16T15:42:00.000Z</t>
  </si>
  <si>
    <t>2025-08-16T12:01:00.000Z</t>
  </si>
  <si>
    <t>2025-08-16T16:01:00.000Z</t>
  </si>
  <si>
    <t>2025-08-15T10:35:15.000Z</t>
  </si>
  <si>
    <t>2025-08-15T14:35:15.000Z</t>
  </si>
  <si>
    <t>see attached photo. SCO not in use on arrival. hopper one exit blocked in PML. removed receipt scrap from hopper one exit. successfully tested dispense and accept. SCO returned to full service.</t>
  </si>
  <si>
    <t>2025-08-16T12:02:57.000Z</t>
  </si>
  <si>
    <t>2025-08-16T12:02:58.000Z</t>
  </si>
  <si>
    <t>SCO12 not giving change and has Coin recycler error-Hopper 1 exit Chute blocked  [Generated by Portal Login: most14 Contact: Staci Mowder 3096133038 ftfmsupport@rdspos.com]</t>
  </si>
  <si>
    <t>2025-08-15T10:35:16.000Z</t>
  </si>
  <si>
    <t>2025-08-15T11:29:46.000Z</t>
  </si>
  <si>
    <t>2025-08-16T10:29:35.000Z</t>
  </si>
  <si>
    <t>SCO12 not giving change and has Coin recycler error-Hopper 1 exit Chute blocked  [Generated by Portal Login: most14 Contact: Staci Mowder 3096133038 ftfmsupport@rdspos.com]-CE IS NOW US133U38-CE WAS US133U38-CE IS NOW US133U01-see attached photo. SCO not in use on arrival. hopper one exit blocked in PML. removed receipt scrap from hopper one exit. successfully tested dispense and accept. SCO returned to full service.-see attached photo. SCO not in use on arrival. hopper one exit blocked in PML. removed receipt scrap from hopper one exit. successfully tested dispense and accept. SCO returned to full service.-New Item :7360-4010-9090 New Serial Number :57-60595300 Old Item :7360-4010-9090 Old Serial Number :57-60595333</t>
  </si>
  <si>
    <t>2026-06-09T16:46:29.000Z</t>
  </si>
  <si>
    <t>2026-06-09T11:58:00.000Z</t>
  </si>
  <si>
    <t>2026-06-09T15:58:00.000Z</t>
  </si>
  <si>
    <t>2026-06-09T12:34:00.000Z</t>
  </si>
  <si>
    <t>2026-06-09T16:34:00.000Z</t>
  </si>
  <si>
    <t>RD185343</t>
  </si>
  <si>
    <t>2026-06-09T11:35:06.000Z</t>
  </si>
  <si>
    <t>2026-06-09T15:35:06.000Z</t>
  </si>
  <si>
    <t>2026-06-09T15:35:08.000Z</t>
  </si>
  <si>
    <t>2026-06-09T11:35:08.000Z</t>
  </si>
  <si>
    <t>2026-06-09T12:35:23.000Z</t>
  </si>
  <si>
    <t>Inner door on SCO12 is very hard to open and lock seems possibly damaged.
  [Generated by Portal Login: most14 Contact: Staci Mowder 630-320-2349 ftfmsupport@rdspos.com]</t>
  </si>
  <si>
    <t>2026-06-09T11:35:09.000Z</t>
  </si>
  <si>
    <t>2026-06-09T11:37:21.000Z</t>
  </si>
  <si>
    <t>Per notes, the inner door lock was stuck.  After getting the door open, I cleaned the deadbolts.  Lock worked smoothly after cleaning.  Full functionality restored</t>
  </si>
  <si>
    <t>2026-06-09T12:35:21.000Z</t>
  </si>
  <si>
    <t>Inner door on SCO12 is very hard to open and lock seems possibly damaged.
  [Generated by Portal Login: most14 Contact: Staci Mowder 630-320-2349 ftfmsupport@rdspos.com]-CE IS NOW US133C29-Per notes, the inner door lock was stuck.  After getting the door open, I cleaned the deadbolts.  Lock worked smoothly after cleaning.  Full functionality restored-New Item :7360-4010-9090 New Serial Number :57-60588438 Old Item :7360-4010-9090 Old Serial Number :57-60588438</t>
  </si>
  <si>
    <t>2025-10-16T15:50:03.000Z</t>
  </si>
  <si>
    <t>2025-10-16T11:50:03.000Z</t>
  </si>
  <si>
    <t>2025-10-16T09:12:05.000Z</t>
  </si>
  <si>
    <t>2025-10-16T13:12:05.000Z</t>
  </si>
  <si>
    <t>2025-10-16T11:17:12.000Z</t>
  </si>
  <si>
    <t>cancel as duplicate. I work at the same machine self checkout 13 at defrant ticket 
8528902930. and I fixated and closed the ticket</t>
  </si>
  <si>
    <t>Damage to coin chute/cup on SCO13   [Generated by Portal Login: most14 Contact: Staci Mowder 3096133038 ftfmsupport@rdspos.com]</t>
  </si>
  <si>
    <t>2025-10-16T09:12:06.000Z</t>
  </si>
  <si>
    <t>2025-10-16T09:14:03.000Z</t>
  </si>
  <si>
    <t>2025-10-16T10:02:24.000Z</t>
  </si>
  <si>
    <t>Damage to coin chute/cup on SCO13   [Generated by Portal Login: most14 Contact: Staci Mowder 3096133038 ftfmsupport@rdspos.com]-CE IS NOW US133E70-CE WAS US133E70-CE IS NOW US133E79-CE WAS US133E79-CE IS NOW US133E70-CE IS NOW US133E70-cancel as duplicate. I work at the same machine self checkout 13 at defrant ticket 
8528902930. and I fixated and closed the ticket-CE WAS US133E70</t>
  </si>
  <si>
    <t>2026-03-11T16:08:28.000Z</t>
  </si>
  <si>
    <t>2026-03-11T11:38:00.000Z</t>
  </si>
  <si>
    <t>2026-03-11T15:38:00.000Z</t>
  </si>
  <si>
    <t>2026-03-11T11:54:00.000Z</t>
  </si>
  <si>
    <t>2026-03-11T15:54:00.000Z</t>
  </si>
  <si>
    <t>2026-03-10T18:16:13.000Z</t>
  </si>
  <si>
    <t>2026-03-10T22:16:13.000Z</t>
  </si>
  <si>
    <t>2026-03-10T22:16:15.000Z</t>
  </si>
  <si>
    <t>2026-03-10T18:16:15.000Z</t>
  </si>
  <si>
    <t>call stated there was a low tax or other error message. upon arrival and inspection saw a customer successfully using the self checkout both coin and note recyclers were up green lights and no errors. logged into PML and performed a visual inspection. find nothing wrong with the machine and also performed a 10 coin dispense and accept test. all tests are successful</t>
  </si>
  <si>
    <t>2026-03-11T11:56:06.000Z</t>
  </si>
  <si>
    <t>New Item :7360-4010-9090 New Serial Number :57-60587770 Old Item :7360-4010-9090 Old Serial Number :57-60587770</t>
  </si>
  <si>
    <t>2026-03-11T11:56:07.000Z</t>
  </si>
  <si>
    <t>SCO16 has a Coin recycler error - Active coin box exceeded reject limit.  [Generated by Portal Login: most14 Contact: Staci Mowder 3096133038 ftfmsupport@rdspos.com]</t>
  </si>
  <si>
    <t>2026-03-10T19:48:35.000Z</t>
  </si>
  <si>
    <t>no fault now</t>
  </si>
  <si>
    <t>SCO16 has a Coin recycler error - Active coin box exceeded reject limit.  [Generated by Portal Login: most14 Contact: Staci Mowder 3096133038 ftfmsupport@rdspos.com]-CE IS NOW US133C71-no fault now-call stated there was a low tax or other error message. upon arrival and inspection saw a customer successfully using the self checkout both coin and note recyclers were up green lights and no errors. logged into PML and performed a visual inspection. find nothing wrong with the machine and also performed a 10 coin dispense and accept test. all tests are successful-New Item :7360-4010-9090 New Serial Number :57-60587770 Old Item :7360-4010-9090 Old Serial Number :57-60587770</t>
  </si>
  <si>
    <t>2026-07-20T17:46:57.000Z</t>
  </si>
  <si>
    <t>57-60591350</t>
  </si>
  <si>
    <t>2026-07-20T11:05:00.000Z</t>
  </si>
  <si>
    <t>2026-07-20T16:05:00.000Z</t>
  </si>
  <si>
    <t>2026-07-20T12:30:00.000Z</t>
  </si>
  <si>
    <t>2026-07-20T17:30:00.000Z</t>
  </si>
  <si>
    <t>2026-07-20T08:36:26.000Z</t>
  </si>
  <si>
    <t>2026-07-20T13:36:26.000Z</t>
  </si>
  <si>
    <t>New Item :7360-4010-9090 New Serial Number :57-60591350 Old Item :7360-4010-9090 Old Serial Number :57-60606704</t>
  </si>
  <si>
    <t>2026-07-20T12:31:17.000Z</t>
  </si>
  <si>
    <t>Transfer chamber has overflowed, Error code 16-6-0-99-67330  [Generated by Portal Login: coas14 Contact: Ashley Cooper 3092131564 FTFMSupport@rdspos.com]</t>
  </si>
  <si>
    <t>CE IS NOW US153C53</t>
  </si>
  <si>
    <t>2026-07-20T08:39:49.000Z</t>
  </si>
  <si>
    <t>removed a tiny piece of paper blocking a sensor and tested recycler several times with head cashier Donna</t>
  </si>
  <si>
    <t>2026-07-20T12:31:15.000Z</t>
  </si>
  <si>
    <t>Transfer chamber has overflowed, Error code 16-6-0-99-67330  [Generated by Portal Login: coas14 Contact: Ashley Cooper 3092131564 FTFMSupport@rdspos.com]-CE IS NOW US153C53-removed a tiny piece of paper blocking a sensor and tested recycler several times with head cashier Donna-New Item :7360-4010-9090 New Serial Number :57-60591350 Old Item :7360-4010-9090 Old Serial Number :57-60606704</t>
  </si>
  <si>
    <t>2025-12-29T17:31:28.000Z</t>
  </si>
  <si>
    <t>57-60588390</t>
  </si>
  <si>
    <t>2025-12-29T11:31:00.000Z</t>
  </si>
  <si>
    <t>2025-12-29T16:31:00.000Z</t>
  </si>
  <si>
    <t>2025-12-29T12:14:00.000Z</t>
  </si>
  <si>
    <t>2025-12-29T17:14:00.000Z</t>
  </si>
  <si>
    <t>2025-12-29T08:12:59.000Z</t>
  </si>
  <si>
    <t>2025-12-29T13:12:59.000Z</t>
  </si>
  <si>
    <t>Store530</t>
  </si>
  <si>
    <t>New Item :7360-4010-9090 New Serial Number :57-60588390 Old Item :7360-4010-9090 Old Serial Number :57-60588390</t>
  </si>
  <si>
    <t>2025-12-29T12:15:32.000Z</t>
  </si>
  <si>
    <t>2025-12-29T08:13:00.000Z</t>
  </si>
  <si>
    <t>2025-12-29T08:26:57.000Z</t>
  </si>
  <si>
    <t>On arrival I found that the ups was down and the issue followed the ups to another lane.  I replaced the ups and the sco booted properly.</t>
  </si>
  <si>
    <t>2025-12-29T12:15:30.000Z</t>
  </si>
  <si>
    <t>Battery backup is dead  [Generated by Portal Login: repa14 Contact: Patrick Reeves 3092411908 ftfmsupport@rdspos.com]-CE IS NOW US133E74-On arrival I found that the ups was down and the issue followed the ups to another lane.  I replaced the ups and the sco booted properly.-New Item :7360-4010-9090 New Serial Number :57-60588390 Old Item :7360-4010-9090 Old Serial Number :57-60588390</t>
  </si>
  <si>
    <t>2025-11-07T22:38:05.000Z</t>
  </si>
  <si>
    <t>2025-11-04T15:34:00.000Z</t>
  </si>
  <si>
    <t>2025-11-04T20:34:00.000Z</t>
  </si>
  <si>
    <t>2025-11-07T17:25:00.000Z</t>
  </si>
  <si>
    <t>2025-11-07T22:25:00.000Z</t>
  </si>
  <si>
    <t>2025-11-03T09:20:49.000Z</t>
  </si>
  <si>
    <t>2025-11-03T14:20:49.000Z</t>
  </si>
  <si>
    <t>Arrived on site. Task is to replace flickering trilight with a new one. task went without issue. Confirmed with Christian.</t>
  </si>
  <si>
    <t>2025-11-07T17:25:37.000Z</t>
  </si>
  <si>
    <t>replaced trilight</t>
  </si>
  <si>
    <t>2025-11-07T17:25:38.000Z</t>
  </si>
  <si>
    <t>2025-11-07T17:25:39.000Z</t>
  </si>
  <si>
    <t>SCO 12 tri-light keeps blinking/flashing   [Generated by Portal Login: besa14 Contact: Sabrina Bechtel 715-498-6611 ftfmsupport@rdspos.com]</t>
  </si>
  <si>
    <t>2025-11-03T09:20:50.000Z</t>
  </si>
  <si>
    <t>2025-11-03T09:28:45.000Z</t>
  </si>
  <si>
    <t>2025-11-04T12:32:36.000Z</t>
  </si>
  <si>
    <t>SCO 12 tri-light keeps blinking/flashing   [Generated by Portal Login: besa14 Contact: Sabrina Bechtel 715-498-6611 ftfmsupport@rdspos.com]-CE IS NOW US133E75-CE WAS US133E75-CE IS NOW US133E77-Arrived on site. Issue stated that lane light was flickering constantly. Light was steady when I arrived, but started flickering shortly after. After checking connections and finding no issues, I got advice from a fellow CE. Based on the advice, I will be ordering parts 4970525295 and 4970511101.-LOM order processing, Part has been Ordered , Remedy Id 000000014904797 - (Next Day) by Agent Auto VIP P932-LOM order processing, Part has been Ordered , Remedy Id 000000014904794 - (Next Day) by Agent AUTO VIP-Oracle Order Shipped for Remedy Id: U018792592, Order/Receipt # 181831444, Ordered Part 4970511101, Part Description - 2 LH/RH Lane Light Graphics Label  NCR Fastlane, Shipment/Receipt #2111791851, Part has been Shipped, Qty 1, Priority OVERNIGHT, Shipping Method UPS-Air-Next Day Air Saver, BOL/Job 1ZH92Y061300556376, Source Location UFF USFIAH1G-LOM order processing, Part has been Ordered , Remedy Id U018792951 - (Next Day) by Agent sb185674-Oracle Order Shipped for Remedy Id: U018792951, Order/Receipt # 181833220, Ordered Part 4970530375, Part Description - Kit-Tri-light with IP Camera, Shipment/Receipt #2111807065, Part has been Shipped, Qty 1, Priority OVERNIGHT, Shipping Method UPS-Air-Next Day Air Saver, BOL/Job 1ZH92Y051301854964, Source Location PTC AVL-CEM3994657:flickers intensely intermittently-Arrived on site. Task is to replace flickering trilight with a new one. task went without issue. Confirmed with Christian.-replaced trilight-New Item :7360-4010-9090 New Serial Number :57-60588442 Old Item :7360-4010-9090 Old Serial Number :57-60588404</t>
  </si>
  <si>
    <t>2026-07-09T17:07:53.000Z</t>
  </si>
  <si>
    <t>2026-07-08T17:35:00.000Z</t>
  </si>
  <si>
    <t>2026-07-08T21:35:00.000Z</t>
  </si>
  <si>
    <t>2026-07-09T12:52:00.000Z</t>
  </si>
  <si>
    <t>2026-07-09T16:52:00.000Z</t>
  </si>
  <si>
    <t>2026-07-08T09:25:26.000Z</t>
  </si>
  <si>
    <t>2026-07-08T13:25:26.000Z</t>
  </si>
  <si>
    <t>CEM4325529:Transfer track error</t>
  </si>
  <si>
    <t>2026-07-09T12:52:54.000Z</t>
  </si>
  <si>
    <t>Follow up on previous visit to replace chassis suspect bad sensor. After replace chassis the motor was keep over loading. The transfer belt have no issue. Install new replacement motor and test with transaction confirm sco is back in service</t>
  </si>
  <si>
    <t>New Item :7360-4010-9090 New Serial Number :57-60590100 Old Item :7360-4010-9090 Old Serial Number :57-60588402</t>
  </si>
  <si>
    <t>2026-07-09T12:52:56.000Z</t>
  </si>
  <si>
    <t>Transfer motor jamm error -Code 16-6-0-99-67074 that popped up while in cards only mode on SCO14  [Generated by Portal Login: most14 Contact: Staci Mowder 2694689716 FTFMSupport@rdspos.com]</t>
  </si>
  <si>
    <t>2026-07-08T09:25:27.000Z</t>
  </si>
  <si>
    <t>2026-07-08T11:23:47.000Z</t>
  </si>
  <si>
    <t>Arrive on site find SCO was previously visit with coin issue 4 days ago and everything looks good on the machine suspect intermentent sensor issue. Order replacement of Cr5000 chassis</t>
  </si>
  <si>
    <t>2026-07-08T18:08:02.000Z</t>
  </si>
  <si>
    <t>Transfer motor jamm error -Code 16-6-0-99-67074 that popped up while in cards only mode on SCO14  [Generated by Portal Login: most14 Contact: Staci Mowder 2694689716 FTFMSupport@rdspos.com]-CE IS NOW US133E79-Arrive on site find SCO was previously visit with coin issue 4 days ago and everything looks good on the machine suspect intermentent sensor issue. Order replacement of Cr5000 chassis-LOM order processing, Part has been Ordered , Remedy Id 000000015079277 - (Pick Up)IN, Indianapolisby Agent Auto CE pickup-Oracle Order Shipped for Remedy Id: U018958199, Order/Receipt # 182403974, Ordered Part 4970523480, Part Description - CHASSIS MODULE ONLY - NO MOTOR SORTER ACTIVE CASHBOX VALIDATOR HOPPER(S) OR CONTROLLER PCBA (A) (SERVICE PART), Shipment/Receipt #2119673777, Part has been Shipped, Qty 1, Priority NFO, Shipping Method CE Pickup After Hours, BOL/Job NA, Source Location UFF USFIND1G-CEM4325529:Transfer track error-Follow up on previous visit to replace chassis suspect bad sensor. After replace chassis the motor was keep over loading. The transfer belt have no issue. Install new replacement motor and test with transaction confirm sco is back in service-New Item :7360-4010-9090 New Serial Number :57-60590100 Old Item :7360-4010-9090 Old Serial Number :57-60588402</t>
  </si>
  <si>
    <t>2026-07-10T13:47:10.000Z</t>
  </si>
  <si>
    <t>2026-07-10T08:50:00.000Z</t>
  </si>
  <si>
    <t>2026-07-10T12:50:00.000Z</t>
  </si>
  <si>
    <t>2026-07-10T09:33:00.000Z</t>
  </si>
  <si>
    <t>2026-07-10T13:33:00.000Z</t>
  </si>
  <si>
    <t>MW185210</t>
  </si>
  <si>
    <t>2026-07-09T15:17:48.000Z</t>
  </si>
  <si>
    <t>2026-07-09T19:17:48.000Z</t>
  </si>
  <si>
    <t>CEM4307042:intermittent debris flap error</t>
  </si>
  <si>
    <t>2026-07-10T09:33:32.000Z</t>
  </si>
  <si>
    <t>SCO12 replace the validator on the CR5000 with a new unit. Once replaced everything tested and working just fine</t>
  </si>
  <si>
    <t>2026-07-10T09:33:34.000Z</t>
  </si>
  <si>
    <t>Coin recycler error - Accept/reject flap not working or jammed on SCO12   [Generated by Portal Login: most14 Contact: Staci Mowder 2694689716 FTFMSupport@rdspos.com]</t>
  </si>
  <si>
    <t>2026-07-09T15:19:02.000Z</t>
  </si>
  <si>
    <t>2026-07-10T07:25:24.000Z</t>
  </si>
  <si>
    <t>Coin recycler error - Accept/reject flap not working or jammed on SCO12   [Generated by Portal Login: most14 Contact: Staci Mowder 2694689716 FTFMSupport@rdspos.com]-CE IS NOW US133C24-CE WAS US133C24-CE IS NOW US133C33-CEM4307042:intermittent debris flap error-SCO12 replace the validator on the CR5000 with a new unit. Once replaced everything tested and working just fine-New Item :7360-4010-9090 New Serial Number :57-60588407 Old Item :7360-4010-9090 Old Serial Number :57-60588439</t>
  </si>
  <si>
    <t>2025-10-13T22:50:10.000Z</t>
  </si>
  <si>
    <t>2025-10-13T17:57:00.000Z</t>
  </si>
  <si>
    <t>2025-10-13T21:57:00.000Z</t>
  </si>
  <si>
    <t>2025-10-13T18:34:00.000Z</t>
  </si>
  <si>
    <t>2025-10-13T22:34:00.000Z</t>
  </si>
  <si>
    <t>2025-10-13T10:41:49.000Z</t>
  </si>
  <si>
    <t>2025-10-13T14:41:49.000Z</t>
  </si>
  <si>
    <t>2025-10-13T18:35:25.000Z</t>
  </si>
  <si>
    <t>SCO 18 the door latch is hard to open, the key will go in and it will not unlock until we wiggles it around and fights with it   [Generated by Portal Login: coas14 Contact: Ashley 3092131564 ftfmsupport@rdspos.com]</t>
  </si>
  <si>
    <t>2025-10-13T10:41:50.000Z</t>
  </si>
  <si>
    <t>2025-10-13T10:47:00.000Z</t>
  </si>
  <si>
    <t>Arrived on-site and checked in with the store supervisor. Tested the door latch and managed to open the door despite resistance in the latch. Removed the latch mechanism and rotated the latch clip to prevent it from binding against the door. Reassembled the latch mechanism and tested multiple times with the supervisor before returning the register to service.</t>
  </si>
  <si>
    <t>2025-10-13T18:35:22.000Z</t>
  </si>
  <si>
    <t>SCO 18 the door latch is hard to open, the key will go in and it will not unlock until we wiggles it around and fights with it   [Generated by Portal Login: coas14 Contact: Ashley 3092131564 ftfmsupport@rdspos.com]-CE IS NOW US133U34-Arrived on-site and checked in with the store supervisor. Tested the door latch and managed to open the door despite resistance in the latch. Removed the latch mechanism and rotated the latch clip to prevent it from binding against the door. Reassembled the latch mechanism and tested multiple times with the supervisor before returning the register to service.-New Item :7360-4010-9090 New Serial Number :57-60587771 Old Item :7360-4010-9090 Old Serial Number :57-60587771</t>
  </si>
  <si>
    <t>2025-12-04T16:21:18.000Z</t>
  </si>
  <si>
    <t>2025-12-04T09:58:00.000Z</t>
  </si>
  <si>
    <t>2025-12-04T14:58:00.000Z</t>
  </si>
  <si>
    <t>2025-12-04T11:04:00.000Z</t>
  </si>
  <si>
    <t>2025-12-04T16:04:00.000Z</t>
  </si>
  <si>
    <t>2025-12-03T13:49:07.000Z</t>
  </si>
  <si>
    <t>2025-12-03T18:49:07.000Z</t>
  </si>
  <si>
    <t>2025-12-03T18:49:10.000Z</t>
  </si>
  <si>
    <t>2025-12-03T13:49:10.000Z</t>
  </si>
  <si>
    <t>Store532</t>
  </si>
  <si>
    <t>2025-12-03T13:56:52.000Z</t>
  </si>
  <si>
    <t>cleaned and cleared note recycler. rebooted self checkout and no error codes on recycler</t>
  </si>
  <si>
    <t>2025-12-04T11:05:04.000Z</t>
  </si>
  <si>
    <t>2025-12-04T11:05:06.000Z</t>
  </si>
  <si>
    <t>SCO 13 has a note recycler error note jammed at RNCK2 sensor error code 5-9-0-4-63010  [Generated by Portal Login: besa14 Contact: Sabrina Bechtel 715-498-6611 ftfmsupport@rdspos.com]</t>
  </si>
  <si>
    <t>2025-12-03T13:51:31.000Z</t>
  </si>
  <si>
    <t>2025-12-03T13:56:51.000Z</t>
  </si>
  <si>
    <t>SCO 13 has a note recycler error note jammed at RNCK2 sensor error code 5-9-0-4-63010  [Generated by Portal Login: besa14 Contact: Sabrina Bechtel 715-498-6611 ftfmsupport@rdspos.com]-CE IS NOW US133E72-CE WAS US133E72-CE IS NOW US133E76-cleaned and cleared note recycler. rebooted self checkout and no error codes on recycler-New Item :7360-4010-9090 New Serial Number :57-60590087 Old Item :7360-4010-9090 Old Serial Number :57-60590087</t>
  </si>
  <si>
    <t>2025-09-04T18:47:44.000Z</t>
  </si>
  <si>
    <t>2025-09-04T12:16:00.000Z</t>
  </si>
  <si>
    <t>2025-09-04T16:16:00.000Z</t>
  </si>
  <si>
    <t>2025-09-04T13:40:00.000Z</t>
  </si>
  <si>
    <t>2025-09-04T17:40:00.000Z</t>
  </si>
  <si>
    <t>2025-09-04T11:04:13.000Z</t>
  </si>
  <si>
    <t>2025-09-04T15:04:13.000Z</t>
  </si>
  <si>
    <t>2025-09-04T15:04:15.000Z</t>
  </si>
  <si>
    <t>2025-09-04T11:04:15.000Z</t>
  </si>
  <si>
    <t>New Item :7360-4010-9090 New Serial Number :57-60587809 Old Item :7360-4010-9090 Old Serial Number :57-60587809</t>
  </si>
  <si>
    <t>2025-09-04T14:30:58.000Z</t>
  </si>
  <si>
    <t>SCO 12, check the locking mechanism, key will insert in the lock on the outer door but will not turn   [Generated by Portal Login: besa14 Contact: Sabrina Bechtel 715-498-6611 ftfmsupport@rdspos.com]</t>
  </si>
  <si>
    <t>2025-09-04T11:04:16.000Z</t>
  </si>
  <si>
    <t>2025-09-04T11:30:10.000Z</t>
  </si>
  <si>
    <t>for door open and lock bar was loose. had to tighten bar so lock would set in place</t>
  </si>
  <si>
    <t>2025-09-04T14:30:55.000Z</t>
  </si>
  <si>
    <t>SCO 12, check the locking mechanism, key will insert in the lock on the outer door but will not turn   [Generated by Portal Login: besa14 Contact: Sabrina Bechtel 715-498-6611 ftfmsupport@rdspos.com]-CE IS NOW US133E76-for door open and lock bar was loose. had to tighten bar so lock would set in place-New Item :7360-4010-9090 New Serial Number :57-60587809 Old Item :7360-4010-9090 Old Serial Number :57-60587809</t>
  </si>
  <si>
    <t>2025-10-30T14:37:40.000Z</t>
  </si>
  <si>
    <t>2025-10-30T09:38:00.000Z</t>
  </si>
  <si>
    <t>2025-10-30T13:38:00.000Z</t>
  </si>
  <si>
    <t>2025-10-30T10:21:00.000Z</t>
  </si>
  <si>
    <t>2025-10-30T14:21:00.000Z</t>
  </si>
  <si>
    <t>2025-10-29T14:42:58.000Z</t>
  </si>
  <si>
    <t>2025-10-29T18:42:58.000Z</t>
  </si>
  <si>
    <t>New Item :7360-4010-9090 New Serial Number :57-60595322 Old Item :7360-4010-9090 Old Serial Number :57-60595320</t>
  </si>
  <si>
    <t>2025-10-30T10:21:59.000Z</t>
  </si>
  <si>
    <t>SCO 13 having issues with coins dispensing, please clean all sensors as well while onsite  [Generated by Portal Login: besa14 Contact: Sabrina Bechtel 715-498-6611 ftfmsupport@rdspos.com]</t>
  </si>
  <si>
    <t>2025-10-29T14:47:22.000Z</t>
  </si>
  <si>
    <t>cleared coins jam inside the active coin box, corrected the coin count in the logical box then cleaned the whole coin recycler. tested successfully by dispensing and accepting coins through the ncr profile manager. report to mod Stella</t>
  </si>
  <si>
    <t>2025-10-30T10:21:57.000Z</t>
  </si>
  <si>
    <t>SCO 13 having issues with coins dispensing, please clean all sensors as well while onsite  [Generated by Portal Login: besa14 Contact: Sabrina Bechtel 715-498-6611 ftfmsupport@rdspos.com]-CE IS NOW US133U12-cleared coins jam inside the active coin box, corrected the coin count in the logical box then cleaned the whole coin recycler. tested successfully by dispensing and accepting coins through the ncr profile manager. report to mod Stella-New Item :7360-4010-9090 New Serial Number :57-60595322 Old Item :7360-4010-9090 Old Serial Number :57-60595320</t>
  </si>
  <si>
    <t>2025-10-14T15:41:38.000Z</t>
  </si>
  <si>
    <t>2025-10-14T10:21:00.000Z</t>
  </si>
  <si>
    <t>2025-10-14T14:21:00.000Z</t>
  </si>
  <si>
    <t>2025-10-14T11:25:00.000Z</t>
  </si>
  <si>
    <t>2025-10-14T15:25:00.000Z</t>
  </si>
  <si>
    <t>2025-10-13T21:29:38.000Z</t>
  </si>
  <si>
    <t>2025-10-14T01:29:38.000Z</t>
  </si>
  <si>
    <t>2025-10-14T01:29:40.000Z</t>
  </si>
  <si>
    <t>2025-10-13T21:29:40.000Z</t>
  </si>
  <si>
    <t>Employees accidentally dumped coin roll paper into machine causing error</t>
  </si>
  <si>
    <t>2025-10-14T11:26:39.000Z</t>
  </si>
  <si>
    <t>Coin roll paper found in cr5000 transfer chamber full otpo sensor path. Cleared debris and preformed light cleaning. Tested working.</t>
  </si>
  <si>
    <t>New Item :7360-4010-9090 New Serial Number :57-60591642 Old Item :7360-4010-9090 Old Serial Number :57-60591646</t>
  </si>
  <si>
    <t>2025-10-14T11:26:40.000Z</t>
  </si>
  <si>
    <t>SCO19 has a coin recycler error - Transfer chamber has overflowed.  [Generated by Portal Login: most14 Contact: Staci Mowder 3096133038 ftfmsupport@rdspos.com]</t>
  </si>
  <si>
    <t>2025-10-13T21:29:41.000Z</t>
  </si>
  <si>
    <t>2025-10-13T21:50:23.000Z</t>
  </si>
  <si>
    <t>2025-10-14T09:20:24.000Z</t>
  </si>
  <si>
    <t>SCO19 has a coin recycler error - Transfer chamber has overflowed.  [Generated by Portal Login: most14 Contact: Staci Mowder 3096133038 ftfmsupport@rdspos.com]-CE IS NOW US133B47-CE WAS US133B47-CE IS NOW US133B43-Employees accidentally dumped coin roll paper into machine causing error-Coin roll paper found in cr5000 transfer chamber full otpo sensor path. Cleared debris and preformed light cleaning. Tested working.-New Item :7360-4010-9090 New Serial Number :57-60591642 Old Item :7360-4010-9090 Old Serial Number :57-60591646</t>
  </si>
  <si>
    <t>2026-07-11T16:27:45.000Z</t>
  </si>
  <si>
    <t>2026-07-11T11:05:00.000Z</t>
  </si>
  <si>
    <t>2026-07-11T16:05:00.000Z</t>
  </si>
  <si>
    <t>2026-07-11T11:11:00.000Z</t>
  </si>
  <si>
    <t>2026-07-11T16:11:00.000Z</t>
  </si>
  <si>
    <t>2026-07-10T18:38:27.000Z</t>
  </si>
  <si>
    <t>2026-07-10T23:38:27.000Z</t>
  </si>
  <si>
    <t>57-60591382</t>
  </si>
  <si>
    <t>New Item :7360-4010-9090 New Serial Number :7619101477 Old Item :7360-4010-9090 Old Serial Number :57-60591382</t>
  </si>
  <si>
    <t>2026-07-11T11:12:22.000Z</t>
  </si>
  <si>
    <t>SCO12 has a Coin recycler error and flashing red lights   [Generated by Portal Login: most14 Contact: Staci Mowder 2694689716 FTFMSupport@rdspos.com]</t>
  </si>
  <si>
    <t>2026-07-10T19:23:59.000Z</t>
  </si>
  <si>
    <t>Manager Mike reported cleaning out coin sorter and removing several jammed coins</t>
  </si>
  <si>
    <t>2026-07-11T11:12:20.000Z</t>
  </si>
  <si>
    <t>SCO12 has a Coin recycler error and flashing red lights   [Generated by Portal Login: most14 Contact: Staci Mowder 2694689716 FTFMSupport@rdspos.com]-CE IS NOW US153N76-Manager Mike reported cleaning out coin sorter and removing several jammed coins-New Item :7360-4010-9090 New Serial Number :7619101477 Old Item :7360-4010-9090 Old Serial Number :57-60591382</t>
  </si>
  <si>
    <t>2025-12-02T18:27:42.000Z</t>
  </si>
  <si>
    <t>2025-11-28T20:14:00.000Z</t>
  </si>
  <si>
    <t>2025-11-29T02:14:00.000Z</t>
  </si>
  <si>
    <t>Damage</t>
  </si>
  <si>
    <t>2025-11-28T15:25:18.000Z</t>
  </si>
  <si>
    <t>2025-11-28T21:25:18.000Z</t>
  </si>
  <si>
    <t>END UNIT SWAP-OUT</t>
  </si>
  <si>
    <t>CEM3738417:Defective</t>
  </si>
  <si>
    <t>2025-12-02T12:12:23.000Z</t>
  </si>
  <si>
    <t>damaged cashbox replaced</t>
  </si>
  <si>
    <t>New Item :7360-4010-9090 New Serial Number :57-53428883 Old Item :7360-4010-9090 Old Serial Number :57-60590105</t>
  </si>
  <si>
    <t>2025-12-02T12:12:25.000Z</t>
  </si>
  <si>
    <t>Note box on SCO16 flashing red. Gives error when removing and replacing notebox  [Generated by Portal Login: most14 Contact: Staci Mowder 3096133038 ftfmsupport@rdspos.com]</t>
  </si>
  <si>
    <t>2025-11-28T15:28:01.000Z</t>
  </si>
  <si>
    <t>Cleaned everything out. Still cashbox and frame blinked red. Would not let me dispensing. Need to order cashbox.</t>
  </si>
  <si>
    <t>2025-11-28T20:44:51.000Z</t>
  </si>
  <si>
    <t>Note box on SCO16 flashing red. Gives error when removing and replacing notebox  [Generated by Portal Login: most14 Contact: Staci Mowder 3096133038 ftfmsupport@rdspos.com]-CE IS NOW US153R74-Cleaned everything out. Still cashbox and frame blinked red. Would not let me dispensing. Need to order cashbox.-LOM order processing, Part has been Ordered , Remedy Id 000000014924451 - (Next Day) by Agent Auto VIP P000-Oracle Order Shipped for Remedy Id: U018812027, Order/Receipt # 181893688, Ordered Part 4970514333, Part Description - Fujitsu GSR50 Note Recycler - Cashbox (Service Par, Shipment/Receipt #2112425749, Part has been Shipped, Qty 1, Priority OVERNIGHT, Shipping Method UPS-Air-Next Day Air, BOL/Job 1ZH92Y054401998644, Source Location PTC AVL-CE WAS US153R74-CE IS NOW US153R73-CE IS NOW US153R73-CE WAS US153R73-CE IS NOW US153C17-CEM3738417:Defective-damaged cashbox replaced-New Item :7360-4010-9090 New Serial Number :57-53428883 Old Item :7360-4010-9090 Old Serial Number :57-60590105</t>
  </si>
  <si>
    <t>2025-10-08T20:37:59.000Z</t>
  </si>
  <si>
    <t>2025-10-08T14:36:00.000Z</t>
  </si>
  <si>
    <t>2025-10-08T19:36:00.000Z</t>
  </si>
  <si>
    <t>2025-10-08T15:25:00.000Z</t>
  </si>
  <si>
    <t>2025-10-08T20:25:00.000Z</t>
  </si>
  <si>
    <t>2025-10-07T15:11:17.000Z</t>
  </si>
  <si>
    <t>2025-10-07T20:11:17.000Z</t>
  </si>
  <si>
    <t>2025-10-07T20:11:18.000Z</t>
  </si>
  <si>
    <t>2025-10-07T15:11:18.000Z</t>
  </si>
  <si>
    <t>2025-10-07T18:27:35.000Z</t>
  </si>
  <si>
    <t>MEIJER/FRESH THYME #701 SCO 12 having dispensing bills interval issue. Tested both cash machines on PML, and both tested perfectly. This is a software issue or other. Levi was point of contact</t>
  </si>
  <si>
    <t>2025-10-08T15:25:22.000Z</t>
  </si>
  <si>
    <t>2025-10-08T15:25:24.000Z</t>
  </si>
  <si>
    <t>Will not dispense quarters if they have less than $50.00 When trying to dispense $8.00, it only dispensed $7.00 and quarters are now greyed out.   [Generated by Portal Login: coas14 Contact: Ashley  3092131564 ftfmsupport@rdspos.com]</t>
  </si>
  <si>
    <t>2025-10-07T15:13:54.000Z</t>
  </si>
  <si>
    <t>CE WAS US153R07</t>
  </si>
  <si>
    <t>2025-10-07T15:14:30.000Z</t>
  </si>
  <si>
    <t>Will not dispense quarters if they have less than $50.00 When trying to dispense $8.00, it only dispensed $7.00 and quarters are now greyed out.   [Generated by Portal Login: coas14 Contact: Ashley  3092131564 ftfmsupport@rdspos.com]-CE IS NOW US153R07-CE WAS US153R07-CE IS NOW US153R01-CE WAS US153R01-CE IS NOW US153R07-MEIJER/FRESH THYME #701 SCO 12 having dispensing bills interval issue. Tested both cash machines on PML, and both tested perfectly. This is a software issue or other. Levi was point of contact-New Item :7360-4010-9090 New Serial Number :57-60588467 Old Item :7360-4010-9090 Old Serial Number :57-60588467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</si>
</sst>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yyyy\-mm\-dd"/>
    <numFmt numFmtId="168" formatCode="yyyy\-mm\-dd\ h:mm:ss"/>
  </numFmts>
  <fonts count="24" x14ac:knownFonts="1">
    <font>
      <sz val="11"/>
      <color theme="1"/>
      <name val="Calibri"/>
      <family val="2"/>
      <charset val="1"/>
    </font>
    <font>
      <b/>
      <sz val="16"/>
      <color rgb="FF1F3864"/>
      <name val="Arial"/>
      <family val="2"/>
    </font>
    <font>
      <b/>
      <sz val="13"/>
      <color rgb="FF1F3864"/>
      <name val="Arial"/>
      <family val="2"/>
    </font>
    <font>
      <sz val="10"/>
      <color rgb="FF000000"/>
      <name val="Arial"/>
      <family val="2"/>
    </font>
    <font>
      <b/>
      <sz val="20"/>
      <color rgb="FF1F3864"/>
      <name val="Arial"/>
      <family val="2"/>
    </font>
    <font>
      <i/>
      <sz val="11"/>
      <color rgb="FF5A5A5A"/>
      <name val="Arial"/>
      <family val="2"/>
    </font>
    <font>
      <b/>
      <sz val="8.5"/>
      <color rgb="FF5A5A5A"/>
      <name val="Arial"/>
      <family val="2"/>
    </font>
    <font>
      <b/>
      <sz val="24"/>
      <color rgb="FF1F3864"/>
      <name val="Arial"/>
      <family val="2"/>
    </font>
    <font>
      <b/>
      <sz val="24"/>
      <color rgb="FF1E7A34"/>
      <name val="Arial"/>
      <family val="2"/>
    </font>
    <font>
      <b/>
      <sz val="24"/>
      <color rgb="FFB02A2A"/>
      <name val="Arial"/>
      <family val="2"/>
    </font>
    <font>
      <b/>
      <sz val="24"/>
      <color rgb="FF0000FF"/>
      <name val="Arial"/>
      <family val="2"/>
    </font>
    <font>
      <b/>
      <sz val="24"/>
      <color rgb="FFB8860B"/>
      <name val="Arial"/>
      <family val="2"/>
    </font>
    <font>
      <i/>
      <sz val="9"/>
      <color rgb="FF5A5A5A"/>
      <name val="Arial"/>
      <family val="2"/>
    </font>
    <font>
      <b/>
      <sz val="9"/>
      <color rgb="FF1E7A34"/>
      <name val="Arial"/>
      <family val="2"/>
    </font>
    <font>
      <b/>
      <sz val="9"/>
      <color rgb="FFB8860B"/>
      <name val="Arial"/>
      <family val="2"/>
    </font>
    <font>
      <b/>
      <sz val="9"/>
      <color rgb="FFB02A2A"/>
      <name val="Arial"/>
      <family val="2"/>
    </font>
    <font>
      <i/>
      <sz val="8"/>
      <color rgb="FF5A5A5A"/>
      <name val="Arial"/>
      <family val="2"/>
    </font>
    <font>
      <b/>
      <sz val="12"/>
      <color rgb="FF1F3864"/>
      <name val="Arial"/>
      <family val="2"/>
    </font>
    <font>
      <b/>
      <sz val="11"/>
      <color rgb="FF000000"/>
      <name val="Arial"/>
      <family val="2"/>
    </font>
    <font>
      <b/>
      <sz val="11"/>
      <color rgb="FF0000FF"/>
      <name val="Arial"/>
      <family val="2"/>
    </font>
    <font>
      <b/>
      <sz val="10"/>
      <color rgb="FFFFFFFF"/>
      <name val="Arial"/>
      <family val="2"/>
    </font>
    <font>
      <b/>
      <sz val="10"/>
      <color rgb="FF000000"/>
      <name val="Arial"/>
      <family val="2"/>
    </font>
    <font>
      <sz val="9"/>
      <color rgb="FFA6A6A6"/>
      <name val="Arial"/>
      <family val="2"/>
    </font>
    <font>
      <b/>
      <sz val="9"/>
      <color rgb="FFFFFFFF"/>
      <name val="Arial"/>
      <family val="2"/>
    </font>
  </fonts>
  <fills count="10">
    <fill>
      <patternFill patternType="none"/>
    </fill>
    <fill>
      <patternFill patternType="gray125"/>
    </fill>
    <fill>
      <patternFill patternType="solid">
        <fgColor rgb="FFF4F6FB"/>
        <bgColor rgb="FFF2F2F2"/>
      </patternFill>
    </fill>
    <fill>
      <patternFill patternType="solid">
        <fgColor rgb="FFFFF2CC"/>
        <bgColor rgb="FFF2F2F2"/>
      </patternFill>
    </fill>
    <fill>
      <patternFill patternType="solid">
        <fgColor rgb="FFC6EFCE"/>
        <bgColor rgb="FFD9E1F2"/>
      </patternFill>
    </fill>
    <fill>
      <patternFill patternType="solid">
        <fgColor rgb="FFFFEB9C"/>
        <bgColor rgb="FFFFF2CC"/>
      </patternFill>
    </fill>
    <fill>
      <patternFill patternType="solid">
        <fgColor rgb="FFFFC7CE"/>
        <bgColor rgb="FFD9D9D9"/>
      </patternFill>
    </fill>
    <fill>
      <patternFill patternType="solid">
        <fgColor rgb="FF1F3864"/>
        <bgColor rgb="FF333333"/>
      </patternFill>
    </fill>
    <fill>
      <patternFill patternType="solid">
        <fgColor rgb="FFF2F2F2"/>
        <bgColor rgb="FFF4F6FB"/>
      </patternFill>
    </fill>
    <fill>
      <patternFill patternType="solid">
        <fgColor rgb="FFD9E1F2"/>
        <bgColor rgb="FFD9D9D9"/>
      </patternFill>
    </fill>
  </fills>
  <borders count="3">
    <border>
      <left/>
      <right/>
      <top/>
      <bottom/>
      <diagonal/>
    </border>
    <border>
      <left style="medium">
        <color rgb="FF2E5395"/>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xfId="0"/>
    <xf numFmtId="0" fontId="12" fillId="0" borderId="0" xfId="0" applyFont="1" applyAlignment="1">
      <alignment horizontal="left"/>
    </xf>
    <xf numFmtId="166" fontId="7" fillId="2" borderId="1" xfId="0" applyNumberFormat="1" applyFont="1" applyFill="1" applyBorder="1" applyAlignment="1">
      <alignment horizontal="left" vertical="center"/>
    </xf>
    <xf numFmtId="164" fontId="11" fillId="2" borderId="1" xfId="0" applyNumberFormat="1" applyFont="1" applyFill="1" applyBorder="1" applyAlignment="1">
      <alignment horizontal="left" vertical="center"/>
    </xf>
    <xf numFmtId="3" fontId="11" fillId="2" borderId="1" xfId="0" applyNumberFormat="1" applyFont="1" applyFill="1" applyBorder="1" applyAlignment="1">
      <alignment horizontal="left" vertical="center"/>
    </xf>
    <xf numFmtId="165" fontId="7" fillId="2" borderId="1" xfId="0" applyNumberFormat="1" applyFont="1" applyFill="1" applyBorder="1" applyAlignment="1">
      <alignment horizontal="left" vertical="center"/>
    </xf>
    <xf numFmtId="164" fontId="10" fillId="3" borderId="1" xfId="0" applyNumberFormat="1" applyFont="1" applyFill="1" applyBorder="1" applyAlignment="1">
      <alignment horizontal="left" vertical="center"/>
    </xf>
    <xf numFmtId="164" fontId="7" fillId="2" borderId="1" xfId="0" applyNumberFormat="1" applyFont="1" applyFill="1" applyBorder="1" applyAlignment="1">
      <alignment horizontal="left" vertical="center"/>
    </xf>
    <xf numFmtId="3" fontId="9" fillId="2" borderId="1" xfId="0" applyNumberFormat="1" applyFont="1" applyFill="1" applyBorder="1" applyAlignment="1">
      <alignment horizontal="left" vertical="center"/>
    </xf>
    <xf numFmtId="3" fontId="8" fillId="2" borderId="1" xfId="0" applyNumberFormat="1" applyFont="1" applyFill="1" applyBorder="1" applyAlignment="1">
      <alignment horizontal="left" vertical="center"/>
    </xf>
    <xf numFmtId="0" fontId="6" fillId="3" borderId="1" xfId="0" applyFont="1" applyFill="1" applyBorder="1" applyAlignment="1">
      <alignment horizontal="left" wrapText="1"/>
    </xf>
    <xf numFmtId="3" fontId="7" fillId="2" borderId="1" xfId="0" applyNumberFormat="1" applyFont="1" applyFill="1" applyBorder="1" applyAlignment="1">
      <alignment horizontal="left" vertical="center"/>
    </xf>
    <xf numFmtId="0" fontId="6" fillId="2" borderId="1" xfId="0" applyFont="1" applyFill="1" applyBorder="1" applyAlignment="1">
      <alignment horizontal="left" wrapText="1"/>
    </xf>
    <xf numFmtId="0" fontId="5" fillId="0" borderId="0" xfId="0" applyFont="1"/>
    <xf numFmtId="0" fontId="4" fillId="0" borderId="0" xfId="0" applyFont="1" applyAlignment="1">
      <alignment vertical="center"/>
    </xf>
    <xf numFmtId="0" fontId="13" fillId="4" borderId="0" xfId="0" applyFont="1" applyFill="1"/>
    <xf numFmtId="0" fontId="14" fillId="5" borderId="0" xfId="0" applyFont="1" applyFill="1"/>
    <xf numFmtId="0" fontId="15" fillId="6" borderId="0" xfId="0" applyFont="1" applyFill="1"/>
    <xf numFmtId="0" fontId="17" fillId="0" borderId="0" xfId="0" applyFont="1"/>
    <xf numFmtId="0" fontId="18" fillId="0" borderId="0" xfId="0" applyFont="1"/>
    <xf numFmtId="164" fontId="19" fillId="3" borderId="0" xfId="0" applyNumberFormat="1" applyFont="1" applyFill="1" applyAlignment="1">
      <alignment horizontal="center"/>
    </xf>
    <xf numFmtId="0" fontId="20" fillId="7" borderId="2" xfId="0" applyFont="1" applyFill="1" applyBorder="1" applyAlignment="1">
      <alignment horizontal="center" vertical="center" wrapText="1"/>
    </xf>
    <xf numFmtId="0" fontId="3" fillId="0" borderId="2" xfId="0" applyFont="1" applyBorder="1"/>
    <xf numFmtId="164" fontId="3" fillId="0" borderId="2" xfId="0" applyNumberFormat="1" applyFont="1" applyBorder="1"/>
    <xf numFmtId="166" fontId="3" fillId="0" borderId="2" xfId="0" applyNumberFormat="1" applyFont="1" applyBorder="1"/>
    <xf numFmtId="0" fontId="3" fillId="8" borderId="2" xfId="0" applyFont="1" applyFill="1" applyBorder="1"/>
    <xf numFmtId="164" fontId="3" fillId="8" borderId="2" xfId="0" applyNumberFormat="1" applyFont="1" applyFill="1" applyBorder="1"/>
    <xf numFmtId="166" fontId="3" fillId="8" borderId="2" xfId="0" applyNumberFormat="1" applyFont="1" applyFill="1" applyBorder="1"/>
    <xf numFmtId="0" fontId="21" fillId="9" borderId="2" xfId="0" applyFont="1" applyFill="1" applyBorder="1"/>
    <xf numFmtId="164" fontId="21" fillId="9" borderId="2" xfId="0" applyNumberFormat="1" applyFont="1" applyFill="1" applyBorder="1"/>
    <xf numFmtId="166" fontId="21" fillId="9" borderId="2" xfId="0" applyNumberFormat="1" applyFont="1" applyFill="1" applyBorder="1"/>
    <xf numFmtId="0" fontId="12" fillId="0" borderId="0" xfId="0" applyFont="1"/>
    <xf numFmtId="0" fontId="21" fillId="0" borderId="0" xfId="0" applyFont="1"/>
    <xf numFmtId="164" fontId="21" fillId="0" borderId="0" xfId="0" applyNumberFormat="1" applyFont="1"/>
    <xf numFmtId="0" fontId="20" fillId="7" borderId="0" xfId="0" applyFont="1" applyFill="1" applyAlignment="1">
      <alignment horizontal="center" vertical="center" wrapText="1"/>
    </xf>
    <xf numFmtId="0" fontId="22" fillId="0" borderId="0" xfId="0" applyFont="1"/>
    <xf numFmtId="10" fontId="22" fillId="0" borderId="0" xfId="0" applyNumberFormat="1" applyFont="1"/>
    <xf numFmtId="0" fontId="3" fillId="0" borderId="0" xfId="0" applyFont="1"/>
    <xf numFmtId="166" fontId="21" fillId="0" borderId="0" xfId="0" applyNumberFormat="1" applyFont="1"/>
    <xf numFmtId="167" fontId="0" fillId="0" borderId="0" xfId="0" applyNumberFormat="1"/>
    <xf numFmtId="0" fontId="23" fillId="7" borderId="0" xfId="0" applyFont="1" applyFill="1" applyAlignment="1">
      <alignment horizontal="center" vertical="center" wrapText="1"/>
    </xf>
    <xf numFmtId="168" fontId="0" fillId="0" borderId="0" xfId="0" applyNumberFormat="1"/>
    <xf numFmtId="0" fontId="0" fillId="0" borderId="0" xfId="0" applyAlignment="1">
      <alignment wrapText="1"/>
    </xf>
    <xf numFmtId="0" fontId="16" fillId="0" borderId="0" xfId="0" applyFont="1" applyAlignment="1">
      <alignment wrapText="1"/>
    </xf>
    <xf numFmtId="0" fontId="1" fillId="0" borderId="0" xfId="0" applyFont="1"/>
    <xf numFmtId="0" fontId="2" fillId="0" borderId="0" xfId="0" applyFont="1"/>
    <xf numFmtId="0" fontId="3" fillId="0" borderId="0" xfId="0" applyFont="1" applyAlignment="1">
      <alignment vertical="top" wrapText="1"/>
    </xf>
    <xf numFmtId="0" fontId="12" fillId="0" borderId="0" xfId="0" applyFont="1" applyAlignment="1">
      <alignment wrapText="1"/>
    </xf>
    <xf numFmtId="0" fontId="12" fillId="0" borderId="0" xfId="0" applyFont="1"/>
    <xf numFmtId="0" fontId="18" fillId="0" borderId="0" xfId="0" applyFont="1"/>
    <xf numFmtId="0" fontId="12" fillId="0" borderId="0" xfId="0" applyFont="1" applyAlignment="1">
      <alignment vertical="top" wrapText="1"/>
    </xf>
  </cellXfs>
  <cellStyles count="1">
    <cellStyle name="Normal" xfId="0" builtinId="0"/>
  </cellStyles>
  <dxfs count="6">
    <dxf>
      <font>
        <color rgb="FF1E7A34"/>
      </font>
      <fill>
        <patternFill>
          <bgColor rgb="FFC6EFCE"/>
        </patternFill>
      </fill>
    </dxf>
    <dxf>
      <font>
        <color rgb="FF9C0006"/>
      </font>
      <fill>
        <patternFill>
          <bgColor rgb="FFFFC7CE"/>
        </patternFill>
      </fill>
    </dxf>
    <dxf>
      <font>
        <color rgb="FF1E7A34"/>
      </font>
      <fill>
        <patternFill>
          <bgColor rgb="FFC6EFCE"/>
        </patternFill>
      </fill>
    </dxf>
    <dxf>
      <font>
        <color rgb="FF9C0006"/>
      </font>
      <fill>
        <patternFill>
          <bgColor rgb="FFFFC7CE"/>
        </patternFill>
      </fill>
    </dxf>
    <dxf>
      <font>
        <color rgb="FF1E7A34"/>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E7A34"/>
      <rgbColor rgb="FF000080"/>
      <rgbColor rgb="FFB8860B"/>
      <rgbColor rgb="FF800080"/>
      <rgbColor rgb="FF008080"/>
      <rgbColor rgb="FFBFBFBF"/>
      <rgbColor rgb="FF878787"/>
      <rgbColor rgb="FF9999FF"/>
      <rgbColor rgb="FFC0504D"/>
      <rgbColor rgb="FFFFF2CC"/>
      <rgbColor rgb="FFF4F6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99CC"/>
      <rgbColor rgb="FFCC99FF"/>
      <rgbColor rgb="FFFFC7CE"/>
      <rgbColor rgb="FF4F81BD"/>
      <rgbColor rgb="FF33CCCC"/>
      <rgbColor rgb="FF99CC00"/>
      <rgbColor rgb="FFFFCC00"/>
      <rgbColor rgb="FFFF9900"/>
      <rgbColor rgb="FFFF6600"/>
      <rgbColor rgb="FF5A5A5A"/>
      <rgbColor rgb="FFA6A6A6"/>
      <rgbColor rgb="FF1F3864"/>
      <rgbColor rgb="FF339966"/>
      <rgbColor rgb="FF003300"/>
      <rgbColor rgb="FF333300"/>
      <rgbColor rgb="FFB02A2A"/>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lineChart>
        <c:grouping val="standard"/>
        <c:varyColors val="0"/>
        <c:ser>
          <c:idx val="0"/>
          <c:order val="0"/>
          <c:tx>
            <c:strRef>
              <c:f>'04_SLA_TREND'!$F$2</c:f>
              <c:strCache>
                <c:ptCount val="1"/>
                <c:pt idx="0">
                  <c:v>SLA %</c:v>
                </c:pt>
              </c:strCache>
            </c:strRef>
          </c:tx>
          <c:spPr>
            <a:ln w="28080">
              <a:solidFill>
                <a:srgbClr val="1F3864"/>
              </a:solidFill>
              <a:round/>
            </a:ln>
          </c:spPr>
          <c:marker>
            <c:symbol val="none"/>
          </c:marker>
          <c:dLbls>
            <c:spPr>
              <a:noFill/>
              <a:ln>
                <a:noFill/>
              </a:ln>
              <a:effectLst/>
            </c:spPr>
            <c:txPr>
              <a:bodyPr wrap="none"/>
              <a:lstStyle/>
              <a:p>
                <a:pPr>
                  <a:defRPr sz="1000" b="0" strike="noStrike" spc="-1">
                    <a:latin typeface="Arial"/>
                  </a:defRPr>
                </a:pPr>
                <a:endParaRPr lang="en-R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'04_SLA_TREND'!$A$3:$A$15</c:f>
              <c:strCache>
                <c:ptCount val="13"/>
                <c:pt idx="0">
                  <c:v>2025-08</c:v>
                </c:pt>
                <c:pt idx="1">
                  <c:v>2025-09</c:v>
                </c:pt>
                <c:pt idx="2">
                  <c:v>2025-10</c:v>
                </c:pt>
                <c:pt idx="3">
                  <c:v>2025-11</c:v>
                </c:pt>
                <c:pt idx="4">
                  <c:v>2025-12</c:v>
                </c:pt>
                <c:pt idx="5">
                  <c:v>2026-01</c:v>
                </c:pt>
                <c:pt idx="6">
                  <c:v>2026-02</c:v>
                </c:pt>
                <c:pt idx="7">
                  <c:v>2026-03</c:v>
                </c:pt>
                <c:pt idx="8">
                  <c:v>2026-04</c:v>
                </c:pt>
                <c:pt idx="9">
                  <c:v>2026-05</c:v>
                </c:pt>
                <c:pt idx="10">
                  <c:v>2026-06</c:v>
                </c:pt>
                <c:pt idx="11">
                  <c:v>2026-07</c:v>
                </c:pt>
                <c:pt idx="12">
                  <c:v>2026-08</c:v>
                </c:pt>
              </c:strCache>
            </c:strRef>
          </c:cat>
          <c:val>
            <c:numRef>
              <c:f>'04_SLA_TREND'!$F$3:$F$15</c:f>
              <c:numCache>
                <c:formatCode>0.0%</c:formatCode>
                <c:ptCount val="13"/>
                <c:pt idx="0">
                  <c:v>0.78947368421052633</c:v>
                </c:pt>
                <c:pt idx="1">
                  <c:v>0.70454545454545459</c:v>
                </c:pt>
                <c:pt idx="2">
                  <c:v>0.6216216216216216</c:v>
                </c:pt>
                <c:pt idx="3">
                  <c:v>0.39285714285714285</c:v>
                </c:pt>
                <c:pt idx="4">
                  <c:v>0.82051282051282048</c:v>
                </c:pt>
                <c:pt idx="5">
                  <c:v>0.73684210526315785</c:v>
                </c:pt>
                <c:pt idx="6">
                  <c:v>1</c:v>
                </c:pt>
                <c:pt idx="7">
                  <c:v>0.88888888888888884</c:v>
                </c:pt>
                <c:pt idx="8">
                  <c:v>0.97499999999999998</c:v>
                </c:pt>
                <c:pt idx="9">
                  <c:v>0.8571428571428571</c:v>
                </c:pt>
                <c:pt idx="10">
                  <c:v>0.6</c:v>
                </c:pt>
                <c:pt idx="11">
                  <c:v>0.65517241379310343</c:v>
                </c:pt>
                <c:pt idx="12">
                  <c:v>1</c:v>
                </c:pt>
              </c:numCache>
            </c:numRef>
          </c:val>
          <c:smooth val="0"/>
          <c:extLst>
            <c:ext xmlns:c16="http://schemas.microsoft.com/office/drawing/2014/chart" uri="{C3380CC4-5D6E-409C-BE32-E72D297353CC}">
              <c16:uniqueId val="{00000000-583C-8743-A0FC-B60242047E7D}"/>
            </c:ext>
          </c:extLst>
        </c:ser>
        <c:dLbls>
          <c:showLegendKey val="0"/>
          <c:showVal val="0"/>
          <c:showCatName val="0"/>
          <c:showSerName val="0"/>
          <c:showPercent val="0"/>
          <c:showBubbleSize val="0"/>
        </c:dLbls>
        <c:hiLowLines>
          <c:spPr>
            <a:ln w="0">
              <a:noFill/>
            </a:ln>
          </c:spPr>
        </c:hiLowLines>
        <c:smooth val="0"/>
        <c:axId val="24616988"/>
        <c:axId val="33072527"/>
      </c:lineChart>
      <c:catAx>
        <c:axId val="24616988"/>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33072527"/>
        <c:crosses val="autoZero"/>
        <c:auto val="1"/>
        <c:lblAlgn val="ctr"/>
        <c:lblOffset val="100"/>
        <c:noMultiLvlLbl val="0"/>
      </c:catAx>
      <c:valAx>
        <c:axId val="33072527"/>
        <c:scaling>
          <c:orientation val="minMax"/>
          <c:max val="1.1000000000000001"/>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SLA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2461698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pieChart>
        <c:varyColors val="1"/>
        <c:ser>
          <c:idx val="0"/>
          <c:order val="0"/>
          <c:tx>
            <c:strRef>
              <c:f>'05_EXCEPTIONS_MITIGATIONS'!$B$4</c:f>
              <c:strCache>
                <c:ptCount val="1"/>
                <c:pt idx="0">
                  <c:v>Ticket Count</c:v>
                </c:pt>
              </c:strCache>
            </c:strRef>
          </c:tx>
          <c:spPr>
            <a:solidFill>
              <a:srgbClr val="4F81BD"/>
            </a:solidFill>
            <a:ln w="0">
              <a:noFill/>
            </a:ln>
          </c:spPr>
          <c:dPt>
            <c:idx val="0"/>
            <c:bubble3D val="0"/>
            <c:extLst>
              <c:ext xmlns:c16="http://schemas.microsoft.com/office/drawing/2014/chart" uri="{C3380CC4-5D6E-409C-BE32-E72D297353CC}">
                <c16:uniqueId val="{00000001-602C-284D-969A-EF6B2512E9C3}"/>
              </c:ext>
            </c:extLst>
          </c:dPt>
          <c:dPt>
            <c:idx val="1"/>
            <c:bubble3D val="0"/>
            <c:spPr>
              <a:solidFill>
                <a:srgbClr val="C0504D"/>
              </a:solidFill>
              <a:ln w="0">
                <a:noFill/>
              </a:ln>
            </c:spPr>
            <c:extLst>
              <c:ext xmlns:c16="http://schemas.microsoft.com/office/drawing/2014/chart" uri="{C3380CC4-5D6E-409C-BE32-E72D297353CC}">
                <c16:uniqueId val="{00000003-602C-284D-969A-EF6B2512E9C3}"/>
              </c:ext>
            </c:extLst>
          </c:dPt>
          <c:dLbls>
            <c:dLbl>
              <c:idx val="0"/>
              <c:spPr/>
              <c:txPr>
                <a:bodyPr wrap="none"/>
                <a:lstStyle/>
                <a:p>
                  <a:pPr>
                    <a:defRPr sz="1000" b="0" strike="noStrike" spc="-1">
                      <a:latin typeface="Arial"/>
                    </a:defRPr>
                  </a:pPr>
                  <a:endParaRPr lang="en-RS"/>
                </a:p>
              </c:txPr>
              <c:showLegendKey val="0"/>
              <c:showVal val="0"/>
              <c:showCatName val="0"/>
              <c:showSerName val="0"/>
              <c:showPercent val="0"/>
              <c:showBubbleSize val="1"/>
              <c:extLst>
                <c:ext xmlns:c16="http://schemas.microsoft.com/office/drawing/2014/chart" uri="{C3380CC4-5D6E-409C-BE32-E72D297353CC}">
                  <c16:uniqueId val="{00000001-602C-284D-969A-EF6B2512E9C3}"/>
                </c:ext>
              </c:extLst>
            </c:dLbl>
            <c:dLbl>
              <c:idx val="1"/>
              <c:spPr/>
              <c:txPr>
                <a:bodyPr wrap="none"/>
                <a:lstStyle/>
                <a:p>
                  <a:pPr>
                    <a:defRPr sz="1000" b="0" strike="noStrike" spc="-1">
                      <a:latin typeface="Arial"/>
                    </a:defRPr>
                  </a:pPr>
                  <a:endParaRPr lang="en-RS"/>
                </a:p>
              </c:txPr>
              <c:showLegendKey val="0"/>
              <c:showVal val="0"/>
              <c:showCatName val="0"/>
              <c:showSerName val="0"/>
              <c:showPercent val="0"/>
              <c:showBubbleSize val="1"/>
              <c:extLst>
                <c:ext xmlns:c16="http://schemas.microsoft.com/office/drawing/2014/chart" uri="{C3380CC4-5D6E-409C-BE32-E72D297353CC}">
                  <c16:uniqueId val="{00000003-602C-284D-969A-EF6B2512E9C3}"/>
                </c:ext>
              </c:extLst>
            </c:dLbl>
            <c:spPr>
              <a:noFill/>
              <a:ln>
                <a:noFill/>
              </a:ln>
              <a:effectLst/>
            </c:spPr>
            <c:txPr>
              <a:bodyPr wrap="none"/>
              <a:lstStyle/>
              <a:p>
                <a:pPr>
                  <a:defRPr sz="1000" b="0" strike="noStrike" spc="-1">
                    <a:latin typeface="Arial"/>
                  </a:defRPr>
                </a:pPr>
                <a:endParaRPr lang="en-R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'05_EXCEPTIONS_MITIGATIONS'!$A$5:$A$6</c:f>
              <c:strCache>
                <c:ptCount val="2"/>
                <c:pt idx="0">
                  <c:v>Customer Contracted Reasons</c:v>
                </c:pt>
                <c:pt idx="1">
                  <c:v>No Exception</c:v>
                </c:pt>
              </c:strCache>
            </c:strRef>
          </c:cat>
          <c:val>
            <c:numRef>
              <c:f>'05_EXCEPTIONS_MITIGATIONS'!$B$5:$B$6</c:f>
              <c:numCache>
                <c:formatCode>General</c:formatCode>
                <c:ptCount val="2"/>
                <c:pt idx="0">
                  <c:v>353</c:v>
                </c:pt>
                <c:pt idx="1">
                  <c:v>216</c:v>
                </c:pt>
              </c:numCache>
            </c:numRef>
          </c:val>
          <c:extLst>
            <c:ext xmlns:c16="http://schemas.microsoft.com/office/drawing/2014/chart" uri="{C3380CC4-5D6E-409C-BE32-E72D297353CC}">
              <c16:uniqueId val="{00000004-602C-284D-969A-EF6B2512E9C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R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Monthly SLA % — YTD Trend (Adjusted / Opportunity Basis)</a:t>
            </a:r>
          </a:p>
        </c:rich>
      </c:tx>
      <c:overlay val="0"/>
      <c:spPr>
        <a:noFill/>
        <a:ln w="0">
          <a:noFill/>
        </a:ln>
      </c:spPr>
    </c:title>
    <c:autoTitleDeleted val="0"/>
    <c:plotArea>
      <c:layout/>
      <c:lineChart>
        <c:grouping val="standard"/>
        <c:varyColors val="0"/>
        <c:ser>
          <c:idx val="0"/>
          <c:order val="0"/>
          <c:tx>
            <c:strRef>
              <c:f>'04_SLA_TREND'!$F$2</c:f>
              <c:strCache>
                <c:ptCount val="1"/>
                <c:pt idx="0">
                  <c:v>SLA %</c:v>
                </c:pt>
              </c:strCache>
            </c:strRef>
          </c:tx>
          <c:spPr>
            <a:ln w="24840">
              <a:solidFill>
                <a:srgbClr val="1F3864"/>
              </a:solidFill>
              <a:round/>
            </a:ln>
          </c:spPr>
          <c:marker>
            <c:symbol val="none"/>
          </c:marker>
          <c:dLbls>
            <c:spPr>
              <a:noFill/>
              <a:ln>
                <a:noFill/>
              </a:ln>
              <a:effectLst/>
            </c:spPr>
            <c:txPr>
              <a:bodyPr wrap="none"/>
              <a:lstStyle/>
              <a:p>
                <a:pPr>
                  <a:defRPr sz="1000" b="0" strike="noStrike" spc="-1">
                    <a:latin typeface="Arial"/>
                  </a:defRPr>
                </a:pPr>
                <a:endParaRPr lang="en-R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'04_SLA_TREND'!$A$3:$A$15</c:f>
              <c:strCache>
                <c:ptCount val="13"/>
                <c:pt idx="0">
                  <c:v>2025-08</c:v>
                </c:pt>
                <c:pt idx="1">
                  <c:v>2025-09</c:v>
                </c:pt>
                <c:pt idx="2">
                  <c:v>2025-10</c:v>
                </c:pt>
                <c:pt idx="3">
                  <c:v>2025-11</c:v>
                </c:pt>
                <c:pt idx="4">
                  <c:v>2025-12</c:v>
                </c:pt>
                <c:pt idx="5">
                  <c:v>2026-01</c:v>
                </c:pt>
                <c:pt idx="6">
                  <c:v>2026-02</c:v>
                </c:pt>
                <c:pt idx="7">
                  <c:v>2026-03</c:v>
                </c:pt>
                <c:pt idx="8">
                  <c:v>2026-04</c:v>
                </c:pt>
                <c:pt idx="9">
                  <c:v>2026-05</c:v>
                </c:pt>
                <c:pt idx="10">
                  <c:v>2026-06</c:v>
                </c:pt>
                <c:pt idx="11">
                  <c:v>2026-07</c:v>
                </c:pt>
                <c:pt idx="12">
                  <c:v>2026-08</c:v>
                </c:pt>
              </c:strCache>
            </c:strRef>
          </c:cat>
          <c:val>
            <c:numRef>
              <c:f>'04_SLA_TREND'!$F$3:$F$15</c:f>
              <c:numCache>
                <c:formatCode>0.0%</c:formatCode>
                <c:ptCount val="13"/>
                <c:pt idx="0">
                  <c:v>0.78947368421052633</c:v>
                </c:pt>
                <c:pt idx="1">
                  <c:v>0.70454545454545459</c:v>
                </c:pt>
                <c:pt idx="2">
                  <c:v>0.6216216216216216</c:v>
                </c:pt>
                <c:pt idx="3">
                  <c:v>0.39285714285714285</c:v>
                </c:pt>
                <c:pt idx="4">
                  <c:v>0.82051282051282048</c:v>
                </c:pt>
                <c:pt idx="5">
                  <c:v>0.73684210526315785</c:v>
                </c:pt>
                <c:pt idx="6">
                  <c:v>1</c:v>
                </c:pt>
                <c:pt idx="7">
                  <c:v>0.88888888888888884</c:v>
                </c:pt>
                <c:pt idx="8">
                  <c:v>0.97499999999999998</c:v>
                </c:pt>
                <c:pt idx="9">
                  <c:v>0.8571428571428571</c:v>
                </c:pt>
                <c:pt idx="10">
                  <c:v>0.6</c:v>
                </c:pt>
                <c:pt idx="11">
                  <c:v>0.65517241379310343</c:v>
                </c:pt>
                <c:pt idx="12">
                  <c:v>1</c:v>
                </c:pt>
              </c:numCache>
            </c:numRef>
          </c:val>
          <c:smooth val="0"/>
          <c:extLst>
            <c:ext xmlns:c16="http://schemas.microsoft.com/office/drawing/2014/chart" uri="{C3380CC4-5D6E-409C-BE32-E72D297353CC}">
              <c16:uniqueId val="{00000000-E725-EB4A-9E77-69C1FD85A20D}"/>
            </c:ext>
          </c:extLst>
        </c:ser>
        <c:dLbls>
          <c:showLegendKey val="0"/>
          <c:showVal val="0"/>
          <c:showCatName val="0"/>
          <c:showSerName val="0"/>
          <c:showPercent val="0"/>
          <c:showBubbleSize val="0"/>
        </c:dLbls>
        <c:hiLowLines>
          <c:spPr>
            <a:ln w="0">
              <a:noFill/>
            </a:ln>
          </c:spPr>
        </c:hiLowLines>
        <c:smooth val="0"/>
        <c:axId val="41183141"/>
        <c:axId val="30521695"/>
      </c:lineChart>
      <c:catAx>
        <c:axId val="41183141"/>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30521695"/>
        <c:crosses val="autoZero"/>
        <c:auto val="1"/>
        <c:lblAlgn val="ctr"/>
        <c:lblOffset val="100"/>
        <c:noMultiLvlLbl val="0"/>
      </c:catAx>
      <c:valAx>
        <c:axId val="30521695"/>
        <c:scaling>
          <c:orientation val="minMax"/>
          <c:max val="1.05"/>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SLA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411831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R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Ticket Mix — Exception vs No Exception</a:t>
            </a:r>
          </a:p>
        </c:rich>
      </c:tx>
      <c:overlay val="0"/>
      <c:spPr>
        <a:noFill/>
        <a:ln w="0">
          <a:noFill/>
        </a:ln>
      </c:spPr>
    </c:title>
    <c:autoTitleDeleted val="0"/>
    <c:plotArea>
      <c:layout/>
      <c:pieChart>
        <c:varyColors val="1"/>
        <c:ser>
          <c:idx val="0"/>
          <c:order val="0"/>
          <c:tx>
            <c:strRef>
              <c:f>'05_EXCEPTIONS_MITIGATIONS'!$B$4</c:f>
              <c:strCache>
                <c:ptCount val="1"/>
                <c:pt idx="0">
                  <c:v>Ticket Count</c:v>
                </c:pt>
              </c:strCache>
            </c:strRef>
          </c:tx>
          <c:spPr>
            <a:solidFill>
              <a:srgbClr val="4F81BD"/>
            </a:solidFill>
            <a:ln w="0">
              <a:noFill/>
            </a:ln>
          </c:spPr>
          <c:dPt>
            <c:idx val="0"/>
            <c:bubble3D val="0"/>
            <c:extLst>
              <c:ext xmlns:c16="http://schemas.microsoft.com/office/drawing/2014/chart" uri="{C3380CC4-5D6E-409C-BE32-E72D297353CC}">
                <c16:uniqueId val="{00000001-923C-CE49-A4F8-87936E450E56}"/>
              </c:ext>
            </c:extLst>
          </c:dPt>
          <c:dPt>
            <c:idx val="1"/>
            <c:bubble3D val="0"/>
            <c:spPr>
              <a:solidFill>
                <a:srgbClr val="C0504D"/>
              </a:solidFill>
              <a:ln w="0">
                <a:noFill/>
              </a:ln>
            </c:spPr>
            <c:extLst>
              <c:ext xmlns:c16="http://schemas.microsoft.com/office/drawing/2014/chart" uri="{C3380CC4-5D6E-409C-BE32-E72D297353CC}">
                <c16:uniqueId val="{00000003-923C-CE49-A4F8-87936E450E56}"/>
              </c:ext>
            </c:extLst>
          </c:dPt>
          <c:dLbls>
            <c:dLbl>
              <c:idx val="0"/>
              <c:spPr/>
              <c:txPr>
                <a:bodyPr wrap="none"/>
                <a:lstStyle/>
                <a:p>
                  <a:pPr>
                    <a:defRPr sz="1000" b="0" strike="noStrike" spc="-1">
                      <a:latin typeface="Arial"/>
                    </a:defRPr>
                  </a:pPr>
                  <a:endParaRPr lang="en-RS"/>
                </a:p>
              </c:txPr>
              <c:showLegendKey val="0"/>
              <c:showVal val="0"/>
              <c:showCatName val="0"/>
              <c:showSerName val="0"/>
              <c:showPercent val="0"/>
              <c:showBubbleSize val="1"/>
              <c:extLst>
                <c:ext xmlns:c16="http://schemas.microsoft.com/office/drawing/2014/chart" uri="{C3380CC4-5D6E-409C-BE32-E72D297353CC}">
                  <c16:uniqueId val="{00000001-923C-CE49-A4F8-87936E450E56}"/>
                </c:ext>
              </c:extLst>
            </c:dLbl>
            <c:dLbl>
              <c:idx val="1"/>
              <c:spPr/>
              <c:txPr>
                <a:bodyPr wrap="none"/>
                <a:lstStyle/>
                <a:p>
                  <a:pPr>
                    <a:defRPr sz="1000" b="0" strike="noStrike" spc="-1">
                      <a:latin typeface="Arial"/>
                    </a:defRPr>
                  </a:pPr>
                  <a:endParaRPr lang="en-RS"/>
                </a:p>
              </c:txPr>
              <c:showLegendKey val="0"/>
              <c:showVal val="0"/>
              <c:showCatName val="0"/>
              <c:showSerName val="0"/>
              <c:showPercent val="0"/>
              <c:showBubbleSize val="1"/>
              <c:extLst>
                <c:ext xmlns:c16="http://schemas.microsoft.com/office/drawing/2014/chart" uri="{C3380CC4-5D6E-409C-BE32-E72D297353CC}">
                  <c16:uniqueId val="{00000003-923C-CE49-A4F8-87936E450E56}"/>
                </c:ext>
              </c:extLst>
            </c:dLbl>
            <c:spPr>
              <a:noFill/>
              <a:ln>
                <a:noFill/>
              </a:ln>
              <a:effectLst/>
            </c:spPr>
            <c:txPr>
              <a:bodyPr wrap="none"/>
              <a:lstStyle/>
              <a:p>
                <a:pPr>
                  <a:defRPr sz="1000" b="0" strike="noStrike" spc="-1">
                    <a:latin typeface="Arial"/>
                  </a:defRPr>
                </a:pPr>
                <a:endParaRPr lang="en-R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'05_EXCEPTIONS_MITIGATIONS'!$A$5:$A$6</c:f>
              <c:strCache>
                <c:ptCount val="2"/>
                <c:pt idx="0">
                  <c:v>Customer Contracted Reasons</c:v>
                </c:pt>
                <c:pt idx="1">
                  <c:v>No Exception</c:v>
                </c:pt>
              </c:strCache>
            </c:strRef>
          </c:cat>
          <c:val>
            <c:numRef>
              <c:f>'05_EXCEPTIONS_MITIGATIONS'!$B$5:$B$6</c:f>
              <c:numCache>
                <c:formatCode>General</c:formatCode>
                <c:ptCount val="2"/>
                <c:pt idx="0">
                  <c:v>353</c:v>
                </c:pt>
                <c:pt idx="1">
                  <c:v>216</c:v>
                </c:pt>
              </c:numCache>
            </c:numRef>
          </c:val>
          <c:extLst>
            <c:ext xmlns:c16="http://schemas.microsoft.com/office/drawing/2014/chart" uri="{C3380CC4-5D6E-409C-BE32-E72D297353CC}">
              <c16:uniqueId val="{00000004-923C-CE49-A4F8-87936E450E5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R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Exception Rate by Month</a:t>
            </a:r>
          </a:p>
        </c:rich>
      </c:tx>
      <c:overlay val="0"/>
      <c:spPr>
        <a:noFill/>
        <a:ln w="0">
          <a:noFill/>
        </a:ln>
      </c:spPr>
    </c:title>
    <c:autoTitleDeleted val="0"/>
    <c:plotArea>
      <c:layout/>
      <c:barChart>
        <c:barDir val="col"/>
        <c:grouping val="clustered"/>
        <c:varyColors val="0"/>
        <c:ser>
          <c:idx val="0"/>
          <c:order val="0"/>
          <c:tx>
            <c:strRef>
              <c:f>'05_EXCEPTIONS_MITIGATIONS'!$D$22</c:f>
              <c:strCache>
                <c:ptCount val="1"/>
                <c:pt idx="0">
                  <c:v>Exception Rate</c:v>
                </c:pt>
              </c:strCache>
            </c:strRef>
          </c:tx>
          <c:spPr>
            <a:solidFill>
              <a:srgbClr val="B8860B"/>
            </a:solidFill>
            <a:ln w="0">
              <a:noFill/>
            </a:ln>
          </c:spPr>
          <c:invertIfNegative val="0"/>
          <c:dLbls>
            <c:spPr>
              <a:noFill/>
              <a:ln>
                <a:noFill/>
              </a:ln>
              <a:effectLst/>
            </c:spPr>
            <c:txPr>
              <a:bodyPr wrap="none"/>
              <a:lstStyle/>
              <a:p>
                <a:pPr>
                  <a:defRPr sz="1000" b="0" strike="noStrike" spc="-1">
                    <a:latin typeface="Arial"/>
                  </a:defRPr>
                </a:pPr>
                <a:endParaRPr lang="en-R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'05_EXCEPTIONS_MITIGATIONS'!$A$23:$A$35</c:f>
              <c:strCache>
                <c:ptCount val="13"/>
                <c:pt idx="0">
                  <c:v>2025-08</c:v>
                </c:pt>
                <c:pt idx="1">
                  <c:v>2025-09</c:v>
                </c:pt>
                <c:pt idx="2">
                  <c:v>2025-10</c:v>
                </c:pt>
                <c:pt idx="3">
                  <c:v>2025-11</c:v>
                </c:pt>
                <c:pt idx="4">
                  <c:v>2025-12</c:v>
                </c:pt>
                <c:pt idx="5">
                  <c:v>2026-01</c:v>
                </c:pt>
                <c:pt idx="6">
                  <c:v>2026-02</c:v>
                </c:pt>
                <c:pt idx="7">
                  <c:v>2026-03</c:v>
                </c:pt>
                <c:pt idx="8">
                  <c:v>2026-04</c:v>
                </c:pt>
                <c:pt idx="9">
                  <c:v>2026-05</c:v>
                </c:pt>
                <c:pt idx="10">
                  <c:v>2026-06</c:v>
                </c:pt>
                <c:pt idx="11">
                  <c:v>2026-07</c:v>
                </c:pt>
                <c:pt idx="12">
                  <c:v>2026-08</c:v>
                </c:pt>
              </c:strCache>
            </c:strRef>
          </c:cat>
          <c:val>
            <c:numRef>
              <c:f>'05_EXCEPTIONS_MITIGATIONS'!$D$23:$D$35</c:f>
              <c:numCache>
                <c:formatCode>0.0%</c:formatCode>
                <c:ptCount val="13"/>
                <c:pt idx="0">
                  <c:v>7.6923076923076927E-2</c:v>
                </c:pt>
                <c:pt idx="1">
                  <c:v>0.19298245614035087</c:v>
                </c:pt>
                <c:pt idx="2">
                  <c:v>0.125</c:v>
                </c:pt>
                <c:pt idx="3">
                  <c:v>0.11363636363636363</c:v>
                </c:pt>
                <c:pt idx="4">
                  <c:v>0.16</c:v>
                </c:pt>
                <c:pt idx="5">
                  <c:v>1</c:v>
                </c:pt>
                <c:pt idx="6">
                  <c:v>1</c:v>
                </c:pt>
                <c:pt idx="7">
                  <c:v>1</c:v>
                </c:pt>
                <c:pt idx="8">
                  <c:v>1</c:v>
                </c:pt>
                <c:pt idx="9">
                  <c:v>1</c:v>
                </c:pt>
                <c:pt idx="10">
                  <c:v>1</c:v>
                </c:pt>
                <c:pt idx="11">
                  <c:v>1</c:v>
                </c:pt>
                <c:pt idx="12">
                  <c:v>0.8125</c:v>
                </c:pt>
              </c:numCache>
            </c:numRef>
          </c:val>
          <c:extLst>
            <c:ext xmlns:c16="http://schemas.microsoft.com/office/drawing/2014/chart" uri="{C3380CC4-5D6E-409C-BE32-E72D297353CC}">
              <c16:uniqueId val="{00000000-B368-324F-9E37-1640093DF868}"/>
            </c:ext>
          </c:extLst>
        </c:ser>
        <c:dLbls>
          <c:showLegendKey val="0"/>
          <c:showVal val="0"/>
          <c:showCatName val="0"/>
          <c:showSerName val="0"/>
          <c:showPercent val="0"/>
          <c:showBubbleSize val="0"/>
        </c:dLbls>
        <c:gapWidth val="150"/>
        <c:axId val="74472829"/>
        <c:axId val="4916172"/>
      </c:barChart>
      <c:catAx>
        <c:axId val="744728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4916172"/>
        <c:crosses val="autoZero"/>
        <c:auto val="1"/>
        <c:lblAlgn val="ctr"/>
        <c:lblOffset val="100"/>
        <c:noMultiLvlLbl val="0"/>
      </c:catAx>
      <c:valAx>
        <c:axId val="491617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7447282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R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Average Resolution Time by Month (Hrs)</a:t>
            </a:r>
          </a:p>
        </c:rich>
      </c:tx>
      <c:overlay val="0"/>
      <c:spPr>
        <a:noFill/>
        <a:ln w="0">
          <a:noFill/>
        </a:ln>
      </c:spPr>
    </c:title>
    <c:autoTitleDeleted val="0"/>
    <c:plotArea>
      <c:layout/>
      <c:barChart>
        <c:barDir val="col"/>
        <c:grouping val="clustered"/>
        <c:varyColors val="0"/>
        <c:ser>
          <c:idx val="0"/>
          <c:order val="0"/>
          <c:tx>
            <c:strRef>
              <c:f>'08_RESOLUTION_ANALYSIS'!$B$17</c:f>
              <c:strCache>
                <c:ptCount val="1"/>
                <c:pt idx="0">
                  <c:v>Avg Resolution (Hrs)</c:v>
                </c:pt>
              </c:strCache>
            </c:strRef>
          </c:tx>
          <c:spPr>
            <a:solidFill>
              <a:srgbClr val="2E5395"/>
            </a:solidFill>
            <a:ln w="0">
              <a:noFill/>
            </a:ln>
          </c:spPr>
          <c:invertIfNegative val="0"/>
          <c:dLbls>
            <c:spPr>
              <a:noFill/>
              <a:ln>
                <a:noFill/>
              </a:ln>
              <a:effectLst/>
            </c:spPr>
            <c:txPr>
              <a:bodyPr wrap="none"/>
              <a:lstStyle/>
              <a:p>
                <a:pPr>
                  <a:defRPr sz="1000" b="0" strike="noStrike" spc="-1">
                    <a:latin typeface="Arial"/>
                  </a:defRPr>
                </a:pPr>
                <a:endParaRPr lang="en-R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'08_RESOLUTION_ANALYSIS'!$A$18:$A$30</c:f>
              <c:strCache>
                <c:ptCount val="13"/>
                <c:pt idx="0">
                  <c:v>2025-08</c:v>
                </c:pt>
                <c:pt idx="1">
                  <c:v>2025-09</c:v>
                </c:pt>
                <c:pt idx="2">
                  <c:v>2025-10</c:v>
                </c:pt>
                <c:pt idx="3">
                  <c:v>2025-11</c:v>
                </c:pt>
                <c:pt idx="4">
                  <c:v>2025-12</c:v>
                </c:pt>
                <c:pt idx="5">
                  <c:v>2026-01</c:v>
                </c:pt>
                <c:pt idx="6">
                  <c:v>2026-02</c:v>
                </c:pt>
                <c:pt idx="7">
                  <c:v>2026-03</c:v>
                </c:pt>
                <c:pt idx="8">
                  <c:v>2026-04</c:v>
                </c:pt>
                <c:pt idx="9">
                  <c:v>2026-05</c:v>
                </c:pt>
                <c:pt idx="10">
                  <c:v>2026-06</c:v>
                </c:pt>
                <c:pt idx="11">
                  <c:v>2026-07</c:v>
                </c:pt>
                <c:pt idx="12">
                  <c:v>2026-08</c:v>
                </c:pt>
              </c:strCache>
            </c:strRef>
          </c:cat>
          <c:val>
            <c:numRef>
              <c:f>'08_RESOLUTION_ANALYSIS'!$B$18:$B$30</c:f>
              <c:numCache>
                <c:formatCode>0.0</c:formatCode>
                <c:ptCount val="13"/>
                <c:pt idx="0">
                  <c:v>32.271282051282036</c:v>
                </c:pt>
                <c:pt idx="1">
                  <c:v>42.746315789473677</c:v>
                </c:pt>
                <c:pt idx="2">
                  <c:v>41.202321428571437</c:v>
                </c:pt>
                <c:pt idx="3">
                  <c:v>59.275227272727278</c:v>
                </c:pt>
                <c:pt idx="4">
                  <c:v>23.109800000000003</c:v>
                </c:pt>
                <c:pt idx="5">
                  <c:v>22.958245614035086</c:v>
                </c:pt>
                <c:pt idx="6">
                  <c:v>11.812439024390246</c:v>
                </c:pt>
                <c:pt idx="7">
                  <c:v>31.538888888888888</c:v>
                </c:pt>
                <c:pt idx="8">
                  <c:v>15.991249999999999</c:v>
                </c:pt>
                <c:pt idx="9">
                  <c:v>20.961052631578948</c:v>
                </c:pt>
                <c:pt idx="10">
                  <c:v>30.885952380952393</c:v>
                </c:pt>
                <c:pt idx="11">
                  <c:v>30.181860465116277</c:v>
                </c:pt>
                <c:pt idx="12">
                  <c:v>9.9906249999999979</c:v>
                </c:pt>
              </c:numCache>
            </c:numRef>
          </c:val>
          <c:extLst>
            <c:ext xmlns:c16="http://schemas.microsoft.com/office/drawing/2014/chart" uri="{C3380CC4-5D6E-409C-BE32-E72D297353CC}">
              <c16:uniqueId val="{00000000-37EC-6648-A74E-6CC20EF96A4A}"/>
            </c:ext>
          </c:extLst>
        </c:ser>
        <c:dLbls>
          <c:showLegendKey val="0"/>
          <c:showVal val="0"/>
          <c:showCatName val="0"/>
          <c:showSerName val="0"/>
          <c:showPercent val="0"/>
          <c:showBubbleSize val="0"/>
        </c:dLbls>
        <c:gapWidth val="150"/>
        <c:axId val="39910332"/>
        <c:axId val="68937923"/>
      </c:barChart>
      <c:catAx>
        <c:axId val="399103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68937923"/>
        <c:crosses val="autoZero"/>
        <c:auto val="1"/>
        <c:lblAlgn val="ctr"/>
        <c:lblOffset val="100"/>
        <c:noMultiLvlLbl val="0"/>
      </c:catAx>
      <c:valAx>
        <c:axId val="6893792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RS"/>
          </a:p>
        </c:txPr>
        <c:crossAx val="3991033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R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6</xdr:col>
      <xdr:colOff>621720</xdr:colOff>
      <xdr:row>41</xdr:row>
      <xdr:rowOff>11520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25</xdr:row>
      <xdr:rowOff>0</xdr:rowOff>
    </xdr:from>
    <xdr:to>
      <xdr:col>12</xdr:col>
      <xdr:colOff>309240</xdr:colOff>
      <xdr:row>41</xdr:row>
      <xdr:rowOff>11520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9</xdr:col>
      <xdr:colOff>941760</xdr:colOff>
      <xdr:row>35</xdr:row>
      <xdr:rowOff>1080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xdr:row>
      <xdr:rowOff>175680</xdr:rowOff>
    </xdr:from>
    <xdr:to>
      <xdr:col>9</xdr:col>
      <xdr:colOff>151560</xdr:colOff>
      <xdr:row>15</xdr:row>
      <xdr:rowOff>93960</xdr:rowOff>
    </xdr:to>
    <xdr:graphicFrame macro="">
      <xdr:nvGraphicFramePr>
        <xdr:cNvPr id="3" name="Chart 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19</xdr:row>
      <xdr:rowOff>176040</xdr:rowOff>
    </xdr:from>
    <xdr:to>
      <xdr:col>15</xdr:col>
      <xdr:colOff>568080</xdr:colOff>
      <xdr:row>35</xdr:row>
      <xdr:rowOff>149400</xdr:rowOff>
    </xdr:to>
    <xdr:graphicFrame macro="">
      <xdr:nvGraphicFramePr>
        <xdr:cNvPr id="4" name="Chart 2">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14</xdr:row>
      <xdr:rowOff>175680</xdr:rowOff>
    </xdr:from>
    <xdr:to>
      <xdr:col>12</xdr:col>
      <xdr:colOff>290160</xdr:colOff>
      <xdr:row>31</xdr:row>
      <xdr:rowOff>138960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showGridLines="0" zoomScaleNormal="100" workbookViewId="0">
      <selection sqref="A1:H1"/>
    </sheetView>
  </sheetViews>
  <sheetFormatPr baseColWidth="10" defaultColWidth="8.6640625" defaultRowHeight="15" x14ac:dyDescent="0.2"/>
  <cols>
    <col min="1" max="8" width="15.5" customWidth="1"/>
  </cols>
  <sheetData>
    <row r="1" spans="1:8" ht="24" customHeight="1" x14ac:dyDescent="0.2">
      <c r="A1" s="44" t="s">
        <v>0</v>
      </c>
      <c r="B1" s="44"/>
      <c r="C1" s="44"/>
      <c r="D1" s="44"/>
      <c r="E1" s="44"/>
      <c r="F1" s="44"/>
      <c r="G1" s="44"/>
      <c r="H1" s="44"/>
    </row>
    <row r="3" spans="1:8" ht="17" x14ac:dyDescent="0.2">
      <c r="A3" s="45" t="s">
        <v>1</v>
      </c>
      <c r="B3" s="45"/>
      <c r="C3" s="45"/>
      <c r="D3" s="45"/>
      <c r="E3" s="45"/>
      <c r="F3" s="45"/>
      <c r="G3" s="45"/>
      <c r="H3" s="45"/>
    </row>
    <row r="4" spans="1:8" ht="27.75" customHeight="1" x14ac:dyDescent="0.2">
      <c r="A4" s="46" t="s">
        <v>2</v>
      </c>
      <c r="B4" s="46"/>
      <c r="C4" s="46"/>
      <c r="D4" s="46"/>
      <c r="E4" s="46"/>
      <c r="F4" s="46"/>
      <c r="G4" s="46"/>
      <c r="H4" s="46"/>
    </row>
    <row r="5" spans="1:8" ht="42" customHeight="1" x14ac:dyDescent="0.2">
      <c r="A5" s="46" t="s">
        <v>3</v>
      </c>
      <c r="B5" s="46"/>
      <c r="C5" s="46"/>
      <c r="D5" s="46"/>
      <c r="E5" s="46"/>
      <c r="F5" s="46"/>
      <c r="G5" s="46"/>
      <c r="H5" s="46"/>
    </row>
    <row r="6" spans="1:8" ht="27.75" customHeight="1" x14ac:dyDescent="0.2">
      <c r="A6" s="46" t="s">
        <v>4</v>
      </c>
      <c r="B6" s="46"/>
      <c r="C6" s="46"/>
      <c r="D6" s="46"/>
      <c r="E6" s="46"/>
      <c r="F6" s="46"/>
      <c r="G6" s="46"/>
      <c r="H6" s="46"/>
    </row>
    <row r="8" spans="1:8" ht="17" x14ac:dyDescent="0.2">
      <c r="A8" s="45" t="s">
        <v>5</v>
      </c>
      <c r="B8" s="45"/>
      <c r="C8" s="45"/>
      <c r="D8" s="45"/>
      <c r="E8" s="45"/>
      <c r="F8" s="45"/>
      <c r="G8" s="45"/>
      <c r="H8" s="45"/>
    </row>
    <row r="9" spans="1:8" ht="42" customHeight="1" x14ac:dyDescent="0.2">
      <c r="A9" s="46" t="s">
        <v>6</v>
      </c>
      <c r="B9" s="46"/>
      <c r="C9" s="46"/>
      <c r="D9" s="46"/>
      <c r="E9" s="46"/>
      <c r="F9" s="46"/>
      <c r="G9" s="46"/>
      <c r="H9" s="46"/>
    </row>
    <row r="10" spans="1:8" ht="42" customHeight="1" x14ac:dyDescent="0.2">
      <c r="A10" s="46" t="s">
        <v>7</v>
      </c>
      <c r="B10" s="46"/>
      <c r="C10" s="46"/>
      <c r="D10" s="46"/>
      <c r="E10" s="46"/>
      <c r="F10" s="46"/>
      <c r="G10" s="46"/>
      <c r="H10" s="46"/>
    </row>
    <row r="11" spans="1:8" ht="55.5" customHeight="1" x14ac:dyDescent="0.2">
      <c r="A11" s="46" t="s">
        <v>8</v>
      </c>
      <c r="B11" s="46"/>
      <c r="C11" s="46"/>
      <c r="D11" s="46"/>
      <c r="E11" s="46"/>
      <c r="F11" s="46"/>
      <c r="G11" s="46"/>
      <c r="H11" s="46"/>
    </row>
    <row r="12" spans="1:8" ht="84" customHeight="1" x14ac:dyDescent="0.2">
      <c r="A12" s="46" t="s">
        <v>9</v>
      </c>
      <c r="B12" s="46"/>
      <c r="C12" s="46"/>
      <c r="D12" s="46"/>
      <c r="E12" s="46"/>
      <c r="F12" s="46"/>
      <c r="G12" s="46"/>
      <c r="H12" s="46"/>
    </row>
    <row r="13" spans="1:8" ht="55.5" customHeight="1" x14ac:dyDescent="0.2">
      <c r="A13" s="46" t="s">
        <v>10</v>
      </c>
      <c r="B13" s="46"/>
      <c r="C13" s="46"/>
      <c r="D13" s="46"/>
      <c r="E13" s="46"/>
      <c r="F13" s="46"/>
      <c r="G13" s="46"/>
      <c r="H13" s="46"/>
    </row>
    <row r="14" spans="1:8" ht="27.75" customHeight="1" x14ac:dyDescent="0.2">
      <c r="A14" s="46" t="s">
        <v>11</v>
      </c>
      <c r="B14" s="46"/>
      <c r="C14" s="46"/>
      <c r="D14" s="46"/>
      <c r="E14" s="46"/>
      <c r="F14" s="46"/>
      <c r="G14" s="46"/>
      <c r="H14" s="46"/>
    </row>
    <row r="16" spans="1:8" ht="17" x14ac:dyDescent="0.2">
      <c r="A16" s="45" t="s">
        <v>12</v>
      </c>
      <c r="B16" s="45"/>
      <c r="C16" s="45"/>
      <c r="D16" s="45"/>
      <c r="E16" s="45"/>
      <c r="F16" s="45"/>
      <c r="G16" s="45"/>
      <c r="H16" s="45"/>
    </row>
    <row r="17" spans="1:8" ht="27.75" customHeight="1" x14ac:dyDescent="0.2">
      <c r="A17" s="46" t="s">
        <v>13</v>
      </c>
      <c r="B17" s="46"/>
      <c r="C17" s="46"/>
      <c r="D17" s="46"/>
      <c r="E17" s="46"/>
      <c r="F17" s="46"/>
      <c r="G17" s="46"/>
      <c r="H17" s="46"/>
    </row>
    <row r="18" spans="1:8" ht="97.5" customHeight="1" x14ac:dyDescent="0.2">
      <c r="A18" s="46" t="s">
        <v>14</v>
      </c>
      <c r="B18" s="46"/>
      <c r="C18" s="46"/>
      <c r="D18" s="46"/>
      <c r="E18" s="46"/>
      <c r="F18" s="46"/>
      <c r="G18" s="46"/>
      <c r="H18" s="46"/>
    </row>
    <row r="19" spans="1:8" ht="69.75" customHeight="1" x14ac:dyDescent="0.2">
      <c r="A19" s="46" t="s">
        <v>15</v>
      </c>
      <c r="B19" s="46"/>
      <c r="C19" s="46"/>
      <c r="D19" s="46"/>
      <c r="E19" s="46"/>
      <c r="F19" s="46"/>
      <c r="G19" s="46"/>
      <c r="H19" s="46"/>
    </row>
    <row r="21" spans="1:8" ht="17" x14ac:dyDescent="0.2">
      <c r="A21" s="45" t="s">
        <v>16</v>
      </c>
      <c r="B21" s="45"/>
      <c r="C21" s="45"/>
      <c r="D21" s="45"/>
      <c r="E21" s="45"/>
      <c r="F21" s="45"/>
      <c r="G21" s="45"/>
      <c r="H21" s="45"/>
    </row>
    <row r="22" spans="1:8" ht="55.5" customHeight="1" x14ac:dyDescent="0.2">
      <c r="A22" s="46" t="s">
        <v>17</v>
      </c>
      <c r="B22" s="46"/>
      <c r="C22" s="46"/>
      <c r="D22" s="46"/>
      <c r="E22" s="46"/>
      <c r="F22" s="46"/>
      <c r="G22" s="46"/>
      <c r="H22" s="46"/>
    </row>
    <row r="23" spans="1:8" ht="42" customHeight="1" x14ac:dyDescent="0.2">
      <c r="A23" s="46" t="s">
        <v>18</v>
      </c>
      <c r="B23" s="46"/>
      <c r="C23" s="46"/>
      <c r="D23" s="46"/>
      <c r="E23" s="46"/>
      <c r="F23" s="46"/>
      <c r="G23" s="46"/>
      <c r="H23" s="46"/>
    </row>
    <row r="24" spans="1:8" ht="84" customHeight="1" x14ac:dyDescent="0.2">
      <c r="A24" s="46" t="s">
        <v>19</v>
      </c>
      <c r="B24" s="46"/>
      <c r="C24" s="46"/>
      <c r="D24" s="46"/>
      <c r="E24" s="46"/>
      <c r="F24" s="46"/>
      <c r="G24" s="46"/>
      <c r="H24" s="46"/>
    </row>
    <row r="25" spans="1:8" ht="42" customHeight="1" x14ac:dyDescent="0.2">
      <c r="A25" s="46" t="s">
        <v>20</v>
      </c>
      <c r="B25" s="46"/>
      <c r="C25" s="46"/>
      <c r="D25" s="46"/>
      <c r="E25" s="46"/>
      <c r="F25" s="46"/>
      <c r="G25" s="46"/>
      <c r="H25" s="46"/>
    </row>
    <row r="26" spans="1:8" ht="42" customHeight="1" x14ac:dyDescent="0.2">
      <c r="A26" s="46" t="s">
        <v>21</v>
      </c>
      <c r="B26" s="46"/>
      <c r="C26" s="46"/>
      <c r="D26" s="46"/>
      <c r="E26" s="46"/>
      <c r="F26" s="46"/>
      <c r="G26" s="46"/>
      <c r="H26" s="46"/>
    </row>
    <row r="28" spans="1:8" ht="17" x14ac:dyDescent="0.2">
      <c r="A28" s="45" t="s">
        <v>22</v>
      </c>
      <c r="B28" s="45"/>
      <c r="C28" s="45"/>
      <c r="D28" s="45"/>
      <c r="E28" s="45"/>
      <c r="F28" s="45"/>
      <c r="G28" s="45"/>
      <c r="H28" s="45"/>
    </row>
    <row r="29" spans="1:8" ht="13.5" customHeight="1" x14ac:dyDescent="0.2">
      <c r="A29" s="46" t="s">
        <v>23</v>
      </c>
      <c r="B29" s="46"/>
      <c r="C29" s="46"/>
      <c r="D29" s="46"/>
      <c r="E29" s="46"/>
      <c r="F29" s="46"/>
      <c r="G29" s="46"/>
      <c r="H29" s="46"/>
    </row>
    <row r="30" spans="1:8" ht="13.5" customHeight="1" x14ac:dyDescent="0.2">
      <c r="A30" s="46" t="s">
        <v>24</v>
      </c>
      <c r="B30" s="46"/>
      <c r="C30" s="46"/>
      <c r="D30" s="46"/>
      <c r="E30" s="46"/>
      <c r="F30" s="46"/>
      <c r="G30" s="46"/>
      <c r="H30" s="46"/>
    </row>
    <row r="31" spans="1:8" ht="13.5" customHeight="1" x14ac:dyDescent="0.2">
      <c r="A31" s="46" t="s">
        <v>25</v>
      </c>
      <c r="B31" s="46"/>
      <c r="C31" s="46"/>
      <c r="D31" s="46"/>
      <c r="E31" s="46"/>
      <c r="F31" s="46"/>
      <c r="G31" s="46"/>
      <c r="H31" s="46"/>
    </row>
    <row r="32" spans="1:8" ht="42" customHeight="1" x14ac:dyDescent="0.2">
      <c r="A32" s="46" t="s">
        <v>26</v>
      </c>
      <c r="B32" s="46"/>
      <c r="C32" s="46"/>
      <c r="D32" s="46"/>
      <c r="E32" s="46"/>
      <c r="F32" s="46"/>
      <c r="G32" s="46"/>
      <c r="H32" s="46"/>
    </row>
    <row r="33" spans="1:8" ht="13.5" customHeight="1" x14ac:dyDescent="0.2">
      <c r="A33" s="46" t="s">
        <v>27</v>
      </c>
      <c r="B33" s="46"/>
      <c r="C33" s="46"/>
      <c r="D33" s="46"/>
      <c r="E33" s="46"/>
      <c r="F33" s="46"/>
      <c r="G33" s="46"/>
      <c r="H33" s="46"/>
    </row>
    <row r="35" spans="1:8" ht="17" x14ac:dyDescent="0.2">
      <c r="A35" s="45" t="s">
        <v>28</v>
      </c>
      <c r="B35" s="45"/>
      <c r="C35" s="45"/>
      <c r="D35" s="45"/>
      <c r="E35" s="45"/>
      <c r="F35" s="45"/>
      <c r="G35" s="45"/>
      <c r="H35" s="45"/>
    </row>
    <row r="36" spans="1:8" ht="13.5" customHeight="1" x14ac:dyDescent="0.2">
      <c r="A36" s="46" t="s">
        <v>29</v>
      </c>
      <c r="B36" s="46"/>
      <c r="C36" s="46"/>
      <c r="D36" s="46"/>
      <c r="E36" s="46"/>
      <c r="F36" s="46"/>
      <c r="G36" s="46"/>
      <c r="H36" s="46"/>
    </row>
    <row r="37" spans="1:8" ht="13.5" customHeight="1" x14ac:dyDescent="0.2">
      <c r="A37" s="46" t="s">
        <v>30</v>
      </c>
      <c r="B37" s="46"/>
      <c r="C37" s="46"/>
      <c r="D37" s="46"/>
      <c r="E37" s="46"/>
      <c r="F37" s="46"/>
      <c r="G37" s="46"/>
      <c r="H37" s="46"/>
    </row>
    <row r="38" spans="1:8" ht="13.5" customHeight="1" x14ac:dyDescent="0.2">
      <c r="A38" s="46" t="s">
        <v>31</v>
      </c>
      <c r="B38" s="46"/>
      <c r="C38" s="46"/>
      <c r="D38" s="46"/>
      <c r="E38" s="46"/>
      <c r="F38" s="46"/>
      <c r="G38" s="46"/>
      <c r="H38" s="46"/>
    </row>
    <row r="39" spans="1:8" ht="13.5" customHeight="1" x14ac:dyDescent="0.2">
      <c r="A39" s="46" t="s">
        <v>32</v>
      </c>
      <c r="B39" s="46"/>
      <c r="C39" s="46"/>
      <c r="D39" s="46"/>
      <c r="E39" s="46"/>
      <c r="F39" s="46"/>
      <c r="G39" s="46"/>
      <c r="H39" s="46"/>
    </row>
    <row r="40" spans="1:8" ht="13.5" customHeight="1" x14ac:dyDescent="0.2">
      <c r="A40" s="46" t="s">
        <v>33</v>
      </c>
      <c r="B40" s="46"/>
      <c r="C40" s="46"/>
      <c r="D40" s="46"/>
      <c r="E40" s="46"/>
      <c r="F40" s="46"/>
      <c r="G40" s="46"/>
      <c r="H40" s="46"/>
    </row>
    <row r="41" spans="1:8" ht="27.75" customHeight="1" x14ac:dyDescent="0.2">
      <c r="A41" s="46" t="s">
        <v>34</v>
      </c>
      <c r="B41" s="46"/>
      <c r="C41" s="46"/>
      <c r="D41" s="46"/>
      <c r="E41" s="46"/>
      <c r="F41" s="46"/>
      <c r="G41" s="46"/>
      <c r="H41" s="46"/>
    </row>
    <row r="42" spans="1:8" ht="13.5" customHeight="1" x14ac:dyDescent="0.2">
      <c r="A42" s="46" t="s">
        <v>35</v>
      </c>
      <c r="B42" s="46"/>
      <c r="C42" s="46"/>
      <c r="D42" s="46"/>
      <c r="E42" s="46"/>
      <c r="F42" s="46"/>
      <c r="G42" s="46"/>
      <c r="H42" s="46"/>
    </row>
  </sheetData>
  <mergeCells count="36">
    <mergeCell ref="A42:H42"/>
    <mergeCell ref="A37:H37"/>
    <mergeCell ref="A38:H38"/>
    <mergeCell ref="A39:H39"/>
    <mergeCell ref="A40:H40"/>
    <mergeCell ref="A41:H41"/>
    <mergeCell ref="A31:H31"/>
    <mergeCell ref="A32:H32"/>
    <mergeCell ref="A33:H33"/>
    <mergeCell ref="A35:H35"/>
    <mergeCell ref="A36:H36"/>
    <mergeCell ref="A25:H25"/>
    <mergeCell ref="A26:H26"/>
    <mergeCell ref="A28:H28"/>
    <mergeCell ref="A29:H29"/>
    <mergeCell ref="A30:H30"/>
    <mergeCell ref="A19:H19"/>
    <mergeCell ref="A21:H21"/>
    <mergeCell ref="A22:H22"/>
    <mergeCell ref="A23:H23"/>
    <mergeCell ref="A24:H24"/>
    <mergeCell ref="A13:H13"/>
    <mergeCell ref="A14:H14"/>
    <mergeCell ref="A16:H16"/>
    <mergeCell ref="A17:H17"/>
    <mergeCell ref="A18:H18"/>
    <mergeCell ref="A8:H8"/>
    <mergeCell ref="A9:H9"/>
    <mergeCell ref="A10:H10"/>
    <mergeCell ref="A11:H11"/>
    <mergeCell ref="A12:H12"/>
    <mergeCell ref="A1:H1"/>
    <mergeCell ref="A3:H3"/>
    <mergeCell ref="A4:H4"/>
    <mergeCell ref="A5:H5"/>
    <mergeCell ref="A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8"/>
  <sheetViews>
    <sheetView showGridLines="0" zoomScaleNormal="100" workbookViewId="0">
      <selection sqref="A1:L2"/>
    </sheetView>
  </sheetViews>
  <sheetFormatPr baseColWidth="10" defaultColWidth="8.6640625" defaultRowHeight="15" x14ac:dyDescent="0.2"/>
  <cols>
    <col min="1" max="1" width="16" customWidth="1"/>
    <col min="2" max="2" width="10" customWidth="1"/>
    <col min="3" max="3" width="16" customWidth="1"/>
    <col min="4" max="4" width="10" customWidth="1"/>
    <col min="5" max="5" width="16" customWidth="1"/>
    <col min="6" max="6" width="10" customWidth="1"/>
    <col min="7" max="7" width="16" customWidth="1"/>
    <col min="8" max="8" width="10" customWidth="1"/>
    <col min="9" max="9" width="16" customWidth="1"/>
    <col min="10" max="10" width="10" customWidth="1"/>
    <col min="11" max="11" width="16" customWidth="1"/>
    <col min="12" max="12" width="10" customWidth="1"/>
  </cols>
  <sheetData>
    <row r="1" spans="1:12" ht="21.75" customHeight="1" x14ac:dyDescent="0.2">
      <c r="A1" s="14" t="s">
        <v>36</v>
      </c>
      <c r="B1" s="14"/>
      <c r="C1" s="14"/>
      <c r="D1" s="14"/>
      <c r="E1" s="14"/>
      <c r="F1" s="14"/>
      <c r="G1" s="14"/>
      <c r="H1" s="14"/>
      <c r="I1" s="14"/>
      <c r="J1" s="14"/>
      <c r="K1" s="14"/>
      <c r="L1" s="14"/>
    </row>
    <row r="2" spans="1:12" ht="21.75" customHeight="1" x14ac:dyDescent="0.2">
      <c r="A2" s="14"/>
      <c r="B2" s="14"/>
      <c r="C2" s="14"/>
      <c r="D2" s="14"/>
      <c r="E2" s="14"/>
      <c r="F2" s="14"/>
      <c r="G2" s="14"/>
      <c r="H2" s="14"/>
      <c r="I2" s="14"/>
      <c r="J2" s="14"/>
      <c r="K2" s="14"/>
      <c r="L2" s="14"/>
    </row>
    <row r="3" spans="1:12" ht="18" customHeight="1" x14ac:dyDescent="0.2">
      <c r="A3" s="13" t="s">
        <v>37</v>
      </c>
      <c r="B3" s="13"/>
      <c r="C3" s="13"/>
      <c r="D3" s="13"/>
      <c r="E3" s="13"/>
      <c r="F3" s="13"/>
      <c r="G3" s="13"/>
      <c r="H3" s="13"/>
      <c r="I3" s="13"/>
      <c r="J3" s="13"/>
      <c r="K3" s="13"/>
      <c r="L3" s="13"/>
    </row>
    <row r="5" spans="1:12" ht="15" customHeight="1" x14ac:dyDescent="0.2">
      <c r="A5" s="12" t="s">
        <v>38</v>
      </c>
      <c r="B5" s="12"/>
      <c r="C5" s="12" t="s">
        <v>39</v>
      </c>
      <c r="D5" s="12"/>
      <c r="E5" s="12" t="s">
        <v>40</v>
      </c>
      <c r="F5" s="12"/>
      <c r="G5" s="12" t="s">
        <v>41</v>
      </c>
      <c r="H5" s="12"/>
      <c r="I5" s="12" t="s">
        <v>42</v>
      </c>
      <c r="J5" s="12"/>
    </row>
    <row r="6" spans="1:12" ht="15" customHeight="1" x14ac:dyDescent="0.2">
      <c r="A6" s="11">
        <f>COUNTA('02_CLEAN_DATA'!$A$2:$A$570)</f>
        <v>569</v>
      </c>
      <c r="B6" s="11"/>
      <c r="C6" s="11">
        <f>COUNTIF('02_CLEAN_DATA'!$M$2:$M$570,"closed")</f>
        <v>561</v>
      </c>
      <c r="D6" s="11"/>
      <c r="E6" s="11">
        <f>COUNTIF('02_CLEAN_DATA'!$M$2:$M$570,"open")</f>
        <v>1</v>
      </c>
      <c r="F6" s="11"/>
      <c r="G6" s="11">
        <f>COUNTIF('02_CLEAN_DATA'!$M$2:$M$570,"canceled*")</f>
        <v>7</v>
      </c>
      <c r="H6" s="11"/>
      <c r="I6" s="11">
        <f>COUNTIF('02_CLEAN_DATA'!$R$2:$R$570,1)</f>
        <v>435</v>
      </c>
      <c r="J6" s="11"/>
    </row>
    <row r="7" spans="1:12" ht="15" customHeight="1" x14ac:dyDescent="0.2">
      <c r="A7" s="11"/>
      <c r="B7" s="11"/>
      <c r="C7" s="11"/>
      <c r="D7" s="11"/>
      <c r="E7" s="11"/>
      <c r="F7" s="11"/>
      <c r="G7" s="11"/>
      <c r="H7" s="11"/>
      <c r="I7" s="11"/>
      <c r="J7" s="11"/>
    </row>
    <row r="8" spans="1:12" ht="15" customHeight="1" x14ac:dyDescent="0.2">
      <c r="A8" s="11"/>
      <c r="B8" s="11"/>
      <c r="C8" s="11"/>
      <c r="D8" s="11"/>
      <c r="E8" s="11"/>
      <c r="F8" s="11"/>
      <c r="G8" s="11"/>
      <c r="H8" s="11"/>
      <c r="I8" s="11"/>
      <c r="J8" s="11"/>
    </row>
    <row r="9" spans="1:12" ht="15" customHeight="1" x14ac:dyDescent="0.2"/>
    <row r="10" spans="1:12" ht="15" customHeight="1" x14ac:dyDescent="0.2">
      <c r="A10" s="12" t="s">
        <v>43</v>
      </c>
      <c r="B10" s="12"/>
      <c r="C10" s="12" t="s">
        <v>44</v>
      </c>
      <c r="D10" s="12"/>
      <c r="E10" s="12" t="s">
        <v>45</v>
      </c>
      <c r="F10" s="12"/>
      <c r="G10" s="10" t="s">
        <v>46</v>
      </c>
      <c r="H10" s="10"/>
      <c r="I10" s="12" t="s">
        <v>47</v>
      </c>
      <c r="J10" s="12"/>
    </row>
    <row r="11" spans="1:12" ht="15" customHeight="1" x14ac:dyDescent="0.2">
      <c r="A11" s="9">
        <f>COUNTIF('02_CLEAN_DATA'!$W$2:$W$570,"Met")</f>
        <v>337</v>
      </c>
      <c r="B11" s="9"/>
      <c r="C11" s="8">
        <f>COUNTIF('02_CLEAN_DATA'!$W$2:$W$570,"Missed")</f>
        <v>98</v>
      </c>
      <c r="D11" s="8"/>
      <c r="E11" s="7">
        <f>COUNTIF('02_CLEAN_DATA'!$W$2:$W$570,"Met")/COUNTIF('02_CLEAN_DATA'!$R$2:$R$570,1)</f>
        <v>0.77471264367816095</v>
      </c>
      <c r="F11" s="7"/>
      <c r="G11" s="6" t="str">
        <f>IF(ISBLANK('04_SLA_TREND'!$B$1),"Not Set",'04_SLA_TREND'!$B$1)</f>
        <v>Not Set</v>
      </c>
      <c r="H11" s="6"/>
      <c r="I11" s="5" t="str">
        <f>IF(ISBLANK('04_SLA_TREND'!$B$1),"Enter target",E11-'04_SLA_TREND'!$B$1)</f>
        <v>Enter target</v>
      </c>
      <c r="J11" s="5"/>
    </row>
    <row r="12" spans="1:12" ht="15" customHeight="1" x14ac:dyDescent="0.2">
      <c r="A12" s="9"/>
      <c r="B12" s="9"/>
      <c r="C12" s="8"/>
      <c r="D12" s="8"/>
      <c r="E12" s="7"/>
      <c r="F12" s="7"/>
      <c r="G12" s="6"/>
      <c r="H12" s="6"/>
      <c r="I12" s="5"/>
      <c r="J12" s="5"/>
    </row>
    <row r="13" spans="1:12" ht="15" customHeight="1" x14ac:dyDescent="0.2">
      <c r="A13" s="9"/>
      <c r="B13" s="9"/>
      <c r="C13" s="8"/>
      <c r="D13" s="8"/>
      <c r="E13" s="7"/>
      <c r="F13" s="7"/>
      <c r="G13" s="6"/>
      <c r="H13" s="6"/>
      <c r="I13" s="5"/>
      <c r="J13" s="5"/>
    </row>
    <row r="14" spans="1:12" ht="15" customHeight="1" x14ac:dyDescent="0.2"/>
    <row r="15" spans="1:12" ht="15" customHeight="1" x14ac:dyDescent="0.2">
      <c r="A15" s="12" t="s">
        <v>48</v>
      </c>
      <c r="B15" s="12"/>
      <c r="C15" s="12" t="s">
        <v>49</v>
      </c>
      <c r="D15" s="12"/>
      <c r="E15" s="12" t="s">
        <v>50</v>
      </c>
      <c r="F15" s="12"/>
      <c r="G15" s="12" t="s">
        <v>51</v>
      </c>
      <c r="H15" s="12"/>
      <c r="I15" s="12" t="s">
        <v>52</v>
      </c>
      <c r="J15" s="12"/>
    </row>
    <row r="16" spans="1:12" ht="15" customHeight="1" x14ac:dyDescent="0.2">
      <c r="A16" s="4">
        <f>COUNTIF('02_CLEAN_DATA'!$S$2:$S$570,"Customer Contracted Reasons")</f>
        <v>353</v>
      </c>
      <c r="B16" s="4"/>
      <c r="C16" s="3">
        <f>COUNTIF('02_CLEAN_DATA'!$S$2:$S$570,"Customer Contracted Reasons")/COUNTA('02_CLEAN_DATA'!$A$2:$A$570)</f>
        <v>0.62038664323374337</v>
      </c>
      <c r="D16" s="3"/>
      <c r="E16" s="2">
        <f>AVERAGE('02_CLEAN_DATA'!$O$2:$O$570)</f>
        <v>30.227605633802835</v>
      </c>
      <c r="F16" s="2"/>
      <c r="G16" s="2">
        <f t="array" ref="G16">MEDIAN('02_CLEAN_DATA'!$O$2:$O$570)</f>
        <v>14.04</v>
      </c>
      <c r="H16" s="2"/>
      <c r="I16" s="11">
        <f>COUNTIF('02_CLEAN_DATA'!$R$2:$R$570,0)</f>
        <v>134</v>
      </c>
      <c r="J16" s="11"/>
    </row>
    <row r="17" spans="1:11" ht="15" customHeight="1" x14ac:dyDescent="0.2">
      <c r="A17" s="4"/>
      <c r="B17" s="4"/>
      <c r="C17" s="3"/>
      <c r="D17" s="3"/>
      <c r="E17" s="2"/>
      <c r="F17" s="2"/>
      <c r="G17" s="2"/>
      <c r="H17" s="2"/>
      <c r="I17" s="11"/>
      <c r="J17" s="11"/>
    </row>
    <row r="18" spans="1:11" ht="15" customHeight="1" x14ac:dyDescent="0.2">
      <c r="A18" s="4"/>
      <c r="B18" s="4"/>
      <c r="C18" s="3"/>
      <c r="D18" s="3"/>
      <c r="E18" s="2"/>
      <c r="F18" s="2"/>
      <c r="G18" s="2"/>
      <c r="H18" s="2"/>
      <c r="I18" s="11"/>
      <c r="J18" s="11"/>
    </row>
    <row r="21" spans="1:11" x14ac:dyDescent="0.2">
      <c r="A21" s="1" t="s">
        <v>53</v>
      </c>
      <c r="B21" s="1"/>
      <c r="C21" s="1"/>
      <c r="D21" s="15" t="s">
        <v>54</v>
      </c>
      <c r="F21" s="16" t="s">
        <v>55</v>
      </c>
      <c r="H21" s="17" t="s">
        <v>56</v>
      </c>
    </row>
    <row r="22" spans="1:11" ht="15" customHeight="1" x14ac:dyDescent="0.2">
      <c r="A22" s="43" t="s">
        <v>57</v>
      </c>
      <c r="B22" s="43"/>
      <c r="C22" s="43"/>
      <c r="D22" s="43"/>
      <c r="E22" s="43"/>
      <c r="F22" s="43"/>
      <c r="G22" s="43"/>
      <c r="H22" s="43"/>
      <c r="I22" s="43"/>
      <c r="J22" s="43"/>
      <c r="K22" s="43"/>
    </row>
    <row r="23" spans="1:11" x14ac:dyDescent="0.2">
      <c r="A23" s="43"/>
      <c r="B23" s="43"/>
      <c r="C23" s="43"/>
      <c r="D23" s="43"/>
      <c r="E23" s="43"/>
      <c r="F23" s="43"/>
      <c r="G23" s="43"/>
      <c r="H23" s="43"/>
      <c r="I23" s="43"/>
      <c r="J23" s="43"/>
      <c r="K23" s="43"/>
    </row>
    <row r="25" spans="1:11" ht="16" x14ac:dyDescent="0.2">
      <c r="A25" s="18" t="s">
        <v>58</v>
      </c>
      <c r="H25" s="18" t="s">
        <v>59</v>
      </c>
    </row>
    <row r="47" spans="1:12" ht="15" customHeight="1" x14ac:dyDescent="0.2">
      <c r="A47" s="43" t="s">
        <v>60</v>
      </c>
      <c r="B47" s="43"/>
      <c r="C47" s="43"/>
      <c r="D47" s="43"/>
      <c r="E47" s="43"/>
      <c r="F47" s="43"/>
      <c r="G47" s="43"/>
      <c r="H47" s="43"/>
      <c r="I47" s="43"/>
      <c r="J47" s="43"/>
      <c r="K47" s="43"/>
      <c r="L47" s="43"/>
    </row>
    <row r="48" spans="1:12" x14ac:dyDescent="0.2">
      <c r="A48" s="43"/>
      <c r="B48" s="43"/>
      <c r="C48" s="43"/>
      <c r="D48" s="43"/>
      <c r="E48" s="43"/>
      <c r="F48" s="43"/>
      <c r="G48" s="43"/>
      <c r="H48" s="43"/>
      <c r="I48" s="43"/>
      <c r="J48" s="43"/>
      <c r="K48" s="43"/>
      <c r="L48" s="43"/>
    </row>
  </sheetData>
  <mergeCells count="35">
    <mergeCell ref="A21:C21"/>
    <mergeCell ref="A22:K23"/>
    <mergeCell ref="A47:L48"/>
    <mergeCell ref="A16:B18"/>
    <mergeCell ref="C16:D18"/>
    <mergeCell ref="E16:F18"/>
    <mergeCell ref="G16:H18"/>
    <mergeCell ref="I16:J18"/>
    <mergeCell ref="A15:B15"/>
    <mergeCell ref="C15:D15"/>
    <mergeCell ref="E15:F15"/>
    <mergeCell ref="G15:H15"/>
    <mergeCell ref="I15:J15"/>
    <mergeCell ref="A11:B13"/>
    <mergeCell ref="C11:D13"/>
    <mergeCell ref="E11:F13"/>
    <mergeCell ref="G11:H13"/>
    <mergeCell ref="I11:J13"/>
    <mergeCell ref="A10:B10"/>
    <mergeCell ref="C10:D10"/>
    <mergeCell ref="E10:F10"/>
    <mergeCell ref="G10:H10"/>
    <mergeCell ref="I10:J10"/>
    <mergeCell ref="A6:B8"/>
    <mergeCell ref="C6:D8"/>
    <mergeCell ref="E6:F8"/>
    <mergeCell ref="G6:H8"/>
    <mergeCell ref="I6:J8"/>
    <mergeCell ref="A1:L2"/>
    <mergeCell ref="A3:L3"/>
    <mergeCell ref="A5:B5"/>
    <mergeCell ref="C5:D5"/>
    <mergeCell ref="E5:F5"/>
    <mergeCell ref="G5:H5"/>
    <mergeCell ref="I5:J5"/>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showGridLines="0" zoomScaleNormal="100" workbookViewId="0">
      <pane ySplit="2" topLeftCell="A3" activePane="bottomLeft" state="frozen"/>
      <selection pane="bottomLeft"/>
    </sheetView>
  </sheetViews>
  <sheetFormatPr baseColWidth="10" defaultColWidth="8.6640625" defaultRowHeight="15" x14ac:dyDescent="0.2"/>
  <cols>
    <col min="1" max="1" width="10" customWidth="1"/>
    <col min="2" max="2" width="12" customWidth="1"/>
    <col min="3" max="3" width="11" customWidth="1"/>
    <col min="4" max="4" width="9" customWidth="1"/>
    <col min="5" max="5" width="10" customWidth="1"/>
    <col min="6" max="6" width="8" customWidth="1"/>
    <col min="7" max="7" width="15" customWidth="1"/>
    <col min="8" max="8" width="13" customWidth="1"/>
    <col min="9" max="9" width="11" customWidth="1"/>
    <col min="10" max="10" width="15" customWidth="1"/>
    <col min="11" max="11" width="16" customWidth="1"/>
  </cols>
  <sheetData>
    <row r="1" spans="1:11" ht="27.75" customHeight="1" x14ac:dyDescent="0.2">
      <c r="A1" s="19" t="s">
        <v>61</v>
      </c>
      <c r="B1" s="20"/>
      <c r="C1" s="47" t="s">
        <v>62</v>
      </c>
      <c r="D1" s="47"/>
      <c r="E1" s="47"/>
      <c r="F1" s="47"/>
      <c r="G1" s="47"/>
      <c r="H1" s="47"/>
      <c r="I1" s="47"/>
      <c r="J1" s="47"/>
      <c r="K1" s="47"/>
    </row>
    <row r="2" spans="1:11" ht="30" customHeight="1" x14ac:dyDescent="0.2">
      <c r="A2" s="21" t="s">
        <v>63</v>
      </c>
      <c r="B2" s="21" t="s">
        <v>64</v>
      </c>
      <c r="C2" s="21" t="s">
        <v>65</v>
      </c>
      <c r="D2" s="21" t="s">
        <v>66</v>
      </c>
      <c r="E2" s="21" t="s">
        <v>67</v>
      </c>
      <c r="F2" s="21" t="s">
        <v>68</v>
      </c>
      <c r="G2" s="21" t="s">
        <v>69</v>
      </c>
      <c r="H2" s="21" t="s">
        <v>70</v>
      </c>
      <c r="I2" s="21" t="s">
        <v>71</v>
      </c>
      <c r="J2" s="21" t="s">
        <v>72</v>
      </c>
      <c r="K2" s="21" t="s">
        <v>73</v>
      </c>
    </row>
    <row r="3" spans="1:11" x14ac:dyDescent="0.2">
      <c r="A3" s="22" t="s">
        <v>74</v>
      </c>
      <c r="B3" s="22">
        <f>COUNTIF('02_CLEAN_DATA'!$L$2:$L$570,A3)</f>
        <v>39</v>
      </c>
      <c r="C3" s="22">
        <f>COUNTIFS('02_CLEAN_DATA'!$L$2:$L$570,A3,'02_CLEAN_DATA'!$R$2:$R$570,1)</f>
        <v>19</v>
      </c>
      <c r="D3" s="22">
        <f>COUNTIFS('02_CLEAN_DATA'!$L$2:$L$570,A3,'02_CLEAN_DATA'!$W$2:$W$570,"Met")</f>
        <v>15</v>
      </c>
      <c r="E3" s="22">
        <f>COUNTIFS('02_CLEAN_DATA'!$L$2:$L$570,A3,'02_CLEAN_DATA'!$W$2:$W$570,"Missed")</f>
        <v>4</v>
      </c>
      <c r="F3" s="23">
        <f t="shared" ref="F3:F16" si="0">IF(C3=0,"",D3/C3)</f>
        <v>0.78947368421052633</v>
      </c>
      <c r="G3" s="23" t="str">
        <f t="shared" ref="G3:G16" si="1">IF(OR($B$1="",F3=""),"",F3-$B$1)</f>
        <v/>
      </c>
      <c r="H3" s="22">
        <f>COUNTIFS('02_CLEAN_DATA'!$L$2:$L$570,A3,'02_CLEAN_DATA'!$S$2:$S$570,"Customer Contracted Reasons")</f>
        <v>3</v>
      </c>
      <c r="I3" s="23">
        <f t="shared" ref="I3:I16" si="2">IF(B3=0,"",H3/B3)</f>
        <v>7.6923076923076927E-2</v>
      </c>
      <c r="J3" s="24">
        <f>IFERROR(AVERAGEIF('02_CLEAN_DATA'!$L$2:$L$570,A3,'02_CLEAN_DATA'!$O$2:$O$570),"")</f>
        <v>32.271282051282036</v>
      </c>
      <c r="K3" s="24">
        <f t="array" ref="K3">IFERROR(MEDIAN(IF('02_CLEAN_DATA'!$L$2:$L$570=A3,'02_CLEAN_DATA'!$O$2:$O$570)),"")</f>
        <v>21.25</v>
      </c>
    </row>
    <row r="4" spans="1:11" x14ac:dyDescent="0.2">
      <c r="A4" s="25" t="s">
        <v>75</v>
      </c>
      <c r="B4" s="25">
        <f>COUNTIF('02_CLEAN_DATA'!$L$2:$L$570,A4)</f>
        <v>57</v>
      </c>
      <c r="C4" s="25">
        <f>COUNTIFS('02_CLEAN_DATA'!$L$2:$L$570,A4,'02_CLEAN_DATA'!$R$2:$R$570,1)</f>
        <v>44</v>
      </c>
      <c r="D4" s="25">
        <f>COUNTIFS('02_CLEAN_DATA'!$L$2:$L$570,A4,'02_CLEAN_DATA'!$W$2:$W$570,"Met")</f>
        <v>31</v>
      </c>
      <c r="E4" s="25">
        <f>COUNTIFS('02_CLEAN_DATA'!$L$2:$L$570,A4,'02_CLEAN_DATA'!$W$2:$W$570,"Missed")</f>
        <v>13</v>
      </c>
      <c r="F4" s="26">
        <f t="shared" si="0"/>
        <v>0.70454545454545459</v>
      </c>
      <c r="G4" s="26" t="str">
        <f t="shared" si="1"/>
        <v/>
      </c>
      <c r="H4" s="25">
        <f>COUNTIFS('02_CLEAN_DATA'!$L$2:$L$570,A4,'02_CLEAN_DATA'!$S$2:$S$570,"Customer Contracted Reasons")</f>
        <v>11</v>
      </c>
      <c r="I4" s="26">
        <f t="shared" si="2"/>
        <v>0.19298245614035087</v>
      </c>
      <c r="J4" s="27">
        <f>IFERROR(AVERAGEIF('02_CLEAN_DATA'!$L$2:$L$570,A4,'02_CLEAN_DATA'!$O$2:$O$570),"")</f>
        <v>42.746315789473677</v>
      </c>
      <c r="K4" s="27">
        <f t="array" ref="K4">IFERROR(MEDIAN(IF('02_CLEAN_DATA'!$L$2:$L$570=A4,'02_CLEAN_DATA'!$O$2:$O$570)),"")</f>
        <v>14.85</v>
      </c>
    </row>
    <row r="5" spans="1:11" x14ac:dyDescent="0.2">
      <c r="A5" s="22" t="s">
        <v>76</v>
      </c>
      <c r="B5" s="22">
        <f>COUNTIF('02_CLEAN_DATA'!$L$2:$L$570,A5)</f>
        <v>56</v>
      </c>
      <c r="C5" s="22">
        <f>COUNTIFS('02_CLEAN_DATA'!$L$2:$L$570,A5,'02_CLEAN_DATA'!$R$2:$R$570,1)</f>
        <v>37</v>
      </c>
      <c r="D5" s="22">
        <f>COUNTIFS('02_CLEAN_DATA'!$L$2:$L$570,A5,'02_CLEAN_DATA'!$W$2:$W$570,"Met")</f>
        <v>23</v>
      </c>
      <c r="E5" s="22">
        <f>COUNTIFS('02_CLEAN_DATA'!$L$2:$L$570,A5,'02_CLEAN_DATA'!$W$2:$W$570,"Missed")</f>
        <v>14</v>
      </c>
      <c r="F5" s="23">
        <f t="shared" si="0"/>
        <v>0.6216216216216216</v>
      </c>
      <c r="G5" s="23" t="str">
        <f t="shared" si="1"/>
        <v/>
      </c>
      <c r="H5" s="22">
        <f>COUNTIFS('02_CLEAN_DATA'!$L$2:$L$570,A5,'02_CLEAN_DATA'!$S$2:$S$570,"Customer Contracted Reasons")</f>
        <v>7</v>
      </c>
      <c r="I5" s="23">
        <f t="shared" si="2"/>
        <v>0.125</v>
      </c>
      <c r="J5" s="24">
        <f>IFERROR(AVERAGEIF('02_CLEAN_DATA'!$L$2:$L$570,A5,'02_CLEAN_DATA'!$O$2:$O$570),"")</f>
        <v>41.202321428571437</v>
      </c>
      <c r="K5" s="24">
        <f t="array" ref="K5">IFERROR(MEDIAN(IF('02_CLEAN_DATA'!$L$2:$L$570=A5,'02_CLEAN_DATA'!$O$2:$O$570)),"")</f>
        <v>20.875</v>
      </c>
    </row>
    <row r="6" spans="1:11" x14ac:dyDescent="0.2">
      <c r="A6" s="25" t="s">
        <v>77</v>
      </c>
      <c r="B6" s="25">
        <f>COUNTIF('02_CLEAN_DATA'!$L$2:$L$570,A6)</f>
        <v>44</v>
      </c>
      <c r="C6" s="25">
        <f>COUNTIFS('02_CLEAN_DATA'!$L$2:$L$570,A6,'02_CLEAN_DATA'!$R$2:$R$570,1)</f>
        <v>28</v>
      </c>
      <c r="D6" s="25">
        <f>COUNTIFS('02_CLEAN_DATA'!$L$2:$L$570,A6,'02_CLEAN_DATA'!$W$2:$W$570,"Met")</f>
        <v>11</v>
      </c>
      <c r="E6" s="25">
        <f>COUNTIFS('02_CLEAN_DATA'!$L$2:$L$570,A6,'02_CLEAN_DATA'!$W$2:$W$570,"Missed")</f>
        <v>17</v>
      </c>
      <c r="F6" s="26">
        <f t="shared" si="0"/>
        <v>0.39285714285714285</v>
      </c>
      <c r="G6" s="26" t="str">
        <f t="shared" si="1"/>
        <v/>
      </c>
      <c r="H6" s="25">
        <f>COUNTIFS('02_CLEAN_DATA'!$L$2:$L$570,A6,'02_CLEAN_DATA'!$S$2:$S$570,"Customer Contracted Reasons")</f>
        <v>5</v>
      </c>
      <c r="I6" s="26">
        <f t="shared" si="2"/>
        <v>0.11363636363636363</v>
      </c>
      <c r="J6" s="27">
        <f>IFERROR(AVERAGEIF('02_CLEAN_DATA'!$L$2:$L$570,A6,'02_CLEAN_DATA'!$O$2:$O$570),"")</f>
        <v>59.275227272727278</v>
      </c>
      <c r="K6" s="27">
        <f t="array" ref="K6">IFERROR(MEDIAN(IF('02_CLEAN_DATA'!$L$2:$L$570=A6,'02_CLEAN_DATA'!$O$2:$O$570)),"")</f>
        <v>15.5</v>
      </c>
    </row>
    <row r="7" spans="1:11" x14ac:dyDescent="0.2">
      <c r="A7" s="22" t="s">
        <v>78</v>
      </c>
      <c r="B7" s="22">
        <f>COUNTIF('02_CLEAN_DATA'!$L$2:$L$570,A7)</f>
        <v>50</v>
      </c>
      <c r="C7" s="22">
        <f>COUNTIFS('02_CLEAN_DATA'!$L$2:$L$570,A7,'02_CLEAN_DATA'!$R$2:$R$570,1)</f>
        <v>39</v>
      </c>
      <c r="D7" s="22">
        <f>COUNTIFS('02_CLEAN_DATA'!$L$2:$L$570,A7,'02_CLEAN_DATA'!$W$2:$W$570,"Met")</f>
        <v>32</v>
      </c>
      <c r="E7" s="22">
        <f>COUNTIFS('02_CLEAN_DATA'!$L$2:$L$570,A7,'02_CLEAN_DATA'!$W$2:$W$570,"Missed")</f>
        <v>7</v>
      </c>
      <c r="F7" s="23">
        <f t="shared" si="0"/>
        <v>0.82051282051282048</v>
      </c>
      <c r="G7" s="23" t="str">
        <f t="shared" si="1"/>
        <v/>
      </c>
      <c r="H7" s="22">
        <f>COUNTIFS('02_CLEAN_DATA'!$L$2:$L$570,A7,'02_CLEAN_DATA'!$S$2:$S$570,"Customer Contracted Reasons")</f>
        <v>8</v>
      </c>
      <c r="I7" s="23">
        <f t="shared" si="2"/>
        <v>0.16</v>
      </c>
      <c r="J7" s="24">
        <f>IFERROR(AVERAGEIF('02_CLEAN_DATA'!$L$2:$L$570,A7,'02_CLEAN_DATA'!$O$2:$O$570),"")</f>
        <v>23.109800000000003</v>
      </c>
      <c r="K7" s="24">
        <f t="array" ref="K7">IFERROR(MEDIAN(IF('02_CLEAN_DATA'!$L$2:$L$570=A7,'02_CLEAN_DATA'!$O$2:$O$570)),"")</f>
        <v>12.67</v>
      </c>
    </row>
    <row r="8" spans="1:11" x14ac:dyDescent="0.2">
      <c r="A8" s="25" t="s">
        <v>79</v>
      </c>
      <c r="B8" s="25">
        <f>COUNTIF('02_CLEAN_DATA'!$L$2:$L$570,A8)</f>
        <v>57</v>
      </c>
      <c r="C8" s="25">
        <f>COUNTIFS('02_CLEAN_DATA'!$L$2:$L$570,A8,'02_CLEAN_DATA'!$R$2:$R$570,1)</f>
        <v>38</v>
      </c>
      <c r="D8" s="25">
        <f>COUNTIFS('02_CLEAN_DATA'!$L$2:$L$570,A8,'02_CLEAN_DATA'!$W$2:$W$570,"Met")</f>
        <v>28</v>
      </c>
      <c r="E8" s="25">
        <f>COUNTIFS('02_CLEAN_DATA'!$L$2:$L$570,A8,'02_CLEAN_DATA'!$W$2:$W$570,"Missed")</f>
        <v>10</v>
      </c>
      <c r="F8" s="26">
        <f t="shared" si="0"/>
        <v>0.73684210526315785</v>
      </c>
      <c r="G8" s="26" t="str">
        <f t="shared" si="1"/>
        <v/>
      </c>
      <c r="H8" s="25">
        <f>COUNTIFS('02_CLEAN_DATA'!$L$2:$L$570,A8,'02_CLEAN_DATA'!$S$2:$S$570,"Customer Contracted Reasons")</f>
        <v>57</v>
      </c>
      <c r="I8" s="26">
        <f t="shared" si="2"/>
        <v>1</v>
      </c>
      <c r="J8" s="27">
        <f>IFERROR(AVERAGEIF('02_CLEAN_DATA'!$L$2:$L$570,A8,'02_CLEAN_DATA'!$O$2:$O$570),"")</f>
        <v>22.958245614035086</v>
      </c>
      <c r="K8" s="27">
        <f t="array" ref="K8">IFERROR(MEDIAN(IF('02_CLEAN_DATA'!$L$2:$L$570=A8,'02_CLEAN_DATA'!$O$2:$O$570)),"")</f>
        <v>4.13</v>
      </c>
    </row>
    <row r="9" spans="1:11" x14ac:dyDescent="0.2">
      <c r="A9" s="22" t="s">
        <v>80</v>
      </c>
      <c r="B9" s="22">
        <f>COUNTIF('02_CLEAN_DATA'!$L$2:$L$570,A9)</f>
        <v>41</v>
      </c>
      <c r="C9" s="22">
        <f>COUNTIFS('02_CLEAN_DATA'!$L$2:$L$570,A9,'02_CLEAN_DATA'!$R$2:$R$570,1)</f>
        <v>40</v>
      </c>
      <c r="D9" s="22">
        <f>COUNTIFS('02_CLEAN_DATA'!$L$2:$L$570,A9,'02_CLEAN_DATA'!$W$2:$W$570,"Met")</f>
        <v>40</v>
      </c>
      <c r="E9" s="22">
        <f>COUNTIFS('02_CLEAN_DATA'!$L$2:$L$570,A9,'02_CLEAN_DATA'!$W$2:$W$570,"Missed")</f>
        <v>0</v>
      </c>
      <c r="F9" s="23">
        <f t="shared" si="0"/>
        <v>1</v>
      </c>
      <c r="G9" s="23" t="str">
        <f t="shared" si="1"/>
        <v/>
      </c>
      <c r="H9" s="22">
        <f>COUNTIFS('02_CLEAN_DATA'!$L$2:$L$570,A9,'02_CLEAN_DATA'!$S$2:$S$570,"Customer Contracted Reasons")</f>
        <v>41</v>
      </c>
      <c r="I9" s="23">
        <f t="shared" si="2"/>
        <v>1</v>
      </c>
      <c r="J9" s="24">
        <f>IFERROR(AVERAGEIF('02_CLEAN_DATA'!$L$2:$L$570,A9,'02_CLEAN_DATA'!$O$2:$O$570),"")</f>
        <v>11.812439024390246</v>
      </c>
      <c r="K9" s="24">
        <f t="array" ref="K9">IFERROR(MEDIAN(IF('02_CLEAN_DATA'!$L$2:$L$570=A9,'02_CLEAN_DATA'!$O$2:$O$570)),"")</f>
        <v>3.48</v>
      </c>
    </row>
    <row r="10" spans="1:11" x14ac:dyDescent="0.2">
      <c r="A10" s="25" t="s">
        <v>81</v>
      </c>
      <c r="B10" s="25">
        <f>COUNTIF('02_CLEAN_DATA'!$L$2:$L$570,A10)</f>
        <v>45</v>
      </c>
      <c r="C10" s="25">
        <f>COUNTIFS('02_CLEAN_DATA'!$L$2:$L$570,A10,'02_CLEAN_DATA'!$R$2:$R$570,1)</f>
        <v>45</v>
      </c>
      <c r="D10" s="25">
        <f>COUNTIFS('02_CLEAN_DATA'!$L$2:$L$570,A10,'02_CLEAN_DATA'!$W$2:$W$570,"Met")</f>
        <v>40</v>
      </c>
      <c r="E10" s="25">
        <f>COUNTIFS('02_CLEAN_DATA'!$L$2:$L$570,A10,'02_CLEAN_DATA'!$W$2:$W$570,"Missed")</f>
        <v>5</v>
      </c>
      <c r="F10" s="26">
        <f t="shared" si="0"/>
        <v>0.88888888888888884</v>
      </c>
      <c r="G10" s="26" t="str">
        <f t="shared" si="1"/>
        <v/>
      </c>
      <c r="H10" s="25">
        <f>COUNTIFS('02_CLEAN_DATA'!$L$2:$L$570,A10,'02_CLEAN_DATA'!$S$2:$S$570,"Customer Contracted Reasons")</f>
        <v>45</v>
      </c>
      <c r="I10" s="26">
        <f t="shared" si="2"/>
        <v>1</v>
      </c>
      <c r="J10" s="27">
        <f>IFERROR(AVERAGEIF('02_CLEAN_DATA'!$L$2:$L$570,A10,'02_CLEAN_DATA'!$O$2:$O$570),"")</f>
        <v>31.538888888888888</v>
      </c>
      <c r="K10" s="27">
        <f t="array" ref="K10">IFERROR(MEDIAN(IF('02_CLEAN_DATA'!$L$2:$L$570=A10,'02_CLEAN_DATA'!$O$2:$O$570)),"")</f>
        <v>17.63</v>
      </c>
    </row>
    <row r="11" spans="1:11" x14ac:dyDescent="0.2">
      <c r="A11" s="22" t="s">
        <v>82</v>
      </c>
      <c r="B11" s="22">
        <f>COUNTIF('02_CLEAN_DATA'!$L$2:$L$570,A11)</f>
        <v>40</v>
      </c>
      <c r="C11" s="22">
        <f>COUNTIFS('02_CLEAN_DATA'!$L$2:$L$570,A11,'02_CLEAN_DATA'!$R$2:$R$570,1)</f>
        <v>40</v>
      </c>
      <c r="D11" s="22">
        <f>COUNTIFS('02_CLEAN_DATA'!$L$2:$L$570,A11,'02_CLEAN_DATA'!$W$2:$W$570,"Met")</f>
        <v>39</v>
      </c>
      <c r="E11" s="22">
        <f>COUNTIFS('02_CLEAN_DATA'!$L$2:$L$570,A11,'02_CLEAN_DATA'!$W$2:$W$570,"Missed")</f>
        <v>1</v>
      </c>
      <c r="F11" s="23">
        <f t="shared" si="0"/>
        <v>0.97499999999999998</v>
      </c>
      <c r="G11" s="23" t="str">
        <f t="shared" si="1"/>
        <v/>
      </c>
      <c r="H11" s="22">
        <f>COUNTIFS('02_CLEAN_DATA'!$L$2:$L$570,A11,'02_CLEAN_DATA'!$S$2:$S$570,"Customer Contracted Reasons")</f>
        <v>40</v>
      </c>
      <c r="I11" s="23">
        <f t="shared" si="2"/>
        <v>1</v>
      </c>
      <c r="J11" s="24">
        <f>IFERROR(AVERAGEIF('02_CLEAN_DATA'!$L$2:$L$570,A11,'02_CLEAN_DATA'!$O$2:$O$570),"")</f>
        <v>15.991249999999999</v>
      </c>
      <c r="K11" s="24">
        <f t="array" ref="K11">IFERROR(MEDIAN(IF('02_CLEAN_DATA'!$L$2:$L$570=A11,'02_CLEAN_DATA'!$O$2:$O$570)),"")</f>
        <v>6.84</v>
      </c>
    </row>
    <row r="12" spans="1:11" x14ac:dyDescent="0.2">
      <c r="A12" s="25" t="s">
        <v>83</v>
      </c>
      <c r="B12" s="25">
        <f>COUNTIF('02_CLEAN_DATA'!$L$2:$L$570,A12)</f>
        <v>38</v>
      </c>
      <c r="C12" s="25">
        <f>COUNTIFS('02_CLEAN_DATA'!$L$2:$L$570,A12,'02_CLEAN_DATA'!$R$2:$R$570,1)</f>
        <v>35</v>
      </c>
      <c r="D12" s="25">
        <f>COUNTIFS('02_CLEAN_DATA'!$L$2:$L$570,A12,'02_CLEAN_DATA'!$W$2:$W$570,"Met")</f>
        <v>30</v>
      </c>
      <c r="E12" s="25">
        <f>COUNTIFS('02_CLEAN_DATA'!$L$2:$L$570,A12,'02_CLEAN_DATA'!$W$2:$W$570,"Missed")</f>
        <v>5</v>
      </c>
      <c r="F12" s="26">
        <f t="shared" si="0"/>
        <v>0.8571428571428571</v>
      </c>
      <c r="G12" s="26" t="str">
        <f t="shared" si="1"/>
        <v/>
      </c>
      <c r="H12" s="25">
        <f>COUNTIFS('02_CLEAN_DATA'!$L$2:$L$570,A12,'02_CLEAN_DATA'!$S$2:$S$570,"Customer Contracted Reasons")</f>
        <v>38</v>
      </c>
      <c r="I12" s="26">
        <f t="shared" si="2"/>
        <v>1</v>
      </c>
      <c r="J12" s="27">
        <f>IFERROR(AVERAGEIF('02_CLEAN_DATA'!$L$2:$L$570,A12,'02_CLEAN_DATA'!$O$2:$O$570),"")</f>
        <v>20.961052631578948</v>
      </c>
      <c r="K12" s="27">
        <f t="array" ref="K12">IFERROR(MEDIAN(IF('02_CLEAN_DATA'!$L$2:$L$570=A12,'02_CLEAN_DATA'!$O$2:$O$570)),"")</f>
        <v>14.525</v>
      </c>
    </row>
    <row r="13" spans="1:11" x14ac:dyDescent="0.2">
      <c r="A13" s="22" t="s">
        <v>84</v>
      </c>
      <c r="B13" s="22">
        <f>COUNTIF('02_CLEAN_DATA'!$L$2:$L$570,A13)</f>
        <v>42</v>
      </c>
      <c r="C13" s="22">
        <f>COUNTIFS('02_CLEAN_DATA'!$L$2:$L$570,A13,'02_CLEAN_DATA'!$R$2:$R$570,1)</f>
        <v>30</v>
      </c>
      <c r="D13" s="22">
        <f>COUNTIFS('02_CLEAN_DATA'!$L$2:$L$570,A13,'02_CLEAN_DATA'!$W$2:$W$570,"Met")</f>
        <v>18</v>
      </c>
      <c r="E13" s="22">
        <f>COUNTIFS('02_CLEAN_DATA'!$L$2:$L$570,A13,'02_CLEAN_DATA'!$W$2:$W$570,"Missed")</f>
        <v>12</v>
      </c>
      <c r="F13" s="23">
        <f t="shared" si="0"/>
        <v>0.6</v>
      </c>
      <c r="G13" s="23" t="str">
        <f t="shared" si="1"/>
        <v/>
      </c>
      <c r="H13" s="22">
        <f>COUNTIFS('02_CLEAN_DATA'!$L$2:$L$570,A13,'02_CLEAN_DATA'!$S$2:$S$570,"Customer Contracted Reasons")</f>
        <v>42</v>
      </c>
      <c r="I13" s="23">
        <f t="shared" si="2"/>
        <v>1</v>
      </c>
      <c r="J13" s="24">
        <f>IFERROR(AVERAGEIF('02_CLEAN_DATA'!$L$2:$L$570,A13,'02_CLEAN_DATA'!$O$2:$O$570),"")</f>
        <v>30.885952380952393</v>
      </c>
      <c r="K13" s="24">
        <f t="array" ref="K13">IFERROR(MEDIAN(IF('02_CLEAN_DATA'!$L$2:$L$570=A13,'02_CLEAN_DATA'!$O$2:$O$570)),"")</f>
        <v>20.125</v>
      </c>
    </row>
    <row r="14" spans="1:11" x14ac:dyDescent="0.2">
      <c r="A14" s="25" t="s">
        <v>85</v>
      </c>
      <c r="B14" s="25">
        <f>COUNTIF('02_CLEAN_DATA'!$L$2:$L$570,A14)</f>
        <v>43</v>
      </c>
      <c r="C14" s="25">
        <f>COUNTIFS('02_CLEAN_DATA'!$L$2:$L$570,A14,'02_CLEAN_DATA'!$R$2:$R$570,1)</f>
        <v>29</v>
      </c>
      <c r="D14" s="25">
        <f>COUNTIFS('02_CLEAN_DATA'!$L$2:$L$570,A14,'02_CLEAN_DATA'!$W$2:$W$570,"Met")</f>
        <v>19</v>
      </c>
      <c r="E14" s="25">
        <f>COUNTIFS('02_CLEAN_DATA'!$L$2:$L$570,A14,'02_CLEAN_DATA'!$W$2:$W$570,"Missed")</f>
        <v>10</v>
      </c>
      <c r="F14" s="26">
        <f t="shared" si="0"/>
        <v>0.65517241379310343</v>
      </c>
      <c r="G14" s="26" t="str">
        <f t="shared" si="1"/>
        <v/>
      </c>
      <c r="H14" s="25">
        <f>COUNTIFS('02_CLEAN_DATA'!$L$2:$L$570,A14,'02_CLEAN_DATA'!$S$2:$S$570,"Customer Contracted Reasons")</f>
        <v>43</v>
      </c>
      <c r="I14" s="26">
        <f t="shared" si="2"/>
        <v>1</v>
      </c>
      <c r="J14" s="27">
        <f>IFERROR(AVERAGEIF('02_CLEAN_DATA'!$L$2:$L$570,A14,'02_CLEAN_DATA'!$O$2:$O$570),"")</f>
        <v>30.181860465116277</v>
      </c>
      <c r="K14" s="27">
        <f t="array" ref="K14">IFERROR(MEDIAN(IF('02_CLEAN_DATA'!$L$2:$L$570=A14,'02_CLEAN_DATA'!$O$2:$O$570)),"")</f>
        <v>16.55</v>
      </c>
    </row>
    <row r="15" spans="1:11" x14ac:dyDescent="0.2">
      <c r="A15" s="22" t="s">
        <v>86</v>
      </c>
      <c r="B15" s="22">
        <f>COUNTIF('02_CLEAN_DATA'!$L$2:$L$570,A15)</f>
        <v>16</v>
      </c>
      <c r="C15" s="22">
        <f>COUNTIFS('02_CLEAN_DATA'!$L$2:$L$570,A15,'02_CLEAN_DATA'!$R$2:$R$570,1)</f>
        <v>11</v>
      </c>
      <c r="D15" s="22">
        <f>COUNTIFS('02_CLEAN_DATA'!$L$2:$L$570,A15,'02_CLEAN_DATA'!$W$2:$W$570,"Met")</f>
        <v>11</v>
      </c>
      <c r="E15" s="22">
        <f>COUNTIFS('02_CLEAN_DATA'!$L$2:$L$570,A15,'02_CLEAN_DATA'!$W$2:$W$570,"Missed")</f>
        <v>0</v>
      </c>
      <c r="F15" s="23">
        <f t="shared" si="0"/>
        <v>1</v>
      </c>
      <c r="G15" s="23" t="str">
        <f t="shared" si="1"/>
        <v/>
      </c>
      <c r="H15" s="22">
        <f>COUNTIFS('02_CLEAN_DATA'!$L$2:$L$570,A15,'02_CLEAN_DATA'!$S$2:$S$570,"Customer Contracted Reasons")</f>
        <v>13</v>
      </c>
      <c r="I15" s="23">
        <f t="shared" si="2"/>
        <v>0.8125</v>
      </c>
      <c r="J15" s="24">
        <f>IFERROR(AVERAGEIF('02_CLEAN_DATA'!$L$2:$L$570,A15,'02_CLEAN_DATA'!$O$2:$O$570),"")</f>
        <v>9.9906249999999979</v>
      </c>
      <c r="K15" s="24">
        <f t="array" ref="K15">IFERROR(MEDIAN(IF('02_CLEAN_DATA'!$L$2:$L$570=A15,'02_CLEAN_DATA'!$O$2:$O$570)),"")</f>
        <v>5.6099999999999994</v>
      </c>
    </row>
    <row r="16" spans="1:11" x14ac:dyDescent="0.2">
      <c r="A16" s="28" t="s">
        <v>87</v>
      </c>
      <c r="B16" s="28">
        <f>SUM(B3:B15)</f>
        <v>568</v>
      </c>
      <c r="C16" s="28">
        <f>SUM(C3:C15)</f>
        <v>435</v>
      </c>
      <c r="D16" s="28">
        <f>SUM(D3:D15)</f>
        <v>337</v>
      </c>
      <c r="E16" s="28">
        <f>SUM(E3:E15)</f>
        <v>98</v>
      </c>
      <c r="F16" s="29">
        <f t="shared" si="0"/>
        <v>0.77471264367816095</v>
      </c>
      <c r="G16" s="29" t="str">
        <f t="shared" si="1"/>
        <v/>
      </c>
      <c r="H16" s="28">
        <f>SUM(H3:H15)</f>
        <v>353</v>
      </c>
      <c r="I16" s="29">
        <f t="shared" si="2"/>
        <v>0.62147887323943662</v>
      </c>
      <c r="J16" s="30">
        <f t="array" ref="J16">AVERAGE('02_CLEAN_DATA'!$O$2:$O$570)</f>
        <v>30.227605633802835</v>
      </c>
      <c r="K16" s="30">
        <f t="array" ref="K16">MEDIAN('02_CLEAN_DATA'!$O$2:$O$570)</f>
        <v>14.04</v>
      </c>
    </row>
    <row r="18" spans="1:8" x14ac:dyDescent="0.2">
      <c r="A18" s="48" t="s">
        <v>88</v>
      </c>
      <c r="B18" s="48"/>
      <c r="C18" s="48"/>
      <c r="D18" s="48"/>
      <c r="E18" s="48"/>
      <c r="F18" s="48"/>
      <c r="G18" s="48"/>
      <c r="H18" s="48"/>
    </row>
  </sheetData>
  <mergeCells count="2">
    <mergeCell ref="C1:K1"/>
    <mergeCell ref="A18:H18"/>
  </mergeCells>
  <conditionalFormatting sqref="F3:F15">
    <cfRule type="cellIs" dxfId="5" priority="2" operator="lessThan">
      <formula>0.8</formula>
    </cfRule>
    <cfRule type="cellIs" dxfId="4" priority="3" operator="greaterThanOrEqual">
      <formula>0.9</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showGridLines="0" zoomScaleNormal="100" workbookViewId="0">
      <selection sqref="A1:H1"/>
    </sheetView>
  </sheetViews>
  <sheetFormatPr baseColWidth="10" defaultColWidth="8.6640625" defaultRowHeight="15" x14ac:dyDescent="0.2"/>
  <cols>
    <col min="1" max="1" width="28" customWidth="1"/>
    <col min="2" max="3" width="14" customWidth="1"/>
    <col min="4" max="5" width="12" customWidth="1"/>
    <col min="6" max="6" width="16" customWidth="1"/>
  </cols>
  <sheetData>
    <row r="1" spans="1:8" ht="17" x14ac:dyDescent="0.2">
      <c r="A1" s="45" t="s">
        <v>89</v>
      </c>
      <c r="B1" s="45"/>
      <c r="C1" s="45"/>
      <c r="D1" s="45"/>
      <c r="E1" s="45"/>
      <c r="F1" s="45"/>
      <c r="G1" s="45"/>
      <c r="H1" s="45"/>
    </row>
    <row r="3" spans="1:8" x14ac:dyDescent="0.2">
      <c r="A3" s="19" t="s">
        <v>90</v>
      </c>
    </row>
    <row r="4" spans="1:8" ht="19.5" customHeight="1" x14ac:dyDescent="0.2">
      <c r="A4" s="21" t="s">
        <v>91</v>
      </c>
      <c r="B4" s="21" t="s">
        <v>92</v>
      </c>
      <c r="C4" s="21" t="s">
        <v>93</v>
      </c>
    </row>
    <row r="5" spans="1:8" x14ac:dyDescent="0.2">
      <c r="A5" s="22" t="s">
        <v>94</v>
      </c>
      <c r="B5" s="22">
        <f>COUNTIF('02_CLEAN_DATA'!$S$2:$S$570,"Customer Contracted Reasons")</f>
        <v>353</v>
      </c>
      <c r="C5" s="23">
        <f>B5/COUNTA('02_CLEAN_DATA'!$S$2:$S$570)</f>
        <v>0.62038664323374337</v>
      </c>
    </row>
    <row r="6" spans="1:8" x14ac:dyDescent="0.2">
      <c r="A6" s="25" t="s">
        <v>95</v>
      </c>
      <c r="B6" s="25">
        <f>COUNTIF('02_CLEAN_DATA'!$S$2:$S$570,"No Exception")</f>
        <v>216</v>
      </c>
      <c r="C6" s="26">
        <f>B6/COUNTA('02_CLEAN_DATA'!$S$2:$S$570)</f>
        <v>0.37961335676625657</v>
      </c>
    </row>
    <row r="7" spans="1:8" x14ac:dyDescent="0.2">
      <c r="A7" s="32" t="s">
        <v>96</v>
      </c>
      <c r="B7" s="32">
        <f>SUM(B5:B6)</f>
        <v>569</v>
      </c>
      <c r="C7" s="33">
        <f>SUM(C5:C6)</f>
        <v>1</v>
      </c>
    </row>
    <row r="9" spans="1:8" x14ac:dyDescent="0.2">
      <c r="A9" s="49" t="s">
        <v>97</v>
      </c>
      <c r="B9" s="49"/>
      <c r="C9" s="49"/>
      <c r="D9" s="49"/>
      <c r="E9" s="49"/>
      <c r="F9" s="49"/>
    </row>
    <row r="10" spans="1:8" ht="19.5" customHeight="1" x14ac:dyDescent="0.2">
      <c r="A10" s="21" t="s">
        <v>91</v>
      </c>
      <c r="B10" s="21" t="s">
        <v>65</v>
      </c>
      <c r="C10" s="21" t="s">
        <v>66</v>
      </c>
      <c r="D10" s="21" t="s">
        <v>67</v>
      </c>
      <c r="E10" s="21" t="s">
        <v>68</v>
      </c>
      <c r="F10" s="21" t="s">
        <v>72</v>
      </c>
    </row>
    <row r="11" spans="1:8" x14ac:dyDescent="0.2">
      <c r="A11" s="22" t="s">
        <v>94</v>
      </c>
      <c r="B11" s="22">
        <f>COUNTIFS('02_CLEAN_DATA'!$S$2:$S$570,"Customer Contracted Reasons",'02_CLEAN_DATA'!$R$2:$R$570,1)</f>
        <v>288</v>
      </c>
      <c r="C11" s="22">
        <f>COUNTIFS('02_CLEAN_DATA'!$S$2:$S$570,"Customer Contracted Reasons",'02_CLEAN_DATA'!$W$2:$W$570,"Met")</f>
        <v>224</v>
      </c>
      <c r="D11" s="22">
        <f>COUNTIFS('02_CLEAN_DATA'!$S$2:$S$570,"Customer Contracted Reasons",'02_CLEAN_DATA'!$W$2:$W$570,"Missed")</f>
        <v>64</v>
      </c>
      <c r="E11" s="23">
        <f>IF(B11=0,"",C11/B11)</f>
        <v>0.77777777777777779</v>
      </c>
      <c r="F11" s="24">
        <f t="array" ref="F11">IFERROR(AVERAGE(IF('02_CLEAN_DATA'!$S$2:$S$570="Customer Contracted Reasons",'02_CLEAN_DATA'!$O$2:$O$570)),"")</f>
        <v>32.344475920679884</v>
      </c>
    </row>
    <row r="12" spans="1:8" x14ac:dyDescent="0.2">
      <c r="A12" s="25" t="s">
        <v>95</v>
      </c>
      <c r="B12" s="25">
        <f>COUNTIFS('02_CLEAN_DATA'!$S$2:$S$570,"No Exception",'02_CLEAN_DATA'!$R$2:$R$570,1)</f>
        <v>147</v>
      </c>
      <c r="C12" s="25">
        <f>COUNTIFS('02_CLEAN_DATA'!$S$2:$S$570,"No Exception",'02_CLEAN_DATA'!$W$2:$W$570,"Met")</f>
        <v>113</v>
      </c>
      <c r="D12" s="25">
        <f>COUNTIFS('02_CLEAN_DATA'!$S$2:$S$570,"No Exception",'02_CLEAN_DATA'!$W$2:$W$570,"Missed")</f>
        <v>34</v>
      </c>
      <c r="E12" s="26">
        <f>IF(B12=0,"",C12/B12)</f>
        <v>0.76870748299319724</v>
      </c>
      <c r="F12" s="27">
        <f t="array" ref="F12">IFERROR(AVERAGE(IF('02_CLEAN_DATA'!$S$2:$S$570="No Exception",'02_CLEAN_DATA'!$O$2:$O$570)),"")</f>
        <v>26.628148148148146</v>
      </c>
    </row>
    <row r="14" spans="1:8" ht="15" customHeight="1" x14ac:dyDescent="0.2">
      <c r="A14" s="50" t="s">
        <v>98</v>
      </c>
      <c r="B14" s="50"/>
      <c r="C14" s="50"/>
      <c r="D14" s="50"/>
      <c r="E14" s="50"/>
      <c r="F14" s="50"/>
    </row>
    <row r="15" spans="1:8" ht="15" customHeight="1" x14ac:dyDescent="0.2">
      <c r="A15" s="50"/>
      <c r="B15" s="50"/>
      <c r="C15" s="50"/>
      <c r="D15" s="50"/>
      <c r="E15" s="50"/>
      <c r="F15" s="50"/>
    </row>
    <row r="16" spans="1:8" ht="15" customHeight="1" x14ac:dyDescent="0.2">
      <c r="A16" s="50"/>
      <c r="B16" s="50"/>
      <c r="C16" s="50"/>
      <c r="D16" s="50"/>
      <c r="E16" s="50"/>
      <c r="F16" s="50"/>
    </row>
    <row r="17" spans="1:6" ht="15" customHeight="1" x14ac:dyDescent="0.2">
      <c r="A17" s="50"/>
      <c r="B17" s="50"/>
      <c r="C17" s="50"/>
      <c r="D17" s="50"/>
      <c r="E17" s="50"/>
      <c r="F17" s="50"/>
    </row>
    <row r="18" spans="1:6" ht="15" customHeight="1" x14ac:dyDescent="0.2">
      <c r="A18" s="50"/>
      <c r="B18" s="50"/>
      <c r="C18" s="50"/>
      <c r="D18" s="50"/>
      <c r="E18" s="50"/>
      <c r="F18" s="50"/>
    </row>
    <row r="21" spans="1:6" x14ac:dyDescent="0.2">
      <c r="A21" s="19" t="s">
        <v>99</v>
      </c>
    </row>
    <row r="22" spans="1:6" ht="18" customHeight="1" x14ac:dyDescent="0.2">
      <c r="A22" s="21" t="s">
        <v>63</v>
      </c>
      <c r="B22" s="21" t="s">
        <v>64</v>
      </c>
      <c r="C22" s="21" t="s">
        <v>70</v>
      </c>
      <c r="D22" s="21" t="s">
        <v>71</v>
      </c>
    </row>
    <row r="23" spans="1:6" x14ac:dyDescent="0.2">
      <c r="A23" s="22" t="s">
        <v>74</v>
      </c>
      <c r="B23" s="22">
        <f>COUNTIF('02_CLEAN_DATA'!$L$2:$L$570,A23)</f>
        <v>39</v>
      </c>
      <c r="C23" s="22">
        <f>COUNTIFS('02_CLEAN_DATA'!$L$2:$L$570,A23,'02_CLEAN_DATA'!$S$2:$S$570,"Customer Contracted Reasons")</f>
        <v>3</v>
      </c>
      <c r="D23" s="23">
        <f t="shared" ref="D23:D35" si="0">IF(B23=0,"",C23/B23)</f>
        <v>7.6923076923076927E-2</v>
      </c>
    </row>
    <row r="24" spans="1:6" x14ac:dyDescent="0.2">
      <c r="A24" s="25" t="s">
        <v>75</v>
      </c>
      <c r="B24" s="25">
        <f>COUNTIF('02_CLEAN_DATA'!$L$2:$L$570,A24)</f>
        <v>57</v>
      </c>
      <c r="C24" s="25">
        <f>COUNTIFS('02_CLEAN_DATA'!$L$2:$L$570,A24,'02_CLEAN_DATA'!$S$2:$S$570,"Customer Contracted Reasons")</f>
        <v>11</v>
      </c>
      <c r="D24" s="26">
        <f t="shared" si="0"/>
        <v>0.19298245614035087</v>
      </c>
    </row>
    <row r="25" spans="1:6" x14ac:dyDescent="0.2">
      <c r="A25" s="22" t="s">
        <v>76</v>
      </c>
      <c r="B25" s="22">
        <f>COUNTIF('02_CLEAN_DATA'!$L$2:$L$570,A25)</f>
        <v>56</v>
      </c>
      <c r="C25" s="22">
        <f>COUNTIFS('02_CLEAN_DATA'!$L$2:$L$570,A25,'02_CLEAN_DATA'!$S$2:$S$570,"Customer Contracted Reasons")</f>
        <v>7</v>
      </c>
      <c r="D25" s="23">
        <f t="shared" si="0"/>
        <v>0.125</v>
      </c>
    </row>
    <row r="26" spans="1:6" x14ac:dyDescent="0.2">
      <c r="A26" s="25" t="s">
        <v>77</v>
      </c>
      <c r="B26" s="25">
        <f>COUNTIF('02_CLEAN_DATA'!$L$2:$L$570,A26)</f>
        <v>44</v>
      </c>
      <c r="C26" s="25">
        <f>COUNTIFS('02_CLEAN_DATA'!$L$2:$L$570,A26,'02_CLEAN_DATA'!$S$2:$S$570,"Customer Contracted Reasons")</f>
        <v>5</v>
      </c>
      <c r="D26" s="26">
        <f t="shared" si="0"/>
        <v>0.11363636363636363</v>
      </c>
    </row>
    <row r="27" spans="1:6" x14ac:dyDescent="0.2">
      <c r="A27" s="22" t="s">
        <v>78</v>
      </c>
      <c r="B27" s="22">
        <f>COUNTIF('02_CLEAN_DATA'!$L$2:$L$570,A27)</f>
        <v>50</v>
      </c>
      <c r="C27" s="22">
        <f>COUNTIFS('02_CLEAN_DATA'!$L$2:$L$570,A27,'02_CLEAN_DATA'!$S$2:$S$570,"Customer Contracted Reasons")</f>
        <v>8</v>
      </c>
      <c r="D27" s="23">
        <f t="shared" si="0"/>
        <v>0.16</v>
      </c>
    </row>
    <row r="28" spans="1:6" x14ac:dyDescent="0.2">
      <c r="A28" s="25" t="s">
        <v>79</v>
      </c>
      <c r="B28" s="25">
        <f>COUNTIF('02_CLEAN_DATA'!$L$2:$L$570,A28)</f>
        <v>57</v>
      </c>
      <c r="C28" s="25">
        <f>COUNTIFS('02_CLEAN_DATA'!$L$2:$L$570,A28,'02_CLEAN_DATA'!$S$2:$S$570,"Customer Contracted Reasons")</f>
        <v>57</v>
      </c>
      <c r="D28" s="26">
        <f t="shared" si="0"/>
        <v>1</v>
      </c>
    </row>
    <row r="29" spans="1:6" x14ac:dyDescent="0.2">
      <c r="A29" s="22" t="s">
        <v>80</v>
      </c>
      <c r="B29" s="22">
        <f>COUNTIF('02_CLEAN_DATA'!$L$2:$L$570,A29)</f>
        <v>41</v>
      </c>
      <c r="C29" s="22">
        <f>COUNTIFS('02_CLEAN_DATA'!$L$2:$L$570,A29,'02_CLEAN_DATA'!$S$2:$S$570,"Customer Contracted Reasons")</f>
        <v>41</v>
      </c>
      <c r="D29" s="23">
        <f t="shared" si="0"/>
        <v>1</v>
      </c>
    </row>
    <row r="30" spans="1:6" x14ac:dyDescent="0.2">
      <c r="A30" s="25" t="s">
        <v>81</v>
      </c>
      <c r="B30" s="25">
        <f>COUNTIF('02_CLEAN_DATA'!$L$2:$L$570,A30)</f>
        <v>45</v>
      </c>
      <c r="C30" s="25">
        <f>COUNTIFS('02_CLEAN_DATA'!$L$2:$L$570,A30,'02_CLEAN_DATA'!$S$2:$S$570,"Customer Contracted Reasons")</f>
        <v>45</v>
      </c>
      <c r="D30" s="26">
        <f t="shared" si="0"/>
        <v>1</v>
      </c>
    </row>
    <row r="31" spans="1:6" x14ac:dyDescent="0.2">
      <c r="A31" s="22" t="s">
        <v>82</v>
      </c>
      <c r="B31" s="22">
        <f>COUNTIF('02_CLEAN_DATA'!$L$2:$L$570,A31)</f>
        <v>40</v>
      </c>
      <c r="C31" s="22">
        <f>COUNTIFS('02_CLEAN_DATA'!$L$2:$L$570,A31,'02_CLEAN_DATA'!$S$2:$S$570,"Customer Contracted Reasons")</f>
        <v>40</v>
      </c>
      <c r="D31" s="23">
        <f t="shared" si="0"/>
        <v>1</v>
      </c>
    </row>
    <row r="32" spans="1:6" x14ac:dyDescent="0.2">
      <c r="A32" s="25" t="s">
        <v>83</v>
      </c>
      <c r="B32" s="25">
        <f>COUNTIF('02_CLEAN_DATA'!$L$2:$L$570,A32)</f>
        <v>38</v>
      </c>
      <c r="C32" s="25">
        <f>COUNTIFS('02_CLEAN_DATA'!$L$2:$L$570,A32,'02_CLEAN_DATA'!$S$2:$S$570,"Customer Contracted Reasons")</f>
        <v>38</v>
      </c>
      <c r="D32" s="26">
        <f t="shared" si="0"/>
        <v>1</v>
      </c>
    </row>
    <row r="33" spans="1:8" x14ac:dyDescent="0.2">
      <c r="A33" s="22" t="s">
        <v>84</v>
      </c>
      <c r="B33" s="22">
        <f>COUNTIF('02_CLEAN_DATA'!$L$2:$L$570,A33)</f>
        <v>42</v>
      </c>
      <c r="C33" s="22">
        <f>COUNTIFS('02_CLEAN_DATA'!$L$2:$L$570,A33,'02_CLEAN_DATA'!$S$2:$S$570,"Customer Contracted Reasons")</f>
        <v>42</v>
      </c>
      <c r="D33" s="23">
        <f t="shared" si="0"/>
        <v>1</v>
      </c>
    </row>
    <row r="34" spans="1:8" x14ac:dyDescent="0.2">
      <c r="A34" s="25" t="s">
        <v>85</v>
      </c>
      <c r="B34" s="25">
        <f>COUNTIF('02_CLEAN_DATA'!$L$2:$L$570,A34)</f>
        <v>43</v>
      </c>
      <c r="C34" s="25">
        <f>COUNTIFS('02_CLEAN_DATA'!$L$2:$L$570,A34,'02_CLEAN_DATA'!$S$2:$S$570,"Customer Contracted Reasons")</f>
        <v>43</v>
      </c>
      <c r="D34" s="26">
        <f t="shared" si="0"/>
        <v>1</v>
      </c>
    </row>
    <row r="35" spans="1:8" x14ac:dyDescent="0.2">
      <c r="A35" s="22" t="s">
        <v>86</v>
      </c>
      <c r="B35" s="22">
        <f>COUNTIF('02_CLEAN_DATA'!$L$2:$L$570,A35)</f>
        <v>16</v>
      </c>
      <c r="C35" s="22">
        <f>COUNTIFS('02_CLEAN_DATA'!$L$2:$L$570,A35,'02_CLEAN_DATA'!$S$2:$S$570,"Customer Contracted Reasons")</f>
        <v>13</v>
      </c>
      <c r="D35" s="23">
        <f t="shared" si="0"/>
        <v>0.8125</v>
      </c>
    </row>
    <row r="37" spans="1:8" ht="15" customHeight="1" x14ac:dyDescent="0.2">
      <c r="A37" s="47" t="s">
        <v>100</v>
      </c>
      <c r="B37" s="47"/>
      <c r="C37" s="47"/>
      <c r="D37" s="47"/>
      <c r="E37" s="47"/>
      <c r="F37" s="47"/>
      <c r="G37" s="47"/>
      <c r="H37" s="47"/>
    </row>
    <row r="38" spans="1:8" x14ac:dyDescent="0.2">
      <c r="A38" s="47"/>
      <c r="B38" s="47"/>
      <c r="C38" s="47"/>
      <c r="D38" s="47"/>
      <c r="E38" s="47"/>
      <c r="F38" s="47"/>
      <c r="G38" s="47"/>
      <c r="H38" s="47"/>
    </row>
    <row r="39" spans="1:8" x14ac:dyDescent="0.2">
      <c r="A39" s="47"/>
      <c r="B39" s="47"/>
      <c r="C39" s="47"/>
      <c r="D39" s="47"/>
      <c r="E39" s="47"/>
      <c r="F39" s="47"/>
      <c r="G39" s="47"/>
      <c r="H39" s="47"/>
    </row>
  </sheetData>
  <mergeCells count="4">
    <mergeCell ref="A1:H1"/>
    <mergeCell ref="A9:F9"/>
    <mergeCell ref="A14:F18"/>
    <mergeCell ref="A37:H39"/>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4"/>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8" customWidth="1"/>
    <col min="2" max="3" width="16" customWidth="1"/>
    <col min="4" max="4" width="7" customWidth="1"/>
    <col min="5" max="5" width="12" customWidth="1"/>
    <col min="6" max="6" width="11" customWidth="1"/>
    <col min="7" max="7" width="9" customWidth="1"/>
    <col min="8" max="8" width="10" customWidth="1"/>
    <col min="9" max="9" width="8" customWidth="1"/>
    <col min="10" max="10" width="13" customWidth="1"/>
    <col min="11" max="11" width="11" customWidth="1"/>
    <col min="12" max="12" width="15" customWidth="1"/>
    <col min="13" max="13" width="16" customWidth="1"/>
    <col min="14" max="15" width="14" hidden="1" customWidth="1"/>
    <col min="16" max="16" width="12" hidden="1" customWidth="1"/>
    <col min="17" max="17" width="16" hidden="1" customWidth="1"/>
  </cols>
  <sheetData>
    <row r="1" spans="1:17" ht="30" customHeight="1" x14ac:dyDescent="0.2">
      <c r="A1" s="21" t="s">
        <v>101</v>
      </c>
      <c r="B1" s="21" t="s">
        <v>102</v>
      </c>
      <c r="C1" s="21" t="s">
        <v>103</v>
      </c>
      <c r="D1" s="21" t="s">
        <v>104</v>
      </c>
      <c r="E1" s="21" t="s">
        <v>64</v>
      </c>
      <c r="F1" s="21" t="s">
        <v>65</v>
      </c>
      <c r="G1" s="21" t="s">
        <v>66</v>
      </c>
      <c r="H1" s="21" t="s">
        <v>67</v>
      </c>
      <c r="I1" s="21" t="s">
        <v>68</v>
      </c>
      <c r="J1" s="21" t="s">
        <v>70</v>
      </c>
      <c r="K1" s="21" t="s">
        <v>71</v>
      </c>
      <c r="L1" s="21" t="s">
        <v>72</v>
      </c>
      <c r="M1" s="21" t="s">
        <v>73</v>
      </c>
      <c r="N1" s="34" t="s">
        <v>105</v>
      </c>
      <c r="O1" s="34" t="s">
        <v>106</v>
      </c>
      <c r="P1" s="34" t="s">
        <v>107</v>
      </c>
      <c r="Q1" s="34" t="s">
        <v>108</v>
      </c>
    </row>
    <row r="2" spans="1:17" x14ac:dyDescent="0.2">
      <c r="A2" s="22">
        <v>448</v>
      </c>
      <c r="B2" s="22" t="s">
        <v>109</v>
      </c>
      <c r="C2" s="22" t="s">
        <v>110</v>
      </c>
      <c r="D2" s="22" t="s">
        <v>111</v>
      </c>
      <c r="E2" s="22">
        <f>COUNTIF('02_CLEAN_DATA'!$B$2:$B$570,A2)</f>
        <v>8</v>
      </c>
      <c r="F2" s="22">
        <f>COUNTIFS('02_CLEAN_DATA'!$B$2:$B$570,A2,'02_CLEAN_DATA'!$R$2:$R$570,1)</f>
        <v>4</v>
      </c>
      <c r="G2" s="22">
        <f>COUNTIFS('02_CLEAN_DATA'!$B$2:$B$570,A2,'02_CLEAN_DATA'!$W$2:$W$570,"Met")</f>
        <v>3</v>
      </c>
      <c r="H2" s="22">
        <f>COUNTIFS('02_CLEAN_DATA'!$B$2:$B$570,A2,'02_CLEAN_DATA'!$W$2:$W$570,"Missed")</f>
        <v>1</v>
      </c>
      <c r="I2" s="23">
        <f t="shared" ref="I2:I33" si="0">IF(F2=0,"",G2/F2)</f>
        <v>0.75</v>
      </c>
      <c r="J2" s="22">
        <f>COUNTIFS('02_CLEAN_DATA'!$B$2:$B$570,A2,'02_CLEAN_DATA'!$S$2:$S$570,"Customer Contracted Reasons")</f>
        <v>3</v>
      </c>
      <c r="K2" s="23">
        <f t="shared" ref="K2:K33" si="1">IF(E2=0,"",J2/E2)</f>
        <v>0.375</v>
      </c>
      <c r="L2" s="24">
        <f>IFERROR(AVERAGEIF('02_CLEAN_DATA'!$B$2:$B$570,A2,'02_CLEAN_DATA'!$O$2:$O$570),"")</f>
        <v>13.938750000000001</v>
      </c>
      <c r="M2" s="24">
        <f t="array" ref="M2">IFERROR(MEDIAN(IF('02_CLEAN_DATA'!$B$2:$B$570=A2,'02_CLEAN_DATA'!$O$2:$O$570)),"")</f>
        <v>8.35</v>
      </c>
      <c r="N2" s="35">
        <f t="shared" ref="N2:N33" si="2">IF(E2&gt;=5,L2+ROW()/10000000,"")</f>
        <v>13.938750200000001</v>
      </c>
      <c r="O2" s="36">
        <f t="shared" ref="O2:O33" si="3">IF(E2&gt;=5,I2+ROW()/10000000,"")</f>
        <v>0.75000020000000001</v>
      </c>
      <c r="P2" s="35">
        <f t="shared" ref="P2:P33" si="4">H2+ROW()/10000000</f>
        <v>1.0000001999999999</v>
      </c>
      <c r="Q2" s="35" t="str">
        <f t="shared" ref="Q2:Q33" si="5">IF(AND(E2&gt;=10,I2&lt;&gt;""),(1-I2)+ROW()/10000000,"")</f>
        <v/>
      </c>
    </row>
    <row r="3" spans="1:17" x14ac:dyDescent="0.2">
      <c r="A3" s="25">
        <v>491</v>
      </c>
      <c r="B3" s="25" t="s">
        <v>112</v>
      </c>
      <c r="C3" s="25" t="s">
        <v>113</v>
      </c>
      <c r="D3" s="25" t="s">
        <v>111</v>
      </c>
      <c r="E3" s="25">
        <f>COUNTIF('02_CLEAN_DATA'!$B$2:$B$570,A3)</f>
        <v>4</v>
      </c>
      <c r="F3" s="25">
        <f>COUNTIFS('02_CLEAN_DATA'!$B$2:$B$570,A3,'02_CLEAN_DATA'!$R$2:$R$570,1)</f>
        <v>1</v>
      </c>
      <c r="G3" s="25">
        <f>COUNTIFS('02_CLEAN_DATA'!$B$2:$B$570,A3,'02_CLEAN_DATA'!$W$2:$W$570,"Met")</f>
        <v>1</v>
      </c>
      <c r="H3" s="25">
        <f>COUNTIFS('02_CLEAN_DATA'!$B$2:$B$570,A3,'02_CLEAN_DATA'!$W$2:$W$570,"Missed")</f>
        <v>0</v>
      </c>
      <c r="I3" s="26">
        <f t="shared" si="0"/>
        <v>1</v>
      </c>
      <c r="J3" s="25">
        <f>COUNTIFS('02_CLEAN_DATA'!$B$2:$B$570,A3,'02_CLEAN_DATA'!$S$2:$S$570,"Customer Contracted Reasons")</f>
        <v>0</v>
      </c>
      <c r="K3" s="26">
        <f t="shared" si="1"/>
        <v>0</v>
      </c>
      <c r="L3" s="27">
        <f>IFERROR(AVERAGEIF('02_CLEAN_DATA'!$B$2:$B$570,A3,'02_CLEAN_DATA'!$O$2:$O$570),"")</f>
        <v>27.737500000000001</v>
      </c>
      <c r="M3" s="27">
        <f t="array" ref="M3">IFERROR(MEDIAN(IF('02_CLEAN_DATA'!$B$2:$B$570=A3,'02_CLEAN_DATA'!$O$2:$O$570)),"")</f>
        <v>11.100000000000001</v>
      </c>
      <c r="N3" s="35" t="str">
        <f t="shared" si="2"/>
        <v/>
      </c>
      <c r="O3" s="35" t="str">
        <f t="shared" si="3"/>
        <v/>
      </c>
      <c r="P3" s="35">
        <f t="shared" si="4"/>
        <v>2.9999999999999999E-7</v>
      </c>
      <c r="Q3" s="35" t="str">
        <f t="shared" si="5"/>
        <v/>
      </c>
    </row>
    <row r="4" spans="1:17" x14ac:dyDescent="0.2">
      <c r="A4" s="22">
        <v>492</v>
      </c>
      <c r="B4" s="22" t="s">
        <v>114</v>
      </c>
      <c r="C4" s="22" t="s">
        <v>115</v>
      </c>
      <c r="D4" s="22" t="s">
        <v>111</v>
      </c>
      <c r="E4" s="22">
        <f>COUNTIF('02_CLEAN_DATA'!$B$2:$B$570,A4)</f>
        <v>4</v>
      </c>
      <c r="F4" s="22">
        <f>COUNTIFS('02_CLEAN_DATA'!$B$2:$B$570,A4,'02_CLEAN_DATA'!$R$2:$R$570,1)</f>
        <v>1</v>
      </c>
      <c r="G4" s="22">
        <f>COUNTIFS('02_CLEAN_DATA'!$B$2:$B$570,A4,'02_CLEAN_DATA'!$W$2:$W$570,"Met")</f>
        <v>1</v>
      </c>
      <c r="H4" s="22">
        <f>COUNTIFS('02_CLEAN_DATA'!$B$2:$B$570,A4,'02_CLEAN_DATA'!$W$2:$W$570,"Missed")</f>
        <v>0</v>
      </c>
      <c r="I4" s="23">
        <f t="shared" si="0"/>
        <v>1</v>
      </c>
      <c r="J4" s="22">
        <f>COUNTIFS('02_CLEAN_DATA'!$B$2:$B$570,A4,'02_CLEAN_DATA'!$S$2:$S$570,"Customer Contracted Reasons")</f>
        <v>2</v>
      </c>
      <c r="K4" s="23">
        <f t="shared" si="1"/>
        <v>0.5</v>
      </c>
      <c r="L4" s="24">
        <f>IFERROR(AVERAGEIF('02_CLEAN_DATA'!$B$2:$B$570,A4,'02_CLEAN_DATA'!$O$2:$O$570),"")</f>
        <v>4.5074999999999994</v>
      </c>
      <c r="M4" s="24">
        <f t="array" ref="M4">IFERROR(MEDIAN(IF('02_CLEAN_DATA'!$B$2:$B$570=A4,'02_CLEAN_DATA'!$O$2:$O$570)),"")</f>
        <v>4.5999999999999996</v>
      </c>
      <c r="N4" s="35" t="str">
        <f t="shared" si="2"/>
        <v/>
      </c>
      <c r="O4" s="35" t="str">
        <f t="shared" si="3"/>
        <v/>
      </c>
      <c r="P4" s="35">
        <f t="shared" si="4"/>
        <v>3.9999999999999998E-7</v>
      </c>
      <c r="Q4" s="35" t="str">
        <f t="shared" si="5"/>
        <v/>
      </c>
    </row>
    <row r="5" spans="1:17" x14ac:dyDescent="0.2">
      <c r="A5" s="25">
        <v>493</v>
      </c>
      <c r="B5" s="25" t="s">
        <v>116</v>
      </c>
      <c r="C5" s="25" t="s">
        <v>117</v>
      </c>
      <c r="D5" s="25" t="s">
        <v>111</v>
      </c>
      <c r="E5" s="25">
        <f>COUNTIF('02_CLEAN_DATA'!$B$2:$B$570,A5)</f>
        <v>20</v>
      </c>
      <c r="F5" s="25">
        <f>COUNTIFS('02_CLEAN_DATA'!$B$2:$B$570,A5,'02_CLEAN_DATA'!$R$2:$R$570,1)</f>
        <v>11</v>
      </c>
      <c r="G5" s="25">
        <f>COUNTIFS('02_CLEAN_DATA'!$B$2:$B$570,A5,'02_CLEAN_DATA'!$W$2:$W$570,"Met")</f>
        <v>9</v>
      </c>
      <c r="H5" s="25">
        <f>COUNTIFS('02_CLEAN_DATA'!$B$2:$B$570,A5,'02_CLEAN_DATA'!$W$2:$W$570,"Missed")</f>
        <v>2</v>
      </c>
      <c r="I5" s="26">
        <f t="shared" si="0"/>
        <v>0.81818181818181823</v>
      </c>
      <c r="J5" s="25">
        <f>COUNTIFS('02_CLEAN_DATA'!$B$2:$B$570,A5,'02_CLEAN_DATA'!$S$2:$S$570,"Customer Contracted Reasons")</f>
        <v>13</v>
      </c>
      <c r="K5" s="26">
        <f t="shared" si="1"/>
        <v>0.65</v>
      </c>
      <c r="L5" s="27">
        <f>IFERROR(AVERAGEIF('02_CLEAN_DATA'!$B$2:$B$570,A5,'02_CLEAN_DATA'!$O$2:$O$570),"")</f>
        <v>15.991</v>
      </c>
      <c r="M5" s="27">
        <f t="array" ref="M5">IFERROR(MEDIAN(IF('02_CLEAN_DATA'!$B$2:$B$570=A5,'02_CLEAN_DATA'!$O$2:$O$570)),"")</f>
        <v>15.475</v>
      </c>
      <c r="N5" s="35">
        <f t="shared" si="2"/>
        <v>15.9910005</v>
      </c>
      <c r="O5" s="36">
        <f t="shared" si="3"/>
        <v>0.81818231818181819</v>
      </c>
      <c r="P5" s="35">
        <f t="shared" si="4"/>
        <v>2.0000005000000001</v>
      </c>
      <c r="Q5" s="36">
        <f t="shared" si="5"/>
        <v>0.18181868181818175</v>
      </c>
    </row>
    <row r="6" spans="1:17" x14ac:dyDescent="0.2">
      <c r="A6" s="22">
        <v>494</v>
      </c>
      <c r="B6" s="22" t="s">
        <v>118</v>
      </c>
      <c r="C6" s="22" t="s">
        <v>119</v>
      </c>
      <c r="D6" s="22" t="s">
        <v>111</v>
      </c>
      <c r="E6" s="22">
        <f>COUNTIF('02_CLEAN_DATA'!$B$2:$B$570,A6)</f>
        <v>13</v>
      </c>
      <c r="F6" s="22">
        <f>COUNTIFS('02_CLEAN_DATA'!$B$2:$B$570,A6,'02_CLEAN_DATA'!$R$2:$R$570,1)</f>
        <v>10</v>
      </c>
      <c r="G6" s="22">
        <f>COUNTIFS('02_CLEAN_DATA'!$B$2:$B$570,A6,'02_CLEAN_DATA'!$W$2:$W$570,"Met")</f>
        <v>10</v>
      </c>
      <c r="H6" s="22">
        <f>COUNTIFS('02_CLEAN_DATA'!$B$2:$B$570,A6,'02_CLEAN_DATA'!$W$2:$W$570,"Missed")</f>
        <v>0</v>
      </c>
      <c r="I6" s="23">
        <f t="shared" si="0"/>
        <v>1</v>
      </c>
      <c r="J6" s="22">
        <f>COUNTIFS('02_CLEAN_DATA'!$B$2:$B$570,A6,'02_CLEAN_DATA'!$S$2:$S$570,"Customer Contracted Reasons")</f>
        <v>6</v>
      </c>
      <c r="K6" s="23">
        <f t="shared" si="1"/>
        <v>0.46153846153846156</v>
      </c>
      <c r="L6" s="24">
        <f>IFERROR(AVERAGEIF('02_CLEAN_DATA'!$B$2:$B$570,A6,'02_CLEAN_DATA'!$O$2:$O$570),"")</f>
        <v>15.615384615384615</v>
      </c>
      <c r="M6" s="24">
        <f t="array" ref="M6">IFERROR(MEDIAN(IF('02_CLEAN_DATA'!$B$2:$B$570=A6,'02_CLEAN_DATA'!$O$2:$O$570)),"")</f>
        <v>7.68</v>
      </c>
      <c r="N6" s="35">
        <f t="shared" si="2"/>
        <v>15.615385215384615</v>
      </c>
      <c r="O6" s="36">
        <f t="shared" si="3"/>
        <v>1.0000005999999999</v>
      </c>
      <c r="P6" s="35">
        <f t="shared" si="4"/>
        <v>5.9999999999999997E-7</v>
      </c>
      <c r="Q6" s="36">
        <f t="shared" si="5"/>
        <v>5.9999999999999997E-7</v>
      </c>
    </row>
    <row r="7" spans="1:17" x14ac:dyDescent="0.2">
      <c r="A7" s="25">
        <v>495</v>
      </c>
      <c r="B7" s="25" t="s">
        <v>120</v>
      </c>
      <c r="C7" s="25" t="s">
        <v>121</v>
      </c>
      <c r="D7" s="25" t="s">
        <v>111</v>
      </c>
      <c r="E7" s="25">
        <f>COUNTIF('02_CLEAN_DATA'!$B$2:$B$570,A7)</f>
        <v>11</v>
      </c>
      <c r="F7" s="25">
        <f>COUNTIFS('02_CLEAN_DATA'!$B$2:$B$570,A7,'02_CLEAN_DATA'!$R$2:$R$570,1)</f>
        <v>7</v>
      </c>
      <c r="G7" s="25">
        <f>COUNTIFS('02_CLEAN_DATA'!$B$2:$B$570,A7,'02_CLEAN_DATA'!$W$2:$W$570,"Met")</f>
        <v>6</v>
      </c>
      <c r="H7" s="25">
        <f>COUNTIFS('02_CLEAN_DATA'!$B$2:$B$570,A7,'02_CLEAN_DATA'!$W$2:$W$570,"Missed")</f>
        <v>1</v>
      </c>
      <c r="I7" s="26">
        <f t="shared" si="0"/>
        <v>0.8571428571428571</v>
      </c>
      <c r="J7" s="25">
        <f>COUNTIFS('02_CLEAN_DATA'!$B$2:$B$570,A7,'02_CLEAN_DATA'!$S$2:$S$570,"Customer Contracted Reasons")</f>
        <v>5</v>
      </c>
      <c r="K7" s="26">
        <f t="shared" si="1"/>
        <v>0.45454545454545453</v>
      </c>
      <c r="L7" s="27">
        <f>IFERROR(AVERAGEIF('02_CLEAN_DATA'!$B$2:$B$570,A7,'02_CLEAN_DATA'!$O$2:$O$570),"")</f>
        <v>16.460909090909091</v>
      </c>
      <c r="M7" s="27">
        <f t="array" ref="M7">IFERROR(MEDIAN(IF('02_CLEAN_DATA'!$B$2:$B$570=A7,'02_CLEAN_DATA'!$O$2:$O$570)),"")</f>
        <v>4.25</v>
      </c>
      <c r="N7" s="35">
        <f t="shared" si="2"/>
        <v>16.460909790909092</v>
      </c>
      <c r="O7" s="36">
        <f t="shared" si="3"/>
        <v>0.85714355714285706</v>
      </c>
      <c r="P7" s="35">
        <f t="shared" si="4"/>
        <v>1.0000007</v>
      </c>
      <c r="Q7" s="36">
        <f t="shared" si="5"/>
        <v>0.1428578428571429</v>
      </c>
    </row>
    <row r="8" spans="1:17" x14ac:dyDescent="0.2">
      <c r="A8" s="22">
        <v>496</v>
      </c>
      <c r="B8" s="22" t="s">
        <v>122</v>
      </c>
      <c r="C8" s="22" t="s">
        <v>123</v>
      </c>
      <c r="D8" s="22" t="s">
        <v>124</v>
      </c>
      <c r="E8" s="22">
        <f>COUNTIF('02_CLEAN_DATA'!$B$2:$B$570,A8)</f>
        <v>6</v>
      </c>
      <c r="F8" s="22">
        <f>COUNTIFS('02_CLEAN_DATA'!$B$2:$B$570,A8,'02_CLEAN_DATA'!$R$2:$R$570,1)</f>
        <v>6</v>
      </c>
      <c r="G8" s="22">
        <f>COUNTIFS('02_CLEAN_DATA'!$B$2:$B$570,A8,'02_CLEAN_DATA'!$W$2:$W$570,"Met")</f>
        <v>6</v>
      </c>
      <c r="H8" s="22">
        <f>COUNTIFS('02_CLEAN_DATA'!$B$2:$B$570,A8,'02_CLEAN_DATA'!$W$2:$W$570,"Missed")</f>
        <v>0</v>
      </c>
      <c r="I8" s="23">
        <f t="shared" si="0"/>
        <v>1</v>
      </c>
      <c r="J8" s="22">
        <f>COUNTIFS('02_CLEAN_DATA'!$B$2:$B$570,A8,'02_CLEAN_DATA'!$S$2:$S$570,"Customer Contracted Reasons")</f>
        <v>5</v>
      </c>
      <c r="K8" s="23">
        <f t="shared" si="1"/>
        <v>0.83333333333333337</v>
      </c>
      <c r="L8" s="24">
        <f>IFERROR(AVERAGEIF('02_CLEAN_DATA'!$B$2:$B$570,A8,'02_CLEAN_DATA'!$O$2:$O$570),"")</f>
        <v>15.541666666666666</v>
      </c>
      <c r="M8" s="24">
        <f t="array" ref="M8">IFERROR(MEDIAN(IF('02_CLEAN_DATA'!$B$2:$B$570=A8,'02_CLEAN_DATA'!$O$2:$O$570)),"")</f>
        <v>13.14</v>
      </c>
      <c r="N8" s="35">
        <f t="shared" si="2"/>
        <v>15.541667466666667</v>
      </c>
      <c r="O8" s="36">
        <f t="shared" si="3"/>
        <v>1.0000008</v>
      </c>
      <c r="P8" s="35">
        <f t="shared" si="4"/>
        <v>7.9999999999999996E-7</v>
      </c>
      <c r="Q8" s="35" t="str">
        <f t="shared" si="5"/>
        <v/>
      </c>
    </row>
    <row r="9" spans="1:17" x14ac:dyDescent="0.2">
      <c r="A9" s="25">
        <v>497</v>
      </c>
      <c r="B9" s="25" t="s">
        <v>125</v>
      </c>
      <c r="C9" s="25" t="s">
        <v>126</v>
      </c>
      <c r="D9" s="25" t="s">
        <v>124</v>
      </c>
      <c r="E9" s="25">
        <f>COUNTIF('02_CLEAN_DATA'!$B$2:$B$570,A9)</f>
        <v>9</v>
      </c>
      <c r="F9" s="25">
        <f>COUNTIFS('02_CLEAN_DATA'!$B$2:$B$570,A9,'02_CLEAN_DATA'!$R$2:$R$570,1)</f>
        <v>7</v>
      </c>
      <c r="G9" s="25">
        <f>COUNTIFS('02_CLEAN_DATA'!$B$2:$B$570,A9,'02_CLEAN_DATA'!$W$2:$W$570,"Met")</f>
        <v>7</v>
      </c>
      <c r="H9" s="25">
        <f>COUNTIFS('02_CLEAN_DATA'!$B$2:$B$570,A9,'02_CLEAN_DATA'!$W$2:$W$570,"Missed")</f>
        <v>0</v>
      </c>
      <c r="I9" s="26">
        <f t="shared" si="0"/>
        <v>1</v>
      </c>
      <c r="J9" s="25">
        <f>COUNTIFS('02_CLEAN_DATA'!$B$2:$B$570,A9,'02_CLEAN_DATA'!$S$2:$S$570,"Customer Contracted Reasons")</f>
        <v>6</v>
      </c>
      <c r="K9" s="26">
        <f t="shared" si="1"/>
        <v>0.66666666666666663</v>
      </c>
      <c r="L9" s="27">
        <f>IFERROR(AVERAGEIF('02_CLEAN_DATA'!$B$2:$B$570,A9,'02_CLEAN_DATA'!$O$2:$O$570),"")</f>
        <v>20.321111111111112</v>
      </c>
      <c r="M9" s="27">
        <f t="array" ref="M9">IFERROR(MEDIAN(IF('02_CLEAN_DATA'!$B$2:$B$570=A9,'02_CLEAN_DATA'!$O$2:$O$570)),"")</f>
        <v>14.87</v>
      </c>
      <c r="N9" s="35">
        <f t="shared" si="2"/>
        <v>20.321112011111111</v>
      </c>
      <c r="O9" s="36">
        <f t="shared" si="3"/>
        <v>1.0000009000000001</v>
      </c>
      <c r="P9" s="35">
        <f t="shared" si="4"/>
        <v>8.9999999999999996E-7</v>
      </c>
      <c r="Q9" s="35" t="str">
        <f t="shared" si="5"/>
        <v/>
      </c>
    </row>
    <row r="10" spans="1:17" x14ac:dyDescent="0.2">
      <c r="A10" s="22">
        <v>498</v>
      </c>
      <c r="B10" s="22" t="s">
        <v>127</v>
      </c>
      <c r="C10" s="22" t="s">
        <v>128</v>
      </c>
      <c r="D10" s="22" t="s">
        <v>124</v>
      </c>
      <c r="E10" s="22">
        <f>COUNTIF('02_CLEAN_DATA'!$B$2:$B$570,A10)</f>
        <v>2</v>
      </c>
      <c r="F10" s="22">
        <f>COUNTIFS('02_CLEAN_DATA'!$B$2:$B$570,A10,'02_CLEAN_DATA'!$R$2:$R$570,1)</f>
        <v>2</v>
      </c>
      <c r="G10" s="22">
        <f>COUNTIFS('02_CLEAN_DATA'!$B$2:$B$570,A10,'02_CLEAN_DATA'!$W$2:$W$570,"Met")</f>
        <v>1</v>
      </c>
      <c r="H10" s="22">
        <f>COUNTIFS('02_CLEAN_DATA'!$B$2:$B$570,A10,'02_CLEAN_DATA'!$W$2:$W$570,"Missed")</f>
        <v>1</v>
      </c>
      <c r="I10" s="23">
        <f t="shared" si="0"/>
        <v>0.5</v>
      </c>
      <c r="J10" s="22">
        <f>COUNTIFS('02_CLEAN_DATA'!$B$2:$B$570,A10,'02_CLEAN_DATA'!$S$2:$S$570,"Customer Contracted Reasons")</f>
        <v>2</v>
      </c>
      <c r="K10" s="23">
        <f t="shared" si="1"/>
        <v>1</v>
      </c>
      <c r="L10" s="24">
        <f>IFERROR(AVERAGEIF('02_CLEAN_DATA'!$B$2:$B$570,A10,'02_CLEAN_DATA'!$O$2:$O$570),"")</f>
        <v>26.31</v>
      </c>
      <c r="M10" s="24">
        <f t="array" ref="M10">IFERROR(MEDIAN(IF('02_CLEAN_DATA'!$B$2:$B$570=A10,'02_CLEAN_DATA'!$O$2:$O$570)),"")</f>
        <v>26.31</v>
      </c>
      <c r="N10" s="35" t="str">
        <f t="shared" si="2"/>
        <v/>
      </c>
      <c r="O10" s="35" t="str">
        <f t="shared" si="3"/>
        <v/>
      </c>
      <c r="P10" s="35">
        <f t="shared" si="4"/>
        <v>1.0000009999999999</v>
      </c>
      <c r="Q10" s="35" t="str">
        <f t="shared" si="5"/>
        <v/>
      </c>
    </row>
    <row r="11" spans="1:17" x14ac:dyDescent="0.2">
      <c r="A11" s="25">
        <v>499</v>
      </c>
      <c r="B11" s="25" t="s">
        <v>129</v>
      </c>
      <c r="C11" s="25" t="s">
        <v>130</v>
      </c>
      <c r="D11" s="25" t="s">
        <v>131</v>
      </c>
      <c r="E11" s="25">
        <f>COUNTIF('02_CLEAN_DATA'!$B$2:$B$570,A11)</f>
        <v>1</v>
      </c>
      <c r="F11" s="25">
        <f>COUNTIFS('02_CLEAN_DATA'!$B$2:$B$570,A11,'02_CLEAN_DATA'!$R$2:$R$570,1)</f>
        <v>1</v>
      </c>
      <c r="G11" s="25">
        <f>COUNTIFS('02_CLEAN_DATA'!$B$2:$B$570,A11,'02_CLEAN_DATA'!$W$2:$W$570,"Met")</f>
        <v>1</v>
      </c>
      <c r="H11" s="25">
        <f>COUNTIFS('02_CLEAN_DATA'!$B$2:$B$570,A11,'02_CLEAN_DATA'!$W$2:$W$570,"Missed")</f>
        <v>0</v>
      </c>
      <c r="I11" s="26">
        <f t="shared" si="0"/>
        <v>1</v>
      </c>
      <c r="J11" s="25">
        <f>COUNTIFS('02_CLEAN_DATA'!$B$2:$B$570,A11,'02_CLEAN_DATA'!$S$2:$S$570,"Customer Contracted Reasons")</f>
        <v>0</v>
      </c>
      <c r="K11" s="26">
        <f t="shared" si="1"/>
        <v>0</v>
      </c>
      <c r="L11" s="27">
        <f>IFERROR(AVERAGEIF('02_CLEAN_DATA'!$B$2:$B$570,A11,'02_CLEAN_DATA'!$O$2:$O$570),"")</f>
        <v>10.87</v>
      </c>
      <c r="M11" s="27">
        <f t="array" ref="M11">IFERROR(MEDIAN(IF('02_CLEAN_DATA'!$B$2:$B$570=A11,'02_CLEAN_DATA'!$O$2:$O$570)),"")</f>
        <v>10.87</v>
      </c>
      <c r="N11" s="35" t="str">
        <f t="shared" si="2"/>
        <v/>
      </c>
      <c r="O11" s="35" t="str">
        <f t="shared" si="3"/>
        <v/>
      </c>
      <c r="P11" s="35">
        <f t="shared" si="4"/>
        <v>1.1000000000000001E-6</v>
      </c>
      <c r="Q11" s="35" t="str">
        <f t="shared" si="5"/>
        <v/>
      </c>
    </row>
    <row r="12" spans="1:17" x14ac:dyDescent="0.2">
      <c r="A12" s="22">
        <v>522</v>
      </c>
      <c r="B12" s="22" t="s">
        <v>132</v>
      </c>
      <c r="C12" s="22" t="s">
        <v>133</v>
      </c>
      <c r="D12" s="22" t="s">
        <v>134</v>
      </c>
      <c r="E12" s="22">
        <f>COUNTIF('02_CLEAN_DATA'!$B$2:$B$570,A12)</f>
        <v>13</v>
      </c>
      <c r="F12" s="22">
        <f>COUNTIFS('02_CLEAN_DATA'!$B$2:$B$570,A12,'02_CLEAN_DATA'!$R$2:$R$570,1)</f>
        <v>12</v>
      </c>
      <c r="G12" s="22">
        <f>COUNTIFS('02_CLEAN_DATA'!$B$2:$B$570,A12,'02_CLEAN_DATA'!$W$2:$W$570,"Met")</f>
        <v>7</v>
      </c>
      <c r="H12" s="22">
        <f>COUNTIFS('02_CLEAN_DATA'!$B$2:$B$570,A12,'02_CLEAN_DATA'!$W$2:$W$570,"Missed")</f>
        <v>5</v>
      </c>
      <c r="I12" s="23">
        <f t="shared" si="0"/>
        <v>0.58333333333333337</v>
      </c>
      <c r="J12" s="22">
        <f>COUNTIFS('02_CLEAN_DATA'!$B$2:$B$570,A12,'02_CLEAN_DATA'!$S$2:$S$570,"Customer Contracted Reasons")</f>
        <v>13</v>
      </c>
      <c r="K12" s="23">
        <f t="shared" si="1"/>
        <v>1</v>
      </c>
      <c r="L12" s="24">
        <f>IFERROR(AVERAGEIF('02_CLEAN_DATA'!$B$2:$B$570,A12,'02_CLEAN_DATA'!$O$2:$O$570),"")</f>
        <v>72.347692307692313</v>
      </c>
      <c r="M12" s="24">
        <f t="array" ref="M12">IFERROR(MEDIAN(IF('02_CLEAN_DATA'!$B$2:$B$570=A12,'02_CLEAN_DATA'!$O$2:$O$570)),"")</f>
        <v>32.1</v>
      </c>
      <c r="N12" s="35">
        <f t="shared" si="2"/>
        <v>72.347693507692313</v>
      </c>
      <c r="O12" s="36">
        <f t="shared" si="3"/>
        <v>0.5833345333333334</v>
      </c>
      <c r="P12" s="35">
        <f t="shared" si="4"/>
        <v>5.0000011999999998</v>
      </c>
      <c r="Q12" s="36">
        <f t="shared" si="5"/>
        <v>0.41666786666666661</v>
      </c>
    </row>
    <row r="13" spans="1:17" x14ac:dyDescent="0.2">
      <c r="A13" s="25">
        <v>523</v>
      </c>
      <c r="B13" s="25" t="s">
        <v>135</v>
      </c>
      <c r="C13" s="25" t="s">
        <v>136</v>
      </c>
      <c r="D13" s="25" t="s">
        <v>134</v>
      </c>
      <c r="E13" s="25">
        <f>COUNTIF('02_CLEAN_DATA'!$B$2:$B$570,A13)</f>
        <v>7</v>
      </c>
      <c r="F13" s="25">
        <f>COUNTIFS('02_CLEAN_DATA'!$B$2:$B$570,A13,'02_CLEAN_DATA'!$R$2:$R$570,1)</f>
        <v>7</v>
      </c>
      <c r="G13" s="25">
        <f>COUNTIFS('02_CLEAN_DATA'!$B$2:$B$570,A13,'02_CLEAN_DATA'!$W$2:$W$570,"Met")</f>
        <v>5</v>
      </c>
      <c r="H13" s="25">
        <f>COUNTIFS('02_CLEAN_DATA'!$B$2:$B$570,A13,'02_CLEAN_DATA'!$W$2:$W$570,"Missed")</f>
        <v>2</v>
      </c>
      <c r="I13" s="26">
        <f t="shared" si="0"/>
        <v>0.7142857142857143</v>
      </c>
      <c r="J13" s="25">
        <f>COUNTIFS('02_CLEAN_DATA'!$B$2:$B$570,A13,'02_CLEAN_DATA'!$S$2:$S$570,"Customer Contracted Reasons")</f>
        <v>4</v>
      </c>
      <c r="K13" s="26">
        <f t="shared" si="1"/>
        <v>0.5714285714285714</v>
      </c>
      <c r="L13" s="27">
        <f>IFERROR(AVERAGEIF('02_CLEAN_DATA'!$B$2:$B$570,A13,'02_CLEAN_DATA'!$O$2:$O$570),"")</f>
        <v>16.311428571428571</v>
      </c>
      <c r="M13" s="27">
        <f t="array" ref="M13">IFERROR(MEDIAN(IF('02_CLEAN_DATA'!$B$2:$B$570=A13,'02_CLEAN_DATA'!$O$2:$O$570)),"")</f>
        <v>18.600000000000001</v>
      </c>
      <c r="N13" s="35">
        <f t="shared" si="2"/>
        <v>16.311429871428572</v>
      </c>
      <c r="O13" s="36">
        <f t="shared" si="3"/>
        <v>0.71428701428571428</v>
      </c>
      <c r="P13" s="35">
        <f t="shared" si="4"/>
        <v>2.0000013000000001</v>
      </c>
      <c r="Q13" s="35" t="str">
        <f t="shared" si="5"/>
        <v/>
      </c>
    </row>
    <row r="14" spans="1:17" x14ac:dyDescent="0.2">
      <c r="A14" s="22">
        <v>524</v>
      </c>
      <c r="B14" s="22" t="s">
        <v>137</v>
      </c>
      <c r="C14" s="22" t="s">
        <v>138</v>
      </c>
      <c r="D14" s="22" t="s">
        <v>134</v>
      </c>
      <c r="E14" s="22">
        <f>COUNTIF('02_CLEAN_DATA'!$B$2:$B$570,A14)</f>
        <v>9</v>
      </c>
      <c r="F14" s="22">
        <f>COUNTIFS('02_CLEAN_DATA'!$B$2:$B$570,A14,'02_CLEAN_DATA'!$R$2:$R$570,1)</f>
        <v>8</v>
      </c>
      <c r="G14" s="22">
        <f>COUNTIFS('02_CLEAN_DATA'!$B$2:$B$570,A14,'02_CLEAN_DATA'!$W$2:$W$570,"Met")</f>
        <v>7</v>
      </c>
      <c r="H14" s="22">
        <f>COUNTIFS('02_CLEAN_DATA'!$B$2:$B$570,A14,'02_CLEAN_DATA'!$W$2:$W$570,"Missed")</f>
        <v>1</v>
      </c>
      <c r="I14" s="23">
        <f t="shared" si="0"/>
        <v>0.875</v>
      </c>
      <c r="J14" s="22">
        <f>COUNTIFS('02_CLEAN_DATA'!$B$2:$B$570,A14,'02_CLEAN_DATA'!$S$2:$S$570,"Customer Contracted Reasons")</f>
        <v>9</v>
      </c>
      <c r="K14" s="23">
        <f t="shared" si="1"/>
        <v>1</v>
      </c>
      <c r="L14" s="24">
        <f>IFERROR(AVERAGEIF('02_CLEAN_DATA'!$B$2:$B$570,A14,'02_CLEAN_DATA'!$O$2:$O$570),"")</f>
        <v>8.0388888888888879</v>
      </c>
      <c r="M14" s="24">
        <f t="array" ref="M14">IFERROR(MEDIAN(IF('02_CLEAN_DATA'!$B$2:$B$570=A14,'02_CLEAN_DATA'!$O$2:$O$570)),"")</f>
        <v>5.6</v>
      </c>
      <c r="N14" s="35">
        <f t="shared" si="2"/>
        <v>8.0388902888888882</v>
      </c>
      <c r="O14" s="36">
        <f t="shared" si="3"/>
        <v>0.87500140000000004</v>
      </c>
      <c r="P14" s="35">
        <f t="shared" si="4"/>
        <v>1.0000013999999999</v>
      </c>
      <c r="Q14" s="35" t="str">
        <f t="shared" si="5"/>
        <v/>
      </c>
    </row>
    <row r="15" spans="1:17" x14ac:dyDescent="0.2">
      <c r="A15" s="25">
        <v>525</v>
      </c>
      <c r="B15" s="25" t="s">
        <v>139</v>
      </c>
      <c r="C15" s="25" t="s">
        <v>133</v>
      </c>
      <c r="D15" s="25" t="s">
        <v>134</v>
      </c>
      <c r="E15" s="25">
        <f>COUNTIF('02_CLEAN_DATA'!$B$2:$B$570,A15)</f>
        <v>9</v>
      </c>
      <c r="F15" s="25">
        <f>COUNTIFS('02_CLEAN_DATA'!$B$2:$B$570,A15,'02_CLEAN_DATA'!$R$2:$R$570,1)</f>
        <v>4</v>
      </c>
      <c r="G15" s="25">
        <f>COUNTIFS('02_CLEAN_DATA'!$B$2:$B$570,A15,'02_CLEAN_DATA'!$W$2:$W$570,"Met")</f>
        <v>4</v>
      </c>
      <c r="H15" s="25">
        <f>COUNTIFS('02_CLEAN_DATA'!$B$2:$B$570,A15,'02_CLEAN_DATA'!$W$2:$W$570,"Missed")</f>
        <v>0</v>
      </c>
      <c r="I15" s="26">
        <f t="shared" si="0"/>
        <v>1</v>
      </c>
      <c r="J15" s="25">
        <f>COUNTIFS('02_CLEAN_DATA'!$B$2:$B$570,A15,'02_CLEAN_DATA'!$S$2:$S$570,"Customer Contracted Reasons")</f>
        <v>3</v>
      </c>
      <c r="K15" s="26">
        <f t="shared" si="1"/>
        <v>0.33333333333333331</v>
      </c>
      <c r="L15" s="27">
        <f>IFERROR(AVERAGEIF('02_CLEAN_DATA'!$B$2:$B$570,A15,'02_CLEAN_DATA'!$O$2:$O$570),"")</f>
        <v>9.7522222222222226</v>
      </c>
      <c r="M15" s="27">
        <f t="array" ref="M15">IFERROR(MEDIAN(IF('02_CLEAN_DATA'!$B$2:$B$570=A15,'02_CLEAN_DATA'!$O$2:$O$570)),"")</f>
        <v>5.32</v>
      </c>
      <c r="N15" s="35">
        <f t="shared" si="2"/>
        <v>9.7522237222222223</v>
      </c>
      <c r="O15" s="36">
        <f t="shared" si="3"/>
        <v>1.0000015</v>
      </c>
      <c r="P15" s="35">
        <f t="shared" si="4"/>
        <v>1.5E-6</v>
      </c>
      <c r="Q15" s="35" t="str">
        <f t="shared" si="5"/>
        <v/>
      </c>
    </row>
    <row r="16" spans="1:17" x14ac:dyDescent="0.2">
      <c r="A16" s="22">
        <v>526</v>
      </c>
      <c r="B16" s="22" t="s">
        <v>140</v>
      </c>
      <c r="C16" s="22" t="s">
        <v>133</v>
      </c>
      <c r="D16" s="22" t="s">
        <v>134</v>
      </c>
      <c r="E16" s="22">
        <f>COUNTIF('02_CLEAN_DATA'!$B$2:$B$570,A16)</f>
        <v>13</v>
      </c>
      <c r="F16" s="22">
        <f>COUNTIFS('02_CLEAN_DATA'!$B$2:$B$570,A16,'02_CLEAN_DATA'!$R$2:$R$570,1)</f>
        <v>8</v>
      </c>
      <c r="G16" s="22">
        <f>COUNTIFS('02_CLEAN_DATA'!$B$2:$B$570,A16,'02_CLEAN_DATA'!$W$2:$W$570,"Met")</f>
        <v>8</v>
      </c>
      <c r="H16" s="22">
        <f>COUNTIFS('02_CLEAN_DATA'!$B$2:$B$570,A16,'02_CLEAN_DATA'!$W$2:$W$570,"Missed")</f>
        <v>0</v>
      </c>
      <c r="I16" s="23">
        <f t="shared" si="0"/>
        <v>1</v>
      </c>
      <c r="J16" s="22">
        <f>COUNTIFS('02_CLEAN_DATA'!$B$2:$B$570,A16,'02_CLEAN_DATA'!$S$2:$S$570,"Customer Contracted Reasons")</f>
        <v>11</v>
      </c>
      <c r="K16" s="23">
        <f t="shared" si="1"/>
        <v>0.84615384615384615</v>
      </c>
      <c r="L16" s="24">
        <f>IFERROR(AVERAGEIF('02_CLEAN_DATA'!$B$2:$B$570,A16,'02_CLEAN_DATA'!$O$2:$O$570),"")</f>
        <v>13.383846153846152</v>
      </c>
      <c r="M16" s="24">
        <f t="array" ref="M16">IFERROR(MEDIAN(IF('02_CLEAN_DATA'!$B$2:$B$570=A16,'02_CLEAN_DATA'!$O$2:$O$570)),"")</f>
        <v>5.55</v>
      </c>
      <c r="N16" s="35">
        <f t="shared" si="2"/>
        <v>13.383847753846151</v>
      </c>
      <c r="O16" s="36">
        <f t="shared" si="3"/>
        <v>1.0000016</v>
      </c>
      <c r="P16" s="35">
        <f t="shared" si="4"/>
        <v>1.5999999999999999E-6</v>
      </c>
      <c r="Q16" s="36">
        <f t="shared" si="5"/>
        <v>1.5999999999999999E-6</v>
      </c>
    </row>
    <row r="17" spans="1:17" x14ac:dyDescent="0.2">
      <c r="A17" s="25">
        <v>527</v>
      </c>
      <c r="B17" s="25" t="s">
        <v>141</v>
      </c>
      <c r="C17" s="25" t="s">
        <v>142</v>
      </c>
      <c r="D17" s="25" t="s">
        <v>134</v>
      </c>
      <c r="E17" s="25">
        <f>COUNTIF('02_CLEAN_DATA'!$B$2:$B$570,A17)</f>
        <v>10</v>
      </c>
      <c r="F17" s="25">
        <f>COUNTIFS('02_CLEAN_DATA'!$B$2:$B$570,A17,'02_CLEAN_DATA'!$R$2:$R$570,1)</f>
        <v>6</v>
      </c>
      <c r="G17" s="25">
        <f>COUNTIFS('02_CLEAN_DATA'!$B$2:$B$570,A17,'02_CLEAN_DATA'!$W$2:$W$570,"Met")</f>
        <v>5</v>
      </c>
      <c r="H17" s="25">
        <f>COUNTIFS('02_CLEAN_DATA'!$B$2:$B$570,A17,'02_CLEAN_DATA'!$W$2:$W$570,"Missed")</f>
        <v>1</v>
      </c>
      <c r="I17" s="26">
        <f t="shared" si="0"/>
        <v>0.83333333333333337</v>
      </c>
      <c r="J17" s="25">
        <f>COUNTIFS('02_CLEAN_DATA'!$B$2:$B$570,A17,'02_CLEAN_DATA'!$S$2:$S$570,"Customer Contracted Reasons")</f>
        <v>7</v>
      </c>
      <c r="K17" s="26">
        <f t="shared" si="1"/>
        <v>0.7</v>
      </c>
      <c r="L17" s="27">
        <f>IFERROR(AVERAGEIF('02_CLEAN_DATA'!$B$2:$B$570,A17,'02_CLEAN_DATA'!$O$2:$O$570),"")</f>
        <v>24.052</v>
      </c>
      <c r="M17" s="27">
        <f t="array" ref="M17">IFERROR(MEDIAN(IF('02_CLEAN_DATA'!$B$2:$B$570=A17,'02_CLEAN_DATA'!$O$2:$O$570)),"")</f>
        <v>20.745000000000001</v>
      </c>
      <c r="N17" s="35">
        <f t="shared" si="2"/>
        <v>24.052001699999998</v>
      </c>
      <c r="O17" s="36">
        <f t="shared" si="3"/>
        <v>0.83333503333333336</v>
      </c>
      <c r="P17" s="35">
        <f t="shared" si="4"/>
        <v>1.0000017000000001</v>
      </c>
      <c r="Q17" s="36">
        <f t="shared" si="5"/>
        <v>0.16666836666666662</v>
      </c>
    </row>
    <row r="18" spans="1:17" x14ac:dyDescent="0.2">
      <c r="A18" s="22">
        <v>528</v>
      </c>
      <c r="B18" s="22" t="s">
        <v>143</v>
      </c>
      <c r="C18" s="22" t="s">
        <v>144</v>
      </c>
      <c r="D18" s="22" t="s">
        <v>134</v>
      </c>
      <c r="E18" s="22">
        <f>COUNTIF('02_CLEAN_DATA'!$B$2:$B$570,A18)</f>
        <v>6</v>
      </c>
      <c r="F18" s="22">
        <f>COUNTIFS('02_CLEAN_DATA'!$B$2:$B$570,A18,'02_CLEAN_DATA'!$R$2:$R$570,1)</f>
        <v>3</v>
      </c>
      <c r="G18" s="22">
        <f>COUNTIFS('02_CLEAN_DATA'!$B$2:$B$570,A18,'02_CLEAN_DATA'!$W$2:$W$570,"Met")</f>
        <v>3</v>
      </c>
      <c r="H18" s="22">
        <f>COUNTIFS('02_CLEAN_DATA'!$B$2:$B$570,A18,'02_CLEAN_DATA'!$W$2:$W$570,"Missed")</f>
        <v>0</v>
      </c>
      <c r="I18" s="23">
        <f t="shared" si="0"/>
        <v>1</v>
      </c>
      <c r="J18" s="22">
        <f>COUNTIFS('02_CLEAN_DATA'!$B$2:$B$570,A18,'02_CLEAN_DATA'!$S$2:$S$570,"Customer Contracted Reasons")</f>
        <v>3</v>
      </c>
      <c r="K18" s="23">
        <f t="shared" si="1"/>
        <v>0.5</v>
      </c>
      <c r="L18" s="24">
        <f>IFERROR(AVERAGEIF('02_CLEAN_DATA'!$B$2:$B$570,A18,'02_CLEAN_DATA'!$O$2:$O$570),"")</f>
        <v>10.271666666666667</v>
      </c>
      <c r="M18" s="24">
        <f t="array" ref="M18">IFERROR(MEDIAN(IF('02_CLEAN_DATA'!$B$2:$B$570=A18,'02_CLEAN_DATA'!$O$2:$O$570)),"")</f>
        <v>5.2149999999999999</v>
      </c>
      <c r="N18" s="35">
        <f t="shared" si="2"/>
        <v>10.271668466666666</v>
      </c>
      <c r="O18" s="36">
        <f t="shared" si="3"/>
        <v>1.0000017999999999</v>
      </c>
      <c r="P18" s="35">
        <f t="shared" si="4"/>
        <v>1.7999999999999999E-6</v>
      </c>
      <c r="Q18" s="35" t="str">
        <f t="shared" si="5"/>
        <v/>
      </c>
    </row>
    <row r="19" spans="1:17" x14ac:dyDescent="0.2">
      <c r="A19" s="25">
        <v>529</v>
      </c>
      <c r="B19" s="25" t="s">
        <v>145</v>
      </c>
      <c r="C19" s="25" t="s">
        <v>133</v>
      </c>
      <c r="D19" s="25" t="s">
        <v>134</v>
      </c>
      <c r="E19" s="25">
        <f>COUNTIF('02_CLEAN_DATA'!$B$2:$B$570,A19)</f>
        <v>1</v>
      </c>
      <c r="F19" s="25">
        <f>COUNTIFS('02_CLEAN_DATA'!$B$2:$B$570,A19,'02_CLEAN_DATA'!$R$2:$R$570,1)</f>
        <v>1</v>
      </c>
      <c r="G19" s="25">
        <f>COUNTIFS('02_CLEAN_DATA'!$B$2:$B$570,A19,'02_CLEAN_DATA'!$W$2:$W$570,"Met")</f>
        <v>1</v>
      </c>
      <c r="H19" s="25">
        <f>COUNTIFS('02_CLEAN_DATA'!$B$2:$B$570,A19,'02_CLEAN_DATA'!$W$2:$W$570,"Missed")</f>
        <v>0</v>
      </c>
      <c r="I19" s="26">
        <f t="shared" si="0"/>
        <v>1</v>
      </c>
      <c r="J19" s="25">
        <f>COUNTIFS('02_CLEAN_DATA'!$B$2:$B$570,A19,'02_CLEAN_DATA'!$S$2:$S$570,"Customer Contracted Reasons")</f>
        <v>1</v>
      </c>
      <c r="K19" s="26">
        <f t="shared" si="1"/>
        <v>1</v>
      </c>
      <c r="L19" s="27">
        <f>IFERROR(AVERAGEIF('02_CLEAN_DATA'!$B$2:$B$570,A19,'02_CLEAN_DATA'!$O$2:$O$570),"")</f>
        <v>6.58</v>
      </c>
      <c r="M19" s="27">
        <f t="array" ref="M19">IFERROR(MEDIAN(IF('02_CLEAN_DATA'!$B$2:$B$570=A19,'02_CLEAN_DATA'!$O$2:$O$570)),"")</f>
        <v>6.58</v>
      </c>
      <c r="N19" s="35" t="str">
        <f t="shared" si="2"/>
        <v/>
      </c>
      <c r="O19" s="35" t="str">
        <f t="shared" si="3"/>
        <v/>
      </c>
      <c r="P19" s="35">
        <f t="shared" si="4"/>
        <v>1.9E-6</v>
      </c>
      <c r="Q19" s="35" t="str">
        <f t="shared" si="5"/>
        <v/>
      </c>
    </row>
    <row r="20" spans="1:17" x14ac:dyDescent="0.2">
      <c r="A20" s="22">
        <v>530</v>
      </c>
      <c r="B20" s="22" t="s">
        <v>146</v>
      </c>
      <c r="C20" s="22" t="s">
        <v>147</v>
      </c>
      <c r="D20" s="22" t="s">
        <v>134</v>
      </c>
      <c r="E20" s="22">
        <f>COUNTIF('02_CLEAN_DATA'!$B$2:$B$570,A20)</f>
        <v>2</v>
      </c>
      <c r="F20" s="22">
        <f>COUNTIFS('02_CLEAN_DATA'!$B$2:$B$570,A20,'02_CLEAN_DATA'!$R$2:$R$570,1)</f>
        <v>1</v>
      </c>
      <c r="G20" s="22">
        <f>COUNTIFS('02_CLEAN_DATA'!$B$2:$B$570,A20,'02_CLEAN_DATA'!$W$2:$W$570,"Met")</f>
        <v>1</v>
      </c>
      <c r="H20" s="22">
        <f>COUNTIFS('02_CLEAN_DATA'!$B$2:$B$570,A20,'02_CLEAN_DATA'!$W$2:$W$570,"Missed")</f>
        <v>0</v>
      </c>
      <c r="I20" s="23">
        <f t="shared" si="0"/>
        <v>1</v>
      </c>
      <c r="J20" s="22">
        <f>COUNTIFS('02_CLEAN_DATA'!$B$2:$B$570,A20,'02_CLEAN_DATA'!$S$2:$S$570,"Customer Contracted Reasons")</f>
        <v>1</v>
      </c>
      <c r="K20" s="23">
        <f t="shared" si="1"/>
        <v>0.5</v>
      </c>
      <c r="L20" s="24">
        <f>IFERROR(AVERAGEIF('02_CLEAN_DATA'!$B$2:$B$570,A20,'02_CLEAN_DATA'!$O$2:$O$570),"")</f>
        <v>10.88</v>
      </c>
      <c r="M20" s="24">
        <f t="array" ref="M20">IFERROR(MEDIAN(IF('02_CLEAN_DATA'!$B$2:$B$570=A20,'02_CLEAN_DATA'!$O$2:$O$570)),"")</f>
        <v>10.879999999999999</v>
      </c>
      <c r="N20" s="35" t="str">
        <f t="shared" si="2"/>
        <v/>
      </c>
      <c r="O20" s="35" t="str">
        <f t="shared" si="3"/>
        <v/>
      </c>
      <c r="P20" s="35">
        <f t="shared" si="4"/>
        <v>1.9999999999999999E-6</v>
      </c>
      <c r="Q20" s="35" t="str">
        <f t="shared" si="5"/>
        <v/>
      </c>
    </row>
    <row r="21" spans="1:17" x14ac:dyDescent="0.2">
      <c r="A21" s="25">
        <v>532</v>
      </c>
      <c r="B21" s="25" t="s">
        <v>148</v>
      </c>
      <c r="C21" s="25" t="s">
        <v>133</v>
      </c>
      <c r="D21" s="25" t="s">
        <v>134</v>
      </c>
      <c r="E21" s="25">
        <f>COUNTIF('02_CLEAN_DATA'!$B$2:$B$570,A21)</f>
        <v>9</v>
      </c>
      <c r="F21" s="25">
        <f>COUNTIFS('02_CLEAN_DATA'!$B$2:$B$570,A21,'02_CLEAN_DATA'!$R$2:$R$570,1)</f>
        <v>6</v>
      </c>
      <c r="G21" s="25">
        <f>COUNTIFS('02_CLEAN_DATA'!$B$2:$B$570,A21,'02_CLEAN_DATA'!$W$2:$W$570,"Met")</f>
        <v>4</v>
      </c>
      <c r="H21" s="25">
        <f>COUNTIFS('02_CLEAN_DATA'!$B$2:$B$570,A21,'02_CLEAN_DATA'!$W$2:$W$570,"Missed")</f>
        <v>2</v>
      </c>
      <c r="I21" s="26">
        <f t="shared" si="0"/>
        <v>0.66666666666666663</v>
      </c>
      <c r="J21" s="25">
        <f>COUNTIFS('02_CLEAN_DATA'!$B$2:$B$570,A21,'02_CLEAN_DATA'!$S$2:$S$570,"Customer Contracted Reasons")</f>
        <v>2</v>
      </c>
      <c r="K21" s="26">
        <f t="shared" si="1"/>
        <v>0.22222222222222221</v>
      </c>
      <c r="L21" s="27">
        <f>IFERROR(AVERAGEIF('02_CLEAN_DATA'!$B$2:$B$570,A21,'02_CLEAN_DATA'!$O$2:$O$570),"")</f>
        <v>44.512222222222221</v>
      </c>
      <c r="M21" s="27">
        <f t="array" ref="M21">IFERROR(MEDIAN(IF('02_CLEAN_DATA'!$B$2:$B$570=A21,'02_CLEAN_DATA'!$O$2:$O$570)),"")</f>
        <v>21.25</v>
      </c>
      <c r="N21" s="35">
        <f t="shared" si="2"/>
        <v>44.512224322222224</v>
      </c>
      <c r="O21" s="36">
        <f t="shared" si="3"/>
        <v>0.66666876666666663</v>
      </c>
      <c r="P21" s="35">
        <f t="shared" si="4"/>
        <v>2.0000021000000001</v>
      </c>
      <c r="Q21" s="35" t="str">
        <f t="shared" si="5"/>
        <v/>
      </c>
    </row>
    <row r="22" spans="1:17" x14ac:dyDescent="0.2">
      <c r="A22" s="22">
        <v>533</v>
      </c>
      <c r="B22" s="22" t="s">
        <v>149</v>
      </c>
      <c r="C22" s="22" t="s">
        <v>150</v>
      </c>
      <c r="D22" s="22" t="s">
        <v>134</v>
      </c>
      <c r="E22" s="22">
        <f>COUNTIF('02_CLEAN_DATA'!$B$2:$B$570,A22)</f>
        <v>5</v>
      </c>
      <c r="F22" s="22">
        <f>COUNTIFS('02_CLEAN_DATA'!$B$2:$B$570,A22,'02_CLEAN_DATA'!$R$2:$R$570,1)</f>
        <v>5</v>
      </c>
      <c r="G22" s="22">
        <f>COUNTIFS('02_CLEAN_DATA'!$B$2:$B$570,A22,'02_CLEAN_DATA'!$W$2:$W$570,"Met")</f>
        <v>4</v>
      </c>
      <c r="H22" s="22">
        <f>COUNTIFS('02_CLEAN_DATA'!$B$2:$B$570,A22,'02_CLEAN_DATA'!$W$2:$W$570,"Missed")</f>
        <v>1</v>
      </c>
      <c r="I22" s="23">
        <f t="shared" si="0"/>
        <v>0.8</v>
      </c>
      <c r="J22" s="22">
        <f>COUNTIFS('02_CLEAN_DATA'!$B$2:$B$570,A22,'02_CLEAN_DATA'!$S$2:$S$570,"Customer Contracted Reasons")</f>
        <v>4</v>
      </c>
      <c r="K22" s="23">
        <f t="shared" si="1"/>
        <v>0.8</v>
      </c>
      <c r="L22" s="24">
        <f>IFERROR(AVERAGEIF('02_CLEAN_DATA'!$B$2:$B$570,A22,'02_CLEAN_DATA'!$O$2:$O$570),"")</f>
        <v>27.576000000000001</v>
      </c>
      <c r="M22" s="24">
        <f t="array" ref="M22">IFERROR(MEDIAN(IF('02_CLEAN_DATA'!$B$2:$B$570=A22,'02_CLEAN_DATA'!$O$2:$O$570)),"")</f>
        <v>28.97</v>
      </c>
      <c r="N22" s="35">
        <f t="shared" si="2"/>
        <v>27.576002200000001</v>
      </c>
      <c r="O22" s="36">
        <f t="shared" si="3"/>
        <v>0.8000022</v>
      </c>
      <c r="P22" s="35">
        <f t="shared" si="4"/>
        <v>1.0000022</v>
      </c>
      <c r="Q22" s="35" t="str">
        <f t="shared" si="5"/>
        <v/>
      </c>
    </row>
    <row r="23" spans="1:17" x14ac:dyDescent="0.2">
      <c r="A23" s="25">
        <v>534</v>
      </c>
      <c r="B23" s="25" t="s">
        <v>151</v>
      </c>
      <c r="C23" s="25" t="s">
        <v>152</v>
      </c>
      <c r="D23" s="25" t="s">
        <v>134</v>
      </c>
      <c r="E23" s="25">
        <f>COUNTIF('02_CLEAN_DATA'!$B$2:$B$570,A23)</f>
        <v>1</v>
      </c>
      <c r="F23" s="25">
        <f>COUNTIFS('02_CLEAN_DATA'!$B$2:$B$570,A23,'02_CLEAN_DATA'!$R$2:$R$570,1)</f>
        <v>1</v>
      </c>
      <c r="G23" s="25">
        <f>COUNTIFS('02_CLEAN_DATA'!$B$2:$B$570,A23,'02_CLEAN_DATA'!$W$2:$W$570,"Met")</f>
        <v>1</v>
      </c>
      <c r="H23" s="25">
        <f>COUNTIFS('02_CLEAN_DATA'!$B$2:$B$570,A23,'02_CLEAN_DATA'!$W$2:$W$570,"Missed")</f>
        <v>0</v>
      </c>
      <c r="I23" s="26">
        <f t="shared" si="0"/>
        <v>1</v>
      </c>
      <c r="J23" s="25">
        <f>COUNTIFS('02_CLEAN_DATA'!$B$2:$B$570,A23,'02_CLEAN_DATA'!$S$2:$S$570,"Customer Contracted Reasons")</f>
        <v>1</v>
      </c>
      <c r="K23" s="26">
        <f t="shared" si="1"/>
        <v>1</v>
      </c>
      <c r="L23" s="27">
        <f>IFERROR(AVERAGEIF('02_CLEAN_DATA'!$B$2:$B$570,A23,'02_CLEAN_DATA'!$O$2:$O$570),"")</f>
        <v>5.2</v>
      </c>
      <c r="M23" s="27">
        <f t="array" ref="M23">IFERROR(MEDIAN(IF('02_CLEAN_DATA'!$B$2:$B$570=A23,'02_CLEAN_DATA'!$O$2:$O$570)),"")</f>
        <v>5.2</v>
      </c>
      <c r="N23" s="35" t="str">
        <f t="shared" si="2"/>
        <v/>
      </c>
      <c r="O23" s="35" t="str">
        <f t="shared" si="3"/>
        <v/>
      </c>
      <c r="P23" s="35">
        <f t="shared" si="4"/>
        <v>2.3E-6</v>
      </c>
      <c r="Q23" s="35" t="str">
        <f t="shared" si="5"/>
        <v/>
      </c>
    </row>
    <row r="24" spans="1:17" x14ac:dyDescent="0.2">
      <c r="A24" s="22">
        <v>535</v>
      </c>
      <c r="B24" s="22" t="s">
        <v>153</v>
      </c>
      <c r="C24" s="22" t="s">
        <v>154</v>
      </c>
      <c r="D24" s="22" t="s">
        <v>134</v>
      </c>
      <c r="E24" s="22">
        <f>COUNTIF('02_CLEAN_DATA'!$B$2:$B$570,A24)</f>
        <v>7</v>
      </c>
      <c r="F24" s="22">
        <f>COUNTIFS('02_CLEAN_DATA'!$B$2:$B$570,A24,'02_CLEAN_DATA'!$R$2:$R$570,1)</f>
        <v>6</v>
      </c>
      <c r="G24" s="22">
        <f>COUNTIFS('02_CLEAN_DATA'!$B$2:$B$570,A24,'02_CLEAN_DATA'!$W$2:$W$570,"Met")</f>
        <v>5</v>
      </c>
      <c r="H24" s="22">
        <f>COUNTIFS('02_CLEAN_DATA'!$B$2:$B$570,A24,'02_CLEAN_DATA'!$W$2:$W$570,"Missed")</f>
        <v>1</v>
      </c>
      <c r="I24" s="23">
        <f t="shared" si="0"/>
        <v>0.83333333333333337</v>
      </c>
      <c r="J24" s="22">
        <f>COUNTIFS('02_CLEAN_DATA'!$B$2:$B$570,A24,'02_CLEAN_DATA'!$S$2:$S$570,"Customer Contracted Reasons")</f>
        <v>2</v>
      </c>
      <c r="K24" s="23">
        <f t="shared" si="1"/>
        <v>0.2857142857142857</v>
      </c>
      <c r="L24" s="24">
        <f>IFERROR(AVERAGEIF('02_CLEAN_DATA'!$B$2:$B$570,A24,'02_CLEAN_DATA'!$O$2:$O$570),"")</f>
        <v>22.932857142857138</v>
      </c>
      <c r="M24" s="24">
        <f t="array" ref="M24">IFERROR(MEDIAN(IF('02_CLEAN_DATA'!$B$2:$B$570=A24,'02_CLEAN_DATA'!$O$2:$O$570)),"")</f>
        <v>24.07</v>
      </c>
      <c r="N24" s="35">
        <f t="shared" si="2"/>
        <v>22.932859542857138</v>
      </c>
      <c r="O24" s="36">
        <f t="shared" si="3"/>
        <v>0.83333573333333333</v>
      </c>
      <c r="P24" s="35">
        <f t="shared" si="4"/>
        <v>1.0000024000000001</v>
      </c>
      <c r="Q24" s="35" t="str">
        <f t="shared" si="5"/>
        <v/>
      </c>
    </row>
    <row r="25" spans="1:17" x14ac:dyDescent="0.2">
      <c r="A25" s="25">
        <v>536</v>
      </c>
      <c r="B25" s="25" t="s">
        <v>155</v>
      </c>
      <c r="C25" s="25" t="s">
        <v>147</v>
      </c>
      <c r="D25" s="25" t="s">
        <v>134</v>
      </c>
      <c r="E25" s="25">
        <f>COUNTIF('02_CLEAN_DATA'!$B$2:$B$570,A25)</f>
        <v>3</v>
      </c>
      <c r="F25" s="25">
        <f>COUNTIFS('02_CLEAN_DATA'!$B$2:$B$570,A25,'02_CLEAN_DATA'!$R$2:$R$570,1)</f>
        <v>2</v>
      </c>
      <c r="G25" s="25">
        <f>COUNTIFS('02_CLEAN_DATA'!$B$2:$B$570,A25,'02_CLEAN_DATA'!$W$2:$W$570,"Met")</f>
        <v>1</v>
      </c>
      <c r="H25" s="25">
        <f>COUNTIFS('02_CLEAN_DATA'!$B$2:$B$570,A25,'02_CLEAN_DATA'!$W$2:$W$570,"Missed")</f>
        <v>1</v>
      </c>
      <c r="I25" s="26">
        <f t="shared" si="0"/>
        <v>0.5</v>
      </c>
      <c r="J25" s="25">
        <f>COUNTIFS('02_CLEAN_DATA'!$B$2:$B$570,A25,'02_CLEAN_DATA'!$S$2:$S$570,"Customer Contracted Reasons")</f>
        <v>2</v>
      </c>
      <c r="K25" s="26">
        <f t="shared" si="1"/>
        <v>0.66666666666666663</v>
      </c>
      <c r="L25" s="27">
        <f>IFERROR(AVERAGEIF('02_CLEAN_DATA'!$B$2:$B$570,A25,'02_CLEAN_DATA'!$O$2:$O$570),"")</f>
        <v>59.053333333333335</v>
      </c>
      <c r="M25" s="27">
        <f t="array" ref="M25">IFERROR(MEDIAN(IF('02_CLEAN_DATA'!$B$2:$B$570=A25,'02_CLEAN_DATA'!$O$2:$O$570)),"")</f>
        <v>33.380000000000003</v>
      </c>
      <c r="N25" s="35" t="str">
        <f t="shared" si="2"/>
        <v/>
      </c>
      <c r="O25" s="35" t="str">
        <f t="shared" si="3"/>
        <v/>
      </c>
      <c r="P25" s="35">
        <f t="shared" si="4"/>
        <v>1.0000024999999999</v>
      </c>
      <c r="Q25" s="35" t="str">
        <f t="shared" si="5"/>
        <v/>
      </c>
    </row>
    <row r="26" spans="1:17" x14ac:dyDescent="0.2">
      <c r="A26" s="22">
        <v>537</v>
      </c>
      <c r="B26" s="22" t="s">
        <v>156</v>
      </c>
      <c r="C26" s="22" t="s">
        <v>157</v>
      </c>
      <c r="D26" s="22" t="s">
        <v>134</v>
      </c>
      <c r="E26" s="22">
        <f>COUNTIF('02_CLEAN_DATA'!$B$2:$B$570,A26)</f>
        <v>9</v>
      </c>
      <c r="F26" s="22">
        <f>COUNTIFS('02_CLEAN_DATA'!$B$2:$B$570,A26,'02_CLEAN_DATA'!$R$2:$R$570,1)</f>
        <v>8</v>
      </c>
      <c r="G26" s="22">
        <f>COUNTIFS('02_CLEAN_DATA'!$B$2:$B$570,A26,'02_CLEAN_DATA'!$W$2:$W$570,"Met")</f>
        <v>8</v>
      </c>
      <c r="H26" s="22">
        <f>COUNTIFS('02_CLEAN_DATA'!$B$2:$B$570,A26,'02_CLEAN_DATA'!$W$2:$W$570,"Missed")</f>
        <v>0</v>
      </c>
      <c r="I26" s="23">
        <f t="shared" si="0"/>
        <v>1</v>
      </c>
      <c r="J26" s="22">
        <f>COUNTIFS('02_CLEAN_DATA'!$B$2:$B$570,A26,'02_CLEAN_DATA'!$S$2:$S$570,"Customer Contracted Reasons")</f>
        <v>3</v>
      </c>
      <c r="K26" s="23">
        <f t="shared" si="1"/>
        <v>0.33333333333333331</v>
      </c>
      <c r="L26" s="24">
        <f>IFERROR(AVERAGEIF('02_CLEAN_DATA'!$B$2:$B$570,A26,'02_CLEAN_DATA'!$O$2:$O$570),"")</f>
        <v>9.3744444444444444</v>
      </c>
      <c r="M26" s="24">
        <f t="array" ref="M26">IFERROR(MEDIAN(IF('02_CLEAN_DATA'!$B$2:$B$570=A26,'02_CLEAN_DATA'!$O$2:$O$570)),"")</f>
        <v>3.85</v>
      </c>
      <c r="N26" s="35">
        <f t="shared" si="2"/>
        <v>9.3744470444444445</v>
      </c>
      <c r="O26" s="36">
        <f t="shared" si="3"/>
        <v>1.0000026</v>
      </c>
      <c r="P26" s="35">
        <f t="shared" si="4"/>
        <v>2.6000000000000001E-6</v>
      </c>
      <c r="Q26" s="35" t="str">
        <f t="shared" si="5"/>
        <v/>
      </c>
    </row>
    <row r="27" spans="1:17" x14ac:dyDescent="0.2">
      <c r="A27" s="25">
        <v>541</v>
      </c>
      <c r="B27" s="25" t="s">
        <v>158</v>
      </c>
      <c r="C27" s="25" t="s">
        <v>147</v>
      </c>
      <c r="D27" s="25" t="s">
        <v>159</v>
      </c>
      <c r="E27" s="25">
        <f>COUNTIF('02_CLEAN_DATA'!$B$2:$B$570,A27)</f>
        <v>8</v>
      </c>
      <c r="F27" s="25">
        <f>COUNTIFS('02_CLEAN_DATA'!$B$2:$B$570,A27,'02_CLEAN_DATA'!$R$2:$R$570,1)</f>
        <v>4</v>
      </c>
      <c r="G27" s="25">
        <f>COUNTIFS('02_CLEAN_DATA'!$B$2:$B$570,A27,'02_CLEAN_DATA'!$W$2:$W$570,"Met")</f>
        <v>2</v>
      </c>
      <c r="H27" s="25">
        <f>COUNTIFS('02_CLEAN_DATA'!$B$2:$B$570,A27,'02_CLEAN_DATA'!$W$2:$W$570,"Missed")</f>
        <v>2</v>
      </c>
      <c r="I27" s="26">
        <f t="shared" si="0"/>
        <v>0.5</v>
      </c>
      <c r="J27" s="25">
        <f>COUNTIFS('02_CLEAN_DATA'!$B$2:$B$570,A27,'02_CLEAN_DATA'!$S$2:$S$570,"Customer Contracted Reasons")</f>
        <v>4</v>
      </c>
      <c r="K27" s="26">
        <f t="shared" si="1"/>
        <v>0.5</v>
      </c>
      <c r="L27" s="27">
        <f>IFERROR(AVERAGEIF('02_CLEAN_DATA'!$B$2:$B$570,A27,'02_CLEAN_DATA'!$O$2:$O$570),"")</f>
        <v>59.231250000000003</v>
      </c>
      <c r="M27" s="27">
        <f t="array" ref="M27">IFERROR(MEDIAN(IF('02_CLEAN_DATA'!$B$2:$B$570=A27,'02_CLEAN_DATA'!$O$2:$O$570)),"")</f>
        <v>73.69</v>
      </c>
      <c r="N27" s="35">
        <f t="shared" si="2"/>
        <v>59.231252700000006</v>
      </c>
      <c r="O27" s="36">
        <f t="shared" si="3"/>
        <v>0.50000270000000002</v>
      </c>
      <c r="P27" s="35">
        <f t="shared" si="4"/>
        <v>2.0000027</v>
      </c>
      <c r="Q27" s="35" t="str">
        <f t="shared" si="5"/>
        <v/>
      </c>
    </row>
    <row r="28" spans="1:17" x14ac:dyDescent="0.2">
      <c r="A28" s="22">
        <v>542</v>
      </c>
      <c r="B28" s="22" t="s">
        <v>160</v>
      </c>
      <c r="C28" s="22" t="s">
        <v>161</v>
      </c>
      <c r="D28" s="22" t="s">
        <v>159</v>
      </c>
      <c r="E28" s="22">
        <f>COUNTIF('02_CLEAN_DATA'!$B$2:$B$570,A28)</f>
        <v>5</v>
      </c>
      <c r="F28" s="22">
        <f>COUNTIFS('02_CLEAN_DATA'!$B$2:$B$570,A28,'02_CLEAN_DATA'!$R$2:$R$570,1)</f>
        <v>5</v>
      </c>
      <c r="G28" s="22">
        <f>COUNTIFS('02_CLEAN_DATA'!$B$2:$B$570,A28,'02_CLEAN_DATA'!$W$2:$W$570,"Met")</f>
        <v>4</v>
      </c>
      <c r="H28" s="22">
        <f>COUNTIFS('02_CLEAN_DATA'!$B$2:$B$570,A28,'02_CLEAN_DATA'!$W$2:$W$570,"Missed")</f>
        <v>1</v>
      </c>
      <c r="I28" s="23">
        <f t="shared" si="0"/>
        <v>0.8</v>
      </c>
      <c r="J28" s="22">
        <f>COUNTIFS('02_CLEAN_DATA'!$B$2:$B$570,A28,'02_CLEAN_DATA'!$S$2:$S$570,"Customer Contracted Reasons")</f>
        <v>4</v>
      </c>
      <c r="K28" s="23">
        <f t="shared" si="1"/>
        <v>0.8</v>
      </c>
      <c r="L28" s="24">
        <f>IFERROR(AVERAGEIF('02_CLEAN_DATA'!$B$2:$B$570,A28,'02_CLEAN_DATA'!$O$2:$O$570),"")</f>
        <v>70.924000000000007</v>
      </c>
      <c r="M28" s="24">
        <f t="array" ref="M28">IFERROR(MEDIAN(IF('02_CLEAN_DATA'!$B$2:$B$570=A28,'02_CLEAN_DATA'!$O$2:$O$570)),"")</f>
        <v>17.73</v>
      </c>
      <c r="N28" s="35">
        <f t="shared" si="2"/>
        <v>70.924002800000011</v>
      </c>
      <c r="O28" s="36">
        <f t="shared" si="3"/>
        <v>0.80000280000000001</v>
      </c>
      <c r="P28" s="35">
        <f t="shared" si="4"/>
        <v>1.0000028000000001</v>
      </c>
      <c r="Q28" s="35" t="str">
        <f t="shared" si="5"/>
        <v/>
      </c>
    </row>
    <row r="29" spans="1:17" x14ac:dyDescent="0.2">
      <c r="A29" s="25">
        <v>543</v>
      </c>
      <c r="B29" s="25" t="s">
        <v>162</v>
      </c>
      <c r="C29" s="25" t="s">
        <v>163</v>
      </c>
      <c r="D29" s="25" t="s">
        <v>159</v>
      </c>
      <c r="E29" s="25">
        <f>COUNTIF('02_CLEAN_DATA'!$B$2:$B$570,A29)</f>
        <v>5</v>
      </c>
      <c r="F29" s="25">
        <f>COUNTIFS('02_CLEAN_DATA'!$B$2:$B$570,A29,'02_CLEAN_DATA'!$R$2:$R$570,1)</f>
        <v>3</v>
      </c>
      <c r="G29" s="25">
        <f>COUNTIFS('02_CLEAN_DATA'!$B$2:$B$570,A29,'02_CLEAN_DATA'!$W$2:$W$570,"Met")</f>
        <v>2</v>
      </c>
      <c r="H29" s="25">
        <f>COUNTIFS('02_CLEAN_DATA'!$B$2:$B$570,A29,'02_CLEAN_DATA'!$W$2:$W$570,"Missed")</f>
        <v>1</v>
      </c>
      <c r="I29" s="26">
        <f t="shared" si="0"/>
        <v>0.66666666666666663</v>
      </c>
      <c r="J29" s="25">
        <f>COUNTIFS('02_CLEAN_DATA'!$B$2:$B$570,A29,'02_CLEAN_DATA'!$S$2:$S$570,"Customer Contracted Reasons")</f>
        <v>1</v>
      </c>
      <c r="K29" s="26">
        <f t="shared" si="1"/>
        <v>0.2</v>
      </c>
      <c r="L29" s="27">
        <f>IFERROR(AVERAGEIF('02_CLEAN_DATA'!$B$2:$B$570,A29,'02_CLEAN_DATA'!$O$2:$O$570),"")</f>
        <v>25.084</v>
      </c>
      <c r="M29" s="27">
        <f t="array" ref="M29">IFERROR(MEDIAN(IF('02_CLEAN_DATA'!$B$2:$B$570=A29,'02_CLEAN_DATA'!$O$2:$O$570)),"")</f>
        <v>18.850000000000001</v>
      </c>
      <c r="N29" s="35">
        <f t="shared" si="2"/>
        <v>25.084002899999998</v>
      </c>
      <c r="O29" s="36">
        <f t="shared" si="3"/>
        <v>0.66666956666666666</v>
      </c>
      <c r="P29" s="35">
        <f t="shared" si="4"/>
        <v>1.0000028999999999</v>
      </c>
      <c r="Q29" s="35" t="str">
        <f t="shared" si="5"/>
        <v/>
      </c>
    </row>
    <row r="30" spans="1:17" x14ac:dyDescent="0.2">
      <c r="A30" s="22">
        <v>544</v>
      </c>
      <c r="B30" s="22" t="s">
        <v>164</v>
      </c>
      <c r="C30" s="22" t="s">
        <v>165</v>
      </c>
      <c r="D30" s="22" t="s">
        <v>159</v>
      </c>
      <c r="E30" s="22">
        <f>COUNTIF('02_CLEAN_DATA'!$B$2:$B$570,A30)</f>
        <v>16</v>
      </c>
      <c r="F30" s="22">
        <f>COUNTIFS('02_CLEAN_DATA'!$B$2:$B$570,A30,'02_CLEAN_DATA'!$R$2:$R$570,1)</f>
        <v>14</v>
      </c>
      <c r="G30" s="22">
        <f>COUNTIFS('02_CLEAN_DATA'!$B$2:$B$570,A30,'02_CLEAN_DATA'!$W$2:$W$570,"Met")</f>
        <v>8</v>
      </c>
      <c r="H30" s="22">
        <f>COUNTIFS('02_CLEAN_DATA'!$B$2:$B$570,A30,'02_CLEAN_DATA'!$W$2:$W$570,"Missed")</f>
        <v>6</v>
      </c>
      <c r="I30" s="23">
        <f t="shared" si="0"/>
        <v>0.5714285714285714</v>
      </c>
      <c r="J30" s="22">
        <f>COUNTIFS('02_CLEAN_DATA'!$B$2:$B$570,A30,'02_CLEAN_DATA'!$S$2:$S$570,"Customer Contracted Reasons")</f>
        <v>6</v>
      </c>
      <c r="K30" s="23">
        <f t="shared" si="1"/>
        <v>0.375</v>
      </c>
      <c r="L30" s="24">
        <f>IFERROR(AVERAGEIF('02_CLEAN_DATA'!$B$2:$B$570,A30,'02_CLEAN_DATA'!$O$2:$O$570),"")</f>
        <v>24.15</v>
      </c>
      <c r="M30" s="24">
        <f t="array" ref="M30">IFERROR(MEDIAN(IF('02_CLEAN_DATA'!$B$2:$B$570=A30,'02_CLEAN_DATA'!$O$2:$O$570)),"")</f>
        <v>6.7449999999999992</v>
      </c>
      <c r="N30" s="35">
        <f t="shared" si="2"/>
        <v>24.150002999999998</v>
      </c>
      <c r="O30" s="36">
        <f t="shared" si="3"/>
        <v>0.57143157142857137</v>
      </c>
      <c r="P30" s="35">
        <f t="shared" si="4"/>
        <v>6.0000030000000004</v>
      </c>
      <c r="Q30" s="36">
        <f t="shared" si="5"/>
        <v>0.42857442857142858</v>
      </c>
    </row>
    <row r="31" spans="1:17" x14ac:dyDescent="0.2">
      <c r="A31" s="25">
        <v>545</v>
      </c>
      <c r="B31" s="25" t="s">
        <v>166</v>
      </c>
      <c r="C31" s="25" t="s">
        <v>167</v>
      </c>
      <c r="D31" s="25" t="s">
        <v>159</v>
      </c>
      <c r="E31" s="25">
        <f>COUNTIF('02_CLEAN_DATA'!$B$2:$B$570,A31)</f>
        <v>7</v>
      </c>
      <c r="F31" s="25">
        <f>COUNTIFS('02_CLEAN_DATA'!$B$2:$B$570,A31,'02_CLEAN_DATA'!$R$2:$R$570,1)</f>
        <v>5</v>
      </c>
      <c r="G31" s="25">
        <f>COUNTIFS('02_CLEAN_DATA'!$B$2:$B$570,A31,'02_CLEAN_DATA'!$W$2:$W$570,"Met")</f>
        <v>4</v>
      </c>
      <c r="H31" s="25">
        <f>COUNTIFS('02_CLEAN_DATA'!$B$2:$B$570,A31,'02_CLEAN_DATA'!$W$2:$W$570,"Missed")</f>
        <v>1</v>
      </c>
      <c r="I31" s="26">
        <f t="shared" si="0"/>
        <v>0.8</v>
      </c>
      <c r="J31" s="25">
        <f>COUNTIFS('02_CLEAN_DATA'!$B$2:$B$570,A31,'02_CLEAN_DATA'!$S$2:$S$570,"Customer Contracted Reasons")</f>
        <v>3</v>
      </c>
      <c r="K31" s="26">
        <f t="shared" si="1"/>
        <v>0.42857142857142855</v>
      </c>
      <c r="L31" s="27">
        <f>IFERROR(AVERAGEIF('02_CLEAN_DATA'!$B$2:$B$570,A31,'02_CLEAN_DATA'!$O$2:$O$570),"")</f>
        <v>104.00714285714287</v>
      </c>
      <c r="M31" s="27">
        <f t="array" ref="M31">IFERROR(MEDIAN(IF('02_CLEAN_DATA'!$B$2:$B$570=A31,'02_CLEAN_DATA'!$O$2:$O$570)),"")</f>
        <v>101.43</v>
      </c>
      <c r="N31" s="35">
        <f t="shared" si="2"/>
        <v>104.00714595714287</v>
      </c>
      <c r="O31" s="36">
        <f t="shared" si="3"/>
        <v>0.80000310000000008</v>
      </c>
      <c r="P31" s="35">
        <f t="shared" si="4"/>
        <v>1.0000031</v>
      </c>
      <c r="Q31" s="35" t="str">
        <f t="shared" si="5"/>
        <v/>
      </c>
    </row>
    <row r="32" spans="1:17" x14ac:dyDescent="0.2">
      <c r="A32" s="22">
        <v>546</v>
      </c>
      <c r="B32" s="22" t="s">
        <v>168</v>
      </c>
      <c r="C32" s="22" t="s">
        <v>169</v>
      </c>
      <c r="D32" s="22" t="s">
        <v>159</v>
      </c>
      <c r="E32" s="22">
        <f>COUNTIF('02_CLEAN_DATA'!$B$2:$B$570,A32)</f>
        <v>15</v>
      </c>
      <c r="F32" s="22">
        <f>COUNTIFS('02_CLEAN_DATA'!$B$2:$B$570,A32,'02_CLEAN_DATA'!$R$2:$R$570,1)</f>
        <v>11</v>
      </c>
      <c r="G32" s="22">
        <f>COUNTIFS('02_CLEAN_DATA'!$B$2:$B$570,A32,'02_CLEAN_DATA'!$W$2:$W$570,"Met")</f>
        <v>8</v>
      </c>
      <c r="H32" s="22">
        <f>COUNTIFS('02_CLEAN_DATA'!$B$2:$B$570,A32,'02_CLEAN_DATA'!$W$2:$W$570,"Missed")</f>
        <v>3</v>
      </c>
      <c r="I32" s="23">
        <f t="shared" si="0"/>
        <v>0.72727272727272729</v>
      </c>
      <c r="J32" s="22">
        <f>COUNTIFS('02_CLEAN_DATA'!$B$2:$B$570,A32,'02_CLEAN_DATA'!$S$2:$S$570,"Customer Contracted Reasons")</f>
        <v>10</v>
      </c>
      <c r="K32" s="23">
        <f t="shared" si="1"/>
        <v>0.66666666666666663</v>
      </c>
      <c r="L32" s="24">
        <f>IFERROR(AVERAGEIF('02_CLEAN_DATA'!$B$2:$B$570,A32,'02_CLEAN_DATA'!$O$2:$O$570),"")</f>
        <v>65.364000000000004</v>
      </c>
      <c r="M32" s="24">
        <f t="array" ref="M32">IFERROR(MEDIAN(IF('02_CLEAN_DATA'!$B$2:$B$570=A32,'02_CLEAN_DATA'!$O$2:$O$570)),"")</f>
        <v>4.3499999999999996</v>
      </c>
      <c r="N32" s="35">
        <f t="shared" si="2"/>
        <v>65.364003199999999</v>
      </c>
      <c r="O32" s="36">
        <f t="shared" si="3"/>
        <v>0.72727592727272727</v>
      </c>
      <c r="P32" s="35">
        <f t="shared" si="4"/>
        <v>3.0000032000000001</v>
      </c>
      <c r="Q32" s="36">
        <f t="shared" si="5"/>
        <v>0.27273047272727269</v>
      </c>
    </row>
    <row r="33" spans="1:17" x14ac:dyDescent="0.2">
      <c r="A33" s="25">
        <v>561</v>
      </c>
      <c r="B33" s="25" t="s">
        <v>170</v>
      </c>
      <c r="C33" s="25" t="s">
        <v>171</v>
      </c>
      <c r="D33" s="25" t="s">
        <v>159</v>
      </c>
      <c r="E33" s="25">
        <f>COUNTIF('02_CLEAN_DATA'!$B$2:$B$570,A33)</f>
        <v>7</v>
      </c>
      <c r="F33" s="25">
        <f>COUNTIFS('02_CLEAN_DATA'!$B$2:$B$570,A33,'02_CLEAN_DATA'!$R$2:$R$570,1)</f>
        <v>6</v>
      </c>
      <c r="G33" s="25">
        <f>COUNTIFS('02_CLEAN_DATA'!$B$2:$B$570,A33,'02_CLEAN_DATA'!$W$2:$W$570,"Met")</f>
        <v>4</v>
      </c>
      <c r="H33" s="25">
        <f>COUNTIFS('02_CLEAN_DATA'!$B$2:$B$570,A33,'02_CLEAN_DATA'!$W$2:$W$570,"Missed")</f>
        <v>2</v>
      </c>
      <c r="I33" s="26">
        <f t="shared" si="0"/>
        <v>0.66666666666666663</v>
      </c>
      <c r="J33" s="25">
        <f>COUNTIFS('02_CLEAN_DATA'!$B$2:$B$570,A33,'02_CLEAN_DATA'!$S$2:$S$570,"Customer Contracted Reasons")</f>
        <v>5</v>
      </c>
      <c r="K33" s="26">
        <f t="shared" si="1"/>
        <v>0.7142857142857143</v>
      </c>
      <c r="L33" s="27">
        <f>IFERROR(AVERAGEIF('02_CLEAN_DATA'!$B$2:$B$570,A33,'02_CLEAN_DATA'!$O$2:$O$570),"")</f>
        <v>38.308571428571433</v>
      </c>
      <c r="M33" s="27">
        <f t="array" ref="M33">IFERROR(MEDIAN(IF('02_CLEAN_DATA'!$B$2:$B$570=A33,'02_CLEAN_DATA'!$O$2:$O$570)),"")</f>
        <v>2.17</v>
      </c>
      <c r="N33" s="35">
        <f t="shared" si="2"/>
        <v>38.308574728571436</v>
      </c>
      <c r="O33" s="36">
        <f t="shared" si="3"/>
        <v>0.66666996666666667</v>
      </c>
      <c r="P33" s="35">
        <f t="shared" si="4"/>
        <v>2.0000032999999999</v>
      </c>
      <c r="Q33" s="35" t="str">
        <f t="shared" si="5"/>
        <v/>
      </c>
    </row>
    <row r="34" spans="1:17" x14ac:dyDescent="0.2">
      <c r="A34" s="22">
        <v>562</v>
      </c>
      <c r="B34" s="22" t="s">
        <v>172</v>
      </c>
      <c r="C34" s="22" t="s">
        <v>173</v>
      </c>
      <c r="D34" s="22" t="s">
        <v>159</v>
      </c>
      <c r="E34" s="22">
        <f>COUNTIF('02_CLEAN_DATA'!$B$2:$B$570,A34)</f>
        <v>15</v>
      </c>
      <c r="F34" s="22">
        <f>COUNTIFS('02_CLEAN_DATA'!$B$2:$B$570,A34,'02_CLEAN_DATA'!$R$2:$R$570,1)</f>
        <v>11</v>
      </c>
      <c r="G34" s="22">
        <f>COUNTIFS('02_CLEAN_DATA'!$B$2:$B$570,A34,'02_CLEAN_DATA'!$W$2:$W$570,"Met")</f>
        <v>8</v>
      </c>
      <c r="H34" s="22">
        <f>COUNTIFS('02_CLEAN_DATA'!$B$2:$B$570,A34,'02_CLEAN_DATA'!$W$2:$W$570,"Missed")</f>
        <v>3</v>
      </c>
      <c r="I34" s="23">
        <f t="shared" ref="I34:I70" si="6">IF(F34=0,"",G34/F34)</f>
        <v>0.72727272727272729</v>
      </c>
      <c r="J34" s="22">
        <f>COUNTIFS('02_CLEAN_DATA'!$B$2:$B$570,A34,'02_CLEAN_DATA'!$S$2:$S$570,"Customer Contracted Reasons")</f>
        <v>12</v>
      </c>
      <c r="K34" s="23">
        <f t="shared" ref="K34:K65" si="7">IF(E34=0,"",J34/E34)</f>
        <v>0.8</v>
      </c>
      <c r="L34" s="24">
        <f>IFERROR(AVERAGEIF('02_CLEAN_DATA'!$B$2:$B$570,A34,'02_CLEAN_DATA'!$O$2:$O$570),"")</f>
        <v>63.57200000000001</v>
      </c>
      <c r="M34" s="24">
        <f t="array" ref="M34">IFERROR(MEDIAN(IF('02_CLEAN_DATA'!$B$2:$B$570=A34,'02_CLEAN_DATA'!$O$2:$O$570)),"")</f>
        <v>14.15</v>
      </c>
      <c r="N34" s="35">
        <f t="shared" ref="N34:N70" si="8">IF(E34&gt;=5,L34+ROW()/10000000,"")</f>
        <v>63.572003400000007</v>
      </c>
      <c r="O34" s="36">
        <f t="shared" ref="O34:O70" si="9">IF(E34&gt;=5,I34+ROW()/10000000,"")</f>
        <v>0.72727612727272728</v>
      </c>
      <c r="P34" s="35">
        <f t="shared" ref="P34:P70" si="10">H34+ROW()/10000000</f>
        <v>3.0000034000000002</v>
      </c>
      <c r="Q34" s="36">
        <f t="shared" ref="Q34:Q70" si="11">IF(AND(E34&gt;=10,I34&lt;&gt;""),(1-I34)+ROW()/10000000,"")</f>
        <v>0.27273067272727269</v>
      </c>
    </row>
    <row r="35" spans="1:17" x14ac:dyDescent="0.2">
      <c r="A35" s="25">
        <v>563</v>
      </c>
      <c r="B35" s="25" t="s">
        <v>174</v>
      </c>
      <c r="C35" s="25" t="s">
        <v>175</v>
      </c>
      <c r="D35" s="25" t="s">
        <v>159</v>
      </c>
      <c r="E35" s="25">
        <f>COUNTIF('02_CLEAN_DATA'!$B$2:$B$570,A35)</f>
        <v>7</v>
      </c>
      <c r="F35" s="25">
        <f>COUNTIFS('02_CLEAN_DATA'!$B$2:$B$570,A35,'02_CLEAN_DATA'!$R$2:$R$570,1)</f>
        <v>7</v>
      </c>
      <c r="G35" s="25">
        <f>COUNTIFS('02_CLEAN_DATA'!$B$2:$B$570,A35,'02_CLEAN_DATA'!$W$2:$W$570,"Met")</f>
        <v>5</v>
      </c>
      <c r="H35" s="25">
        <f>COUNTIFS('02_CLEAN_DATA'!$B$2:$B$570,A35,'02_CLEAN_DATA'!$W$2:$W$570,"Missed")</f>
        <v>2</v>
      </c>
      <c r="I35" s="26">
        <f t="shared" si="6"/>
        <v>0.7142857142857143</v>
      </c>
      <c r="J35" s="25">
        <f>COUNTIFS('02_CLEAN_DATA'!$B$2:$B$570,A35,'02_CLEAN_DATA'!$S$2:$S$570,"Customer Contracted Reasons")</f>
        <v>4</v>
      </c>
      <c r="K35" s="26">
        <f t="shared" si="7"/>
        <v>0.5714285714285714</v>
      </c>
      <c r="L35" s="27">
        <f>IFERROR(AVERAGEIF('02_CLEAN_DATA'!$B$2:$B$570,A35,'02_CLEAN_DATA'!$O$2:$O$570),"")</f>
        <v>44.924285714285716</v>
      </c>
      <c r="M35" s="27">
        <f t="array" ref="M35">IFERROR(MEDIAN(IF('02_CLEAN_DATA'!$B$2:$B$570=A35,'02_CLEAN_DATA'!$O$2:$O$570)),"")</f>
        <v>5.53</v>
      </c>
      <c r="N35" s="35">
        <f t="shared" si="8"/>
        <v>44.924289214285714</v>
      </c>
      <c r="O35" s="36">
        <f t="shared" si="9"/>
        <v>0.71428921428571435</v>
      </c>
      <c r="P35" s="35">
        <f t="shared" si="10"/>
        <v>2.0000035</v>
      </c>
      <c r="Q35" s="35" t="str">
        <f t="shared" si="11"/>
        <v/>
      </c>
    </row>
    <row r="36" spans="1:17" x14ac:dyDescent="0.2">
      <c r="A36" s="22">
        <v>606</v>
      </c>
      <c r="B36" s="22" t="s">
        <v>176</v>
      </c>
      <c r="C36" s="22" t="s">
        <v>177</v>
      </c>
      <c r="D36" s="22" t="s">
        <v>178</v>
      </c>
      <c r="E36" s="22">
        <f>COUNTIF('02_CLEAN_DATA'!$B$2:$B$570,A36)</f>
        <v>7</v>
      </c>
      <c r="F36" s="22">
        <f>COUNTIFS('02_CLEAN_DATA'!$B$2:$B$570,A36,'02_CLEAN_DATA'!$R$2:$R$570,1)</f>
        <v>2</v>
      </c>
      <c r="G36" s="22">
        <f>COUNTIFS('02_CLEAN_DATA'!$B$2:$B$570,A36,'02_CLEAN_DATA'!$W$2:$W$570,"Met")</f>
        <v>2</v>
      </c>
      <c r="H36" s="22">
        <f>COUNTIFS('02_CLEAN_DATA'!$B$2:$B$570,A36,'02_CLEAN_DATA'!$W$2:$W$570,"Missed")</f>
        <v>0</v>
      </c>
      <c r="I36" s="23">
        <f t="shared" si="6"/>
        <v>1</v>
      </c>
      <c r="J36" s="22">
        <f>COUNTIFS('02_CLEAN_DATA'!$B$2:$B$570,A36,'02_CLEAN_DATA'!$S$2:$S$570,"Customer Contracted Reasons")</f>
        <v>3</v>
      </c>
      <c r="K36" s="23">
        <f t="shared" si="7"/>
        <v>0.42857142857142855</v>
      </c>
      <c r="L36" s="24">
        <f>IFERROR(AVERAGEIF('02_CLEAN_DATA'!$B$2:$B$570,A36,'02_CLEAN_DATA'!$O$2:$O$570),"")</f>
        <v>11.034285714285716</v>
      </c>
      <c r="M36" s="24">
        <f t="array" ref="M36">IFERROR(MEDIAN(IF('02_CLEAN_DATA'!$B$2:$B$570=A36,'02_CLEAN_DATA'!$O$2:$O$570)),"")</f>
        <v>11.42</v>
      </c>
      <c r="N36" s="35">
        <f t="shared" si="8"/>
        <v>11.034289314285715</v>
      </c>
      <c r="O36" s="36">
        <f t="shared" si="9"/>
        <v>1.0000036000000001</v>
      </c>
      <c r="P36" s="35">
        <f t="shared" si="10"/>
        <v>3.5999999999999998E-6</v>
      </c>
      <c r="Q36" s="35" t="str">
        <f t="shared" si="11"/>
        <v/>
      </c>
    </row>
    <row r="37" spans="1:17" x14ac:dyDescent="0.2">
      <c r="A37" s="25">
        <v>631</v>
      </c>
      <c r="B37" s="25" t="s">
        <v>179</v>
      </c>
      <c r="C37" s="25" t="s">
        <v>180</v>
      </c>
      <c r="D37" s="25" t="s">
        <v>181</v>
      </c>
      <c r="E37" s="25">
        <f>COUNTIF('02_CLEAN_DATA'!$B$2:$B$570,A37)</f>
        <v>6</v>
      </c>
      <c r="F37" s="25">
        <f>COUNTIFS('02_CLEAN_DATA'!$B$2:$B$570,A37,'02_CLEAN_DATA'!$R$2:$R$570,1)</f>
        <v>6</v>
      </c>
      <c r="G37" s="25">
        <f>COUNTIFS('02_CLEAN_DATA'!$B$2:$B$570,A37,'02_CLEAN_DATA'!$W$2:$W$570,"Met")</f>
        <v>4</v>
      </c>
      <c r="H37" s="25">
        <f>COUNTIFS('02_CLEAN_DATA'!$B$2:$B$570,A37,'02_CLEAN_DATA'!$W$2:$W$570,"Missed")</f>
        <v>2</v>
      </c>
      <c r="I37" s="26">
        <f t="shared" si="6"/>
        <v>0.66666666666666663</v>
      </c>
      <c r="J37" s="25">
        <f>COUNTIFS('02_CLEAN_DATA'!$B$2:$B$570,A37,'02_CLEAN_DATA'!$S$2:$S$570,"Customer Contracted Reasons")</f>
        <v>5</v>
      </c>
      <c r="K37" s="26">
        <f t="shared" si="7"/>
        <v>0.83333333333333337</v>
      </c>
      <c r="L37" s="27">
        <f>IFERROR(AVERAGEIF('02_CLEAN_DATA'!$B$2:$B$570,A37,'02_CLEAN_DATA'!$O$2:$O$570),"")</f>
        <v>27.228333333333335</v>
      </c>
      <c r="M37" s="27">
        <f t="array" ref="M37">IFERROR(MEDIAN(IF('02_CLEAN_DATA'!$B$2:$B$570=A37,'02_CLEAN_DATA'!$O$2:$O$570)),"")</f>
        <v>15.39</v>
      </c>
      <c r="N37" s="35">
        <f t="shared" si="8"/>
        <v>27.228337033333336</v>
      </c>
      <c r="O37" s="36">
        <f t="shared" si="9"/>
        <v>0.66667036666666668</v>
      </c>
      <c r="P37" s="35">
        <f t="shared" si="10"/>
        <v>2.0000037000000002</v>
      </c>
      <c r="Q37" s="35" t="str">
        <f t="shared" si="11"/>
        <v/>
      </c>
    </row>
    <row r="38" spans="1:17" x14ac:dyDescent="0.2">
      <c r="A38" s="22">
        <v>632</v>
      </c>
      <c r="B38" s="22" t="s">
        <v>182</v>
      </c>
      <c r="C38" s="22" t="s">
        <v>183</v>
      </c>
      <c r="D38" s="22" t="s">
        <v>181</v>
      </c>
      <c r="E38" s="22">
        <f>COUNTIF('02_CLEAN_DATA'!$B$2:$B$570,A38)</f>
        <v>7</v>
      </c>
      <c r="F38" s="22">
        <f>COUNTIFS('02_CLEAN_DATA'!$B$2:$B$570,A38,'02_CLEAN_DATA'!$R$2:$R$570,1)</f>
        <v>5</v>
      </c>
      <c r="G38" s="22">
        <f>COUNTIFS('02_CLEAN_DATA'!$B$2:$B$570,A38,'02_CLEAN_DATA'!$W$2:$W$570,"Met")</f>
        <v>2</v>
      </c>
      <c r="H38" s="22">
        <f>COUNTIFS('02_CLEAN_DATA'!$B$2:$B$570,A38,'02_CLEAN_DATA'!$W$2:$W$570,"Missed")</f>
        <v>3</v>
      </c>
      <c r="I38" s="23">
        <f t="shared" si="6"/>
        <v>0.4</v>
      </c>
      <c r="J38" s="22">
        <f>COUNTIFS('02_CLEAN_DATA'!$B$2:$B$570,A38,'02_CLEAN_DATA'!$S$2:$S$570,"Customer Contracted Reasons")</f>
        <v>5</v>
      </c>
      <c r="K38" s="23">
        <f t="shared" si="7"/>
        <v>0.7142857142857143</v>
      </c>
      <c r="L38" s="24">
        <f>IFERROR(AVERAGEIF('02_CLEAN_DATA'!$B$2:$B$570,A38,'02_CLEAN_DATA'!$O$2:$O$570),"")</f>
        <v>18.887142857142859</v>
      </c>
      <c r="M38" s="24">
        <f t="array" ref="M38">IFERROR(MEDIAN(IF('02_CLEAN_DATA'!$B$2:$B$570=A38,'02_CLEAN_DATA'!$O$2:$O$570)),"")</f>
        <v>20.23</v>
      </c>
      <c r="N38" s="35">
        <f t="shared" si="8"/>
        <v>18.887146657142861</v>
      </c>
      <c r="O38" s="36">
        <f t="shared" si="9"/>
        <v>0.40000380000000002</v>
      </c>
      <c r="P38" s="35">
        <f t="shared" si="10"/>
        <v>3.0000038</v>
      </c>
      <c r="Q38" s="35" t="str">
        <f t="shared" si="11"/>
        <v/>
      </c>
    </row>
    <row r="39" spans="1:17" x14ac:dyDescent="0.2">
      <c r="A39" s="25">
        <v>633</v>
      </c>
      <c r="B39" s="25" t="s">
        <v>184</v>
      </c>
      <c r="C39" s="25" t="s">
        <v>185</v>
      </c>
      <c r="D39" s="25" t="s">
        <v>181</v>
      </c>
      <c r="E39" s="25">
        <f>COUNTIF('02_CLEAN_DATA'!$B$2:$B$570,A39)</f>
        <v>5</v>
      </c>
      <c r="F39" s="25">
        <f>COUNTIFS('02_CLEAN_DATA'!$B$2:$B$570,A39,'02_CLEAN_DATA'!$R$2:$R$570,1)</f>
        <v>4</v>
      </c>
      <c r="G39" s="25">
        <f>COUNTIFS('02_CLEAN_DATA'!$B$2:$B$570,A39,'02_CLEAN_DATA'!$W$2:$W$570,"Met")</f>
        <v>2</v>
      </c>
      <c r="H39" s="25">
        <f>COUNTIFS('02_CLEAN_DATA'!$B$2:$B$570,A39,'02_CLEAN_DATA'!$W$2:$W$570,"Missed")</f>
        <v>2</v>
      </c>
      <c r="I39" s="26">
        <f t="shared" si="6"/>
        <v>0.5</v>
      </c>
      <c r="J39" s="25">
        <f>COUNTIFS('02_CLEAN_DATA'!$B$2:$B$570,A39,'02_CLEAN_DATA'!$S$2:$S$570,"Customer Contracted Reasons")</f>
        <v>4</v>
      </c>
      <c r="K39" s="26">
        <f t="shared" si="7"/>
        <v>0.8</v>
      </c>
      <c r="L39" s="27">
        <f>IFERROR(AVERAGEIF('02_CLEAN_DATA'!$B$2:$B$570,A39,'02_CLEAN_DATA'!$O$2:$O$570),"")</f>
        <v>46.522500000000001</v>
      </c>
      <c r="M39" s="27">
        <f t="array" ref="M39">IFERROR(MEDIAN(IF('02_CLEAN_DATA'!$B$2:$B$570=A39,'02_CLEAN_DATA'!$O$2:$O$570)),"")</f>
        <v>24.52</v>
      </c>
      <c r="N39" s="35">
        <f t="shared" si="8"/>
        <v>46.522503900000004</v>
      </c>
      <c r="O39" s="36">
        <f t="shared" si="9"/>
        <v>0.50000389999999995</v>
      </c>
      <c r="P39" s="35">
        <f t="shared" si="10"/>
        <v>2.0000038999999998</v>
      </c>
      <c r="Q39" s="35" t="str">
        <f t="shared" si="11"/>
        <v/>
      </c>
    </row>
    <row r="40" spans="1:17" x14ac:dyDescent="0.2">
      <c r="A40" s="22">
        <v>634</v>
      </c>
      <c r="B40" s="22" t="s">
        <v>186</v>
      </c>
      <c r="C40" s="22" t="s">
        <v>187</v>
      </c>
      <c r="D40" s="22" t="s">
        <v>181</v>
      </c>
      <c r="E40" s="22">
        <f>COUNTIF('02_CLEAN_DATA'!$B$2:$B$570,A40)</f>
        <v>15</v>
      </c>
      <c r="F40" s="22">
        <f>COUNTIFS('02_CLEAN_DATA'!$B$2:$B$570,A40,'02_CLEAN_DATA'!$R$2:$R$570,1)</f>
        <v>10</v>
      </c>
      <c r="G40" s="22">
        <f>COUNTIFS('02_CLEAN_DATA'!$B$2:$B$570,A40,'02_CLEAN_DATA'!$W$2:$W$570,"Met")</f>
        <v>7</v>
      </c>
      <c r="H40" s="22">
        <f>COUNTIFS('02_CLEAN_DATA'!$B$2:$B$570,A40,'02_CLEAN_DATA'!$W$2:$W$570,"Missed")</f>
        <v>3</v>
      </c>
      <c r="I40" s="23">
        <f t="shared" si="6"/>
        <v>0.7</v>
      </c>
      <c r="J40" s="22">
        <f>COUNTIFS('02_CLEAN_DATA'!$B$2:$B$570,A40,'02_CLEAN_DATA'!$S$2:$S$570,"Customer Contracted Reasons")</f>
        <v>9</v>
      </c>
      <c r="K40" s="23">
        <f t="shared" si="7"/>
        <v>0.6</v>
      </c>
      <c r="L40" s="24">
        <f>IFERROR(AVERAGEIF('02_CLEAN_DATA'!$B$2:$B$570,A40,'02_CLEAN_DATA'!$O$2:$O$570),"")</f>
        <v>42.176666666666669</v>
      </c>
      <c r="M40" s="24">
        <f t="array" ref="M40">IFERROR(MEDIAN(IF('02_CLEAN_DATA'!$B$2:$B$570=A40,'02_CLEAN_DATA'!$O$2:$O$570)),"")</f>
        <v>20.75</v>
      </c>
      <c r="N40" s="35">
        <f t="shared" si="8"/>
        <v>42.176670666666666</v>
      </c>
      <c r="O40" s="36">
        <f t="shared" si="9"/>
        <v>0.70000399999999996</v>
      </c>
      <c r="P40" s="35">
        <f t="shared" si="10"/>
        <v>3.0000040000000001</v>
      </c>
      <c r="Q40" s="36">
        <f t="shared" si="11"/>
        <v>0.30000400000000005</v>
      </c>
    </row>
    <row r="41" spans="1:17" x14ac:dyDescent="0.2">
      <c r="A41" s="25">
        <v>635</v>
      </c>
      <c r="B41" s="25" t="s">
        <v>188</v>
      </c>
      <c r="C41" s="25" t="s">
        <v>189</v>
      </c>
      <c r="D41" s="25" t="s">
        <v>181</v>
      </c>
      <c r="E41" s="25">
        <f>COUNTIF('02_CLEAN_DATA'!$B$2:$B$570,A41)</f>
        <v>8</v>
      </c>
      <c r="F41" s="25">
        <f>COUNTIFS('02_CLEAN_DATA'!$B$2:$B$570,A41,'02_CLEAN_DATA'!$R$2:$R$570,1)</f>
        <v>8</v>
      </c>
      <c r="G41" s="25">
        <f>COUNTIFS('02_CLEAN_DATA'!$B$2:$B$570,A41,'02_CLEAN_DATA'!$W$2:$W$570,"Met")</f>
        <v>7</v>
      </c>
      <c r="H41" s="25">
        <f>COUNTIFS('02_CLEAN_DATA'!$B$2:$B$570,A41,'02_CLEAN_DATA'!$W$2:$W$570,"Missed")</f>
        <v>1</v>
      </c>
      <c r="I41" s="26">
        <f t="shared" si="6"/>
        <v>0.875</v>
      </c>
      <c r="J41" s="25">
        <f>COUNTIFS('02_CLEAN_DATA'!$B$2:$B$570,A41,'02_CLEAN_DATA'!$S$2:$S$570,"Customer Contracted Reasons")</f>
        <v>6</v>
      </c>
      <c r="K41" s="26">
        <f t="shared" si="7"/>
        <v>0.75</v>
      </c>
      <c r="L41" s="27">
        <f>IFERROR(AVERAGEIF('02_CLEAN_DATA'!$B$2:$B$570,A41,'02_CLEAN_DATA'!$O$2:$O$570),"")</f>
        <v>14.877499999999998</v>
      </c>
      <c r="M41" s="27">
        <f t="array" ref="M41">IFERROR(MEDIAN(IF('02_CLEAN_DATA'!$B$2:$B$570=A41,'02_CLEAN_DATA'!$O$2:$O$570)),"")</f>
        <v>11.625</v>
      </c>
      <c r="N41" s="35">
        <f t="shared" si="8"/>
        <v>14.877504099999998</v>
      </c>
      <c r="O41" s="36">
        <f t="shared" si="9"/>
        <v>0.87500409999999995</v>
      </c>
      <c r="P41" s="35">
        <f t="shared" si="10"/>
        <v>1.0000041</v>
      </c>
      <c r="Q41" s="35" t="str">
        <f t="shared" si="11"/>
        <v/>
      </c>
    </row>
    <row r="42" spans="1:17" x14ac:dyDescent="0.2">
      <c r="A42" s="22">
        <v>636</v>
      </c>
      <c r="B42" s="22" t="s">
        <v>190</v>
      </c>
      <c r="C42" s="22" t="s">
        <v>191</v>
      </c>
      <c r="D42" s="22" t="s">
        <v>181</v>
      </c>
      <c r="E42" s="22">
        <f>COUNTIF('02_CLEAN_DATA'!$B$2:$B$570,A42)</f>
        <v>5</v>
      </c>
      <c r="F42" s="22">
        <f>COUNTIFS('02_CLEAN_DATA'!$B$2:$B$570,A42,'02_CLEAN_DATA'!$R$2:$R$570,1)</f>
        <v>4</v>
      </c>
      <c r="G42" s="22">
        <f>COUNTIFS('02_CLEAN_DATA'!$B$2:$B$570,A42,'02_CLEAN_DATA'!$W$2:$W$570,"Met")</f>
        <v>4</v>
      </c>
      <c r="H42" s="22">
        <f>COUNTIFS('02_CLEAN_DATA'!$B$2:$B$570,A42,'02_CLEAN_DATA'!$W$2:$W$570,"Missed")</f>
        <v>0</v>
      </c>
      <c r="I42" s="23">
        <f t="shared" si="6"/>
        <v>1</v>
      </c>
      <c r="J42" s="22">
        <f>COUNTIFS('02_CLEAN_DATA'!$B$2:$B$570,A42,'02_CLEAN_DATA'!$S$2:$S$570,"Customer Contracted Reasons")</f>
        <v>1</v>
      </c>
      <c r="K42" s="23">
        <f t="shared" si="7"/>
        <v>0.2</v>
      </c>
      <c r="L42" s="24">
        <f>IFERROR(AVERAGEIF('02_CLEAN_DATA'!$B$2:$B$570,A42,'02_CLEAN_DATA'!$O$2:$O$570),"")</f>
        <v>22.771999999999998</v>
      </c>
      <c r="M42" s="24">
        <f t="array" ref="M42">IFERROR(MEDIAN(IF('02_CLEAN_DATA'!$B$2:$B$570=A42,'02_CLEAN_DATA'!$O$2:$O$570)),"")</f>
        <v>9</v>
      </c>
      <c r="N42" s="35">
        <f t="shared" si="8"/>
        <v>22.772004199999998</v>
      </c>
      <c r="O42" s="36">
        <f t="shared" si="9"/>
        <v>1.0000042</v>
      </c>
      <c r="P42" s="35">
        <f t="shared" si="10"/>
        <v>4.1999999999999996E-6</v>
      </c>
      <c r="Q42" s="35" t="str">
        <f t="shared" si="11"/>
        <v/>
      </c>
    </row>
    <row r="43" spans="1:17" x14ac:dyDescent="0.2">
      <c r="A43" s="25">
        <v>637</v>
      </c>
      <c r="B43" s="25" t="s">
        <v>192</v>
      </c>
      <c r="C43" s="25" t="s">
        <v>193</v>
      </c>
      <c r="D43" s="25" t="s">
        <v>181</v>
      </c>
      <c r="E43" s="25">
        <f>COUNTIF('02_CLEAN_DATA'!$B$2:$B$570,A43)</f>
        <v>11</v>
      </c>
      <c r="F43" s="25">
        <f>COUNTIFS('02_CLEAN_DATA'!$B$2:$B$570,A43,'02_CLEAN_DATA'!$R$2:$R$570,1)</f>
        <v>11</v>
      </c>
      <c r="G43" s="25">
        <f>COUNTIFS('02_CLEAN_DATA'!$B$2:$B$570,A43,'02_CLEAN_DATA'!$W$2:$W$570,"Met")</f>
        <v>5</v>
      </c>
      <c r="H43" s="25">
        <f>COUNTIFS('02_CLEAN_DATA'!$B$2:$B$570,A43,'02_CLEAN_DATA'!$W$2:$W$570,"Missed")</f>
        <v>6</v>
      </c>
      <c r="I43" s="26">
        <f t="shared" si="6"/>
        <v>0.45454545454545453</v>
      </c>
      <c r="J43" s="25">
        <f>COUNTIFS('02_CLEAN_DATA'!$B$2:$B$570,A43,'02_CLEAN_DATA'!$S$2:$S$570,"Customer Contracted Reasons")</f>
        <v>8</v>
      </c>
      <c r="K43" s="26">
        <f t="shared" si="7"/>
        <v>0.72727272727272729</v>
      </c>
      <c r="L43" s="27">
        <f>IFERROR(AVERAGEIF('02_CLEAN_DATA'!$B$2:$B$570,A43,'02_CLEAN_DATA'!$O$2:$O$570),"")</f>
        <v>40.399090909090908</v>
      </c>
      <c r="M43" s="27">
        <f t="array" ref="M43">IFERROR(MEDIAN(IF('02_CLEAN_DATA'!$B$2:$B$570=A43,'02_CLEAN_DATA'!$O$2:$O$570)),"")</f>
        <v>54.67</v>
      </c>
      <c r="N43" s="35">
        <f t="shared" si="8"/>
        <v>40.399095209090909</v>
      </c>
      <c r="O43" s="36">
        <f t="shared" si="9"/>
        <v>0.45454975454545454</v>
      </c>
      <c r="P43" s="35">
        <f t="shared" si="10"/>
        <v>6.0000042999999996</v>
      </c>
      <c r="Q43" s="36">
        <f t="shared" si="11"/>
        <v>0.54545884545454537</v>
      </c>
    </row>
    <row r="44" spans="1:17" x14ac:dyDescent="0.2">
      <c r="A44" s="22">
        <v>638</v>
      </c>
      <c r="B44" s="22" t="s">
        <v>194</v>
      </c>
      <c r="C44" s="22" t="s">
        <v>147</v>
      </c>
      <c r="D44" s="22" t="s">
        <v>181</v>
      </c>
      <c r="E44" s="22">
        <f>COUNTIF('02_CLEAN_DATA'!$B$2:$B$570,A44)</f>
        <v>10</v>
      </c>
      <c r="F44" s="22">
        <f>COUNTIFS('02_CLEAN_DATA'!$B$2:$B$570,A44,'02_CLEAN_DATA'!$R$2:$R$570,1)</f>
        <v>8</v>
      </c>
      <c r="G44" s="22">
        <f>COUNTIFS('02_CLEAN_DATA'!$B$2:$B$570,A44,'02_CLEAN_DATA'!$W$2:$W$570,"Met")</f>
        <v>4</v>
      </c>
      <c r="H44" s="22">
        <f>COUNTIFS('02_CLEAN_DATA'!$B$2:$B$570,A44,'02_CLEAN_DATA'!$W$2:$W$570,"Missed")</f>
        <v>4</v>
      </c>
      <c r="I44" s="23">
        <f t="shared" si="6"/>
        <v>0.5</v>
      </c>
      <c r="J44" s="22">
        <f>COUNTIFS('02_CLEAN_DATA'!$B$2:$B$570,A44,'02_CLEAN_DATA'!$S$2:$S$570,"Customer Contracted Reasons")</f>
        <v>6</v>
      </c>
      <c r="K44" s="23">
        <f t="shared" si="7"/>
        <v>0.6</v>
      </c>
      <c r="L44" s="24">
        <f>IFERROR(AVERAGEIF('02_CLEAN_DATA'!$B$2:$B$570,A44,'02_CLEAN_DATA'!$O$2:$O$570),"")</f>
        <v>31.201000000000001</v>
      </c>
      <c r="M44" s="24">
        <f t="array" ref="M44">IFERROR(MEDIAN(IF('02_CLEAN_DATA'!$B$2:$B$570=A44,'02_CLEAN_DATA'!$O$2:$O$570)),"")</f>
        <v>18.225000000000001</v>
      </c>
      <c r="N44" s="35">
        <f t="shared" si="8"/>
        <v>31.201004400000002</v>
      </c>
      <c r="O44" s="36">
        <f t="shared" si="9"/>
        <v>0.50000440000000002</v>
      </c>
      <c r="P44" s="35">
        <f t="shared" si="10"/>
        <v>4.0000043999999999</v>
      </c>
      <c r="Q44" s="36">
        <f t="shared" si="11"/>
        <v>0.50000440000000002</v>
      </c>
    </row>
    <row r="45" spans="1:17" x14ac:dyDescent="0.2">
      <c r="A45" s="25">
        <v>639</v>
      </c>
      <c r="B45" s="25" t="s">
        <v>195</v>
      </c>
      <c r="C45" s="25" t="s">
        <v>196</v>
      </c>
      <c r="D45" s="25" t="s">
        <v>181</v>
      </c>
      <c r="E45" s="25">
        <f>COUNTIF('02_CLEAN_DATA'!$B$2:$B$570,A45)</f>
        <v>13</v>
      </c>
      <c r="F45" s="25">
        <f>COUNTIFS('02_CLEAN_DATA'!$B$2:$B$570,A45,'02_CLEAN_DATA'!$R$2:$R$570,1)</f>
        <v>13</v>
      </c>
      <c r="G45" s="25">
        <f>COUNTIFS('02_CLEAN_DATA'!$B$2:$B$570,A45,'02_CLEAN_DATA'!$W$2:$W$570,"Met")</f>
        <v>13</v>
      </c>
      <c r="H45" s="25">
        <f>COUNTIFS('02_CLEAN_DATA'!$B$2:$B$570,A45,'02_CLEAN_DATA'!$W$2:$W$570,"Missed")</f>
        <v>0</v>
      </c>
      <c r="I45" s="26">
        <f t="shared" si="6"/>
        <v>1</v>
      </c>
      <c r="J45" s="25">
        <f>COUNTIFS('02_CLEAN_DATA'!$B$2:$B$570,A45,'02_CLEAN_DATA'!$S$2:$S$570,"Customer Contracted Reasons")</f>
        <v>11</v>
      </c>
      <c r="K45" s="26">
        <f t="shared" si="7"/>
        <v>0.84615384615384615</v>
      </c>
      <c r="L45" s="27">
        <f>IFERROR(AVERAGEIF('02_CLEAN_DATA'!$B$2:$B$570,A45,'02_CLEAN_DATA'!$O$2:$O$570),"")</f>
        <v>4.5523076923076919</v>
      </c>
      <c r="M45" s="27">
        <f t="array" ref="M45">IFERROR(MEDIAN(IF('02_CLEAN_DATA'!$B$2:$B$570=A45,'02_CLEAN_DATA'!$O$2:$O$570)),"")</f>
        <v>3.48</v>
      </c>
      <c r="N45" s="35">
        <f t="shared" si="8"/>
        <v>4.5523121923076921</v>
      </c>
      <c r="O45" s="36">
        <f t="shared" si="9"/>
        <v>1.0000045</v>
      </c>
      <c r="P45" s="35">
        <f t="shared" si="10"/>
        <v>4.5000000000000001E-6</v>
      </c>
      <c r="Q45" s="36">
        <f t="shared" si="11"/>
        <v>4.5000000000000001E-6</v>
      </c>
    </row>
    <row r="46" spans="1:17" x14ac:dyDescent="0.2">
      <c r="A46" s="22">
        <v>640</v>
      </c>
      <c r="B46" s="22" t="s">
        <v>197</v>
      </c>
      <c r="C46" s="22" t="s">
        <v>198</v>
      </c>
      <c r="D46" s="22" t="s">
        <v>178</v>
      </c>
      <c r="E46" s="22">
        <f>COUNTIF('02_CLEAN_DATA'!$B$2:$B$570,A46)</f>
        <v>10</v>
      </c>
      <c r="F46" s="22">
        <f>COUNTIFS('02_CLEAN_DATA'!$B$2:$B$570,A46,'02_CLEAN_DATA'!$R$2:$R$570,1)</f>
        <v>10</v>
      </c>
      <c r="G46" s="22">
        <f>COUNTIFS('02_CLEAN_DATA'!$B$2:$B$570,A46,'02_CLEAN_DATA'!$W$2:$W$570,"Met")</f>
        <v>9</v>
      </c>
      <c r="H46" s="22">
        <f>COUNTIFS('02_CLEAN_DATA'!$B$2:$B$570,A46,'02_CLEAN_DATA'!$W$2:$W$570,"Missed")</f>
        <v>1</v>
      </c>
      <c r="I46" s="23">
        <f t="shared" si="6"/>
        <v>0.9</v>
      </c>
      <c r="J46" s="22">
        <f>COUNTIFS('02_CLEAN_DATA'!$B$2:$B$570,A46,'02_CLEAN_DATA'!$S$2:$S$570,"Customer Contracted Reasons")</f>
        <v>7</v>
      </c>
      <c r="K46" s="23">
        <f t="shared" si="7"/>
        <v>0.7</v>
      </c>
      <c r="L46" s="24">
        <f>IFERROR(AVERAGEIF('02_CLEAN_DATA'!$B$2:$B$570,A46,'02_CLEAN_DATA'!$O$2:$O$570),"")</f>
        <v>22.332000000000001</v>
      </c>
      <c r="M46" s="24">
        <f t="array" ref="M46">IFERROR(MEDIAN(IF('02_CLEAN_DATA'!$B$2:$B$570=A46,'02_CLEAN_DATA'!$O$2:$O$570)),"")</f>
        <v>17.975000000000001</v>
      </c>
      <c r="N46" s="35">
        <f t="shared" si="8"/>
        <v>22.332004600000001</v>
      </c>
      <c r="O46" s="36">
        <f t="shared" si="9"/>
        <v>0.90000460000000004</v>
      </c>
      <c r="P46" s="35">
        <f t="shared" si="10"/>
        <v>1.0000046</v>
      </c>
      <c r="Q46" s="36">
        <f t="shared" si="11"/>
        <v>0.10000459999999997</v>
      </c>
    </row>
    <row r="47" spans="1:17" x14ac:dyDescent="0.2">
      <c r="A47" s="25">
        <v>642</v>
      </c>
      <c r="B47" s="25" t="s">
        <v>199</v>
      </c>
      <c r="C47" s="25" t="s">
        <v>200</v>
      </c>
      <c r="D47" s="25" t="s">
        <v>178</v>
      </c>
      <c r="E47" s="25">
        <f>COUNTIF('02_CLEAN_DATA'!$B$2:$B$570,A47)</f>
        <v>14</v>
      </c>
      <c r="F47" s="25">
        <f>COUNTIFS('02_CLEAN_DATA'!$B$2:$B$570,A47,'02_CLEAN_DATA'!$R$2:$R$570,1)</f>
        <v>11</v>
      </c>
      <c r="G47" s="25">
        <f>COUNTIFS('02_CLEAN_DATA'!$B$2:$B$570,A47,'02_CLEAN_DATA'!$W$2:$W$570,"Met")</f>
        <v>10</v>
      </c>
      <c r="H47" s="25">
        <f>COUNTIFS('02_CLEAN_DATA'!$B$2:$B$570,A47,'02_CLEAN_DATA'!$W$2:$W$570,"Missed")</f>
        <v>1</v>
      </c>
      <c r="I47" s="26">
        <f t="shared" si="6"/>
        <v>0.90909090909090906</v>
      </c>
      <c r="J47" s="25">
        <f>COUNTIFS('02_CLEAN_DATA'!$B$2:$B$570,A47,'02_CLEAN_DATA'!$S$2:$S$570,"Customer Contracted Reasons")</f>
        <v>11</v>
      </c>
      <c r="K47" s="26">
        <f t="shared" si="7"/>
        <v>0.7857142857142857</v>
      </c>
      <c r="L47" s="27">
        <f>IFERROR(AVERAGEIF('02_CLEAN_DATA'!$B$2:$B$570,A47,'02_CLEAN_DATA'!$O$2:$O$570),"")</f>
        <v>37.463571428571427</v>
      </c>
      <c r="M47" s="27">
        <f t="array" ref="M47">IFERROR(MEDIAN(IF('02_CLEAN_DATA'!$B$2:$B$570=A47,'02_CLEAN_DATA'!$O$2:$O$570)),"")</f>
        <v>14.66</v>
      </c>
      <c r="N47" s="35">
        <f t="shared" si="8"/>
        <v>37.463576128571425</v>
      </c>
      <c r="O47" s="36">
        <f t="shared" si="9"/>
        <v>0.90909560909090903</v>
      </c>
      <c r="P47" s="35">
        <f t="shared" si="10"/>
        <v>1.0000047000000001</v>
      </c>
      <c r="Q47" s="36">
        <f t="shared" si="11"/>
        <v>9.0913790909090936E-2</v>
      </c>
    </row>
    <row r="48" spans="1:17" x14ac:dyDescent="0.2">
      <c r="A48" s="22">
        <v>643</v>
      </c>
      <c r="B48" s="22" t="s">
        <v>201</v>
      </c>
      <c r="C48" s="22" t="s">
        <v>202</v>
      </c>
      <c r="D48" s="22" t="s">
        <v>178</v>
      </c>
      <c r="E48" s="22">
        <f>COUNTIF('02_CLEAN_DATA'!$B$2:$B$570,A48)</f>
        <v>12</v>
      </c>
      <c r="F48" s="22">
        <f>COUNTIFS('02_CLEAN_DATA'!$B$2:$B$570,A48,'02_CLEAN_DATA'!$R$2:$R$570,1)</f>
        <v>9</v>
      </c>
      <c r="G48" s="22">
        <f>COUNTIFS('02_CLEAN_DATA'!$B$2:$B$570,A48,'02_CLEAN_DATA'!$W$2:$W$570,"Met")</f>
        <v>9</v>
      </c>
      <c r="H48" s="22">
        <f>COUNTIFS('02_CLEAN_DATA'!$B$2:$B$570,A48,'02_CLEAN_DATA'!$W$2:$W$570,"Missed")</f>
        <v>0</v>
      </c>
      <c r="I48" s="23">
        <f t="shared" si="6"/>
        <v>1</v>
      </c>
      <c r="J48" s="22">
        <f>COUNTIFS('02_CLEAN_DATA'!$B$2:$B$570,A48,'02_CLEAN_DATA'!$S$2:$S$570,"Customer Contracted Reasons")</f>
        <v>9</v>
      </c>
      <c r="K48" s="23">
        <f t="shared" si="7"/>
        <v>0.75</v>
      </c>
      <c r="L48" s="24">
        <f>IFERROR(AVERAGEIF('02_CLEAN_DATA'!$B$2:$B$570,A48,'02_CLEAN_DATA'!$O$2:$O$570),"")</f>
        <v>14.861666666666665</v>
      </c>
      <c r="M48" s="24">
        <f t="array" ref="M48">IFERROR(MEDIAN(IF('02_CLEAN_DATA'!$B$2:$B$570=A48,'02_CLEAN_DATA'!$O$2:$O$570)),"")</f>
        <v>6.3149999999999995</v>
      </c>
      <c r="N48" s="35">
        <f t="shared" si="8"/>
        <v>14.861671466666664</v>
      </c>
      <c r="O48" s="36">
        <f t="shared" si="9"/>
        <v>1.0000047999999999</v>
      </c>
      <c r="P48" s="35">
        <f t="shared" si="10"/>
        <v>4.7999999999999998E-6</v>
      </c>
      <c r="Q48" s="36">
        <f t="shared" si="11"/>
        <v>4.7999999999999998E-6</v>
      </c>
    </row>
    <row r="49" spans="1:17" x14ac:dyDescent="0.2">
      <c r="A49" s="25">
        <v>644</v>
      </c>
      <c r="B49" s="25" t="s">
        <v>203</v>
      </c>
      <c r="C49" s="25" t="s">
        <v>204</v>
      </c>
      <c r="D49" s="25" t="s">
        <v>178</v>
      </c>
      <c r="E49" s="25">
        <f>COUNTIF('02_CLEAN_DATA'!$B$2:$B$570,A49)</f>
        <v>4</v>
      </c>
      <c r="F49" s="25">
        <f>COUNTIFS('02_CLEAN_DATA'!$B$2:$B$570,A49,'02_CLEAN_DATA'!$R$2:$R$570,1)</f>
        <v>4</v>
      </c>
      <c r="G49" s="25">
        <f>COUNTIFS('02_CLEAN_DATA'!$B$2:$B$570,A49,'02_CLEAN_DATA'!$W$2:$W$570,"Met")</f>
        <v>4</v>
      </c>
      <c r="H49" s="25">
        <f>COUNTIFS('02_CLEAN_DATA'!$B$2:$B$570,A49,'02_CLEAN_DATA'!$W$2:$W$570,"Missed")</f>
        <v>0</v>
      </c>
      <c r="I49" s="26">
        <f t="shared" si="6"/>
        <v>1</v>
      </c>
      <c r="J49" s="25">
        <f>COUNTIFS('02_CLEAN_DATA'!$B$2:$B$570,A49,'02_CLEAN_DATA'!$S$2:$S$570,"Customer Contracted Reasons")</f>
        <v>3</v>
      </c>
      <c r="K49" s="26">
        <f t="shared" si="7"/>
        <v>0.75</v>
      </c>
      <c r="L49" s="27">
        <f>IFERROR(AVERAGEIF('02_CLEAN_DATA'!$B$2:$B$570,A49,'02_CLEAN_DATA'!$O$2:$O$570),"")</f>
        <v>5.9949999999999992</v>
      </c>
      <c r="M49" s="27">
        <f t="array" ref="M49">IFERROR(MEDIAN(IF('02_CLEAN_DATA'!$B$2:$B$570=A49,'02_CLEAN_DATA'!$O$2:$O$570)),"")</f>
        <v>3.0150000000000001</v>
      </c>
      <c r="N49" s="35" t="str">
        <f t="shared" si="8"/>
        <v/>
      </c>
      <c r="O49" s="35" t="str">
        <f t="shared" si="9"/>
        <v/>
      </c>
      <c r="P49" s="35">
        <f t="shared" si="10"/>
        <v>4.8999999999999997E-6</v>
      </c>
      <c r="Q49" s="35" t="str">
        <f t="shared" si="11"/>
        <v/>
      </c>
    </row>
    <row r="50" spans="1:17" x14ac:dyDescent="0.2">
      <c r="A50" s="22">
        <v>645</v>
      </c>
      <c r="B50" s="22" t="s">
        <v>205</v>
      </c>
      <c r="C50" s="22" t="s">
        <v>206</v>
      </c>
      <c r="D50" s="22" t="s">
        <v>178</v>
      </c>
      <c r="E50" s="22">
        <f>COUNTIF('02_CLEAN_DATA'!$B$2:$B$570,A50)</f>
        <v>7</v>
      </c>
      <c r="F50" s="22">
        <f>COUNTIFS('02_CLEAN_DATA'!$B$2:$B$570,A50,'02_CLEAN_DATA'!$R$2:$R$570,1)</f>
        <v>5</v>
      </c>
      <c r="G50" s="22">
        <f>COUNTIFS('02_CLEAN_DATA'!$B$2:$B$570,A50,'02_CLEAN_DATA'!$W$2:$W$570,"Met")</f>
        <v>5</v>
      </c>
      <c r="H50" s="22">
        <f>COUNTIFS('02_CLEAN_DATA'!$B$2:$B$570,A50,'02_CLEAN_DATA'!$W$2:$W$570,"Missed")</f>
        <v>0</v>
      </c>
      <c r="I50" s="23">
        <f t="shared" si="6"/>
        <v>1</v>
      </c>
      <c r="J50" s="22">
        <f>COUNTIFS('02_CLEAN_DATA'!$B$2:$B$570,A50,'02_CLEAN_DATA'!$S$2:$S$570,"Customer Contracted Reasons")</f>
        <v>1</v>
      </c>
      <c r="K50" s="23">
        <f t="shared" si="7"/>
        <v>0.14285714285714285</v>
      </c>
      <c r="L50" s="24">
        <f>IFERROR(AVERAGEIF('02_CLEAN_DATA'!$B$2:$B$570,A50,'02_CLEAN_DATA'!$O$2:$O$570),"")</f>
        <v>8.4428571428571413</v>
      </c>
      <c r="M50" s="24">
        <f t="array" ref="M50">IFERROR(MEDIAN(IF('02_CLEAN_DATA'!$B$2:$B$570=A50,'02_CLEAN_DATA'!$O$2:$O$570)),"")</f>
        <v>4</v>
      </c>
      <c r="N50" s="35">
        <f t="shared" si="8"/>
        <v>8.4428621428571411</v>
      </c>
      <c r="O50" s="36">
        <f t="shared" si="9"/>
        <v>1.000005</v>
      </c>
      <c r="P50" s="35">
        <f t="shared" si="10"/>
        <v>5.0000000000000004E-6</v>
      </c>
      <c r="Q50" s="35" t="str">
        <f t="shared" si="11"/>
        <v/>
      </c>
    </row>
    <row r="51" spans="1:17" x14ac:dyDescent="0.2">
      <c r="A51" s="25">
        <v>647</v>
      </c>
      <c r="B51" s="25" t="s">
        <v>207</v>
      </c>
      <c r="C51" s="25" t="s">
        <v>208</v>
      </c>
      <c r="D51" s="25" t="s">
        <v>178</v>
      </c>
      <c r="E51" s="25">
        <f>COUNTIF('02_CLEAN_DATA'!$B$2:$B$570,A51)</f>
        <v>16</v>
      </c>
      <c r="F51" s="25">
        <f>COUNTIFS('02_CLEAN_DATA'!$B$2:$B$570,A51,'02_CLEAN_DATA'!$R$2:$R$570,1)</f>
        <v>14</v>
      </c>
      <c r="G51" s="25">
        <f>COUNTIFS('02_CLEAN_DATA'!$B$2:$B$570,A51,'02_CLEAN_DATA'!$W$2:$W$570,"Met")</f>
        <v>4</v>
      </c>
      <c r="H51" s="25">
        <f>COUNTIFS('02_CLEAN_DATA'!$B$2:$B$570,A51,'02_CLEAN_DATA'!$W$2:$W$570,"Missed")</f>
        <v>10</v>
      </c>
      <c r="I51" s="26">
        <f t="shared" si="6"/>
        <v>0.2857142857142857</v>
      </c>
      <c r="J51" s="25">
        <f>COUNTIFS('02_CLEAN_DATA'!$B$2:$B$570,A51,'02_CLEAN_DATA'!$S$2:$S$570,"Customer Contracted Reasons")</f>
        <v>7</v>
      </c>
      <c r="K51" s="26">
        <f t="shared" si="7"/>
        <v>0.4375</v>
      </c>
      <c r="L51" s="27">
        <f>IFERROR(AVERAGEIF('02_CLEAN_DATA'!$B$2:$B$570,A51,'02_CLEAN_DATA'!$O$2:$O$570),"")</f>
        <v>85.784375000000011</v>
      </c>
      <c r="M51" s="27">
        <f t="array" ref="M51">IFERROR(MEDIAN(IF('02_CLEAN_DATA'!$B$2:$B$570=A51,'02_CLEAN_DATA'!$O$2:$O$570)),"")</f>
        <v>55.134999999999998</v>
      </c>
      <c r="N51" s="35">
        <f t="shared" si="8"/>
        <v>85.784380100000007</v>
      </c>
      <c r="O51" s="36">
        <f t="shared" si="9"/>
        <v>0.28571938571428568</v>
      </c>
      <c r="P51" s="35">
        <f t="shared" si="10"/>
        <v>10.000005099999999</v>
      </c>
      <c r="Q51" s="36">
        <f t="shared" si="11"/>
        <v>0.71429081428571428</v>
      </c>
    </row>
    <row r="52" spans="1:17" x14ac:dyDescent="0.2">
      <c r="A52" s="22">
        <v>648</v>
      </c>
      <c r="B52" s="22" t="s">
        <v>209</v>
      </c>
      <c r="C52" s="22" t="s">
        <v>210</v>
      </c>
      <c r="D52" s="22" t="s">
        <v>178</v>
      </c>
      <c r="E52" s="22">
        <f>COUNTIF('02_CLEAN_DATA'!$B$2:$B$570,A52)</f>
        <v>12</v>
      </c>
      <c r="F52" s="22">
        <f>COUNTIFS('02_CLEAN_DATA'!$B$2:$B$570,A52,'02_CLEAN_DATA'!$R$2:$R$570,1)</f>
        <v>6</v>
      </c>
      <c r="G52" s="22">
        <f>COUNTIFS('02_CLEAN_DATA'!$B$2:$B$570,A52,'02_CLEAN_DATA'!$W$2:$W$570,"Met")</f>
        <v>5</v>
      </c>
      <c r="H52" s="22">
        <f>COUNTIFS('02_CLEAN_DATA'!$B$2:$B$570,A52,'02_CLEAN_DATA'!$W$2:$W$570,"Missed")</f>
        <v>1</v>
      </c>
      <c r="I52" s="23">
        <f t="shared" si="6"/>
        <v>0.83333333333333337</v>
      </c>
      <c r="J52" s="22">
        <f>COUNTIFS('02_CLEAN_DATA'!$B$2:$B$570,A52,'02_CLEAN_DATA'!$S$2:$S$570,"Customer Contracted Reasons")</f>
        <v>2</v>
      </c>
      <c r="K52" s="23">
        <f t="shared" si="7"/>
        <v>0.16666666666666666</v>
      </c>
      <c r="L52" s="24">
        <f>IFERROR(AVERAGEIF('02_CLEAN_DATA'!$B$2:$B$570,A52,'02_CLEAN_DATA'!$O$2:$O$570),"")</f>
        <v>19.134166666666662</v>
      </c>
      <c r="M52" s="24">
        <f t="array" ref="M52">IFERROR(MEDIAN(IF('02_CLEAN_DATA'!$B$2:$B$570=A52,'02_CLEAN_DATA'!$O$2:$O$570)),"")</f>
        <v>13.625</v>
      </c>
      <c r="N52" s="35">
        <f t="shared" si="8"/>
        <v>19.134171866666662</v>
      </c>
      <c r="O52" s="36">
        <f t="shared" si="9"/>
        <v>0.83333853333333341</v>
      </c>
      <c r="P52" s="35">
        <f t="shared" si="10"/>
        <v>1.0000051999999999</v>
      </c>
      <c r="Q52" s="36">
        <f t="shared" si="11"/>
        <v>0.16667186666666664</v>
      </c>
    </row>
    <row r="53" spans="1:17" x14ac:dyDescent="0.2">
      <c r="A53" s="25">
        <v>649</v>
      </c>
      <c r="B53" s="25" t="s">
        <v>211</v>
      </c>
      <c r="C53" s="25" t="s">
        <v>212</v>
      </c>
      <c r="D53" s="25" t="s">
        <v>178</v>
      </c>
      <c r="E53" s="25">
        <f>COUNTIF('02_CLEAN_DATA'!$B$2:$B$570,A53)</f>
        <v>7</v>
      </c>
      <c r="F53" s="25">
        <f>COUNTIFS('02_CLEAN_DATA'!$B$2:$B$570,A53,'02_CLEAN_DATA'!$R$2:$R$570,1)</f>
        <v>5</v>
      </c>
      <c r="G53" s="25">
        <f>COUNTIFS('02_CLEAN_DATA'!$B$2:$B$570,A53,'02_CLEAN_DATA'!$W$2:$W$570,"Met")</f>
        <v>5</v>
      </c>
      <c r="H53" s="25">
        <f>COUNTIFS('02_CLEAN_DATA'!$B$2:$B$570,A53,'02_CLEAN_DATA'!$W$2:$W$570,"Missed")</f>
        <v>0</v>
      </c>
      <c r="I53" s="26">
        <f t="shared" si="6"/>
        <v>1</v>
      </c>
      <c r="J53" s="25">
        <f>COUNTIFS('02_CLEAN_DATA'!$B$2:$B$570,A53,'02_CLEAN_DATA'!$S$2:$S$570,"Customer Contracted Reasons")</f>
        <v>5</v>
      </c>
      <c r="K53" s="26">
        <f t="shared" si="7"/>
        <v>0.7142857142857143</v>
      </c>
      <c r="L53" s="27">
        <f>IFERROR(AVERAGEIF('02_CLEAN_DATA'!$B$2:$B$570,A53,'02_CLEAN_DATA'!$O$2:$O$570),"")</f>
        <v>8.7842857142857138</v>
      </c>
      <c r="M53" s="27">
        <f t="array" ref="M53">IFERROR(MEDIAN(IF('02_CLEAN_DATA'!$B$2:$B$570=A53,'02_CLEAN_DATA'!$O$2:$O$570)),"")</f>
        <v>6.17</v>
      </c>
      <c r="N53" s="35">
        <f t="shared" si="8"/>
        <v>8.7842910142857136</v>
      </c>
      <c r="O53" s="36">
        <f t="shared" si="9"/>
        <v>1.0000053</v>
      </c>
      <c r="P53" s="35">
        <f t="shared" si="10"/>
        <v>5.3000000000000001E-6</v>
      </c>
      <c r="Q53" s="35" t="str">
        <f t="shared" si="11"/>
        <v/>
      </c>
    </row>
    <row r="54" spans="1:17" x14ac:dyDescent="0.2">
      <c r="A54" s="22">
        <v>701</v>
      </c>
      <c r="B54" s="22" t="s">
        <v>213</v>
      </c>
      <c r="C54" s="22" t="s">
        <v>214</v>
      </c>
      <c r="D54" s="22" t="s">
        <v>215</v>
      </c>
      <c r="E54" s="22">
        <f>COUNTIF('02_CLEAN_DATA'!$B$2:$B$570,A54)</f>
        <v>10</v>
      </c>
      <c r="F54" s="22">
        <f>COUNTIFS('02_CLEAN_DATA'!$B$2:$B$570,A54,'02_CLEAN_DATA'!$R$2:$R$570,1)</f>
        <v>9</v>
      </c>
      <c r="G54" s="22">
        <f>COUNTIFS('02_CLEAN_DATA'!$B$2:$B$570,A54,'02_CLEAN_DATA'!$W$2:$W$570,"Met")</f>
        <v>7</v>
      </c>
      <c r="H54" s="22">
        <f>COUNTIFS('02_CLEAN_DATA'!$B$2:$B$570,A54,'02_CLEAN_DATA'!$W$2:$W$570,"Missed")</f>
        <v>2</v>
      </c>
      <c r="I54" s="23">
        <f t="shared" si="6"/>
        <v>0.77777777777777779</v>
      </c>
      <c r="J54" s="22">
        <f>COUNTIFS('02_CLEAN_DATA'!$B$2:$B$570,A54,'02_CLEAN_DATA'!$S$2:$S$570,"Customer Contracted Reasons")</f>
        <v>2</v>
      </c>
      <c r="K54" s="23">
        <f t="shared" si="7"/>
        <v>0.2</v>
      </c>
      <c r="L54" s="24">
        <f>IFERROR(AVERAGEIF('02_CLEAN_DATA'!$B$2:$B$570,A54,'02_CLEAN_DATA'!$O$2:$O$570),"")</f>
        <v>25.117999999999999</v>
      </c>
      <c r="M54" s="24">
        <f t="array" ref="M54">IFERROR(MEDIAN(IF('02_CLEAN_DATA'!$B$2:$B$570=A54,'02_CLEAN_DATA'!$O$2:$O$570)),"")</f>
        <v>3.0350000000000001</v>
      </c>
      <c r="N54" s="35">
        <f t="shared" si="8"/>
        <v>25.118005399999998</v>
      </c>
      <c r="O54" s="36">
        <f t="shared" si="9"/>
        <v>0.77778317777777783</v>
      </c>
      <c r="P54" s="35">
        <f t="shared" si="10"/>
        <v>2.0000054</v>
      </c>
      <c r="Q54" s="36">
        <f t="shared" si="11"/>
        <v>0.2222276222222222</v>
      </c>
    </row>
    <row r="55" spans="1:17" x14ac:dyDescent="0.2">
      <c r="A55" s="25">
        <v>707</v>
      </c>
      <c r="B55" s="25" t="s">
        <v>216</v>
      </c>
      <c r="C55" s="25" t="s">
        <v>217</v>
      </c>
      <c r="D55" s="25" t="s">
        <v>215</v>
      </c>
      <c r="E55" s="25">
        <f>COUNTIF('02_CLEAN_DATA'!$B$2:$B$570,A55)</f>
        <v>2</v>
      </c>
      <c r="F55" s="25">
        <f>COUNTIFS('02_CLEAN_DATA'!$B$2:$B$570,A55,'02_CLEAN_DATA'!$R$2:$R$570,1)</f>
        <v>2</v>
      </c>
      <c r="G55" s="25">
        <f>COUNTIFS('02_CLEAN_DATA'!$B$2:$B$570,A55,'02_CLEAN_DATA'!$W$2:$W$570,"Met")</f>
        <v>2</v>
      </c>
      <c r="H55" s="25">
        <f>COUNTIFS('02_CLEAN_DATA'!$B$2:$B$570,A55,'02_CLEAN_DATA'!$W$2:$W$570,"Missed")</f>
        <v>0</v>
      </c>
      <c r="I55" s="26">
        <f t="shared" si="6"/>
        <v>1</v>
      </c>
      <c r="J55" s="25">
        <f>COUNTIFS('02_CLEAN_DATA'!$B$2:$B$570,A55,'02_CLEAN_DATA'!$S$2:$S$570,"Customer Contracted Reasons")</f>
        <v>2</v>
      </c>
      <c r="K55" s="26">
        <f t="shared" si="7"/>
        <v>1</v>
      </c>
      <c r="L55" s="27">
        <f>IFERROR(AVERAGEIF('02_CLEAN_DATA'!$B$2:$B$570,A55,'02_CLEAN_DATA'!$O$2:$O$570),"")</f>
        <v>4.0999999999999996</v>
      </c>
      <c r="M55" s="27">
        <f t="array" ref="M55">IFERROR(MEDIAN(IF('02_CLEAN_DATA'!$B$2:$B$570=A55,'02_CLEAN_DATA'!$O$2:$O$570)),"")</f>
        <v>4.0999999999999996</v>
      </c>
      <c r="N55" s="35" t="str">
        <f t="shared" si="8"/>
        <v/>
      </c>
      <c r="O55" s="35" t="str">
        <f t="shared" si="9"/>
        <v/>
      </c>
      <c r="P55" s="35">
        <f t="shared" si="10"/>
        <v>5.4999999999999999E-6</v>
      </c>
      <c r="Q55" s="35" t="str">
        <f t="shared" si="11"/>
        <v/>
      </c>
    </row>
    <row r="56" spans="1:17" x14ac:dyDescent="0.2">
      <c r="A56" s="22">
        <v>708</v>
      </c>
      <c r="B56" s="22" t="s">
        <v>218</v>
      </c>
      <c r="C56" s="22" t="s">
        <v>219</v>
      </c>
      <c r="D56" s="22" t="s">
        <v>215</v>
      </c>
      <c r="E56" s="22">
        <f>COUNTIF('02_CLEAN_DATA'!$B$2:$B$570,A56)</f>
        <v>3</v>
      </c>
      <c r="F56" s="22">
        <f>COUNTIFS('02_CLEAN_DATA'!$B$2:$B$570,A56,'02_CLEAN_DATA'!$R$2:$R$570,1)</f>
        <v>3</v>
      </c>
      <c r="G56" s="22">
        <f>COUNTIFS('02_CLEAN_DATA'!$B$2:$B$570,A56,'02_CLEAN_DATA'!$W$2:$W$570,"Met")</f>
        <v>3</v>
      </c>
      <c r="H56" s="22">
        <f>COUNTIFS('02_CLEAN_DATA'!$B$2:$B$570,A56,'02_CLEAN_DATA'!$W$2:$W$570,"Missed")</f>
        <v>0</v>
      </c>
      <c r="I56" s="23">
        <f t="shared" si="6"/>
        <v>1</v>
      </c>
      <c r="J56" s="22">
        <f>COUNTIFS('02_CLEAN_DATA'!$B$2:$B$570,A56,'02_CLEAN_DATA'!$S$2:$S$570,"Customer Contracted Reasons")</f>
        <v>3</v>
      </c>
      <c r="K56" s="23">
        <f t="shared" si="7"/>
        <v>1</v>
      </c>
      <c r="L56" s="24">
        <f>IFERROR(AVERAGEIF('02_CLEAN_DATA'!$B$2:$B$570,A56,'02_CLEAN_DATA'!$O$2:$O$570),"")</f>
        <v>5.666666666666667</v>
      </c>
      <c r="M56" s="24">
        <f t="array" ref="M56">IFERROR(MEDIAN(IF('02_CLEAN_DATA'!$B$2:$B$570=A56,'02_CLEAN_DATA'!$O$2:$O$570)),"")</f>
        <v>6.75</v>
      </c>
      <c r="N56" s="35" t="str">
        <f t="shared" si="8"/>
        <v/>
      </c>
      <c r="O56" s="35" t="str">
        <f t="shared" si="9"/>
        <v/>
      </c>
      <c r="P56" s="35">
        <f t="shared" si="10"/>
        <v>5.5999999999999997E-6</v>
      </c>
      <c r="Q56" s="35" t="str">
        <f t="shared" si="11"/>
        <v/>
      </c>
    </row>
    <row r="57" spans="1:17" x14ac:dyDescent="0.2">
      <c r="A57" s="25">
        <v>710</v>
      </c>
      <c r="B57" s="25" t="s">
        <v>220</v>
      </c>
      <c r="C57" s="25" t="s">
        <v>221</v>
      </c>
      <c r="D57" s="25" t="s">
        <v>215</v>
      </c>
      <c r="E57" s="25">
        <f>COUNTIF('02_CLEAN_DATA'!$B$2:$B$570,A57)</f>
        <v>7</v>
      </c>
      <c r="F57" s="25">
        <f>COUNTIFS('02_CLEAN_DATA'!$B$2:$B$570,A57,'02_CLEAN_DATA'!$R$2:$R$570,1)</f>
        <v>7</v>
      </c>
      <c r="G57" s="25">
        <f>COUNTIFS('02_CLEAN_DATA'!$B$2:$B$570,A57,'02_CLEAN_DATA'!$W$2:$W$570,"Met")</f>
        <v>5</v>
      </c>
      <c r="H57" s="25">
        <f>COUNTIFS('02_CLEAN_DATA'!$B$2:$B$570,A57,'02_CLEAN_DATA'!$W$2:$W$570,"Missed")</f>
        <v>2</v>
      </c>
      <c r="I57" s="26">
        <f t="shared" si="6"/>
        <v>0.7142857142857143</v>
      </c>
      <c r="J57" s="25">
        <f>COUNTIFS('02_CLEAN_DATA'!$B$2:$B$570,A57,'02_CLEAN_DATA'!$S$2:$S$570,"Customer Contracted Reasons")</f>
        <v>7</v>
      </c>
      <c r="K57" s="26">
        <f t="shared" si="7"/>
        <v>1</v>
      </c>
      <c r="L57" s="27">
        <f>IFERROR(AVERAGEIF('02_CLEAN_DATA'!$B$2:$B$570,A57,'02_CLEAN_DATA'!$O$2:$O$570),"")</f>
        <v>21.99285714285714</v>
      </c>
      <c r="M57" s="27">
        <f t="array" ref="M57">IFERROR(MEDIAN(IF('02_CLEAN_DATA'!$B$2:$B$570=A57,'02_CLEAN_DATA'!$O$2:$O$570)),"")</f>
        <v>10.3</v>
      </c>
      <c r="N57" s="35">
        <f t="shared" si="8"/>
        <v>21.992862842857139</v>
      </c>
      <c r="O57" s="36">
        <f t="shared" si="9"/>
        <v>0.7142914142857143</v>
      </c>
      <c r="P57" s="35">
        <f t="shared" si="10"/>
        <v>2.0000057</v>
      </c>
      <c r="Q57" s="35" t="str">
        <f t="shared" si="11"/>
        <v/>
      </c>
    </row>
    <row r="58" spans="1:17" x14ac:dyDescent="0.2">
      <c r="A58" s="22">
        <v>715</v>
      </c>
      <c r="B58" s="22" t="s">
        <v>222</v>
      </c>
      <c r="C58" s="22" t="s">
        <v>223</v>
      </c>
      <c r="D58" s="22" t="s">
        <v>215</v>
      </c>
      <c r="E58" s="22">
        <f>COUNTIF('02_CLEAN_DATA'!$B$2:$B$570,A58)</f>
        <v>6</v>
      </c>
      <c r="F58" s="22">
        <f>COUNTIFS('02_CLEAN_DATA'!$B$2:$B$570,A58,'02_CLEAN_DATA'!$R$2:$R$570,1)</f>
        <v>6</v>
      </c>
      <c r="G58" s="22">
        <f>COUNTIFS('02_CLEAN_DATA'!$B$2:$B$570,A58,'02_CLEAN_DATA'!$W$2:$W$570,"Met")</f>
        <v>0</v>
      </c>
      <c r="H58" s="22">
        <f>COUNTIFS('02_CLEAN_DATA'!$B$2:$B$570,A58,'02_CLEAN_DATA'!$W$2:$W$570,"Missed")</f>
        <v>6</v>
      </c>
      <c r="I58" s="23">
        <f t="shared" si="6"/>
        <v>0</v>
      </c>
      <c r="J58" s="22">
        <f>COUNTIFS('02_CLEAN_DATA'!$B$2:$B$570,A58,'02_CLEAN_DATA'!$S$2:$S$570,"Customer Contracted Reasons")</f>
        <v>6</v>
      </c>
      <c r="K58" s="23">
        <f t="shared" si="7"/>
        <v>1</v>
      </c>
      <c r="L58" s="24">
        <f>IFERROR(AVERAGEIF('02_CLEAN_DATA'!$B$2:$B$570,A58,'02_CLEAN_DATA'!$O$2:$O$570),"")</f>
        <v>49.603333333333332</v>
      </c>
      <c r="M58" s="24">
        <f t="array" ref="M58">IFERROR(MEDIAN(IF('02_CLEAN_DATA'!$B$2:$B$570=A58,'02_CLEAN_DATA'!$O$2:$O$570)),"")</f>
        <v>53.164999999999999</v>
      </c>
      <c r="N58" s="35">
        <f t="shared" si="8"/>
        <v>49.603339133333328</v>
      </c>
      <c r="O58" s="36">
        <f t="shared" si="9"/>
        <v>5.8000000000000004E-6</v>
      </c>
      <c r="P58" s="35">
        <f t="shared" si="10"/>
        <v>6.0000058000000003</v>
      </c>
      <c r="Q58" s="35" t="str">
        <f t="shared" si="11"/>
        <v/>
      </c>
    </row>
    <row r="59" spans="1:17" x14ac:dyDescent="0.2">
      <c r="A59" s="25">
        <v>919</v>
      </c>
      <c r="B59" s="25" t="s">
        <v>224</v>
      </c>
      <c r="C59" s="25" t="s">
        <v>225</v>
      </c>
      <c r="D59" s="25" t="s">
        <v>226</v>
      </c>
      <c r="E59" s="25">
        <f>COUNTIF('02_CLEAN_DATA'!$B$2:$B$570,A59)</f>
        <v>2</v>
      </c>
      <c r="F59" s="25">
        <f>COUNTIFS('02_CLEAN_DATA'!$B$2:$B$570,A59,'02_CLEAN_DATA'!$R$2:$R$570,1)</f>
        <v>2</v>
      </c>
      <c r="G59" s="25">
        <f>COUNTIFS('02_CLEAN_DATA'!$B$2:$B$570,A59,'02_CLEAN_DATA'!$W$2:$W$570,"Met")</f>
        <v>2</v>
      </c>
      <c r="H59" s="25">
        <f>COUNTIFS('02_CLEAN_DATA'!$B$2:$B$570,A59,'02_CLEAN_DATA'!$W$2:$W$570,"Missed")</f>
        <v>0</v>
      </c>
      <c r="I59" s="26">
        <f t="shared" si="6"/>
        <v>1</v>
      </c>
      <c r="J59" s="25">
        <f>COUNTIFS('02_CLEAN_DATA'!$B$2:$B$570,A59,'02_CLEAN_DATA'!$S$2:$S$570,"Customer Contracted Reasons")</f>
        <v>0</v>
      </c>
      <c r="K59" s="26">
        <f t="shared" si="7"/>
        <v>0</v>
      </c>
      <c r="L59" s="27">
        <f>IFERROR(AVERAGEIF('02_CLEAN_DATA'!$B$2:$B$570,A59,'02_CLEAN_DATA'!$O$2:$O$570),"")</f>
        <v>4</v>
      </c>
      <c r="M59" s="27">
        <f t="array" ref="M59">IFERROR(MEDIAN(IF('02_CLEAN_DATA'!$B$2:$B$570=A59,'02_CLEAN_DATA'!$O$2:$O$570)),"")</f>
        <v>4</v>
      </c>
      <c r="N59" s="35" t="str">
        <f t="shared" si="8"/>
        <v/>
      </c>
      <c r="O59" s="35" t="str">
        <f t="shared" si="9"/>
        <v/>
      </c>
      <c r="P59" s="35">
        <f t="shared" si="10"/>
        <v>5.9000000000000003E-6</v>
      </c>
      <c r="Q59" s="35" t="str">
        <f t="shared" si="11"/>
        <v/>
      </c>
    </row>
    <row r="60" spans="1:17" x14ac:dyDescent="0.2">
      <c r="A60" s="22">
        <v>920</v>
      </c>
      <c r="B60" s="22" t="s">
        <v>227</v>
      </c>
      <c r="C60" s="22" t="s">
        <v>228</v>
      </c>
      <c r="D60" s="22" t="s">
        <v>226</v>
      </c>
      <c r="E60" s="22">
        <f>COUNTIF('02_CLEAN_DATA'!$B$2:$B$570,A60)</f>
        <v>2</v>
      </c>
      <c r="F60" s="22">
        <f>COUNTIFS('02_CLEAN_DATA'!$B$2:$B$570,A60,'02_CLEAN_DATA'!$R$2:$R$570,1)</f>
        <v>2</v>
      </c>
      <c r="G60" s="22">
        <f>COUNTIFS('02_CLEAN_DATA'!$B$2:$B$570,A60,'02_CLEAN_DATA'!$W$2:$W$570,"Met")</f>
        <v>2</v>
      </c>
      <c r="H60" s="22">
        <f>COUNTIFS('02_CLEAN_DATA'!$B$2:$B$570,A60,'02_CLEAN_DATA'!$W$2:$W$570,"Missed")</f>
        <v>0</v>
      </c>
      <c r="I60" s="23">
        <f t="shared" si="6"/>
        <v>1</v>
      </c>
      <c r="J60" s="22">
        <f>COUNTIFS('02_CLEAN_DATA'!$B$2:$B$570,A60,'02_CLEAN_DATA'!$S$2:$S$570,"Customer Contracted Reasons")</f>
        <v>1</v>
      </c>
      <c r="K60" s="23">
        <f t="shared" si="7"/>
        <v>0.5</v>
      </c>
      <c r="L60" s="24">
        <f>IFERROR(AVERAGEIF('02_CLEAN_DATA'!$B$2:$B$570,A60,'02_CLEAN_DATA'!$O$2:$O$570),"")</f>
        <v>9.4350000000000005</v>
      </c>
      <c r="M60" s="24">
        <f t="array" ref="M60">IFERROR(MEDIAN(IF('02_CLEAN_DATA'!$B$2:$B$570=A60,'02_CLEAN_DATA'!$O$2:$O$570)),"")</f>
        <v>9.4349999999999987</v>
      </c>
      <c r="N60" s="35" t="str">
        <f t="shared" si="8"/>
        <v/>
      </c>
      <c r="O60" s="35" t="str">
        <f t="shared" si="9"/>
        <v/>
      </c>
      <c r="P60" s="35">
        <f t="shared" si="10"/>
        <v>6.0000000000000002E-6</v>
      </c>
      <c r="Q60" s="35" t="str">
        <f t="shared" si="11"/>
        <v/>
      </c>
    </row>
    <row r="61" spans="1:17" x14ac:dyDescent="0.2">
      <c r="A61" s="25">
        <v>921</v>
      </c>
      <c r="B61" s="25" t="s">
        <v>229</v>
      </c>
      <c r="C61" s="25" t="s">
        <v>230</v>
      </c>
      <c r="D61" s="25" t="s">
        <v>226</v>
      </c>
      <c r="E61" s="25">
        <f>COUNTIF('02_CLEAN_DATA'!$B$2:$B$570,A61)</f>
        <v>14</v>
      </c>
      <c r="F61" s="25">
        <f>COUNTIFS('02_CLEAN_DATA'!$B$2:$B$570,A61,'02_CLEAN_DATA'!$R$2:$R$570,1)</f>
        <v>9</v>
      </c>
      <c r="G61" s="25">
        <f>COUNTIFS('02_CLEAN_DATA'!$B$2:$B$570,A61,'02_CLEAN_DATA'!$W$2:$W$570,"Met")</f>
        <v>9</v>
      </c>
      <c r="H61" s="25">
        <f>COUNTIFS('02_CLEAN_DATA'!$B$2:$B$570,A61,'02_CLEAN_DATA'!$W$2:$W$570,"Missed")</f>
        <v>0</v>
      </c>
      <c r="I61" s="26">
        <f t="shared" si="6"/>
        <v>1</v>
      </c>
      <c r="J61" s="25">
        <f>COUNTIFS('02_CLEAN_DATA'!$B$2:$B$570,A61,'02_CLEAN_DATA'!$S$2:$S$570,"Customer Contracted Reasons")</f>
        <v>6</v>
      </c>
      <c r="K61" s="26">
        <f t="shared" si="7"/>
        <v>0.42857142857142855</v>
      </c>
      <c r="L61" s="27">
        <f>IFERROR(AVERAGEIF('02_CLEAN_DATA'!$B$2:$B$570,A61,'02_CLEAN_DATA'!$O$2:$O$570),"")</f>
        <v>6.8442857142857152</v>
      </c>
      <c r="M61" s="27">
        <f t="array" ref="M61">IFERROR(MEDIAN(IF('02_CLEAN_DATA'!$B$2:$B$570=A61,'02_CLEAN_DATA'!$O$2:$O$570)),"")</f>
        <v>3.4450000000000003</v>
      </c>
      <c r="N61" s="35">
        <f t="shared" si="8"/>
        <v>6.8442918142857154</v>
      </c>
      <c r="O61" s="36">
        <f t="shared" si="9"/>
        <v>1.0000061</v>
      </c>
      <c r="P61" s="35">
        <f t="shared" si="10"/>
        <v>6.1E-6</v>
      </c>
      <c r="Q61" s="36">
        <f t="shared" si="11"/>
        <v>6.1E-6</v>
      </c>
    </row>
    <row r="62" spans="1:17" x14ac:dyDescent="0.2">
      <c r="A62" s="22">
        <v>923</v>
      </c>
      <c r="B62" s="22" t="s">
        <v>231</v>
      </c>
      <c r="C62" s="22" t="s">
        <v>232</v>
      </c>
      <c r="D62" s="22" t="s">
        <v>226</v>
      </c>
      <c r="E62" s="22">
        <f>COUNTIF('02_CLEAN_DATA'!$B$2:$B$570,A62)</f>
        <v>7</v>
      </c>
      <c r="F62" s="22">
        <f>COUNTIFS('02_CLEAN_DATA'!$B$2:$B$570,A62,'02_CLEAN_DATA'!$R$2:$R$570,1)</f>
        <v>4</v>
      </c>
      <c r="G62" s="22">
        <f>COUNTIFS('02_CLEAN_DATA'!$B$2:$B$570,A62,'02_CLEAN_DATA'!$W$2:$W$570,"Met")</f>
        <v>3</v>
      </c>
      <c r="H62" s="22">
        <f>COUNTIFS('02_CLEAN_DATA'!$B$2:$B$570,A62,'02_CLEAN_DATA'!$W$2:$W$570,"Missed")</f>
        <v>1</v>
      </c>
      <c r="I62" s="23">
        <f t="shared" si="6"/>
        <v>0.75</v>
      </c>
      <c r="J62" s="22">
        <f>COUNTIFS('02_CLEAN_DATA'!$B$2:$B$570,A62,'02_CLEAN_DATA'!$S$2:$S$570,"Customer Contracted Reasons")</f>
        <v>6</v>
      </c>
      <c r="K62" s="23">
        <f t="shared" si="7"/>
        <v>0.8571428571428571</v>
      </c>
      <c r="L62" s="24">
        <f>IFERROR(AVERAGEIF('02_CLEAN_DATA'!$B$2:$B$570,A62,'02_CLEAN_DATA'!$O$2:$O$570),"")</f>
        <v>57.298571428571428</v>
      </c>
      <c r="M62" s="24">
        <f t="array" ref="M62">IFERROR(MEDIAN(IF('02_CLEAN_DATA'!$B$2:$B$570=A62,'02_CLEAN_DATA'!$O$2:$O$570)),"")</f>
        <v>19.350000000000001</v>
      </c>
      <c r="N62" s="35">
        <f t="shared" si="8"/>
        <v>57.298577628571429</v>
      </c>
      <c r="O62" s="36">
        <f t="shared" si="9"/>
        <v>0.75000619999999996</v>
      </c>
      <c r="P62" s="35">
        <f t="shared" si="10"/>
        <v>1.0000062000000001</v>
      </c>
      <c r="Q62" s="35" t="str">
        <f t="shared" si="11"/>
        <v/>
      </c>
    </row>
    <row r="63" spans="1:17" x14ac:dyDescent="0.2">
      <c r="A63" s="25">
        <v>925</v>
      </c>
      <c r="B63" s="25" t="s">
        <v>233</v>
      </c>
      <c r="C63" s="25" t="s">
        <v>234</v>
      </c>
      <c r="D63" s="25" t="s">
        <v>226</v>
      </c>
      <c r="E63" s="25">
        <f>COUNTIF('02_CLEAN_DATA'!$B$2:$B$570,A63)</f>
        <v>11</v>
      </c>
      <c r="F63" s="25">
        <f>COUNTIFS('02_CLEAN_DATA'!$B$2:$B$570,A63,'02_CLEAN_DATA'!$R$2:$R$570,1)</f>
        <v>9</v>
      </c>
      <c r="G63" s="25">
        <f>COUNTIFS('02_CLEAN_DATA'!$B$2:$B$570,A63,'02_CLEAN_DATA'!$W$2:$W$570,"Met")</f>
        <v>8</v>
      </c>
      <c r="H63" s="25">
        <f>COUNTIFS('02_CLEAN_DATA'!$B$2:$B$570,A63,'02_CLEAN_DATA'!$W$2:$W$570,"Missed")</f>
        <v>1</v>
      </c>
      <c r="I63" s="26">
        <f t="shared" si="6"/>
        <v>0.88888888888888884</v>
      </c>
      <c r="J63" s="25">
        <f>COUNTIFS('02_CLEAN_DATA'!$B$2:$B$570,A63,'02_CLEAN_DATA'!$S$2:$S$570,"Customer Contracted Reasons")</f>
        <v>6</v>
      </c>
      <c r="K63" s="26">
        <f t="shared" si="7"/>
        <v>0.54545454545454541</v>
      </c>
      <c r="L63" s="27">
        <f>IFERROR(AVERAGEIF('02_CLEAN_DATA'!$B$2:$B$570,A63,'02_CLEAN_DATA'!$O$2:$O$570),"")</f>
        <v>25.178181818181823</v>
      </c>
      <c r="M63" s="27">
        <f t="array" ref="M63">IFERROR(MEDIAN(IF('02_CLEAN_DATA'!$B$2:$B$570=A63,'02_CLEAN_DATA'!$O$2:$O$570)),"")</f>
        <v>21.52</v>
      </c>
      <c r="N63" s="35">
        <f t="shared" si="8"/>
        <v>25.178188118181822</v>
      </c>
      <c r="O63" s="36">
        <f t="shared" si="9"/>
        <v>0.88889518888888885</v>
      </c>
      <c r="P63" s="35">
        <f t="shared" si="10"/>
        <v>1.0000062999999999</v>
      </c>
      <c r="Q63" s="36">
        <f t="shared" si="11"/>
        <v>0.11111741111111116</v>
      </c>
    </row>
    <row r="64" spans="1:17" x14ac:dyDescent="0.2">
      <c r="A64" s="22">
        <v>926</v>
      </c>
      <c r="B64" s="22" t="s">
        <v>235</v>
      </c>
      <c r="C64" s="22" t="s">
        <v>225</v>
      </c>
      <c r="D64" s="22" t="s">
        <v>226</v>
      </c>
      <c r="E64" s="22">
        <f>COUNTIF('02_CLEAN_DATA'!$B$2:$B$570,A64)</f>
        <v>7</v>
      </c>
      <c r="F64" s="22">
        <f>COUNTIFS('02_CLEAN_DATA'!$B$2:$B$570,A64,'02_CLEAN_DATA'!$R$2:$R$570,1)</f>
        <v>5</v>
      </c>
      <c r="G64" s="22">
        <f>COUNTIFS('02_CLEAN_DATA'!$B$2:$B$570,A64,'02_CLEAN_DATA'!$W$2:$W$570,"Met")</f>
        <v>4</v>
      </c>
      <c r="H64" s="22">
        <f>COUNTIFS('02_CLEAN_DATA'!$B$2:$B$570,A64,'02_CLEAN_DATA'!$W$2:$W$570,"Missed")</f>
        <v>1</v>
      </c>
      <c r="I64" s="23">
        <f t="shared" si="6"/>
        <v>0.8</v>
      </c>
      <c r="J64" s="22">
        <f>COUNTIFS('02_CLEAN_DATA'!$B$2:$B$570,A64,'02_CLEAN_DATA'!$S$2:$S$570,"Customer Contracted Reasons")</f>
        <v>5</v>
      </c>
      <c r="K64" s="23">
        <f t="shared" si="7"/>
        <v>0.7142857142857143</v>
      </c>
      <c r="L64" s="24">
        <f>IFERROR(AVERAGEIF('02_CLEAN_DATA'!$B$2:$B$570,A64,'02_CLEAN_DATA'!$O$2:$O$570),"")</f>
        <v>42.561428571428578</v>
      </c>
      <c r="M64" s="24">
        <f t="array" ref="M64">IFERROR(MEDIAN(IF('02_CLEAN_DATA'!$B$2:$B$570=A64,'02_CLEAN_DATA'!$O$2:$O$570)),"")</f>
        <v>27.03</v>
      </c>
      <c r="N64" s="35">
        <f t="shared" si="8"/>
        <v>42.561434971428575</v>
      </c>
      <c r="O64" s="36">
        <f t="shared" si="9"/>
        <v>0.80000640000000001</v>
      </c>
      <c r="P64" s="35">
        <f t="shared" si="10"/>
        <v>1.0000064</v>
      </c>
      <c r="Q64" s="35" t="str">
        <f t="shared" si="11"/>
        <v/>
      </c>
    </row>
    <row r="65" spans="1:17" x14ac:dyDescent="0.2">
      <c r="A65" s="25">
        <v>927</v>
      </c>
      <c r="B65" s="25" t="s">
        <v>236</v>
      </c>
      <c r="C65" s="25" t="s">
        <v>237</v>
      </c>
      <c r="D65" s="25" t="s">
        <v>226</v>
      </c>
      <c r="E65" s="25">
        <f>COUNTIF('02_CLEAN_DATA'!$B$2:$B$570,A65)</f>
        <v>2</v>
      </c>
      <c r="F65" s="25">
        <f>COUNTIFS('02_CLEAN_DATA'!$B$2:$B$570,A65,'02_CLEAN_DATA'!$R$2:$R$570,1)</f>
        <v>1</v>
      </c>
      <c r="G65" s="25">
        <f>COUNTIFS('02_CLEAN_DATA'!$B$2:$B$570,A65,'02_CLEAN_DATA'!$W$2:$W$570,"Met")</f>
        <v>1</v>
      </c>
      <c r="H65" s="25">
        <f>COUNTIFS('02_CLEAN_DATA'!$B$2:$B$570,A65,'02_CLEAN_DATA'!$W$2:$W$570,"Missed")</f>
        <v>0</v>
      </c>
      <c r="I65" s="26">
        <f t="shared" si="6"/>
        <v>1</v>
      </c>
      <c r="J65" s="25">
        <f>COUNTIFS('02_CLEAN_DATA'!$B$2:$B$570,A65,'02_CLEAN_DATA'!$S$2:$S$570,"Customer Contracted Reasons")</f>
        <v>2</v>
      </c>
      <c r="K65" s="26">
        <f t="shared" si="7"/>
        <v>1</v>
      </c>
      <c r="L65" s="27">
        <f>IFERROR(AVERAGEIF('02_CLEAN_DATA'!$B$2:$B$570,A65,'02_CLEAN_DATA'!$O$2:$O$570),"")</f>
        <v>5.415</v>
      </c>
      <c r="M65" s="27">
        <f t="array" ref="M65">IFERROR(MEDIAN(IF('02_CLEAN_DATA'!$B$2:$B$570=A65,'02_CLEAN_DATA'!$O$2:$O$570)),"")</f>
        <v>5.415</v>
      </c>
      <c r="N65" s="35" t="str">
        <f t="shared" si="8"/>
        <v/>
      </c>
      <c r="O65" s="35" t="str">
        <f t="shared" si="9"/>
        <v/>
      </c>
      <c r="P65" s="35">
        <f t="shared" si="10"/>
        <v>6.4999999999999996E-6</v>
      </c>
      <c r="Q65" s="35" t="str">
        <f t="shared" si="11"/>
        <v/>
      </c>
    </row>
    <row r="66" spans="1:17" x14ac:dyDescent="0.2">
      <c r="A66" s="22">
        <v>928</v>
      </c>
      <c r="B66" s="22" t="s">
        <v>238</v>
      </c>
      <c r="C66" s="22" t="s">
        <v>239</v>
      </c>
      <c r="D66" s="22" t="s">
        <v>226</v>
      </c>
      <c r="E66" s="22">
        <f>COUNTIF('02_CLEAN_DATA'!$B$2:$B$570,A66)</f>
        <v>17</v>
      </c>
      <c r="F66" s="22">
        <f>COUNTIFS('02_CLEAN_DATA'!$B$2:$B$570,A66,'02_CLEAN_DATA'!$R$2:$R$570,1)</f>
        <v>14</v>
      </c>
      <c r="G66" s="22">
        <f>COUNTIFS('02_CLEAN_DATA'!$B$2:$B$570,A66,'02_CLEAN_DATA'!$W$2:$W$570,"Met")</f>
        <v>12</v>
      </c>
      <c r="H66" s="22">
        <f>COUNTIFS('02_CLEAN_DATA'!$B$2:$B$570,A66,'02_CLEAN_DATA'!$W$2:$W$570,"Missed")</f>
        <v>2</v>
      </c>
      <c r="I66" s="23">
        <f t="shared" si="6"/>
        <v>0.8571428571428571</v>
      </c>
      <c r="J66" s="22">
        <f>COUNTIFS('02_CLEAN_DATA'!$B$2:$B$570,A66,'02_CLEAN_DATA'!$S$2:$S$570,"Customer Contracted Reasons")</f>
        <v>15</v>
      </c>
      <c r="K66" s="23">
        <f t="shared" ref="K66:K97" si="12">IF(E66=0,"",J66/E66)</f>
        <v>0.88235294117647056</v>
      </c>
      <c r="L66" s="24">
        <f>IFERROR(AVERAGEIF('02_CLEAN_DATA'!$B$2:$B$570,A66,'02_CLEAN_DATA'!$O$2:$O$570),"")</f>
        <v>19.586470588235294</v>
      </c>
      <c r="M66" s="24">
        <f t="array" ref="M66">IFERROR(MEDIAN(IF('02_CLEAN_DATA'!$B$2:$B$570=A66,'02_CLEAN_DATA'!$O$2:$O$570)),"")</f>
        <v>3.37</v>
      </c>
      <c r="N66" s="35">
        <f t="shared" si="8"/>
        <v>19.586477188235293</v>
      </c>
      <c r="O66" s="36">
        <f t="shared" si="9"/>
        <v>0.85714945714285706</v>
      </c>
      <c r="P66" s="35">
        <f t="shared" si="10"/>
        <v>2.0000065999999999</v>
      </c>
      <c r="Q66" s="36">
        <f t="shared" si="11"/>
        <v>0.1428637428571429</v>
      </c>
    </row>
    <row r="67" spans="1:17" x14ac:dyDescent="0.2">
      <c r="A67" s="25">
        <v>929</v>
      </c>
      <c r="B67" s="25" t="s">
        <v>240</v>
      </c>
      <c r="C67" s="25" t="s">
        <v>241</v>
      </c>
      <c r="D67" s="25" t="s">
        <v>226</v>
      </c>
      <c r="E67" s="25">
        <f>COUNTIF('02_CLEAN_DATA'!$B$2:$B$570,A67)</f>
        <v>13</v>
      </c>
      <c r="F67" s="25">
        <f>COUNTIFS('02_CLEAN_DATA'!$B$2:$B$570,A67,'02_CLEAN_DATA'!$R$2:$R$570,1)</f>
        <v>11</v>
      </c>
      <c r="G67" s="25">
        <f>COUNTIFS('02_CLEAN_DATA'!$B$2:$B$570,A67,'02_CLEAN_DATA'!$W$2:$W$570,"Met")</f>
        <v>10</v>
      </c>
      <c r="H67" s="25">
        <f>COUNTIFS('02_CLEAN_DATA'!$B$2:$B$570,A67,'02_CLEAN_DATA'!$W$2:$W$570,"Missed")</f>
        <v>1</v>
      </c>
      <c r="I67" s="26">
        <f t="shared" si="6"/>
        <v>0.90909090909090906</v>
      </c>
      <c r="J67" s="25">
        <f>COUNTIFS('02_CLEAN_DATA'!$B$2:$B$570,A67,'02_CLEAN_DATA'!$S$2:$S$570,"Customer Contracted Reasons")</f>
        <v>10</v>
      </c>
      <c r="K67" s="26">
        <f t="shared" si="12"/>
        <v>0.76923076923076927</v>
      </c>
      <c r="L67" s="27">
        <f>IFERROR(AVERAGEIF('02_CLEAN_DATA'!$B$2:$B$570,A67,'02_CLEAN_DATA'!$O$2:$O$570),"")</f>
        <v>24.82692307692308</v>
      </c>
      <c r="M67" s="27">
        <f t="array" ref="M67">IFERROR(MEDIAN(IF('02_CLEAN_DATA'!$B$2:$B$570=A67,'02_CLEAN_DATA'!$O$2:$O$570)),"")</f>
        <v>20.57</v>
      </c>
      <c r="N67" s="35">
        <f t="shared" si="8"/>
        <v>24.82692977692308</v>
      </c>
      <c r="O67" s="36">
        <f t="shared" si="9"/>
        <v>0.90909760909090909</v>
      </c>
      <c r="P67" s="35">
        <f t="shared" si="10"/>
        <v>1.0000066999999999</v>
      </c>
      <c r="Q67" s="36">
        <f t="shared" si="11"/>
        <v>9.0915790909090938E-2</v>
      </c>
    </row>
    <row r="68" spans="1:17" x14ac:dyDescent="0.2">
      <c r="A68" s="22">
        <v>931</v>
      </c>
      <c r="B68" s="22" t="s">
        <v>242</v>
      </c>
      <c r="C68" s="22" t="s">
        <v>243</v>
      </c>
      <c r="D68" s="22" t="s">
        <v>226</v>
      </c>
      <c r="E68" s="22">
        <f>COUNTIF('02_CLEAN_DATA'!$B$2:$B$570,A68)</f>
        <v>17</v>
      </c>
      <c r="F68" s="22">
        <f>COUNTIFS('02_CLEAN_DATA'!$B$2:$B$570,A68,'02_CLEAN_DATA'!$R$2:$R$570,1)</f>
        <v>12</v>
      </c>
      <c r="G68" s="22">
        <f>COUNTIFS('02_CLEAN_DATA'!$B$2:$B$570,A68,'02_CLEAN_DATA'!$W$2:$W$570,"Met")</f>
        <v>5</v>
      </c>
      <c r="H68" s="22">
        <f>COUNTIFS('02_CLEAN_DATA'!$B$2:$B$570,A68,'02_CLEAN_DATA'!$W$2:$W$570,"Missed")</f>
        <v>7</v>
      </c>
      <c r="I68" s="23">
        <f t="shared" si="6"/>
        <v>0.41666666666666669</v>
      </c>
      <c r="J68" s="22">
        <f>COUNTIFS('02_CLEAN_DATA'!$B$2:$B$570,A68,'02_CLEAN_DATA'!$S$2:$S$570,"Customer Contracted Reasons")</f>
        <v>16</v>
      </c>
      <c r="K68" s="23">
        <f t="shared" si="12"/>
        <v>0.94117647058823528</v>
      </c>
      <c r="L68" s="24">
        <f>IFERROR(AVERAGEIF('02_CLEAN_DATA'!$B$2:$B$570,A68,'02_CLEAN_DATA'!$O$2:$O$570),"")</f>
        <v>63.534117647058821</v>
      </c>
      <c r="M68" s="24">
        <f t="array" ref="M68">IFERROR(MEDIAN(IF('02_CLEAN_DATA'!$B$2:$B$570=A68,'02_CLEAN_DATA'!$O$2:$O$570)),"")</f>
        <v>41.95</v>
      </c>
      <c r="N68" s="35">
        <f t="shared" si="8"/>
        <v>63.534124447058822</v>
      </c>
      <c r="O68" s="36">
        <f t="shared" si="9"/>
        <v>0.41667346666666666</v>
      </c>
      <c r="P68" s="35">
        <f t="shared" si="10"/>
        <v>7.0000068000000004</v>
      </c>
      <c r="Q68" s="36">
        <f t="shared" si="11"/>
        <v>0.58334013333333323</v>
      </c>
    </row>
    <row r="69" spans="1:17" x14ac:dyDescent="0.2">
      <c r="A69" s="25">
        <v>962</v>
      </c>
      <c r="B69" s="25" t="s">
        <v>244</v>
      </c>
      <c r="C69" s="25" t="s">
        <v>245</v>
      </c>
      <c r="D69" s="25" t="s">
        <v>246</v>
      </c>
      <c r="E69" s="25">
        <f>COUNTIF('02_CLEAN_DATA'!$B$2:$B$570,A69)</f>
        <v>7</v>
      </c>
      <c r="F69" s="25">
        <f>COUNTIFS('02_CLEAN_DATA'!$B$2:$B$570,A69,'02_CLEAN_DATA'!$R$2:$R$570,1)</f>
        <v>6</v>
      </c>
      <c r="G69" s="25">
        <f>COUNTIFS('02_CLEAN_DATA'!$B$2:$B$570,A69,'02_CLEAN_DATA'!$W$2:$W$570,"Met")</f>
        <v>5</v>
      </c>
      <c r="H69" s="25">
        <f>COUNTIFS('02_CLEAN_DATA'!$B$2:$B$570,A69,'02_CLEAN_DATA'!$W$2:$W$570,"Missed")</f>
        <v>1</v>
      </c>
      <c r="I69" s="26">
        <f t="shared" si="6"/>
        <v>0.83333333333333337</v>
      </c>
      <c r="J69" s="25">
        <f>COUNTIFS('02_CLEAN_DATA'!$B$2:$B$570,A69,'02_CLEAN_DATA'!$S$2:$S$570,"Customer Contracted Reasons")</f>
        <v>2</v>
      </c>
      <c r="K69" s="26">
        <f t="shared" si="12"/>
        <v>0.2857142857142857</v>
      </c>
      <c r="L69" s="27">
        <f>IFERROR(AVERAGEIF('02_CLEAN_DATA'!$B$2:$B$570,A69,'02_CLEAN_DATA'!$O$2:$O$570),"")</f>
        <v>10.347142857142856</v>
      </c>
      <c r="M69" s="27">
        <f t="array" ref="M69">IFERROR(MEDIAN(IF('02_CLEAN_DATA'!$B$2:$B$570=A69,'02_CLEAN_DATA'!$O$2:$O$570)),"")</f>
        <v>5.8</v>
      </c>
      <c r="N69" s="35">
        <f t="shared" si="8"/>
        <v>10.347149757142857</v>
      </c>
      <c r="O69" s="36">
        <f t="shared" si="9"/>
        <v>0.8333402333333334</v>
      </c>
      <c r="P69" s="35">
        <f t="shared" si="10"/>
        <v>1.0000069</v>
      </c>
      <c r="Q69" s="35" t="str">
        <f t="shared" si="11"/>
        <v/>
      </c>
    </row>
    <row r="70" spans="1:17" x14ac:dyDescent="0.2">
      <c r="A70" s="22">
        <v>968</v>
      </c>
      <c r="B70" s="22" t="s">
        <v>247</v>
      </c>
      <c r="C70" s="22" t="s">
        <v>248</v>
      </c>
      <c r="D70" s="22" t="s">
        <v>246</v>
      </c>
      <c r="E70" s="22">
        <f>COUNTIF('02_CLEAN_DATA'!$B$2:$B$570,A70)</f>
        <v>6</v>
      </c>
      <c r="F70" s="22">
        <f>COUNTIFS('02_CLEAN_DATA'!$B$2:$B$570,A70,'02_CLEAN_DATA'!$R$2:$R$570,1)</f>
        <v>4</v>
      </c>
      <c r="G70" s="22">
        <f>COUNTIFS('02_CLEAN_DATA'!$B$2:$B$570,A70,'02_CLEAN_DATA'!$W$2:$W$570,"Met")</f>
        <v>4</v>
      </c>
      <c r="H70" s="22">
        <f>COUNTIFS('02_CLEAN_DATA'!$B$2:$B$570,A70,'02_CLEAN_DATA'!$W$2:$W$570,"Missed")</f>
        <v>0</v>
      </c>
      <c r="I70" s="23">
        <f t="shared" si="6"/>
        <v>1</v>
      </c>
      <c r="J70" s="22">
        <f>COUNTIFS('02_CLEAN_DATA'!$B$2:$B$570,A70,'02_CLEAN_DATA'!$S$2:$S$570,"Customer Contracted Reasons")</f>
        <v>4</v>
      </c>
      <c r="K70" s="23">
        <f t="shared" si="12"/>
        <v>0.66666666666666663</v>
      </c>
      <c r="L70" s="24">
        <f>IFERROR(AVERAGEIF('02_CLEAN_DATA'!$B$2:$B$570,A70,'02_CLEAN_DATA'!$O$2:$O$570),"")</f>
        <v>9.4383333333333326</v>
      </c>
      <c r="M70" s="24">
        <f t="array" ref="M70">IFERROR(MEDIAN(IF('02_CLEAN_DATA'!$B$2:$B$570=A70,'02_CLEAN_DATA'!$O$2:$O$570)),"")</f>
        <v>4.55</v>
      </c>
      <c r="N70" s="35">
        <f t="shared" si="8"/>
        <v>9.4383403333333327</v>
      </c>
      <c r="O70" s="36">
        <f t="shared" si="9"/>
        <v>1.0000070000000001</v>
      </c>
      <c r="P70" s="35">
        <f t="shared" si="10"/>
        <v>6.9999999999999999E-6</v>
      </c>
      <c r="Q70" s="35" t="str">
        <f t="shared" si="11"/>
        <v/>
      </c>
    </row>
    <row r="73" spans="1:17" ht="15" customHeight="1" x14ac:dyDescent="0.2">
      <c r="A73" s="50" t="s">
        <v>249</v>
      </c>
      <c r="B73" s="50"/>
      <c r="C73" s="50"/>
      <c r="D73" s="50"/>
      <c r="E73" s="50"/>
      <c r="F73" s="50"/>
      <c r="G73" s="50"/>
      <c r="H73" s="50"/>
    </row>
    <row r="74" spans="1:17" x14ac:dyDescent="0.2">
      <c r="A74" s="50"/>
      <c r="B74" s="50"/>
      <c r="C74" s="50"/>
      <c r="D74" s="50"/>
      <c r="E74" s="50"/>
      <c r="F74" s="50"/>
      <c r="G74" s="50"/>
      <c r="H74" s="50"/>
    </row>
  </sheetData>
  <mergeCells count="1">
    <mergeCell ref="A73:H74"/>
  </mergeCells>
  <conditionalFormatting sqref="I2:I70">
    <cfRule type="cellIs" dxfId="3" priority="2" operator="lessThan">
      <formula>0.8</formula>
    </cfRule>
    <cfRule type="cellIs" dxfId="2" priority="3" operator="greaterThanOrEqual">
      <formula>0.9</formula>
    </cfRule>
    <cfRule type="dataBar" priority="4">
      <dataBar>
        <cfvo type="num" val="0"/>
        <cfvo type="num" val="1"/>
        <color rgb="FF2E5395"/>
      </dataBar>
      <extLst>
        <ext xmlns:x14="http://schemas.microsoft.com/office/spreadsheetml/2009/9/main" uri="{B025F937-C7B1-47D3-B67F-A62EFF666E3E}">
          <x14:id>{D08EAAEF-98BF-4ED9-9380-251F2FEA35AD}</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D08EAAEF-98BF-4ED9-9380-251F2FEA35AD}">
            <x14:dataBar axisPosition="none">
              <x14:cfvo type="num">
                <xm:f>0</xm:f>
              </x14:cfvo>
              <x14:cfvo type="num">
                <xm:f>1</xm:f>
              </x14:cfvo>
              <x14:negativeFillColor rgb="FF2E5395"/>
            </x14:dataBar>
          </x14:cfRule>
          <xm:sqref>I2:I70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56"/>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18" customWidth="1"/>
    <col min="3" max="3" width="12" customWidth="1"/>
    <col min="4" max="4" width="11" customWidth="1"/>
    <col min="5" max="5" width="9" customWidth="1"/>
    <col min="6" max="6" width="10" customWidth="1"/>
    <col min="7" max="7" width="8" customWidth="1"/>
    <col min="8" max="8" width="13" customWidth="1"/>
    <col min="9" max="9" width="15" customWidth="1"/>
    <col min="10" max="11" width="16" customWidth="1"/>
    <col min="12" max="12" width="14" hidden="1" customWidth="1"/>
    <col min="13" max="13" width="12" hidden="1" customWidth="1"/>
  </cols>
  <sheetData>
    <row r="1" spans="1:13" ht="30" customHeight="1" x14ac:dyDescent="0.2">
      <c r="A1" s="21" t="s">
        <v>250</v>
      </c>
      <c r="B1" s="21" t="s">
        <v>251</v>
      </c>
      <c r="C1" s="21" t="s">
        <v>64</v>
      </c>
      <c r="D1" s="21" t="s">
        <v>65</v>
      </c>
      <c r="E1" s="21" t="s">
        <v>66</v>
      </c>
      <c r="F1" s="21" t="s">
        <v>67</v>
      </c>
      <c r="G1" s="21" t="s">
        <v>68</v>
      </c>
      <c r="H1" s="21" t="s">
        <v>70</v>
      </c>
      <c r="I1" s="21" t="s">
        <v>72</v>
      </c>
      <c r="J1" s="21" t="s">
        <v>73</v>
      </c>
      <c r="K1" s="21" t="s">
        <v>252</v>
      </c>
      <c r="L1" s="34" t="s">
        <v>105</v>
      </c>
      <c r="M1" s="34" t="s">
        <v>107</v>
      </c>
    </row>
    <row r="2" spans="1:13" x14ac:dyDescent="0.2">
      <c r="A2" s="22" t="s">
        <v>253</v>
      </c>
      <c r="B2" s="22" t="s">
        <v>254</v>
      </c>
      <c r="C2" s="22">
        <f>COUNTIF('02_CLEAN_DATA'!$G$2:$G$570,A2)</f>
        <v>21</v>
      </c>
      <c r="D2" s="22">
        <f>COUNTIFS('02_CLEAN_DATA'!$G$2:$G$570,A2,'02_CLEAN_DATA'!$R$2:$R$570,1)</f>
        <v>14</v>
      </c>
      <c r="E2" s="22">
        <f>COUNTIFS('02_CLEAN_DATA'!$G$2:$G$570,A2,'02_CLEAN_DATA'!$W$2:$W$570,"Met")</f>
        <v>9</v>
      </c>
      <c r="F2" s="22">
        <f>COUNTIFS('02_CLEAN_DATA'!$G$2:$G$570,A2,'02_CLEAN_DATA'!$W$2:$W$570,"Missed")</f>
        <v>5</v>
      </c>
      <c r="G2" s="23">
        <f t="shared" ref="G2:G33" si="0">IF(D2=0,"",E2/D2)</f>
        <v>0.6428571428571429</v>
      </c>
      <c r="H2" s="22">
        <f>COUNTIFS('02_CLEAN_DATA'!$G$2:$G$570,A2,'02_CLEAN_DATA'!$S$2:$S$570,"Customer Contracted Reasons")</f>
        <v>8</v>
      </c>
      <c r="I2" s="24">
        <f>IFERROR(AVERAGEIF('02_CLEAN_DATA'!$G$2:$G$570,A2,'02_CLEAN_DATA'!$O$2:$O$570),"")</f>
        <v>63.577619047619045</v>
      </c>
      <c r="J2" s="24">
        <f t="array" ref="J2">IFERROR(MEDIAN(IF('02_CLEAN_DATA'!$G$2:$G$570=A2,'02_CLEAN_DATA'!$O$2:$O$570)),"")</f>
        <v>16.97</v>
      </c>
      <c r="K2" s="22" t="str">
        <f t="shared" ref="K2:K33" si="1">IF(C2&gt;=5,"Yes","No")</f>
        <v>Yes</v>
      </c>
      <c r="L2" s="35">
        <f t="shared" ref="L2:L33" si="2">IF(C2&gt;=5,I2+ROW()/10000000,"")</f>
        <v>63.577619247619047</v>
      </c>
      <c r="M2" s="35">
        <f t="shared" ref="M2:M33" si="3">F2+ROW()/10000000</f>
        <v>5.0000001999999997</v>
      </c>
    </row>
    <row r="3" spans="1:13" x14ac:dyDescent="0.2">
      <c r="A3" s="25" t="s">
        <v>255</v>
      </c>
      <c r="B3" s="25" t="s">
        <v>256</v>
      </c>
      <c r="C3" s="25">
        <f>COUNTIF('02_CLEAN_DATA'!$G$2:$G$570,A3)</f>
        <v>20</v>
      </c>
      <c r="D3" s="25">
        <f>COUNTIFS('02_CLEAN_DATA'!$G$2:$G$570,A3,'02_CLEAN_DATA'!$R$2:$R$570,1)</f>
        <v>20</v>
      </c>
      <c r="E3" s="25">
        <f>COUNTIFS('02_CLEAN_DATA'!$G$2:$G$570,A3,'02_CLEAN_DATA'!$W$2:$W$570,"Met")</f>
        <v>10</v>
      </c>
      <c r="F3" s="25">
        <f>COUNTIFS('02_CLEAN_DATA'!$G$2:$G$570,A3,'02_CLEAN_DATA'!$W$2:$W$570,"Missed")</f>
        <v>10</v>
      </c>
      <c r="G3" s="26">
        <f t="shared" si="0"/>
        <v>0.5</v>
      </c>
      <c r="H3" s="25">
        <f>COUNTIFS('02_CLEAN_DATA'!$G$2:$G$570,A3,'02_CLEAN_DATA'!$S$2:$S$570,"Customer Contracted Reasons")</f>
        <v>18</v>
      </c>
      <c r="I3" s="27">
        <f>IFERROR(AVERAGEIF('02_CLEAN_DATA'!$G$2:$G$570,A3,'02_CLEAN_DATA'!$O$2:$O$570),"")</f>
        <v>29.427499999999991</v>
      </c>
      <c r="J3" s="27">
        <f t="array" ref="J3">IFERROR(MEDIAN(IF('02_CLEAN_DATA'!$G$2:$G$570=A3,'02_CLEAN_DATA'!$O$2:$O$570)),"")</f>
        <v>24.549999999999997</v>
      </c>
      <c r="K3" s="25" t="str">
        <f t="shared" si="1"/>
        <v>Yes</v>
      </c>
      <c r="L3" s="35">
        <f t="shared" si="2"/>
        <v>29.427500299999991</v>
      </c>
      <c r="M3" s="35">
        <f t="shared" si="3"/>
        <v>10.0000003</v>
      </c>
    </row>
    <row r="4" spans="1:13" x14ac:dyDescent="0.2">
      <c r="A4" s="22" t="s">
        <v>257</v>
      </c>
      <c r="B4" s="22" t="s">
        <v>258</v>
      </c>
      <c r="C4" s="22">
        <f>COUNTIF('02_CLEAN_DATA'!$G$2:$G$570,A4)</f>
        <v>15</v>
      </c>
      <c r="D4" s="22">
        <f>COUNTIFS('02_CLEAN_DATA'!$G$2:$G$570,A4,'02_CLEAN_DATA'!$R$2:$R$570,1)</f>
        <v>8</v>
      </c>
      <c r="E4" s="22">
        <f>COUNTIFS('02_CLEAN_DATA'!$G$2:$G$570,A4,'02_CLEAN_DATA'!$W$2:$W$570,"Met")</f>
        <v>6</v>
      </c>
      <c r="F4" s="22">
        <f>COUNTIFS('02_CLEAN_DATA'!$G$2:$G$570,A4,'02_CLEAN_DATA'!$W$2:$W$570,"Missed")</f>
        <v>2</v>
      </c>
      <c r="G4" s="23">
        <f t="shared" si="0"/>
        <v>0.75</v>
      </c>
      <c r="H4" s="22">
        <f>COUNTIFS('02_CLEAN_DATA'!$G$2:$G$570,A4,'02_CLEAN_DATA'!$S$2:$S$570,"Customer Contracted Reasons")</f>
        <v>9</v>
      </c>
      <c r="I4" s="24">
        <f>IFERROR(AVERAGEIF('02_CLEAN_DATA'!$G$2:$G$570,A4,'02_CLEAN_DATA'!$O$2:$O$570),"")</f>
        <v>17.403333333333329</v>
      </c>
      <c r="J4" s="24">
        <f t="array" ref="J4">IFERROR(MEDIAN(IF('02_CLEAN_DATA'!$G$2:$G$570=A4,'02_CLEAN_DATA'!$O$2:$O$570)),"")</f>
        <v>7.8</v>
      </c>
      <c r="K4" s="22" t="str">
        <f t="shared" si="1"/>
        <v>Yes</v>
      </c>
      <c r="L4" s="35">
        <f t="shared" si="2"/>
        <v>17.40333373333333</v>
      </c>
      <c r="M4" s="35">
        <f t="shared" si="3"/>
        <v>2.0000003999999998</v>
      </c>
    </row>
    <row r="5" spans="1:13" x14ac:dyDescent="0.2">
      <c r="A5" s="25" t="s">
        <v>259</v>
      </c>
      <c r="B5" s="25" t="s">
        <v>260</v>
      </c>
      <c r="C5" s="25">
        <f>COUNTIF('02_CLEAN_DATA'!$G$2:$G$570,A5)</f>
        <v>14</v>
      </c>
      <c r="D5" s="25">
        <f>COUNTIFS('02_CLEAN_DATA'!$G$2:$G$570,A5,'02_CLEAN_DATA'!$R$2:$R$570,1)</f>
        <v>3</v>
      </c>
      <c r="E5" s="25">
        <f>COUNTIFS('02_CLEAN_DATA'!$G$2:$G$570,A5,'02_CLEAN_DATA'!$W$2:$W$570,"Met")</f>
        <v>2</v>
      </c>
      <c r="F5" s="25">
        <f>COUNTIFS('02_CLEAN_DATA'!$G$2:$G$570,A5,'02_CLEAN_DATA'!$W$2:$W$570,"Missed")</f>
        <v>1</v>
      </c>
      <c r="G5" s="26">
        <f t="shared" si="0"/>
        <v>0.66666666666666663</v>
      </c>
      <c r="H5" s="25">
        <f>COUNTIFS('02_CLEAN_DATA'!$G$2:$G$570,A5,'02_CLEAN_DATA'!$S$2:$S$570,"Customer Contracted Reasons")</f>
        <v>8</v>
      </c>
      <c r="I5" s="27">
        <f>IFERROR(AVERAGEIF('02_CLEAN_DATA'!$G$2:$G$570,A5,'02_CLEAN_DATA'!$O$2:$O$570),"")</f>
        <v>34.195714285714281</v>
      </c>
      <c r="J5" s="27">
        <f t="array" ref="J5">IFERROR(MEDIAN(IF('02_CLEAN_DATA'!$G$2:$G$570=A5,'02_CLEAN_DATA'!$O$2:$O$570)),"")</f>
        <v>9.35</v>
      </c>
      <c r="K5" s="25" t="str">
        <f t="shared" si="1"/>
        <v>Yes</v>
      </c>
      <c r="L5" s="35">
        <f t="shared" si="2"/>
        <v>34.19571478571428</v>
      </c>
      <c r="M5" s="35">
        <f t="shared" si="3"/>
        <v>1.0000005000000001</v>
      </c>
    </row>
    <row r="6" spans="1:13" x14ac:dyDescent="0.2">
      <c r="A6" s="22" t="s">
        <v>261</v>
      </c>
      <c r="B6" s="22" t="s">
        <v>262</v>
      </c>
      <c r="C6" s="22">
        <f>COUNTIF('02_CLEAN_DATA'!$G$2:$G$570,A6)</f>
        <v>14</v>
      </c>
      <c r="D6" s="22">
        <f>COUNTIFS('02_CLEAN_DATA'!$G$2:$G$570,A6,'02_CLEAN_DATA'!$R$2:$R$570,1)</f>
        <v>8</v>
      </c>
      <c r="E6" s="22">
        <f>COUNTIFS('02_CLEAN_DATA'!$G$2:$G$570,A6,'02_CLEAN_DATA'!$W$2:$W$570,"Met")</f>
        <v>7</v>
      </c>
      <c r="F6" s="22">
        <f>COUNTIFS('02_CLEAN_DATA'!$G$2:$G$570,A6,'02_CLEAN_DATA'!$W$2:$W$570,"Missed")</f>
        <v>1</v>
      </c>
      <c r="G6" s="23">
        <f t="shared" si="0"/>
        <v>0.875</v>
      </c>
      <c r="H6" s="22">
        <f>COUNTIFS('02_CLEAN_DATA'!$G$2:$G$570,A6,'02_CLEAN_DATA'!$S$2:$S$570,"Customer Contracted Reasons")</f>
        <v>8</v>
      </c>
      <c r="I6" s="24">
        <f>IFERROR(AVERAGEIF('02_CLEAN_DATA'!$G$2:$G$570,A6,'02_CLEAN_DATA'!$O$2:$O$570),"")</f>
        <v>21.886428571428571</v>
      </c>
      <c r="J6" s="24">
        <f t="array" ref="J6">IFERROR(MEDIAN(IF('02_CLEAN_DATA'!$G$2:$G$570=A6,'02_CLEAN_DATA'!$O$2:$O$570)),"")</f>
        <v>8.2899999999999991</v>
      </c>
      <c r="K6" s="22" t="str">
        <f t="shared" si="1"/>
        <v>Yes</v>
      </c>
      <c r="L6" s="35">
        <f t="shared" si="2"/>
        <v>21.886429171428571</v>
      </c>
      <c r="M6" s="35">
        <f t="shared" si="3"/>
        <v>1.0000005999999999</v>
      </c>
    </row>
    <row r="7" spans="1:13" x14ac:dyDescent="0.2">
      <c r="A7" s="25" t="s">
        <v>263</v>
      </c>
      <c r="B7" s="25" t="s">
        <v>264</v>
      </c>
      <c r="C7" s="25">
        <f>COUNTIF('02_CLEAN_DATA'!$G$2:$G$570,A7)</f>
        <v>12</v>
      </c>
      <c r="D7" s="25">
        <f>COUNTIFS('02_CLEAN_DATA'!$G$2:$G$570,A7,'02_CLEAN_DATA'!$R$2:$R$570,1)</f>
        <v>11</v>
      </c>
      <c r="E7" s="25">
        <f>COUNTIFS('02_CLEAN_DATA'!$G$2:$G$570,A7,'02_CLEAN_DATA'!$W$2:$W$570,"Met")</f>
        <v>8</v>
      </c>
      <c r="F7" s="25">
        <f>COUNTIFS('02_CLEAN_DATA'!$G$2:$G$570,A7,'02_CLEAN_DATA'!$W$2:$W$570,"Missed")</f>
        <v>3</v>
      </c>
      <c r="G7" s="26">
        <f t="shared" si="0"/>
        <v>0.72727272727272729</v>
      </c>
      <c r="H7" s="25">
        <f>COUNTIFS('02_CLEAN_DATA'!$G$2:$G$570,A7,'02_CLEAN_DATA'!$S$2:$S$570,"Customer Contracted Reasons")</f>
        <v>9</v>
      </c>
      <c r="I7" s="27">
        <f>IFERROR(AVERAGEIF('02_CLEAN_DATA'!$G$2:$G$570,A7,'02_CLEAN_DATA'!$O$2:$O$570),"")</f>
        <v>44.696666666666665</v>
      </c>
      <c r="J7" s="27">
        <f t="array" ref="J7">IFERROR(MEDIAN(IF('02_CLEAN_DATA'!$G$2:$G$570=A7,'02_CLEAN_DATA'!$O$2:$O$570)),"")</f>
        <v>25.914999999999999</v>
      </c>
      <c r="K7" s="25" t="str">
        <f t="shared" si="1"/>
        <v>Yes</v>
      </c>
      <c r="L7" s="35">
        <f t="shared" si="2"/>
        <v>44.696667366666667</v>
      </c>
      <c r="M7" s="35">
        <f t="shared" si="3"/>
        <v>3.0000007000000002</v>
      </c>
    </row>
    <row r="8" spans="1:13" x14ac:dyDescent="0.2">
      <c r="A8" s="22" t="s">
        <v>265</v>
      </c>
      <c r="B8" s="22" t="s">
        <v>266</v>
      </c>
      <c r="C8" s="22">
        <f>COUNTIF('02_CLEAN_DATA'!$G$2:$G$570,A8)</f>
        <v>11</v>
      </c>
      <c r="D8" s="22">
        <f>COUNTIFS('02_CLEAN_DATA'!$G$2:$G$570,A8,'02_CLEAN_DATA'!$R$2:$R$570,1)</f>
        <v>11</v>
      </c>
      <c r="E8" s="22">
        <f>COUNTIFS('02_CLEAN_DATA'!$G$2:$G$570,A8,'02_CLEAN_DATA'!$W$2:$W$570,"Met")</f>
        <v>10</v>
      </c>
      <c r="F8" s="22">
        <f>COUNTIFS('02_CLEAN_DATA'!$G$2:$G$570,A8,'02_CLEAN_DATA'!$W$2:$W$570,"Missed")</f>
        <v>1</v>
      </c>
      <c r="G8" s="23">
        <f t="shared" si="0"/>
        <v>0.90909090909090906</v>
      </c>
      <c r="H8" s="22">
        <f>COUNTIFS('02_CLEAN_DATA'!$G$2:$G$570,A8,'02_CLEAN_DATA'!$S$2:$S$570,"Customer Contracted Reasons")</f>
        <v>11</v>
      </c>
      <c r="I8" s="24">
        <f>IFERROR(AVERAGEIF('02_CLEAN_DATA'!$G$2:$G$570,A8,'02_CLEAN_DATA'!$O$2:$O$570),"")</f>
        <v>8.1190909090909074</v>
      </c>
      <c r="J8" s="24">
        <f t="array" ref="J8">IFERROR(MEDIAN(IF('02_CLEAN_DATA'!$G$2:$G$570=A8,'02_CLEAN_DATA'!$O$2:$O$570)),"")</f>
        <v>3.37</v>
      </c>
      <c r="K8" s="22" t="str">
        <f t="shared" si="1"/>
        <v>Yes</v>
      </c>
      <c r="L8" s="35">
        <f t="shared" si="2"/>
        <v>8.1190917090909078</v>
      </c>
      <c r="M8" s="35">
        <f t="shared" si="3"/>
        <v>1.0000008</v>
      </c>
    </row>
    <row r="9" spans="1:13" x14ac:dyDescent="0.2">
      <c r="A9" s="25" t="s">
        <v>267</v>
      </c>
      <c r="B9" s="25" t="s">
        <v>268</v>
      </c>
      <c r="C9" s="25">
        <f>COUNTIF('02_CLEAN_DATA'!$G$2:$G$570,A9)</f>
        <v>11</v>
      </c>
      <c r="D9" s="25">
        <f>COUNTIFS('02_CLEAN_DATA'!$G$2:$G$570,A9,'02_CLEAN_DATA'!$R$2:$R$570,1)</f>
        <v>11</v>
      </c>
      <c r="E9" s="25">
        <f>COUNTIFS('02_CLEAN_DATA'!$G$2:$G$570,A9,'02_CLEAN_DATA'!$W$2:$W$570,"Met")</f>
        <v>11</v>
      </c>
      <c r="F9" s="25">
        <f>COUNTIFS('02_CLEAN_DATA'!$G$2:$G$570,A9,'02_CLEAN_DATA'!$W$2:$W$570,"Missed")</f>
        <v>0</v>
      </c>
      <c r="G9" s="26">
        <f t="shared" si="0"/>
        <v>1</v>
      </c>
      <c r="H9" s="25">
        <f>COUNTIFS('02_CLEAN_DATA'!$G$2:$G$570,A9,'02_CLEAN_DATA'!$S$2:$S$570,"Customer Contracted Reasons")</f>
        <v>9</v>
      </c>
      <c r="I9" s="27">
        <f>IFERROR(AVERAGEIF('02_CLEAN_DATA'!$G$2:$G$570,A9,'02_CLEAN_DATA'!$O$2:$O$570),"")</f>
        <v>14.247272727272728</v>
      </c>
      <c r="J9" s="27">
        <f t="array" ref="J9">IFERROR(MEDIAN(IF('02_CLEAN_DATA'!$G$2:$G$570=A9,'02_CLEAN_DATA'!$O$2:$O$570)),"")</f>
        <v>14.55</v>
      </c>
      <c r="K9" s="25" t="str">
        <f t="shared" si="1"/>
        <v>Yes</v>
      </c>
      <c r="L9" s="35">
        <f t="shared" si="2"/>
        <v>14.247273627272728</v>
      </c>
      <c r="M9" s="35">
        <f t="shared" si="3"/>
        <v>8.9999999999999996E-7</v>
      </c>
    </row>
    <row r="10" spans="1:13" x14ac:dyDescent="0.2">
      <c r="A10" s="22" t="s">
        <v>269</v>
      </c>
      <c r="B10" s="22" t="s">
        <v>270</v>
      </c>
      <c r="C10" s="22">
        <f>COUNTIF('02_CLEAN_DATA'!$G$2:$G$570,A10)</f>
        <v>10</v>
      </c>
      <c r="D10" s="22">
        <f>COUNTIFS('02_CLEAN_DATA'!$G$2:$G$570,A10,'02_CLEAN_DATA'!$R$2:$R$570,1)</f>
        <v>8</v>
      </c>
      <c r="E10" s="22">
        <f>COUNTIFS('02_CLEAN_DATA'!$G$2:$G$570,A10,'02_CLEAN_DATA'!$W$2:$W$570,"Met")</f>
        <v>7</v>
      </c>
      <c r="F10" s="22">
        <f>COUNTIFS('02_CLEAN_DATA'!$G$2:$G$570,A10,'02_CLEAN_DATA'!$W$2:$W$570,"Missed")</f>
        <v>1</v>
      </c>
      <c r="G10" s="23">
        <f t="shared" si="0"/>
        <v>0.875</v>
      </c>
      <c r="H10" s="22">
        <f>COUNTIFS('02_CLEAN_DATA'!$G$2:$G$570,A10,'02_CLEAN_DATA'!$S$2:$S$570,"Customer Contracted Reasons")</f>
        <v>9</v>
      </c>
      <c r="I10" s="24">
        <f>IFERROR(AVERAGEIF('02_CLEAN_DATA'!$G$2:$G$570,A10,'02_CLEAN_DATA'!$O$2:$O$570),"")</f>
        <v>25.445999999999994</v>
      </c>
      <c r="J10" s="24">
        <f t="array" ref="J10">IFERROR(MEDIAN(IF('02_CLEAN_DATA'!$G$2:$G$570=A10,'02_CLEAN_DATA'!$O$2:$O$570)),"")</f>
        <v>25.074999999999999</v>
      </c>
      <c r="K10" s="22" t="str">
        <f t="shared" si="1"/>
        <v>Yes</v>
      </c>
      <c r="L10" s="35">
        <f t="shared" si="2"/>
        <v>25.446000999999995</v>
      </c>
      <c r="M10" s="35">
        <f t="shared" si="3"/>
        <v>1.0000009999999999</v>
      </c>
    </row>
    <row r="11" spans="1:13" x14ac:dyDescent="0.2">
      <c r="A11" s="25" t="s">
        <v>271</v>
      </c>
      <c r="B11" s="25" t="s">
        <v>272</v>
      </c>
      <c r="C11" s="25">
        <f>COUNTIF('02_CLEAN_DATA'!$G$2:$G$570,A11)</f>
        <v>10</v>
      </c>
      <c r="D11" s="25">
        <f>COUNTIFS('02_CLEAN_DATA'!$G$2:$G$570,A11,'02_CLEAN_DATA'!$R$2:$R$570,1)</f>
        <v>10</v>
      </c>
      <c r="E11" s="25">
        <f>COUNTIFS('02_CLEAN_DATA'!$G$2:$G$570,A11,'02_CLEAN_DATA'!$W$2:$W$570,"Met")</f>
        <v>4</v>
      </c>
      <c r="F11" s="25">
        <f>COUNTIFS('02_CLEAN_DATA'!$G$2:$G$570,A11,'02_CLEAN_DATA'!$W$2:$W$570,"Missed")</f>
        <v>6</v>
      </c>
      <c r="G11" s="26">
        <f t="shared" si="0"/>
        <v>0.4</v>
      </c>
      <c r="H11" s="25">
        <f>COUNTIFS('02_CLEAN_DATA'!$G$2:$G$570,A11,'02_CLEAN_DATA'!$S$2:$S$570,"Customer Contracted Reasons")</f>
        <v>7</v>
      </c>
      <c r="I11" s="27">
        <f>IFERROR(AVERAGEIF('02_CLEAN_DATA'!$G$2:$G$570,A11,'02_CLEAN_DATA'!$O$2:$O$570),"")</f>
        <v>44.176000000000002</v>
      </c>
      <c r="J11" s="27">
        <f t="array" ref="J11">IFERROR(MEDIAN(IF('02_CLEAN_DATA'!$G$2:$G$570=A11,'02_CLEAN_DATA'!$O$2:$O$570)),"")</f>
        <v>54.71</v>
      </c>
      <c r="K11" s="25" t="str">
        <f t="shared" si="1"/>
        <v>Yes</v>
      </c>
      <c r="L11" s="35">
        <f t="shared" si="2"/>
        <v>44.176001100000001</v>
      </c>
      <c r="M11" s="35">
        <f t="shared" si="3"/>
        <v>6.0000011000000004</v>
      </c>
    </row>
    <row r="12" spans="1:13" x14ac:dyDescent="0.2">
      <c r="A12" s="22" t="s">
        <v>273</v>
      </c>
      <c r="B12" s="22" t="s">
        <v>274</v>
      </c>
      <c r="C12" s="22">
        <f>COUNTIF('02_CLEAN_DATA'!$G$2:$G$570,A12)</f>
        <v>10</v>
      </c>
      <c r="D12" s="22">
        <f>COUNTIFS('02_CLEAN_DATA'!$G$2:$G$570,A12,'02_CLEAN_DATA'!$R$2:$R$570,1)</f>
        <v>5</v>
      </c>
      <c r="E12" s="22">
        <f>COUNTIFS('02_CLEAN_DATA'!$G$2:$G$570,A12,'02_CLEAN_DATA'!$W$2:$W$570,"Met")</f>
        <v>5</v>
      </c>
      <c r="F12" s="22">
        <f>COUNTIFS('02_CLEAN_DATA'!$G$2:$G$570,A12,'02_CLEAN_DATA'!$W$2:$W$570,"Missed")</f>
        <v>0</v>
      </c>
      <c r="G12" s="23">
        <f t="shared" si="0"/>
        <v>1</v>
      </c>
      <c r="H12" s="22">
        <f>COUNTIFS('02_CLEAN_DATA'!$G$2:$G$570,A12,'02_CLEAN_DATA'!$S$2:$S$570,"Customer Contracted Reasons")</f>
        <v>5</v>
      </c>
      <c r="I12" s="24">
        <f>IFERROR(AVERAGEIF('02_CLEAN_DATA'!$G$2:$G$570,A12,'02_CLEAN_DATA'!$O$2:$O$570),"")</f>
        <v>14.191999999999998</v>
      </c>
      <c r="J12" s="24">
        <f t="array" ref="J12">IFERROR(MEDIAN(IF('02_CLEAN_DATA'!$G$2:$G$570=A12,'02_CLEAN_DATA'!$O$2:$O$570)),"")</f>
        <v>8.8849999999999998</v>
      </c>
      <c r="K12" s="22" t="str">
        <f t="shared" si="1"/>
        <v>Yes</v>
      </c>
      <c r="L12" s="35">
        <f t="shared" si="2"/>
        <v>14.192001199999998</v>
      </c>
      <c r="M12" s="35">
        <f t="shared" si="3"/>
        <v>1.1999999999999999E-6</v>
      </c>
    </row>
    <row r="13" spans="1:13" x14ac:dyDescent="0.2">
      <c r="A13" s="25" t="s">
        <v>275</v>
      </c>
      <c r="B13" s="25" t="s">
        <v>276</v>
      </c>
      <c r="C13" s="25">
        <f>COUNTIF('02_CLEAN_DATA'!$G$2:$G$570,A13)</f>
        <v>9</v>
      </c>
      <c r="D13" s="25">
        <f>COUNTIFS('02_CLEAN_DATA'!$G$2:$G$570,A13,'02_CLEAN_DATA'!$R$2:$R$570,1)</f>
        <v>7</v>
      </c>
      <c r="E13" s="25">
        <f>COUNTIFS('02_CLEAN_DATA'!$G$2:$G$570,A13,'02_CLEAN_DATA'!$W$2:$W$570,"Met")</f>
        <v>7</v>
      </c>
      <c r="F13" s="25">
        <f>COUNTIFS('02_CLEAN_DATA'!$G$2:$G$570,A13,'02_CLEAN_DATA'!$W$2:$W$570,"Missed")</f>
        <v>0</v>
      </c>
      <c r="G13" s="26">
        <f t="shared" si="0"/>
        <v>1</v>
      </c>
      <c r="H13" s="25">
        <f>COUNTIFS('02_CLEAN_DATA'!$G$2:$G$570,A13,'02_CLEAN_DATA'!$S$2:$S$570,"Customer Contracted Reasons")</f>
        <v>3</v>
      </c>
      <c r="I13" s="27">
        <f>IFERROR(AVERAGEIF('02_CLEAN_DATA'!$G$2:$G$570,A13,'02_CLEAN_DATA'!$O$2:$O$570),"")</f>
        <v>5.3944444444444457</v>
      </c>
      <c r="J13" s="27">
        <f t="array" ref="J13">IFERROR(MEDIAN(IF('02_CLEAN_DATA'!$G$2:$G$570=A13,'02_CLEAN_DATA'!$O$2:$O$570)),"")</f>
        <v>3.35</v>
      </c>
      <c r="K13" s="25" t="str">
        <f t="shared" si="1"/>
        <v>Yes</v>
      </c>
      <c r="L13" s="35">
        <f t="shared" si="2"/>
        <v>5.3944457444444458</v>
      </c>
      <c r="M13" s="35">
        <f t="shared" si="3"/>
        <v>1.3E-6</v>
      </c>
    </row>
    <row r="14" spans="1:13" x14ac:dyDescent="0.2">
      <c r="A14" s="22" t="s">
        <v>277</v>
      </c>
      <c r="B14" s="22" t="s">
        <v>278</v>
      </c>
      <c r="C14" s="22">
        <f>COUNTIF('02_CLEAN_DATA'!$G$2:$G$570,A14)</f>
        <v>9</v>
      </c>
      <c r="D14" s="22">
        <f>COUNTIFS('02_CLEAN_DATA'!$G$2:$G$570,A14,'02_CLEAN_DATA'!$R$2:$R$570,1)</f>
        <v>6</v>
      </c>
      <c r="E14" s="22">
        <f>COUNTIFS('02_CLEAN_DATA'!$G$2:$G$570,A14,'02_CLEAN_DATA'!$W$2:$W$570,"Met")</f>
        <v>5</v>
      </c>
      <c r="F14" s="22">
        <f>COUNTIFS('02_CLEAN_DATA'!$G$2:$G$570,A14,'02_CLEAN_DATA'!$W$2:$W$570,"Missed")</f>
        <v>1</v>
      </c>
      <c r="G14" s="23">
        <f t="shared" si="0"/>
        <v>0.83333333333333337</v>
      </c>
      <c r="H14" s="22">
        <f>COUNTIFS('02_CLEAN_DATA'!$G$2:$G$570,A14,'02_CLEAN_DATA'!$S$2:$S$570,"Customer Contracted Reasons")</f>
        <v>7</v>
      </c>
      <c r="I14" s="24">
        <f>IFERROR(AVERAGEIF('02_CLEAN_DATA'!$G$2:$G$570,A14,'02_CLEAN_DATA'!$O$2:$O$570),"")</f>
        <v>41.016666666666666</v>
      </c>
      <c r="J14" s="24">
        <f t="array" ref="J14">IFERROR(MEDIAN(IF('02_CLEAN_DATA'!$G$2:$G$570=A14,'02_CLEAN_DATA'!$O$2:$O$570)),"")</f>
        <v>24.53</v>
      </c>
      <c r="K14" s="22" t="str">
        <f t="shared" si="1"/>
        <v>Yes</v>
      </c>
      <c r="L14" s="35">
        <f t="shared" si="2"/>
        <v>41.016668066666668</v>
      </c>
      <c r="M14" s="35">
        <f t="shared" si="3"/>
        <v>1.0000013999999999</v>
      </c>
    </row>
    <row r="15" spans="1:13" x14ac:dyDescent="0.2">
      <c r="A15" s="25" t="s">
        <v>279</v>
      </c>
      <c r="B15" s="25" t="s">
        <v>280</v>
      </c>
      <c r="C15" s="25">
        <f>COUNTIF('02_CLEAN_DATA'!$G$2:$G$570,A15)</f>
        <v>9</v>
      </c>
      <c r="D15" s="25">
        <f>COUNTIFS('02_CLEAN_DATA'!$G$2:$G$570,A15,'02_CLEAN_DATA'!$R$2:$R$570,1)</f>
        <v>6</v>
      </c>
      <c r="E15" s="25">
        <f>COUNTIFS('02_CLEAN_DATA'!$G$2:$G$570,A15,'02_CLEAN_DATA'!$W$2:$W$570,"Met")</f>
        <v>3</v>
      </c>
      <c r="F15" s="25">
        <f>COUNTIFS('02_CLEAN_DATA'!$G$2:$G$570,A15,'02_CLEAN_DATA'!$W$2:$W$570,"Missed")</f>
        <v>3</v>
      </c>
      <c r="G15" s="26">
        <f t="shared" si="0"/>
        <v>0.5</v>
      </c>
      <c r="H15" s="25">
        <f>COUNTIFS('02_CLEAN_DATA'!$G$2:$G$570,A15,'02_CLEAN_DATA'!$S$2:$S$570,"Customer Contracted Reasons")</f>
        <v>7</v>
      </c>
      <c r="I15" s="27">
        <f>IFERROR(AVERAGEIF('02_CLEAN_DATA'!$G$2:$G$570,A15,'02_CLEAN_DATA'!$O$2:$O$570),"")</f>
        <v>25.454444444444444</v>
      </c>
      <c r="J15" s="27">
        <f t="array" ref="J15">IFERROR(MEDIAN(IF('02_CLEAN_DATA'!$G$2:$G$570=A15,'02_CLEAN_DATA'!$O$2:$O$570)),"")</f>
        <v>18.23</v>
      </c>
      <c r="K15" s="25" t="str">
        <f t="shared" si="1"/>
        <v>Yes</v>
      </c>
      <c r="L15" s="35">
        <f t="shared" si="2"/>
        <v>25.454445944444444</v>
      </c>
      <c r="M15" s="35">
        <f t="shared" si="3"/>
        <v>3.0000015000000002</v>
      </c>
    </row>
    <row r="16" spans="1:13" x14ac:dyDescent="0.2">
      <c r="A16" s="22" t="s">
        <v>281</v>
      </c>
      <c r="B16" s="22" t="s">
        <v>282</v>
      </c>
      <c r="C16" s="22">
        <f>COUNTIF('02_CLEAN_DATA'!$G$2:$G$570,A16)</f>
        <v>9</v>
      </c>
      <c r="D16" s="22">
        <f>COUNTIFS('02_CLEAN_DATA'!$G$2:$G$570,A16,'02_CLEAN_DATA'!$R$2:$R$570,1)</f>
        <v>4</v>
      </c>
      <c r="E16" s="22">
        <f>COUNTIFS('02_CLEAN_DATA'!$G$2:$G$570,A16,'02_CLEAN_DATA'!$W$2:$W$570,"Met")</f>
        <v>4</v>
      </c>
      <c r="F16" s="22">
        <f>COUNTIFS('02_CLEAN_DATA'!$G$2:$G$570,A16,'02_CLEAN_DATA'!$W$2:$W$570,"Missed")</f>
        <v>0</v>
      </c>
      <c r="G16" s="23">
        <f t="shared" si="0"/>
        <v>1</v>
      </c>
      <c r="H16" s="22">
        <f>COUNTIFS('02_CLEAN_DATA'!$G$2:$G$570,A16,'02_CLEAN_DATA'!$S$2:$S$570,"Customer Contracted Reasons")</f>
        <v>3</v>
      </c>
      <c r="I16" s="24">
        <f>IFERROR(AVERAGEIF('02_CLEAN_DATA'!$G$2:$G$570,A16,'02_CLEAN_DATA'!$O$2:$O$570),"")</f>
        <v>14.808888888888889</v>
      </c>
      <c r="J16" s="24">
        <f t="array" ref="J16">IFERROR(MEDIAN(IF('02_CLEAN_DATA'!$G$2:$G$570=A16,'02_CLEAN_DATA'!$O$2:$O$570)),"")</f>
        <v>14.5</v>
      </c>
      <c r="K16" s="22" t="str">
        <f t="shared" si="1"/>
        <v>Yes</v>
      </c>
      <c r="L16" s="35">
        <f t="shared" si="2"/>
        <v>14.808890488888888</v>
      </c>
      <c r="M16" s="35">
        <f t="shared" si="3"/>
        <v>1.5999999999999999E-6</v>
      </c>
    </row>
    <row r="17" spans="1:13" x14ac:dyDescent="0.2">
      <c r="A17" s="25" t="s">
        <v>283</v>
      </c>
      <c r="B17" s="25" t="s">
        <v>284</v>
      </c>
      <c r="C17" s="25">
        <f>COUNTIF('02_CLEAN_DATA'!$G$2:$G$570,A17)</f>
        <v>9</v>
      </c>
      <c r="D17" s="25">
        <f>COUNTIFS('02_CLEAN_DATA'!$G$2:$G$570,A17,'02_CLEAN_DATA'!$R$2:$R$570,1)</f>
        <v>5</v>
      </c>
      <c r="E17" s="25">
        <f>COUNTIFS('02_CLEAN_DATA'!$G$2:$G$570,A17,'02_CLEAN_DATA'!$W$2:$W$570,"Met")</f>
        <v>5</v>
      </c>
      <c r="F17" s="25">
        <f>COUNTIFS('02_CLEAN_DATA'!$G$2:$G$570,A17,'02_CLEAN_DATA'!$W$2:$W$570,"Missed")</f>
        <v>0</v>
      </c>
      <c r="G17" s="26">
        <f t="shared" si="0"/>
        <v>1</v>
      </c>
      <c r="H17" s="25">
        <f>COUNTIFS('02_CLEAN_DATA'!$G$2:$G$570,A17,'02_CLEAN_DATA'!$S$2:$S$570,"Customer Contracted Reasons")</f>
        <v>4</v>
      </c>
      <c r="I17" s="27">
        <f>IFERROR(AVERAGEIF('02_CLEAN_DATA'!$G$2:$G$570,A17,'02_CLEAN_DATA'!$O$2:$O$570),"")</f>
        <v>12.33</v>
      </c>
      <c r="J17" s="27">
        <f t="array" ref="J17">IFERROR(MEDIAN(IF('02_CLEAN_DATA'!$G$2:$G$570=A17,'02_CLEAN_DATA'!$O$2:$O$570)),"")</f>
        <v>6.17</v>
      </c>
      <c r="K17" s="25" t="str">
        <f t="shared" si="1"/>
        <v>Yes</v>
      </c>
      <c r="L17" s="35">
        <f t="shared" si="2"/>
        <v>12.3300017</v>
      </c>
      <c r="M17" s="35">
        <f t="shared" si="3"/>
        <v>1.7E-6</v>
      </c>
    </row>
    <row r="18" spans="1:13" x14ac:dyDescent="0.2">
      <c r="A18" s="22" t="s">
        <v>285</v>
      </c>
      <c r="B18" s="22" t="s">
        <v>286</v>
      </c>
      <c r="C18" s="22">
        <f>COUNTIF('02_CLEAN_DATA'!$G$2:$G$570,A18)</f>
        <v>9</v>
      </c>
      <c r="D18" s="22">
        <f>COUNTIFS('02_CLEAN_DATA'!$G$2:$G$570,A18,'02_CLEAN_DATA'!$R$2:$R$570,1)</f>
        <v>9</v>
      </c>
      <c r="E18" s="22">
        <f>COUNTIFS('02_CLEAN_DATA'!$G$2:$G$570,A18,'02_CLEAN_DATA'!$W$2:$W$570,"Met")</f>
        <v>6</v>
      </c>
      <c r="F18" s="22">
        <f>COUNTIFS('02_CLEAN_DATA'!$G$2:$G$570,A18,'02_CLEAN_DATA'!$W$2:$W$570,"Missed")</f>
        <v>3</v>
      </c>
      <c r="G18" s="23">
        <f t="shared" si="0"/>
        <v>0.66666666666666663</v>
      </c>
      <c r="H18" s="22">
        <f>COUNTIFS('02_CLEAN_DATA'!$G$2:$G$570,A18,'02_CLEAN_DATA'!$S$2:$S$570,"Customer Contracted Reasons")</f>
        <v>3</v>
      </c>
      <c r="I18" s="24">
        <f>IFERROR(AVERAGEIF('02_CLEAN_DATA'!$G$2:$G$570,A18,'02_CLEAN_DATA'!$O$2:$O$570),"")</f>
        <v>54.123333333333328</v>
      </c>
      <c r="J18" s="24">
        <f t="array" ref="J18">IFERROR(MEDIAN(IF('02_CLEAN_DATA'!$G$2:$G$570=A18,'02_CLEAN_DATA'!$O$2:$O$570)),"")</f>
        <v>3.12</v>
      </c>
      <c r="K18" s="22" t="str">
        <f t="shared" si="1"/>
        <v>Yes</v>
      </c>
      <c r="L18" s="35">
        <f t="shared" si="2"/>
        <v>54.123335133333327</v>
      </c>
      <c r="M18" s="35">
        <f t="shared" si="3"/>
        <v>3.0000018000000002</v>
      </c>
    </row>
    <row r="19" spans="1:13" x14ac:dyDescent="0.2">
      <c r="A19" s="25" t="s">
        <v>287</v>
      </c>
      <c r="B19" s="25" t="s">
        <v>288</v>
      </c>
      <c r="C19" s="25">
        <f>COUNTIF('02_CLEAN_DATA'!$G$2:$G$570,A19)</f>
        <v>8</v>
      </c>
      <c r="D19" s="25">
        <f>COUNTIFS('02_CLEAN_DATA'!$G$2:$G$570,A19,'02_CLEAN_DATA'!$R$2:$R$570,1)</f>
        <v>7</v>
      </c>
      <c r="E19" s="25">
        <f>COUNTIFS('02_CLEAN_DATA'!$G$2:$G$570,A19,'02_CLEAN_DATA'!$W$2:$W$570,"Met")</f>
        <v>7</v>
      </c>
      <c r="F19" s="25">
        <f>COUNTIFS('02_CLEAN_DATA'!$G$2:$G$570,A19,'02_CLEAN_DATA'!$W$2:$W$570,"Missed")</f>
        <v>0</v>
      </c>
      <c r="G19" s="26">
        <f t="shared" si="0"/>
        <v>1</v>
      </c>
      <c r="H19" s="25">
        <f>COUNTIFS('02_CLEAN_DATA'!$G$2:$G$570,A19,'02_CLEAN_DATA'!$S$2:$S$570,"Customer Contracted Reasons")</f>
        <v>8</v>
      </c>
      <c r="I19" s="27">
        <f>IFERROR(AVERAGEIF('02_CLEAN_DATA'!$G$2:$G$570,A19,'02_CLEAN_DATA'!$O$2:$O$570),"")</f>
        <v>19.993749999999999</v>
      </c>
      <c r="J19" s="27">
        <f t="array" ref="J19">IFERROR(MEDIAN(IF('02_CLEAN_DATA'!$G$2:$G$570=A19,'02_CLEAN_DATA'!$O$2:$O$570)),"")</f>
        <v>20.015000000000001</v>
      </c>
      <c r="K19" s="25" t="str">
        <f t="shared" si="1"/>
        <v>Yes</v>
      </c>
      <c r="L19" s="35">
        <f t="shared" si="2"/>
        <v>19.993751899999999</v>
      </c>
      <c r="M19" s="35">
        <f t="shared" si="3"/>
        <v>1.9E-6</v>
      </c>
    </row>
    <row r="20" spans="1:13" x14ac:dyDescent="0.2">
      <c r="A20" s="22" t="s">
        <v>289</v>
      </c>
      <c r="B20" s="22" t="s">
        <v>290</v>
      </c>
      <c r="C20" s="22">
        <f>COUNTIF('02_CLEAN_DATA'!$G$2:$G$570,A20)</f>
        <v>8</v>
      </c>
      <c r="D20" s="22">
        <f>COUNTIFS('02_CLEAN_DATA'!$G$2:$G$570,A20,'02_CLEAN_DATA'!$R$2:$R$570,1)</f>
        <v>5</v>
      </c>
      <c r="E20" s="22">
        <f>COUNTIFS('02_CLEAN_DATA'!$G$2:$G$570,A20,'02_CLEAN_DATA'!$W$2:$W$570,"Met")</f>
        <v>4</v>
      </c>
      <c r="F20" s="22">
        <f>COUNTIFS('02_CLEAN_DATA'!$G$2:$G$570,A20,'02_CLEAN_DATA'!$W$2:$W$570,"Missed")</f>
        <v>1</v>
      </c>
      <c r="G20" s="23">
        <f t="shared" si="0"/>
        <v>0.8</v>
      </c>
      <c r="H20" s="22">
        <f>COUNTIFS('02_CLEAN_DATA'!$G$2:$G$570,A20,'02_CLEAN_DATA'!$S$2:$S$570,"Customer Contracted Reasons")</f>
        <v>5</v>
      </c>
      <c r="I20" s="24">
        <f>IFERROR(AVERAGEIF('02_CLEAN_DATA'!$G$2:$G$570,A20,'02_CLEAN_DATA'!$O$2:$O$570),"")</f>
        <v>11.633750000000001</v>
      </c>
      <c r="J20" s="24">
        <f t="array" ref="J20">IFERROR(MEDIAN(IF('02_CLEAN_DATA'!$G$2:$G$570=A20,'02_CLEAN_DATA'!$O$2:$O$570)),"")</f>
        <v>4.3100000000000005</v>
      </c>
      <c r="K20" s="22" t="str">
        <f t="shared" si="1"/>
        <v>Yes</v>
      </c>
      <c r="L20" s="35">
        <f t="shared" si="2"/>
        <v>11.633752000000001</v>
      </c>
      <c r="M20" s="35">
        <f t="shared" si="3"/>
        <v>1.0000020000000001</v>
      </c>
    </row>
    <row r="21" spans="1:13" x14ac:dyDescent="0.2">
      <c r="A21" s="25" t="s">
        <v>291</v>
      </c>
      <c r="B21" s="25" t="s">
        <v>292</v>
      </c>
      <c r="C21" s="25">
        <f>COUNTIF('02_CLEAN_DATA'!$G$2:$G$570,A21)</f>
        <v>7</v>
      </c>
      <c r="D21" s="25">
        <f>COUNTIFS('02_CLEAN_DATA'!$G$2:$G$570,A21,'02_CLEAN_DATA'!$R$2:$R$570,1)</f>
        <v>5</v>
      </c>
      <c r="E21" s="25">
        <f>COUNTIFS('02_CLEAN_DATA'!$G$2:$G$570,A21,'02_CLEAN_DATA'!$W$2:$W$570,"Met")</f>
        <v>2</v>
      </c>
      <c r="F21" s="25">
        <f>COUNTIFS('02_CLEAN_DATA'!$G$2:$G$570,A21,'02_CLEAN_DATA'!$W$2:$W$570,"Missed")</f>
        <v>3</v>
      </c>
      <c r="G21" s="26">
        <f t="shared" si="0"/>
        <v>0.4</v>
      </c>
      <c r="H21" s="25">
        <f>COUNTIFS('02_CLEAN_DATA'!$G$2:$G$570,A21,'02_CLEAN_DATA'!$S$2:$S$570,"Customer Contracted Reasons")</f>
        <v>6</v>
      </c>
      <c r="I21" s="27">
        <f>IFERROR(AVERAGEIF('02_CLEAN_DATA'!$G$2:$G$570,A21,'02_CLEAN_DATA'!$O$2:$O$570),"")</f>
        <v>80.162857142857135</v>
      </c>
      <c r="J21" s="27">
        <f t="array" ref="J21">IFERROR(MEDIAN(IF('02_CLEAN_DATA'!$G$2:$G$570=A21,'02_CLEAN_DATA'!$O$2:$O$570)),"")</f>
        <v>26.32</v>
      </c>
      <c r="K21" s="25" t="str">
        <f t="shared" si="1"/>
        <v>Yes</v>
      </c>
      <c r="L21" s="35">
        <f t="shared" si="2"/>
        <v>80.162859242857138</v>
      </c>
      <c r="M21" s="35">
        <f t="shared" si="3"/>
        <v>3.0000021000000001</v>
      </c>
    </row>
    <row r="22" spans="1:13" x14ac:dyDescent="0.2">
      <c r="A22" s="22" t="s">
        <v>293</v>
      </c>
      <c r="B22" s="22" t="s">
        <v>294</v>
      </c>
      <c r="C22" s="22">
        <f>COUNTIF('02_CLEAN_DATA'!$G$2:$G$570,A22)</f>
        <v>7</v>
      </c>
      <c r="D22" s="22">
        <f>COUNTIFS('02_CLEAN_DATA'!$G$2:$G$570,A22,'02_CLEAN_DATA'!$R$2:$R$570,1)</f>
        <v>7</v>
      </c>
      <c r="E22" s="22">
        <f>COUNTIFS('02_CLEAN_DATA'!$G$2:$G$570,A22,'02_CLEAN_DATA'!$W$2:$W$570,"Met")</f>
        <v>6</v>
      </c>
      <c r="F22" s="22">
        <f>COUNTIFS('02_CLEAN_DATA'!$G$2:$G$570,A22,'02_CLEAN_DATA'!$W$2:$W$570,"Missed")</f>
        <v>1</v>
      </c>
      <c r="G22" s="23">
        <f t="shared" si="0"/>
        <v>0.8571428571428571</v>
      </c>
      <c r="H22" s="22">
        <f>COUNTIFS('02_CLEAN_DATA'!$G$2:$G$570,A22,'02_CLEAN_DATA'!$S$2:$S$570,"Customer Contracted Reasons")</f>
        <v>7</v>
      </c>
      <c r="I22" s="24">
        <f>IFERROR(AVERAGEIF('02_CLEAN_DATA'!$G$2:$G$570,A22,'02_CLEAN_DATA'!$O$2:$O$570),"")</f>
        <v>8.732857142857144</v>
      </c>
      <c r="J22" s="24">
        <f t="array" ref="J22">IFERROR(MEDIAN(IF('02_CLEAN_DATA'!$G$2:$G$570=A22,'02_CLEAN_DATA'!$O$2:$O$570)),"")</f>
        <v>4.32</v>
      </c>
      <c r="K22" s="22" t="str">
        <f t="shared" si="1"/>
        <v>Yes</v>
      </c>
      <c r="L22" s="35">
        <f t="shared" si="2"/>
        <v>8.7328593428571448</v>
      </c>
      <c r="M22" s="35">
        <f t="shared" si="3"/>
        <v>1.0000022</v>
      </c>
    </row>
    <row r="23" spans="1:13" x14ac:dyDescent="0.2">
      <c r="A23" s="25" t="s">
        <v>295</v>
      </c>
      <c r="B23" s="25" t="s">
        <v>296</v>
      </c>
      <c r="C23" s="25">
        <f>COUNTIF('02_CLEAN_DATA'!$G$2:$G$570,A23)</f>
        <v>7</v>
      </c>
      <c r="D23" s="25">
        <f>COUNTIFS('02_CLEAN_DATA'!$G$2:$G$570,A23,'02_CLEAN_DATA'!$R$2:$R$570,1)</f>
        <v>7</v>
      </c>
      <c r="E23" s="25">
        <f>COUNTIFS('02_CLEAN_DATA'!$G$2:$G$570,A23,'02_CLEAN_DATA'!$W$2:$W$570,"Met")</f>
        <v>5</v>
      </c>
      <c r="F23" s="25">
        <f>COUNTIFS('02_CLEAN_DATA'!$G$2:$G$570,A23,'02_CLEAN_DATA'!$W$2:$W$570,"Missed")</f>
        <v>2</v>
      </c>
      <c r="G23" s="26">
        <f t="shared" si="0"/>
        <v>0.7142857142857143</v>
      </c>
      <c r="H23" s="25">
        <f>COUNTIFS('02_CLEAN_DATA'!$G$2:$G$570,A23,'02_CLEAN_DATA'!$S$2:$S$570,"Customer Contracted Reasons")</f>
        <v>5</v>
      </c>
      <c r="I23" s="27">
        <f>IFERROR(AVERAGEIF('02_CLEAN_DATA'!$G$2:$G$570,A23,'02_CLEAN_DATA'!$O$2:$O$570),"")</f>
        <v>70.548571428571435</v>
      </c>
      <c r="J23" s="27">
        <f t="array" ref="J23">IFERROR(MEDIAN(IF('02_CLEAN_DATA'!$G$2:$G$570=A23,'02_CLEAN_DATA'!$O$2:$O$570)),"")</f>
        <v>32.1</v>
      </c>
      <c r="K23" s="25" t="str">
        <f t="shared" si="1"/>
        <v>Yes</v>
      </c>
      <c r="L23" s="35">
        <f t="shared" si="2"/>
        <v>70.548573728571441</v>
      </c>
      <c r="M23" s="35">
        <f t="shared" si="3"/>
        <v>2.0000022999999998</v>
      </c>
    </row>
    <row r="24" spans="1:13" x14ac:dyDescent="0.2">
      <c r="A24" s="22" t="s">
        <v>297</v>
      </c>
      <c r="B24" s="22" t="s">
        <v>298</v>
      </c>
      <c r="C24" s="22">
        <f>COUNTIF('02_CLEAN_DATA'!$G$2:$G$570,A24)</f>
        <v>7</v>
      </c>
      <c r="D24" s="22">
        <f>COUNTIFS('02_CLEAN_DATA'!$G$2:$G$570,A24,'02_CLEAN_DATA'!$R$2:$R$570,1)</f>
        <v>6</v>
      </c>
      <c r="E24" s="22">
        <f>COUNTIFS('02_CLEAN_DATA'!$G$2:$G$570,A24,'02_CLEAN_DATA'!$W$2:$W$570,"Met")</f>
        <v>5</v>
      </c>
      <c r="F24" s="22">
        <f>COUNTIFS('02_CLEAN_DATA'!$G$2:$G$570,A24,'02_CLEAN_DATA'!$W$2:$W$570,"Missed")</f>
        <v>1</v>
      </c>
      <c r="G24" s="23">
        <f t="shared" si="0"/>
        <v>0.83333333333333337</v>
      </c>
      <c r="H24" s="22">
        <f>COUNTIFS('02_CLEAN_DATA'!$G$2:$G$570,A24,'02_CLEAN_DATA'!$S$2:$S$570,"Customer Contracted Reasons")</f>
        <v>2</v>
      </c>
      <c r="I24" s="24">
        <f>IFERROR(AVERAGEIF('02_CLEAN_DATA'!$G$2:$G$570,A24,'02_CLEAN_DATA'!$O$2:$O$570),"")</f>
        <v>15.02857142857143</v>
      </c>
      <c r="J24" s="24">
        <f t="array" ref="J24">IFERROR(MEDIAN(IF('02_CLEAN_DATA'!$G$2:$G$570=A24,'02_CLEAN_DATA'!$O$2:$O$570)),"")</f>
        <v>7.6</v>
      </c>
      <c r="K24" s="22" t="str">
        <f t="shared" si="1"/>
        <v>Yes</v>
      </c>
      <c r="L24" s="35">
        <f t="shared" si="2"/>
        <v>15.02857382857143</v>
      </c>
      <c r="M24" s="35">
        <f t="shared" si="3"/>
        <v>1.0000024000000001</v>
      </c>
    </row>
    <row r="25" spans="1:13" x14ac:dyDescent="0.2">
      <c r="A25" s="25" t="s">
        <v>299</v>
      </c>
      <c r="B25" s="25" t="s">
        <v>300</v>
      </c>
      <c r="C25" s="25">
        <f>COUNTIF('02_CLEAN_DATA'!$G$2:$G$570,A25)</f>
        <v>7</v>
      </c>
      <c r="D25" s="25">
        <f>COUNTIFS('02_CLEAN_DATA'!$G$2:$G$570,A25,'02_CLEAN_DATA'!$R$2:$R$570,1)</f>
        <v>7</v>
      </c>
      <c r="E25" s="25">
        <f>COUNTIFS('02_CLEAN_DATA'!$G$2:$G$570,A25,'02_CLEAN_DATA'!$W$2:$W$570,"Met")</f>
        <v>7</v>
      </c>
      <c r="F25" s="25">
        <f>COUNTIFS('02_CLEAN_DATA'!$G$2:$G$570,A25,'02_CLEAN_DATA'!$W$2:$W$570,"Missed")</f>
        <v>0</v>
      </c>
      <c r="G25" s="26">
        <f t="shared" si="0"/>
        <v>1</v>
      </c>
      <c r="H25" s="25">
        <f>COUNTIFS('02_CLEAN_DATA'!$G$2:$G$570,A25,'02_CLEAN_DATA'!$S$2:$S$570,"Customer Contracted Reasons")</f>
        <v>2</v>
      </c>
      <c r="I25" s="27">
        <f>IFERROR(AVERAGEIF('02_CLEAN_DATA'!$G$2:$G$570,A25,'02_CLEAN_DATA'!$O$2:$O$570),"")</f>
        <v>9.67</v>
      </c>
      <c r="J25" s="27">
        <f t="array" ref="J25">IFERROR(MEDIAN(IF('02_CLEAN_DATA'!$G$2:$G$570=A25,'02_CLEAN_DATA'!$O$2:$O$570)),"")</f>
        <v>3.85</v>
      </c>
      <c r="K25" s="25" t="str">
        <f t="shared" si="1"/>
        <v>Yes</v>
      </c>
      <c r="L25" s="35">
        <f t="shared" si="2"/>
        <v>9.6700025000000007</v>
      </c>
      <c r="M25" s="35">
        <f t="shared" si="3"/>
        <v>2.5000000000000002E-6</v>
      </c>
    </row>
    <row r="26" spans="1:13" x14ac:dyDescent="0.2">
      <c r="A26" s="22" t="s">
        <v>301</v>
      </c>
      <c r="B26" s="22" t="s">
        <v>302</v>
      </c>
      <c r="C26" s="22">
        <f>COUNTIF('02_CLEAN_DATA'!$G$2:$G$570,A26)</f>
        <v>7</v>
      </c>
      <c r="D26" s="22">
        <f>COUNTIFS('02_CLEAN_DATA'!$G$2:$G$570,A26,'02_CLEAN_DATA'!$R$2:$R$570,1)</f>
        <v>7</v>
      </c>
      <c r="E26" s="22">
        <f>COUNTIFS('02_CLEAN_DATA'!$G$2:$G$570,A26,'02_CLEAN_DATA'!$W$2:$W$570,"Met")</f>
        <v>6</v>
      </c>
      <c r="F26" s="22">
        <f>COUNTIFS('02_CLEAN_DATA'!$G$2:$G$570,A26,'02_CLEAN_DATA'!$W$2:$W$570,"Missed")</f>
        <v>1</v>
      </c>
      <c r="G26" s="23">
        <f t="shared" si="0"/>
        <v>0.8571428571428571</v>
      </c>
      <c r="H26" s="22">
        <f>COUNTIFS('02_CLEAN_DATA'!$G$2:$G$570,A26,'02_CLEAN_DATA'!$S$2:$S$570,"Customer Contracted Reasons")</f>
        <v>2</v>
      </c>
      <c r="I26" s="24">
        <f>IFERROR(AVERAGEIF('02_CLEAN_DATA'!$G$2:$G$570,A26,'02_CLEAN_DATA'!$O$2:$O$570),"")</f>
        <v>18.72</v>
      </c>
      <c r="J26" s="24">
        <f t="array" ref="J26">IFERROR(MEDIAN(IF('02_CLEAN_DATA'!$G$2:$G$570=A26,'02_CLEAN_DATA'!$O$2:$O$570)),"")</f>
        <v>18.25</v>
      </c>
      <c r="K26" s="22" t="str">
        <f t="shared" si="1"/>
        <v>Yes</v>
      </c>
      <c r="L26" s="35">
        <f t="shared" si="2"/>
        <v>18.720002599999997</v>
      </c>
      <c r="M26" s="35">
        <f t="shared" si="3"/>
        <v>1.0000026</v>
      </c>
    </row>
    <row r="27" spans="1:13" x14ac:dyDescent="0.2">
      <c r="A27" s="25" t="s">
        <v>303</v>
      </c>
      <c r="B27" s="25" t="s">
        <v>304</v>
      </c>
      <c r="C27" s="25">
        <f>COUNTIF('02_CLEAN_DATA'!$G$2:$G$570,A27)</f>
        <v>7</v>
      </c>
      <c r="D27" s="25">
        <f>COUNTIFS('02_CLEAN_DATA'!$G$2:$G$570,A27,'02_CLEAN_DATA'!$R$2:$R$570,1)</f>
        <v>7</v>
      </c>
      <c r="E27" s="25">
        <f>COUNTIFS('02_CLEAN_DATA'!$G$2:$G$570,A27,'02_CLEAN_DATA'!$W$2:$W$570,"Met")</f>
        <v>3</v>
      </c>
      <c r="F27" s="25">
        <f>COUNTIFS('02_CLEAN_DATA'!$G$2:$G$570,A27,'02_CLEAN_DATA'!$W$2:$W$570,"Missed")</f>
        <v>4</v>
      </c>
      <c r="G27" s="26">
        <f t="shared" si="0"/>
        <v>0.42857142857142855</v>
      </c>
      <c r="H27" s="25">
        <f>COUNTIFS('02_CLEAN_DATA'!$G$2:$G$570,A27,'02_CLEAN_DATA'!$S$2:$S$570,"Customer Contracted Reasons")</f>
        <v>5</v>
      </c>
      <c r="I27" s="27">
        <f>IFERROR(AVERAGEIF('02_CLEAN_DATA'!$G$2:$G$570,A27,'02_CLEAN_DATA'!$O$2:$O$570),"")</f>
        <v>35.837142857142858</v>
      </c>
      <c r="J27" s="27">
        <f t="array" ref="J27">IFERROR(MEDIAN(IF('02_CLEAN_DATA'!$G$2:$G$570=A27,'02_CLEAN_DATA'!$O$2:$O$570)),"")</f>
        <v>35.6</v>
      </c>
      <c r="K27" s="25" t="str">
        <f t="shared" si="1"/>
        <v>Yes</v>
      </c>
      <c r="L27" s="35">
        <f t="shared" si="2"/>
        <v>35.837145557142861</v>
      </c>
      <c r="M27" s="35">
        <f t="shared" si="3"/>
        <v>4.0000026999999996</v>
      </c>
    </row>
    <row r="28" spans="1:13" x14ac:dyDescent="0.2">
      <c r="A28" s="22" t="s">
        <v>305</v>
      </c>
      <c r="B28" s="22" t="s">
        <v>306</v>
      </c>
      <c r="C28" s="22">
        <f>COUNTIF('02_CLEAN_DATA'!$G$2:$G$570,A28)</f>
        <v>7</v>
      </c>
      <c r="D28" s="22">
        <f>COUNTIFS('02_CLEAN_DATA'!$G$2:$G$570,A28,'02_CLEAN_DATA'!$R$2:$R$570,1)</f>
        <v>4</v>
      </c>
      <c r="E28" s="22">
        <f>COUNTIFS('02_CLEAN_DATA'!$G$2:$G$570,A28,'02_CLEAN_DATA'!$W$2:$W$570,"Met")</f>
        <v>2</v>
      </c>
      <c r="F28" s="22">
        <f>COUNTIFS('02_CLEAN_DATA'!$G$2:$G$570,A28,'02_CLEAN_DATA'!$W$2:$W$570,"Missed")</f>
        <v>2</v>
      </c>
      <c r="G28" s="23">
        <f t="shared" si="0"/>
        <v>0.5</v>
      </c>
      <c r="H28" s="22">
        <f>COUNTIFS('02_CLEAN_DATA'!$G$2:$G$570,A28,'02_CLEAN_DATA'!$S$2:$S$570,"Customer Contracted Reasons")</f>
        <v>4</v>
      </c>
      <c r="I28" s="24">
        <f>IFERROR(AVERAGEIF('02_CLEAN_DATA'!$G$2:$G$570,A28,'02_CLEAN_DATA'!$O$2:$O$570),"")</f>
        <v>116.21142857142858</v>
      </c>
      <c r="J28" s="24">
        <f t="array" ref="J28">IFERROR(MEDIAN(IF('02_CLEAN_DATA'!$G$2:$G$570=A28,'02_CLEAN_DATA'!$O$2:$O$570)),"")</f>
        <v>39.82</v>
      </c>
      <c r="K28" s="22" t="str">
        <f t="shared" si="1"/>
        <v>Yes</v>
      </c>
      <c r="L28" s="35">
        <f t="shared" si="2"/>
        <v>116.21143137142859</v>
      </c>
      <c r="M28" s="35">
        <f t="shared" si="3"/>
        <v>2.0000027999999999</v>
      </c>
    </row>
    <row r="29" spans="1:13" x14ac:dyDescent="0.2">
      <c r="A29" s="25" t="s">
        <v>307</v>
      </c>
      <c r="B29" s="25" t="s">
        <v>308</v>
      </c>
      <c r="C29" s="25">
        <f>COUNTIF('02_CLEAN_DATA'!$G$2:$G$570,A29)</f>
        <v>6</v>
      </c>
      <c r="D29" s="25">
        <f>COUNTIFS('02_CLEAN_DATA'!$G$2:$G$570,A29,'02_CLEAN_DATA'!$R$2:$R$570,1)</f>
        <v>5</v>
      </c>
      <c r="E29" s="25">
        <f>COUNTIFS('02_CLEAN_DATA'!$G$2:$G$570,A29,'02_CLEAN_DATA'!$W$2:$W$570,"Met")</f>
        <v>5</v>
      </c>
      <c r="F29" s="25">
        <f>COUNTIFS('02_CLEAN_DATA'!$G$2:$G$570,A29,'02_CLEAN_DATA'!$W$2:$W$570,"Missed")</f>
        <v>0</v>
      </c>
      <c r="G29" s="26">
        <f t="shared" si="0"/>
        <v>1</v>
      </c>
      <c r="H29" s="25">
        <f>COUNTIFS('02_CLEAN_DATA'!$G$2:$G$570,A29,'02_CLEAN_DATA'!$S$2:$S$570,"Customer Contracted Reasons")</f>
        <v>4</v>
      </c>
      <c r="I29" s="27">
        <f>IFERROR(AVERAGEIF('02_CLEAN_DATA'!$G$2:$G$570,A29,'02_CLEAN_DATA'!$O$2:$O$570),"")</f>
        <v>14.015000000000001</v>
      </c>
      <c r="J29" s="27">
        <f t="array" ref="J29">IFERROR(MEDIAN(IF('02_CLEAN_DATA'!$G$2:$G$570=A29,'02_CLEAN_DATA'!$O$2:$O$570)),"")</f>
        <v>17.37</v>
      </c>
      <c r="K29" s="25" t="str">
        <f t="shared" si="1"/>
        <v>Yes</v>
      </c>
      <c r="L29" s="35">
        <f t="shared" si="2"/>
        <v>14.015002900000001</v>
      </c>
      <c r="M29" s="35">
        <f t="shared" si="3"/>
        <v>2.9000000000000002E-6</v>
      </c>
    </row>
    <row r="30" spans="1:13" x14ac:dyDescent="0.2">
      <c r="A30" s="22" t="s">
        <v>309</v>
      </c>
      <c r="B30" s="22" t="s">
        <v>310</v>
      </c>
      <c r="C30" s="22">
        <f>COUNTIF('02_CLEAN_DATA'!$G$2:$G$570,A30)</f>
        <v>6</v>
      </c>
      <c r="D30" s="22">
        <f>COUNTIFS('02_CLEAN_DATA'!$G$2:$G$570,A30,'02_CLEAN_DATA'!$R$2:$R$570,1)</f>
        <v>6</v>
      </c>
      <c r="E30" s="22">
        <f>COUNTIFS('02_CLEAN_DATA'!$G$2:$G$570,A30,'02_CLEAN_DATA'!$W$2:$W$570,"Met")</f>
        <v>6</v>
      </c>
      <c r="F30" s="22">
        <f>COUNTIFS('02_CLEAN_DATA'!$G$2:$G$570,A30,'02_CLEAN_DATA'!$W$2:$W$570,"Missed")</f>
        <v>0</v>
      </c>
      <c r="G30" s="23">
        <f t="shared" si="0"/>
        <v>1</v>
      </c>
      <c r="H30" s="22">
        <f>COUNTIFS('02_CLEAN_DATA'!$G$2:$G$570,A30,'02_CLEAN_DATA'!$S$2:$S$570,"Customer Contracted Reasons")</f>
        <v>2</v>
      </c>
      <c r="I30" s="24">
        <f>IFERROR(AVERAGEIF('02_CLEAN_DATA'!$G$2:$G$570,A30,'02_CLEAN_DATA'!$O$2:$O$570),"")</f>
        <v>10.075000000000001</v>
      </c>
      <c r="J30" s="24">
        <f t="array" ref="J30">IFERROR(MEDIAN(IF('02_CLEAN_DATA'!$G$2:$G$570=A30,'02_CLEAN_DATA'!$O$2:$O$570)),"")</f>
        <v>4.4000000000000004</v>
      </c>
      <c r="K30" s="22" t="str">
        <f t="shared" si="1"/>
        <v>Yes</v>
      </c>
      <c r="L30" s="35">
        <f t="shared" si="2"/>
        <v>10.075003000000001</v>
      </c>
      <c r="M30" s="35">
        <f t="shared" si="3"/>
        <v>3.0000000000000001E-6</v>
      </c>
    </row>
    <row r="31" spans="1:13" x14ac:dyDescent="0.2">
      <c r="A31" s="25" t="s">
        <v>311</v>
      </c>
      <c r="B31" s="25" t="s">
        <v>312</v>
      </c>
      <c r="C31" s="25">
        <f>COUNTIF('02_CLEAN_DATA'!$G$2:$G$570,A31)</f>
        <v>6</v>
      </c>
      <c r="D31" s="25">
        <f>COUNTIFS('02_CLEAN_DATA'!$G$2:$G$570,A31,'02_CLEAN_DATA'!$R$2:$R$570,1)</f>
        <v>3</v>
      </c>
      <c r="E31" s="25">
        <f>COUNTIFS('02_CLEAN_DATA'!$G$2:$G$570,A31,'02_CLEAN_DATA'!$W$2:$W$570,"Met")</f>
        <v>3</v>
      </c>
      <c r="F31" s="25">
        <f>COUNTIFS('02_CLEAN_DATA'!$G$2:$G$570,A31,'02_CLEAN_DATA'!$W$2:$W$570,"Missed")</f>
        <v>0</v>
      </c>
      <c r="G31" s="26">
        <f t="shared" si="0"/>
        <v>1</v>
      </c>
      <c r="H31" s="25">
        <f>COUNTIFS('02_CLEAN_DATA'!$G$2:$G$570,A31,'02_CLEAN_DATA'!$S$2:$S$570,"Customer Contracted Reasons")</f>
        <v>5</v>
      </c>
      <c r="I31" s="27">
        <f>IFERROR(AVERAGEIF('02_CLEAN_DATA'!$G$2:$G$570,A31,'02_CLEAN_DATA'!$O$2:$O$570),"")</f>
        <v>1.5166666666666666</v>
      </c>
      <c r="J31" s="27">
        <f t="array" ref="J31">IFERROR(MEDIAN(IF('02_CLEAN_DATA'!$G$2:$G$570=A31,'02_CLEAN_DATA'!$O$2:$O$570)),"")</f>
        <v>0.88</v>
      </c>
      <c r="K31" s="25" t="str">
        <f t="shared" si="1"/>
        <v>Yes</v>
      </c>
      <c r="L31" s="35">
        <f t="shared" si="2"/>
        <v>1.5166697666666666</v>
      </c>
      <c r="M31" s="35">
        <f t="shared" si="3"/>
        <v>3.1E-6</v>
      </c>
    </row>
    <row r="32" spans="1:13" x14ac:dyDescent="0.2">
      <c r="A32" s="22" t="s">
        <v>313</v>
      </c>
      <c r="B32" s="22" t="s">
        <v>314</v>
      </c>
      <c r="C32" s="22">
        <f>COUNTIF('02_CLEAN_DATA'!$G$2:$G$570,A32)</f>
        <v>5</v>
      </c>
      <c r="D32" s="22">
        <f>COUNTIFS('02_CLEAN_DATA'!$G$2:$G$570,A32,'02_CLEAN_DATA'!$R$2:$R$570,1)</f>
        <v>3</v>
      </c>
      <c r="E32" s="22">
        <f>COUNTIFS('02_CLEAN_DATA'!$G$2:$G$570,A32,'02_CLEAN_DATA'!$W$2:$W$570,"Met")</f>
        <v>3</v>
      </c>
      <c r="F32" s="22">
        <f>COUNTIFS('02_CLEAN_DATA'!$G$2:$G$570,A32,'02_CLEAN_DATA'!$W$2:$W$570,"Missed")</f>
        <v>0</v>
      </c>
      <c r="G32" s="23">
        <f t="shared" si="0"/>
        <v>1</v>
      </c>
      <c r="H32" s="22">
        <f>COUNTIFS('02_CLEAN_DATA'!$G$2:$G$570,A32,'02_CLEAN_DATA'!$S$2:$S$570,"Customer Contracted Reasons")</f>
        <v>3</v>
      </c>
      <c r="I32" s="24">
        <f>IFERROR(AVERAGEIF('02_CLEAN_DATA'!$G$2:$G$570,A32,'02_CLEAN_DATA'!$O$2:$O$570),"")</f>
        <v>12.263999999999999</v>
      </c>
      <c r="J32" s="24">
        <f t="array" ref="J32">IFERROR(MEDIAN(IF('02_CLEAN_DATA'!$G$2:$G$570=A32,'02_CLEAN_DATA'!$O$2:$O$570)),"")</f>
        <v>17.63</v>
      </c>
      <c r="K32" s="22" t="str">
        <f t="shared" si="1"/>
        <v>Yes</v>
      </c>
      <c r="L32" s="35">
        <f t="shared" si="2"/>
        <v>12.264003199999999</v>
      </c>
      <c r="M32" s="35">
        <f t="shared" si="3"/>
        <v>3.1999999999999999E-6</v>
      </c>
    </row>
    <row r="33" spans="1:13" x14ac:dyDescent="0.2">
      <c r="A33" s="25" t="s">
        <v>315</v>
      </c>
      <c r="B33" s="25" t="s">
        <v>316</v>
      </c>
      <c r="C33" s="25">
        <f>COUNTIF('02_CLEAN_DATA'!$G$2:$G$570,A33)</f>
        <v>5</v>
      </c>
      <c r="D33" s="25">
        <f>COUNTIFS('02_CLEAN_DATA'!$G$2:$G$570,A33,'02_CLEAN_DATA'!$R$2:$R$570,1)</f>
        <v>4</v>
      </c>
      <c r="E33" s="25">
        <f>COUNTIFS('02_CLEAN_DATA'!$G$2:$G$570,A33,'02_CLEAN_DATA'!$W$2:$W$570,"Met")</f>
        <v>2</v>
      </c>
      <c r="F33" s="25">
        <f>COUNTIFS('02_CLEAN_DATA'!$G$2:$G$570,A33,'02_CLEAN_DATA'!$W$2:$W$570,"Missed")</f>
        <v>2</v>
      </c>
      <c r="G33" s="26">
        <f t="shared" si="0"/>
        <v>0.5</v>
      </c>
      <c r="H33" s="25">
        <f>COUNTIFS('02_CLEAN_DATA'!$G$2:$G$570,A33,'02_CLEAN_DATA'!$S$2:$S$570,"Customer Contracted Reasons")</f>
        <v>5</v>
      </c>
      <c r="I33" s="27">
        <f>IFERROR(AVERAGEIF('02_CLEAN_DATA'!$G$2:$G$570,A33,'02_CLEAN_DATA'!$O$2:$O$570),"")</f>
        <v>45.006</v>
      </c>
      <c r="J33" s="27">
        <f t="array" ref="J33">IFERROR(MEDIAN(IF('02_CLEAN_DATA'!$G$2:$G$570=A33,'02_CLEAN_DATA'!$O$2:$O$570)),"")</f>
        <v>19.7</v>
      </c>
      <c r="K33" s="25" t="str">
        <f t="shared" si="1"/>
        <v>Yes</v>
      </c>
      <c r="L33" s="35">
        <f t="shared" si="2"/>
        <v>45.006003300000003</v>
      </c>
      <c r="M33" s="35">
        <f t="shared" si="3"/>
        <v>2.0000032999999999</v>
      </c>
    </row>
    <row r="34" spans="1:13" x14ac:dyDescent="0.2">
      <c r="A34" s="22" t="s">
        <v>317</v>
      </c>
      <c r="B34" s="22" t="s">
        <v>318</v>
      </c>
      <c r="C34" s="22">
        <f>COUNTIF('02_CLEAN_DATA'!$G$2:$G$570,A34)</f>
        <v>5</v>
      </c>
      <c r="D34" s="22">
        <f>COUNTIFS('02_CLEAN_DATA'!$G$2:$G$570,A34,'02_CLEAN_DATA'!$R$2:$R$570,1)</f>
        <v>4</v>
      </c>
      <c r="E34" s="22">
        <f>COUNTIFS('02_CLEAN_DATA'!$G$2:$G$570,A34,'02_CLEAN_DATA'!$W$2:$W$570,"Met")</f>
        <v>4</v>
      </c>
      <c r="F34" s="22">
        <f>COUNTIFS('02_CLEAN_DATA'!$G$2:$G$570,A34,'02_CLEAN_DATA'!$W$2:$W$570,"Missed")</f>
        <v>0</v>
      </c>
      <c r="G34" s="23">
        <f t="shared" ref="G34:G65" si="4">IF(D34=0,"",E34/D34)</f>
        <v>1</v>
      </c>
      <c r="H34" s="22">
        <f>COUNTIFS('02_CLEAN_DATA'!$G$2:$G$570,A34,'02_CLEAN_DATA'!$S$2:$S$570,"Customer Contracted Reasons")</f>
        <v>4</v>
      </c>
      <c r="I34" s="24">
        <f>IFERROR(AVERAGEIF('02_CLEAN_DATA'!$G$2:$G$570,A34,'02_CLEAN_DATA'!$O$2:$O$570),"")</f>
        <v>11.888</v>
      </c>
      <c r="J34" s="24">
        <f t="array" ref="J34">IFERROR(MEDIAN(IF('02_CLEAN_DATA'!$G$2:$G$570=A34,'02_CLEAN_DATA'!$O$2:$O$570)),"")</f>
        <v>4.03</v>
      </c>
      <c r="K34" s="22" t="str">
        <f t="shared" ref="K34:K65" si="5">IF(C34&gt;=5,"Yes","No")</f>
        <v>Yes</v>
      </c>
      <c r="L34" s="35">
        <f t="shared" ref="L34:L65" si="6">IF(C34&gt;=5,I34+ROW()/10000000,"")</f>
        <v>11.888003400000001</v>
      </c>
      <c r="M34" s="35">
        <f t="shared" ref="M34:M65" si="7">F34+ROW()/10000000</f>
        <v>3.4000000000000001E-6</v>
      </c>
    </row>
    <row r="35" spans="1:13" x14ac:dyDescent="0.2">
      <c r="A35" s="25" t="s">
        <v>319</v>
      </c>
      <c r="B35" s="25" t="s">
        <v>320</v>
      </c>
      <c r="C35" s="25">
        <f>COUNTIF('02_CLEAN_DATA'!$G$2:$G$570,A35)</f>
        <v>5</v>
      </c>
      <c r="D35" s="25">
        <f>COUNTIFS('02_CLEAN_DATA'!$G$2:$G$570,A35,'02_CLEAN_DATA'!$R$2:$R$570,1)</f>
        <v>4</v>
      </c>
      <c r="E35" s="25">
        <f>COUNTIFS('02_CLEAN_DATA'!$G$2:$G$570,A35,'02_CLEAN_DATA'!$W$2:$W$570,"Met")</f>
        <v>4</v>
      </c>
      <c r="F35" s="25">
        <f>COUNTIFS('02_CLEAN_DATA'!$G$2:$G$570,A35,'02_CLEAN_DATA'!$W$2:$W$570,"Missed")</f>
        <v>0</v>
      </c>
      <c r="G35" s="26">
        <f t="shared" si="4"/>
        <v>1</v>
      </c>
      <c r="H35" s="25">
        <f>COUNTIFS('02_CLEAN_DATA'!$G$2:$G$570,A35,'02_CLEAN_DATA'!$S$2:$S$570,"Customer Contracted Reasons")</f>
        <v>3</v>
      </c>
      <c r="I35" s="27">
        <f>IFERROR(AVERAGEIF('02_CLEAN_DATA'!$G$2:$G$570,A35,'02_CLEAN_DATA'!$O$2:$O$570),"")</f>
        <v>13.006</v>
      </c>
      <c r="J35" s="27">
        <f t="array" ref="J35">IFERROR(MEDIAN(IF('02_CLEAN_DATA'!$G$2:$G$570=A35,'02_CLEAN_DATA'!$O$2:$O$570)),"")</f>
        <v>14.98</v>
      </c>
      <c r="K35" s="25" t="str">
        <f t="shared" si="5"/>
        <v>Yes</v>
      </c>
      <c r="L35" s="35">
        <f t="shared" si="6"/>
        <v>13.0060035</v>
      </c>
      <c r="M35" s="35">
        <f t="shared" si="7"/>
        <v>3.4999999999999999E-6</v>
      </c>
    </row>
    <row r="36" spans="1:13" x14ac:dyDescent="0.2">
      <c r="A36" s="22" t="s">
        <v>321</v>
      </c>
      <c r="B36" s="22" t="s">
        <v>322</v>
      </c>
      <c r="C36" s="22">
        <f>COUNTIF('02_CLEAN_DATA'!$G$2:$G$570,A36)</f>
        <v>5</v>
      </c>
      <c r="D36" s="22">
        <f>COUNTIFS('02_CLEAN_DATA'!$G$2:$G$570,A36,'02_CLEAN_DATA'!$R$2:$R$570,1)</f>
        <v>5</v>
      </c>
      <c r="E36" s="22">
        <f>COUNTIFS('02_CLEAN_DATA'!$G$2:$G$570,A36,'02_CLEAN_DATA'!$W$2:$W$570,"Met")</f>
        <v>5</v>
      </c>
      <c r="F36" s="22">
        <f>COUNTIFS('02_CLEAN_DATA'!$G$2:$G$570,A36,'02_CLEAN_DATA'!$W$2:$W$570,"Missed")</f>
        <v>0</v>
      </c>
      <c r="G36" s="23">
        <f t="shared" si="4"/>
        <v>1</v>
      </c>
      <c r="H36" s="22">
        <f>COUNTIFS('02_CLEAN_DATA'!$G$2:$G$570,A36,'02_CLEAN_DATA'!$S$2:$S$570,"Customer Contracted Reasons")</f>
        <v>3</v>
      </c>
      <c r="I36" s="24">
        <f>IFERROR(AVERAGEIF('02_CLEAN_DATA'!$G$2:$G$570,A36,'02_CLEAN_DATA'!$O$2:$O$570),"")</f>
        <v>7.4560000000000004</v>
      </c>
      <c r="J36" s="24">
        <f t="array" ref="J36">IFERROR(MEDIAN(IF('02_CLEAN_DATA'!$G$2:$G$570=A36,'02_CLEAN_DATA'!$O$2:$O$570)),"")</f>
        <v>3.57</v>
      </c>
      <c r="K36" s="22" t="str">
        <f t="shared" si="5"/>
        <v>Yes</v>
      </c>
      <c r="L36" s="35">
        <f t="shared" si="6"/>
        <v>7.4560036000000007</v>
      </c>
      <c r="M36" s="35">
        <f t="shared" si="7"/>
        <v>3.5999999999999998E-6</v>
      </c>
    </row>
    <row r="37" spans="1:13" x14ac:dyDescent="0.2">
      <c r="A37" s="25" t="s">
        <v>323</v>
      </c>
      <c r="B37" s="25" t="s">
        <v>324</v>
      </c>
      <c r="C37" s="25">
        <f>COUNTIF('02_CLEAN_DATA'!$G$2:$G$570,A37)</f>
        <v>5</v>
      </c>
      <c r="D37" s="25">
        <f>COUNTIFS('02_CLEAN_DATA'!$G$2:$G$570,A37,'02_CLEAN_DATA'!$R$2:$R$570,1)</f>
        <v>5</v>
      </c>
      <c r="E37" s="25">
        <f>COUNTIFS('02_CLEAN_DATA'!$G$2:$G$570,A37,'02_CLEAN_DATA'!$W$2:$W$570,"Met")</f>
        <v>5</v>
      </c>
      <c r="F37" s="25">
        <f>COUNTIFS('02_CLEAN_DATA'!$G$2:$G$570,A37,'02_CLEAN_DATA'!$W$2:$W$570,"Missed")</f>
        <v>0</v>
      </c>
      <c r="G37" s="26">
        <f t="shared" si="4"/>
        <v>1</v>
      </c>
      <c r="H37" s="25">
        <f>COUNTIFS('02_CLEAN_DATA'!$G$2:$G$570,A37,'02_CLEAN_DATA'!$S$2:$S$570,"Customer Contracted Reasons")</f>
        <v>4</v>
      </c>
      <c r="I37" s="27">
        <f>IFERROR(AVERAGEIF('02_CLEAN_DATA'!$G$2:$G$570,A37,'02_CLEAN_DATA'!$O$2:$O$570),"")</f>
        <v>4.4139999999999997</v>
      </c>
      <c r="J37" s="27">
        <f t="array" ref="J37">IFERROR(MEDIAN(IF('02_CLEAN_DATA'!$G$2:$G$570=A37,'02_CLEAN_DATA'!$O$2:$O$570)),"")</f>
        <v>4.3</v>
      </c>
      <c r="K37" s="25" t="str">
        <f t="shared" si="5"/>
        <v>Yes</v>
      </c>
      <c r="L37" s="35">
        <f t="shared" si="6"/>
        <v>4.4140036999999994</v>
      </c>
      <c r="M37" s="35">
        <f t="shared" si="7"/>
        <v>3.7000000000000002E-6</v>
      </c>
    </row>
    <row r="38" spans="1:13" x14ac:dyDescent="0.2">
      <c r="A38" s="22" t="s">
        <v>325</v>
      </c>
      <c r="B38" s="22" t="s">
        <v>306</v>
      </c>
      <c r="C38" s="22">
        <f>COUNTIF('02_CLEAN_DATA'!$G$2:$G$570,A38)</f>
        <v>5</v>
      </c>
      <c r="D38" s="22">
        <f>COUNTIFS('02_CLEAN_DATA'!$G$2:$G$570,A38,'02_CLEAN_DATA'!$R$2:$R$570,1)</f>
        <v>4</v>
      </c>
      <c r="E38" s="22">
        <f>COUNTIFS('02_CLEAN_DATA'!$G$2:$G$570,A38,'02_CLEAN_DATA'!$W$2:$W$570,"Met")</f>
        <v>3</v>
      </c>
      <c r="F38" s="22">
        <f>COUNTIFS('02_CLEAN_DATA'!$G$2:$G$570,A38,'02_CLEAN_DATA'!$W$2:$W$570,"Missed")</f>
        <v>1</v>
      </c>
      <c r="G38" s="23">
        <f t="shared" si="4"/>
        <v>0.75</v>
      </c>
      <c r="H38" s="22">
        <f>COUNTIFS('02_CLEAN_DATA'!$G$2:$G$570,A38,'02_CLEAN_DATA'!$S$2:$S$570,"Customer Contracted Reasons")</f>
        <v>5</v>
      </c>
      <c r="I38" s="24">
        <f>IFERROR(AVERAGEIF('02_CLEAN_DATA'!$G$2:$G$570,A38,'02_CLEAN_DATA'!$O$2:$O$570),"")</f>
        <v>19.866</v>
      </c>
      <c r="J38" s="24">
        <f t="array" ref="J38">IFERROR(MEDIAN(IF('02_CLEAN_DATA'!$G$2:$G$570=A38,'02_CLEAN_DATA'!$O$2:$O$570)),"")</f>
        <v>3.47</v>
      </c>
      <c r="K38" s="22" t="str">
        <f t="shared" si="5"/>
        <v>Yes</v>
      </c>
      <c r="L38" s="35">
        <f t="shared" si="6"/>
        <v>19.866003800000001</v>
      </c>
      <c r="M38" s="35">
        <f t="shared" si="7"/>
        <v>1.0000038</v>
      </c>
    </row>
    <row r="39" spans="1:13" x14ac:dyDescent="0.2">
      <c r="A39" s="25" t="s">
        <v>326</v>
      </c>
      <c r="B39" s="25" t="s">
        <v>327</v>
      </c>
      <c r="C39" s="25">
        <f>COUNTIF('02_CLEAN_DATA'!$G$2:$G$570,A39)</f>
        <v>5</v>
      </c>
      <c r="D39" s="25">
        <f>COUNTIFS('02_CLEAN_DATA'!$G$2:$G$570,A39,'02_CLEAN_DATA'!$R$2:$R$570,1)</f>
        <v>3</v>
      </c>
      <c r="E39" s="25">
        <f>COUNTIFS('02_CLEAN_DATA'!$G$2:$G$570,A39,'02_CLEAN_DATA'!$W$2:$W$570,"Met")</f>
        <v>1</v>
      </c>
      <c r="F39" s="25">
        <f>COUNTIFS('02_CLEAN_DATA'!$G$2:$G$570,A39,'02_CLEAN_DATA'!$W$2:$W$570,"Missed")</f>
        <v>2</v>
      </c>
      <c r="G39" s="26">
        <f t="shared" si="4"/>
        <v>0.33333333333333331</v>
      </c>
      <c r="H39" s="25">
        <f>COUNTIFS('02_CLEAN_DATA'!$G$2:$G$570,A39,'02_CLEAN_DATA'!$S$2:$S$570,"Customer Contracted Reasons")</f>
        <v>3</v>
      </c>
      <c r="I39" s="27">
        <f>IFERROR(AVERAGEIF('02_CLEAN_DATA'!$G$2:$G$570,A39,'02_CLEAN_DATA'!$O$2:$O$570),"")</f>
        <v>98.138000000000005</v>
      </c>
      <c r="J39" s="27">
        <f t="array" ref="J39">IFERROR(MEDIAN(IF('02_CLEAN_DATA'!$G$2:$G$570=A39,'02_CLEAN_DATA'!$O$2:$O$570)),"")</f>
        <v>101.43</v>
      </c>
      <c r="K39" s="25" t="str">
        <f t="shared" si="5"/>
        <v>Yes</v>
      </c>
      <c r="L39" s="35">
        <f t="shared" si="6"/>
        <v>98.138003900000001</v>
      </c>
      <c r="M39" s="35">
        <f t="shared" si="7"/>
        <v>2.0000038999999998</v>
      </c>
    </row>
    <row r="40" spans="1:13" x14ac:dyDescent="0.2">
      <c r="A40" s="22" t="s">
        <v>328</v>
      </c>
      <c r="B40" s="22" t="s">
        <v>329</v>
      </c>
      <c r="C40" s="22">
        <f>COUNTIF('02_CLEAN_DATA'!$G$2:$G$570,A40)</f>
        <v>4</v>
      </c>
      <c r="D40" s="22">
        <f>COUNTIFS('02_CLEAN_DATA'!$G$2:$G$570,A40,'02_CLEAN_DATA'!$R$2:$R$570,1)</f>
        <v>4</v>
      </c>
      <c r="E40" s="22">
        <f>COUNTIFS('02_CLEAN_DATA'!$G$2:$G$570,A40,'02_CLEAN_DATA'!$W$2:$W$570,"Met")</f>
        <v>3</v>
      </c>
      <c r="F40" s="22">
        <f>COUNTIFS('02_CLEAN_DATA'!$G$2:$G$570,A40,'02_CLEAN_DATA'!$W$2:$W$570,"Missed")</f>
        <v>1</v>
      </c>
      <c r="G40" s="23">
        <f t="shared" si="4"/>
        <v>0.75</v>
      </c>
      <c r="H40" s="22">
        <f>COUNTIFS('02_CLEAN_DATA'!$G$2:$G$570,A40,'02_CLEAN_DATA'!$S$2:$S$570,"Customer Contracted Reasons")</f>
        <v>3</v>
      </c>
      <c r="I40" s="24">
        <f>IFERROR(AVERAGEIF('02_CLEAN_DATA'!$G$2:$G$570,A40,'02_CLEAN_DATA'!$O$2:$O$570),"")</f>
        <v>15.324999999999999</v>
      </c>
      <c r="J40" s="24">
        <f t="array" ref="J40">IFERROR(MEDIAN(IF('02_CLEAN_DATA'!$G$2:$G$570=A40,'02_CLEAN_DATA'!$O$2:$O$570)),"")</f>
        <v>12.324999999999999</v>
      </c>
      <c r="K40" s="22" t="str">
        <f t="shared" si="5"/>
        <v>No</v>
      </c>
      <c r="L40" s="35" t="str">
        <f t="shared" si="6"/>
        <v/>
      </c>
      <c r="M40" s="35">
        <f t="shared" si="7"/>
        <v>1.0000039999999999</v>
      </c>
    </row>
    <row r="41" spans="1:13" x14ac:dyDescent="0.2">
      <c r="A41" s="25" t="s">
        <v>330</v>
      </c>
      <c r="B41" s="25" t="s">
        <v>331</v>
      </c>
      <c r="C41" s="25">
        <f>COUNTIF('02_CLEAN_DATA'!$G$2:$G$570,A41)</f>
        <v>4</v>
      </c>
      <c r="D41" s="25">
        <f>COUNTIFS('02_CLEAN_DATA'!$G$2:$G$570,A41,'02_CLEAN_DATA'!$R$2:$R$570,1)</f>
        <v>3</v>
      </c>
      <c r="E41" s="25">
        <f>COUNTIFS('02_CLEAN_DATA'!$G$2:$G$570,A41,'02_CLEAN_DATA'!$W$2:$W$570,"Met")</f>
        <v>1</v>
      </c>
      <c r="F41" s="25">
        <f>COUNTIFS('02_CLEAN_DATA'!$G$2:$G$570,A41,'02_CLEAN_DATA'!$W$2:$W$570,"Missed")</f>
        <v>2</v>
      </c>
      <c r="G41" s="26">
        <f t="shared" si="4"/>
        <v>0.33333333333333331</v>
      </c>
      <c r="H41" s="25">
        <f>COUNTIFS('02_CLEAN_DATA'!$G$2:$G$570,A41,'02_CLEAN_DATA'!$S$2:$S$570,"Customer Contracted Reasons")</f>
        <v>2</v>
      </c>
      <c r="I41" s="27">
        <f>IFERROR(AVERAGEIF('02_CLEAN_DATA'!$G$2:$G$570,A41,'02_CLEAN_DATA'!$O$2:$O$570),"")</f>
        <v>52.757500000000007</v>
      </c>
      <c r="J41" s="27">
        <f t="array" ref="J41">IFERROR(MEDIAN(IF('02_CLEAN_DATA'!$G$2:$G$570=A41,'02_CLEAN_DATA'!$O$2:$O$570)),"")</f>
        <v>29.69</v>
      </c>
      <c r="K41" s="25" t="str">
        <f t="shared" si="5"/>
        <v>No</v>
      </c>
      <c r="L41" s="35" t="str">
        <f t="shared" si="6"/>
        <v/>
      </c>
      <c r="M41" s="35">
        <f t="shared" si="7"/>
        <v>2.0000041</v>
      </c>
    </row>
    <row r="42" spans="1:13" x14ac:dyDescent="0.2">
      <c r="A42" s="22" t="s">
        <v>332</v>
      </c>
      <c r="B42" s="22" t="s">
        <v>333</v>
      </c>
      <c r="C42" s="22">
        <f>COUNTIF('02_CLEAN_DATA'!$G$2:$G$570,A42)</f>
        <v>4</v>
      </c>
      <c r="D42" s="22">
        <f>COUNTIFS('02_CLEAN_DATA'!$G$2:$G$570,A42,'02_CLEAN_DATA'!$R$2:$R$570,1)</f>
        <v>2</v>
      </c>
      <c r="E42" s="22">
        <f>COUNTIFS('02_CLEAN_DATA'!$G$2:$G$570,A42,'02_CLEAN_DATA'!$W$2:$W$570,"Met")</f>
        <v>1</v>
      </c>
      <c r="F42" s="22">
        <f>COUNTIFS('02_CLEAN_DATA'!$G$2:$G$570,A42,'02_CLEAN_DATA'!$W$2:$W$570,"Missed")</f>
        <v>1</v>
      </c>
      <c r="G42" s="23">
        <f t="shared" si="4"/>
        <v>0.5</v>
      </c>
      <c r="H42" s="22">
        <f>COUNTIFS('02_CLEAN_DATA'!$G$2:$G$570,A42,'02_CLEAN_DATA'!$S$2:$S$570,"Customer Contracted Reasons")</f>
        <v>0</v>
      </c>
      <c r="I42" s="24">
        <f>IFERROR(AVERAGEIF('02_CLEAN_DATA'!$G$2:$G$570,A42,'02_CLEAN_DATA'!$O$2:$O$570),"")</f>
        <v>30.995000000000001</v>
      </c>
      <c r="J42" s="24">
        <f t="array" ref="J42">IFERROR(MEDIAN(IF('02_CLEAN_DATA'!$G$2:$G$570=A42,'02_CLEAN_DATA'!$O$2:$O$570)),"")</f>
        <v>24.93</v>
      </c>
      <c r="K42" s="22" t="str">
        <f t="shared" si="5"/>
        <v>No</v>
      </c>
      <c r="L42" s="35" t="str">
        <f t="shared" si="6"/>
        <v/>
      </c>
      <c r="M42" s="35">
        <f t="shared" si="7"/>
        <v>1.0000042</v>
      </c>
    </row>
    <row r="43" spans="1:13" x14ac:dyDescent="0.2">
      <c r="A43" s="25" t="s">
        <v>334</v>
      </c>
      <c r="B43" s="25" t="s">
        <v>335</v>
      </c>
      <c r="C43" s="25">
        <f>COUNTIF('02_CLEAN_DATA'!$G$2:$G$570,A43)</f>
        <v>4</v>
      </c>
      <c r="D43" s="25">
        <f>COUNTIFS('02_CLEAN_DATA'!$G$2:$G$570,A43,'02_CLEAN_DATA'!$R$2:$R$570,1)</f>
        <v>3</v>
      </c>
      <c r="E43" s="25">
        <f>COUNTIFS('02_CLEAN_DATA'!$G$2:$G$570,A43,'02_CLEAN_DATA'!$W$2:$W$570,"Met")</f>
        <v>2</v>
      </c>
      <c r="F43" s="25">
        <f>COUNTIFS('02_CLEAN_DATA'!$G$2:$G$570,A43,'02_CLEAN_DATA'!$W$2:$W$570,"Missed")</f>
        <v>1</v>
      </c>
      <c r="G43" s="26">
        <f t="shared" si="4"/>
        <v>0.66666666666666663</v>
      </c>
      <c r="H43" s="25">
        <f>COUNTIFS('02_CLEAN_DATA'!$G$2:$G$570,A43,'02_CLEAN_DATA'!$S$2:$S$570,"Customer Contracted Reasons")</f>
        <v>2</v>
      </c>
      <c r="I43" s="27">
        <f>IFERROR(AVERAGEIF('02_CLEAN_DATA'!$G$2:$G$570,A43,'02_CLEAN_DATA'!$O$2:$O$570),"")</f>
        <v>89.9</v>
      </c>
      <c r="J43" s="27">
        <f t="array" ref="J43">IFERROR(MEDIAN(IF('02_CLEAN_DATA'!$G$2:$G$570=A43,'02_CLEAN_DATA'!$O$2:$O$570)),"")</f>
        <v>84.320000000000007</v>
      </c>
      <c r="K43" s="25" t="str">
        <f t="shared" si="5"/>
        <v>No</v>
      </c>
      <c r="L43" s="35" t="str">
        <f t="shared" si="6"/>
        <v/>
      </c>
      <c r="M43" s="35">
        <f t="shared" si="7"/>
        <v>1.0000043000000001</v>
      </c>
    </row>
    <row r="44" spans="1:13" x14ac:dyDescent="0.2">
      <c r="A44" s="22" t="s">
        <v>336</v>
      </c>
      <c r="B44" s="22" t="s">
        <v>337</v>
      </c>
      <c r="C44" s="22">
        <f>COUNTIF('02_CLEAN_DATA'!$G$2:$G$570,A44)</f>
        <v>4</v>
      </c>
      <c r="D44" s="22">
        <f>COUNTIFS('02_CLEAN_DATA'!$G$2:$G$570,A44,'02_CLEAN_DATA'!$R$2:$R$570,1)</f>
        <v>3</v>
      </c>
      <c r="E44" s="22">
        <f>COUNTIFS('02_CLEAN_DATA'!$G$2:$G$570,A44,'02_CLEAN_DATA'!$W$2:$W$570,"Met")</f>
        <v>2</v>
      </c>
      <c r="F44" s="22">
        <f>COUNTIFS('02_CLEAN_DATA'!$G$2:$G$570,A44,'02_CLEAN_DATA'!$W$2:$W$570,"Missed")</f>
        <v>1</v>
      </c>
      <c r="G44" s="23">
        <f t="shared" si="4"/>
        <v>0.66666666666666663</v>
      </c>
      <c r="H44" s="22">
        <f>COUNTIFS('02_CLEAN_DATA'!$G$2:$G$570,A44,'02_CLEAN_DATA'!$S$2:$S$570,"Customer Contracted Reasons")</f>
        <v>3</v>
      </c>
      <c r="I44" s="24">
        <f>IFERROR(AVERAGEIF('02_CLEAN_DATA'!$G$2:$G$570,A44,'02_CLEAN_DATA'!$O$2:$O$570),"")</f>
        <v>28.110000000000003</v>
      </c>
      <c r="J44" s="24">
        <f t="array" ref="J44">IFERROR(MEDIAN(IF('02_CLEAN_DATA'!$G$2:$G$570=A44,'02_CLEAN_DATA'!$O$2:$O$570)),"")</f>
        <v>16.760000000000002</v>
      </c>
      <c r="K44" s="22" t="str">
        <f t="shared" si="5"/>
        <v>No</v>
      </c>
      <c r="L44" s="35" t="str">
        <f t="shared" si="6"/>
        <v/>
      </c>
      <c r="M44" s="35">
        <f t="shared" si="7"/>
        <v>1.0000043999999999</v>
      </c>
    </row>
    <row r="45" spans="1:13" x14ac:dyDescent="0.2">
      <c r="A45" s="25" t="s">
        <v>338</v>
      </c>
      <c r="B45" s="25" t="s">
        <v>339</v>
      </c>
      <c r="C45" s="25">
        <f>COUNTIF('02_CLEAN_DATA'!$G$2:$G$570,A45)</f>
        <v>4</v>
      </c>
      <c r="D45" s="25">
        <f>COUNTIFS('02_CLEAN_DATA'!$G$2:$G$570,A45,'02_CLEAN_DATA'!$R$2:$R$570,1)</f>
        <v>3</v>
      </c>
      <c r="E45" s="25">
        <f>COUNTIFS('02_CLEAN_DATA'!$G$2:$G$570,A45,'02_CLEAN_DATA'!$W$2:$W$570,"Met")</f>
        <v>2</v>
      </c>
      <c r="F45" s="25">
        <f>COUNTIFS('02_CLEAN_DATA'!$G$2:$G$570,A45,'02_CLEAN_DATA'!$W$2:$W$570,"Missed")</f>
        <v>1</v>
      </c>
      <c r="G45" s="26">
        <f t="shared" si="4"/>
        <v>0.66666666666666663</v>
      </c>
      <c r="H45" s="25">
        <f>COUNTIFS('02_CLEAN_DATA'!$G$2:$G$570,A45,'02_CLEAN_DATA'!$S$2:$S$570,"Customer Contracted Reasons")</f>
        <v>2</v>
      </c>
      <c r="I45" s="27">
        <f>IFERROR(AVERAGEIF('02_CLEAN_DATA'!$G$2:$G$570,A45,'02_CLEAN_DATA'!$O$2:$O$570),"")</f>
        <v>32.99</v>
      </c>
      <c r="J45" s="27">
        <f t="array" ref="J45">IFERROR(MEDIAN(IF('02_CLEAN_DATA'!$G$2:$G$570=A45,'02_CLEAN_DATA'!$O$2:$O$570)),"")</f>
        <v>13.375</v>
      </c>
      <c r="K45" s="25" t="str">
        <f t="shared" si="5"/>
        <v>No</v>
      </c>
      <c r="L45" s="35" t="str">
        <f t="shared" si="6"/>
        <v/>
      </c>
      <c r="M45" s="35">
        <f t="shared" si="7"/>
        <v>1.0000045</v>
      </c>
    </row>
    <row r="46" spans="1:13" x14ac:dyDescent="0.2">
      <c r="A46" s="22" t="s">
        <v>340</v>
      </c>
      <c r="B46" s="22" t="s">
        <v>341</v>
      </c>
      <c r="C46" s="22">
        <f>COUNTIF('02_CLEAN_DATA'!$G$2:$G$570,A46)</f>
        <v>4</v>
      </c>
      <c r="D46" s="22">
        <f>COUNTIFS('02_CLEAN_DATA'!$G$2:$G$570,A46,'02_CLEAN_DATA'!$R$2:$R$570,1)</f>
        <v>2</v>
      </c>
      <c r="E46" s="22">
        <f>COUNTIFS('02_CLEAN_DATA'!$G$2:$G$570,A46,'02_CLEAN_DATA'!$W$2:$W$570,"Met")</f>
        <v>2</v>
      </c>
      <c r="F46" s="22">
        <f>COUNTIFS('02_CLEAN_DATA'!$G$2:$G$570,A46,'02_CLEAN_DATA'!$W$2:$W$570,"Missed")</f>
        <v>0</v>
      </c>
      <c r="G46" s="23">
        <f t="shared" si="4"/>
        <v>1</v>
      </c>
      <c r="H46" s="22">
        <f>COUNTIFS('02_CLEAN_DATA'!$G$2:$G$570,A46,'02_CLEAN_DATA'!$S$2:$S$570,"Customer Contracted Reasons")</f>
        <v>1</v>
      </c>
      <c r="I46" s="24">
        <f>IFERROR(AVERAGEIF('02_CLEAN_DATA'!$G$2:$G$570,A46,'02_CLEAN_DATA'!$O$2:$O$570),"")</f>
        <v>23.837500000000002</v>
      </c>
      <c r="J46" s="24">
        <f t="array" ref="J46">IFERROR(MEDIAN(IF('02_CLEAN_DATA'!$G$2:$G$570=A46,'02_CLEAN_DATA'!$O$2:$O$570)),"")</f>
        <v>12.7</v>
      </c>
      <c r="K46" s="22" t="str">
        <f t="shared" si="5"/>
        <v>No</v>
      </c>
      <c r="L46" s="35" t="str">
        <f t="shared" si="6"/>
        <v/>
      </c>
      <c r="M46" s="35">
        <f t="shared" si="7"/>
        <v>4.6E-6</v>
      </c>
    </row>
    <row r="47" spans="1:13" x14ac:dyDescent="0.2">
      <c r="A47" s="25" t="s">
        <v>342</v>
      </c>
      <c r="B47" s="25" t="s">
        <v>343</v>
      </c>
      <c r="C47" s="25">
        <f>COUNTIF('02_CLEAN_DATA'!$G$2:$G$570,A47)</f>
        <v>4</v>
      </c>
      <c r="D47" s="25">
        <f>COUNTIFS('02_CLEAN_DATA'!$G$2:$G$570,A47,'02_CLEAN_DATA'!$R$2:$R$570,1)</f>
        <v>3</v>
      </c>
      <c r="E47" s="25">
        <f>COUNTIFS('02_CLEAN_DATA'!$G$2:$G$570,A47,'02_CLEAN_DATA'!$W$2:$W$570,"Met")</f>
        <v>2</v>
      </c>
      <c r="F47" s="25">
        <f>COUNTIFS('02_CLEAN_DATA'!$G$2:$G$570,A47,'02_CLEAN_DATA'!$W$2:$W$570,"Missed")</f>
        <v>1</v>
      </c>
      <c r="G47" s="26">
        <f t="shared" si="4"/>
        <v>0.66666666666666663</v>
      </c>
      <c r="H47" s="25">
        <f>COUNTIFS('02_CLEAN_DATA'!$G$2:$G$570,A47,'02_CLEAN_DATA'!$S$2:$S$570,"Customer Contracted Reasons")</f>
        <v>1</v>
      </c>
      <c r="I47" s="27">
        <f>IFERROR(AVERAGEIF('02_CLEAN_DATA'!$G$2:$G$570,A47,'02_CLEAN_DATA'!$O$2:$O$570),"")</f>
        <v>42.8675</v>
      </c>
      <c r="J47" s="27">
        <f t="array" ref="J47">IFERROR(MEDIAN(IF('02_CLEAN_DATA'!$G$2:$G$570=A47,'02_CLEAN_DATA'!$O$2:$O$570)),"")</f>
        <v>25.11</v>
      </c>
      <c r="K47" s="25" t="str">
        <f t="shared" si="5"/>
        <v>No</v>
      </c>
      <c r="L47" s="35" t="str">
        <f t="shared" si="6"/>
        <v/>
      </c>
      <c r="M47" s="35">
        <f t="shared" si="7"/>
        <v>1.0000047000000001</v>
      </c>
    </row>
    <row r="48" spans="1:13" x14ac:dyDescent="0.2">
      <c r="A48" s="22" t="s">
        <v>344</v>
      </c>
      <c r="B48" s="22" t="s">
        <v>345</v>
      </c>
      <c r="C48" s="22">
        <f>COUNTIF('02_CLEAN_DATA'!$G$2:$G$570,A48)</f>
        <v>4</v>
      </c>
      <c r="D48" s="22">
        <f>COUNTIFS('02_CLEAN_DATA'!$G$2:$G$570,A48,'02_CLEAN_DATA'!$R$2:$R$570,1)</f>
        <v>2</v>
      </c>
      <c r="E48" s="22">
        <f>COUNTIFS('02_CLEAN_DATA'!$G$2:$G$570,A48,'02_CLEAN_DATA'!$W$2:$W$570,"Met")</f>
        <v>2</v>
      </c>
      <c r="F48" s="22">
        <f>COUNTIFS('02_CLEAN_DATA'!$G$2:$G$570,A48,'02_CLEAN_DATA'!$W$2:$W$570,"Missed")</f>
        <v>0</v>
      </c>
      <c r="G48" s="23">
        <f t="shared" si="4"/>
        <v>1</v>
      </c>
      <c r="H48" s="22">
        <f>COUNTIFS('02_CLEAN_DATA'!$G$2:$G$570,A48,'02_CLEAN_DATA'!$S$2:$S$570,"Customer Contracted Reasons")</f>
        <v>4</v>
      </c>
      <c r="I48" s="24">
        <f>IFERROR(AVERAGEIF('02_CLEAN_DATA'!$G$2:$G$570,A48,'02_CLEAN_DATA'!$O$2:$O$570),"")</f>
        <v>14.1325</v>
      </c>
      <c r="J48" s="24">
        <f t="array" ref="J48">IFERROR(MEDIAN(IF('02_CLEAN_DATA'!$G$2:$G$570=A48,'02_CLEAN_DATA'!$O$2:$O$570)),"")</f>
        <v>10.985000000000001</v>
      </c>
      <c r="K48" s="22" t="str">
        <f t="shared" si="5"/>
        <v>No</v>
      </c>
      <c r="L48" s="35" t="str">
        <f t="shared" si="6"/>
        <v/>
      </c>
      <c r="M48" s="35">
        <f t="shared" si="7"/>
        <v>4.7999999999999998E-6</v>
      </c>
    </row>
    <row r="49" spans="1:13" x14ac:dyDescent="0.2">
      <c r="A49" s="25" t="s">
        <v>346</v>
      </c>
      <c r="B49" s="25" t="s">
        <v>347</v>
      </c>
      <c r="C49" s="25">
        <f>COUNTIF('02_CLEAN_DATA'!$G$2:$G$570,A49)</f>
        <v>4</v>
      </c>
      <c r="D49" s="25">
        <f>COUNTIFS('02_CLEAN_DATA'!$G$2:$G$570,A49,'02_CLEAN_DATA'!$R$2:$R$570,1)</f>
        <v>1</v>
      </c>
      <c r="E49" s="25">
        <f>COUNTIFS('02_CLEAN_DATA'!$G$2:$G$570,A49,'02_CLEAN_DATA'!$W$2:$W$570,"Met")</f>
        <v>1</v>
      </c>
      <c r="F49" s="25">
        <f>COUNTIFS('02_CLEAN_DATA'!$G$2:$G$570,A49,'02_CLEAN_DATA'!$W$2:$W$570,"Missed")</f>
        <v>0</v>
      </c>
      <c r="G49" s="26">
        <f t="shared" si="4"/>
        <v>1</v>
      </c>
      <c r="H49" s="25">
        <f>COUNTIFS('02_CLEAN_DATA'!$G$2:$G$570,A49,'02_CLEAN_DATA'!$S$2:$S$570,"Customer Contracted Reasons")</f>
        <v>2</v>
      </c>
      <c r="I49" s="27">
        <f>IFERROR(AVERAGEIF('02_CLEAN_DATA'!$G$2:$G$570,A49,'02_CLEAN_DATA'!$O$2:$O$570),"")</f>
        <v>32.32</v>
      </c>
      <c r="J49" s="27">
        <f t="array" ref="J49">IFERROR(MEDIAN(IF('02_CLEAN_DATA'!$G$2:$G$570=A49,'02_CLEAN_DATA'!$O$2:$O$570)),"")</f>
        <v>26.86</v>
      </c>
      <c r="K49" s="25" t="str">
        <f t="shared" si="5"/>
        <v>No</v>
      </c>
      <c r="L49" s="35" t="str">
        <f t="shared" si="6"/>
        <v/>
      </c>
      <c r="M49" s="35">
        <f t="shared" si="7"/>
        <v>4.8999999999999997E-6</v>
      </c>
    </row>
    <row r="50" spans="1:13" x14ac:dyDescent="0.2">
      <c r="A50" s="22" t="s">
        <v>348</v>
      </c>
      <c r="B50" s="22" t="s">
        <v>349</v>
      </c>
      <c r="C50" s="22">
        <f>COUNTIF('02_CLEAN_DATA'!$G$2:$G$570,A50)</f>
        <v>4</v>
      </c>
      <c r="D50" s="22">
        <f>COUNTIFS('02_CLEAN_DATA'!$G$2:$G$570,A50,'02_CLEAN_DATA'!$R$2:$R$570,1)</f>
        <v>4</v>
      </c>
      <c r="E50" s="22">
        <f>COUNTIFS('02_CLEAN_DATA'!$G$2:$G$570,A50,'02_CLEAN_DATA'!$W$2:$W$570,"Met")</f>
        <v>4</v>
      </c>
      <c r="F50" s="22">
        <f>COUNTIFS('02_CLEAN_DATA'!$G$2:$G$570,A50,'02_CLEAN_DATA'!$W$2:$W$570,"Missed")</f>
        <v>0</v>
      </c>
      <c r="G50" s="23">
        <f t="shared" si="4"/>
        <v>1</v>
      </c>
      <c r="H50" s="22">
        <f>COUNTIFS('02_CLEAN_DATA'!$G$2:$G$570,A50,'02_CLEAN_DATA'!$S$2:$S$570,"Customer Contracted Reasons")</f>
        <v>2</v>
      </c>
      <c r="I50" s="24">
        <f>IFERROR(AVERAGEIF('02_CLEAN_DATA'!$G$2:$G$570,A50,'02_CLEAN_DATA'!$O$2:$O$570),"")</f>
        <v>5.7450000000000001</v>
      </c>
      <c r="J50" s="24">
        <f t="array" ref="J50">IFERROR(MEDIAN(IF('02_CLEAN_DATA'!$G$2:$G$570=A50,'02_CLEAN_DATA'!$O$2:$O$570)),"")</f>
        <v>3.2250000000000001</v>
      </c>
      <c r="K50" s="22" t="str">
        <f t="shared" si="5"/>
        <v>No</v>
      </c>
      <c r="L50" s="35" t="str">
        <f t="shared" si="6"/>
        <v/>
      </c>
      <c r="M50" s="35">
        <f t="shared" si="7"/>
        <v>5.0000000000000004E-6</v>
      </c>
    </row>
    <row r="51" spans="1:13" x14ac:dyDescent="0.2">
      <c r="A51" s="25" t="s">
        <v>350</v>
      </c>
      <c r="B51" s="25" t="s">
        <v>351</v>
      </c>
      <c r="C51" s="25">
        <f>COUNTIF('02_CLEAN_DATA'!$G$2:$G$570,A51)</f>
        <v>4</v>
      </c>
      <c r="D51" s="25">
        <f>COUNTIFS('02_CLEAN_DATA'!$G$2:$G$570,A51,'02_CLEAN_DATA'!$R$2:$R$570,1)</f>
        <v>2</v>
      </c>
      <c r="E51" s="25">
        <f>COUNTIFS('02_CLEAN_DATA'!$G$2:$G$570,A51,'02_CLEAN_DATA'!$W$2:$W$570,"Met")</f>
        <v>2</v>
      </c>
      <c r="F51" s="25">
        <f>COUNTIFS('02_CLEAN_DATA'!$G$2:$G$570,A51,'02_CLEAN_DATA'!$W$2:$W$570,"Missed")</f>
        <v>0</v>
      </c>
      <c r="G51" s="26">
        <f t="shared" si="4"/>
        <v>1</v>
      </c>
      <c r="H51" s="25">
        <f>COUNTIFS('02_CLEAN_DATA'!$G$2:$G$570,A51,'02_CLEAN_DATA'!$S$2:$S$570,"Customer Contracted Reasons")</f>
        <v>2</v>
      </c>
      <c r="I51" s="27">
        <f>IFERROR(AVERAGEIF('02_CLEAN_DATA'!$G$2:$G$570,A51,'02_CLEAN_DATA'!$O$2:$O$570),"")</f>
        <v>38.462500000000006</v>
      </c>
      <c r="J51" s="27">
        <f t="array" ref="J51">IFERROR(MEDIAN(IF('02_CLEAN_DATA'!$G$2:$G$570=A51,'02_CLEAN_DATA'!$O$2:$O$570)),"")</f>
        <v>21.7</v>
      </c>
      <c r="K51" s="25" t="str">
        <f t="shared" si="5"/>
        <v>No</v>
      </c>
      <c r="L51" s="35" t="str">
        <f t="shared" si="6"/>
        <v/>
      </c>
      <c r="M51" s="35">
        <f t="shared" si="7"/>
        <v>5.1000000000000003E-6</v>
      </c>
    </row>
    <row r="52" spans="1:13" x14ac:dyDescent="0.2">
      <c r="A52" s="22" t="s">
        <v>352</v>
      </c>
      <c r="B52" s="22" t="s">
        <v>353</v>
      </c>
      <c r="C52" s="22">
        <f>COUNTIF('02_CLEAN_DATA'!$G$2:$G$570,A52)</f>
        <v>4</v>
      </c>
      <c r="D52" s="22">
        <f>COUNTIFS('02_CLEAN_DATA'!$G$2:$G$570,A52,'02_CLEAN_DATA'!$R$2:$R$570,1)</f>
        <v>3</v>
      </c>
      <c r="E52" s="22">
        <f>COUNTIFS('02_CLEAN_DATA'!$G$2:$G$570,A52,'02_CLEAN_DATA'!$W$2:$W$570,"Met")</f>
        <v>3</v>
      </c>
      <c r="F52" s="22">
        <f>COUNTIFS('02_CLEAN_DATA'!$G$2:$G$570,A52,'02_CLEAN_DATA'!$W$2:$W$570,"Missed")</f>
        <v>0</v>
      </c>
      <c r="G52" s="23">
        <f t="shared" si="4"/>
        <v>1</v>
      </c>
      <c r="H52" s="22">
        <f>COUNTIFS('02_CLEAN_DATA'!$G$2:$G$570,A52,'02_CLEAN_DATA'!$S$2:$S$570,"Customer Contracted Reasons")</f>
        <v>3</v>
      </c>
      <c r="I52" s="24">
        <f>IFERROR(AVERAGEIF('02_CLEAN_DATA'!$G$2:$G$570,A52,'02_CLEAN_DATA'!$O$2:$O$570),"")</f>
        <v>7.3449999999999998</v>
      </c>
      <c r="J52" s="24">
        <f t="array" ref="J52">IFERROR(MEDIAN(IF('02_CLEAN_DATA'!$G$2:$G$570=A52,'02_CLEAN_DATA'!$O$2:$O$570)),"")</f>
        <v>4.2650000000000006</v>
      </c>
      <c r="K52" s="22" t="str">
        <f t="shared" si="5"/>
        <v>No</v>
      </c>
      <c r="L52" s="35" t="str">
        <f t="shared" si="6"/>
        <v/>
      </c>
      <c r="M52" s="35">
        <f t="shared" si="7"/>
        <v>5.2000000000000002E-6</v>
      </c>
    </row>
    <row r="53" spans="1:13" x14ac:dyDescent="0.2">
      <c r="A53" s="25" t="s">
        <v>354</v>
      </c>
      <c r="B53" s="25" t="s">
        <v>355</v>
      </c>
      <c r="C53" s="25">
        <f>COUNTIF('02_CLEAN_DATA'!$G$2:$G$570,A53)</f>
        <v>4</v>
      </c>
      <c r="D53" s="25">
        <f>COUNTIFS('02_CLEAN_DATA'!$G$2:$G$570,A53,'02_CLEAN_DATA'!$R$2:$R$570,1)</f>
        <v>4</v>
      </c>
      <c r="E53" s="25">
        <f>COUNTIFS('02_CLEAN_DATA'!$G$2:$G$570,A53,'02_CLEAN_DATA'!$W$2:$W$570,"Met")</f>
        <v>3</v>
      </c>
      <c r="F53" s="25">
        <f>COUNTIFS('02_CLEAN_DATA'!$G$2:$G$570,A53,'02_CLEAN_DATA'!$W$2:$W$570,"Missed")</f>
        <v>1</v>
      </c>
      <c r="G53" s="26">
        <f t="shared" si="4"/>
        <v>0.75</v>
      </c>
      <c r="H53" s="25">
        <f>COUNTIFS('02_CLEAN_DATA'!$G$2:$G$570,A53,'02_CLEAN_DATA'!$S$2:$S$570,"Customer Contracted Reasons")</f>
        <v>0</v>
      </c>
      <c r="I53" s="27">
        <f>IFERROR(AVERAGEIF('02_CLEAN_DATA'!$G$2:$G$570,A53,'02_CLEAN_DATA'!$O$2:$O$570),"")</f>
        <v>14.8575</v>
      </c>
      <c r="J53" s="27">
        <f t="array" ref="J53">IFERROR(MEDIAN(IF('02_CLEAN_DATA'!$G$2:$G$570=A53,'02_CLEAN_DATA'!$O$2:$O$570)),"")</f>
        <v>14.914999999999999</v>
      </c>
      <c r="K53" s="25" t="str">
        <f t="shared" si="5"/>
        <v>No</v>
      </c>
      <c r="L53" s="35" t="str">
        <f t="shared" si="6"/>
        <v/>
      </c>
      <c r="M53" s="35">
        <f t="shared" si="7"/>
        <v>1.0000053</v>
      </c>
    </row>
    <row r="54" spans="1:13" x14ac:dyDescent="0.2">
      <c r="A54" s="22" t="s">
        <v>356</v>
      </c>
      <c r="B54" s="22" t="s">
        <v>324</v>
      </c>
      <c r="C54" s="22">
        <f>COUNTIF('02_CLEAN_DATA'!$G$2:$G$570,A54)</f>
        <v>4</v>
      </c>
      <c r="D54" s="22">
        <f>COUNTIFS('02_CLEAN_DATA'!$G$2:$G$570,A54,'02_CLEAN_DATA'!$R$2:$R$570,1)</f>
        <v>4</v>
      </c>
      <c r="E54" s="22">
        <f>COUNTIFS('02_CLEAN_DATA'!$G$2:$G$570,A54,'02_CLEAN_DATA'!$W$2:$W$570,"Met")</f>
        <v>3</v>
      </c>
      <c r="F54" s="22">
        <f>COUNTIFS('02_CLEAN_DATA'!$G$2:$G$570,A54,'02_CLEAN_DATA'!$W$2:$W$570,"Missed")</f>
        <v>1</v>
      </c>
      <c r="G54" s="23">
        <f t="shared" si="4"/>
        <v>0.75</v>
      </c>
      <c r="H54" s="22">
        <f>COUNTIFS('02_CLEAN_DATA'!$G$2:$G$570,A54,'02_CLEAN_DATA'!$S$2:$S$570,"Customer Contracted Reasons")</f>
        <v>4</v>
      </c>
      <c r="I54" s="24">
        <f>IFERROR(AVERAGEIF('02_CLEAN_DATA'!$G$2:$G$570,A54,'02_CLEAN_DATA'!$O$2:$O$570),"")</f>
        <v>11.267500000000002</v>
      </c>
      <c r="J54" s="24">
        <f t="array" ref="J54">IFERROR(MEDIAN(IF('02_CLEAN_DATA'!$G$2:$G$570=A54,'02_CLEAN_DATA'!$O$2:$O$570)),"")</f>
        <v>6.5</v>
      </c>
      <c r="K54" s="22" t="str">
        <f t="shared" si="5"/>
        <v>No</v>
      </c>
      <c r="L54" s="35" t="str">
        <f t="shared" si="6"/>
        <v/>
      </c>
      <c r="M54" s="35">
        <f t="shared" si="7"/>
        <v>1.0000054</v>
      </c>
    </row>
    <row r="55" spans="1:13" x14ac:dyDescent="0.2">
      <c r="A55" s="25" t="s">
        <v>357</v>
      </c>
      <c r="B55" s="25" t="s">
        <v>358</v>
      </c>
      <c r="C55" s="25">
        <f>COUNTIF('02_CLEAN_DATA'!$G$2:$G$570,A55)</f>
        <v>4</v>
      </c>
      <c r="D55" s="25">
        <f>COUNTIFS('02_CLEAN_DATA'!$G$2:$G$570,A55,'02_CLEAN_DATA'!$R$2:$R$570,1)</f>
        <v>0</v>
      </c>
      <c r="E55" s="25">
        <f>COUNTIFS('02_CLEAN_DATA'!$G$2:$G$570,A55,'02_CLEAN_DATA'!$W$2:$W$570,"Met")</f>
        <v>0</v>
      </c>
      <c r="F55" s="25">
        <f>COUNTIFS('02_CLEAN_DATA'!$G$2:$G$570,A55,'02_CLEAN_DATA'!$W$2:$W$570,"Missed")</f>
        <v>0</v>
      </c>
      <c r="G55" s="26" t="str">
        <f t="shared" si="4"/>
        <v/>
      </c>
      <c r="H55" s="25">
        <f>COUNTIFS('02_CLEAN_DATA'!$G$2:$G$570,A55,'02_CLEAN_DATA'!$S$2:$S$570,"Customer Contracted Reasons")</f>
        <v>0</v>
      </c>
      <c r="I55" s="27">
        <f>IFERROR(AVERAGEIF('02_CLEAN_DATA'!$G$2:$G$570,A55,'02_CLEAN_DATA'!$O$2:$O$570),"")</f>
        <v>13.250000000000002</v>
      </c>
      <c r="J55" s="27">
        <f t="array" ref="J55">IFERROR(MEDIAN(IF('02_CLEAN_DATA'!$G$2:$G$570=A55,'02_CLEAN_DATA'!$O$2:$O$570)),"")</f>
        <v>13.515000000000001</v>
      </c>
      <c r="K55" s="25" t="str">
        <f t="shared" si="5"/>
        <v>No</v>
      </c>
      <c r="L55" s="35" t="str">
        <f t="shared" si="6"/>
        <v/>
      </c>
      <c r="M55" s="35">
        <f t="shared" si="7"/>
        <v>5.4999999999999999E-6</v>
      </c>
    </row>
    <row r="56" spans="1:13" x14ac:dyDescent="0.2">
      <c r="A56" s="22" t="s">
        <v>359</v>
      </c>
      <c r="B56" s="22" t="s">
        <v>254</v>
      </c>
      <c r="C56" s="22">
        <f>COUNTIF('02_CLEAN_DATA'!$G$2:$G$570,A56)</f>
        <v>4</v>
      </c>
      <c r="D56" s="22">
        <f>COUNTIFS('02_CLEAN_DATA'!$G$2:$G$570,A56,'02_CLEAN_DATA'!$R$2:$R$570,1)</f>
        <v>2</v>
      </c>
      <c r="E56" s="22">
        <f>COUNTIFS('02_CLEAN_DATA'!$G$2:$G$570,A56,'02_CLEAN_DATA'!$W$2:$W$570,"Met")</f>
        <v>1</v>
      </c>
      <c r="F56" s="22">
        <f>COUNTIFS('02_CLEAN_DATA'!$G$2:$G$570,A56,'02_CLEAN_DATA'!$W$2:$W$570,"Missed")</f>
        <v>1</v>
      </c>
      <c r="G56" s="23">
        <f t="shared" si="4"/>
        <v>0.5</v>
      </c>
      <c r="H56" s="22">
        <f>COUNTIFS('02_CLEAN_DATA'!$G$2:$G$570,A56,'02_CLEAN_DATA'!$S$2:$S$570,"Customer Contracted Reasons")</f>
        <v>4</v>
      </c>
      <c r="I56" s="24">
        <f>IFERROR(AVERAGEIF('02_CLEAN_DATA'!$G$2:$G$570,A56,'02_CLEAN_DATA'!$O$2:$O$570),"")</f>
        <v>33.085000000000001</v>
      </c>
      <c r="J56" s="24">
        <f t="array" ref="J56">IFERROR(MEDIAN(IF('02_CLEAN_DATA'!$G$2:$G$570=A56,'02_CLEAN_DATA'!$O$2:$O$570)),"")</f>
        <v>1.4350000000000001</v>
      </c>
      <c r="K56" s="22" t="str">
        <f t="shared" si="5"/>
        <v>No</v>
      </c>
      <c r="L56" s="35" t="str">
        <f t="shared" si="6"/>
        <v/>
      </c>
      <c r="M56" s="35">
        <f t="shared" si="7"/>
        <v>1.0000055999999999</v>
      </c>
    </row>
    <row r="57" spans="1:13" x14ac:dyDescent="0.2">
      <c r="A57" s="25" t="s">
        <v>360</v>
      </c>
      <c r="B57" s="25" t="s">
        <v>361</v>
      </c>
      <c r="C57" s="25">
        <f>COUNTIF('02_CLEAN_DATA'!$G$2:$G$570,A57)</f>
        <v>4</v>
      </c>
      <c r="D57" s="25">
        <f>COUNTIFS('02_CLEAN_DATA'!$G$2:$G$570,A57,'02_CLEAN_DATA'!$R$2:$R$570,1)</f>
        <v>4</v>
      </c>
      <c r="E57" s="25">
        <f>COUNTIFS('02_CLEAN_DATA'!$G$2:$G$570,A57,'02_CLEAN_DATA'!$W$2:$W$570,"Met")</f>
        <v>1</v>
      </c>
      <c r="F57" s="25">
        <f>COUNTIFS('02_CLEAN_DATA'!$G$2:$G$570,A57,'02_CLEAN_DATA'!$W$2:$W$570,"Missed")</f>
        <v>3</v>
      </c>
      <c r="G57" s="26">
        <f t="shared" si="4"/>
        <v>0.25</v>
      </c>
      <c r="H57" s="25">
        <f>COUNTIFS('02_CLEAN_DATA'!$G$2:$G$570,A57,'02_CLEAN_DATA'!$S$2:$S$570,"Customer Contracted Reasons")</f>
        <v>4</v>
      </c>
      <c r="I57" s="27">
        <f>IFERROR(AVERAGEIF('02_CLEAN_DATA'!$G$2:$G$570,A57,'02_CLEAN_DATA'!$O$2:$O$570),"")</f>
        <v>51.795000000000002</v>
      </c>
      <c r="J57" s="27">
        <f t="array" ref="J57">IFERROR(MEDIAN(IF('02_CLEAN_DATA'!$G$2:$G$570=A57,'02_CLEAN_DATA'!$O$2:$O$570)),"")</f>
        <v>68.09</v>
      </c>
      <c r="K57" s="25" t="str">
        <f t="shared" si="5"/>
        <v>No</v>
      </c>
      <c r="L57" s="35" t="str">
        <f t="shared" si="6"/>
        <v/>
      </c>
      <c r="M57" s="35">
        <f t="shared" si="7"/>
        <v>3.0000057</v>
      </c>
    </row>
    <row r="58" spans="1:13" x14ac:dyDescent="0.2">
      <c r="A58" s="22" t="s">
        <v>362</v>
      </c>
      <c r="B58" s="22" t="s">
        <v>300</v>
      </c>
      <c r="C58" s="22">
        <f>COUNTIF('02_CLEAN_DATA'!$G$2:$G$570,A58)</f>
        <v>4</v>
      </c>
      <c r="D58" s="22">
        <f>COUNTIFS('02_CLEAN_DATA'!$G$2:$G$570,A58,'02_CLEAN_DATA'!$R$2:$R$570,1)</f>
        <v>3</v>
      </c>
      <c r="E58" s="22">
        <f>COUNTIFS('02_CLEAN_DATA'!$G$2:$G$570,A58,'02_CLEAN_DATA'!$W$2:$W$570,"Met")</f>
        <v>2</v>
      </c>
      <c r="F58" s="22">
        <f>COUNTIFS('02_CLEAN_DATA'!$G$2:$G$570,A58,'02_CLEAN_DATA'!$W$2:$W$570,"Missed")</f>
        <v>1</v>
      </c>
      <c r="G58" s="23">
        <f t="shared" si="4"/>
        <v>0.66666666666666663</v>
      </c>
      <c r="H58" s="22">
        <f>COUNTIFS('02_CLEAN_DATA'!$G$2:$G$570,A58,'02_CLEAN_DATA'!$S$2:$S$570,"Customer Contracted Reasons")</f>
        <v>4</v>
      </c>
      <c r="I58" s="24">
        <f>IFERROR(AVERAGEIF('02_CLEAN_DATA'!$G$2:$G$570,A58,'02_CLEAN_DATA'!$O$2:$O$570),"")</f>
        <v>11.1075</v>
      </c>
      <c r="J58" s="24">
        <f t="array" ref="J58">IFERROR(MEDIAN(IF('02_CLEAN_DATA'!$G$2:$G$570=A58,'02_CLEAN_DATA'!$O$2:$O$570)),"")</f>
        <v>5.7750000000000004</v>
      </c>
      <c r="K58" s="22" t="str">
        <f t="shared" si="5"/>
        <v>No</v>
      </c>
      <c r="L58" s="35" t="str">
        <f t="shared" si="6"/>
        <v/>
      </c>
      <c r="M58" s="35">
        <f t="shared" si="7"/>
        <v>1.0000058000000001</v>
      </c>
    </row>
    <row r="59" spans="1:13" x14ac:dyDescent="0.2">
      <c r="A59" s="25" t="s">
        <v>363</v>
      </c>
      <c r="B59" s="25" t="s">
        <v>364</v>
      </c>
      <c r="C59" s="25">
        <f>COUNTIF('02_CLEAN_DATA'!$G$2:$G$570,A59)</f>
        <v>3</v>
      </c>
      <c r="D59" s="25">
        <f>COUNTIFS('02_CLEAN_DATA'!$G$2:$G$570,A59,'02_CLEAN_DATA'!$R$2:$R$570,1)</f>
        <v>3</v>
      </c>
      <c r="E59" s="25">
        <f>COUNTIFS('02_CLEAN_DATA'!$G$2:$G$570,A59,'02_CLEAN_DATA'!$W$2:$W$570,"Met")</f>
        <v>3</v>
      </c>
      <c r="F59" s="25">
        <f>COUNTIFS('02_CLEAN_DATA'!$G$2:$G$570,A59,'02_CLEAN_DATA'!$W$2:$W$570,"Missed")</f>
        <v>0</v>
      </c>
      <c r="G59" s="26">
        <f t="shared" si="4"/>
        <v>1</v>
      </c>
      <c r="H59" s="25">
        <f>COUNTIFS('02_CLEAN_DATA'!$G$2:$G$570,A59,'02_CLEAN_DATA'!$S$2:$S$570,"Customer Contracted Reasons")</f>
        <v>2</v>
      </c>
      <c r="I59" s="27">
        <f>IFERROR(AVERAGEIF('02_CLEAN_DATA'!$G$2:$G$570,A59,'02_CLEAN_DATA'!$O$2:$O$570),"")</f>
        <v>2.5766666666666667</v>
      </c>
      <c r="J59" s="27">
        <f t="array" ref="J59">IFERROR(MEDIAN(IF('02_CLEAN_DATA'!$G$2:$G$570=A59,'02_CLEAN_DATA'!$O$2:$O$570)),"")</f>
        <v>2.78</v>
      </c>
      <c r="K59" s="25" t="str">
        <f t="shared" si="5"/>
        <v>No</v>
      </c>
      <c r="L59" s="35" t="str">
        <f t="shared" si="6"/>
        <v/>
      </c>
      <c r="M59" s="35">
        <f t="shared" si="7"/>
        <v>5.9000000000000003E-6</v>
      </c>
    </row>
    <row r="60" spans="1:13" x14ac:dyDescent="0.2">
      <c r="A60" s="22" t="s">
        <v>365</v>
      </c>
      <c r="B60" s="22" t="s">
        <v>366</v>
      </c>
      <c r="C60" s="22">
        <f>COUNTIF('02_CLEAN_DATA'!$G$2:$G$570,A60)</f>
        <v>3</v>
      </c>
      <c r="D60" s="22">
        <f>COUNTIFS('02_CLEAN_DATA'!$G$2:$G$570,A60,'02_CLEAN_DATA'!$R$2:$R$570,1)</f>
        <v>3</v>
      </c>
      <c r="E60" s="22">
        <f>COUNTIFS('02_CLEAN_DATA'!$G$2:$G$570,A60,'02_CLEAN_DATA'!$W$2:$W$570,"Met")</f>
        <v>3</v>
      </c>
      <c r="F60" s="22">
        <f>COUNTIFS('02_CLEAN_DATA'!$G$2:$G$570,A60,'02_CLEAN_DATA'!$W$2:$W$570,"Missed")</f>
        <v>0</v>
      </c>
      <c r="G60" s="23">
        <f t="shared" si="4"/>
        <v>1</v>
      </c>
      <c r="H60" s="22">
        <f>COUNTIFS('02_CLEAN_DATA'!$G$2:$G$570,A60,'02_CLEAN_DATA'!$S$2:$S$570,"Customer Contracted Reasons")</f>
        <v>3</v>
      </c>
      <c r="I60" s="24">
        <f>IFERROR(AVERAGEIF('02_CLEAN_DATA'!$G$2:$G$570,A60,'02_CLEAN_DATA'!$O$2:$O$570),"")</f>
        <v>34.873333333333335</v>
      </c>
      <c r="J60" s="24">
        <f t="array" ref="J60">IFERROR(MEDIAN(IF('02_CLEAN_DATA'!$G$2:$G$570=A60,'02_CLEAN_DATA'!$O$2:$O$570)),"")</f>
        <v>8.77</v>
      </c>
      <c r="K60" s="22" t="str">
        <f t="shared" si="5"/>
        <v>No</v>
      </c>
      <c r="L60" s="35" t="str">
        <f t="shared" si="6"/>
        <v/>
      </c>
      <c r="M60" s="35">
        <f t="shared" si="7"/>
        <v>6.0000000000000002E-6</v>
      </c>
    </row>
    <row r="61" spans="1:13" x14ac:dyDescent="0.2">
      <c r="A61" s="25" t="s">
        <v>367</v>
      </c>
      <c r="B61" s="25" t="s">
        <v>368</v>
      </c>
      <c r="C61" s="25">
        <f>COUNTIF('02_CLEAN_DATA'!$G$2:$G$570,A61)</f>
        <v>3</v>
      </c>
      <c r="D61" s="25">
        <f>COUNTIFS('02_CLEAN_DATA'!$G$2:$G$570,A61,'02_CLEAN_DATA'!$R$2:$R$570,1)</f>
        <v>0</v>
      </c>
      <c r="E61" s="25">
        <f>COUNTIFS('02_CLEAN_DATA'!$G$2:$G$570,A61,'02_CLEAN_DATA'!$W$2:$W$570,"Met")</f>
        <v>0</v>
      </c>
      <c r="F61" s="25">
        <f>COUNTIFS('02_CLEAN_DATA'!$G$2:$G$570,A61,'02_CLEAN_DATA'!$W$2:$W$570,"Missed")</f>
        <v>0</v>
      </c>
      <c r="G61" s="26" t="str">
        <f t="shared" si="4"/>
        <v/>
      </c>
      <c r="H61" s="25">
        <f>COUNTIFS('02_CLEAN_DATA'!$G$2:$G$570,A61,'02_CLEAN_DATA'!$S$2:$S$570,"Customer Contracted Reasons")</f>
        <v>2</v>
      </c>
      <c r="I61" s="27">
        <f>IFERROR(AVERAGEIF('02_CLEAN_DATA'!$G$2:$G$570,A61,'02_CLEAN_DATA'!$O$2:$O$570),"")</f>
        <v>42.3</v>
      </c>
      <c r="J61" s="27">
        <f t="array" ref="J61">IFERROR(MEDIAN(IF('02_CLEAN_DATA'!$G$2:$G$570=A61,'02_CLEAN_DATA'!$O$2:$O$570)),"")</f>
        <v>3.08</v>
      </c>
      <c r="K61" s="25" t="str">
        <f t="shared" si="5"/>
        <v>No</v>
      </c>
      <c r="L61" s="35" t="str">
        <f t="shared" si="6"/>
        <v/>
      </c>
      <c r="M61" s="35">
        <f t="shared" si="7"/>
        <v>6.1E-6</v>
      </c>
    </row>
    <row r="62" spans="1:13" x14ac:dyDescent="0.2">
      <c r="A62" s="22" t="s">
        <v>369</v>
      </c>
      <c r="B62" s="22" t="s">
        <v>370</v>
      </c>
      <c r="C62" s="22">
        <f>COUNTIF('02_CLEAN_DATA'!$G$2:$G$570,A62)</f>
        <v>3</v>
      </c>
      <c r="D62" s="22">
        <f>COUNTIFS('02_CLEAN_DATA'!$G$2:$G$570,A62,'02_CLEAN_DATA'!$R$2:$R$570,1)</f>
        <v>3</v>
      </c>
      <c r="E62" s="22">
        <f>COUNTIFS('02_CLEAN_DATA'!$G$2:$G$570,A62,'02_CLEAN_DATA'!$W$2:$W$570,"Met")</f>
        <v>3</v>
      </c>
      <c r="F62" s="22">
        <f>COUNTIFS('02_CLEAN_DATA'!$G$2:$G$570,A62,'02_CLEAN_DATA'!$W$2:$W$570,"Missed")</f>
        <v>0</v>
      </c>
      <c r="G62" s="23">
        <f t="shared" si="4"/>
        <v>1</v>
      </c>
      <c r="H62" s="22">
        <f>COUNTIFS('02_CLEAN_DATA'!$G$2:$G$570,A62,'02_CLEAN_DATA'!$S$2:$S$570,"Customer Contracted Reasons")</f>
        <v>2</v>
      </c>
      <c r="I62" s="24">
        <f>IFERROR(AVERAGEIF('02_CLEAN_DATA'!$G$2:$G$570,A62,'02_CLEAN_DATA'!$O$2:$O$570),"")</f>
        <v>13.873333333333335</v>
      </c>
      <c r="J62" s="24">
        <f t="array" ref="J62">IFERROR(MEDIAN(IF('02_CLEAN_DATA'!$G$2:$G$570=A62,'02_CLEAN_DATA'!$O$2:$O$570)),"")</f>
        <v>11.95</v>
      </c>
      <c r="K62" s="22" t="str">
        <f t="shared" si="5"/>
        <v>No</v>
      </c>
      <c r="L62" s="35" t="str">
        <f t="shared" si="6"/>
        <v/>
      </c>
      <c r="M62" s="35">
        <f t="shared" si="7"/>
        <v>6.1999999999999999E-6</v>
      </c>
    </row>
    <row r="63" spans="1:13" x14ac:dyDescent="0.2">
      <c r="A63" s="25" t="s">
        <v>371</v>
      </c>
      <c r="B63" s="25" t="s">
        <v>372</v>
      </c>
      <c r="C63" s="25">
        <f>COUNTIF('02_CLEAN_DATA'!$G$2:$G$570,A63)</f>
        <v>3</v>
      </c>
      <c r="D63" s="25">
        <f>COUNTIFS('02_CLEAN_DATA'!$G$2:$G$570,A63,'02_CLEAN_DATA'!$R$2:$R$570,1)</f>
        <v>3</v>
      </c>
      <c r="E63" s="25">
        <f>COUNTIFS('02_CLEAN_DATA'!$G$2:$G$570,A63,'02_CLEAN_DATA'!$W$2:$W$570,"Met")</f>
        <v>2</v>
      </c>
      <c r="F63" s="25">
        <f>COUNTIFS('02_CLEAN_DATA'!$G$2:$G$570,A63,'02_CLEAN_DATA'!$W$2:$W$570,"Missed")</f>
        <v>1</v>
      </c>
      <c r="G63" s="26">
        <f t="shared" si="4"/>
        <v>0.66666666666666663</v>
      </c>
      <c r="H63" s="25">
        <f>COUNTIFS('02_CLEAN_DATA'!$G$2:$G$570,A63,'02_CLEAN_DATA'!$S$2:$S$570,"Customer Contracted Reasons")</f>
        <v>0</v>
      </c>
      <c r="I63" s="27">
        <f>IFERROR(AVERAGEIF('02_CLEAN_DATA'!$G$2:$G$570,A63,'02_CLEAN_DATA'!$O$2:$O$570),"")</f>
        <v>30.05</v>
      </c>
      <c r="J63" s="27">
        <f t="array" ref="J63">IFERROR(MEDIAN(IF('02_CLEAN_DATA'!$G$2:$G$570=A63,'02_CLEAN_DATA'!$O$2:$O$570)),"")</f>
        <v>21.52</v>
      </c>
      <c r="K63" s="25" t="str">
        <f t="shared" si="5"/>
        <v>No</v>
      </c>
      <c r="L63" s="35" t="str">
        <f t="shared" si="6"/>
        <v/>
      </c>
      <c r="M63" s="35">
        <f t="shared" si="7"/>
        <v>1.0000062999999999</v>
      </c>
    </row>
    <row r="64" spans="1:13" x14ac:dyDescent="0.2">
      <c r="A64" s="22" t="s">
        <v>373</v>
      </c>
      <c r="B64" s="22" t="s">
        <v>374</v>
      </c>
      <c r="C64" s="22">
        <f>COUNTIF('02_CLEAN_DATA'!$G$2:$G$570,A64)</f>
        <v>3</v>
      </c>
      <c r="D64" s="22">
        <f>COUNTIFS('02_CLEAN_DATA'!$G$2:$G$570,A64,'02_CLEAN_DATA'!$R$2:$R$570,1)</f>
        <v>3</v>
      </c>
      <c r="E64" s="22">
        <f>COUNTIFS('02_CLEAN_DATA'!$G$2:$G$570,A64,'02_CLEAN_DATA'!$W$2:$W$570,"Met")</f>
        <v>0</v>
      </c>
      <c r="F64" s="22">
        <f>COUNTIFS('02_CLEAN_DATA'!$G$2:$G$570,A64,'02_CLEAN_DATA'!$W$2:$W$570,"Missed")</f>
        <v>3</v>
      </c>
      <c r="G64" s="23">
        <f t="shared" si="4"/>
        <v>0</v>
      </c>
      <c r="H64" s="22">
        <f>COUNTIFS('02_CLEAN_DATA'!$G$2:$G$570,A64,'02_CLEAN_DATA'!$S$2:$S$570,"Customer Contracted Reasons")</f>
        <v>3</v>
      </c>
      <c r="I64" s="24">
        <f>IFERROR(AVERAGEIF('02_CLEAN_DATA'!$G$2:$G$570,A64,'02_CLEAN_DATA'!$O$2:$O$570),"")</f>
        <v>194.73000000000002</v>
      </c>
      <c r="J64" s="24">
        <f t="array" ref="J64">IFERROR(MEDIAN(IF('02_CLEAN_DATA'!$G$2:$G$570=A64,'02_CLEAN_DATA'!$O$2:$O$570)),"")</f>
        <v>194.65</v>
      </c>
      <c r="K64" s="22" t="str">
        <f t="shared" si="5"/>
        <v>No</v>
      </c>
      <c r="L64" s="35" t="str">
        <f t="shared" si="6"/>
        <v/>
      </c>
      <c r="M64" s="35">
        <f t="shared" si="7"/>
        <v>3.0000064000000002</v>
      </c>
    </row>
    <row r="65" spans="1:13" x14ac:dyDescent="0.2">
      <c r="A65" s="25" t="s">
        <v>375</v>
      </c>
      <c r="B65" s="25" t="s">
        <v>376</v>
      </c>
      <c r="C65" s="25">
        <f>COUNTIF('02_CLEAN_DATA'!$G$2:$G$570,A65)</f>
        <v>3</v>
      </c>
      <c r="D65" s="25">
        <f>COUNTIFS('02_CLEAN_DATA'!$G$2:$G$570,A65,'02_CLEAN_DATA'!$R$2:$R$570,1)</f>
        <v>3</v>
      </c>
      <c r="E65" s="25">
        <f>COUNTIFS('02_CLEAN_DATA'!$G$2:$G$570,A65,'02_CLEAN_DATA'!$W$2:$W$570,"Met")</f>
        <v>3</v>
      </c>
      <c r="F65" s="25">
        <f>COUNTIFS('02_CLEAN_DATA'!$G$2:$G$570,A65,'02_CLEAN_DATA'!$W$2:$W$570,"Missed")</f>
        <v>0</v>
      </c>
      <c r="G65" s="26">
        <f t="shared" si="4"/>
        <v>1</v>
      </c>
      <c r="H65" s="25">
        <f>COUNTIFS('02_CLEAN_DATA'!$G$2:$G$570,A65,'02_CLEAN_DATA'!$S$2:$S$570,"Customer Contracted Reasons")</f>
        <v>2</v>
      </c>
      <c r="I65" s="27">
        <f>IFERROR(AVERAGEIF('02_CLEAN_DATA'!$G$2:$G$570,A65,'02_CLEAN_DATA'!$O$2:$O$570),"")</f>
        <v>18.286666666666665</v>
      </c>
      <c r="J65" s="27">
        <f t="array" ref="J65">IFERROR(MEDIAN(IF('02_CLEAN_DATA'!$G$2:$G$570=A65,'02_CLEAN_DATA'!$O$2:$O$570)),"")</f>
        <v>9.7799999999999994</v>
      </c>
      <c r="K65" s="25" t="str">
        <f t="shared" si="5"/>
        <v>No</v>
      </c>
      <c r="L65" s="35" t="str">
        <f t="shared" si="6"/>
        <v/>
      </c>
      <c r="M65" s="35">
        <f t="shared" si="7"/>
        <v>6.4999999999999996E-6</v>
      </c>
    </row>
    <row r="66" spans="1:13" x14ac:dyDescent="0.2">
      <c r="A66" s="22" t="s">
        <v>377</v>
      </c>
      <c r="B66" s="22" t="s">
        <v>378</v>
      </c>
      <c r="C66" s="22">
        <f>COUNTIF('02_CLEAN_DATA'!$G$2:$G$570,A66)</f>
        <v>3</v>
      </c>
      <c r="D66" s="22">
        <f>COUNTIFS('02_CLEAN_DATA'!$G$2:$G$570,A66,'02_CLEAN_DATA'!$R$2:$R$570,1)</f>
        <v>2</v>
      </c>
      <c r="E66" s="22">
        <f>COUNTIFS('02_CLEAN_DATA'!$G$2:$G$570,A66,'02_CLEAN_DATA'!$W$2:$W$570,"Met")</f>
        <v>1</v>
      </c>
      <c r="F66" s="22">
        <f>COUNTIFS('02_CLEAN_DATA'!$G$2:$G$570,A66,'02_CLEAN_DATA'!$W$2:$W$570,"Missed")</f>
        <v>1</v>
      </c>
      <c r="G66" s="23">
        <f t="shared" ref="G66:G97" si="8">IF(D66=0,"",E66/D66)</f>
        <v>0.5</v>
      </c>
      <c r="H66" s="22">
        <f>COUNTIFS('02_CLEAN_DATA'!$G$2:$G$570,A66,'02_CLEAN_DATA'!$S$2:$S$570,"Customer Contracted Reasons")</f>
        <v>2</v>
      </c>
      <c r="I66" s="24">
        <f>IFERROR(AVERAGEIF('02_CLEAN_DATA'!$G$2:$G$570,A66,'02_CLEAN_DATA'!$O$2:$O$570),"")</f>
        <v>70.34</v>
      </c>
      <c r="J66" s="24">
        <f t="array" ref="J66">IFERROR(MEDIAN(IF('02_CLEAN_DATA'!$G$2:$G$570=A66,'02_CLEAN_DATA'!$O$2:$O$570)),"")</f>
        <v>17.329999999999998</v>
      </c>
      <c r="K66" s="22" t="str">
        <f t="shared" ref="K66:K97" si="9">IF(C66&gt;=5,"Yes","No")</f>
        <v>No</v>
      </c>
      <c r="L66" s="35" t="str">
        <f t="shared" ref="L66:L97" si="10">IF(C66&gt;=5,I66+ROW()/10000000,"")</f>
        <v/>
      </c>
      <c r="M66" s="35">
        <f t="shared" ref="M66:M97" si="11">F66+ROW()/10000000</f>
        <v>1.0000066000000001</v>
      </c>
    </row>
    <row r="67" spans="1:13" x14ac:dyDescent="0.2">
      <c r="A67" s="25" t="s">
        <v>379</v>
      </c>
      <c r="B67" s="25" t="s">
        <v>380</v>
      </c>
      <c r="C67" s="25">
        <f>COUNTIF('02_CLEAN_DATA'!$G$2:$G$570,A67)</f>
        <v>3</v>
      </c>
      <c r="D67" s="25">
        <f>COUNTIFS('02_CLEAN_DATA'!$G$2:$G$570,A67,'02_CLEAN_DATA'!$R$2:$R$570,1)</f>
        <v>2</v>
      </c>
      <c r="E67" s="25">
        <f>COUNTIFS('02_CLEAN_DATA'!$G$2:$G$570,A67,'02_CLEAN_DATA'!$W$2:$W$570,"Met")</f>
        <v>2</v>
      </c>
      <c r="F67" s="25">
        <f>COUNTIFS('02_CLEAN_DATA'!$G$2:$G$570,A67,'02_CLEAN_DATA'!$W$2:$W$570,"Missed")</f>
        <v>0</v>
      </c>
      <c r="G67" s="26">
        <f t="shared" si="8"/>
        <v>1</v>
      </c>
      <c r="H67" s="25">
        <f>COUNTIFS('02_CLEAN_DATA'!$G$2:$G$570,A67,'02_CLEAN_DATA'!$S$2:$S$570,"Customer Contracted Reasons")</f>
        <v>2</v>
      </c>
      <c r="I67" s="27">
        <f>IFERROR(AVERAGEIF('02_CLEAN_DATA'!$G$2:$G$570,A67,'02_CLEAN_DATA'!$O$2:$O$570),"")</f>
        <v>13.625</v>
      </c>
      <c r="J67" s="27">
        <f t="array" ref="J67">IFERROR(MEDIAN(IF('02_CLEAN_DATA'!$G$2:$G$570=A67,'02_CLEAN_DATA'!$O$2:$O$570)),"")</f>
        <v>2.75</v>
      </c>
      <c r="K67" s="25" t="str">
        <f t="shared" si="9"/>
        <v>No</v>
      </c>
      <c r="L67" s="35" t="str">
        <f t="shared" si="10"/>
        <v/>
      </c>
      <c r="M67" s="35">
        <f t="shared" si="11"/>
        <v>6.7000000000000002E-6</v>
      </c>
    </row>
    <row r="68" spans="1:13" x14ac:dyDescent="0.2">
      <c r="A68" s="22" t="s">
        <v>381</v>
      </c>
      <c r="B68" s="22" t="s">
        <v>382</v>
      </c>
      <c r="C68" s="22">
        <f>COUNTIF('02_CLEAN_DATA'!$G$2:$G$570,A68)</f>
        <v>3</v>
      </c>
      <c r="D68" s="22">
        <f>COUNTIFS('02_CLEAN_DATA'!$G$2:$G$570,A68,'02_CLEAN_DATA'!$R$2:$R$570,1)</f>
        <v>3</v>
      </c>
      <c r="E68" s="22">
        <f>COUNTIFS('02_CLEAN_DATA'!$G$2:$G$570,A68,'02_CLEAN_DATA'!$W$2:$W$570,"Met")</f>
        <v>1</v>
      </c>
      <c r="F68" s="22">
        <f>COUNTIFS('02_CLEAN_DATA'!$G$2:$G$570,A68,'02_CLEAN_DATA'!$W$2:$W$570,"Missed")</f>
        <v>2</v>
      </c>
      <c r="G68" s="23">
        <f t="shared" si="8"/>
        <v>0.33333333333333331</v>
      </c>
      <c r="H68" s="22">
        <f>COUNTIFS('02_CLEAN_DATA'!$G$2:$G$570,A68,'02_CLEAN_DATA'!$S$2:$S$570,"Customer Contracted Reasons")</f>
        <v>1</v>
      </c>
      <c r="I68" s="24">
        <f>IFERROR(AVERAGEIF('02_CLEAN_DATA'!$G$2:$G$570,A68,'02_CLEAN_DATA'!$O$2:$O$570),"")</f>
        <v>56.379999999999995</v>
      </c>
      <c r="J68" s="24">
        <f t="array" ref="J68">IFERROR(MEDIAN(IF('02_CLEAN_DATA'!$G$2:$G$570=A68,'02_CLEAN_DATA'!$O$2:$O$570)),"")</f>
        <v>28.5</v>
      </c>
      <c r="K68" s="22" t="str">
        <f t="shared" si="9"/>
        <v>No</v>
      </c>
      <c r="L68" s="35" t="str">
        <f t="shared" si="10"/>
        <v/>
      </c>
      <c r="M68" s="35">
        <f t="shared" si="11"/>
        <v>2.0000068</v>
      </c>
    </row>
    <row r="69" spans="1:13" x14ac:dyDescent="0.2">
      <c r="A69" s="25" t="s">
        <v>383</v>
      </c>
      <c r="B69" s="25" t="s">
        <v>384</v>
      </c>
      <c r="C69" s="25">
        <f>COUNTIF('02_CLEAN_DATA'!$G$2:$G$570,A69)</f>
        <v>3</v>
      </c>
      <c r="D69" s="25">
        <f>COUNTIFS('02_CLEAN_DATA'!$G$2:$G$570,A69,'02_CLEAN_DATA'!$R$2:$R$570,1)</f>
        <v>3</v>
      </c>
      <c r="E69" s="25">
        <f>COUNTIFS('02_CLEAN_DATA'!$G$2:$G$570,A69,'02_CLEAN_DATA'!$W$2:$W$570,"Met")</f>
        <v>2</v>
      </c>
      <c r="F69" s="25">
        <f>COUNTIFS('02_CLEAN_DATA'!$G$2:$G$570,A69,'02_CLEAN_DATA'!$W$2:$W$570,"Missed")</f>
        <v>1</v>
      </c>
      <c r="G69" s="26">
        <f t="shared" si="8"/>
        <v>0.66666666666666663</v>
      </c>
      <c r="H69" s="25">
        <f>COUNTIFS('02_CLEAN_DATA'!$G$2:$G$570,A69,'02_CLEAN_DATA'!$S$2:$S$570,"Customer Contracted Reasons")</f>
        <v>3</v>
      </c>
      <c r="I69" s="27">
        <f>IFERROR(AVERAGEIF('02_CLEAN_DATA'!$G$2:$G$570,A69,'02_CLEAN_DATA'!$O$2:$O$570),"")</f>
        <v>17.5</v>
      </c>
      <c r="J69" s="27">
        <f t="array" ref="J69">IFERROR(MEDIAN(IF('02_CLEAN_DATA'!$G$2:$G$570=A69,'02_CLEAN_DATA'!$O$2:$O$570)),"")</f>
        <v>3.05</v>
      </c>
      <c r="K69" s="25" t="str">
        <f t="shared" si="9"/>
        <v>No</v>
      </c>
      <c r="L69" s="35" t="str">
        <f t="shared" si="10"/>
        <v/>
      </c>
      <c r="M69" s="35">
        <f t="shared" si="11"/>
        <v>1.0000069</v>
      </c>
    </row>
    <row r="70" spans="1:13" x14ac:dyDescent="0.2">
      <c r="A70" s="22" t="s">
        <v>385</v>
      </c>
      <c r="B70" s="22" t="s">
        <v>386</v>
      </c>
      <c r="C70" s="22">
        <f>COUNTIF('02_CLEAN_DATA'!$G$2:$G$570,A70)</f>
        <v>3</v>
      </c>
      <c r="D70" s="22">
        <f>COUNTIFS('02_CLEAN_DATA'!$G$2:$G$570,A70,'02_CLEAN_DATA'!$R$2:$R$570,1)</f>
        <v>2</v>
      </c>
      <c r="E70" s="22">
        <f>COUNTIFS('02_CLEAN_DATA'!$G$2:$G$570,A70,'02_CLEAN_DATA'!$W$2:$W$570,"Met")</f>
        <v>2</v>
      </c>
      <c r="F70" s="22">
        <f>COUNTIFS('02_CLEAN_DATA'!$G$2:$G$570,A70,'02_CLEAN_DATA'!$W$2:$W$570,"Missed")</f>
        <v>0</v>
      </c>
      <c r="G70" s="23">
        <f t="shared" si="8"/>
        <v>1</v>
      </c>
      <c r="H70" s="22">
        <f>COUNTIFS('02_CLEAN_DATA'!$G$2:$G$570,A70,'02_CLEAN_DATA'!$S$2:$S$570,"Customer Contracted Reasons")</f>
        <v>1</v>
      </c>
      <c r="I70" s="24">
        <f>IFERROR(AVERAGEIF('02_CLEAN_DATA'!$G$2:$G$570,A70,'02_CLEAN_DATA'!$O$2:$O$570),"")</f>
        <v>26.616666666666671</v>
      </c>
      <c r="J70" s="24">
        <f t="array" ref="J70">IFERROR(MEDIAN(IF('02_CLEAN_DATA'!$G$2:$G$570=A70,'02_CLEAN_DATA'!$O$2:$O$570)),"")</f>
        <v>4.42</v>
      </c>
      <c r="K70" s="22" t="str">
        <f t="shared" si="9"/>
        <v>No</v>
      </c>
      <c r="L70" s="35" t="str">
        <f t="shared" si="10"/>
        <v/>
      </c>
      <c r="M70" s="35">
        <f t="shared" si="11"/>
        <v>6.9999999999999999E-6</v>
      </c>
    </row>
    <row r="71" spans="1:13" x14ac:dyDescent="0.2">
      <c r="A71" s="25" t="s">
        <v>387</v>
      </c>
      <c r="B71" s="25" t="s">
        <v>388</v>
      </c>
      <c r="C71" s="25">
        <f>COUNTIF('02_CLEAN_DATA'!$G$2:$G$570,A71)</f>
        <v>3</v>
      </c>
      <c r="D71" s="25">
        <f>COUNTIFS('02_CLEAN_DATA'!$G$2:$G$570,A71,'02_CLEAN_DATA'!$R$2:$R$570,1)</f>
        <v>3</v>
      </c>
      <c r="E71" s="25">
        <f>COUNTIFS('02_CLEAN_DATA'!$G$2:$G$570,A71,'02_CLEAN_DATA'!$W$2:$W$570,"Met")</f>
        <v>3</v>
      </c>
      <c r="F71" s="25">
        <f>COUNTIFS('02_CLEAN_DATA'!$G$2:$G$570,A71,'02_CLEAN_DATA'!$W$2:$W$570,"Missed")</f>
        <v>0</v>
      </c>
      <c r="G71" s="26">
        <f t="shared" si="8"/>
        <v>1</v>
      </c>
      <c r="H71" s="25">
        <f>COUNTIFS('02_CLEAN_DATA'!$G$2:$G$570,A71,'02_CLEAN_DATA'!$S$2:$S$570,"Customer Contracted Reasons")</f>
        <v>2</v>
      </c>
      <c r="I71" s="27">
        <f>IFERROR(AVERAGEIF('02_CLEAN_DATA'!$G$2:$G$570,A71,'02_CLEAN_DATA'!$O$2:$O$570),"")</f>
        <v>3.1199999999999997</v>
      </c>
      <c r="J71" s="27">
        <f t="array" ref="J71">IFERROR(MEDIAN(IF('02_CLEAN_DATA'!$G$2:$G$570=A71,'02_CLEAN_DATA'!$O$2:$O$570)),"")</f>
        <v>2.63</v>
      </c>
      <c r="K71" s="25" t="str">
        <f t="shared" si="9"/>
        <v>No</v>
      </c>
      <c r="L71" s="35" t="str">
        <f t="shared" si="10"/>
        <v/>
      </c>
      <c r="M71" s="35">
        <f t="shared" si="11"/>
        <v>7.0999999999999998E-6</v>
      </c>
    </row>
    <row r="72" spans="1:13" x14ac:dyDescent="0.2">
      <c r="A72" s="22" t="s">
        <v>389</v>
      </c>
      <c r="B72" s="22" t="s">
        <v>390</v>
      </c>
      <c r="C72" s="22">
        <f>COUNTIF('02_CLEAN_DATA'!$G$2:$G$570,A72)</f>
        <v>3</v>
      </c>
      <c r="D72" s="22">
        <f>COUNTIFS('02_CLEAN_DATA'!$G$2:$G$570,A72,'02_CLEAN_DATA'!$R$2:$R$570,1)</f>
        <v>2</v>
      </c>
      <c r="E72" s="22">
        <f>COUNTIFS('02_CLEAN_DATA'!$G$2:$G$570,A72,'02_CLEAN_DATA'!$W$2:$W$570,"Met")</f>
        <v>2</v>
      </c>
      <c r="F72" s="22">
        <f>COUNTIFS('02_CLEAN_DATA'!$G$2:$G$570,A72,'02_CLEAN_DATA'!$W$2:$W$570,"Missed")</f>
        <v>0</v>
      </c>
      <c r="G72" s="23">
        <f t="shared" si="8"/>
        <v>1</v>
      </c>
      <c r="H72" s="22">
        <f>COUNTIFS('02_CLEAN_DATA'!$G$2:$G$570,A72,'02_CLEAN_DATA'!$S$2:$S$570,"Customer Contracted Reasons")</f>
        <v>1</v>
      </c>
      <c r="I72" s="24">
        <f>IFERROR(AVERAGEIF('02_CLEAN_DATA'!$G$2:$G$570,A72,'02_CLEAN_DATA'!$O$2:$O$570),"")</f>
        <v>47.25333333333333</v>
      </c>
      <c r="J72" s="24">
        <f t="array" ref="J72">IFERROR(MEDIAN(IF('02_CLEAN_DATA'!$G$2:$G$570=A72,'02_CLEAN_DATA'!$O$2:$O$570)),"")</f>
        <v>17.55</v>
      </c>
      <c r="K72" s="22" t="str">
        <f t="shared" si="9"/>
        <v>No</v>
      </c>
      <c r="L72" s="35" t="str">
        <f t="shared" si="10"/>
        <v/>
      </c>
      <c r="M72" s="35">
        <f t="shared" si="11"/>
        <v>7.1999999999999997E-6</v>
      </c>
    </row>
    <row r="73" spans="1:13" x14ac:dyDescent="0.2">
      <c r="A73" s="25" t="s">
        <v>391</v>
      </c>
      <c r="B73" s="25" t="s">
        <v>392</v>
      </c>
      <c r="C73" s="25">
        <f>COUNTIF('02_CLEAN_DATA'!$G$2:$G$570,A73)</f>
        <v>3</v>
      </c>
      <c r="D73" s="25">
        <f>COUNTIFS('02_CLEAN_DATA'!$G$2:$G$570,A73,'02_CLEAN_DATA'!$R$2:$R$570,1)</f>
        <v>3</v>
      </c>
      <c r="E73" s="25">
        <f>COUNTIFS('02_CLEAN_DATA'!$G$2:$G$570,A73,'02_CLEAN_DATA'!$W$2:$W$570,"Met")</f>
        <v>3</v>
      </c>
      <c r="F73" s="25">
        <f>COUNTIFS('02_CLEAN_DATA'!$G$2:$G$570,A73,'02_CLEAN_DATA'!$W$2:$W$570,"Missed")</f>
        <v>0</v>
      </c>
      <c r="G73" s="26">
        <f t="shared" si="8"/>
        <v>1</v>
      </c>
      <c r="H73" s="25">
        <f>COUNTIFS('02_CLEAN_DATA'!$G$2:$G$570,A73,'02_CLEAN_DATA'!$S$2:$S$570,"Customer Contracted Reasons")</f>
        <v>2</v>
      </c>
      <c r="I73" s="27">
        <f>IFERROR(AVERAGEIF('02_CLEAN_DATA'!$G$2:$G$570,A73,'02_CLEAN_DATA'!$O$2:$O$570),"")</f>
        <v>27.546666666666663</v>
      </c>
      <c r="J73" s="27">
        <f t="array" ref="J73">IFERROR(MEDIAN(IF('02_CLEAN_DATA'!$G$2:$G$570=A73,'02_CLEAN_DATA'!$O$2:$O$570)),"")</f>
        <v>2.1</v>
      </c>
      <c r="K73" s="25" t="str">
        <f t="shared" si="9"/>
        <v>No</v>
      </c>
      <c r="L73" s="35" t="str">
        <f t="shared" si="10"/>
        <v/>
      </c>
      <c r="M73" s="35">
        <f t="shared" si="11"/>
        <v>7.3000000000000004E-6</v>
      </c>
    </row>
    <row r="74" spans="1:13" x14ac:dyDescent="0.2">
      <c r="A74" s="22" t="s">
        <v>393</v>
      </c>
      <c r="B74" s="22" t="s">
        <v>394</v>
      </c>
      <c r="C74" s="22">
        <f>COUNTIF('02_CLEAN_DATA'!$G$2:$G$570,A74)</f>
        <v>3</v>
      </c>
      <c r="D74" s="22">
        <f>COUNTIFS('02_CLEAN_DATA'!$G$2:$G$570,A74,'02_CLEAN_DATA'!$R$2:$R$570,1)</f>
        <v>3</v>
      </c>
      <c r="E74" s="22">
        <f>COUNTIFS('02_CLEAN_DATA'!$G$2:$G$570,A74,'02_CLEAN_DATA'!$W$2:$W$570,"Met")</f>
        <v>2</v>
      </c>
      <c r="F74" s="22">
        <f>COUNTIFS('02_CLEAN_DATA'!$G$2:$G$570,A74,'02_CLEAN_DATA'!$W$2:$W$570,"Missed")</f>
        <v>1</v>
      </c>
      <c r="G74" s="23">
        <f t="shared" si="8"/>
        <v>0.66666666666666663</v>
      </c>
      <c r="H74" s="22">
        <f>COUNTIFS('02_CLEAN_DATA'!$G$2:$G$570,A74,'02_CLEAN_DATA'!$S$2:$S$570,"Customer Contracted Reasons")</f>
        <v>1</v>
      </c>
      <c r="I74" s="24">
        <f>IFERROR(AVERAGEIF('02_CLEAN_DATA'!$G$2:$G$570,A74,'02_CLEAN_DATA'!$O$2:$O$570),"")</f>
        <v>12.893333333333333</v>
      </c>
      <c r="J74" s="24">
        <f t="array" ref="J74">IFERROR(MEDIAN(IF('02_CLEAN_DATA'!$G$2:$G$570=A74,'02_CLEAN_DATA'!$O$2:$O$570)),"")</f>
        <v>5.8</v>
      </c>
      <c r="K74" s="22" t="str">
        <f t="shared" si="9"/>
        <v>No</v>
      </c>
      <c r="L74" s="35" t="str">
        <f t="shared" si="10"/>
        <v/>
      </c>
      <c r="M74" s="35">
        <f t="shared" si="11"/>
        <v>1.0000074000000001</v>
      </c>
    </row>
    <row r="75" spans="1:13" x14ac:dyDescent="0.2">
      <c r="A75" s="25" t="s">
        <v>395</v>
      </c>
      <c r="B75" s="25" t="s">
        <v>396</v>
      </c>
      <c r="C75" s="25">
        <f>COUNTIF('02_CLEAN_DATA'!$G$2:$G$570,A75)</f>
        <v>3</v>
      </c>
      <c r="D75" s="25">
        <f>COUNTIFS('02_CLEAN_DATA'!$G$2:$G$570,A75,'02_CLEAN_DATA'!$R$2:$R$570,1)</f>
        <v>1</v>
      </c>
      <c r="E75" s="25">
        <f>COUNTIFS('02_CLEAN_DATA'!$G$2:$G$570,A75,'02_CLEAN_DATA'!$W$2:$W$570,"Met")</f>
        <v>1</v>
      </c>
      <c r="F75" s="25">
        <f>COUNTIFS('02_CLEAN_DATA'!$G$2:$G$570,A75,'02_CLEAN_DATA'!$W$2:$W$570,"Missed")</f>
        <v>0</v>
      </c>
      <c r="G75" s="26">
        <f t="shared" si="8"/>
        <v>1</v>
      </c>
      <c r="H75" s="25">
        <f>COUNTIFS('02_CLEAN_DATA'!$G$2:$G$570,A75,'02_CLEAN_DATA'!$S$2:$S$570,"Customer Contracted Reasons")</f>
        <v>1</v>
      </c>
      <c r="I75" s="27">
        <f>IFERROR(AVERAGEIF('02_CLEAN_DATA'!$G$2:$G$570,A75,'02_CLEAN_DATA'!$O$2:$O$570),"")</f>
        <v>63.833333333333336</v>
      </c>
      <c r="J75" s="27">
        <f t="array" ref="J75">IFERROR(MEDIAN(IF('02_CLEAN_DATA'!$G$2:$G$570=A75,'02_CLEAN_DATA'!$O$2:$O$570)),"")</f>
        <v>82.6</v>
      </c>
      <c r="K75" s="25" t="str">
        <f t="shared" si="9"/>
        <v>No</v>
      </c>
      <c r="L75" s="35" t="str">
        <f t="shared" si="10"/>
        <v/>
      </c>
      <c r="M75" s="35">
        <f t="shared" si="11"/>
        <v>7.5000000000000002E-6</v>
      </c>
    </row>
    <row r="76" spans="1:13" x14ac:dyDescent="0.2">
      <c r="A76" s="22" t="s">
        <v>397</v>
      </c>
      <c r="B76" s="22" t="s">
        <v>398</v>
      </c>
      <c r="C76" s="22">
        <f>COUNTIF('02_CLEAN_DATA'!$G$2:$G$570,A76)</f>
        <v>3</v>
      </c>
      <c r="D76" s="22">
        <f>COUNTIFS('02_CLEAN_DATA'!$G$2:$G$570,A76,'02_CLEAN_DATA'!$R$2:$R$570,1)</f>
        <v>2</v>
      </c>
      <c r="E76" s="22">
        <f>COUNTIFS('02_CLEAN_DATA'!$G$2:$G$570,A76,'02_CLEAN_DATA'!$W$2:$W$570,"Met")</f>
        <v>2</v>
      </c>
      <c r="F76" s="22">
        <f>COUNTIFS('02_CLEAN_DATA'!$G$2:$G$570,A76,'02_CLEAN_DATA'!$W$2:$W$570,"Missed")</f>
        <v>0</v>
      </c>
      <c r="G76" s="23">
        <f t="shared" si="8"/>
        <v>1</v>
      </c>
      <c r="H76" s="22">
        <f>COUNTIFS('02_CLEAN_DATA'!$G$2:$G$570,A76,'02_CLEAN_DATA'!$S$2:$S$570,"Customer Contracted Reasons")</f>
        <v>2</v>
      </c>
      <c r="I76" s="24">
        <f>IFERROR(AVERAGEIF('02_CLEAN_DATA'!$G$2:$G$570,A76,'02_CLEAN_DATA'!$O$2:$O$570),"")</f>
        <v>11.38</v>
      </c>
      <c r="J76" s="24">
        <f t="array" ref="J76">IFERROR(MEDIAN(IF('02_CLEAN_DATA'!$G$2:$G$570=A76,'02_CLEAN_DATA'!$O$2:$O$570)),"")</f>
        <v>6.85</v>
      </c>
      <c r="K76" s="22" t="str">
        <f t="shared" si="9"/>
        <v>No</v>
      </c>
      <c r="L76" s="35" t="str">
        <f t="shared" si="10"/>
        <v/>
      </c>
      <c r="M76" s="35">
        <f t="shared" si="11"/>
        <v>7.6000000000000001E-6</v>
      </c>
    </row>
    <row r="77" spans="1:13" x14ac:dyDescent="0.2">
      <c r="A77" s="25" t="s">
        <v>399</v>
      </c>
      <c r="B77" s="25" t="s">
        <v>400</v>
      </c>
      <c r="C77" s="25">
        <f>COUNTIF('02_CLEAN_DATA'!$G$2:$G$570,A77)</f>
        <v>3</v>
      </c>
      <c r="D77" s="25">
        <f>COUNTIFS('02_CLEAN_DATA'!$G$2:$G$570,A77,'02_CLEAN_DATA'!$R$2:$R$570,1)</f>
        <v>3</v>
      </c>
      <c r="E77" s="25">
        <f>COUNTIFS('02_CLEAN_DATA'!$G$2:$G$570,A77,'02_CLEAN_DATA'!$W$2:$W$570,"Met")</f>
        <v>3</v>
      </c>
      <c r="F77" s="25">
        <f>COUNTIFS('02_CLEAN_DATA'!$G$2:$G$570,A77,'02_CLEAN_DATA'!$W$2:$W$570,"Missed")</f>
        <v>0</v>
      </c>
      <c r="G77" s="26">
        <f t="shared" si="8"/>
        <v>1</v>
      </c>
      <c r="H77" s="25">
        <f>COUNTIFS('02_CLEAN_DATA'!$G$2:$G$570,A77,'02_CLEAN_DATA'!$S$2:$S$570,"Customer Contracted Reasons")</f>
        <v>3</v>
      </c>
      <c r="I77" s="27">
        <f>IFERROR(AVERAGEIF('02_CLEAN_DATA'!$G$2:$G$570,A77,'02_CLEAN_DATA'!$O$2:$O$570),"")</f>
        <v>13.590000000000002</v>
      </c>
      <c r="J77" s="27">
        <f t="array" ref="J77">IFERROR(MEDIAN(IF('02_CLEAN_DATA'!$G$2:$G$570=A77,'02_CLEAN_DATA'!$O$2:$O$570)),"")</f>
        <v>16.95</v>
      </c>
      <c r="K77" s="25" t="str">
        <f t="shared" si="9"/>
        <v>No</v>
      </c>
      <c r="L77" s="35" t="str">
        <f t="shared" si="10"/>
        <v/>
      </c>
      <c r="M77" s="35">
        <f t="shared" si="11"/>
        <v>7.7000000000000008E-6</v>
      </c>
    </row>
    <row r="78" spans="1:13" x14ac:dyDescent="0.2">
      <c r="A78" s="22" t="s">
        <v>401</v>
      </c>
      <c r="B78" s="22" t="s">
        <v>402</v>
      </c>
      <c r="C78" s="22">
        <f>COUNTIF('02_CLEAN_DATA'!$G$2:$G$570,A78)</f>
        <v>2</v>
      </c>
      <c r="D78" s="22">
        <f>COUNTIFS('02_CLEAN_DATA'!$G$2:$G$570,A78,'02_CLEAN_DATA'!$R$2:$R$570,1)</f>
        <v>2</v>
      </c>
      <c r="E78" s="22">
        <f>COUNTIFS('02_CLEAN_DATA'!$G$2:$G$570,A78,'02_CLEAN_DATA'!$W$2:$W$570,"Met")</f>
        <v>2</v>
      </c>
      <c r="F78" s="22">
        <f>COUNTIFS('02_CLEAN_DATA'!$G$2:$G$570,A78,'02_CLEAN_DATA'!$W$2:$W$570,"Missed")</f>
        <v>0</v>
      </c>
      <c r="G78" s="23">
        <f t="shared" si="8"/>
        <v>1</v>
      </c>
      <c r="H78" s="22">
        <f>COUNTIFS('02_CLEAN_DATA'!$G$2:$G$570,A78,'02_CLEAN_DATA'!$S$2:$S$570,"Customer Contracted Reasons")</f>
        <v>2</v>
      </c>
      <c r="I78" s="24">
        <f>IFERROR(AVERAGEIF('02_CLEAN_DATA'!$G$2:$G$570,A78,'02_CLEAN_DATA'!$O$2:$O$570),"")</f>
        <v>14.025</v>
      </c>
      <c r="J78" s="24">
        <f t="array" ref="J78">IFERROR(MEDIAN(IF('02_CLEAN_DATA'!$G$2:$G$570=A78,'02_CLEAN_DATA'!$O$2:$O$570)),"")</f>
        <v>14.025</v>
      </c>
      <c r="K78" s="22" t="str">
        <f t="shared" si="9"/>
        <v>No</v>
      </c>
      <c r="L78" s="35" t="str">
        <f t="shared" si="10"/>
        <v/>
      </c>
      <c r="M78" s="35">
        <f t="shared" si="11"/>
        <v>7.7999999999999999E-6</v>
      </c>
    </row>
    <row r="79" spans="1:13" x14ac:dyDescent="0.2">
      <c r="A79" s="25" t="s">
        <v>403</v>
      </c>
      <c r="B79" s="25" t="s">
        <v>404</v>
      </c>
      <c r="C79" s="25">
        <f>COUNTIF('02_CLEAN_DATA'!$G$2:$G$570,A79)</f>
        <v>2</v>
      </c>
      <c r="D79" s="25">
        <f>COUNTIFS('02_CLEAN_DATA'!$G$2:$G$570,A79,'02_CLEAN_DATA'!$R$2:$R$570,1)</f>
        <v>2</v>
      </c>
      <c r="E79" s="25">
        <f>COUNTIFS('02_CLEAN_DATA'!$G$2:$G$570,A79,'02_CLEAN_DATA'!$W$2:$W$570,"Met")</f>
        <v>2</v>
      </c>
      <c r="F79" s="25">
        <f>COUNTIFS('02_CLEAN_DATA'!$G$2:$G$570,A79,'02_CLEAN_DATA'!$W$2:$W$570,"Missed")</f>
        <v>0</v>
      </c>
      <c r="G79" s="26">
        <f t="shared" si="8"/>
        <v>1</v>
      </c>
      <c r="H79" s="25">
        <f>COUNTIFS('02_CLEAN_DATA'!$G$2:$G$570,A79,'02_CLEAN_DATA'!$S$2:$S$570,"Customer Contracted Reasons")</f>
        <v>1</v>
      </c>
      <c r="I79" s="27">
        <f>IFERROR(AVERAGEIF('02_CLEAN_DATA'!$G$2:$G$570,A79,'02_CLEAN_DATA'!$O$2:$O$570),"")</f>
        <v>17.975000000000001</v>
      </c>
      <c r="J79" s="27">
        <f t="array" ref="J79">IFERROR(MEDIAN(IF('02_CLEAN_DATA'!$G$2:$G$570=A79,'02_CLEAN_DATA'!$O$2:$O$570)),"")</f>
        <v>17.975000000000001</v>
      </c>
      <c r="K79" s="25" t="str">
        <f t="shared" si="9"/>
        <v>No</v>
      </c>
      <c r="L79" s="35" t="str">
        <f t="shared" si="10"/>
        <v/>
      </c>
      <c r="M79" s="35">
        <f t="shared" si="11"/>
        <v>7.9000000000000006E-6</v>
      </c>
    </row>
    <row r="80" spans="1:13" x14ac:dyDescent="0.2">
      <c r="A80" s="22" t="s">
        <v>405</v>
      </c>
      <c r="B80" s="22" t="s">
        <v>406</v>
      </c>
      <c r="C80" s="22">
        <f>COUNTIF('02_CLEAN_DATA'!$G$2:$G$570,A80)</f>
        <v>2</v>
      </c>
      <c r="D80" s="22">
        <f>COUNTIFS('02_CLEAN_DATA'!$G$2:$G$570,A80,'02_CLEAN_DATA'!$R$2:$R$570,1)</f>
        <v>2</v>
      </c>
      <c r="E80" s="22">
        <f>COUNTIFS('02_CLEAN_DATA'!$G$2:$G$570,A80,'02_CLEAN_DATA'!$W$2:$W$570,"Met")</f>
        <v>1</v>
      </c>
      <c r="F80" s="22">
        <f>COUNTIFS('02_CLEAN_DATA'!$G$2:$G$570,A80,'02_CLEAN_DATA'!$W$2:$W$570,"Missed")</f>
        <v>1</v>
      </c>
      <c r="G80" s="23">
        <f t="shared" si="8"/>
        <v>0.5</v>
      </c>
      <c r="H80" s="22">
        <f>COUNTIFS('02_CLEAN_DATA'!$G$2:$G$570,A80,'02_CLEAN_DATA'!$S$2:$S$570,"Customer Contracted Reasons")</f>
        <v>0</v>
      </c>
      <c r="I80" s="24">
        <f>IFERROR(AVERAGEIF('02_CLEAN_DATA'!$G$2:$G$570,A80,'02_CLEAN_DATA'!$O$2:$O$570),"")</f>
        <v>64.875</v>
      </c>
      <c r="J80" s="24">
        <f t="array" ref="J80">IFERROR(MEDIAN(IF('02_CLEAN_DATA'!$G$2:$G$570=A80,'02_CLEAN_DATA'!$O$2:$O$570)),"")</f>
        <v>64.875</v>
      </c>
      <c r="K80" s="22" t="str">
        <f t="shared" si="9"/>
        <v>No</v>
      </c>
      <c r="L80" s="35" t="str">
        <f t="shared" si="10"/>
        <v/>
      </c>
      <c r="M80" s="35">
        <f t="shared" si="11"/>
        <v>1.000008</v>
      </c>
    </row>
    <row r="81" spans="1:13" x14ac:dyDescent="0.2">
      <c r="A81" s="25" t="s">
        <v>407</v>
      </c>
      <c r="B81" s="25" t="s">
        <v>408</v>
      </c>
      <c r="C81" s="25">
        <f>COUNTIF('02_CLEAN_DATA'!$G$2:$G$570,A81)</f>
        <v>2</v>
      </c>
      <c r="D81" s="25">
        <f>COUNTIFS('02_CLEAN_DATA'!$G$2:$G$570,A81,'02_CLEAN_DATA'!$R$2:$R$570,1)</f>
        <v>1</v>
      </c>
      <c r="E81" s="25">
        <f>COUNTIFS('02_CLEAN_DATA'!$G$2:$G$570,A81,'02_CLEAN_DATA'!$W$2:$W$570,"Met")</f>
        <v>0</v>
      </c>
      <c r="F81" s="25">
        <f>COUNTIFS('02_CLEAN_DATA'!$G$2:$G$570,A81,'02_CLEAN_DATA'!$W$2:$W$570,"Missed")</f>
        <v>1</v>
      </c>
      <c r="G81" s="26">
        <f t="shared" si="8"/>
        <v>0</v>
      </c>
      <c r="H81" s="25">
        <f>COUNTIFS('02_CLEAN_DATA'!$G$2:$G$570,A81,'02_CLEAN_DATA'!$S$2:$S$570,"Customer Contracted Reasons")</f>
        <v>1</v>
      </c>
      <c r="I81" s="27">
        <f>IFERROR(AVERAGEIF('02_CLEAN_DATA'!$G$2:$G$570,A81,'02_CLEAN_DATA'!$O$2:$O$570),"")</f>
        <v>25.599999999999998</v>
      </c>
      <c r="J81" s="27">
        <f t="array" ref="J81">IFERROR(MEDIAN(IF('02_CLEAN_DATA'!$G$2:$G$570=A81,'02_CLEAN_DATA'!$O$2:$O$570)),"")</f>
        <v>25.6</v>
      </c>
      <c r="K81" s="25" t="str">
        <f t="shared" si="9"/>
        <v>No</v>
      </c>
      <c r="L81" s="35" t="str">
        <f t="shared" si="10"/>
        <v/>
      </c>
      <c r="M81" s="35">
        <f t="shared" si="11"/>
        <v>1.0000081000000001</v>
      </c>
    </row>
    <row r="82" spans="1:13" x14ac:dyDescent="0.2">
      <c r="A82" s="22" t="s">
        <v>409</v>
      </c>
      <c r="B82" s="22" t="s">
        <v>410</v>
      </c>
      <c r="C82" s="22">
        <f>COUNTIF('02_CLEAN_DATA'!$G$2:$G$570,A82)</f>
        <v>2</v>
      </c>
      <c r="D82" s="22">
        <f>COUNTIFS('02_CLEAN_DATA'!$G$2:$G$570,A82,'02_CLEAN_DATA'!$R$2:$R$570,1)</f>
        <v>2</v>
      </c>
      <c r="E82" s="22">
        <f>COUNTIFS('02_CLEAN_DATA'!$G$2:$G$570,A82,'02_CLEAN_DATA'!$W$2:$W$570,"Met")</f>
        <v>0</v>
      </c>
      <c r="F82" s="22">
        <f>COUNTIFS('02_CLEAN_DATA'!$G$2:$G$570,A82,'02_CLEAN_DATA'!$W$2:$W$570,"Missed")</f>
        <v>2</v>
      </c>
      <c r="G82" s="23">
        <f t="shared" si="8"/>
        <v>0</v>
      </c>
      <c r="H82" s="22">
        <f>COUNTIFS('02_CLEAN_DATA'!$G$2:$G$570,A82,'02_CLEAN_DATA'!$S$2:$S$570,"Customer Contracted Reasons")</f>
        <v>0</v>
      </c>
      <c r="I82" s="24">
        <f>IFERROR(AVERAGEIF('02_CLEAN_DATA'!$G$2:$G$570,A82,'02_CLEAN_DATA'!$O$2:$O$570),"")</f>
        <v>146.67500000000001</v>
      </c>
      <c r="J82" s="24">
        <f t="array" ref="J82">IFERROR(MEDIAN(IF('02_CLEAN_DATA'!$G$2:$G$570=A82,'02_CLEAN_DATA'!$O$2:$O$570)),"")</f>
        <v>146.67500000000001</v>
      </c>
      <c r="K82" s="22" t="str">
        <f t="shared" si="9"/>
        <v>No</v>
      </c>
      <c r="L82" s="35" t="str">
        <f t="shared" si="10"/>
        <v/>
      </c>
      <c r="M82" s="35">
        <f t="shared" si="11"/>
        <v>2.0000081999999999</v>
      </c>
    </row>
    <row r="83" spans="1:13" x14ac:dyDescent="0.2">
      <c r="A83" s="25" t="s">
        <v>411</v>
      </c>
      <c r="B83" s="25" t="s">
        <v>412</v>
      </c>
      <c r="C83" s="25">
        <f>COUNTIF('02_CLEAN_DATA'!$G$2:$G$570,A83)</f>
        <v>2</v>
      </c>
      <c r="D83" s="25">
        <f>COUNTIFS('02_CLEAN_DATA'!$G$2:$G$570,A83,'02_CLEAN_DATA'!$R$2:$R$570,1)</f>
        <v>1</v>
      </c>
      <c r="E83" s="25">
        <f>COUNTIFS('02_CLEAN_DATA'!$G$2:$G$570,A83,'02_CLEAN_DATA'!$W$2:$W$570,"Met")</f>
        <v>1</v>
      </c>
      <c r="F83" s="25">
        <f>COUNTIFS('02_CLEAN_DATA'!$G$2:$G$570,A83,'02_CLEAN_DATA'!$W$2:$W$570,"Missed")</f>
        <v>0</v>
      </c>
      <c r="G83" s="26">
        <f t="shared" si="8"/>
        <v>1</v>
      </c>
      <c r="H83" s="25">
        <f>COUNTIFS('02_CLEAN_DATA'!$G$2:$G$570,A83,'02_CLEAN_DATA'!$S$2:$S$570,"Customer Contracted Reasons")</f>
        <v>2</v>
      </c>
      <c r="I83" s="27">
        <f>IFERROR(AVERAGEIF('02_CLEAN_DATA'!$G$2:$G$570,A83,'02_CLEAN_DATA'!$O$2:$O$570),"")</f>
        <v>5.15</v>
      </c>
      <c r="J83" s="27">
        <f t="array" ref="J83">IFERROR(MEDIAN(IF('02_CLEAN_DATA'!$G$2:$G$570=A83,'02_CLEAN_DATA'!$O$2:$O$570)),"")</f>
        <v>5.15</v>
      </c>
      <c r="K83" s="25" t="str">
        <f t="shared" si="9"/>
        <v>No</v>
      </c>
      <c r="L83" s="35" t="str">
        <f t="shared" si="10"/>
        <v/>
      </c>
      <c r="M83" s="35">
        <f t="shared" si="11"/>
        <v>8.3000000000000002E-6</v>
      </c>
    </row>
    <row r="84" spans="1:13" x14ac:dyDescent="0.2">
      <c r="A84" s="22" t="s">
        <v>413</v>
      </c>
      <c r="B84" s="22" t="s">
        <v>414</v>
      </c>
      <c r="C84" s="22">
        <f>COUNTIF('02_CLEAN_DATA'!$G$2:$G$570,A84)</f>
        <v>2</v>
      </c>
      <c r="D84" s="22">
        <f>COUNTIFS('02_CLEAN_DATA'!$G$2:$G$570,A84,'02_CLEAN_DATA'!$R$2:$R$570,1)</f>
        <v>2</v>
      </c>
      <c r="E84" s="22">
        <f>COUNTIFS('02_CLEAN_DATA'!$G$2:$G$570,A84,'02_CLEAN_DATA'!$W$2:$W$570,"Met")</f>
        <v>1</v>
      </c>
      <c r="F84" s="22">
        <f>COUNTIFS('02_CLEAN_DATA'!$G$2:$G$570,A84,'02_CLEAN_DATA'!$W$2:$W$570,"Missed")</f>
        <v>1</v>
      </c>
      <c r="G84" s="23">
        <f t="shared" si="8"/>
        <v>0.5</v>
      </c>
      <c r="H84" s="22">
        <f>COUNTIFS('02_CLEAN_DATA'!$G$2:$G$570,A84,'02_CLEAN_DATA'!$S$2:$S$570,"Customer Contracted Reasons")</f>
        <v>2</v>
      </c>
      <c r="I84" s="24">
        <f>IFERROR(AVERAGEIF('02_CLEAN_DATA'!$G$2:$G$570,A84,'02_CLEAN_DATA'!$O$2:$O$570),"")</f>
        <v>37.85</v>
      </c>
      <c r="J84" s="24">
        <f t="array" ref="J84">IFERROR(MEDIAN(IF('02_CLEAN_DATA'!$G$2:$G$570=A84,'02_CLEAN_DATA'!$O$2:$O$570)),"")</f>
        <v>37.849999999999994</v>
      </c>
      <c r="K84" s="22" t="str">
        <f t="shared" si="9"/>
        <v>No</v>
      </c>
      <c r="L84" s="35" t="str">
        <f t="shared" si="10"/>
        <v/>
      </c>
      <c r="M84" s="35">
        <f t="shared" si="11"/>
        <v>1.0000084</v>
      </c>
    </row>
    <row r="85" spans="1:13" x14ac:dyDescent="0.2">
      <c r="A85" s="25" t="s">
        <v>415</v>
      </c>
      <c r="B85" s="25" t="s">
        <v>416</v>
      </c>
      <c r="C85" s="25">
        <f>COUNTIF('02_CLEAN_DATA'!$G$2:$G$570,A85)</f>
        <v>2</v>
      </c>
      <c r="D85" s="25">
        <f>COUNTIFS('02_CLEAN_DATA'!$G$2:$G$570,A85,'02_CLEAN_DATA'!$R$2:$R$570,1)</f>
        <v>0</v>
      </c>
      <c r="E85" s="25">
        <f>COUNTIFS('02_CLEAN_DATA'!$G$2:$G$570,A85,'02_CLEAN_DATA'!$W$2:$W$570,"Met")</f>
        <v>0</v>
      </c>
      <c r="F85" s="25">
        <f>COUNTIFS('02_CLEAN_DATA'!$G$2:$G$570,A85,'02_CLEAN_DATA'!$W$2:$W$570,"Missed")</f>
        <v>0</v>
      </c>
      <c r="G85" s="26" t="str">
        <f t="shared" si="8"/>
        <v/>
      </c>
      <c r="H85" s="25">
        <f>COUNTIFS('02_CLEAN_DATA'!$G$2:$G$570,A85,'02_CLEAN_DATA'!$S$2:$S$570,"Customer Contracted Reasons")</f>
        <v>1</v>
      </c>
      <c r="I85" s="27">
        <f>IFERROR(AVERAGEIF('02_CLEAN_DATA'!$G$2:$G$570,A85,'02_CLEAN_DATA'!$O$2:$O$570),"")</f>
        <v>3.7949999999999999</v>
      </c>
      <c r="J85" s="27">
        <f t="array" ref="J85">IFERROR(MEDIAN(IF('02_CLEAN_DATA'!$G$2:$G$570=A85,'02_CLEAN_DATA'!$O$2:$O$570)),"")</f>
        <v>3.7949999999999999</v>
      </c>
      <c r="K85" s="25" t="str">
        <f t="shared" si="9"/>
        <v>No</v>
      </c>
      <c r="L85" s="35" t="str">
        <f t="shared" si="10"/>
        <v/>
      </c>
      <c r="M85" s="35">
        <f t="shared" si="11"/>
        <v>8.4999999999999999E-6</v>
      </c>
    </row>
    <row r="86" spans="1:13" x14ac:dyDescent="0.2">
      <c r="A86" s="22" t="s">
        <v>417</v>
      </c>
      <c r="B86" s="22" t="s">
        <v>418</v>
      </c>
      <c r="C86" s="22">
        <f>COUNTIF('02_CLEAN_DATA'!$G$2:$G$570,A86)</f>
        <v>2</v>
      </c>
      <c r="D86" s="22">
        <f>COUNTIFS('02_CLEAN_DATA'!$G$2:$G$570,A86,'02_CLEAN_DATA'!$R$2:$R$570,1)</f>
        <v>1</v>
      </c>
      <c r="E86" s="22">
        <f>COUNTIFS('02_CLEAN_DATA'!$G$2:$G$570,A86,'02_CLEAN_DATA'!$W$2:$W$570,"Met")</f>
        <v>0</v>
      </c>
      <c r="F86" s="22">
        <f>COUNTIFS('02_CLEAN_DATA'!$G$2:$G$570,A86,'02_CLEAN_DATA'!$W$2:$W$570,"Missed")</f>
        <v>1</v>
      </c>
      <c r="G86" s="23">
        <f t="shared" si="8"/>
        <v>0</v>
      </c>
      <c r="H86" s="22">
        <f>COUNTIFS('02_CLEAN_DATA'!$G$2:$G$570,A86,'02_CLEAN_DATA'!$S$2:$S$570,"Customer Contracted Reasons")</f>
        <v>2</v>
      </c>
      <c r="I86" s="24">
        <f>IFERROR(AVERAGEIF('02_CLEAN_DATA'!$G$2:$G$570,A86,'02_CLEAN_DATA'!$O$2:$O$570),"")</f>
        <v>42.290000000000006</v>
      </c>
      <c r="J86" s="24">
        <f t="array" ref="J86">IFERROR(MEDIAN(IF('02_CLEAN_DATA'!$G$2:$G$570=A86,'02_CLEAN_DATA'!$O$2:$O$570)),"")</f>
        <v>42.290000000000006</v>
      </c>
      <c r="K86" s="22" t="str">
        <f t="shared" si="9"/>
        <v>No</v>
      </c>
      <c r="L86" s="35" t="str">
        <f t="shared" si="10"/>
        <v/>
      </c>
      <c r="M86" s="35">
        <f t="shared" si="11"/>
        <v>1.0000085999999999</v>
      </c>
    </row>
    <row r="87" spans="1:13" x14ac:dyDescent="0.2">
      <c r="A87" s="25" t="s">
        <v>419</v>
      </c>
      <c r="B87" s="25" t="s">
        <v>420</v>
      </c>
      <c r="C87" s="25">
        <f>COUNTIF('02_CLEAN_DATA'!$G$2:$G$570,A87)</f>
        <v>2</v>
      </c>
      <c r="D87" s="25">
        <f>COUNTIFS('02_CLEAN_DATA'!$G$2:$G$570,A87,'02_CLEAN_DATA'!$R$2:$R$570,1)</f>
        <v>1</v>
      </c>
      <c r="E87" s="25">
        <f>COUNTIFS('02_CLEAN_DATA'!$G$2:$G$570,A87,'02_CLEAN_DATA'!$W$2:$W$570,"Met")</f>
        <v>1</v>
      </c>
      <c r="F87" s="25">
        <f>COUNTIFS('02_CLEAN_DATA'!$G$2:$G$570,A87,'02_CLEAN_DATA'!$W$2:$W$570,"Missed")</f>
        <v>0</v>
      </c>
      <c r="G87" s="26">
        <f t="shared" si="8"/>
        <v>1</v>
      </c>
      <c r="H87" s="25">
        <f>COUNTIFS('02_CLEAN_DATA'!$G$2:$G$570,A87,'02_CLEAN_DATA'!$S$2:$S$570,"Customer Contracted Reasons")</f>
        <v>1</v>
      </c>
      <c r="I87" s="27">
        <f>IFERROR(AVERAGEIF('02_CLEAN_DATA'!$G$2:$G$570,A87,'02_CLEAN_DATA'!$O$2:$O$570),"")</f>
        <v>42.524999999999999</v>
      </c>
      <c r="J87" s="27">
        <f t="array" ref="J87">IFERROR(MEDIAN(IF('02_CLEAN_DATA'!$G$2:$G$570=A87,'02_CLEAN_DATA'!$O$2:$O$570)),"")</f>
        <v>42.524999999999999</v>
      </c>
      <c r="K87" s="25" t="str">
        <f t="shared" si="9"/>
        <v>No</v>
      </c>
      <c r="L87" s="35" t="str">
        <f t="shared" si="10"/>
        <v/>
      </c>
      <c r="M87" s="35">
        <f t="shared" si="11"/>
        <v>8.6999999999999997E-6</v>
      </c>
    </row>
    <row r="88" spans="1:13" x14ac:dyDescent="0.2">
      <c r="A88" s="22" t="s">
        <v>421</v>
      </c>
      <c r="B88" s="22" t="s">
        <v>422</v>
      </c>
      <c r="C88" s="22">
        <f>COUNTIF('02_CLEAN_DATA'!$G$2:$G$570,A88)</f>
        <v>2</v>
      </c>
      <c r="D88" s="22">
        <f>COUNTIFS('02_CLEAN_DATA'!$G$2:$G$570,A88,'02_CLEAN_DATA'!$R$2:$R$570,1)</f>
        <v>1</v>
      </c>
      <c r="E88" s="22">
        <f>COUNTIFS('02_CLEAN_DATA'!$G$2:$G$570,A88,'02_CLEAN_DATA'!$W$2:$W$570,"Met")</f>
        <v>1</v>
      </c>
      <c r="F88" s="22">
        <f>COUNTIFS('02_CLEAN_DATA'!$G$2:$G$570,A88,'02_CLEAN_DATA'!$W$2:$W$570,"Missed")</f>
        <v>0</v>
      </c>
      <c r="G88" s="23">
        <f t="shared" si="8"/>
        <v>1</v>
      </c>
      <c r="H88" s="22">
        <f>COUNTIFS('02_CLEAN_DATA'!$G$2:$G$570,A88,'02_CLEAN_DATA'!$S$2:$S$570,"Customer Contracted Reasons")</f>
        <v>2</v>
      </c>
      <c r="I88" s="24">
        <f>IFERROR(AVERAGEIF('02_CLEAN_DATA'!$G$2:$G$570,A88,'02_CLEAN_DATA'!$O$2:$O$570),"")</f>
        <v>5.6099999999999994</v>
      </c>
      <c r="J88" s="24">
        <f t="array" ref="J88">IFERROR(MEDIAN(IF('02_CLEAN_DATA'!$G$2:$G$570=A88,'02_CLEAN_DATA'!$O$2:$O$570)),"")</f>
        <v>5.6099999999999994</v>
      </c>
      <c r="K88" s="22" t="str">
        <f t="shared" si="9"/>
        <v>No</v>
      </c>
      <c r="L88" s="35" t="str">
        <f t="shared" si="10"/>
        <v/>
      </c>
      <c r="M88" s="35">
        <f t="shared" si="11"/>
        <v>8.8000000000000004E-6</v>
      </c>
    </row>
    <row r="89" spans="1:13" x14ac:dyDescent="0.2">
      <c r="A89" s="25" t="s">
        <v>423</v>
      </c>
      <c r="B89" s="25" t="s">
        <v>424</v>
      </c>
      <c r="C89" s="25">
        <f>COUNTIF('02_CLEAN_DATA'!$G$2:$G$570,A89)</f>
        <v>2</v>
      </c>
      <c r="D89" s="25">
        <f>COUNTIFS('02_CLEAN_DATA'!$G$2:$G$570,A89,'02_CLEAN_DATA'!$R$2:$R$570,1)</f>
        <v>1</v>
      </c>
      <c r="E89" s="25">
        <f>COUNTIFS('02_CLEAN_DATA'!$G$2:$G$570,A89,'02_CLEAN_DATA'!$W$2:$W$570,"Met")</f>
        <v>1</v>
      </c>
      <c r="F89" s="25">
        <f>COUNTIFS('02_CLEAN_DATA'!$G$2:$G$570,A89,'02_CLEAN_DATA'!$W$2:$W$570,"Missed")</f>
        <v>0</v>
      </c>
      <c r="G89" s="26">
        <f t="shared" si="8"/>
        <v>1</v>
      </c>
      <c r="H89" s="25">
        <f>COUNTIFS('02_CLEAN_DATA'!$G$2:$G$570,A89,'02_CLEAN_DATA'!$S$2:$S$570,"Customer Contracted Reasons")</f>
        <v>1</v>
      </c>
      <c r="I89" s="27">
        <f>IFERROR(AVERAGEIF('02_CLEAN_DATA'!$G$2:$G$570,A89,'02_CLEAN_DATA'!$O$2:$O$570),"")</f>
        <v>2.6349999999999998</v>
      </c>
      <c r="J89" s="27">
        <f t="array" ref="J89">IFERROR(MEDIAN(IF('02_CLEAN_DATA'!$G$2:$G$570=A89,'02_CLEAN_DATA'!$O$2:$O$570)),"")</f>
        <v>2.6349999999999998</v>
      </c>
      <c r="K89" s="25" t="str">
        <f t="shared" si="9"/>
        <v>No</v>
      </c>
      <c r="L89" s="35" t="str">
        <f t="shared" si="10"/>
        <v/>
      </c>
      <c r="M89" s="35">
        <f t="shared" si="11"/>
        <v>8.8999999999999995E-6</v>
      </c>
    </row>
    <row r="90" spans="1:13" x14ac:dyDescent="0.2">
      <c r="A90" s="22" t="s">
        <v>425</v>
      </c>
      <c r="B90" s="22" t="s">
        <v>426</v>
      </c>
      <c r="C90" s="22">
        <f>COUNTIF('02_CLEAN_DATA'!$G$2:$G$570,A90)</f>
        <v>2</v>
      </c>
      <c r="D90" s="22">
        <f>COUNTIFS('02_CLEAN_DATA'!$G$2:$G$570,A90,'02_CLEAN_DATA'!$R$2:$R$570,1)</f>
        <v>1</v>
      </c>
      <c r="E90" s="22">
        <f>COUNTIFS('02_CLEAN_DATA'!$G$2:$G$570,A90,'02_CLEAN_DATA'!$W$2:$W$570,"Met")</f>
        <v>1</v>
      </c>
      <c r="F90" s="22">
        <f>COUNTIFS('02_CLEAN_DATA'!$G$2:$G$570,A90,'02_CLEAN_DATA'!$W$2:$W$570,"Missed")</f>
        <v>0</v>
      </c>
      <c r="G90" s="23">
        <f t="shared" si="8"/>
        <v>1</v>
      </c>
      <c r="H90" s="22">
        <f>COUNTIFS('02_CLEAN_DATA'!$G$2:$G$570,A90,'02_CLEAN_DATA'!$S$2:$S$570,"Customer Contracted Reasons")</f>
        <v>1</v>
      </c>
      <c r="I90" s="24">
        <f>IFERROR(AVERAGEIF('02_CLEAN_DATA'!$G$2:$G$570,A90,'02_CLEAN_DATA'!$O$2:$O$570),"")</f>
        <v>28.285</v>
      </c>
      <c r="J90" s="24">
        <f t="array" ref="J90">IFERROR(MEDIAN(IF('02_CLEAN_DATA'!$G$2:$G$570=A90,'02_CLEAN_DATA'!$O$2:$O$570)),"")</f>
        <v>28.285</v>
      </c>
      <c r="K90" s="22" t="str">
        <f t="shared" si="9"/>
        <v>No</v>
      </c>
      <c r="L90" s="35" t="str">
        <f t="shared" si="10"/>
        <v/>
      </c>
      <c r="M90" s="35">
        <f t="shared" si="11"/>
        <v>9.0000000000000002E-6</v>
      </c>
    </row>
    <row r="91" spans="1:13" x14ac:dyDescent="0.2">
      <c r="A91" s="25" t="s">
        <v>427</v>
      </c>
      <c r="B91" s="25" t="s">
        <v>428</v>
      </c>
      <c r="C91" s="25">
        <f>COUNTIF('02_CLEAN_DATA'!$G$2:$G$570,A91)</f>
        <v>2</v>
      </c>
      <c r="D91" s="25">
        <f>COUNTIFS('02_CLEAN_DATA'!$G$2:$G$570,A91,'02_CLEAN_DATA'!$R$2:$R$570,1)</f>
        <v>0</v>
      </c>
      <c r="E91" s="25">
        <f>COUNTIFS('02_CLEAN_DATA'!$G$2:$G$570,A91,'02_CLEAN_DATA'!$W$2:$W$570,"Met")</f>
        <v>0</v>
      </c>
      <c r="F91" s="25">
        <f>COUNTIFS('02_CLEAN_DATA'!$G$2:$G$570,A91,'02_CLEAN_DATA'!$W$2:$W$570,"Missed")</f>
        <v>0</v>
      </c>
      <c r="G91" s="26" t="str">
        <f t="shared" si="8"/>
        <v/>
      </c>
      <c r="H91" s="25">
        <f>COUNTIFS('02_CLEAN_DATA'!$G$2:$G$570,A91,'02_CLEAN_DATA'!$S$2:$S$570,"Customer Contracted Reasons")</f>
        <v>1</v>
      </c>
      <c r="I91" s="27">
        <f>IFERROR(AVERAGEIF('02_CLEAN_DATA'!$G$2:$G$570,A91,'02_CLEAN_DATA'!$O$2:$O$570),"")</f>
        <v>24.375</v>
      </c>
      <c r="J91" s="27">
        <f t="array" ref="J91">IFERROR(MEDIAN(IF('02_CLEAN_DATA'!$G$2:$G$570=A91,'02_CLEAN_DATA'!$O$2:$O$570)),"")</f>
        <v>24.375000000000004</v>
      </c>
      <c r="K91" s="25" t="str">
        <f t="shared" si="9"/>
        <v>No</v>
      </c>
      <c r="L91" s="35" t="str">
        <f t="shared" si="10"/>
        <v/>
      </c>
      <c r="M91" s="35">
        <f t="shared" si="11"/>
        <v>9.0999999999999993E-6</v>
      </c>
    </row>
    <row r="92" spans="1:13" x14ac:dyDescent="0.2">
      <c r="A92" s="22" t="s">
        <v>429</v>
      </c>
      <c r="B92" s="22" t="s">
        <v>430</v>
      </c>
      <c r="C92" s="22">
        <f>COUNTIF('02_CLEAN_DATA'!$G$2:$G$570,A92)</f>
        <v>2</v>
      </c>
      <c r="D92" s="22">
        <f>COUNTIFS('02_CLEAN_DATA'!$G$2:$G$570,A92,'02_CLEAN_DATA'!$R$2:$R$570,1)</f>
        <v>2</v>
      </c>
      <c r="E92" s="22">
        <f>COUNTIFS('02_CLEAN_DATA'!$G$2:$G$570,A92,'02_CLEAN_DATA'!$W$2:$W$570,"Met")</f>
        <v>2</v>
      </c>
      <c r="F92" s="22">
        <f>COUNTIFS('02_CLEAN_DATA'!$G$2:$G$570,A92,'02_CLEAN_DATA'!$W$2:$W$570,"Missed")</f>
        <v>0</v>
      </c>
      <c r="G92" s="23">
        <f t="shared" si="8"/>
        <v>1</v>
      </c>
      <c r="H92" s="22">
        <f>COUNTIFS('02_CLEAN_DATA'!$G$2:$G$570,A92,'02_CLEAN_DATA'!$S$2:$S$570,"Customer Contracted Reasons")</f>
        <v>1</v>
      </c>
      <c r="I92" s="24">
        <f>IFERROR(AVERAGEIF('02_CLEAN_DATA'!$G$2:$G$570,A92,'02_CLEAN_DATA'!$O$2:$O$570),"")</f>
        <v>11.2</v>
      </c>
      <c r="J92" s="24">
        <f t="array" ref="J92">IFERROR(MEDIAN(IF('02_CLEAN_DATA'!$G$2:$G$570=A92,'02_CLEAN_DATA'!$O$2:$O$570)),"")</f>
        <v>11.2</v>
      </c>
      <c r="K92" s="22" t="str">
        <f t="shared" si="9"/>
        <v>No</v>
      </c>
      <c r="L92" s="35" t="str">
        <f t="shared" si="10"/>
        <v/>
      </c>
      <c r="M92" s="35">
        <f t="shared" si="11"/>
        <v>9.2E-6</v>
      </c>
    </row>
    <row r="93" spans="1:13" x14ac:dyDescent="0.2">
      <c r="A93" s="25" t="s">
        <v>431</v>
      </c>
      <c r="B93" s="25" t="s">
        <v>432</v>
      </c>
      <c r="C93" s="25">
        <f>COUNTIF('02_CLEAN_DATA'!$G$2:$G$570,A93)</f>
        <v>2</v>
      </c>
      <c r="D93" s="25">
        <f>COUNTIFS('02_CLEAN_DATA'!$G$2:$G$570,A93,'02_CLEAN_DATA'!$R$2:$R$570,1)</f>
        <v>2</v>
      </c>
      <c r="E93" s="25">
        <f>COUNTIFS('02_CLEAN_DATA'!$G$2:$G$570,A93,'02_CLEAN_DATA'!$W$2:$W$570,"Met")</f>
        <v>1</v>
      </c>
      <c r="F93" s="25">
        <f>COUNTIFS('02_CLEAN_DATA'!$G$2:$G$570,A93,'02_CLEAN_DATA'!$W$2:$W$570,"Missed")</f>
        <v>1</v>
      </c>
      <c r="G93" s="26">
        <f t="shared" si="8"/>
        <v>0.5</v>
      </c>
      <c r="H93" s="25">
        <f>COUNTIFS('02_CLEAN_DATA'!$G$2:$G$570,A93,'02_CLEAN_DATA'!$S$2:$S$570,"Customer Contracted Reasons")</f>
        <v>1</v>
      </c>
      <c r="I93" s="27">
        <f>IFERROR(AVERAGEIF('02_CLEAN_DATA'!$G$2:$G$570,A93,'02_CLEAN_DATA'!$O$2:$O$570),"")</f>
        <v>47.445</v>
      </c>
      <c r="J93" s="27">
        <f t="array" ref="J93">IFERROR(MEDIAN(IF('02_CLEAN_DATA'!$G$2:$G$570=A93,'02_CLEAN_DATA'!$O$2:$O$570)),"")</f>
        <v>47.445</v>
      </c>
      <c r="K93" s="25" t="str">
        <f t="shared" si="9"/>
        <v>No</v>
      </c>
      <c r="L93" s="35" t="str">
        <f t="shared" si="10"/>
        <v/>
      </c>
      <c r="M93" s="35">
        <f t="shared" si="11"/>
        <v>1.0000093000000001</v>
      </c>
    </row>
    <row r="94" spans="1:13" x14ac:dyDescent="0.2">
      <c r="A94" s="22" t="s">
        <v>433</v>
      </c>
      <c r="B94" s="22" t="s">
        <v>434</v>
      </c>
      <c r="C94" s="22">
        <f>COUNTIF('02_CLEAN_DATA'!$G$2:$G$570,A94)</f>
        <v>2</v>
      </c>
      <c r="D94" s="22">
        <f>COUNTIFS('02_CLEAN_DATA'!$G$2:$G$570,A94,'02_CLEAN_DATA'!$R$2:$R$570,1)</f>
        <v>2</v>
      </c>
      <c r="E94" s="22">
        <f>COUNTIFS('02_CLEAN_DATA'!$G$2:$G$570,A94,'02_CLEAN_DATA'!$W$2:$W$570,"Met")</f>
        <v>1</v>
      </c>
      <c r="F94" s="22">
        <f>COUNTIFS('02_CLEAN_DATA'!$G$2:$G$570,A94,'02_CLEAN_DATA'!$W$2:$W$570,"Missed")</f>
        <v>1</v>
      </c>
      <c r="G94" s="23">
        <f t="shared" si="8"/>
        <v>0.5</v>
      </c>
      <c r="H94" s="22">
        <f>COUNTIFS('02_CLEAN_DATA'!$G$2:$G$570,A94,'02_CLEAN_DATA'!$S$2:$S$570,"Customer Contracted Reasons")</f>
        <v>1</v>
      </c>
      <c r="I94" s="24">
        <f>IFERROR(AVERAGEIF('02_CLEAN_DATA'!$G$2:$G$570,A94,'02_CLEAN_DATA'!$O$2:$O$570),"")</f>
        <v>119.315</v>
      </c>
      <c r="J94" s="24">
        <f t="array" ref="J94">IFERROR(MEDIAN(IF('02_CLEAN_DATA'!$G$2:$G$570=A94,'02_CLEAN_DATA'!$O$2:$O$570)),"")</f>
        <v>119.315</v>
      </c>
      <c r="K94" s="22" t="str">
        <f t="shared" si="9"/>
        <v>No</v>
      </c>
      <c r="L94" s="35" t="str">
        <f t="shared" si="10"/>
        <v/>
      </c>
      <c r="M94" s="35">
        <f t="shared" si="11"/>
        <v>1.0000093999999999</v>
      </c>
    </row>
    <row r="95" spans="1:13" x14ac:dyDescent="0.2">
      <c r="A95" s="25" t="s">
        <v>435</v>
      </c>
      <c r="B95" s="25" t="s">
        <v>436</v>
      </c>
      <c r="C95" s="25">
        <f>COUNTIF('02_CLEAN_DATA'!$G$2:$G$570,A95)</f>
        <v>2</v>
      </c>
      <c r="D95" s="25">
        <f>COUNTIFS('02_CLEAN_DATA'!$G$2:$G$570,A95,'02_CLEAN_DATA'!$R$2:$R$570,1)</f>
        <v>0</v>
      </c>
      <c r="E95" s="25">
        <f>COUNTIFS('02_CLEAN_DATA'!$G$2:$G$570,A95,'02_CLEAN_DATA'!$W$2:$W$570,"Met")</f>
        <v>0</v>
      </c>
      <c r="F95" s="25">
        <f>COUNTIFS('02_CLEAN_DATA'!$G$2:$G$570,A95,'02_CLEAN_DATA'!$W$2:$W$570,"Missed")</f>
        <v>0</v>
      </c>
      <c r="G95" s="26" t="str">
        <f t="shared" si="8"/>
        <v/>
      </c>
      <c r="H95" s="25">
        <f>COUNTIFS('02_CLEAN_DATA'!$G$2:$G$570,A95,'02_CLEAN_DATA'!$S$2:$S$570,"Customer Contracted Reasons")</f>
        <v>0</v>
      </c>
      <c r="I95" s="27">
        <f>IFERROR(AVERAGEIF('02_CLEAN_DATA'!$G$2:$G$570,A95,'02_CLEAN_DATA'!$O$2:$O$570),"")</f>
        <v>9.1050000000000004</v>
      </c>
      <c r="J95" s="27">
        <f t="array" ref="J95">IFERROR(MEDIAN(IF('02_CLEAN_DATA'!$G$2:$G$570=A95,'02_CLEAN_DATA'!$O$2:$O$570)),"")</f>
        <v>9.1050000000000004</v>
      </c>
      <c r="K95" s="25" t="str">
        <f t="shared" si="9"/>
        <v>No</v>
      </c>
      <c r="L95" s="35" t="str">
        <f t="shared" si="10"/>
        <v/>
      </c>
      <c r="M95" s="35">
        <f t="shared" si="11"/>
        <v>9.5000000000000005E-6</v>
      </c>
    </row>
    <row r="96" spans="1:13" x14ac:dyDescent="0.2">
      <c r="A96" s="22" t="s">
        <v>437</v>
      </c>
      <c r="B96" s="22" t="s">
        <v>438</v>
      </c>
      <c r="C96" s="22">
        <f>COUNTIF('02_CLEAN_DATA'!$G$2:$G$570,A96)</f>
        <v>2</v>
      </c>
      <c r="D96" s="22">
        <f>COUNTIFS('02_CLEAN_DATA'!$G$2:$G$570,A96,'02_CLEAN_DATA'!$R$2:$R$570,1)</f>
        <v>2</v>
      </c>
      <c r="E96" s="22">
        <f>COUNTIFS('02_CLEAN_DATA'!$G$2:$G$570,A96,'02_CLEAN_DATA'!$W$2:$W$570,"Met")</f>
        <v>2</v>
      </c>
      <c r="F96" s="22">
        <f>COUNTIFS('02_CLEAN_DATA'!$G$2:$G$570,A96,'02_CLEAN_DATA'!$W$2:$W$570,"Missed")</f>
        <v>0</v>
      </c>
      <c r="G96" s="23">
        <f t="shared" si="8"/>
        <v>1</v>
      </c>
      <c r="H96" s="22">
        <f>COUNTIFS('02_CLEAN_DATA'!$G$2:$G$570,A96,'02_CLEAN_DATA'!$S$2:$S$570,"Customer Contracted Reasons")</f>
        <v>1</v>
      </c>
      <c r="I96" s="24">
        <f>IFERROR(AVERAGEIF('02_CLEAN_DATA'!$G$2:$G$570,A96,'02_CLEAN_DATA'!$O$2:$O$570),"")</f>
        <v>8.6850000000000005</v>
      </c>
      <c r="J96" s="24">
        <f t="array" ref="J96">IFERROR(MEDIAN(IF('02_CLEAN_DATA'!$G$2:$G$570=A96,'02_CLEAN_DATA'!$O$2:$O$570)),"")</f>
        <v>8.6850000000000005</v>
      </c>
      <c r="K96" s="22" t="str">
        <f t="shared" si="9"/>
        <v>No</v>
      </c>
      <c r="L96" s="35" t="str">
        <f t="shared" si="10"/>
        <v/>
      </c>
      <c r="M96" s="35">
        <f t="shared" si="11"/>
        <v>9.5999999999999996E-6</v>
      </c>
    </row>
    <row r="97" spans="1:13" x14ac:dyDescent="0.2">
      <c r="A97" s="25" t="s">
        <v>439</v>
      </c>
      <c r="B97" s="25" t="s">
        <v>440</v>
      </c>
      <c r="C97" s="25">
        <f>COUNTIF('02_CLEAN_DATA'!$G$2:$G$570,A97)</f>
        <v>2</v>
      </c>
      <c r="D97" s="25">
        <f>COUNTIFS('02_CLEAN_DATA'!$G$2:$G$570,A97,'02_CLEAN_DATA'!$R$2:$R$570,1)</f>
        <v>2</v>
      </c>
      <c r="E97" s="25">
        <f>COUNTIFS('02_CLEAN_DATA'!$G$2:$G$570,A97,'02_CLEAN_DATA'!$W$2:$W$570,"Met")</f>
        <v>1</v>
      </c>
      <c r="F97" s="25">
        <f>COUNTIFS('02_CLEAN_DATA'!$G$2:$G$570,A97,'02_CLEAN_DATA'!$W$2:$W$570,"Missed")</f>
        <v>1</v>
      </c>
      <c r="G97" s="26">
        <f t="shared" si="8"/>
        <v>0.5</v>
      </c>
      <c r="H97" s="25">
        <f>COUNTIFS('02_CLEAN_DATA'!$G$2:$G$570,A97,'02_CLEAN_DATA'!$S$2:$S$570,"Customer Contracted Reasons")</f>
        <v>1</v>
      </c>
      <c r="I97" s="27">
        <f>IFERROR(AVERAGEIF('02_CLEAN_DATA'!$G$2:$G$570,A97,'02_CLEAN_DATA'!$O$2:$O$570),"")</f>
        <v>16.78</v>
      </c>
      <c r="J97" s="27">
        <f t="array" ref="J97">IFERROR(MEDIAN(IF('02_CLEAN_DATA'!$G$2:$G$570=A97,'02_CLEAN_DATA'!$O$2:$O$570)),"")</f>
        <v>16.78</v>
      </c>
      <c r="K97" s="25" t="str">
        <f t="shared" si="9"/>
        <v>No</v>
      </c>
      <c r="L97" s="35" t="str">
        <f t="shared" si="10"/>
        <v/>
      </c>
      <c r="M97" s="35">
        <f t="shared" si="11"/>
        <v>1.0000096999999999</v>
      </c>
    </row>
    <row r="98" spans="1:13" x14ac:dyDescent="0.2">
      <c r="A98" s="22" t="s">
        <v>441</v>
      </c>
      <c r="B98" s="22" t="s">
        <v>442</v>
      </c>
      <c r="C98" s="22">
        <f>COUNTIF('02_CLEAN_DATA'!$G$2:$G$570,A98)</f>
        <v>2</v>
      </c>
      <c r="D98" s="22">
        <f>COUNTIFS('02_CLEAN_DATA'!$G$2:$G$570,A98,'02_CLEAN_DATA'!$R$2:$R$570,1)</f>
        <v>2</v>
      </c>
      <c r="E98" s="22">
        <f>COUNTIFS('02_CLEAN_DATA'!$G$2:$G$570,A98,'02_CLEAN_DATA'!$W$2:$W$570,"Met")</f>
        <v>2</v>
      </c>
      <c r="F98" s="22">
        <f>COUNTIFS('02_CLEAN_DATA'!$G$2:$G$570,A98,'02_CLEAN_DATA'!$W$2:$W$570,"Missed")</f>
        <v>0</v>
      </c>
      <c r="G98" s="23">
        <f t="shared" ref="G98:G129" si="12">IF(D98=0,"",E98/D98)</f>
        <v>1</v>
      </c>
      <c r="H98" s="22">
        <f>COUNTIFS('02_CLEAN_DATA'!$G$2:$G$570,A98,'02_CLEAN_DATA'!$S$2:$S$570,"Customer Contracted Reasons")</f>
        <v>1</v>
      </c>
      <c r="I98" s="24">
        <f>IFERROR(AVERAGEIF('02_CLEAN_DATA'!$G$2:$G$570,A98,'02_CLEAN_DATA'!$O$2:$O$570),"")</f>
        <v>10.235000000000001</v>
      </c>
      <c r="J98" s="24">
        <f t="array" ref="J98">IFERROR(MEDIAN(IF('02_CLEAN_DATA'!$G$2:$G$570=A98,'02_CLEAN_DATA'!$O$2:$O$570)),"")</f>
        <v>10.234999999999999</v>
      </c>
      <c r="K98" s="22" t="str">
        <f t="shared" ref="K98:K129" si="13">IF(C98&gt;=5,"Yes","No")</f>
        <v>No</v>
      </c>
      <c r="L98" s="35" t="str">
        <f t="shared" ref="L98:L129" si="14">IF(C98&gt;=5,I98+ROW()/10000000,"")</f>
        <v/>
      </c>
      <c r="M98" s="35">
        <f t="shared" ref="M98:M129" si="15">F98+ROW()/10000000</f>
        <v>9.7999999999999993E-6</v>
      </c>
    </row>
    <row r="99" spans="1:13" x14ac:dyDescent="0.2">
      <c r="A99" s="25" t="s">
        <v>443</v>
      </c>
      <c r="B99" s="25" t="s">
        <v>444</v>
      </c>
      <c r="C99" s="25">
        <f>COUNTIF('02_CLEAN_DATA'!$G$2:$G$570,A99)</f>
        <v>2</v>
      </c>
      <c r="D99" s="25">
        <f>COUNTIFS('02_CLEAN_DATA'!$G$2:$G$570,A99,'02_CLEAN_DATA'!$R$2:$R$570,1)</f>
        <v>1</v>
      </c>
      <c r="E99" s="25">
        <f>COUNTIFS('02_CLEAN_DATA'!$G$2:$G$570,A99,'02_CLEAN_DATA'!$W$2:$W$570,"Met")</f>
        <v>1</v>
      </c>
      <c r="F99" s="25">
        <f>COUNTIFS('02_CLEAN_DATA'!$G$2:$G$570,A99,'02_CLEAN_DATA'!$W$2:$W$570,"Missed")</f>
        <v>0</v>
      </c>
      <c r="G99" s="26">
        <f t="shared" si="12"/>
        <v>1</v>
      </c>
      <c r="H99" s="25">
        <f>COUNTIFS('02_CLEAN_DATA'!$G$2:$G$570,A99,'02_CLEAN_DATA'!$S$2:$S$570,"Customer Contracted Reasons")</f>
        <v>2</v>
      </c>
      <c r="I99" s="27">
        <f>IFERROR(AVERAGEIF('02_CLEAN_DATA'!$G$2:$G$570,A99,'02_CLEAN_DATA'!$O$2:$O$570),"")</f>
        <v>29.685000000000002</v>
      </c>
      <c r="J99" s="27">
        <f t="array" ref="J99">IFERROR(MEDIAN(IF('02_CLEAN_DATA'!$G$2:$G$570=A99,'02_CLEAN_DATA'!$O$2:$O$570)),"")</f>
        <v>29.685000000000002</v>
      </c>
      <c r="K99" s="25" t="str">
        <f t="shared" si="13"/>
        <v>No</v>
      </c>
      <c r="L99" s="35" t="str">
        <f t="shared" si="14"/>
        <v/>
      </c>
      <c r="M99" s="35">
        <f t="shared" si="15"/>
        <v>9.9000000000000001E-6</v>
      </c>
    </row>
    <row r="100" spans="1:13" x14ac:dyDescent="0.2">
      <c r="A100" s="22" t="s">
        <v>445</v>
      </c>
      <c r="B100" s="22" t="s">
        <v>446</v>
      </c>
      <c r="C100" s="22">
        <f>COUNTIF('02_CLEAN_DATA'!$G$2:$G$570,A100)</f>
        <v>2</v>
      </c>
      <c r="D100" s="22">
        <f>COUNTIFS('02_CLEAN_DATA'!$G$2:$G$570,A100,'02_CLEAN_DATA'!$R$2:$R$570,1)</f>
        <v>2</v>
      </c>
      <c r="E100" s="22">
        <f>COUNTIFS('02_CLEAN_DATA'!$G$2:$G$570,A100,'02_CLEAN_DATA'!$W$2:$W$570,"Met")</f>
        <v>1</v>
      </c>
      <c r="F100" s="22">
        <f>COUNTIFS('02_CLEAN_DATA'!$G$2:$G$570,A100,'02_CLEAN_DATA'!$W$2:$W$570,"Missed")</f>
        <v>1</v>
      </c>
      <c r="G100" s="23">
        <f t="shared" si="12"/>
        <v>0.5</v>
      </c>
      <c r="H100" s="22">
        <f>COUNTIFS('02_CLEAN_DATA'!$G$2:$G$570,A100,'02_CLEAN_DATA'!$S$2:$S$570,"Customer Contracted Reasons")</f>
        <v>0</v>
      </c>
      <c r="I100" s="24">
        <f>IFERROR(AVERAGEIF('02_CLEAN_DATA'!$G$2:$G$570,A100,'02_CLEAN_DATA'!$O$2:$O$570),"")</f>
        <v>37.464999999999996</v>
      </c>
      <c r="J100" s="24">
        <f t="array" ref="J100">IFERROR(MEDIAN(IF('02_CLEAN_DATA'!$G$2:$G$570=A100,'02_CLEAN_DATA'!$O$2:$O$570)),"")</f>
        <v>37.464999999999996</v>
      </c>
      <c r="K100" s="22" t="str">
        <f t="shared" si="13"/>
        <v>No</v>
      </c>
      <c r="L100" s="35" t="str">
        <f t="shared" si="14"/>
        <v/>
      </c>
      <c r="M100" s="35">
        <f t="shared" si="15"/>
        <v>1.0000100000000001</v>
      </c>
    </row>
    <row r="101" spans="1:13" x14ac:dyDescent="0.2">
      <c r="A101" s="25" t="s">
        <v>447</v>
      </c>
      <c r="B101" s="25" t="s">
        <v>448</v>
      </c>
      <c r="C101" s="25">
        <f>COUNTIF('02_CLEAN_DATA'!$G$2:$G$570,A101)</f>
        <v>2</v>
      </c>
      <c r="D101" s="25">
        <f>COUNTIFS('02_CLEAN_DATA'!$G$2:$G$570,A101,'02_CLEAN_DATA'!$R$2:$R$570,1)</f>
        <v>2</v>
      </c>
      <c r="E101" s="25">
        <f>COUNTIFS('02_CLEAN_DATA'!$G$2:$G$570,A101,'02_CLEAN_DATA'!$W$2:$W$570,"Met")</f>
        <v>1</v>
      </c>
      <c r="F101" s="25">
        <f>COUNTIFS('02_CLEAN_DATA'!$G$2:$G$570,A101,'02_CLEAN_DATA'!$W$2:$W$570,"Missed")</f>
        <v>1</v>
      </c>
      <c r="G101" s="26">
        <f t="shared" si="12"/>
        <v>0.5</v>
      </c>
      <c r="H101" s="25">
        <f>COUNTIFS('02_CLEAN_DATA'!$G$2:$G$570,A101,'02_CLEAN_DATA'!$S$2:$S$570,"Customer Contracted Reasons")</f>
        <v>0</v>
      </c>
      <c r="I101" s="27">
        <f>IFERROR(AVERAGEIF('02_CLEAN_DATA'!$G$2:$G$570,A101,'02_CLEAN_DATA'!$O$2:$O$570),"")</f>
        <v>14.1</v>
      </c>
      <c r="J101" s="27">
        <f t="array" ref="J101">IFERROR(MEDIAN(IF('02_CLEAN_DATA'!$G$2:$G$570=A101,'02_CLEAN_DATA'!$O$2:$O$570)),"")</f>
        <v>14.100000000000001</v>
      </c>
      <c r="K101" s="25" t="str">
        <f t="shared" si="13"/>
        <v>No</v>
      </c>
      <c r="L101" s="35" t="str">
        <f t="shared" si="14"/>
        <v/>
      </c>
      <c r="M101" s="35">
        <f t="shared" si="15"/>
        <v>1.0000100999999999</v>
      </c>
    </row>
    <row r="102" spans="1:13" x14ac:dyDescent="0.2">
      <c r="A102" s="22" t="s">
        <v>449</v>
      </c>
      <c r="B102" s="22" t="s">
        <v>450</v>
      </c>
      <c r="C102" s="22">
        <f>COUNTIF('02_CLEAN_DATA'!$G$2:$G$570,A102)</f>
        <v>2</v>
      </c>
      <c r="D102" s="22">
        <f>COUNTIFS('02_CLEAN_DATA'!$G$2:$G$570,A102,'02_CLEAN_DATA'!$R$2:$R$570,1)</f>
        <v>2</v>
      </c>
      <c r="E102" s="22">
        <f>COUNTIFS('02_CLEAN_DATA'!$G$2:$G$570,A102,'02_CLEAN_DATA'!$W$2:$W$570,"Met")</f>
        <v>2</v>
      </c>
      <c r="F102" s="22">
        <f>COUNTIFS('02_CLEAN_DATA'!$G$2:$G$570,A102,'02_CLEAN_DATA'!$W$2:$W$570,"Missed")</f>
        <v>0</v>
      </c>
      <c r="G102" s="23">
        <f t="shared" si="12"/>
        <v>1</v>
      </c>
      <c r="H102" s="22">
        <f>COUNTIFS('02_CLEAN_DATA'!$G$2:$G$570,A102,'02_CLEAN_DATA'!$S$2:$S$570,"Customer Contracted Reasons")</f>
        <v>2</v>
      </c>
      <c r="I102" s="24">
        <f>IFERROR(AVERAGEIF('02_CLEAN_DATA'!$G$2:$G$570,A102,'02_CLEAN_DATA'!$O$2:$O$570),"")</f>
        <v>4.93</v>
      </c>
      <c r="J102" s="24">
        <f t="array" ref="J102">IFERROR(MEDIAN(IF('02_CLEAN_DATA'!$G$2:$G$570=A102,'02_CLEAN_DATA'!$O$2:$O$570)),"")</f>
        <v>4.93</v>
      </c>
      <c r="K102" s="22" t="str">
        <f t="shared" si="13"/>
        <v>No</v>
      </c>
      <c r="L102" s="35" t="str">
        <f t="shared" si="14"/>
        <v/>
      </c>
      <c r="M102" s="35">
        <f t="shared" si="15"/>
        <v>1.0200000000000001E-5</v>
      </c>
    </row>
    <row r="103" spans="1:13" x14ac:dyDescent="0.2">
      <c r="A103" s="25" t="s">
        <v>451</v>
      </c>
      <c r="B103" s="25" t="s">
        <v>398</v>
      </c>
      <c r="C103" s="25">
        <f>COUNTIF('02_CLEAN_DATA'!$G$2:$G$570,A103)</f>
        <v>2</v>
      </c>
      <c r="D103" s="25">
        <f>COUNTIFS('02_CLEAN_DATA'!$G$2:$G$570,A103,'02_CLEAN_DATA'!$R$2:$R$570,1)</f>
        <v>2</v>
      </c>
      <c r="E103" s="25">
        <f>COUNTIFS('02_CLEAN_DATA'!$G$2:$G$570,A103,'02_CLEAN_DATA'!$W$2:$W$570,"Met")</f>
        <v>1</v>
      </c>
      <c r="F103" s="25">
        <f>COUNTIFS('02_CLEAN_DATA'!$G$2:$G$570,A103,'02_CLEAN_DATA'!$W$2:$W$570,"Missed")</f>
        <v>1</v>
      </c>
      <c r="G103" s="26">
        <f t="shared" si="12"/>
        <v>0.5</v>
      </c>
      <c r="H103" s="25">
        <f>COUNTIFS('02_CLEAN_DATA'!$G$2:$G$570,A103,'02_CLEAN_DATA'!$S$2:$S$570,"Customer Contracted Reasons")</f>
        <v>2</v>
      </c>
      <c r="I103" s="27">
        <f>IFERROR(AVERAGEIF('02_CLEAN_DATA'!$G$2:$G$570,A103,'02_CLEAN_DATA'!$O$2:$O$570),"")</f>
        <v>78.49499999999999</v>
      </c>
      <c r="J103" s="27">
        <f t="array" ref="J103">IFERROR(MEDIAN(IF('02_CLEAN_DATA'!$G$2:$G$570=A103,'02_CLEAN_DATA'!$O$2:$O$570)),"")</f>
        <v>78.495000000000005</v>
      </c>
      <c r="K103" s="25" t="str">
        <f t="shared" si="13"/>
        <v>No</v>
      </c>
      <c r="L103" s="35" t="str">
        <f t="shared" si="14"/>
        <v/>
      </c>
      <c r="M103" s="35">
        <f t="shared" si="15"/>
        <v>1.0000103</v>
      </c>
    </row>
    <row r="104" spans="1:13" x14ac:dyDescent="0.2">
      <c r="A104" s="22" t="s">
        <v>452</v>
      </c>
      <c r="B104" s="22" t="s">
        <v>453</v>
      </c>
      <c r="C104" s="22">
        <f>COUNTIF('02_CLEAN_DATA'!$G$2:$G$570,A104)</f>
        <v>2</v>
      </c>
      <c r="D104" s="22">
        <f>COUNTIFS('02_CLEAN_DATA'!$G$2:$G$570,A104,'02_CLEAN_DATA'!$R$2:$R$570,1)</f>
        <v>1</v>
      </c>
      <c r="E104" s="22">
        <f>COUNTIFS('02_CLEAN_DATA'!$G$2:$G$570,A104,'02_CLEAN_DATA'!$W$2:$W$570,"Met")</f>
        <v>1</v>
      </c>
      <c r="F104" s="22">
        <f>COUNTIFS('02_CLEAN_DATA'!$G$2:$G$570,A104,'02_CLEAN_DATA'!$W$2:$W$570,"Missed")</f>
        <v>0</v>
      </c>
      <c r="G104" s="23">
        <f t="shared" si="12"/>
        <v>1</v>
      </c>
      <c r="H104" s="22">
        <f>COUNTIFS('02_CLEAN_DATA'!$G$2:$G$570,A104,'02_CLEAN_DATA'!$S$2:$S$570,"Customer Contracted Reasons")</f>
        <v>1</v>
      </c>
      <c r="I104" s="24">
        <f>IFERROR(AVERAGEIF('02_CLEAN_DATA'!$G$2:$G$570,A104,'02_CLEAN_DATA'!$O$2:$O$570),"")</f>
        <v>2.1399999999999997</v>
      </c>
      <c r="J104" s="24">
        <f t="array" ref="J104">IFERROR(MEDIAN(IF('02_CLEAN_DATA'!$G$2:$G$570=A104,'02_CLEAN_DATA'!$O$2:$O$570)),"")</f>
        <v>2.1399999999999997</v>
      </c>
      <c r="K104" s="22" t="str">
        <f t="shared" si="13"/>
        <v>No</v>
      </c>
      <c r="L104" s="35" t="str">
        <f t="shared" si="14"/>
        <v/>
      </c>
      <c r="M104" s="35">
        <f t="shared" si="15"/>
        <v>1.04E-5</v>
      </c>
    </row>
    <row r="105" spans="1:13" x14ac:dyDescent="0.2">
      <c r="A105" s="25" t="s">
        <v>454</v>
      </c>
      <c r="B105" s="25" t="s">
        <v>455</v>
      </c>
      <c r="C105" s="25">
        <f>COUNTIF('02_CLEAN_DATA'!$G$2:$G$570,A105)</f>
        <v>2</v>
      </c>
      <c r="D105" s="25">
        <f>COUNTIFS('02_CLEAN_DATA'!$G$2:$G$570,A105,'02_CLEAN_DATA'!$R$2:$R$570,1)</f>
        <v>2</v>
      </c>
      <c r="E105" s="25">
        <f>COUNTIFS('02_CLEAN_DATA'!$G$2:$G$570,A105,'02_CLEAN_DATA'!$W$2:$W$570,"Met")</f>
        <v>2</v>
      </c>
      <c r="F105" s="25">
        <f>COUNTIFS('02_CLEAN_DATA'!$G$2:$G$570,A105,'02_CLEAN_DATA'!$W$2:$W$570,"Missed")</f>
        <v>0</v>
      </c>
      <c r="G105" s="26">
        <f t="shared" si="12"/>
        <v>1</v>
      </c>
      <c r="H105" s="25">
        <f>COUNTIFS('02_CLEAN_DATA'!$G$2:$G$570,A105,'02_CLEAN_DATA'!$S$2:$S$570,"Customer Contracted Reasons")</f>
        <v>2</v>
      </c>
      <c r="I105" s="27">
        <f>IFERROR(AVERAGEIF('02_CLEAN_DATA'!$G$2:$G$570,A105,'02_CLEAN_DATA'!$O$2:$O$570),"")</f>
        <v>4.55</v>
      </c>
      <c r="J105" s="27">
        <f t="array" ref="J105">IFERROR(MEDIAN(IF('02_CLEAN_DATA'!$G$2:$G$570=A105,'02_CLEAN_DATA'!$O$2:$O$570)),"")</f>
        <v>4.55</v>
      </c>
      <c r="K105" s="25" t="str">
        <f t="shared" si="13"/>
        <v>No</v>
      </c>
      <c r="L105" s="35" t="str">
        <f t="shared" si="14"/>
        <v/>
      </c>
      <c r="M105" s="35">
        <f t="shared" si="15"/>
        <v>1.0499999999999999E-5</v>
      </c>
    </row>
    <row r="106" spans="1:13" x14ac:dyDescent="0.2">
      <c r="A106" s="22" t="s">
        <v>456</v>
      </c>
      <c r="B106" s="22" t="s">
        <v>457</v>
      </c>
      <c r="C106" s="22">
        <f>COUNTIF('02_CLEAN_DATA'!$G$2:$G$570,A106)</f>
        <v>2</v>
      </c>
      <c r="D106" s="22">
        <f>COUNTIFS('02_CLEAN_DATA'!$G$2:$G$570,A106,'02_CLEAN_DATA'!$R$2:$R$570,1)</f>
        <v>2</v>
      </c>
      <c r="E106" s="22">
        <f>COUNTIFS('02_CLEAN_DATA'!$G$2:$G$570,A106,'02_CLEAN_DATA'!$W$2:$W$570,"Met")</f>
        <v>2</v>
      </c>
      <c r="F106" s="22">
        <f>COUNTIFS('02_CLEAN_DATA'!$G$2:$G$570,A106,'02_CLEAN_DATA'!$W$2:$W$570,"Missed")</f>
        <v>0</v>
      </c>
      <c r="G106" s="23">
        <f t="shared" si="12"/>
        <v>1</v>
      </c>
      <c r="H106" s="22">
        <f>COUNTIFS('02_CLEAN_DATA'!$G$2:$G$570,A106,'02_CLEAN_DATA'!$S$2:$S$570,"Customer Contracted Reasons")</f>
        <v>0</v>
      </c>
      <c r="I106" s="24">
        <f>IFERROR(AVERAGEIF('02_CLEAN_DATA'!$G$2:$G$570,A106,'02_CLEAN_DATA'!$O$2:$O$570),"")</f>
        <v>4.93</v>
      </c>
      <c r="J106" s="24">
        <f t="array" ref="J106">IFERROR(MEDIAN(IF('02_CLEAN_DATA'!$G$2:$G$570=A106,'02_CLEAN_DATA'!$O$2:$O$570)),"")</f>
        <v>4.93</v>
      </c>
      <c r="K106" s="22" t="str">
        <f t="shared" si="13"/>
        <v>No</v>
      </c>
      <c r="L106" s="35" t="str">
        <f t="shared" si="14"/>
        <v/>
      </c>
      <c r="M106" s="35">
        <f t="shared" si="15"/>
        <v>1.06E-5</v>
      </c>
    </row>
    <row r="107" spans="1:13" x14ac:dyDescent="0.2">
      <c r="A107" s="25" t="s">
        <v>458</v>
      </c>
      <c r="B107" s="25" t="s">
        <v>459</v>
      </c>
      <c r="C107" s="25">
        <f>COUNTIF('02_CLEAN_DATA'!$G$2:$G$570,A107)</f>
        <v>1</v>
      </c>
      <c r="D107" s="25">
        <f>COUNTIFS('02_CLEAN_DATA'!$G$2:$G$570,A107,'02_CLEAN_DATA'!$R$2:$R$570,1)</f>
        <v>1</v>
      </c>
      <c r="E107" s="25">
        <f>COUNTIFS('02_CLEAN_DATA'!$G$2:$G$570,A107,'02_CLEAN_DATA'!$W$2:$W$570,"Met")</f>
        <v>1</v>
      </c>
      <c r="F107" s="25">
        <f>COUNTIFS('02_CLEAN_DATA'!$G$2:$G$570,A107,'02_CLEAN_DATA'!$W$2:$W$570,"Missed")</f>
        <v>0</v>
      </c>
      <c r="G107" s="26">
        <f t="shared" si="12"/>
        <v>1</v>
      </c>
      <c r="H107" s="25">
        <f>COUNTIFS('02_CLEAN_DATA'!$G$2:$G$570,A107,'02_CLEAN_DATA'!$S$2:$S$570,"Customer Contracted Reasons")</f>
        <v>0</v>
      </c>
      <c r="I107" s="27">
        <f>IFERROR(AVERAGEIF('02_CLEAN_DATA'!$G$2:$G$570,A107,'02_CLEAN_DATA'!$O$2:$O$570),"")</f>
        <v>23.65</v>
      </c>
      <c r="J107" s="27">
        <f t="array" ref="J107">IFERROR(MEDIAN(IF('02_CLEAN_DATA'!$G$2:$G$570=A107,'02_CLEAN_DATA'!$O$2:$O$570)),"")</f>
        <v>23.65</v>
      </c>
      <c r="K107" s="25" t="str">
        <f t="shared" si="13"/>
        <v>No</v>
      </c>
      <c r="L107" s="35" t="str">
        <f t="shared" si="14"/>
        <v/>
      </c>
      <c r="M107" s="35">
        <f t="shared" si="15"/>
        <v>1.0699999999999999E-5</v>
      </c>
    </row>
    <row r="108" spans="1:13" x14ac:dyDescent="0.2">
      <c r="A108" s="22" t="s">
        <v>460</v>
      </c>
      <c r="B108" s="22" t="s">
        <v>461</v>
      </c>
      <c r="C108" s="22">
        <f>COUNTIF('02_CLEAN_DATA'!$G$2:$G$570,A108)</f>
        <v>1</v>
      </c>
      <c r="D108" s="22">
        <f>COUNTIFS('02_CLEAN_DATA'!$G$2:$G$570,A108,'02_CLEAN_DATA'!$R$2:$R$570,1)</f>
        <v>1</v>
      </c>
      <c r="E108" s="22">
        <f>COUNTIFS('02_CLEAN_DATA'!$G$2:$G$570,A108,'02_CLEAN_DATA'!$W$2:$W$570,"Met")</f>
        <v>1</v>
      </c>
      <c r="F108" s="22">
        <f>COUNTIFS('02_CLEAN_DATA'!$G$2:$G$570,A108,'02_CLEAN_DATA'!$W$2:$W$570,"Missed")</f>
        <v>0</v>
      </c>
      <c r="G108" s="23">
        <f t="shared" si="12"/>
        <v>1</v>
      </c>
      <c r="H108" s="22">
        <f>COUNTIFS('02_CLEAN_DATA'!$G$2:$G$570,A108,'02_CLEAN_DATA'!$S$2:$S$570,"Customer Contracted Reasons")</f>
        <v>0</v>
      </c>
      <c r="I108" s="24">
        <f>IFERROR(AVERAGEIF('02_CLEAN_DATA'!$G$2:$G$570,A108,'02_CLEAN_DATA'!$O$2:$O$570),"")</f>
        <v>14.87</v>
      </c>
      <c r="J108" s="24">
        <f t="array" ref="J108">IFERROR(MEDIAN(IF('02_CLEAN_DATA'!$G$2:$G$570=A108,'02_CLEAN_DATA'!$O$2:$O$570)),"")</f>
        <v>14.87</v>
      </c>
      <c r="K108" s="22" t="str">
        <f t="shared" si="13"/>
        <v>No</v>
      </c>
      <c r="L108" s="35" t="str">
        <f t="shared" si="14"/>
        <v/>
      </c>
      <c r="M108" s="35">
        <f t="shared" si="15"/>
        <v>1.08E-5</v>
      </c>
    </row>
    <row r="109" spans="1:13" x14ac:dyDescent="0.2">
      <c r="A109" s="25" t="s">
        <v>462</v>
      </c>
      <c r="B109" s="25" t="s">
        <v>463</v>
      </c>
      <c r="C109" s="25">
        <f>COUNTIF('02_CLEAN_DATA'!$G$2:$G$570,A109)</f>
        <v>1</v>
      </c>
      <c r="D109" s="25">
        <f>COUNTIFS('02_CLEAN_DATA'!$G$2:$G$570,A109,'02_CLEAN_DATA'!$R$2:$R$570,1)</f>
        <v>1</v>
      </c>
      <c r="E109" s="25">
        <f>COUNTIFS('02_CLEAN_DATA'!$G$2:$G$570,A109,'02_CLEAN_DATA'!$W$2:$W$570,"Met")</f>
        <v>1</v>
      </c>
      <c r="F109" s="25">
        <f>COUNTIFS('02_CLEAN_DATA'!$G$2:$G$570,A109,'02_CLEAN_DATA'!$W$2:$W$570,"Missed")</f>
        <v>0</v>
      </c>
      <c r="G109" s="26">
        <f t="shared" si="12"/>
        <v>1</v>
      </c>
      <c r="H109" s="25">
        <f>COUNTIFS('02_CLEAN_DATA'!$G$2:$G$570,A109,'02_CLEAN_DATA'!$S$2:$S$570,"Customer Contracted Reasons")</f>
        <v>0</v>
      </c>
      <c r="I109" s="27">
        <f>IFERROR(AVERAGEIF('02_CLEAN_DATA'!$G$2:$G$570,A109,'02_CLEAN_DATA'!$O$2:$O$570),"")</f>
        <v>21.45</v>
      </c>
      <c r="J109" s="27">
        <f t="array" ref="J109">IFERROR(MEDIAN(IF('02_CLEAN_DATA'!$G$2:$G$570=A109,'02_CLEAN_DATA'!$O$2:$O$570)),"")</f>
        <v>21.45</v>
      </c>
      <c r="K109" s="25" t="str">
        <f t="shared" si="13"/>
        <v>No</v>
      </c>
      <c r="L109" s="35" t="str">
        <f t="shared" si="14"/>
        <v/>
      </c>
      <c r="M109" s="35">
        <f t="shared" si="15"/>
        <v>1.0900000000000001E-5</v>
      </c>
    </row>
    <row r="110" spans="1:13" x14ac:dyDescent="0.2">
      <c r="A110" s="22" t="s">
        <v>464</v>
      </c>
      <c r="B110" s="22" t="s">
        <v>465</v>
      </c>
      <c r="C110" s="22">
        <f>COUNTIF('02_CLEAN_DATA'!$G$2:$G$570,A110)</f>
        <v>1</v>
      </c>
      <c r="D110" s="22">
        <f>COUNTIFS('02_CLEAN_DATA'!$G$2:$G$570,A110,'02_CLEAN_DATA'!$R$2:$R$570,1)</f>
        <v>1</v>
      </c>
      <c r="E110" s="22">
        <f>COUNTIFS('02_CLEAN_DATA'!$G$2:$G$570,A110,'02_CLEAN_DATA'!$W$2:$W$570,"Met")</f>
        <v>1</v>
      </c>
      <c r="F110" s="22">
        <f>COUNTIFS('02_CLEAN_DATA'!$G$2:$G$570,A110,'02_CLEAN_DATA'!$W$2:$W$570,"Missed")</f>
        <v>0</v>
      </c>
      <c r="G110" s="23">
        <f t="shared" si="12"/>
        <v>1</v>
      </c>
      <c r="H110" s="22">
        <f>COUNTIFS('02_CLEAN_DATA'!$G$2:$G$570,A110,'02_CLEAN_DATA'!$S$2:$S$570,"Customer Contracted Reasons")</f>
        <v>1</v>
      </c>
      <c r="I110" s="24">
        <f>IFERROR(AVERAGEIF('02_CLEAN_DATA'!$G$2:$G$570,A110,'02_CLEAN_DATA'!$O$2:$O$570),"")</f>
        <v>19.47</v>
      </c>
      <c r="J110" s="24">
        <f t="array" ref="J110">IFERROR(MEDIAN(IF('02_CLEAN_DATA'!$G$2:$G$570=A110,'02_CLEAN_DATA'!$O$2:$O$570)),"")</f>
        <v>19.47</v>
      </c>
      <c r="K110" s="22" t="str">
        <f t="shared" si="13"/>
        <v>No</v>
      </c>
      <c r="L110" s="35" t="str">
        <f t="shared" si="14"/>
        <v/>
      </c>
      <c r="M110" s="35">
        <f t="shared" si="15"/>
        <v>1.1E-5</v>
      </c>
    </row>
    <row r="111" spans="1:13" x14ac:dyDescent="0.2">
      <c r="A111" s="25" t="s">
        <v>466</v>
      </c>
      <c r="B111" s="25" t="s">
        <v>467</v>
      </c>
      <c r="C111" s="25">
        <f>COUNTIF('02_CLEAN_DATA'!$G$2:$G$570,A111)</f>
        <v>1</v>
      </c>
      <c r="D111" s="25">
        <f>COUNTIFS('02_CLEAN_DATA'!$G$2:$G$570,A111,'02_CLEAN_DATA'!$R$2:$R$570,1)</f>
        <v>0</v>
      </c>
      <c r="E111" s="25">
        <f>COUNTIFS('02_CLEAN_DATA'!$G$2:$G$570,A111,'02_CLEAN_DATA'!$W$2:$W$570,"Met")</f>
        <v>0</v>
      </c>
      <c r="F111" s="25">
        <f>COUNTIFS('02_CLEAN_DATA'!$G$2:$G$570,A111,'02_CLEAN_DATA'!$W$2:$W$570,"Missed")</f>
        <v>0</v>
      </c>
      <c r="G111" s="26" t="str">
        <f t="shared" si="12"/>
        <v/>
      </c>
      <c r="H111" s="25">
        <f>COUNTIFS('02_CLEAN_DATA'!$G$2:$G$570,A111,'02_CLEAN_DATA'!$S$2:$S$570,"Customer Contracted Reasons")</f>
        <v>0</v>
      </c>
      <c r="I111" s="27">
        <f>IFERROR(AVERAGEIF('02_CLEAN_DATA'!$G$2:$G$570,A111,'02_CLEAN_DATA'!$O$2:$O$570),"")</f>
        <v>59.87</v>
      </c>
      <c r="J111" s="27">
        <f t="array" ref="J111">IFERROR(MEDIAN(IF('02_CLEAN_DATA'!$G$2:$G$570=A111,'02_CLEAN_DATA'!$O$2:$O$570)),"")</f>
        <v>59.87</v>
      </c>
      <c r="K111" s="25" t="str">
        <f t="shared" si="13"/>
        <v>No</v>
      </c>
      <c r="L111" s="35" t="str">
        <f t="shared" si="14"/>
        <v/>
      </c>
      <c r="M111" s="35">
        <f t="shared" si="15"/>
        <v>1.11E-5</v>
      </c>
    </row>
    <row r="112" spans="1:13" x14ac:dyDescent="0.2">
      <c r="A112" s="22" t="s">
        <v>468</v>
      </c>
      <c r="B112" s="22" t="s">
        <v>469</v>
      </c>
      <c r="C112" s="22">
        <f>COUNTIF('02_CLEAN_DATA'!$G$2:$G$570,A112)</f>
        <v>1</v>
      </c>
      <c r="D112" s="22">
        <f>COUNTIFS('02_CLEAN_DATA'!$G$2:$G$570,A112,'02_CLEAN_DATA'!$R$2:$R$570,1)</f>
        <v>1</v>
      </c>
      <c r="E112" s="22">
        <f>COUNTIFS('02_CLEAN_DATA'!$G$2:$G$570,A112,'02_CLEAN_DATA'!$W$2:$W$570,"Met")</f>
        <v>1</v>
      </c>
      <c r="F112" s="22">
        <f>COUNTIFS('02_CLEAN_DATA'!$G$2:$G$570,A112,'02_CLEAN_DATA'!$W$2:$W$570,"Missed")</f>
        <v>0</v>
      </c>
      <c r="G112" s="23">
        <f t="shared" si="12"/>
        <v>1</v>
      </c>
      <c r="H112" s="22">
        <f>COUNTIFS('02_CLEAN_DATA'!$G$2:$G$570,A112,'02_CLEAN_DATA'!$S$2:$S$570,"Customer Contracted Reasons")</f>
        <v>0</v>
      </c>
      <c r="I112" s="24">
        <f>IFERROR(AVERAGEIF('02_CLEAN_DATA'!$G$2:$G$570,A112,'02_CLEAN_DATA'!$O$2:$O$570),"")</f>
        <v>5.82</v>
      </c>
      <c r="J112" s="24">
        <f t="array" ref="J112">IFERROR(MEDIAN(IF('02_CLEAN_DATA'!$G$2:$G$570=A112,'02_CLEAN_DATA'!$O$2:$O$570)),"")</f>
        <v>5.82</v>
      </c>
      <c r="K112" s="22" t="str">
        <f t="shared" si="13"/>
        <v>No</v>
      </c>
      <c r="L112" s="35" t="str">
        <f t="shared" si="14"/>
        <v/>
      </c>
      <c r="M112" s="35">
        <f t="shared" si="15"/>
        <v>1.1199999999999999E-5</v>
      </c>
    </row>
    <row r="113" spans="1:13" x14ac:dyDescent="0.2">
      <c r="A113" s="25" t="s">
        <v>470</v>
      </c>
      <c r="B113" s="25" t="s">
        <v>471</v>
      </c>
      <c r="C113" s="25">
        <f>COUNTIF('02_CLEAN_DATA'!$G$2:$G$570,A113)</f>
        <v>1</v>
      </c>
      <c r="D113" s="25">
        <f>COUNTIFS('02_CLEAN_DATA'!$G$2:$G$570,A113,'02_CLEAN_DATA'!$R$2:$R$570,1)</f>
        <v>1</v>
      </c>
      <c r="E113" s="25">
        <f>COUNTIFS('02_CLEAN_DATA'!$G$2:$G$570,A113,'02_CLEAN_DATA'!$W$2:$W$570,"Met")</f>
        <v>1</v>
      </c>
      <c r="F113" s="25">
        <f>COUNTIFS('02_CLEAN_DATA'!$G$2:$G$570,A113,'02_CLEAN_DATA'!$W$2:$W$570,"Missed")</f>
        <v>0</v>
      </c>
      <c r="G113" s="26">
        <f t="shared" si="12"/>
        <v>1</v>
      </c>
      <c r="H113" s="25">
        <f>COUNTIFS('02_CLEAN_DATA'!$G$2:$G$570,A113,'02_CLEAN_DATA'!$S$2:$S$570,"Customer Contracted Reasons")</f>
        <v>1</v>
      </c>
      <c r="I113" s="27">
        <f>IFERROR(AVERAGEIF('02_CLEAN_DATA'!$G$2:$G$570,A113,'02_CLEAN_DATA'!$O$2:$O$570),"")</f>
        <v>6.15</v>
      </c>
      <c r="J113" s="27">
        <f t="array" ref="J113">IFERROR(MEDIAN(IF('02_CLEAN_DATA'!$G$2:$G$570=A113,'02_CLEAN_DATA'!$O$2:$O$570)),"")</f>
        <v>6.15</v>
      </c>
      <c r="K113" s="25" t="str">
        <f t="shared" si="13"/>
        <v>No</v>
      </c>
      <c r="L113" s="35" t="str">
        <f t="shared" si="14"/>
        <v/>
      </c>
      <c r="M113" s="35">
        <f t="shared" si="15"/>
        <v>1.13E-5</v>
      </c>
    </row>
    <row r="114" spans="1:13" x14ac:dyDescent="0.2">
      <c r="A114" s="22" t="s">
        <v>472</v>
      </c>
      <c r="B114" s="22" t="s">
        <v>473</v>
      </c>
      <c r="C114" s="22">
        <f>COUNTIF('02_CLEAN_DATA'!$G$2:$G$570,A114)</f>
        <v>1</v>
      </c>
      <c r="D114" s="22">
        <f>COUNTIFS('02_CLEAN_DATA'!$G$2:$G$570,A114,'02_CLEAN_DATA'!$R$2:$R$570,1)</f>
        <v>1</v>
      </c>
      <c r="E114" s="22">
        <f>COUNTIFS('02_CLEAN_DATA'!$G$2:$G$570,A114,'02_CLEAN_DATA'!$W$2:$W$570,"Met")</f>
        <v>1</v>
      </c>
      <c r="F114" s="22">
        <f>COUNTIFS('02_CLEAN_DATA'!$G$2:$G$570,A114,'02_CLEAN_DATA'!$W$2:$W$570,"Missed")</f>
        <v>0</v>
      </c>
      <c r="G114" s="23">
        <f t="shared" si="12"/>
        <v>1</v>
      </c>
      <c r="H114" s="22">
        <f>COUNTIFS('02_CLEAN_DATA'!$G$2:$G$570,A114,'02_CLEAN_DATA'!$S$2:$S$570,"Customer Contracted Reasons")</f>
        <v>0</v>
      </c>
      <c r="I114" s="24">
        <f>IFERROR(AVERAGEIF('02_CLEAN_DATA'!$G$2:$G$570,A114,'02_CLEAN_DATA'!$O$2:$O$570),"")</f>
        <v>2.1800000000000002</v>
      </c>
      <c r="J114" s="24">
        <f t="array" ref="J114">IFERROR(MEDIAN(IF('02_CLEAN_DATA'!$G$2:$G$570=A114,'02_CLEAN_DATA'!$O$2:$O$570)),"")</f>
        <v>2.1800000000000002</v>
      </c>
      <c r="K114" s="22" t="str">
        <f t="shared" si="13"/>
        <v>No</v>
      </c>
      <c r="L114" s="35" t="str">
        <f t="shared" si="14"/>
        <v/>
      </c>
      <c r="M114" s="35">
        <f t="shared" si="15"/>
        <v>1.1399999999999999E-5</v>
      </c>
    </row>
    <row r="115" spans="1:13" x14ac:dyDescent="0.2">
      <c r="A115" s="25" t="s">
        <v>474</v>
      </c>
      <c r="B115" s="25" t="s">
        <v>475</v>
      </c>
      <c r="C115" s="25">
        <f>COUNTIF('02_CLEAN_DATA'!$G$2:$G$570,A115)</f>
        <v>1</v>
      </c>
      <c r="D115" s="25">
        <f>COUNTIFS('02_CLEAN_DATA'!$G$2:$G$570,A115,'02_CLEAN_DATA'!$R$2:$R$570,1)</f>
        <v>1</v>
      </c>
      <c r="E115" s="25">
        <f>COUNTIFS('02_CLEAN_DATA'!$G$2:$G$570,A115,'02_CLEAN_DATA'!$W$2:$W$570,"Met")</f>
        <v>1</v>
      </c>
      <c r="F115" s="25">
        <f>COUNTIFS('02_CLEAN_DATA'!$G$2:$G$570,A115,'02_CLEAN_DATA'!$W$2:$W$570,"Missed")</f>
        <v>0</v>
      </c>
      <c r="G115" s="26">
        <f t="shared" si="12"/>
        <v>1</v>
      </c>
      <c r="H115" s="25">
        <f>COUNTIFS('02_CLEAN_DATA'!$G$2:$G$570,A115,'02_CLEAN_DATA'!$S$2:$S$570,"Customer Contracted Reasons")</f>
        <v>1</v>
      </c>
      <c r="I115" s="27">
        <f>IFERROR(AVERAGEIF('02_CLEAN_DATA'!$G$2:$G$570,A115,'02_CLEAN_DATA'!$O$2:$O$570),"")</f>
        <v>92.23</v>
      </c>
      <c r="J115" s="27">
        <f t="array" ref="J115">IFERROR(MEDIAN(IF('02_CLEAN_DATA'!$G$2:$G$570=A115,'02_CLEAN_DATA'!$O$2:$O$570)),"")</f>
        <v>92.23</v>
      </c>
      <c r="K115" s="25" t="str">
        <f t="shared" si="13"/>
        <v>No</v>
      </c>
      <c r="L115" s="35" t="str">
        <f t="shared" si="14"/>
        <v/>
      </c>
      <c r="M115" s="35">
        <f t="shared" si="15"/>
        <v>1.15E-5</v>
      </c>
    </row>
    <row r="116" spans="1:13" x14ac:dyDescent="0.2">
      <c r="A116" s="22" t="s">
        <v>476</v>
      </c>
      <c r="B116" s="22" t="s">
        <v>477</v>
      </c>
      <c r="C116" s="22">
        <f>COUNTIF('02_CLEAN_DATA'!$G$2:$G$570,A116)</f>
        <v>1</v>
      </c>
      <c r="D116" s="22">
        <f>COUNTIFS('02_CLEAN_DATA'!$G$2:$G$570,A116,'02_CLEAN_DATA'!$R$2:$R$570,1)</f>
        <v>1</v>
      </c>
      <c r="E116" s="22">
        <f>COUNTIFS('02_CLEAN_DATA'!$G$2:$G$570,A116,'02_CLEAN_DATA'!$W$2:$W$570,"Met")</f>
        <v>1</v>
      </c>
      <c r="F116" s="22">
        <f>COUNTIFS('02_CLEAN_DATA'!$G$2:$G$570,A116,'02_CLEAN_DATA'!$W$2:$W$570,"Missed")</f>
        <v>0</v>
      </c>
      <c r="G116" s="23">
        <f t="shared" si="12"/>
        <v>1</v>
      </c>
      <c r="H116" s="22">
        <f>COUNTIFS('02_CLEAN_DATA'!$G$2:$G$570,A116,'02_CLEAN_DATA'!$S$2:$S$570,"Customer Contracted Reasons")</f>
        <v>1</v>
      </c>
      <c r="I116" s="24">
        <f>IFERROR(AVERAGEIF('02_CLEAN_DATA'!$G$2:$G$570,A116,'02_CLEAN_DATA'!$O$2:$O$570),"")</f>
        <v>1.85</v>
      </c>
      <c r="J116" s="24">
        <f t="array" ref="J116">IFERROR(MEDIAN(IF('02_CLEAN_DATA'!$G$2:$G$570=A116,'02_CLEAN_DATA'!$O$2:$O$570)),"")</f>
        <v>1.85</v>
      </c>
      <c r="K116" s="22" t="str">
        <f t="shared" si="13"/>
        <v>No</v>
      </c>
      <c r="L116" s="35" t="str">
        <f t="shared" si="14"/>
        <v/>
      </c>
      <c r="M116" s="35">
        <f t="shared" si="15"/>
        <v>1.1600000000000001E-5</v>
      </c>
    </row>
    <row r="117" spans="1:13" x14ac:dyDescent="0.2">
      <c r="A117" s="25" t="s">
        <v>478</v>
      </c>
      <c r="B117" s="25" t="s">
        <v>479</v>
      </c>
      <c r="C117" s="25">
        <f>COUNTIF('02_CLEAN_DATA'!$G$2:$G$570,A117)</f>
        <v>1</v>
      </c>
      <c r="D117" s="25">
        <f>COUNTIFS('02_CLEAN_DATA'!$G$2:$G$570,A117,'02_CLEAN_DATA'!$R$2:$R$570,1)</f>
        <v>1</v>
      </c>
      <c r="E117" s="25">
        <f>COUNTIFS('02_CLEAN_DATA'!$G$2:$G$570,A117,'02_CLEAN_DATA'!$W$2:$W$570,"Met")</f>
        <v>1</v>
      </c>
      <c r="F117" s="25">
        <f>COUNTIFS('02_CLEAN_DATA'!$G$2:$G$570,A117,'02_CLEAN_DATA'!$W$2:$W$570,"Missed")</f>
        <v>0</v>
      </c>
      <c r="G117" s="26">
        <f t="shared" si="12"/>
        <v>1</v>
      </c>
      <c r="H117" s="25">
        <f>COUNTIFS('02_CLEAN_DATA'!$G$2:$G$570,A117,'02_CLEAN_DATA'!$S$2:$S$570,"Customer Contracted Reasons")</f>
        <v>1</v>
      </c>
      <c r="I117" s="27">
        <f>IFERROR(AVERAGEIF('02_CLEAN_DATA'!$G$2:$G$570,A117,'02_CLEAN_DATA'!$O$2:$O$570),"")</f>
        <v>0.98</v>
      </c>
      <c r="J117" s="27">
        <f t="array" ref="J117">IFERROR(MEDIAN(IF('02_CLEAN_DATA'!$G$2:$G$570=A117,'02_CLEAN_DATA'!$O$2:$O$570)),"")</f>
        <v>0.98</v>
      </c>
      <c r="K117" s="25" t="str">
        <f t="shared" si="13"/>
        <v>No</v>
      </c>
      <c r="L117" s="35" t="str">
        <f t="shared" si="14"/>
        <v/>
      </c>
      <c r="M117" s="35">
        <f t="shared" si="15"/>
        <v>1.17E-5</v>
      </c>
    </row>
    <row r="118" spans="1:13" x14ac:dyDescent="0.2">
      <c r="A118" s="22" t="s">
        <v>480</v>
      </c>
      <c r="B118" s="22" t="s">
        <v>481</v>
      </c>
      <c r="C118" s="22">
        <f>COUNTIF('02_CLEAN_DATA'!$G$2:$G$570,A118)</f>
        <v>1</v>
      </c>
      <c r="D118" s="22">
        <f>COUNTIFS('02_CLEAN_DATA'!$G$2:$G$570,A118,'02_CLEAN_DATA'!$R$2:$R$570,1)</f>
        <v>1</v>
      </c>
      <c r="E118" s="22">
        <f>COUNTIFS('02_CLEAN_DATA'!$G$2:$G$570,A118,'02_CLEAN_DATA'!$W$2:$W$570,"Met")</f>
        <v>1</v>
      </c>
      <c r="F118" s="22">
        <f>COUNTIFS('02_CLEAN_DATA'!$G$2:$G$570,A118,'02_CLEAN_DATA'!$W$2:$W$570,"Missed")</f>
        <v>0</v>
      </c>
      <c r="G118" s="23">
        <f t="shared" si="12"/>
        <v>1</v>
      </c>
      <c r="H118" s="22">
        <f>COUNTIFS('02_CLEAN_DATA'!$G$2:$G$570,A118,'02_CLEAN_DATA'!$S$2:$S$570,"Customer Contracted Reasons")</f>
        <v>1</v>
      </c>
      <c r="I118" s="24">
        <f>IFERROR(AVERAGEIF('02_CLEAN_DATA'!$G$2:$G$570,A118,'02_CLEAN_DATA'!$O$2:$O$570),"")</f>
        <v>18.27</v>
      </c>
      <c r="J118" s="24">
        <f t="array" ref="J118">IFERROR(MEDIAN(IF('02_CLEAN_DATA'!$G$2:$G$570=A118,'02_CLEAN_DATA'!$O$2:$O$570)),"")</f>
        <v>18.27</v>
      </c>
      <c r="K118" s="22" t="str">
        <f t="shared" si="13"/>
        <v>No</v>
      </c>
      <c r="L118" s="35" t="str">
        <f t="shared" si="14"/>
        <v/>
      </c>
      <c r="M118" s="35">
        <f t="shared" si="15"/>
        <v>1.1800000000000001E-5</v>
      </c>
    </row>
    <row r="119" spans="1:13" x14ac:dyDescent="0.2">
      <c r="A119" s="25" t="s">
        <v>482</v>
      </c>
      <c r="B119" s="25" t="s">
        <v>483</v>
      </c>
      <c r="C119" s="25">
        <f>COUNTIF('02_CLEAN_DATA'!$G$2:$G$570,A119)</f>
        <v>1</v>
      </c>
      <c r="D119" s="25">
        <f>COUNTIFS('02_CLEAN_DATA'!$G$2:$G$570,A119,'02_CLEAN_DATA'!$R$2:$R$570,1)</f>
        <v>0</v>
      </c>
      <c r="E119" s="25">
        <f>COUNTIFS('02_CLEAN_DATA'!$G$2:$G$570,A119,'02_CLEAN_DATA'!$W$2:$W$570,"Met")</f>
        <v>0</v>
      </c>
      <c r="F119" s="25">
        <f>COUNTIFS('02_CLEAN_DATA'!$G$2:$G$570,A119,'02_CLEAN_DATA'!$W$2:$W$570,"Missed")</f>
        <v>0</v>
      </c>
      <c r="G119" s="26" t="str">
        <f t="shared" si="12"/>
        <v/>
      </c>
      <c r="H119" s="25">
        <f>COUNTIFS('02_CLEAN_DATA'!$G$2:$G$570,A119,'02_CLEAN_DATA'!$S$2:$S$570,"Customer Contracted Reasons")</f>
        <v>0</v>
      </c>
      <c r="I119" s="27">
        <f>IFERROR(AVERAGEIF('02_CLEAN_DATA'!$G$2:$G$570,A119,'02_CLEAN_DATA'!$O$2:$O$570),"")</f>
        <v>8.93</v>
      </c>
      <c r="J119" s="27">
        <f t="array" ref="J119">IFERROR(MEDIAN(IF('02_CLEAN_DATA'!$G$2:$G$570=A119,'02_CLEAN_DATA'!$O$2:$O$570)),"")</f>
        <v>8.93</v>
      </c>
      <c r="K119" s="25" t="str">
        <f t="shared" si="13"/>
        <v>No</v>
      </c>
      <c r="L119" s="35" t="str">
        <f t="shared" si="14"/>
        <v/>
      </c>
      <c r="M119" s="35">
        <f t="shared" si="15"/>
        <v>1.19E-5</v>
      </c>
    </row>
    <row r="120" spans="1:13" x14ac:dyDescent="0.2">
      <c r="A120" s="22" t="s">
        <v>484</v>
      </c>
      <c r="B120" s="22" t="s">
        <v>485</v>
      </c>
      <c r="C120" s="22">
        <f>COUNTIF('02_CLEAN_DATA'!$G$2:$G$570,A120)</f>
        <v>1</v>
      </c>
      <c r="D120" s="22">
        <f>COUNTIFS('02_CLEAN_DATA'!$G$2:$G$570,A120,'02_CLEAN_DATA'!$R$2:$R$570,1)</f>
        <v>1</v>
      </c>
      <c r="E120" s="22">
        <f>COUNTIFS('02_CLEAN_DATA'!$G$2:$G$570,A120,'02_CLEAN_DATA'!$W$2:$W$570,"Met")</f>
        <v>1</v>
      </c>
      <c r="F120" s="22">
        <f>COUNTIFS('02_CLEAN_DATA'!$G$2:$G$570,A120,'02_CLEAN_DATA'!$W$2:$W$570,"Missed")</f>
        <v>0</v>
      </c>
      <c r="G120" s="23">
        <f t="shared" si="12"/>
        <v>1</v>
      </c>
      <c r="H120" s="22">
        <f>COUNTIFS('02_CLEAN_DATA'!$G$2:$G$570,A120,'02_CLEAN_DATA'!$S$2:$S$570,"Customer Contracted Reasons")</f>
        <v>1</v>
      </c>
      <c r="I120" s="24">
        <f>IFERROR(AVERAGEIF('02_CLEAN_DATA'!$G$2:$G$570,A120,'02_CLEAN_DATA'!$O$2:$O$570),"")</f>
        <v>20.95</v>
      </c>
      <c r="J120" s="24">
        <f t="array" ref="J120">IFERROR(MEDIAN(IF('02_CLEAN_DATA'!$G$2:$G$570=A120,'02_CLEAN_DATA'!$O$2:$O$570)),"")</f>
        <v>20.95</v>
      </c>
      <c r="K120" s="22" t="str">
        <f t="shared" si="13"/>
        <v>No</v>
      </c>
      <c r="L120" s="35" t="str">
        <f t="shared" si="14"/>
        <v/>
      </c>
      <c r="M120" s="35">
        <f t="shared" si="15"/>
        <v>1.2E-5</v>
      </c>
    </row>
    <row r="121" spans="1:13" x14ac:dyDescent="0.2">
      <c r="A121" s="25" t="s">
        <v>486</v>
      </c>
      <c r="B121" s="25" t="s">
        <v>487</v>
      </c>
      <c r="C121" s="25">
        <f>COUNTIF('02_CLEAN_DATA'!$G$2:$G$570,A121)</f>
        <v>1</v>
      </c>
      <c r="D121" s="25">
        <f>COUNTIFS('02_CLEAN_DATA'!$G$2:$G$570,A121,'02_CLEAN_DATA'!$R$2:$R$570,1)</f>
        <v>1</v>
      </c>
      <c r="E121" s="25">
        <f>COUNTIFS('02_CLEAN_DATA'!$G$2:$G$570,A121,'02_CLEAN_DATA'!$W$2:$W$570,"Met")</f>
        <v>1</v>
      </c>
      <c r="F121" s="25">
        <f>COUNTIFS('02_CLEAN_DATA'!$G$2:$G$570,A121,'02_CLEAN_DATA'!$W$2:$W$570,"Missed")</f>
        <v>0</v>
      </c>
      <c r="G121" s="26">
        <f t="shared" si="12"/>
        <v>1</v>
      </c>
      <c r="H121" s="25">
        <f>COUNTIFS('02_CLEAN_DATA'!$G$2:$G$570,A121,'02_CLEAN_DATA'!$S$2:$S$570,"Customer Contracted Reasons")</f>
        <v>1</v>
      </c>
      <c r="I121" s="27">
        <f>IFERROR(AVERAGEIF('02_CLEAN_DATA'!$G$2:$G$570,A121,'02_CLEAN_DATA'!$O$2:$O$570),"")</f>
        <v>5.2</v>
      </c>
      <c r="J121" s="27">
        <f t="array" ref="J121">IFERROR(MEDIAN(IF('02_CLEAN_DATA'!$G$2:$G$570=A121,'02_CLEAN_DATA'!$O$2:$O$570)),"")</f>
        <v>5.2</v>
      </c>
      <c r="K121" s="25" t="str">
        <f t="shared" si="13"/>
        <v>No</v>
      </c>
      <c r="L121" s="35" t="str">
        <f t="shared" si="14"/>
        <v/>
      </c>
      <c r="M121" s="35">
        <f t="shared" si="15"/>
        <v>1.2099999999999999E-5</v>
      </c>
    </row>
    <row r="122" spans="1:13" x14ac:dyDescent="0.2">
      <c r="A122" s="22" t="s">
        <v>488</v>
      </c>
      <c r="B122" s="22" t="s">
        <v>489</v>
      </c>
      <c r="C122" s="22">
        <f>COUNTIF('02_CLEAN_DATA'!$G$2:$G$570,A122)</f>
        <v>1</v>
      </c>
      <c r="D122" s="22">
        <f>COUNTIFS('02_CLEAN_DATA'!$G$2:$G$570,A122,'02_CLEAN_DATA'!$R$2:$R$570,1)</f>
        <v>1</v>
      </c>
      <c r="E122" s="22">
        <f>COUNTIFS('02_CLEAN_DATA'!$G$2:$G$570,A122,'02_CLEAN_DATA'!$W$2:$W$570,"Met")</f>
        <v>0</v>
      </c>
      <c r="F122" s="22">
        <f>COUNTIFS('02_CLEAN_DATA'!$G$2:$G$570,A122,'02_CLEAN_DATA'!$W$2:$W$570,"Missed")</f>
        <v>1</v>
      </c>
      <c r="G122" s="23">
        <f t="shared" si="12"/>
        <v>0</v>
      </c>
      <c r="H122" s="22">
        <f>COUNTIFS('02_CLEAN_DATA'!$G$2:$G$570,A122,'02_CLEAN_DATA'!$S$2:$S$570,"Customer Contracted Reasons")</f>
        <v>1</v>
      </c>
      <c r="I122" s="24">
        <f>IFERROR(AVERAGEIF('02_CLEAN_DATA'!$G$2:$G$570,A122,'02_CLEAN_DATA'!$O$2:$O$570),"")</f>
        <v>28.97</v>
      </c>
      <c r="J122" s="24">
        <f t="array" ref="J122">IFERROR(MEDIAN(IF('02_CLEAN_DATA'!$G$2:$G$570=A122,'02_CLEAN_DATA'!$O$2:$O$570)),"")</f>
        <v>28.97</v>
      </c>
      <c r="K122" s="22" t="str">
        <f t="shared" si="13"/>
        <v>No</v>
      </c>
      <c r="L122" s="35" t="str">
        <f t="shared" si="14"/>
        <v/>
      </c>
      <c r="M122" s="35">
        <f t="shared" si="15"/>
        <v>1.0000122</v>
      </c>
    </row>
    <row r="123" spans="1:13" x14ac:dyDescent="0.2">
      <c r="A123" s="25" t="s">
        <v>490</v>
      </c>
      <c r="B123" s="25" t="s">
        <v>491</v>
      </c>
      <c r="C123" s="25">
        <f>COUNTIF('02_CLEAN_DATA'!$G$2:$G$570,A123)</f>
        <v>1</v>
      </c>
      <c r="D123" s="25">
        <f>COUNTIFS('02_CLEAN_DATA'!$G$2:$G$570,A123,'02_CLEAN_DATA'!$R$2:$R$570,1)</f>
        <v>1</v>
      </c>
      <c r="E123" s="25">
        <f>COUNTIFS('02_CLEAN_DATA'!$G$2:$G$570,A123,'02_CLEAN_DATA'!$W$2:$W$570,"Met")</f>
        <v>1</v>
      </c>
      <c r="F123" s="25">
        <f>COUNTIFS('02_CLEAN_DATA'!$G$2:$G$570,A123,'02_CLEAN_DATA'!$W$2:$W$570,"Missed")</f>
        <v>0</v>
      </c>
      <c r="G123" s="26">
        <f t="shared" si="12"/>
        <v>1</v>
      </c>
      <c r="H123" s="25">
        <f>COUNTIFS('02_CLEAN_DATA'!$G$2:$G$570,A123,'02_CLEAN_DATA'!$S$2:$S$570,"Customer Contracted Reasons")</f>
        <v>1</v>
      </c>
      <c r="I123" s="27">
        <f>IFERROR(AVERAGEIF('02_CLEAN_DATA'!$G$2:$G$570,A123,'02_CLEAN_DATA'!$O$2:$O$570),"")</f>
        <v>54.05</v>
      </c>
      <c r="J123" s="27">
        <f t="array" ref="J123">IFERROR(MEDIAN(IF('02_CLEAN_DATA'!$G$2:$G$570=A123,'02_CLEAN_DATA'!$O$2:$O$570)),"")</f>
        <v>54.05</v>
      </c>
      <c r="K123" s="25" t="str">
        <f t="shared" si="13"/>
        <v>No</v>
      </c>
      <c r="L123" s="35" t="str">
        <f t="shared" si="14"/>
        <v/>
      </c>
      <c r="M123" s="35">
        <f t="shared" si="15"/>
        <v>1.2300000000000001E-5</v>
      </c>
    </row>
    <row r="124" spans="1:13" x14ac:dyDescent="0.2">
      <c r="A124" s="22" t="s">
        <v>492</v>
      </c>
      <c r="B124" s="22" t="s">
        <v>493</v>
      </c>
      <c r="C124" s="22">
        <f>COUNTIF('02_CLEAN_DATA'!$G$2:$G$570,A124)</f>
        <v>1</v>
      </c>
      <c r="D124" s="22">
        <f>COUNTIFS('02_CLEAN_DATA'!$G$2:$G$570,A124,'02_CLEAN_DATA'!$R$2:$R$570,1)</f>
        <v>0</v>
      </c>
      <c r="E124" s="22">
        <f>COUNTIFS('02_CLEAN_DATA'!$G$2:$G$570,A124,'02_CLEAN_DATA'!$W$2:$W$570,"Met")</f>
        <v>0</v>
      </c>
      <c r="F124" s="22">
        <f>COUNTIFS('02_CLEAN_DATA'!$G$2:$G$570,A124,'02_CLEAN_DATA'!$W$2:$W$570,"Missed")</f>
        <v>0</v>
      </c>
      <c r="G124" s="23" t="str">
        <f t="shared" si="12"/>
        <v/>
      </c>
      <c r="H124" s="22">
        <f>COUNTIFS('02_CLEAN_DATA'!$G$2:$G$570,A124,'02_CLEAN_DATA'!$S$2:$S$570,"Customer Contracted Reasons")</f>
        <v>0</v>
      </c>
      <c r="I124" s="24">
        <f>IFERROR(AVERAGEIF('02_CLEAN_DATA'!$G$2:$G$570,A124,'02_CLEAN_DATA'!$O$2:$O$570),"")</f>
        <v>3.08</v>
      </c>
      <c r="J124" s="24">
        <f t="array" ref="J124">IFERROR(MEDIAN(IF('02_CLEAN_DATA'!$G$2:$G$570=A124,'02_CLEAN_DATA'!$O$2:$O$570)),"")</f>
        <v>3.08</v>
      </c>
      <c r="K124" s="22" t="str">
        <f t="shared" si="13"/>
        <v>No</v>
      </c>
      <c r="L124" s="35" t="str">
        <f t="shared" si="14"/>
        <v/>
      </c>
      <c r="M124" s="35">
        <f t="shared" si="15"/>
        <v>1.24E-5</v>
      </c>
    </row>
    <row r="125" spans="1:13" x14ac:dyDescent="0.2">
      <c r="A125" s="25" t="s">
        <v>494</v>
      </c>
      <c r="B125" s="25" t="s">
        <v>495</v>
      </c>
      <c r="C125" s="25">
        <f>COUNTIF('02_CLEAN_DATA'!$G$2:$G$570,A125)</f>
        <v>1</v>
      </c>
      <c r="D125" s="25">
        <f>COUNTIFS('02_CLEAN_DATA'!$G$2:$G$570,A125,'02_CLEAN_DATA'!$R$2:$R$570,1)</f>
        <v>1</v>
      </c>
      <c r="E125" s="25">
        <f>COUNTIFS('02_CLEAN_DATA'!$G$2:$G$570,A125,'02_CLEAN_DATA'!$W$2:$W$570,"Met")</f>
        <v>0</v>
      </c>
      <c r="F125" s="25">
        <f>COUNTIFS('02_CLEAN_DATA'!$G$2:$G$570,A125,'02_CLEAN_DATA'!$W$2:$W$570,"Missed")</f>
        <v>1</v>
      </c>
      <c r="G125" s="26">
        <f t="shared" si="12"/>
        <v>0</v>
      </c>
      <c r="H125" s="25">
        <f>COUNTIFS('02_CLEAN_DATA'!$G$2:$G$570,A125,'02_CLEAN_DATA'!$S$2:$S$570,"Customer Contracted Reasons")</f>
        <v>1</v>
      </c>
      <c r="I125" s="27">
        <f>IFERROR(AVERAGEIF('02_CLEAN_DATA'!$G$2:$G$570,A125,'02_CLEAN_DATA'!$O$2:$O$570),"")</f>
        <v>316.02</v>
      </c>
      <c r="J125" s="27">
        <f t="array" ref="J125">IFERROR(MEDIAN(IF('02_CLEAN_DATA'!$G$2:$G$570=A125,'02_CLEAN_DATA'!$O$2:$O$570)),"")</f>
        <v>316.02</v>
      </c>
      <c r="K125" s="25" t="str">
        <f t="shared" si="13"/>
        <v>No</v>
      </c>
      <c r="L125" s="35" t="str">
        <f t="shared" si="14"/>
        <v/>
      </c>
      <c r="M125" s="35">
        <f t="shared" si="15"/>
        <v>1.0000125</v>
      </c>
    </row>
    <row r="126" spans="1:13" x14ac:dyDescent="0.2">
      <c r="A126" s="22" t="s">
        <v>496</v>
      </c>
      <c r="B126" s="22" t="s">
        <v>497</v>
      </c>
      <c r="C126" s="22">
        <f>COUNTIF('02_CLEAN_DATA'!$G$2:$G$570,A126)</f>
        <v>1</v>
      </c>
      <c r="D126" s="22">
        <f>COUNTIFS('02_CLEAN_DATA'!$G$2:$G$570,A126,'02_CLEAN_DATA'!$R$2:$R$570,1)</f>
        <v>1</v>
      </c>
      <c r="E126" s="22">
        <f>COUNTIFS('02_CLEAN_DATA'!$G$2:$G$570,A126,'02_CLEAN_DATA'!$W$2:$W$570,"Met")</f>
        <v>1</v>
      </c>
      <c r="F126" s="22">
        <f>COUNTIFS('02_CLEAN_DATA'!$G$2:$G$570,A126,'02_CLEAN_DATA'!$W$2:$W$570,"Missed")</f>
        <v>0</v>
      </c>
      <c r="G126" s="23">
        <f t="shared" si="12"/>
        <v>1</v>
      </c>
      <c r="H126" s="22">
        <f>COUNTIFS('02_CLEAN_DATA'!$G$2:$G$570,A126,'02_CLEAN_DATA'!$S$2:$S$570,"Customer Contracted Reasons")</f>
        <v>1</v>
      </c>
      <c r="I126" s="24">
        <f>IFERROR(AVERAGEIF('02_CLEAN_DATA'!$G$2:$G$570,A126,'02_CLEAN_DATA'!$O$2:$O$570),"")</f>
        <v>2.57</v>
      </c>
      <c r="J126" s="24">
        <f t="array" ref="J126">IFERROR(MEDIAN(IF('02_CLEAN_DATA'!$G$2:$G$570=A126,'02_CLEAN_DATA'!$O$2:$O$570)),"")</f>
        <v>2.57</v>
      </c>
      <c r="K126" s="22" t="str">
        <f t="shared" si="13"/>
        <v>No</v>
      </c>
      <c r="L126" s="35" t="str">
        <f t="shared" si="14"/>
        <v/>
      </c>
      <c r="M126" s="35">
        <f t="shared" si="15"/>
        <v>1.26E-5</v>
      </c>
    </row>
    <row r="127" spans="1:13" x14ac:dyDescent="0.2">
      <c r="A127" s="25" t="s">
        <v>498</v>
      </c>
      <c r="B127" s="25" t="s">
        <v>499</v>
      </c>
      <c r="C127" s="25">
        <f>COUNTIF('02_CLEAN_DATA'!$G$2:$G$570,A127)</f>
        <v>1</v>
      </c>
      <c r="D127" s="25">
        <f>COUNTIFS('02_CLEAN_DATA'!$G$2:$G$570,A127,'02_CLEAN_DATA'!$R$2:$R$570,1)</f>
        <v>1</v>
      </c>
      <c r="E127" s="25">
        <f>COUNTIFS('02_CLEAN_DATA'!$G$2:$G$570,A127,'02_CLEAN_DATA'!$W$2:$W$570,"Met")</f>
        <v>1</v>
      </c>
      <c r="F127" s="25">
        <f>COUNTIFS('02_CLEAN_DATA'!$G$2:$G$570,A127,'02_CLEAN_DATA'!$W$2:$W$570,"Missed")</f>
        <v>0</v>
      </c>
      <c r="G127" s="26">
        <f t="shared" si="12"/>
        <v>1</v>
      </c>
      <c r="H127" s="25">
        <f>COUNTIFS('02_CLEAN_DATA'!$G$2:$G$570,A127,'02_CLEAN_DATA'!$S$2:$S$570,"Customer Contracted Reasons")</f>
        <v>1</v>
      </c>
      <c r="I127" s="27">
        <f>IFERROR(AVERAGEIF('02_CLEAN_DATA'!$G$2:$G$570,A127,'02_CLEAN_DATA'!$O$2:$O$570),"")</f>
        <v>3.83</v>
      </c>
      <c r="J127" s="27">
        <f t="array" ref="J127">IFERROR(MEDIAN(IF('02_CLEAN_DATA'!$G$2:$G$570=A127,'02_CLEAN_DATA'!$O$2:$O$570)),"")</f>
        <v>3.83</v>
      </c>
      <c r="K127" s="25" t="str">
        <f t="shared" si="13"/>
        <v>No</v>
      </c>
      <c r="L127" s="35" t="str">
        <f t="shared" si="14"/>
        <v/>
      </c>
      <c r="M127" s="35">
        <f t="shared" si="15"/>
        <v>1.27E-5</v>
      </c>
    </row>
    <row r="128" spans="1:13" x14ac:dyDescent="0.2">
      <c r="A128" s="22" t="s">
        <v>500</v>
      </c>
      <c r="B128" s="22" t="s">
        <v>501</v>
      </c>
      <c r="C128" s="22">
        <f>COUNTIF('02_CLEAN_DATA'!$G$2:$G$570,A128)</f>
        <v>1</v>
      </c>
      <c r="D128" s="22">
        <f>COUNTIFS('02_CLEAN_DATA'!$G$2:$G$570,A128,'02_CLEAN_DATA'!$R$2:$R$570,1)</f>
        <v>0</v>
      </c>
      <c r="E128" s="22">
        <f>COUNTIFS('02_CLEAN_DATA'!$G$2:$G$570,A128,'02_CLEAN_DATA'!$W$2:$W$570,"Met")</f>
        <v>0</v>
      </c>
      <c r="F128" s="22">
        <f>COUNTIFS('02_CLEAN_DATA'!$G$2:$G$570,A128,'02_CLEAN_DATA'!$W$2:$W$570,"Missed")</f>
        <v>0</v>
      </c>
      <c r="G128" s="23" t="str">
        <f t="shared" si="12"/>
        <v/>
      </c>
      <c r="H128" s="22">
        <f>COUNTIFS('02_CLEAN_DATA'!$G$2:$G$570,A128,'02_CLEAN_DATA'!$S$2:$S$570,"Customer Contracted Reasons")</f>
        <v>1</v>
      </c>
      <c r="I128" s="24">
        <f>IFERROR(AVERAGEIF('02_CLEAN_DATA'!$G$2:$G$570,A128,'02_CLEAN_DATA'!$O$2:$O$570),"")</f>
        <v>20.23</v>
      </c>
      <c r="J128" s="24">
        <f t="array" ref="J128">IFERROR(MEDIAN(IF('02_CLEAN_DATA'!$G$2:$G$570=A128,'02_CLEAN_DATA'!$O$2:$O$570)),"")</f>
        <v>20.23</v>
      </c>
      <c r="K128" s="22" t="str">
        <f t="shared" si="13"/>
        <v>No</v>
      </c>
      <c r="L128" s="35" t="str">
        <f t="shared" si="14"/>
        <v/>
      </c>
      <c r="M128" s="35">
        <f t="shared" si="15"/>
        <v>1.2799999999999999E-5</v>
      </c>
    </row>
    <row r="129" spans="1:13" x14ac:dyDescent="0.2">
      <c r="A129" s="25" t="s">
        <v>502</v>
      </c>
      <c r="B129" s="25" t="s">
        <v>503</v>
      </c>
      <c r="C129" s="25">
        <f>COUNTIF('02_CLEAN_DATA'!$G$2:$G$570,A129)</f>
        <v>1</v>
      </c>
      <c r="D129" s="25">
        <f>COUNTIFS('02_CLEAN_DATA'!$G$2:$G$570,A129,'02_CLEAN_DATA'!$R$2:$R$570,1)</f>
        <v>1</v>
      </c>
      <c r="E129" s="25">
        <f>COUNTIFS('02_CLEAN_DATA'!$G$2:$G$570,A129,'02_CLEAN_DATA'!$W$2:$W$570,"Met")</f>
        <v>0</v>
      </c>
      <c r="F129" s="25">
        <f>COUNTIFS('02_CLEAN_DATA'!$G$2:$G$570,A129,'02_CLEAN_DATA'!$W$2:$W$570,"Missed")</f>
        <v>1</v>
      </c>
      <c r="G129" s="26">
        <f t="shared" si="12"/>
        <v>0</v>
      </c>
      <c r="H129" s="25">
        <f>COUNTIFS('02_CLEAN_DATA'!$G$2:$G$570,A129,'02_CLEAN_DATA'!$S$2:$S$570,"Customer Contracted Reasons")</f>
        <v>0</v>
      </c>
      <c r="I129" s="27">
        <f>IFERROR(AVERAGEIF('02_CLEAN_DATA'!$G$2:$G$570,A129,'02_CLEAN_DATA'!$O$2:$O$570),"")</f>
        <v>24.32</v>
      </c>
      <c r="J129" s="27">
        <f t="array" ref="J129">IFERROR(MEDIAN(IF('02_CLEAN_DATA'!$G$2:$G$570=A129,'02_CLEAN_DATA'!$O$2:$O$570)),"")</f>
        <v>24.32</v>
      </c>
      <c r="K129" s="25" t="str">
        <f t="shared" si="13"/>
        <v>No</v>
      </c>
      <c r="L129" s="35" t="str">
        <f t="shared" si="14"/>
        <v/>
      </c>
      <c r="M129" s="35">
        <f t="shared" si="15"/>
        <v>1.0000129</v>
      </c>
    </row>
    <row r="130" spans="1:13" x14ac:dyDescent="0.2">
      <c r="A130" s="22" t="s">
        <v>504</v>
      </c>
      <c r="B130" s="22" t="s">
        <v>505</v>
      </c>
      <c r="C130" s="22">
        <f>COUNTIF('02_CLEAN_DATA'!$G$2:$G$570,A130)</f>
        <v>1</v>
      </c>
      <c r="D130" s="22">
        <f>COUNTIFS('02_CLEAN_DATA'!$G$2:$G$570,A130,'02_CLEAN_DATA'!$R$2:$R$570,1)</f>
        <v>1</v>
      </c>
      <c r="E130" s="22">
        <f>COUNTIFS('02_CLEAN_DATA'!$G$2:$G$570,A130,'02_CLEAN_DATA'!$W$2:$W$570,"Met")</f>
        <v>1</v>
      </c>
      <c r="F130" s="22">
        <f>COUNTIFS('02_CLEAN_DATA'!$G$2:$G$570,A130,'02_CLEAN_DATA'!$W$2:$W$570,"Missed")</f>
        <v>0</v>
      </c>
      <c r="G130" s="23">
        <f t="shared" ref="G130:G152" si="16">IF(D130=0,"",E130/D130)</f>
        <v>1</v>
      </c>
      <c r="H130" s="22">
        <f>COUNTIFS('02_CLEAN_DATA'!$G$2:$G$570,A130,'02_CLEAN_DATA'!$S$2:$S$570,"Customer Contracted Reasons")</f>
        <v>1</v>
      </c>
      <c r="I130" s="24">
        <f>IFERROR(AVERAGEIF('02_CLEAN_DATA'!$G$2:$G$570,A130,'02_CLEAN_DATA'!$O$2:$O$570),"")</f>
        <v>18.829999999999998</v>
      </c>
      <c r="J130" s="24">
        <f t="array" ref="J130">IFERROR(MEDIAN(IF('02_CLEAN_DATA'!$G$2:$G$570=A130,'02_CLEAN_DATA'!$O$2:$O$570)),"")</f>
        <v>18.829999999999998</v>
      </c>
      <c r="K130" s="22" t="str">
        <f t="shared" ref="K130:K152" si="17">IF(C130&gt;=5,"Yes","No")</f>
        <v>No</v>
      </c>
      <c r="L130" s="35" t="str">
        <f t="shared" ref="L130:L152" si="18">IF(C130&gt;=5,I130+ROW()/10000000,"")</f>
        <v/>
      </c>
      <c r="M130" s="35">
        <f t="shared" ref="M130:M152" si="19">F130+ROW()/10000000</f>
        <v>1.2999999999999999E-5</v>
      </c>
    </row>
    <row r="131" spans="1:13" x14ac:dyDescent="0.2">
      <c r="A131" s="25" t="s">
        <v>506</v>
      </c>
      <c r="B131" s="25" t="s">
        <v>507</v>
      </c>
      <c r="C131" s="25">
        <f>COUNTIF('02_CLEAN_DATA'!$G$2:$G$570,A131)</f>
        <v>1</v>
      </c>
      <c r="D131" s="25">
        <f>COUNTIFS('02_CLEAN_DATA'!$G$2:$G$570,A131,'02_CLEAN_DATA'!$R$2:$R$570,1)</f>
        <v>1</v>
      </c>
      <c r="E131" s="25">
        <f>COUNTIFS('02_CLEAN_DATA'!$G$2:$G$570,A131,'02_CLEAN_DATA'!$W$2:$W$570,"Met")</f>
        <v>1</v>
      </c>
      <c r="F131" s="25">
        <f>COUNTIFS('02_CLEAN_DATA'!$G$2:$G$570,A131,'02_CLEAN_DATA'!$W$2:$W$570,"Missed")</f>
        <v>0</v>
      </c>
      <c r="G131" s="26">
        <f t="shared" si="16"/>
        <v>1</v>
      </c>
      <c r="H131" s="25">
        <f>COUNTIFS('02_CLEAN_DATA'!$G$2:$G$570,A131,'02_CLEAN_DATA'!$S$2:$S$570,"Customer Contracted Reasons")</f>
        <v>0</v>
      </c>
      <c r="I131" s="27">
        <f>IFERROR(AVERAGEIF('02_CLEAN_DATA'!$G$2:$G$570,A131,'02_CLEAN_DATA'!$O$2:$O$570),"")</f>
        <v>6.75</v>
      </c>
      <c r="J131" s="27">
        <f t="array" ref="J131">IFERROR(MEDIAN(IF('02_CLEAN_DATA'!$G$2:$G$570=A131,'02_CLEAN_DATA'!$O$2:$O$570)),"")</f>
        <v>6.75</v>
      </c>
      <c r="K131" s="25" t="str">
        <f t="shared" si="17"/>
        <v>No</v>
      </c>
      <c r="L131" s="35" t="str">
        <f t="shared" si="18"/>
        <v/>
      </c>
      <c r="M131" s="35">
        <f t="shared" si="19"/>
        <v>1.31E-5</v>
      </c>
    </row>
    <row r="132" spans="1:13" x14ac:dyDescent="0.2">
      <c r="A132" s="22" t="s">
        <v>508</v>
      </c>
      <c r="B132" s="22" t="s">
        <v>509</v>
      </c>
      <c r="C132" s="22">
        <f>COUNTIF('02_CLEAN_DATA'!$G$2:$G$570,A132)</f>
        <v>1</v>
      </c>
      <c r="D132" s="22">
        <f>COUNTIFS('02_CLEAN_DATA'!$G$2:$G$570,A132,'02_CLEAN_DATA'!$R$2:$R$570,1)</f>
        <v>1</v>
      </c>
      <c r="E132" s="22">
        <f>COUNTIFS('02_CLEAN_DATA'!$G$2:$G$570,A132,'02_CLEAN_DATA'!$W$2:$W$570,"Met")</f>
        <v>0</v>
      </c>
      <c r="F132" s="22">
        <f>COUNTIFS('02_CLEAN_DATA'!$G$2:$G$570,A132,'02_CLEAN_DATA'!$W$2:$W$570,"Missed")</f>
        <v>1</v>
      </c>
      <c r="G132" s="23">
        <f t="shared" si="16"/>
        <v>0</v>
      </c>
      <c r="H132" s="22">
        <f>COUNTIFS('02_CLEAN_DATA'!$G$2:$G$570,A132,'02_CLEAN_DATA'!$S$2:$S$570,"Customer Contracted Reasons")</f>
        <v>1</v>
      </c>
      <c r="I132" s="24">
        <f>IFERROR(AVERAGEIF('02_CLEAN_DATA'!$G$2:$G$570,A132,'02_CLEAN_DATA'!$O$2:$O$570),"")</f>
        <v>28.73</v>
      </c>
      <c r="J132" s="24">
        <f t="array" ref="J132">IFERROR(MEDIAN(IF('02_CLEAN_DATA'!$G$2:$G$570=A132,'02_CLEAN_DATA'!$O$2:$O$570)),"")</f>
        <v>28.73</v>
      </c>
      <c r="K132" s="22" t="str">
        <f t="shared" si="17"/>
        <v>No</v>
      </c>
      <c r="L132" s="35" t="str">
        <f t="shared" si="18"/>
        <v/>
      </c>
      <c r="M132" s="35">
        <f t="shared" si="19"/>
        <v>1.0000131999999999</v>
      </c>
    </row>
    <row r="133" spans="1:13" x14ac:dyDescent="0.2">
      <c r="A133" s="25" t="s">
        <v>510</v>
      </c>
      <c r="B133" s="25" t="s">
        <v>390</v>
      </c>
      <c r="C133" s="25">
        <f>COUNTIF('02_CLEAN_DATA'!$G$2:$G$570,A133)</f>
        <v>1</v>
      </c>
      <c r="D133" s="25">
        <f>COUNTIFS('02_CLEAN_DATA'!$G$2:$G$570,A133,'02_CLEAN_DATA'!$R$2:$R$570,1)</f>
        <v>1</v>
      </c>
      <c r="E133" s="25">
        <f>COUNTIFS('02_CLEAN_DATA'!$G$2:$G$570,A133,'02_CLEAN_DATA'!$W$2:$W$570,"Met")</f>
        <v>1</v>
      </c>
      <c r="F133" s="25">
        <f>COUNTIFS('02_CLEAN_DATA'!$G$2:$G$570,A133,'02_CLEAN_DATA'!$W$2:$W$570,"Missed")</f>
        <v>0</v>
      </c>
      <c r="G133" s="26">
        <f t="shared" si="16"/>
        <v>1</v>
      </c>
      <c r="H133" s="25">
        <f>COUNTIFS('02_CLEAN_DATA'!$G$2:$G$570,A133,'02_CLEAN_DATA'!$S$2:$S$570,"Customer Contracted Reasons")</f>
        <v>1</v>
      </c>
      <c r="I133" s="27">
        <f>IFERROR(AVERAGEIF('02_CLEAN_DATA'!$G$2:$G$570,A133,'02_CLEAN_DATA'!$O$2:$O$570),"")</f>
        <v>3.03</v>
      </c>
      <c r="J133" s="27">
        <f t="array" ref="J133">IFERROR(MEDIAN(IF('02_CLEAN_DATA'!$G$2:$G$570=A133,'02_CLEAN_DATA'!$O$2:$O$570)),"")</f>
        <v>3.03</v>
      </c>
      <c r="K133" s="25" t="str">
        <f t="shared" si="17"/>
        <v>No</v>
      </c>
      <c r="L133" s="35" t="str">
        <f t="shared" si="18"/>
        <v/>
      </c>
      <c r="M133" s="35">
        <f t="shared" si="19"/>
        <v>1.33E-5</v>
      </c>
    </row>
    <row r="134" spans="1:13" x14ac:dyDescent="0.2">
      <c r="A134" s="22" t="s">
        <v>511</v>
      </c>
      <c r="B134" s="22" t="s">
        <v>392</v>
      </c>
      <c r="C134" s="22">
        <f>COUNTIF('02_CLEAN_DATA'!$G$2:$G$570,A134)</f>
        <v>1</v>
      </c>
      <c r="D134" s="22">
        <f>COUNTIFS('02_CLEAN_DATA'!$G$2:$G$570,A134,'02_CLEAN_DATA'!$R$2:$R$570,1)</f>
        <v>1</v>
      </c>
      <c r="E134" s="22">
        <f>COUNTIFS('02_CLEAN_DATA'!$G$2:$G$570,A134,'02_CLEAN_DATA'!$W$2:$W$570,"Met")</f>
        <v>1</v>
      </c>
      <c r="F134" s="22">
        <f>COUNTIFS('02_CLEAN_DATA'!$G$2:$G$570,A134,'02_CLEAN_DATA'!$W$2:$W$570,"Missed")</f>
        <v>0</v>
      </c>
      <c r="G134" s="23">
        <f t="shared" si="16"/>
        <v>1</v>
      </c>
      <c r="H134" s="22">
        <f>COUNTIFS('02_CLEAN_DATA'!$G$2:$G$570,A134,'02_CLEAN_DATA'!$S$2:$S$570,"Customer Contracted Reasons")</f>
        <v>1</v>
      </c>
      <c r="I134" s="24">
        <f>IFERROR(AVERAGEIF('02_CLEAN_DATA'!$G$2:$G$570,A134,'02_CLEAN_DATA'!$O$2:$O$570),"")</f>
        <v>3.9</v>
      </c>
      <c r="J134" s="24">
        <f t="array" ref="J134">IFERROR(MEDIAN(IF('02_CLEAN_DATA'!$G$2:$G$570=A134,'02_CLEAN_DATA'!$O$2:$O$570)),"")</f>
        <v>3.9</v>
      </c>
      <c r="K134" s="22" t="str">
        <f t="shared" si="17"/>
        <v>No</v>
      </c>
      <c r="L134" s="35" t="str">
        <f t="shared" si="18"/>
        <v/>
      </c>
      <c r="M134" s="35">
        <f t="shared" si="19"/>
        <v>1.34E-5</v>
      </c>
    </row>
    <row r="135" spans="1:13" x14ac:dyDescent="0.2">
      <c r="A135" s="25" t="s">
        <v>512</v>
      </c>
      <c r="B135" s="25" t="s">
        <v>513</v>
      </c>
      <c r="C135" s="25">
        <f>COUNTIF('02_CLEAN_DATA'!$G$2:$G$570,A135)</f>
        <v>1</v>
      </c>
      <c r="D135" s="25">
        <f>COUNTIFS('02_CLEAN_DATA'!$G$2:$G$570,A135,'02_CLEAN_DATA'!$R$2:$R$570,1)</f>
        <v>1</v>
      </c>
      <c r="E135" s="25">
        <f>COUNTIFS('02_CLEAN_DATA'!$G$2:$G$570,A135,'02_CLEAN_DATA'!$W$2:$W$570,"Met")</f>
        <v>0</v>
      </c>
      <c r="F135" s="25">
        <f>COUNTIFS('02_CLEAN_DATA'!$G$2:$G$570,A135,'02_CLEAN_DATA'!$W$2:$W$570,"Missed")</f>
        <v>1</v>
      </c>
      <c r="G135" s="26">
        <f t="shared" si="16"/>
        <v>0</v>
      </c>
      <c r="H135" s="25">
        <f>COUNTIFS('02_CLEAN_DATA'!$G$2:$G$570,A135,'02_CLEAN_DATA'!$S$2:$S$570,"Customer Contracted Reasons")</f>
        <v>0</v>
      </c>
      <c r="I135" s="27">
        <f>IFERROR(AVERAGEIF('02_CLEAN_DATA'!$G$2:$G$570,A135,'02_CLEAN_DATA'!$O$2:$O$570),"")</f>
        <v>48.87</v>
      </c>
      <c r="J135" s="27">
        <f t="array" ref="J135">IFERROR(MEDIAN(IF('02_CLEAN_DATA'!$G$2:$G$570=A135,'02_CLEAN_DATA'!$O$2:$O$570)),"")</f>
        <v>48.87</v>
      </c>
      <c r="K135" s="25" t="str">
        <f t="shared" si="17"/>
        <v>No</v>
      </c>
      <c r="L135" s="35" t="str">
        <f t="shared" si="18"/>
        <v/>
      </c>
      <c r="M135" s="35">
        <f t="shared" si="19"/>
        <v>1.0000135000000001</v>
      </c>
    </row>
    <row r="136" spans="1:13" x14ac:dyDescent="0.2">
      <c r="A136" s="22" t="s">
        <v>514</v>
      </c>
      <c r="B136" s="22" t="s">
        <v>515</v>
      </c>
      <c r="C136" s="22">
        <f>COUNTIF('02_CLEAN_DATA'!$G$2:$G$570,A136)</f>
        <v>1</v>
      </c>
      <c r="D136" s="22">
        <f>COUNTIFS('02_CLEAN_DATA'!$G$2:$G$570,A136,'02_CLEAN_DATA'!$R$2:$R$570,1)</f>
        <v>1</v>
      </c>
      <c r="E136" s="22">
        <f>COUNTIFS('02_CLEAN_DATA'!$G$2:$G$570,A136,'02_CLEAN_DATA'!$W$2:$W$570,"Met")</f>
        <v>1</v>
      </c>
      <c r="F136" s="22">
        <f>COUNTIFS('02_CLEAN_DATA'!$G$2:$G$570,A136,'02_CLEAN_DATA'!$W$2:$W$570,"Missed")</f>
        <v>0</v>
      </c>
      <c r="G136" s="23">
        <f t="shared" si="16"/>
        <v>1</v>
      </c>
      <c r="H136" s="22">
        <f>COUNTIFS('02_CLEAN_DATA'!$G$2:$G$570,A136,'02_CLEAN_DATA'!$S$2:$S$570,"Customer Contracted Reasons")</f>
        <v>0</v>
      </c>
      <c r="I136" s="24">
        <f>IFERROR(AVERAGEIF('02_CLEAN_DATA'!$G$2:$G$570,A136,'02_CLEAN_DATA'!$O$2:$O$570),"")</f>
        <v>3.23</v>
      </c>
      <c r="J136" s="24">
        <f t="array" ref="J136">IFERROR(MEDIAN(IF('02_CLEAN_DATA'!$G$2:$G$570=A136,'02_CLEAN_DATA'!$O$2:$O$570)),"")</f>
        <v>3.23</v>
      </c>
      <c r="K136" s="22" t="str">
        <f t="shared" si="17"/>
        <v>No</v>
      </c>
      <c r="L136" s="35" t="str">
        <f t="shared" si="18"/>
        <v/>
      </c>
      <c r="M136" s="35">
        <f t="shared" si="19"/>
        <v>1.36E-5</v>
      </c>
    </row>
    <row r="137" spans="1:13" x14ac:dyDescent="0.2">
      <c r="A137" s="25" t="s">
        <v>516</v>
      </c>
      <c r="B137" s="25" t="s">
        <v>517</v>
      </c>
      <c r="C137" s="25">
        <f>COUNTIF('02_CLEAN_DATA'!$G$2:$G$570,A137)</f>
        <v>1</v>
      </c>
      <c r="D137" s="25">
        <f>COUNTIFS('02_CLEAN_DATA'!$G$2:$G$570,A137,'02_CLEAN_DATA'!$R$2:$R$570,1)</f>
        <v>1</v>
      </c>
      <c r="E137" s="25">
        <f>COUNTIFS('02_CLEAN_DATA'!$G$2:$G$570,A137,'02_CLEAN_DATA'!$W$2:$W$570,"Met")</f>
        <v>1</v>
      </c>
      <c r="F137" s="25">
        <f>COUNTIFS('02_CLEAN_DATA'!$G$2:$G$570,A137,'02_CLEAN_DATA'!$W$2:$W$570,"Missed")</f>
        <v>0</v>
      </c>
      <c r="G137" s="26">
        <f t="shared" si="16"/>
        <v>1</v>
      </c>
      <c r="H137" s="25">
        <f>COUNTIFS('02_CLEAN_DATA'!$G$2:$G$570,A137,'02_CLEAN_DATA'!$S$2:$S$570,"Customer Contracted Reasons")</f>
        <v>1</v>
      </c>
      <c r="I137" s="27">
        <f>IFERROR(AVERAGEIF('02_CLEAN_DATA'!$G$2:$G$570,A137,'02_CLEAN_DATA'!$O$2:$O$570),"")</f>
        <v>4.63</v>
      </c>
      <c r="J137" s="27">
        <f t="array" ref="J137">IFERROR(MEDIAN(IF('02_CLEAN_DATA'!$G$2:$G$570=A137,'02_CLEAN_DATA'!$O$2:$O$570)),"")</f>
        <v>4.63</v>
      </c>
      <c r="K137" s="25" t="str">
        <f t="shared" si="17"/>
        <v>No</v>
      </c>
      <c r="L137" s="35" t="str">
        <f t="shared" si="18"/>
        <v/>
      </c>
      <c r="M137" s="35">
        <f t="shared" si="19"/>
        <v>1.3699999999999999E-5</v>
      </c>
    </row>
    <row r="138" spans="1:13" x14ac:dyDescent="0.2">
      <c r="A138" s="22" t="s">
        <v>518</v>
      </c>
      <c r="B138" s="22" t="s">
        <v>519</v>
      </c>
      <c r="C138" s="22">
        <f>COUNTIF('02_CLEAN_DATA'!$G$2:$G$570,A138)</f>
        <v>1</v>
      </c>
      <c r="D138" s="22">
        <f>COUNTIFS('02_CLEAN_DATA'!$G$2:$G$570,A138,'02_CLEAN_DATA'!$R$2:$R$570,1)</f>
        <v>1</v>
      </c>
      <c r="E138" s="22">
        <f>COUNTIFS('02_CLEAN_DATA'!$G$2:$G$570,A138,'02_CLEAN_DATA'!$W$2:$W$570,"Met")</f>
        <v>1</v>
      </c>
      <c r="F138" s="22">
        <f>COUNTIFS('02_CLEAN_DATA'!$G$2:$G$570,A138,'02_CLEAN_DATA'!$W$2:$W$570,"Missed")</f>
        <v>0</v>
      </c>
      <c r="G138" s="23">
        <f t="shared" si="16"/>
        <v>1</v>
      </c>
      <c r="H138" s="22">
        <f>COUNTIFS('02_CLEAN_DATA'!$G$2:$G$570,A138,'02_CLEAN_DATA'!$S$2:$S$570,"Customer Contracted Reasons")</f>
        <v>1</v>
      </c>
      <c r="I138" s="24">
        <f>IFERROR(AVERAGEIF('02_CLEAN_DATA'!$G$2:$G$570,A138,'02_CLEAN_DATA'!$O$2:$O$570),"")</f>
        <v>5.92</v>
      </c>
      <c r="J138" s="24">
        <f t="array" ref="J138">IFERROR(MEDIAN(IF('02_CLEAN_DATA'!$G$2:$G$570=A138,'02_CLEAN_DATA'!$O$2:$O$570)),"")</f>
        <v>5.92</v>
      </c>
      <c r="K138" s="22" t="str">
        <f t="shared" si="17"/>
        <v>No</v>
      </c>
      <c r="L138" s="35" t="str">
        <f t="shared" si="18"/>
        <v/>
      </c>
      <c r="M138" s="35">
        <f t="shared" si="19"/>
        <v>1.38E-5</v>
      </c>
    </row>
    <row r="139" spans="1:13" x14ac:dyDescent="0.2">
      <c r="A139" s="25" t="s">
        <v>520</v>
      </c>
      <c r="B139" s="25" t="s">
        <v>396</v>
      </c>
      <c r="C139" s="25">
        <f>COUNTIF('02_CLEAN_DATA'!$G$2:$G$570,A139)</f>
        <v>1</v>
      </c>
      <c r="D139" s="25">
        <f>COUNTIFS('02_CLEAN_DATA'!$G$2:$G$570,A139,'02_CLEAN_DATA'!$R$2:$R$570,1)</f>
        <v>0</v>
      </c>
      <c r="E139" s="25">
        <f>COUNTIFS('02_CLEAN_DATA'!$G$2:$G$570,A139,'02_CLEAN_DATA'!$W$2:$W$570,"Met")</f>
        <v>0</v>
      </c>
      <c r="F139" s="25">
        <f>COUNTIFS('02_CLEAN_DATA'!$G$2:$G$570,A139,'02_CLEAN_DATA'!$W$2:$W$570,"Missed")</f>
        <v>0</v>
      </c>
      <c r="G139" s="26" t="str">
        <f t="shared" si="16"/>
        <v/>
      </c>
      <c r="H139" s="25">
        <f>COUNTIFS('02_CLEAN_DATA'!$G$2:$G$570,A139,'02_CLEAN_DATA'!$S$2:$S$570,"Customer Contracted Reasons")</f>
        <v>1</v>
      </c>
      <c r="I139" s="27">
        <f>IFERROR(AVERAGEIF('02_CLEAN_DATA'!$G$2:$G$570,A139,'02_CLEAN_DATA'!$O$2:$O$570),"")</f>
        <v>18.850000000000001</v>
      </c>
      <c r="J139" s="27">
        <f t="array" ref="J139">IFERROR(MEDIAN(IF('02_CLEAN_DATA'!$G$2:$G$570=A139,'02_CLEAN_DATA'!$O$2:$O$570)),"")</f>
        <v>18.850000000000001</v>
      </c>
      <c r="K139" s="25" t="str">
        <f t="shared" si="17"/>
        <v>No</v>
      </c>
      <c r="L139" s="35" t="str">
        <f t="shared" si="18"/>
        <v/>
      </c>
      <c r="M139" s="35">
        <f t="shared" si="19"/>
        <v>1.3900000000000001E-5</v>
      </c>
    </row>
    <row r="140" spans="1:13" x14ac:dyDescent="0.2">
      <c r="A140" s="22" t="s">
        <v>521</v>
      </c>
      <c r="B140" s="22" t="s">
        <v>286</v>
      </c>
      <c r="C140" s="22">
        <f>COUNTIF('02_CLEAN_DATA'!$G$2:$G$570,A140)</f>
        <v>1</v>
      </c>
      <c r="D140" s="22">
        <f>COUNTIFS('02_CLEAN_DATA'!$G$2:$G$570,A140,'02_CLEAN_DATA'!$R$2:$R$570,1)</f>
        <v>1</v>
      </c>
      <c r="E140" s="22">
        <f>COUNTIFS('02_CLEAN_DATA'!$G$2:$G$570,A140,'02_CLEAN_DATA'!$W$2:$W$570,"Met")</f>
        <v>1</v>
      </c>
      <c r="F140" s="22">
        <f>COUNTIFS('02_CLEAN_DATA'!$G$2:$G$570,A140,'02_CLEAN_DATA'!$W$2:$W$570,"Missed")</f>
        <v>0</v>
      </c>
      <c r="G140" s="23">
        <f t="shared" si="16"/>
        <v>1</v>
      </c>
      <c r="H140" s="22">
        <f>COUNTIFS('02_CLEAN_DATA'!$G$2:$G$570,A140,'02_CLEAN_DATA'!$S$2:$S$570,"Customer Contracted Reasons")</f>
        <v>1</v>
      </c>
      <c r="I140" s="24">
        <f>IFERROR(AVERAGEIF('02_CLEAN_DATA'!$G$2:$G$570,A140,'02_CLEAN_DATA'!$O$2:$O$570),"")</f>
        <v>25.07</v>
      </c>
      <c r="J140" s="24">
        <f t="array" ref="J140">IFERROR(MEDIAN(IF('02_CLEAN_DATA'!$G$2:$G$570=A140,'02_CLEAN_DATA'!$O$2:$O$570)),"")</f>
        <v>25.07</v>
      </c>
      <c r="K140" s="22" t="str">
        <f t="shared" si="17"/>
        <v>No</v>
      </c>
      <c r="L140" s="35" t="str">
        <f t="shared" si="18"/>
        <v/>
      </c>
      <c r="M140" s="35">
        <f t="shared" si="19"/>
        <v>1.4E-5</v>
      </c>
    </row>
    <row r="141" spans="1:13" x14ac:dyDescent="0.2">
      <c r="A141" s="25" t="s">
        <v>522</v>
      </c>
      <c r="B141" s="25" t="s">
        <v>304</v>
      </c>
      <c r="C141" s="25">
        <f>COUNTIF('02_CLEAN_DATA'!$G$2:$G$570,A141)</f>
        <v>1</v>
      </c>
      <c r="D141" s="25">
        <f>COUNTIFS('02_CLEAN_DATA'!$G$2:$G$570,A141,'02_CLEAN_DATA'!$R$2:$R$570,1)</f>
        <v>1</v>
      </c>
      <c r="E141" s="25">
        <f>COUNTIFS('02_CLEAN_DATA'!$G$2:$G$570,A141,'02_CLEAN_DATA'!$W$2:$W$570,"Met")</f>
        <v>1</v>
      </c>
      <c r="F141" s="25">
        <f>COUNTIFS('02_CLEAN_DATA'!$G$2:$G$570,A141,'02_CLEAN_DATA'!$W$2:$W$570,"Missed")</f>
        <v>0</v>
      </c>
      <c r="G141" s="26">
        <f t="shared" si="16"/>
        <v>1</v>
      </c>
      <c r="H141" s="25">
        <f>COUNTIFS('02_CLEAN_DATA'!$G$2:$G$570,A141,'02_CLEAN_DATA'!$S$2:$S$570,"Customer Contracted Reasons")</f>
        <v>1</v>
      </c>
      <c r="I141" s="27">
        <f>IFERROR(AVERAGEIF('02_CLEAN_DATA'!$G$2:$G$570,A141,'02_CLEAN_DATA'!$O$2:$O$570),"")</f>
        <v>166.07</v>
      </c>
      <c r="J141" s="27">
        <f t="array" ref="J141">IFERROR(MEDIAN(IF('02_CLEAN_DATA'!$G$2:$G$570=A141,'02_CLEAN_DATA'!$O$2:$O$570)),"")</f>
        <v>166.07</v>
      </c>
      <c r="K141" s="25" t="str">
        <f t="shared" si="17"/>
        <v>No</v>
      </c>
      <c r="L141" s="35" t="str">
        <f t="shared" si="18"/>
        <v/>
      </c>
      <c r="M141" s="35">
        <f t="shared" si="19"/>
        <v>1.4100000000000001E-5</v>
      </c>
    </row>
    <row r="142" spans="1:13" x14ac:dyDescent="0.2">
      <c r="A142" s="22" t="s">
        <v>523</v>
      </c>
      <c r="B142" s="22" t="s">
        <v>453</v>
      </c>
      <c r="C142" s="22">
        <f>COUNTIF('02_CLEAN_DATA'!$G$2:$G$570,A142)</f>
        <v>1</v>
      </c>
      <c r="D142" s="22">
        <f>COUNTIFS('02_CLEAN_DATA'!$G$2:$G$570,A142,'02_CLEAN_DATA'!$R$2:$R$570,1)</f>
        <v>1</v>
      </c>
      <c r="E142" s="22">
        <f>COUNTIFS('02_CLEAN_DATA'!$G$2:$G$570,A142,'02_CLEAN_DATA'!$W$2:$W$570,"Met")</f>
        <v>1</v>
      </c>
      <c r="F142" s="22">
        <f>COUNTIFS('02_CLEAN_DATA'!$G$2:$G$570,A142,'02_CLEAN_DATA'!$W$2:$W$570,"Missed")</f>
        <v>0</v>
      </c>
      <c r="G142" s="23">
        <f t="shared" si="16"/>
        <v>1</v>
      </c>
      <c r="H142" s="22">
        <f>COUNTIFS('02_CLEAN_DATA'!$G$2:$G$570,A142,'02_CLEAN_DATA'!$S$2:$S$570,"Customer Contracted Reasons")</f>
        <v>1</v>
      </c>
      <c r="I142" s="24">
        <f>IFERROR(AVERAGEIF('02_CLEAN_DATA'!$G$2:$G$570,A142,'02_CLEAN_DATA'!$O$2:$O$570),"")</f>
        <v>27.77</v>
      </c>
      <c r="J142" s="24">
        <f t="array" ref="J142">IFERROR(MEDIAN(IF('02_CLEAN_DATA'!$G$2:$G$570=A142,'02_CLEAN_DATA'!$O$2:$O$570)),"")</f>
        <v>27.77</v>
      </c>
      <c r="K142" s="22" t="str">
        <f t="shared" si="17"/>
        <v>No</v>
      </c>
      <c r="L142" s="35" t="str">
        <f t="shared" si="18"/>
        <v/>
      </c>
      <c r="M142" s="35">
        <f t="shared" si="19"/>
        <v>1.42E-5</v>
      </c>
    </row>
    <row r="143" spans="1:13" x14ac:dyDescent="0.2">
      <c r="A143" s="25" t="s">
        <v>524</v>
      </c>
      <c r="B143" s="25" t="s">
        <v>525</v>
      </c>
      <c r="C143" s="25">
        <f>COUNTIF('02_CLEAN_DATA'!$G$2:$G$570,A143)</f>
        <v>1</v>
      </c>
      <c r="D143" s="25">
        <f>COUNTIFS('02_CLEAN_DATA'!$G$2:$G$570,A143,'02_CLEAN_DATA'!$R$2:$R$570,1)</f>
        <v>1</v>
      </c>
      <c r="E143" s="25">
        <f>COUNTIFS('02_CLEAN_DATA'!$G$2:$G$570,A143,'02_CLEAN_DATA'!$W$2:$W$570,"Met")</f>
        <v>1</v>
      </c>
      <c r="F143" s="25">
        <f>COUNTIFS('02_CLEAN_DATA'!$G$2:$G$570,A143,'02_CLEAN_DATA'!$W$2:$W$570,"Missed")</f>
        <v>0</v>
      </c>
      <c r="G143" s="26">
        <f t="shared" si="16"/>
        <v>1</v>
      </c>
      <c r="H143" s="25">
        <f>COUNTIFS('02_CLEAN_DATA'!$G$2:$G$570,A143,'02_CLEAN_DATA'!$S$2:$S$570,"Customer Contracted Reasons")</f>
        <v>0</v>
      </c>
      <c r="I143" s="27">
        <f>IFERROR(AVERAGEIF('02_CLEAN_DATA'!$G$2:$G$570,A143,'02_CLEAN_DATA'!$O$2:$O$570),"")</f>
        <v>1.88</v>
      </c>
      <c r="J143" s="27">
        <f t="array" ref="J143">IFERROR(MEDIAN(IF('02_CLEAN_DATA'!$G$2:$G$570=A143,'02_CLEAN_DATA'!$O$2:$O$570)),"")</f>
        <v>1.88</v>
      </c>
      <c r="K143" s="25" t="str">
        <f t="shared" si="17"/>
        <v>No</v>
      </c>
      <c r="L143" s="35" t="str">
        <f t="shared" si="18"/>
        <v/>
      </c>
      <c r="M143" s="35">
        <f t="shared" si="19"/>
        <v>1.43E-5</v>
      </c>
    </row>
    <row r="144" spans="1:13" x14ac:dyDescent="0.2">
      <c r="A144" s="22" t="s">
        <v>526</v>
      </c>
      <c r="B144" s="22" t="s">
        <v>527</v>
      </c>
      <c r="C144" s="22">
        <f>COUNTIF('02_CLEAN_DATA'!$G$2:$G$570,A144)</f>
        <v>1</v>
      </c>
      <c r="D144" s="22">
        <f>COUNTIFS('02_CLEAN_DATA'!$G$2:$G$570,A144,'02_CLEAN_DATA'!$R$2:$R$570,1)</f>
        <v>1</v>
      </c>
      <c r="E144" s="22">
        <f>COUNTIFS('02_CLEAN_DATA'!$G$2:$G$570,A144,'02_CLEAN_DATA'!$W$2:$W$570,"Met")</f>
        <v>1</v>
      </c>
      <c r="F144" s="22">
        <f>COUNTIFS('02_CLEAN_DATA'!$G$2:$G$570,A144,'02_CLEAN_DATA'!$W$2:$W$570,"Missed")</f>
        <v>0</v>
      </c>
      <c r="G144" s="23">
        <f t="shared" si="16"/>
        <v>1</v>
      </c>
      <c r="H144" s="22">
        <f>COUNTIFS('02_CLEAN_DATA'!$G$2:$G$570,A144,'02_CLEAN_DATA'!$S$2:$S$570,"Customer Contracted Reasons")</f>
        <v>1</v>
      </c>
      <c r="I144" s="24">
        <f>IFERROR(AVERAGEIF('02_CLEAN_DATA'!$G$2:$G$570,A144,'02_CLEAN_DATA'!$O$2:$O$570),"")</f>
        <v>1.52</v>
      </c>
      <c r="J144" s="24">
        <f t="array" ref="J144">IFERROR(MEDIAN(IF('02_CLEAN_DATA'!$G$2:$G$570=A144,'02_CLEAN_DATA'!$O$2:$O$570)),"")</f>
        <v>1.52</v>
      </c>
      <c r="K144" s="22" t="str">
        <f t="shared" si="17"/>
        <v>No</v>
      </c>
      <c r="L144" s="35" t="str">
        <f t="shared" si="18"/>
        <v/>
      </c>
      <c r="M144" s="35">
        <f t="shared" si="19"/>
        <v>1.4399999999999999E-5</v>
      </c>
    </row>
    <row r="145" spans="1:13" x14ac:dyDescent="0.2">
      <c r="A145" s="25" t="s">
        <v>528</v>
      </c>
      <c r="B145" s="25" t="s">
        <v>525</v>
      </c>
      <c r="C145" s="25">
        <f>COUNTIF('02_CLEAN_DATA'!$G$2:$G$570,A145)</f>
        <v>1</v>
      </c>
      <c r="D145" s="25">
        <f>COUNTIFS('02_CLEAN_DATA'!$G$2:$G$570,A145,'02_CLEAN_DATA'!$R$2:$R$570,1)</f>
        <v>0</v>
      </c>
      <c r="E145" s="25">
        <f>COUNTIFS('02_CLEAN_DATA'!$G$2:$G$570,A145,'02_CLEAN_DATA'!$W$2:$W$570,"Met")</f>
        <v>0</v>
      </c>
      <c r="F145" s="25">
        <f>COUNTIFS('02_CLEAN_DATA'!$G$2:$G$570,A145,'02_CLEAN_DATA'!$W$2:$W$570,"Missed")</f>
        <v>0</v>
      </c>
      <c r="G145" s="26" t="str">
        <f t="shared" si="16"/>
        <v/>
      </c>
      <c r="H145" s="25">
        <f>COUNTIFS('02_CLEAN_DATA'!$G$2:$G$570,A145,'02_CLEAN_DATA'!$S$2:$S$570,"Customer Contracted Reasons")</f>
        <v>0</v>
      </c>
      <c r="I145" s="27">
        <f>IFERROR(AVERAGEIF('02_CLEAN_DATA'!$G$2:$G$570,A145,'02_CLEAN_DATA'!$O$2:$O$570),"")</f>
        <v>5.83</v>
      </c>
      <c r="J145" s="27">
        <f t="array" ref="J145">IFERROR(MEDIAN(IF('02_CLEAN_DATA'!$G$2:$G$570=A145,'02_CLEAN_DATA'!$O$2:$O$570)),"")</f>
        <v>5.83</v>
      </c>
      <c r="K145" s="25" t="str">
        <f t="shared" si="17"/>
        <v>No</v>
      </c>
      <c r="L145" s="35" t="str">
        <f t="shared" si="18"/>
        <v/>
      </c>
      <c r="M145" s="35">
        <f t="shared" si="19"/>
        <v>1.45E-5</v>
      </c>
    </row>
    <row r="146" spans="1:13" x14ac:dyDescent="0.2">
      <c r="A146" s="22" t="s">
        <v>529</v>
      </c>
      <c r="B146" s="22" t="s">
        <v>530</v>
      </c>
      <c r="C146" s="22">
        <f>COUNTIF('02_CLEAN_DATA'!$G$2:$G$570,A146)</f>
        <v>1</v>
      </c>
      <c r="D146" s="22">
        <f>COUNTIFS('02_CLEAN_DATA'!$G$2:$G$570,A146,'02_CLEAN_DATA'!$R$2:$R$570,1)</f>
        <v>1</v>
      </c>
      <c r="E146" s="22">
        <f>COUNTIFS('02_CLEAN_DATA'!$G$2:$G$570,A146,'02_CLEAN_DATA'!$W$2:$W$570,"Met")</f>
        <v>1</v>
      </c>
      <c r="F146" s="22">
        <f>COUNTIFS('02_CLEAN_DATA'!$G$2:$G$570,A146,'02_CLEAN_DATA'!$W$2:$W$570,"Missed")</f>
        <v>0</v>
      </c>
      <c r="G146" s="23">
        <f t="shared" si="16"/>
        <v>1</v>
      </c>
      <c r="H146" s="22">
        <f>COUNTIFS('02_CLEAN_DATA'!$G$2:$G$570,A146,'02_CLEAN_DATA'!$S$2:$S$570,"Customer Contracted Reasons")</f>
        <v>0</v>
      </c>
      <c r="I146" s="24">
        <f>IFERROR(AVERAGEIF('02_CLEAN_DATA'!$G$2:$G$570,A146,'02_CLEAN_DATA'!$O$2:$O$570),"")</f>
        <v>24.52</v>
      </c>
      <c r="J146" s="24">
        <f t="array" ref="J146">IFERROR(MEDIAN(IF('02_CLEAN_DATA'!$G$2:$G$570=A146,'02_CLEAN_DATA'!$O$2:$O$570)),"")</f>
        <v>24.52</v>
      </c>
      <c r="K146" s="22" t="str">
        <f t="shared" si="17"/>
        <v>No</v>
      </c>
      <c r="L146" s="35" t="str">
        <f t="shared" si="18"/>
        <v/>
      </c>
      <c r="M146" s="35">
        <f t="shared" si="19"/>
        <v>1.4600000000000001E-5</v>
      </c>
    </row>
    <row r="147" spans="1:13" x14ac:dyDescent="0.2">
      <c r="A147" s="25" t="s">
        <v>531</v>
      </c>
      <c r="B147" s="25" t="s">
        <v>438</v>
      </c>
      <c r="C147" s="25">
        <f>COUNTIF('02_CLEAN_DATA'!$G$2:$G$570,A147)</f>
        <v>1</v>
      </c>
      <c r="D147" s="25">
        <f>COUNTIFS('02_CLEAN_DATA'!$G$2:$G$570,A147,'02_CLEAN_DATA'!$R$2:$R$570,1)</f>
        <v>1</v>
      </c>
      <c r="E147" s="25">
        <f>COUNTIFS('02_CLEAN_DATA'!$G$2:$G$570,A147,'02_CLEAN_DATA'!$W$2:$W$570,"Met")</f>
        <v>1</v>
      </c>
      <c r="F147" s="25">
        <f>COUNTIFS('02_CLEAN_DATA'!$G$2:$G$570,A147,'02_CLEAN_DATA'!$W$2:$W$570,"Missed")</f>
        <v>0</v>
      </c>
      <c r="G147" s="26">
        <f t="shared" si="16"/>
        <v>1</v>
      </c>
      <c r="H147" s="25">
        <f>COUNTIFS('02_CLEAN_DATA'!$G$2:$G$570,A147,'02_CLEAN_DATA'!$S$2:$S$570,"Customer Contracted Reasons")</f>
        <v>1</v>
      </c>
      <c r="I147" s="27">
        <f>IFERROR(AVERAGEIF('02_CLEAN_DATA'!$G$2:$G$570,A147,'02_CLEAN_DATA'!$O$2:$O$570),"")</f>
        <v>20.38</v>
      </c>
      <c r="J147" s="27">
        <f t="array" ref="J147">IFERROR(MEDIAN(IF('02_CLEAN_DATA'!$G$2:$G$570=A147,'02_CLEAN_DATA'!$O$2:$O$570)),"")</f>
        <v>20.38</v>
      </c>
      <c r="K147" s="25" t="str">
        <f t="shared" si="17"/>
        <v>No</v>
      </c>
      <c r="L147" s="35" t="str">
        <f t="shared" si="18"/>
        <v/>
      </c>
      <c r="M147" s="35">
        <f t="shared" si="19"/>
        <v>1.47E-5</v>
      </c>
    </row>
    <row r="148" spans="1:13" x14ac:dyDescent="0.2">
      <c r="A148" s="22" t="s">
        <v>532</v>
      </c>
      <c r="B148" s="22" t="s">
        <v>533</v>
      </c>
      <c r="C148" s="22">
        <f>COUNTIF('02_CLEAN_DATA'!$G$2:$G$570,A148)</f>
        <v>1</v>
      </c>
      <c r="D148" s="22">
        <f>COUNTIFS('02_CLEAN_DATA'!$G$2:$G$570,A148,'02_CLEAN_DATA'!$R$2:$R$570,1)</f>
        <v>0</v>
      </c>
      <c r="E148" s="22">
        <f>COUNTIFS('02_CLEAN_DATA'!$G$2:$G$570,A148,'02_CLEAN_DATA'!$W$2:$W$570,"Met")</f>
        <v>0</v>
      </c>
      <c r="F148" s="22">
        <f>COUNTIFS('02_CLEAN_DATA'!$G$2:$G$570,A148,'02_CLEAN_DATA'!$W$2:$W$570,"Missed")</f>
        <v>0</v>
      </c>
      <c r="G148" s="23" t="str">
        <f t="shared" si="16"/>
        <v/>
      </c>
      <c r="H148" s="22">
        <f>COUNTIFS('02_CLEAN_DATA'!$G$2:$G$570,A148,'02_CLEAN_DATA'!$S$2:$S$570,"Customer Contracted Reasons")</f>
        <v>0</v>
      </c>
      <c r="I148" s="24">
        <f>IFERROR(AVERAGEIF('02_CLEAN_DATA'!$G$2:$G$570,A148,'02_CLEAN_DATA'!$O$2:$O$570),"")</f>
        <v>15.48</v>
      </c>
      <c r="J148" s="24">
        <f t="array" ref="J148">IFERROR(MEDIAN(IF('02_CLEAN_DATA'!$G$2:$G$570=A148,'02_CLEAN_DATA'!$O$2:$O$570)),"")</f>
        <v>15.48</v>
      </c>
      <c r="K148" s="22" t="str">
        <f t="shared" si="17"/>
        <v>No</v>
      </c>
      <c r="L148" s="35" t="str">
        <f t="shared" si="18"/>
        <v/>
      </c>
      <c r="M148" s="35">
        <f t="shared" si="19"/>
        <v>1.4800000000000001E-5</v>
      </c>
    </row>
    <row r="149" spans="1:13" x14ac:dyDescent="0.2">
      <c r="A149" s="25" t="s">
        <v>534</v>
      </c>
      <c r="B149" s="25" t="s">
        <v>355</v>
      </c>
      <c r="C149" s="25">
        <f>COUNTIF('02_CLEAN_DATA'!$G$2:$G$570,A149)</f>
        <v>1</v>
      </c>
      <c r="D149" s="25">
        <f>COUNTIFS('02_CLEAN_DATA'!$G$2:$G$570,A149,'02_CLEAN_DATA'!$R$2:$R$570,1)</f>
        <v>1</v>
      </c>
      <c r="E149" s="25">
        <f>COUNTIFS('02_CLEAN_DATA'!$G$2:$G$570,A149,'02_CLEAN_DATA'!$W$2:$W$570,"Met")</f>
        <v>1</v>
      </c>
      <c r="F149" s="25">
        <f>COUNTIFS('02_CLEAN_DATA'!$G$2:$G$570,A149,'02_CLEAN_DATA'!$W$2:$W$570,"Missed")</f>
        <v>0</v>
      </c>
      <c r="G149" s="26">
        <f t="shared" si="16"/>
        <v>1</v>
      </c>
      <c r="H149" s="25">
        <f>COUNTIFS('02_CLEAN_DATA'!$G$2:$G$570,A149,'02_CLEAN_DATA'!$S$2:$S$570,"Customer Contracted Reasons")</f>
        <v>1</v>
      </c>
      <c r="I149" s="27">
        <f>IFERROR(AVERAGEIF('02_CLEAN_DATA'!$G$2:$G$570,A149,'02_CLEAN_DATA'!$O$2:$O$570),"")</f>
        <v>27</v>
      </c>
      <c r="J149" s="27">
        <f t="array" ref="J149">IFERROR(MEDIAN(IF('02_CLEAN_DATA'!$G$2:$G$570=A149,'02_CLEAN_DATA'!$O$2:$O$570)),"")</f>
        <v>27</v>
      </c>
      <c r="K149" s="25" t="str">
        <f t="shared" si="17"/>
        <v>No</v>
      </c>
      <c r="L149" s="35" t="str">
        <f t="shared" si="18"/>
        <v/>
      </c>
      <c r="M149" s="35">
        <f t="shared" si="19"/>
        <v>1.49E-5</v>
      </c>
    </row>
    <row r="150" spans="1:13" x14ac:dyDescent="0.2">
      <c r="A150" s="22" t="s">
        <v>535</v>
      </c>
      <c r="B150" s="22" t="s">
        <v>536</v>
      </c>
      <c r="C150" s="22">
        <f>COUNTIF('02_CLEAN_DATA'!$G$2:$G$570,A150)</f>
        <v>1</v>
      </c>
      <c r="D150" s="22">
        <f>COUNTIFS('02_CLEAN_DATA'!$G$2:$G$570,A150,'02_CLEAN_DATA'!$R$2:$R$570,1)</f>
        <v>1</v>
      </c>
      <c r="E150" s="22">
        <f>COUNTIFS('02_CLEAN_DATA'!$G$2:$G$570,A150,'02_CLEAN_DATA'!$W$2:$W$570,"Met")</f>
        <v>1</v>
      </c>
      <c r="F150" s="22">
        <f>COUNTIFS('02_CLEAN_DATA'!$G$2:$G$570,A150,'02_CLEAN_DATA'!$W$2:$W$570,"Missed")</f>
        <v>0</v>
      </c>
      <c r="G150" s="23">
        <f t="shared" si="16"/>
        <v>1</v>
      </c>
      <c r="H150" s="22">
        <f>COUNTIFS('02_CLEAN_DATA'!$G$2:$G$570,A150,'02_CLEAN_DATA'!$S$2:$S$570,"Customer Contracted Reasons")</f>
        <v>0</v>
      </c>
      <c r="I150" s="24">
        <f>IFERROR(AVERAGEIF('02_CLEAN_DATA'!$G$2:$G$570,A150,'02_CLEAN_DATA'!$O$2:$O$570),"")</f>
        <v>3.55</v>
      </c>
      <c r="J150" s="24">
        <f t="array" ref="J150">IFERROR(MEDIAN(IF('02_CLEAN_DATA'!$G$2:$G$570=A150,'02_CLEAN_DATA'!$O$2:$O$570)),"")</f>
        <v>3.55</v>
      </c>
      <c r="K150" s="22" t="str">
        <f t="shared" si="17"/>
        <v>No</v>
      </c>
      <c r="L150" s="35" t="str">
        <f t="shared" si="18"/>
        <v/>
      </c>
      <c r="M150" s="35">
        <f t="shared" si="19"/>
        <v>1.5E-5</v>
      </c>
    </row>
    <row r="151" spans="1:13" x14ac:dyDescent="0.2">
      <c r="A151" s="25" t="s">
        <v>537</v>
      </c>
      <c r="B151" s="25" t="s">
        <v>538</v>
      </c>
      <c r="C151" s="25">
        <f>COUNTIF('02_CLEAN_DATA'!$G$2:$G$570,A151)</f>
        <v>1</v>
      </c>
      <c r="D151" s="25">
        <f>COUNTIFS('02_CLEAN_DATA'!$G$2:$G$570,A151,'02_CLEAN_DATA'!$R$2:$R$570,1)</f>
        <v>1</v>
      </c>
      <c r="E151" s="25">
        <f>COUNTIFS('02_CLEAN_DATA'!$G$2:$G$570,A151,'02_CLEAN_DATA'!$W$2:$W$570,"Met")</f>
        <v>1</v>
      </c>
      <c r="F151" s="25">
        <f>COUNTIFS('02_CLEAN_DATA'!$G$2:$G$570,A151,'02_CLEAN_DATA'!$W$2:$W$570,"Missed")</f>
        <v>0</v>
      </c>
      <c r="G151" s="26">
        <f t="shared" si="16"/>
        <v>1</v>
      </c>
      <c r="H151" s="25">
        <f>COUNTIFS('02_CLEAN_DATA'!$G$2:$G$570,A151,'02_CLEAN_DATA'!$S$2:$S$570,"Customer Contracted Reasons")</f>
        <v>0</v>
      </c>
      <c r="I151" s="27">
        <f>IFERROR(AVERAGEIF('02_CLEAN_DATA'!$G$2:$G$570,A151,'02_CLEAN_DATA'!$O$2:$O$570),"")</f>
        <v>4.28</v>
      </c>
      <c r="J151" s="27">
        <f t="array" ref="J151">IFERROR(MEDIAN(IF('02_CLEAN_DATA'!$G$2:$G$570=A151,'02_CLEAN_DATA'!$O$2:$O$570)),"")</f>
        <v>4.28</v>
      </c>
      <c r="K151" s="25" t="str">
        <f t="shared" si="17"/>
        <v>No</v>
      </c>
      <c r="L151" s="35" t="str">
        <f t="shared" si="18"/>
        <v/>
      </c>
      <c r="M151" s="35">
        <f t="shared" si="19"/>
        <v>1.5099999999999999E-5</v>
      </c>
    </row>
    <row r="152" spans="1:13" x14ac:dyDescent="0.2">
      <c r="A152" s="22" t="s">
        <v>539</v>
      </c>
      <c r="B152" s="22" t="s">
        <v>540</v>
      </c>
      <c r="C152" s="22">
        <f>COUNTIF('02_CLEAN_DATA'!$G$2:$G$570,A152)</f>
        <v>1</v>
      </c>
      <c r="D152" s="22">
        <f>COUNTIFS('02_CLEAN_DATA'!$G$2:$G$570,A152,'02_CLEAN_DATA'!$R$2:$R$570,1)</f>
        <v>1</v>
      </c>
      <c r="E152" s="22">
        <f>COUNTIFS('02_CLEAN_DATA'!$G$2:$G$570,A152,'02_CLEAN_DATA'!$W$2:$W$570,"Met")</f>
        <v>1</v>
      </c>
      <c r="F152" s="22">
        <f>COUNTIFS('02_CLEAN_DATA'!$G$2:$G$570,A152,'02_CLEAN_DATA'!$W$2:$W$570,"Missed")</f>
        <v>0</v>
      </c>
      <c r="G152" s="23">
        <f t="shared" si="16"/>
        <v>1</v>
      </c>
      <c r="H152" s="22">
        <f>COUNTIFS('02_CLEAN_DATA'!$G$2:$G$570,A152,'02_CLEAN_DATA'!$S$2:$S$570,"Customer Contracted Reasons")</f>
        <v>1</v>
      </c>
      <c r="I152" s="24">
        <f>IFERROR(AVERAGEIF('02_CLEAN_DATA'!$G$2:$G$570,A152,'02_CLEAN_DATA'!$O$2:$O$570),"")</f>
        <v>17.73</v>
      </c>
      <c r="J152" s="24">
        <f t="array" ref="J152">IFERROR(MEDIAN(IF('02_CLEAN_DATA'!$G$2:$G$570=A152,'02_CLEAN_DATA'!$O$2:$O$570)),"")</f>
        <v>17.73</v>
      </c>
      <c r="K152" s="22" t="str">
        <f t="shared" si="17"/>
        <v>No</v>
      </c>
      <c r="L152" s="35" t="str">
        <f t="shared" si="18"/>
        <v/>
      </c>
      <c r="M152" s="35">
        <f t="shared" si="19"/>
        <v>1.52E-5</v>
      </c>
    </row>
    <row r="155" spans="1:13" ht="15" customHeight="1" x14ac:dyDescent="0.2">
      <c r="A155" s="50" t="s">
        <v>541</v>
      </c>
      <c r="B155" s="50"/>
      <c r="C155" s="50"/>
      <c r="D155" s="50"/>
      <c r="E155" s="50"/>
      <c r="F155" s="50"/>
      <c r="G155" s="50"/>
      <c r="H155" s="50"/>
      <c r="I155" s="50"/>
    </row>
    <row r="156" spans="1:13" x14ac:dyDescent="0.2">
      <c r="A156" s="50"/>
      <c r="B156" s="50"/>
      <c r="C156" s="50"/>
      <c r="D156" s="50"/>
      <c r="E156" s="50"/>
      <c r="F156" s="50"/>
      <c r="G156" s="50"/>
      <c r="H156" s="50"/>
      <c r="I156" s="50"/>
    </row>
  </sheetData>
  <mergeCells count="1">
    <mergeCell ref="A155:I156"/>
  </mergeCells>
  <conditionalFormatting sqref="G2:G152">
    <cfRule type="cellIs" dxfId="1" priority="2" operator="lessThan">
      <formula>0.8</formula>
    </cfRule>
    <cfRule type="cellIs" dxfId="0" priority="3" operator="greaterThanOrEqual">
      <formula>0.9</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8"/>
  <sheetViews>
    <sheetView showGridLines="0" zoomScaleNormal="100" workbookViewId="0">
      <selection sqref="A1:F1"/>
    </sheetView>
  </sheetViews>
  <sheetFormatPr baseColWidth="10" defaultColWidth="8.6640625" defaultRowHeight="15" x14ac:dyDescent="0.2"/>
  <cols>
    <col min="1" max="1" width="32" customWidth="1"/>
    <col min="2" max="2" width="20" customWidth="1"/>
    <col min="3" max="3" width="16" customWidth="1"/>
    <col min="4" max="5" width="12" customWidth="1"/>
    <col min="6" max="6" width="14" customWidth="1"/>
    <col min="7" max="7" width="20" customWidth="1"/>
    <col min="8" max="8" width="16" customWidth="1"/>
    <col min="9" max="9" width="10" customWidth="1"/>
  </cols>
  <sheetData>
    <row r="1" spans="1:7" ht="17" x14ac:dyDescent="0.2">
      <c r="A1" s="45" t="s">
        <v>542</v>
      </c>
      <c r="B1" s="45"/>
      <c r="C1" s="45"/>
      <c r="D1" s="45"/>
      <c r="E1" s="45"/>
      <c r="F1" s="45"/>
    </row>
    <row r="3" spans="1:7" x14ac:dyDescent="0.2">
      <c r="A3" s="19" t="s">
        <v>543</v>
      </c>
    </row>
    <row r="4" spans="1:7" x14ac:dyDescent="0.2">
      <c r="A4" s="37" t="s">
        <v>544</v>
      </c>
      <c r="B4" s="38">
        <f>AVERAGE('02_CLEAN_DATA'!$O$2:$O$570)</f>
        <v>30.227605633802835</v>
      </c>
    </row>
    <row r="5" spans="1:7" x14ac:dyDescent="0.2">
      <c r="A5" s="37" t="s">
        <v>545</v>
      </c>
      <c r="B5" s="38">
        <f t="array" ref="B5">MEDIAN('02_CLEAN_DATA'!$O$2:$O$570)</f>
        <v>14.04</v>
      </c>
    </row>
    <row r="6" spans="1:7" x14ac:dyDescent="0.2">
      <c r="A6" s="37" t="s">
        <v>546</v>
      </c>
      <c r="B6" s="38">
        <f>MIN('02_CLEAN_DATA'!$O$2:$O$570)</f>
        <v>0.13</v>
      </c>
    </row>
    <row r="7" spans="1:7" x14ac:dyDescent="0.2">
      <c r="A7" s="37" t="s">
        <v>547</v>
      </c>
      <c r="B7" s="38">
        <f>PERCENTILE('02_CLEAN_DATA'!$O$2:$O$570,0.9)</f>
        <v>73.947000000000003</v>
      </c>
    </row>
    <row r="8" spans="1:7" x14ac:dyDescent="0.2">
      <c r="A8" s="37" t="s">
        <v>548</v>
      </c>
      <c r="B8" s="38">
        <f>MAX('02_CLEAN_DATA'!$O$2:$O$570)</f>
        <v>672.22</v>
      </c>
    </row>
    <row r="10" spans="1:7" x14ac:dyDescent="0.2">
      <c r="A10" s="19" t="s">
        <v>549</v>
      </c>
    </row>
    <row r="11" spans="1:7" ht="18" customHeight="1" x14ac:dyDescent="0.2">
      <c r="A11" s="21" t="s">
        <v>550</v>
      </c>
      <c r="B11" s="21" t="s">
        <v>551</v>
      </c>
      <c r="C11" s="21" t="s">
        <v>65</v>
      </c>
      <c r="D11" s="21" t="s">
        <v>66</v>
      </c>
      <c r="E11" s="21" t="s">
        <v>68</v>
      </c>
      <c r="F11" s="21" t="s">
        <v>72</v>
      </c>
      <c r="G11" s="21" t="s">
        <v>73</v>
      </c>
    </row>
    <row r="12" spans="1:7" x14ac:dyDescent="0.2">
      <c r="A12" s="22" t="s">
        <v>552</v>
      </c>
      <c r="B12" s="22">
        <f>COUNTIF('02_CLEAN_DATA'!$H$2:$H$570,1)</f>
        <v>103</v>
      </c>
      <c r="C12" s="22">
        <f>COUNTIFS('02_CLEAN_DATA'!$H$2:$H$570,1,'02_CLEAN_DATA'!$R$2:$R$570,1)</f>
        <v>81</v>
      </c>
      <c r="D12" s="22">
        <f>COUNTIFS('02_CLEAN_DATA'!$H$2:$H$570,1,'02_CLEAN_DATA'!$W$2:$W$570,"Met")</f>
        <v>63</v>
      </c>
      <c r="E12" s="23">
        <f>IF(C12=0,"",D12/C12)</f>
        <v>0.77777777777777779</v>
      </c>
      <c r="F12" s="24">
        <f>IFERROR(AVERAGEIF('02_CLEAN_DATA'!$H$2:$H$570,1,'02_CLEAN_DATA'!$O$2:$O$570),"")</f>
        <v>20.231359223300966</v>
      </c>
      <c r="G12" s="24">
        <f t="array" ref="G12">IFERROR(MEDIAN(IF('02_CLEAN_DATA'!$H$2:$H$570=1,'02_CLEAN_DATA'!$O$2:$O$570)),"")</f>
        <v>6.58</v>
      </c>
    </row>
    <row r="13" spans="1:7" x14ac:dyDescent="0.2">
      <c r="A13" s="25" t="s">
        <v>553</v>
      </c>
      <c r="B13" s="25">
        <f>COUNTIF('02_CLEAN_DATA'!$H$2:$H$570,2)</f>
        <v>466</v>
      </c>
      <c r="C13" s="25">
        <f>COUNTIFS('02_CLEAN_DATA'!$H$2:$H$570,2,'02_CLEAN_DATA'!$R$2:$R$570,1)</f>
        <v>354</v>
      </c>
      <c r="D13" s="25">
        <f>COUNTIFS('02_CLEAN_DATA'!$H$2:$H$570,2,'02_CLEAN_DATA'!$W$2:$W$570,"Met")</f>
        <v>274</v>
      </c>
      <c r="E13" s="26">
        <f>IF(C13=0,"",D13/C13)</f>
        <v>0.77401129943502822</v>
      </c>
      <c r="F13" s="27">
        <f>IFERROR(AVERAGEIF('02_CLEAN_DATA'!$H$2:$H$570,2,'02_CLEAN_DATA'!$O$2:$O$570),"")</f>
        <v>32.441827956989222</v>
      </c>
      <c r="G13" s="27">
        <f t="array" ref="G13">IFERROR(MEDIAN(IF('02_CLEAN_DATA'!$H$2:$H$570=2,'02_CLEAN_DATA'!$O$2:$O$570)),"")</f>
        <v>14.914999999999999</v>
      </c>
    </row>
    <row r="16" spans="1:7" x14ac:dyDescent="0.2">
      <c r="A16" s="19" t="s">
        <v>554</v>
      </c>
    </row>
    <row r="17" spans="1:3" ht="18" customHeight="1" x14ac:dyDescent="0.2">
      <c r="A17" s="21" t="s">
        <v>63</v>
      </c>
      <c r="B17" s="21" t="s">
        <v>72</v>
      </c>
      <c r="C17" s="21" t="s">
        <v>73</v>
      </c>
    </row>
    <row r="18" spans="1:3" x14ac:dyDescent="0.2">
      <c r="A18" s="22" t="s">
        <v>74</v>
      </c>
      <c r="B18" s="24">
        <f>IFERROR(AVERAGEIF('02_CLEAN_DATA'!$L$2:$L$570,A18,'02_CLEAN_DATA'!$O$2:$O$570),"")</f>
        <v>32.271282051282036</v>
      </c>
      <c r="C18" s="24">
        <f t="array" ref="C18">IFERROR(MEDIAN(IF('02_CLEAN_DATA'!$L$2:$L$570=A18,'02_CLEAN_DATA'!$O$2:$O$570)),"")</f>
        <v>21.25</v>
      </c>
    </row>
    <row r="19" spans="1:3" x14ac:dyDescent="0.2">
      <c r="A19" s="25" t="s">
        <v>75</v>
      </c>
      <c r="B19" s="27">
        <f>IFERROR(AVERAGEIF('02_CLEAN_DATA'!$L$2:$L$570,A19,'02_CLEAN_DATA'!$O$2:$O$570),"")</f>
        <v>42.746315789473677</v>
      </c>
      <c r="C19" s="27">
        <f t="array" ref="C19">IFERROR(MEDIAN(IF('02_CLEAN_DATA'!$L$2:$L$570=A19,'02_CLEAN_DATA'!$O$2:$O$570)),"")</f>
        <v>14.85</v>
      </c>
    </row>
    <row r="20" spans="1:3" x14ac:dyDescent="0.2">
      <c r="A20" s="22" t="s">
        <v>76</v>
      </c>
      <c r="B20" s="24">
        <f>IFERROR(AVERAGEIF('02_CLEAN_DATA'!$L$2:$L$570,A20,'02_CLEAN_DATA'!$O$2:$O$570),"")</f>
        <v>41.202321428571437</v>
      </c>
      <c r="C20" s="24">
        <f t="array" ref="C20">IFERROR(MEDIAN(IF('02_CLEAN_DATA'!$L$2:$L$570=A20,'02_CLEAN_DATA'!$O$2:$O$570)),"")</f>
        <v>20.875</v>
      </c>
    </row>
    <row r="21" spans="1:3" x14ac:dyDescent="0.2">
      <c r="A21" s="25" t="s">
        <v>77</v>
      </c>
      <c r="B21" s="27">
        <f>IFERROR(AVERAGEIF('02_CLEAN_DATA'!$L$2:$L$570,A21,'02_CLEAN_DATA'!$O$2:$O$570),"")</f>
        <v>59.275227272727278</v>
      </c>
      <c r="C21" s="27">
        <f t="array" ref="C21">IFERROR(MEDIAN(IF('02_CLEAN_DATA'!$L$2:$L$570=A21,'02_CLEAN_DATA'!$O$2:$O$570)),"")</f>
        <v>15.5</v>
      </c>
    </row>
    <row r="22" spans="1:3" x14ac:dyDescent="0.2">
      <c r="A22" s="22" t="s">
        <v>78</v>
      </c>
      <c r="B22" s="24">
        <f>IFERROR(AVERAGEIF('02_CLEAN_DATA'!$L$2:$L$570,A22,'02_CLEAN_DATA'!$O$2:$O$570),"")</f>
        <v>23.109800000000003</v>
      </c>
      <c r="C22" s="24">
        <f t="array" ref="C22">IFERROR(MEDIAN(IF('02_CLEAN_DATA'!$L$2:$L$570=A22,'02_CLEAN_DATA'!$O$2:$O$570)),"")</f>
        <v>12.67</v>
      </c>
    </row>
    <row r="23" spans="1:3" x14ac:dyDescent="0.2">
      <c r="A23" s="25" t="s">
        <v>79</v>
      </c>
      <c r="B23" s="27">
        <f>IFERROR(AVERAGEIF('02_CLEAN_DATA'!$L$2:$L$570,A23,'02_CLEAN_DATA'!$O$2:$O$570),"")</f>
        <v>22.958245614035086</v>
      </c>
      <c r="C23" s="27">
        <f t="array" ref="C23">IFERROR(MEDIAN(IF('02_CLEAN_DATA'!$L$2:$L$570=A23,'02_CLEAN_DATA'!$O$2:$O$570)),"")</f>
        <v>4.13</v>
      </c>
    </row>
    <row r="24" spans="1:3" x14ac:dyDescent="0.2">
      <c r="A24" s="22" t="s">
        <v>80</v>
      </c>
      <c r="B24" s="24">
        <f>IFERROR(AVERAGEIF('02_CLEAN_DATA'!$L$2:$L$570,A24,'02_CLEAN_DATA'!$O$2:$O$570),"")</f>
        <v>11.812439024390246</v>
      </c>
      <c r="C24" s="24">
        <f t="array" ref="C24">IFERROR(MEDIAN(IF('02_CLEAN_DATA'!$L$2:$L$570=A24,'02_CLEAN_DATA'!$O$2:$O$570)),"")</f>
        <v>3.48</v>
      </c>
    </row>
    <row r="25" spans="1:3" x14ac:dyDescent="0.2">
      <c r="A25" s="25" t="s">
        <v>81</v>
      </c>
      <c r="B25" s="27">
        <f>IFERROR(AVERAGEIF('02_CLEAN_DATA'!$L$2:$L$570,A25,'02_CLEAN_DATA'!$O$2:$O$570),"")</f>
        <v>31.538888888888888</v>
      </c>
      <c r="C25" s="27">
        <f t="array" ref="C25">IFERROR(MEDIAN(IF('02_CLEAN_DATA'!$L$2:$L$570=A25,'02_CLEAN_DATA'!$O$2:$O$570)),"")</f>
        <v>17.63</v>
      </c>
    </row>
    <row r="26" spans="1:3" x14ac:dyDescent="0.2">
      <c r="A26" s="22" t="s">
        <v>82</v>
      </c>
      <c r="B26" s="24">
        <f>IFERROR(AVERAGEIF('02_CLEAN_DATA'!$L$2:$L$570,A26,'02_CLEAN_DATA'!$O$2:$O$570),"")</f>
        <v>15.991249999999999</v>
      </c>
      <c r="C26" s="24">
        <f t="array" ref="C26">IFERROR(MEDIAN(IF('02_CLEAN_DATA'!$L$2:$L$570=A26,'02_CLEAN_DATA'!$O$2:$O$570)),"")</f>
        <v>6.84</v>
      </c>
    </row>
    <row r="27" spans="1:3" x14ac:dyDescent="0.2">
      <c r="A27" s="25" t="s">
        <v>83</v>
      </c>
      <c r="B27" s="27">
        <f>IFERROR(AVERAGEIF('02_CLEAN_DATA'!$L$2:$L$570,A27,'02_CLEAN_DATA'!$O$2:$O$570),"")</f>
        <v>20.961052631578948</v>
      </c>
      <c r="C27" s="27">
        <f t="array" ref="C27">IFERROR(MEDIAN(IF('02_CLEAN_DATA'!$L$2:$L$570=A27,'02_CLEAN_DATA'!$O$2:$O$570)),"")</f>
        <v>14.525</v>
      </c>
    </row>
    <row r="28" spans="1:3" x14ac:dyDescent="0.2">
      <c r="A28" s="22" t="s">
        <v>84</v>
      </c>
      <c r="B28" s="24">
        <f>IFERROR(AVERAGEIF('02_CLEAN_DATA'!$L$2:$L$570,A28,'02_CLEAN_DATA'!$O$2:$O$570),"")</f>
        <v>30.885952380952393</v>
      </c>
      <c r="C28" s="24">
        <f t="array" ref="C28">IFERROR(MEDIAN(IF('02_CLEAN_DATA'!$L$2:$L$570=A28,'02_CLEAN_DATA'!$O$2:$O$570)),"")</f>
        <v>20.125</v>
      </c>
    </row>
    <row r="29" spans="1:3" x14ac:dyDescent="0.2">
      <c r="A29" s="25" t="s">
        <v>85</v>
      </c>
      <c r="B29" s="27">
        <f>IFERROR(AVERAGEIF('02_CLEAN_DATA'!$L$2:$L$570,A29,'02_CLEAN_DATA'!$O$2:$O$570),"")</f>
        <v>30.181860465116277</v>
      </c>
      <c r="C29" s="27">
        <f t="array" ref="C29">IFERROR(MEDIAN(IF('02_CLEAN_DATA'!$L$2:$L$570=A29,'02_CLEAN_DATA'!$O$2:$O$570)),"")</f>
        <v>16.55</v>
      </c>
    </row>
    <row r="30" spans="1:3" x14ac:dyDescent="0.2">
      <c r="A30" s="22" t="s">
        <v>86</v>
      </c>
      <c r="B30" s="24">
        <f>IFERROR(AVERAGEIF('02_CLEAN_DATA'!$L$2:$L$570,A30,'02_CLEAN_DATA'!$O$2:$O$570),"")</f>
        <v>9.9906249999999979</v>
      </c>
      <c r="C30" s="24">
        <f t="array" ref="C30">IFERROR(MEDIAN(IF('02_CLEAN_DATA'!$L$2:$L$570=A30,'02_CLEAN_DATA'!$O$2:$O$570)),"")</f>
        <v>5.6099999999999994</v>
      </c>
    </row>
    <row r="34" spans="1:9" x14ac:dyDescent="0.2">
      <c r="A34" s="19" t="s">
        <v>555</v>
      </c>
      <c r="F34" s="19" t="s">
        <v>556</v>
      </c>
    </row>
    <row r="35" spans="1:9" ht="18" customHeight="1" x14ac:dyDescent="0.2">
      <c r="A35" s="21" t="s">
        <v>557</v>
      </c>
      <c r="B35" s="21" t="s">
        <v>558</v>
      </c>
      <c r="C35" s="21" t="s">
        <v>72</v>
      </c>
      <c r="D35" s="21" t="s">
        <v>68</v>
      </c>
      <c r="F35" s="21" t="s">
        <v>557</v>
      </c>
      <c r="G35" s="21" t="s">
        <v>558</v>
      </c>
      <c r="H35" s="21" t="s">
        <v>72</v>
      </c>
      <c r="I35" s="21" t="s">
        <v>68</v>
      </c>
    </row>
    <row r="36" spans="1:9" x14ac:dyDescent="0.2">
      <c r="A36" s="22">
        <v>1</v>
      </c>
      <c r="B36" s="22" t="str">
        <f t="array" ref="B36">IFERROR(INDEX('06_STORE_ANALYSIS'!$B$2:$B$70,MATCH(LARGE('06_STORE_ANALYSIS'!$N$2:$N$70,1),'06_STORE_ANALYSIS'!$N$2:$N$70,0)),"")</f>
        <v>Fresh Thyme #545</v>
      </c>
      <c r="C36" s="24">
        <f t="array" ref="C36">IFERROR(INDEX('06_STORE_ANALYSIS'!$L$2:$L$70,MATCH(LARGE('06_STORE_ANALYSIS'!$N$2:$N$70,1),'06_STORE_ANALYSIS'!$N$2:$N$70,0)),"")</f>
        <v>104.00714285714287</v>
      </c>
      <c r="D36" s="23">
        <f t="array" ref="D36">IFERROR(INDEX('06_STORE_ANALYSIS'!$I$2:$I$70,MATCH(LARGE('06_STORE_ANALYSIS'!$N$2:$N$70,1),'06_STORE_ANALYSIS'!$N$2:$N$70,0)),"")</f>
        <v>0.8</v>
      </c>
      <c r="F36" s="22">
        <v>1</v>
      </c>
      <c r="G36" s="22" t="str">
        <f t="array" ref="G36">IFERROR(INDEX('06_STORE_ANALYSIS'!$B$2:$B$70,MATCH(SMALL('06_STORE_ANALYSIS'!$N$2:$N$70,1),'06_STORE_ANALYSIS'!$N$2:$N$70,0)),"")</f>
        <v>Fresh Thyme #639</v>
      </c>
      <c r="H36" s="24">
        <f t="array" ref="H36">IFERROR(INDEX('06_STORE_ANALYSIS'!$L$2:$L$70,MATCH(SMALL('06_STORE_ANALYSIS'!$N$2:$N$70,1),'06_STORE_ANALYSIS'!$N$2:$N$70,0)),"")</f>
        <v>4.5523076923076919</v>
      </c>
      <c r="I36" s="23">
        <f t="array" ref="I36">IFERROR(INDEX('06_STORE_ANALYSIS'!$I$2:$I$70,MATCH(SMALL('06_STORE_ANALYSIS'!$N$2:$N$70,1),'06_STORE_ANALYSIS'!$N$2:$N$70,0)),"")</f>
        <v>1</v>
      </c>
    </row>
    <row r="37" spans="1:9" x14ac:dyDescent="0.2">
      <c r="A37" s="25">
        <v>2</v>
      </c>
      <c r="B37" s="25" t="str">
        <f t="array" ref="B37">IFERROR(INDEX('06_STORE_ANALYSIS'!$B$2:$B$70,MATCH(LARGE('06_STORE_ANALYSIS'!$N$2:$N$70,2),'06_STORE_ANALYSIS'!$N$2:$N$70,0)),"")</f>
        <v>Fresh Thyme #647</v>
      </c>
      <c r="C37" s="27">
        <f t="array" ref="C37">IFERROR(INDEX('06_STORE_ANALYSIS'!$L$2:$L$70,MATCH(LARGE('06_STORE_ANALYSIS'!$N$2:$N$70,2),'06_STORE_ANALYSIS'!$N$2:$N$70,0)),"")</f>
        <v>85.784375000000011</v>
      </c>
      <c r="D37" s="26">
        <f t="array" ref="D37">IFERROR(INDEX('06_STORE_ANALYSIS'!$I$2:$I$70,MATCH(LARGE('06_STORE_ANALYSIS'!$N$2:$N$70,2),'06_STORE_ANALYSIS'!$N$2:$N$70,0)),"")</f>
        <v>0.2857142857142857</v>
      </c>
      <c r="F37" s="25">
        <v>2</v>
      </c>
      <c r="G37" s="25" t="str">
        <f t="array" ref="G37">IFERROR(INDEX('06_STORE_ANALYSIS'!$B$2:$B$70,MATCH(SMALL('06_STORE_ANALYSIS'!$N$2:$N$70,2),'06_STORE_ANALYSIS'!$N$2:$N$70,0)),"")</f>
        <v>Fresh Thyme #921</v>
      </c>
      <c r="H37" s="27">
        <f t="array" ref="H37">IFERROR(INDEX('06_STORE_ANALYSIS'!$L$2:$L$70,MATCH(SMALL('06_STORE_ANALYSIS'!$N$2:$N$70,2),'06_STORE_ANALYSIS'!$N$2:$N$70,0)),"")</f>
        <v>6.8442857142857152</v>
      </c>
      <c r="I37" s="26">
        <f t="array" ref="I37">IFERROR(INDEX('06_STORE_ANALYSIS'!$I$2:$I$70,MATCH(SMALL('06_STORE_ANALYSIS'!$N$2:$N$70,2),'06_STORE_ANALYSIS'!$N$2:$N$70,0)),"")</f>
        <v>1</v>
      </c>
    </row>
    <row r="38" spans="1:9" x14ac:dyDescent="0.2">
      <c r="A38" s="22">
        <v>3</v>
      </c>
      <c r="B38" s="22" t="str">
        <f t="array" ref="B38">IFERROR(INDEX('06_STORE_ANALYSIS'!$B$2:$B$70,MATCH(LARGE('06_STORE_ANALYSIS'!$N$2:$N$70,3),'06_STORE_ANALYSIS'!$N$2:$N$70,0)),"")</f>
        <v>Fresh Thyme #522</v>
      </c>
      <c r="C38" s="24">
        <f t="array" ref="C38">IFERROR(INDEX('06_STORE_ANALYSIS'!$L$2:$L$70,MATCH(LARGE('06_STORE_ANALYSIS'!$N$2:$N$70,3),'06_STORE_ANALYSIS'!$N$2:$N$70,0)),"")</f>
        <v>72.347692307692313</v>
      </c>
      <c r="D38" s="23">
        <f t="array" ref="D38">IFERROR(INDEX('06_STORE_ANALYSIS'!$I$2:$I$70,MATCH(LARGE('06_STORE_ANALYSIS'!$N$2:$N$70,3),'06_STORE_ANALYSIS'!$N$2:$N$70,0)),"")</f>
        <v>0.58333333333333337</v>
      </c>
      <c r="F38" s="22">
        <v>3</v>
      </c>
      <c r="G38" s="22" t="str">
        <f t="array" ref="G38">IFERROR(INDEX('06_STORE_ANALYSIS'!$B$2:$B$70,MATCH(SMALL('06_STORE_ANALYSIS'!$N$2:$N$70,3),'06_STORE_ANALYSIS'!$N$2:$N$70,0)),"")</f>
        <v>Fresh Thyme #524</v>
      </c>
      <c r="H38" s="24">
        <f t="array" ref="H38">IFERROR(INDEX('06_STORE_ANALYSIS'!$L$2:$L$70,MATCH(SMALL('06_STORE_ANALYSIS'!$N$2:$N$70,3),'06_STORE_ANALYSIS'!$N$2:$N$70,0)),"")</f>
        <v>8.0388888888888879</v>
      </c>
      <c r="I38" s="23">
        <f t="array" ref="I38">IFERROR(INDEX('06_STORE_ANALYSIS'!$I$2:$I$70,MATCH(SMALL('06_STORE_ANALYSIS'!$N$2:$N$70,3),'06_STORE_ANALYSIS'!$N$2:$N$70,0)),"")</f>
        <v>0.875</v>
      </c>
    </row>
    <row r="39" spans="1:9" x14ac:dyDescent="0.2">
      <c r="A39" s="25">
        <v>4</v>
      </c>
      <c r="B39" s="25" t="str">
        <f t="array" ref="B39">IFERROR(INDEX('06_STORE_ANALYSIS'!$B$2:$B$70,MATCH(LARGE('06_STORE_ANALYSIS'!$N$2:$N$70,4),'06_STORE_ANALYSIS'!$N$2:$N$70,0)),"")</f>
        <v>Fresh Thyme #542</v>
      </c>
      <c r="C39" s="27">
        <f t="array" ref="C39">IFERROR(INDEX('06_STORE_ANALYSIS'!$L$2:$L$70,MATCH(LARGE('06_STORE_ANALYSIS'!$N$2:$N$70,4),'06_STORE_ANALYSIS'!$N$2:$N$70,0)),"")</f>
        <v>70.924000000000007</v>
      </c>
      <c r="D39" s="26">
        <f t="array" ref="D39">IFERROR(INDEX('06_STORE_ANALYSIS'!$I$2:$I$70,MATCH(LARGE('06_STORE_ANALYSIS'!$N$2:$N$70,4),'06_STORE_ANALYSIS'!$N$2:$N$70,0)),"")</f>
        <v>0.8</v>
      </c>
      <c r="F39" s="25">
        <v>4</v>
      </c>
      <c r="G39" s="25" t="str">
        <f t="array" ref="G39">IFERROR(INDEX('06_STORE_ANALYSIS'!$B$2:$B$70,MATCH(SMALL('06_STORE_ANALYSIS'!$N$2:$N$70,4),'06_STORE_ANALYSIS'!$N$2:$N$70,0)),"")</f>
        <v>Fresh Thyme #645</v>
      </c>
      <c r="H39" s="27">
        <f t="array" ref="H39">IFERROR(INDEX('06_STORE_ANALYSIS'!$L$2:$L$70,MATCH(SMALL('06_STORE_ANALYSIS'!$N$2:$N$70,4),'06_STORE_ANALYSIS'!$N$2:$N$70,0)),"")</f>
        <v>8.4428571428571413</v>
      </c>
      <c r="I39" s="26">
        <f t="array" ref="I39">IFERROR(INDEX('06_STORE_ANALYSIS'!$I$2:$I$70,MATCH(SMALL('06_STORE_ANALYSIS'!$N$2:$N$70,4),'06_STORE_ANALYSIS'!$N$2:$N$70,0)),"")</f>
        <v>1</v>
      </c>
    </row>
    <row r="40" spans="1:9" x14ac:dyDescent="0.2">
      <c r="A40" s="22">
        <v>5</v>
      </c>
      <c r="B40" s="22" t="str">
        <f t="array" ref="B40">IFERROR(INDEX('06_STORE_ANALYSIS'!$B$2:$B$70,MATCH(LARGE('06_STORE_ANALYSIS'!$N$2:$N$70,5),'06_STORE_ANALYSIS'!$N$2:$N$70,0)),"")</f>
        <v>Fresh Thyme #546</v>
      </c>
      <c r="C40" s="24">
        <f t="array" ref="C40">IFERROR(INDEX('06_STORE_ANALYSIS'!$L$2:$L$70,MATCH(LARGE('06_STORE_ANALYSIS'!$N$2:$N$70,5),'06_STORE_ANALYSIS'!$N$2:$N$70,0)),"")</f>
        <v>65.364000000000004</v>
      </c>
      <c r="D40" s="23">
        <f t="array" ref="D40">IFERROR(INDEX('06_STORE_ANALYSIS'!$I$2:$I$70,MATCH(LARGE('06_STORE_ANALYSIS'!$N$2:$N$70,5),'06_STORE_ANALYSIS'!$N$2:$N$70,0)),"")</f>
        <v>0.72727272727272729</v>
      </c>
      <c r="F40" s="22">
        <v>5</v>
      </c>
      <c r="G40" s="22" t="str">
        <f t="array" ref="G40">IFERROR(INDEX('06_STORE_ANALYSIS'!$B$2:$B$70,MATCH(SMALL('06_STORE_ANALYSIS'!$N$2:$N$70,5),'06_STORE_ANALYSIS'!$N$2:$N$70,0)),"")</f>
        <v>Fresh Thyme #649</v>
      </c>
      <c r="H40" s="24">
        <f t="array" ref="H40">IFERROR(INDEX('06_STORE_ANALYSIS'!$L$2:$L$70,MATCH(SMALL('06_STORE_ANALYSIS'!$N$2:$N$70,5),'06_STORE_ANALYSIS'!$N$2:$N$70,0)),"")</f>
        <v>8.7842857142857138</v>
      </c>
      <c r="I40" s="23">
        <f t="array" ref="I40">IFERROR(INDEX('06_STORE_ANALYSIS'!$I$2:$I$70,MATCH(SMALL('06_STORE_ANALYSIS'!$N$2:$N$70,5),'06_STORE_ANALYSIS'!$N$2:$N$70,0)),"")</f>
        <v>1</v>
      </c>
    </row>
    <row r="41" spans="1:9" x14ac:dyDescent="0.2">
      <c r="A41" s="25">
        <v>6</v>
      </c>
      <c r="B41" s="25" t="str">
        <f t="array" ref="B41">IFERROR(INDEX('06_STORE_ANALYSIS'!$B$2:$B$70,MATCH(LARGE('06_STORE_ANALYSIS'!$N$2:$N$70,6),'06_STORE_ANALYSIS'!$N$2:$N$70,0)),"")</f>
        <v>Fresh Thyme #562</v>
      </c>
      <c r="C41" s="27">
        <f t="array" ref="C41">IFERROR(INDEX('06_STORE_ANALYSIS'!$L$2:$L$70,MATCH(LARGE('06_STORE_ANALYSIS'!$N$2:$N$70,6),'06_STORE_ANALYSIS'!$N$2:$N$70,0)),"")</f>
        <v>63.57200000000001</v>
      </c>
      <c r="D41" s="26">
        <f t="array" ref="D41">IFERROR(INDEX('06_STORE_ANALYSIS'!$I$2:$I$70,MATCH(LARGE('06_STORE_ANALYSIS'!$N$2:$N$70,6),'06_STORE_ANALYSIS'!$N$2:$N$70,0)),"")</f>
        <v>0.72727272727272729</v>
      </c>
      <c r="F41" s="25">
        <v>6</v>
      </c>
      <c r="G41" s="25" t="str">
        <f t="array" ref="G41">IFERROR(INDEX('06_STORE_ANALYSIS'!$B$2:$B$70,MATCH(SMALL('06_STORE_ANALYSIS'!$N$2:$N$70,6),'06_STORE_ANALYSIS'!$N$2:$N$70,0)),"")</f>
        <v>Fresh Thyme #537</v>
      </c>
      <c r="H41" s="27">
        <f t="array" ref="H41">IFERROR(INDEX('06_STORE_ANALYSIS'!$L$2:$L$70,MATCH(SMALL('06_STORE_ANALYSIS'!$N$2:$N$70,6),'06_STORE_ANALYSIS'!$N$2:$N$70,0)),"")</f>
        <v>9.3744444444444444</v>
      </c>
      <c r="I41" s="26">
        <f t="array" ref="I41">IFERROR(INDEX('06_STORE_ANALYSIS'!$I$2:$I$70,MATCH(SMALL('06_STORE_ANALYSIS'!$N$2:$N$70,6),'06_STORE_ANALYSIS'!$N$2:$N$70,0)),"")</f>
        <v>1</v>
      </c>
    </row>
    <row r="42" spans="1:9" x14ac:dyDescent="0.2">
      <c r="A42" s="22">
        <v>7</v>
      </c>
      <c r="B42" s="22" t="str">
        <f t="array" ref="B42">IFERROR(INDEX('06_STORE_ANALYSIS'!$B$2:$B$70,MATCH(LARGE('06_STORE_ANALYSIS'!$N$2:$N$70,7),'06_STORE_ANALYSIS'!$N$2:$N$70,0)),"")</f>
        <v>Fresh Thyme #931</v>
      </c>
      <c r="C42" s="24">
        <f t="array" ref="C42">IFERROR(INDEX('06_STORE_ANALYSIS'!$L$2:$L$70,MATCH(LARGE('06_STORE_ANALYSIS'!$N$2:$N$70,7),'06_STORE_ANALYSIS'!$N$2:$N$70,0)),"")</f>
        <v>63.534117647058821</v>
      </c>
      <c r="D42" s="23">
        <f t="array" ref="D42">IFERROR(INDEX('06_STORE_ANALYSIS'!$I$2:$I$70,MATCH(LARGE('06_STORE_ANALYSIS'!$N$2:$N$70,7),'06_STORE_ANALYSIS'!$N$2:$N$70,0)),"")</f>
        <v>0.41666666666666669</v>
      </c>
      <c r="F42" s="22">
        <v>7</v>
      </c>
      <c r="G42" s="22" t="str">
        <f t="array" ref="G42">IFERROR(INDEX('06_STORE_ANALYSIS'!$B$2:$B$70,MATCH(SMALL('06_STORE_ANALYSIS'!$N$2:$N$70,7),'06_STORE_ANALYSIS'!$N$2:$N$70,0)),"")</f>
        <v>Fresh Thyme #968</v>
      </c>
      <c r="H42" s="24">
        <f t="array" ref="H42">IFERROR(INDEX('06_STORE_ANALYSIS'!$L$2:$L$70,MATCH(SMALL('06_STORE_ANALYSIS'!$N$2:$N$70,7),'06_STORE_ANALYSIS'!$N$2:$N$70,0)),"")</f>
        <v>9.4383333333333326</v>
      </c>
      <c r="I42" s="23">
        <f t="array" ref="I42">IFERROR(INDEX('06_STORE_ANALYSIS'!$I$2:$I$70,MATCH(SMALL('06_STORE_ANALYSIS'!$N$2:$N$70,7),'06_STORE_ANALYSIS'!$N$2:$N$70,0)),"")</f>
        <v>1</v>
      </c>
    </row>
    <row r="43" spans="1:9" x14ac:dyDescent="0.2">
      <c r="A43" s="25">
        <v>8</v>
      </c>
      <c r="B43" s="25" t="str">
        <f t="array" ref="B43">IFERROR(INDEX('06_STORE_ANALYSIS'!$B$2:$B$70,MATCH(LARGE('06_STORE_ANALYSIS'!$N$2:$N$70,8),'06_STORE_ANALYSIS'!$N$2:$N$70,0)),"")</f>
        <v>Fresh Thyme #541</v>
      </c>
      <c r="C43" s="27">
        <f t="array" ref="C43">IFERROR(INDEX('06_STORE_ANALYSIS'!$L$2:$L$70,MATCH(LARGE('06_STORE_ANALYSIS'!$N$2:$N$70,8),'06_STORE_ANALYSIS'!$N$2:$N$70,0)),"")</f>
        <v>59.231250000000003</v>
      </c>
      <c r="D43" s="26">
        <f t="array" ref="D43">IFERROR(INDEX('06_STORE_ANALYSIS'!$I$2:$I$70,MATCH(LARGE('06_STORE_ANALYSIS'!$N$2:$N$70,8),'06_STORE_ANALYSIS'!$N$2:$N$70,0)),"")</f>
        <v>0.5</v>
      </c>
      <c r="F43" s="25">
        <v>8</v>
      </c>
      <c r="G43" s="25" t="str">
        <f t="array" ref="G43">IFERROR(INDEX('06_STORE_ANALYSIS'!$B$2:$B$70,MATCH(SMALL('06_STORE_ANALYSIS'!$N$2:$N$70,8),'06_STORE_ANALYSIS'!$N$2:$N$70,0)),"")</f>
        <v>Fresh Thyme #525</v>
      </c>
      <c r="H43" s="27">
        <f t="array" ref="H43">IFERROR(INDEX('06_STORE_ANALYSIS'!$L$2:$L$70,MATCH(SMALL('06_STORE_ANALYSIS'!$N$2:$N$70,8),'06_STORE_ANALYSIS'!$N$2:$N$70,0)),"")</f>
        <v>9.7522222222222226</v>
      </c>
      <c r="I43" s="26">
        <f t="array" ref="I43">IFERROR(INDEX('06_STORE_ANALYSIS'!$I$2:$I$70,MATCH(SMALL('06_STORE_ANALYSIS'!$N$2:$N$70,8),'06_STORE_ANALYSIS'!$N$2:$N$70,0)),"")</f>
        <v>1</v>
      </c>
    </row>
    <row r="44" spans="1:9" x14ac:dyDescent="0.2">
      <c r="A44" s="22">
        <v>9</v>
      </c>
      <c r="B44" s="22" t="str">
        <f t="array" ref="B44">IFERROR(INDEX('06_STORE_ANALYSIS'!$B$2:$B$70,MATCH(LARGE('06_STORE_ANALYSIS'!$N$2:$N$70,9),'06_STORE_ANALYSIS'!$N$2:$N$70,0)),"")</f>
        <v>Fresh Thyme #923</v>
      </c>
      <c r="C44" s="24">
        <f t="array" ref="C44">IFERROR(INDEX('06_STORE_ANALYSIS'!$L$2:$L$70,MATCH(LARGE('06_STORE_ANALYSIS'!$N$2:$N$70,9),'06_STORE_ANALYSIS'!$N$2:$N$70,0)),"")</f>
        <v>57.298571428571428</v>
      </c>
      <c r="D44" s="23">
        <f t="array" ref="D44">IFERROR(INDEX('06_STORE_ANALYSIS'!$I$2:$I$70,MATCH(LARGE('06_STORE_ANALYSIS'!$N$2:$N$70,9),'06_STORE_ANALYSIS'!$N$2:$N$70,0)),"")</f>
        <v>0.75</v>
      </c>
      <c r="F44" s="22">
        <v>9</v>
      </c>
      <c r="G44" s="22" t="str">
        <f t="array" ref="G44">IFERROR(INDEX('06_STORE_ANALYSIS'!$B$2:$B$70,MATCH(SMALL('06_STORE_ANALYSIS'!$N$2:$N$70,9),'06_STORE_ANALYSIS'!$N$2:$N$70,0)),"")</f>
        <v>Fresh Thyme #528</v>
      </c>
      <c r="H44" s="24">
        <f t="array" ref="H44">IFERROR(INDEX('06_STORE_ANALYSIS'!$L$2:$L$70,MATCH(SMALL('06_STORE_ANALYSIS'!$N$2:$N$70,9),'06_STORE_ANALYSIS'!$N$2:$N$70,0)),"")</f>
        <v>10.271666666666667</v>
      </c>
      <c r="I44" s="23">
        <f t="array" ref="I44">IFERROR(INDEX('06_STORE_ANALYSIS'!$I$2:$I$70,MATCH(SMALL('06_STORE_ANALYSIS'!$N$2:$N$70,9),'06_STORE_ANALYSIS'!$N$2:$N$70,0)),"")</f>
        <v>1</v>
      </c>
    </row>
    <row r="45" spans="1:9" x14ac:dyDescent="0.2">
      <c r="A45" s="25">
        <v>10</v>
      </c>
      <c r="B45" s="25" t="str">
        <f t="array" ref="B45">IFERROR(INDEX('06_STORE_ANALYSIS'!$B$2:$B$70,MATCH(LARGE('06_STORE_ANALYSIS'!$N$2:$N$70,10),'06_STORE_ANALYSIS'!$N$2:$N$70,0)),"")</f>
        <v>Fresh Thyme #715</v>
      </c>
      <c r="C45" s="27">
        <f t="array" ref="C45">IFERROR(INDEX('06_STORE_ANALYSIS'!$L$2:$L$70,MATCH(LARGE('06_STORE_ANALYSIS'!$N$2:$N$70,10),'06_STORE_ANALYSIS'!$N$2:$N$70,0)),"")</f>
        <v>49.603333333333332</v>
      </c>
      <c r="D45" s="26">
        <f t="array" ref="D45">IFERROR(INDEX('06_STORE_ANALYSIS'!$I$2:$I$70,MATCH(LARGE('06_STORE_ANALYSIS'!$N$2:$N$70,10),'06_STORE_ANALYSIS'!$N$2:$N$70,0)),"")</f>
        <v>0</v>
      </c>
      <c r="F45" s="25">
        <v>10</v>
      </c>
      <c r="G45" s="25" t="str">
        <f t="array" ref="G45">IFERROR(INDEX('06_STORE_ANALYSIS'!$B$2:$B$70,MATCH(SMALL('06_STORE_ANALYSIS'!$N$2:$N$70,10),'06_STORE_ANALYSIS'!$N$2:$N$70,0)),"")</f>
        <v>Fresh Thyme #962</v>
      </c>
      <c r="H45" s="27">
        <f t="array" ref="H45">IFERROR(INDEX('06_STORE_ANALYSIS'!$L$2:$L$70,MATCH(SMALL('06_STORE_ANALYSIS'!$N$2:$N$70,10),'06_STORE_ANALYSIS'!$N$2:$N$70,0)),"")</f>
        <v>10.347142857142856</v>
      </c>
      <c r="I45" s="26">
        <f t="array" ref="I45">IFERROR(INDEX('06_STORE_ANALYSIS'!$I$2:$I$70,MATCH(SMALL('06_STORE_ANALYSIS'!$N$2:$N$70,10),'06_STORE_ANALYSIS'!$N$2:$N$70,0)),"")</f>
        <v>0.83333333333333337</v>
      </c>
    </row>
    <row r="47" spans="1:9" ht="15" customHeight="1" x14ac:dyDescent="0.2">
      <c r="A47" s="47" t="s">
        <v>559</v>
      </c>
      <c r="B47" s="47"/>
      <c r="C47" s="47"/>
      <c r="D47" s="47"/>
      <c r="E47" s="47"/>
      <c r="F47" s="47"/>
      <c r="G47" s="47"/>
      <c r="H47" s="47"/>
      <c r="I47" s="47"/>
    </row>
    <row r="48" spans="1:9" x14ac:dyDescent="0.2">
      <c r="A48" s="47"/>
      <c r="B48" s="47"/>
      <c r="C48" s="47"/>
      <c r="D48" s="47"/>
      <c r="E48" s="47"/>
      <c r="F48" s="47"/>
      <c r="G48" s="47"/>
      <c r="H48" s="47"/>
      <c r="I48" s="47"/>
    </row>
  </sheetData>
  <mergeCells count="2">
    <mergeCell ref="A1:F1"/>
    <mergeCell ref="A47:I48"/>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9"/>
  <sheetViews>
    <sheetView showGridLines="0" zoomScaleNormal="100" workbookViewId="0">
      <selection sqref="A1:H1"/>
    </sheetView>
  </sheetViews>
  <sheetFormatPr baseColWidth="10" defaultColWidth="8.6640625" defaultRowHeight="15" x14ac:dyDescent="0.2"/>
  <cols>
    <col min="1" max="1" width="7" customWidth="1"/>
    <col min="2" max="2" width="20" customWidth="1"/>
    <col min="3" max="3" width="13" customWidth="1"/>
    <col min="4" max="4" width="11" customWidth="1"/>
    <col min="5" max="5" width="9" customWidth="1"/>
    <col min="6" max="6" width="3" customWidth="1"/>
    <col min="7" max="7" width="12" customWidth="1"/>
    <col min="8" max="8" width="20" customWidth="1"/>
    <col min="9" max="9" width="13" customWidth="1"/>
    <col min="10" max="10" width="11" customWidth="1"/>
    <col min="11" max="11" width="9" customWidth="1"/>
  </cols>
  <sheetData>
    <row r="1" spans="1:11" ht="17" x14ac:dyDescent="0.2">
      <c r="A1" s="45" t="s">
        <v>560</v>
      </c>
      <c r="B1" s="45"/>
      <c r="C1" s="45"/>
      <c r="D1" s="45"/>
      <c r="E1" s="45"/>
      <c r="F1" s="45"/>
      <c r="G1" s="45"/>
      <c r="H1" s="45"/>
    </row>
    <row r="3" spans="1:11" x14ac:dyDescent="0.2">
      <c r="A3" s="19" t="s">
        <v>561</v>
      </c>
      <c r="G3" s="19" t="s">
        <v>562</v>
      </c>
    </row>
    <row r="4" spans="1:11" ht="18" customHeight="1" x14ac:dyDescent="0.2">
      <c r="A4" s="21" t="s">
        <v>557</v>
      </c>
      <c r="B4" s="21" t="s">
        <v>558</v>
      </c>
      <c r="C4" s="21" t="s">
        <v>64</v>
      </c>
      <c r="D4" s="21" t="s">
        <v>67</v>
      </c>
      <c r="E4" s="21" t="s">
        <v>68</v>
      </c>
      <c r="G4" s="21" t="s">
        <v>557</v>
      </c>
      <c r="H4" s="21" t="s">
        <v>251</v>
      </c>
      <c r="I4" s="21" t="s">
        <v>64</v>
      </c>
      <c r="J4" s="21" t="s">
        <v>67</v>
      </c>
      <c r="K4" s="21" t="s">
        <v>68</v>
      </c>
    </row>
    <row r="5" spans="1:11" x14ac:dyDescent="0.2">
      <c r="A5" s="22">
        <v>1</v>
      </c>
      <c r="B5" s="22" t="str">
        <f t="array" ref="B5">IFERROR(INDEX('06_STORE_ANALYSIS'!$B$2:$B$70,MATCH(LARGE('06_STORE_ANALYSIS'!$P$2:$P$70,1),'06_STORE_ANALYSIS'!$P$2:$P$70,0)),"")</f>
        <v>Fresh Thyme #647</v>
      </c>
      <c r="C5" s="22">
        <f t="array" ref="C5">IFERROR(INDEX('06_STORE_ANALYSIS'!$E$2:$E$70,MATCH(LARGE('06_STORE_ANALYSIS'!$P$2:$P$70,1),'06_STORE_ANALYSIS'!$P$2:$P$70,0)),"")</f>
        <v>16</v>
      </c>
      <c r="D5" s="22">
        <f t="array" ref="D5">IFERROR(INDEX('06_STORE_ANALYSIS'!$H$2:$H$70,MATCH(LARGE('06_STORE_ANALYSIS'!$P$2:$P$70,1),'06_STORE_ANALYSIS'!$P$2:$P$70,0)),"")</f>
        <v>10</v>
      </c>
      <c r="E5" s="23">
        <f t="array" ref="E5">IFERROR(INDEX('06_STORE_ANALYSIS'!$I$2:$I$70,MATCH(LARGE('06_STORE_ANALYSIS'!$P$2:$P$70,1),'06_STORE_ANALYSIS'!$P$2:$P$70,0)),"")</f>
        <v>0.2857142857142857</v>
      </c>
      <c r="G5" s="22">
        <v>1</v>
      </c>
      <c r="H5" s="22" t="str">
        <f t="array" ref="H5">IFERROR(INDEX('07_TECHNICIAN_ANALYSIS'!$B$2:$B$152,MATCH(LARGE('07_TECHNICIAN_ANALYSIS'!$M$2:$M$152,1),'07_TECHNICIAN_ANALYSIS'!$M$2:$M$152,0)),"")</f>
        <v>August Ronald</v>
      </c>
      <c r="I5" s="22">
        <f t="array" ref="I5">IFERROR(INDEX('07_TECHNICIAN_ANALYSIS'!$C$2:$C$152,MATCH(LARGE('07_TECHNICIAN_ANALYSIS'!$M$2:$M$152,1),'07_TECHNICIAN_ANALYSIS'!$M$2:$M$152,0)),"")</f>
        <v>20</v>
      </c>
      <c r="J5" s="22">
        <f t="array" ref="J5">IFERROR(INDEX('07_TECHNICIAN_ANALYSIS'!$F$2:$F$152,MATCH(LARGE('07_TECHNICIAN_ANALYSIS'!$M$2:$M$152,1),'07_TECHNICIAN_ANALYSIS'!$M$2:$M$152,0)),"")</f>
        <v>10</v>
      </c>
      <c r="K5" s="23">
        <f t="array" ref="K5">IFERROR(INDEX('07_TECHNICIAN_ANALYSIS'!$G$2:$G$152,MATCH(LARGE('07_TECHNICIAN_ANALYSIS'!$M$2:$M$152,1),'07_TECHNICIAN_ANALYSIS'!$M$2:$M$152,0)),"")</f>
        <v>0.5</v>
      </c>
    </row>
    <row r="6" spans="1:11" x14ac:dyDescent="0.2">
      <c r="A6" s="25">
        <v>2</v>
      </c>
      <c r="B6" s="25" t="str">
        <f t="array" ref="B6">IFERROR(INDEX('06_STORE_ANALYSIS'!$B$2:$B$70,MATCH(LARGE('06_STORE_ANALYSIS'!$P$2:$P$70,2),'06_STORE_ANALYSIS'!$P$2:$P$70,0)),"")</f>
        <v>Fresh Thyme #931</v>
      </c>
      <c r="C6" s="25">
        <f t="array" ref="C6">IFERROR(INDEX('06_STORE_ANALYSIS'!$E$2:$E$70,MATCH(LARGE('06_STORE_ANALYSIS'!$P$2:$P$70,2),'06_STORE_ANALYSIS'!$P$2:$P$70,0)),"")</f>
        <v>17</v>
      </c>
      <c r="D6" s="25">
        <f t="array" ref="D6">IFERROR(INDEX('06_STORE_ANALYSIS'!$H$2:$H$70,MATCH(LARGE('06_STORE_ANALYSIS'!$P$2:$P$70,2),'06_STORE_ANALYSIS'!$P$2:$P$70,0)),"")</f>
        <v>7</v>
      </c>
      <c r="E6" s="26">
        <f t="array" ref="E6">IFERROR(INDEX('06_STORE_ANALYSIS'!$I$2:$I$70,MATCH(LARGE('06_STORE_ANALYSIS'!$P$2:$P$70,2),'06_STORE_ANALYSIS'!$P$2:$P$70,0)),"")</f>
        <v>0.41666666666666669</v>
      </c>
      <c r="G6" s="25">
        <v>2</v>
      </c>
      <c r="H6" s="25" t="str">
        <f t="array" ref="H6">IFERROR(INDEX('07_TECHNICIAN_ANALYSIS'!$B$2:$B$152,MATCH(LARGE('07_TECHNICIAN_ANALYSIS'!$M$2:$M$152,2),'07_TECHNICIAN_ANALYSIS'!$M$2:$M$152,0)),"")</f>
        <v>Droste Michael</v>
      </c>
      <c r="I6" s="25">
        <f t="array" ref="I6">IFERROR(INDEX('07_TECHNICIAN_ANALYSIS'!$C$2:$C$152,MATCH(LARGE('07_TECHNICIAN_ANALYSIS'!$M$2:$M$152,2),'07_TECHNICIAN_ANALYSIS'!$M$2:$M$152,0)),"")</f>
        <v>10</v>
      </c>
      <c r="J6" s="25">
        <f t="array" ref="J6">IFERROR(INDEX('07_TECHNICIAN_ANALYSIS'!$F$2:$F$152,MATCH(LARGE('07_TECHNICIAN_ANALYSIS'!$M$2:$M$152,2),'07_TECHNICIAN_ANALYSIS'!$M$2:$M$152,0)),"")</f>
        <v>6</v>
      </c>
      <c r="K6" s="26">
        <f t="array" ref="K6">IFERROR(INDEX('07_TECHNICIAN_ANALYSIS'!$G$2:$G$152,MATCH(LARGE('07_TECHNICIAN_ANALYSIS'!$M$2:$M$152,2),'07_TECHNICIAN_ANALYSIS'!$M$2:$M$152,0)),"")</f>
        <v>0.4</v>
      </c>
    </row>
    <row r="7" spans="1:11" x14ac:dyDescent="0.2">
      <c r="A7" s="22">
        <v>3</v>
      </c>
      <c r="B7" s="22" t="str">
        <f t="array" ref="B7">IFERROR(INDEX('06_STORE_ANALYSIS'!$B$2:$B$70,MATCH(LARGE('06_STORE_ANALYSIS'!$P$2:$P$70,3),'06_STORE_ANALYSIS'!$P$2:$P$70,0)),"")</f>
        <v>Fresh Thyme #715</v>
      </c>
      <c r="C7" s="22">
        <f t="array" ref="C7">IFERROR(INDEX('06_STORE_ANALYSIS'!$E$2:$E$70,MATCH(LARGE('06_STORE_ANALYSIS'!$P$2:$P$70,3),'06_STORE_ANALYSIS'!$P$2:$P$70,0)),"")</f>
        <v>6</v>
      </c>
      <c r="D7" s="22">
        <f t="array" ref="D7">IFERROR(INDEX('06_STORE_ANALYSIS'!$H$2:$H$70,MATCH(LARGE('06_STORE_ANALYSIS'!$P$2:$P$70,3),'06_STORE_ANALYSIS'!$P$2:$P$70,0)),"")</f>
        <v>6</v>
      </c>
      <c r="E7" s="23">
        <f t="array" ref="E7">IFERROR(INDEX('06_STORE_ANALYSIS'!$I$2:$I$70,MATCH(LARGE('06_STORE_ANALYSIS'!$P$2:$P$70,3),'06_STORE_ANALYSIS'!$P$2:$P$70,0)),"")</f>
        <v>0</v>
      </c>
      <c r="G7" s="22">
        <v>3</v>
      </c>
      <c r="H7" s="22" t="str">
        <f t="array" ref="H7">IFERROR(INDEX('07_TECHNICIAN_ANALYSIS'!$B$2:$B$152,MATCH(LARGE('07_TECHNICIAN_ANALYSIS'!$M$2:$M$152,3),'07_TECHNICIAN_ANALYSIS'!$M$2:$M$152,0)),"")</f>
        <v>Carlson Paul</v>
      </c>
      <c r="I7" s="22">
        <f t="array" ref="I7">IFERROR(INDEX('07_TECHNICIAN_ANALYSIS'!$C$2:$C$152,MATCH(LARGE('07_TECHNICIAN_ANALYSIS'!$M$2:$M$152,3),'07_TECHNICIAN_ANALYSIS'!$M$2:$M$152,0)),"")</f>
        <v>21</v>
      </c>
      <c r="J7" s="22">
        <f t="array" ref="J7">IFERROR(INDEX('07_TECHNICIAN_ANALYSIS'!$F$2:$F$152,MATCH(LARGE('07_TECHNICIAN_ANALYSIS'!$M$2:$M$152,3),'07_TECHNICIAN_ANALYSIS'!$M$2:$M$152,0)),"")</f>
        <v>5</v>
      </c>
      <c r="K7" s="23">
        <f t="array" ref="K7">IFERROR(INDEX('07_TECHNICIAN_ANALYSIS'!$G$2:$G$152,MATCH(LARGE('07_TECHNICIAN_ANALYSIS'!$M$2:$M$152,3),'07_TECHNICIAN_ANALYSIS'!$M$2:$M$152,0)),"")</f>
        <v>0.6428571428571429</v>
      </c>
    </row>
    <row r="8" spans="1:11" x14ac:dyDescent="0.2">
      <c r="A8" s="25">
        <v>4</v>
      </c>
      <c r="B8" s="25" t="str">
        <f t="array" ref="B8">IFERROR(INDEX('06_STORE_ANALYSIS'!$B$2:$B$70,MATCH(LARGE('06_STORE_ANALYSIS'!$P$2:$P$70,4),'06_STORE_ANALYSIS'!$P$2:$P$70,0)),"")</f>
        <v>Fresh Thyme #637</v>
      </c>
      <c r="C8" s="25">
        <f t="array" ref="C8">IFERROR(INDEX('06_STORE_ANALYSIS'!$E$2:$E$70,MATCH(LARGE('06_STORE_ANALYSIS'!$P$2:$P$70,4),'06_STORE_ANALYSIS'!$P$2:$P$70,0)),"")</f>
        <v>11</v>
      </c>
      <c r="D8" s="25">
        <f t="array" ref="D8">IFERROR(INDEX('06_STORE_ANALYSIS'!$H$2:$H$70,MATCH(LARGE('06_STORE_ANALYSIS'!$P$2:$P$70,4),'06_STORE_ANALYSIS'!$P$2:$P$70,0)),"")</f>
        <v>6</v>
      </c>
      <c r="E8" s="26">
        <f t="array" ref="E8">IFERROR(INDEX('06_STORE_ANALYSIS'!$I$2:$I$70,MATCH(LARGE('06_STORE_ANALYSIS'!$P$2:$P$70,4),'06_STORE_ANALYSIS'!$P$2:$P$70,0)),"")</f>
        <v>0.45454545454545453</v>
      </c>
      <c r="G8" s="25">
        <v>4</v>
      </c>
      <c r="H8" s="25" t="str">
        <f t="array" ref="H8">IFERROR(INDEX('07_TECHNICIAN_ANALYSIS'!$B$2:$B$152,MATCH(LARGE('07_TECHNICIAN_ANALYSIS'!$M$2:$M$152,4),'07_TECHNICIAN_ANALYSIS'!$M$2:$M$152,0)),"")</f>
        <v>Ogunnowo Olufemi</v>
      </c>
      <c r="I8" s="25">
        <f t="array" ref="I8">IFERROR(INDEX('07_TECHNICIAN_ANALYSIS'!$C$2:$C$152,MATCH(LARGE('07_TECHNICIAN_ANALYSIS'!$M$2:$M$152,4),'07_TECHNICIAN_ANALYSIS'!$M$2:$M$152,0)),"")</f>
        <v>7</v>
      </c>
      <c r="J8" s="25">
        <f t="array" ref="J8">IFERROR(INDEX('07_TECHNICIAN_ANALYSIS'!$F$2:$F$152,MATCH(LARGE('07_TECHNICIAN_ANALYSIS'!$M$2:$M$152,4),'07_TECHNICIAN_ANALYSIS'!$M$2:$M$152,0)),"")</f>
        <v>4</v>
      </c>
      <c r="K8" s="26">
        <f t="array" ref="K8">IFERROR(INDEX('07_TECHNICIAN_ANALYSIS'!$G$2:$G$152,MATCH(LARGE('07_TECHNICIAN_ANALYSIS'!$M$2:$M$152,4),'07_TECHNICIAN_ANALYSIS'!$M$2:$M$152,0)),"")</f>
        <v>0.42857142857142855</v>
      </c>
    </row>
    <row r="9" spans="1:11" x14ac:dyDescent="0.2">
      <c r="A9" s="22">
        <v>5</v>
      </c>
      <c r="B9" s="22" t="str">
        <f t="array" ref="B9">IFERROR(INDEX('06_STORE_ANALYSIS'!$B$2:$B$70,MATCH(LARGE('06_STORE_ANALYSIS'!$P$2:$P$70,5),'06_STORE_ANALYSIS'!$P$2:$P$70,0)),"")</f>
        <v>Fresh Thyme #544</v>
      </c>
      <c r="C9" s="22">
        <f t="array" ref="C9">IFERROR(INDEX('06_STORE_ANALYSIS'!$E$2:$E$70,MATCH(LARGE('06_STORE_ANALYSIS'!$P$2:$P$70,5),'06_STORE_ANALYSIS'!$P$2:$P$70,0)),"")</f>
        <v>16</v>
      </c>
      <c r="D9" s="22">
        <f t="array" ref="D9">IFERROR(INDEX('06_STORE_ANALYSIS'!$H$2:$H$70,MATCH(LARGE('06_STORE_ANALYSIS'!$P$2:$P$70,5),'06_STORE_ANALYSIS'!$P$2:$P$70,0)),"")</f>
        <v>6</v>
      </c>
      <c r="E9" s="23">
        <f t="array" ref="E9">IFERROR(INDEX('06_STORE_ANALYSIS'!$I$2:$I$70,MATCH(LARGE('06_STORE_ANALYSIS'!$P$2:$P$70,5),'06_STORE_ANALYSIS'!$P$2:$P$70,0)),"")</f>
        <v>0.5714285714285714</v>
      </c>
      <c r="G9" s="22">
        <v>5</v>
      </c>
      <c r="H9" s="22" t="str">
        <f t="array" ref="H9">IFERROR(INDEX('07_TECHNICIAN_ANALYSIS'!$B$2:$B$152,MATCH(LARGE('07_TECHNICIAN_ANALYSIS'!$M$2:$M$152,5),'07_TECHNICIAN_ANALYSIS'!$M$2:$M$152,0)),"")</f>
        <v>Downing Keviyon</v>
      </c>
      <c r="I9" s="22">
        <f t="array" ref="I9">IFERROR(INDEX('07_TECHNICIAN_ANALYSIS'!$C$2:$C$152,MATCH(LARGE('07_TECHNICIAN_ANALYSIS'!$M$2:$M$152,5),'07_TECHNICIAN_ANALYSIS'!$M$2:$M$152,0)),"")</f>
        <v>3</v>
      </c>
      <c r="J9" s="22">
        <f t="array" ref="J9">IFERROR(INDEX('07_TECHNICIAN_ANALYSIS'!$F$2:$F$152,MATCH(LARGE('07_TECHNICIAN_ANALYSIS'!$M$2:$M$152,5),'07_TECHNICIAN_ANALYSIS'!$M$2:$M$152,0)),"")</f>
        <v>3</v>
      </c>
      <c r="K9" s="23">
        <f t="array" ref="K9">IFERROR(INDEX('07_TECHNICIAN_ANALYSIS'!$G$2:$G$152,MATCH(LARGE('07_TECHNICIAN_ANALYSIS'!$M$2:$M$152,5),'07_TECHNICIAN_ANALYSIS'!$M$2:$M$152,0)),"")</f>
        <v>0</v>
      </c>
    </row>
    <row r="10" spans="1:11" x14ac:dyDescent="0.2">
      <c r="A10" s="25">
        <v>6</v>
      </c>
      <c r="B10" s="25" t="str">
        <f t="array" ref="B10">IFERROR(INDEX('06_STORE_ANALYSIS'!$B$2:$B$70,MATCH(LARGE('06_STORE_ANALYSIS'!$P$2:$P$70,6),'06_STORE_ANALYSIS'!$P$2:$P$70,0)),"")</f>
        <v>Fresh Thyme #522</v>
      </c>
      <c r="C10" s="25">
        <f t="array" ref="C10">IFERROR(INDEX('06_STORE_ANALYSIS'!$E$2:$E$70,MATCH(LARGE('06_STORE_ANALYSIS'!$P$2:$P$70,6),'06_STORE_ANALYSIS'!$P$2:$P$70,0)),"")</f>
        <v>13</v>
      </c>
      <c r="D10" s="25">
        <f t="array" ref="D10">IFERROR(INDEX('06_STORE_ANALYSIS'!$H$2:$H$70,MATCH(LARGE('06_STORE_ANALYSIS'!$P$2:$P$70,6),'06_STORE_ANALYSIS'!$P$2:$P$70,0)),"")</f>
        <v>5</v>
      </c>
      <c r="E10" s="26">
        <f t="array" ref="E10">IFERROR(INDEX('06_STORE_ANALYSIS'!$I$2:$I$70,MATCH(LARGE('06_STORE_ANALYSIS'!$P$2:$P$70,6),'06_STORE_ANALYSIS'!$P$2:$P$70,0)),"")</f>
        <v>0.58333333333333337</v>
      </c>
      <c r="G10" s="25">
        <v>6</v>
      </c>
      <c r="H10" s="25" t="str">
        <f t="array" ref="H10">IFERROR(INDEX('07_TECHNICIAN_ANALYSIS'!$B$2:$B$152,MATCH(LARGE('07_TECHNICIAN_ANALYSIS'!$M$2:$M$152,6),'07_TECHNICIAN_ANALYSIS'!$M$2:$M$152,0)),"")</f>
        <v>Daugherty Nicholas</v>
      </c>
      <c r="I10" s="25">
        <f t="array" ref="I10">IFERROR(INDEX('07_TECHNICIAN_ANALYSIS'!$C$2:$C$152,MATCH(LARGE('07_TECHNICIAN_ANALYSIS'!$M$2:$M$152,6),'07_TECHNICIAN_ANALYSIS'!$M$2:$M$152,0)),"")</f>
        <v>4</v>
      </c>
      <c r="J10" s="25">
        <f t="array" ref="J10">IFERROR(INDEX('07_TECHNICIAN_ANALYSIS'!$F$2:$F$152,MATCH(LARGE('07_TECHNICIAN_ANALYSIS'!$M$2:$M$152,6),'07_TECHNICIAN_ANALYSIS'!$M$2:$M$152,0)),"")</f>
        <v>3</v>
      </c>
      <c r="K10" s="26">
        <f t="array" ref="K10">IFERROR(INDEX('07_TECHNICIAN_ANALYSIS'!$G$2:$G$152,MATCH(LARGE('07_TECHNICIAN_ANALYSIS'!$M$2:$M$152,6),'07_TECHNICIAN_ANALYSIS'!$M$2:$M$152,0)),"")</f>
        <v>0.25</v>
      </c>
    </row>
    <row r="11" spans="1:11" x14ac:dyDescent="0.2">
      <c r="A11" s="22">
        <v>7</v>
      </c>
      <c r="B11" s="22" t="str">
        <f t="array" ref="B11">IFERROR(INDEX('06_STORE_ANALYSIS'!$B$2:$B$70,MATCH(LARGE('06_STORE_ANALYSIS'!$P$2:$P$70,7),'06_STORE_ANALYSIS'!$P$2:$P$70,0)),"")</f>
        <v>Fresh Thyme #638</v>
      </c>
      <c r="C11" s="22">
        <f t="array" ref="C11">IFERROR(INDEX('06_STORE_ANALYSIS'!$E$2:$E$70,MATCH(LARGE('06_STORE_ANALYSIS'!$P$2:$P$70,7),'06_STORE_ANALYSIS'!$P$2:$P$70,0)),"")</f>
        <v>10</v>
      </c>
      <c r="D11" s="22">
        <f t="array" ref="D11">IFERROR(INDEX('06_STORE_ANALYSIS'!$H$2:$H$70,MATCH(LARGE('06_STORE_ANALYSIS'!$P$2:$P$70,7),'06_STORE_ANALYSIS'!$P$2:$P$70,0)),"")</f>
        <v>4</v>
      </c>
      <c r="E11" s="23">
        <f t="array" ref="E11">IFERROR(INDEX('06_STORE_ANALYSIS'!$I$2:$I$70,MATCH(LARGE('06_STORE_ANALYSIS'!$P$2:$P$70,7),'06_STORE_ANALYSIS'!$P$2:$P$70,0)),"")</f>
        <v>0.5</v>
      </c>
      <c r="G11" s="22">
        <v>7</v>
      </c>
      <c r="H11" s="22" t="str">
        <f t="array" ref="H11">IFERROR(INDEX('07_TECHNICIAN_ANALYSIS'!$B$2:$B$152,MATCH(LARGE('07_TECHNICIAN_ANALYSIS'!$M$2:$M$152,7),'07_TECHNICIAN_ANALYSIS'!$M$2:$M$152,0)),"")</f>
        <v>Willea Brandon</v>
      </c>
      <c r="I11" s="22">
        <f t="array" ref="I11">IFERROR(INDEX('07_TECHNICIAN_ANALYSIS'!$C$2:$C$152,MATCH(LARGE('07_TECHNICIAN_ANALYSIS'!$M$2:$M$152,7),'07_TECHNICIAN_ANALYSIS'!$M$2:$M$152,0)),"")</f>
        <v>7</v>
      </c>
      <c r="J11" s="22">
        <f t="array" ref="J11">IFERROR(INDEX('07_TECHNICIAN_ANALYSIS'!$F$2:$F$152,MATCH(LARGE('07_TECHNICIAN_ANALYSIS'!$M$2:$M$152,7),'07_TECHNICIAN_ANALYSIS'!$M$2:$M$152,0)),"")</f>
        <v>3</v>
      </c>
      <c r="K11" s="23">
        <f t="array" ref="K11">IFERROR(INDEX('07_TECHNICIAN_ANALYSIS'!$G$2:$G$152,MATCH(LARGE('07_TECHNICIAN_ANALYSIS'!$M$2:$M$152,7),'07_TECHNICIAN_ANALYSIS'!$M$2:$M$152,0)),"")</f>
        <v>0.4</v>
      </c>
    </row>
    <row r="12" spans="1:11" x14ac:dyDescent="0.2">
      <c r="A12" s="25">
        <v>8</v>
      </c>
      <c r="B12" s="25" t="str">
        <f t="array" ref="B12">IFERROR(INDEX('06_STORE_ANALYSIS'!$B$2:$B$70,MATCH(LARGE('06_STORE_ANALYSIS'!$P$2:$P$70,8),'06_STORE_ANALYSIS'!$P$2:$P$70,0)),"")</f>
        <v>Fresh Thyme #634</v>
      </c>
      <c r="C12" s="25">
        <f t="array" ref="C12">IFERROR(INDEX('06_STORE_ANALYSIS'!$E$2:$E$70,MATCH(LARGE('06_STORE_ANALYSIS'!$P$2:$P$70,8),'06_STORE_ANALYSIS'!$P$2:$P$70,0)),"")</f>
        <v>15</v>
      </c>
      <c r="D12" s="25">
        <f t="array" ref="D12">IFERROR(INDEX('06_STORE_ANALYSIS'!$H$2:$H$70,MATCH(LARGE('06_STORE_ANALYSIS'!$P$2:$P$70,8),'06_STORE_ANALYSIS'!$P$2:$P$70,0)),"")</f>
        <v>3</v>
      </c>
      <c r="E12" s="26">
        <f t="array" ref="E12">IFERROR(INDEX('06_STORE_ANALYSIS'!$I$2:$I$70,MATCH(LARGE('06_STORE_ANALYSIS'!$P$2:$P$70,8),'06_STORE_ANALYSIS'!$P$2:$P$70,0)),"")</f>
        <v>0.7</v>
      </c>
      <c r="G12" s="25">
        <v>8</v>
      </c>
      <c r="H12" s="25" t="str">
        <f t="array" ref="H12">IFERROR(INDEX('07_TECHNICIAN_ANALYSIS'!$B$2:$B$152,MATCH(LARGE('07_TECHNICIAN_ANALYSIS'!$M$2:$M$152,8),'07_TECHNICIAN_ANALYSIS'!$M$2:$M$152,0)),"")</f>
        <v>Bush David</v>
      </c>
      <c r="I12" s="25">
        <f t="array" ref="I12">IFERROR(INDEX('07_TECHNICIAN_ANALYSIS'!$C$2:$C$152,MATCH(LARGE('07_TECHNICIAN_ANALYSIS'!$M$2:$M$152,8),'07_TECHNICIAN_ANALYSIS'!$M$2:$M$152,0)),"")</f>
        <v>9</v>
      </c>
      <c r="J12" s="25">
        <f t="array" ref="J12">IFERROR(INDEX('07_TECHNICIAN_ANALYSIS'!$F$2:$F$152,MATCH(LARGE('07_TECHNICIAN_ANALYSIS'!$M$2:$M$152,8),'07_TECHNICIAN_ANALYSIS'!$M$2:$M$152,0)),"")</f>
        <v>3</v>
      </c>
      <c r="K12" s="26">
        <f t="array" ref="K12">IFERROR(INDEX('07_TECHNICIAN_ANALYSIS'!$G$2:$G$152,MATCH(LARGE('07_TECHNICIAN_ANALYSIS'!$M$2:$M$152,8),'07_TECHNICIAN_ANALYSIS'!$M$2:$M$152,0)),"")</f>
        <v>0.66666666666666663</v>
      </c>
    </row>
    <row r="13" spans="1:11" x14ac:dyDescent="0.2">
      <c r="A13" s="22">
        <v>9</v>
      </c>
      <c r="B13" s="22" t="str">
        <f t="array" ref="B13">IFERROR(INDEX('06_STORE_ANALYSIS'!$B$2:$B$70,MATCH(LARGE('06_STORE_ANALYSIS'!$P$2:$P$70,9),'06_STORE_ANALYSIS'!$P$2:$P$70,0)),"")</f>
        <v>Fresh Thyme #632</v>
      </c>
      <c r="C13" s="22">
        <f t="array" ref="C13">IFERROR(INDEX('06_STORE_ANALYSIS'!$E$2:$E$70,MATCH(LARGE('06_STORE_ANALYSIS'!$P$2:$P$70,9),'06_STORE_ANALYSIS'!$P$2:$P$70,0)),"")</f>
        <v>7</v>
      </c>
      <c r="D13" s="22">
        <f t="array" ref="D13">IFERROR(INDEX('06_STORE_ANALYSIS'!$H$2:$H$70,MATCH(LARGE('06_STORE_ANALYSIS'!$P$2:$P$70,9),'06_STORE_ANALYSIS'!$P$2:$P$70,0)),"")</f>
        <v>3</v>
      </c>
      <c r="E13" s="23">
        <f t="array" ref="E13">IFERROR(INDEX('06_STORE_ANALYSIS'!$I$2:$I$70,MATCH(LARGE('06_STORE_ANALYSIS'!$P$2:$P$70,9),'06_STORE_ANALYSIS'!$P$2:$P$70,0)),"")</f>
        <v>0.4</v>
      </c>
      <c r="G13" s="22">
        <v>9</v>
      </c>
      <c r="H13" s="22" t="str">
        <f t="array" ref="H13">IFERROR(INDEX('07_TECHNICIAN_ANALYSIS'!$B$2:$B$152,MATCH(LARGE('07_TECHNICIAN_ANALYSIS'!$M$2:$M$152,9),'07_TECHNICIAN_ANALYSIS'!$M$2:$M$152,0)),"")</f>
        <v>McAtee Megan</v>
      </c>
      <c r="I13" s="22">
        <f t="array" ref="I13">IFERROR(INDEX('07_TECHNICIAN_ANALYSIS'!$C$2:$C$152,MATCH(LARGE('07_TECHNICIAN_ANALYSIS'!$M$2:$M$152,9),'07_TECHNICIAN_ANALYSIS'!$M$2:$M$152,0)),"")</f>
        <v>9</v>
      </c>
      <c r="J13" s="22">
        <f t="array" ref="J13">IFERROR(INDEX('07_TECHNICIAN_ANALYSIS'!$F$2:$F$152,MATCH(LARGE('07_TECHNICIAN_ANALYSIS'!$M$2:$M$152,9),'07_TECHNICIAN_ANALYSIS'!$M$2:$M$152,0)),"")</f>
        <v>3</v>
      </c>
      <c r="K13" s="23">
        <f t="array" ref="K13">IFERROR(INDEX('07_TECHNICIAN_ANALYSIS'!$G$2:$G$152,MATCH(LARGE('07_TECHNICIAN_ANALYSIS'!$M$2:$M$152,9),'07_TECHNICIAN_ANALYSIS'!$M$2:$M$152,0)),"")</f>
        <v>0.5</v>
      </c>
    </row>
    <row r="14" spans="1:11" x14ac:dyDescent="0.2">
      <c r="A14" s="25">
        <v>10</v>
      </c>
      <c r="B14" s="25" t="str">
        <f t="array" ref="B14">IFERROR(INDEX('06_STORE_ANALYSIS'!$B$2:$B$70,MATCH(LARGE('06_STORE_ANALYSIS'!$P$2:$P$70,10),'06_STORE_ANALYSIS'!$P$2:$P$70,0)),"")</f>
        <v>Fresh Thyme #562</v>
      </c>
      <c r="C14" s="25">
        <f t="array" ref="C14">IFERROR(INDEX('06_STORE_ANALYSIS'!$E$2:$E$70,MATCH(LARGE('06_STORE_ANALYSIS'!$P$2:$P$70,10),'06_STORE_ANALYSIS'!$P$2:$P$70,0)),"")</f>
        <v>15</v>
      </c>
      <c r="D14" s="25">
        <f t="array" ref="D14">IFERROR(INDEX('06_STORE_ANALYSIS'!$H$2:$H$70,MATCH(LARGE('06_STORE_ANALYSIS'!$P$2:$P$70,10),'06_STORE_ANALYSIS'!$P$2:$P$70,0)),"")</f>
        <v>3</v>
      </c>
      <c r="E14" s="26">
        <f t="array" ref="E14">IFERROR(INDEX('06_STORE_ANALYSIS'!$I$2:$I$70,MATCH(LARGE('06_STORE_ANALYSIS'!$P$2:$P$70,10),'06_STORE_ANALYSIS'!$P$2:$P$70,0)),"")</f>
        <v>0.72727272727272729</v>
      </c>
      <c r="G14" s="25">
        <v>10</v>
      </c>
      <c r="H14" s="25" t="str">
        <f t="array" ref="H14">IFERROR(INDEX('07_TECHNICIAN_ANALYSIS'!$B$2:$B$152,MATCH(LARGE('07_TECHNICIAN_ANALYSIS'!$M$2:$M$152,10),'07_TECHNICIAN_ANALYSIS'!$M$2:$M$152,0)),"")</f>
        <v>Qi Chuan</v>
      </c>
      <c r="I14" s="25">
        <f t="array" ref="I14">IFERROR(INDEX('07_TECHNICIAN_ANALYSIS'!$C$2:$C$152,MATCH(LARGE('07_TECHNICIAN_ANALYSIS'!$M$2:$M$152,10),'07_TECHNICIAN_ANALYSIS'!$M$2:$M$152,0)),"")</f>
        <v>12</v>
      </c>
      <c r="J14" s="25">
        <f t="array" ref="J14">IFERROR(INDEX('07_TECHNICIAN_ANALYSIS'!$F$2:$F$152,MATCH(LARGE('07_TECHNICIAN_ANALYSIS'!$M$2:$M$152,10),'07_TECHNICIAN_ANALYSIS'!$M$2:$M$152,0)),"")</f>
        <v>3</v>
      </c>
      <c r="K14" s="26">
        <f t="array" ref="K14">IFERROR(INDEX('07_TECHNICIAN_ANALYSIS'!$G$2:$G$152,MATCH(LARGE('07_TECHNICIAN_ANALYSIS'!$M$2:$M$152,10),'07_TECHNICIAN_ANALYSIS'!$M$2:$M$152,0)),"")</f>
        <v>0.72727272727272729</v>
      </c>
    </row>
    <row r="17" spans="1:11" x14ac:dyDescent="0.2">
      <c r="A17" s="19" t="s">
        <v>563</v>
      </c>
      <c r="G17" s="19" t="s">
        <v>564</v>
      </c>
    </row>
    <row r="18" spans="1:11" ht="18" customHeight="1" x14ac:dyDescent="0.2">
      <c r="A18" s="21" t="s">
        <v>557</v>
      </c>
      <c r="B18" s="21" t="s">
        <v>558</v>
      </c>
      <c r="C18" s="21" t="s">
        <v>64</v>
      </c>
      <c r="D18" s="21" t="s">
        <v>68</v>
      </c>
      <c r="G18" s="21"/>
      <c r="H18" s="21" t="s">
        <v>63</v>
      </c>
      <c r="I18" s="21" t="s">
        <v>68</v>
      </c>
    </row>
    <row r="19" spans="1:11" x14ac:dyDescent="0.2">
      <c r="A19" s="22">
        <v>1</v>
      </c>
      <c r="B19" s="22" t="str">
        <f t="array" ref="B19">IFERROR(INDEX('06_STORE_ANALYSIS'!$B$2:$B$70,MATCH(LARGE('06_STORE_ANALYSIS'!$Q$2:$Q$70,1),'06_STORE_ANALYSIS'!$Q$2:$Q$70,0)),"")</f>
        <v>Fresh Thyme #647</v>
      </c>
      <c r="C19" s="22">
        <f t="array" ref="C19">IFERROR(INDEX('06_STORE_ANALYSIS'!$E$2:$E$70,MATCH(LARGE('06_STORE_ANALYSIS'!$Q$2:$Q$70,1),'06_STORE_ANALYSIS'!$Q$2:$Q$70,0)),"")</f>
        <v>16</v>
      </c>
      <c r="D19" s="23">
        <f t="array" ref="D19">IFERROR(INDEX('06_STORE_ANALYSIS'!$I$2:$I$70,MATCH(LARGE('06_STORE_ANALYSIS'!$Q$2:$Q$70,1),'06_STORE_ANALYSIS'!$Q$2:$Q$70,0)),"")</f>
        <v>0.2857142857142857</v>
      </c>
      <c r="G19" s="22" t="s">
        <v>565</v>
      </c>
      <c r="H19" s="22" t="str">
        <f t="array" ref="H19">INDEX('04_SLA_TREND'!$A$3:$A$15,MATCH(MAX('04_SLA_TREND'!$F$3:$F$15),'04_SLA_TREND'!$F$3:$F$15,0))</f>
        <v>2026-02</v>
      </c>
      <c r="I19" s="23">
        <f>MAX('04_SLA_TREND'!$F$3:$F$15)</f>
        <v>1</v>
      </c>
    </row>
    <row r="20" spans="1:11" x14ac:dyDescent="0.2">
      <c r="A20" s="25">
        <v>2</v>
      </c>
      <c r="B20" s="25" t="str">
        <f t="array" ref="B20">IFERROR(INDEX('06_STORE_ANALYSIS'!$B$2:$B$70,MATCH(LARGE('06_STORE_ANALYSIS'!$Q$2:$Q$70,2),'06_STORE_ANALYSIS'!$Q$2:$Q$70,0)),"")</f>
        <v>Fresh Thyme #931</v>
      </c>
      <c r="C20" s="25">
        <f t="array" ref="C20">IFERROR(INDEX('06_STORE_ANALYSIS'!$E$2:$E$70,MATCH(LARGE('06_STORE_ANALYSIS'!$Q$2:$Q$70,2),'06_STORE_ANALYSIS'!$Q$2:$Q$70,0)),"")</f>
        <v>17</v>
      </c>
      <c r="D20" s="26">
        <f t="array" ref="D20">IFERROR(INDEX('06_STORE_ANALYSIS'!$I$2:$I$70,MATCH(LARGE('06_STORE_ANALYSIS'!$Q$2:$Q$70,2),'06_STORE_ANALYSIS'!$Q$2:$Q$70,0)),"")</f>
        <v>0.41666666666666669</v>
      </c>
      <c r="G20" s="25" t="s">
        <v>566</v>
      </c>
      <c r="H20" s="25" t="str">
        <f t="array" ref="H20">INDEX('04_SLA_TREND'!$A$3:$A$15,MATCH(MIN('04_SLA_TREND'!$F$3:$F$15),'04_SLA_TREND'!$F$3:$F$15,0))</f>
        <v>2025-11</v>
      </c>
      <c r="I20" s="26">
        <f>MIN('04_SLA_TREND'!$F$3:$F$15)</f>
        <v>0.39285714285714285</v>
      </c>
    </row>
    <row r="21" spans="1:11" x14ac:dyDescent="0.2">
      <c r="A21" s="22">
        <v>3</v>
      </c>
      <c r="B21" s="22" t="str">
        <f t="array" ref="B21">IFERROR(INDEX('06_STORE_ANALYSIS'!$B$2:$B$70,MATCH(LARGE('06_STORE_ANALYSIS'!$Q$2:$Q$70,3),'06_STORE_ANALYSIS'!$Q$2:$Q$70,0)),"")</f>
        <v>Fresh Thyme #637</v>
      </c>
      <c r="C21" s="22">
        <f t="array" ref="C21">IFERROR(INDEX('06_STORE_ANALYSIS'!$E$2:$E$70,MATCH(LARGE('06_STORE_ANALYSIS'!$Q$2:$Q$70,3),'06_STORE_ANALYSIS'!$Q$2:$Q$70,0)),"")</f>
        <v>11</v>
      </c>
      <c r="D21" s="23">
        <f t="array" ref="D21">IFERROR(INDEX('06_STORE_ANALYSIS'!$I$2:$I$70,MATCH(LARGE('06_STORE_ANALYSIS'!$Q$2:$Q$70,3),'06_STORE_ANALYSIS'!$Q$2:$Q$70,0)),"")</f>
        <v>0.45454545454545453</v>
      </c>
    </row>
    <row r="22" spans="1:11" x14ac:dyDescent="0.2">
      <c r="A22" s="25">
        <v>4</v>
      </c>
      <c r="B22" s="25" t="str">
        <f t="array" ref="B22">IFERROR(INDEX('06_STORE_ANALYSIS'!$B$2:$B$70,MATCH(LARGE('06_STORE_ANALYSIS'!$Q$2:$Q$70,4),'06_STORE_ANALYSIS'!$Q$2:$Q$70,0)),"")</f>
        <v>Fresh Thyme #638</v>
      </c>
      <c r="C22" s="25">
        <f t="array" ref="C22">IFERROR(INDEX('06_STORE_ANALYSIS'!$E$2:$E$70,MATCH(LARGE('06_STORE_ANALYSIS'!$Q$2:$Q$70,4),'06_STORE_ANALYSIS'!$Q$2:$Q$70,0)),"")</f>
        <v>10</v>
      </c>
      <c r="D22" s="26">
        <f t="array" ref="D22">IFERROR(INDEX('06_STORE_ANALYSIS'!$I$2:$I$70,MATCH(LARGE('06_STORE_ANALYSIS'!$Q$2:$Q$70,4),'06_STORE_ANALYSIS'!$Q$2:$Q$70,0)),"")</f>
        <v>0.5</v>
      </c>
    </row>
    <row r="23" spans="1:11" x14ac:dyDescent="0.2">
      <c r="A23" s="22">
        <v>5</v>
      </c>
      <c r="B23" s="22" t="str">
        <f t="array" ref="B23">IFERROR(INDEX('06_STORE_ANALYSIS'!$B$2:$B$70,MATCH(LARGE('06_STORE_ANALYSIS'!$Q$2:$Q$70,5),'06_STORE_ANALYSIS'!$Q$2:$Q$70,0)),"")</f>
        <v>Fresh Thyme #544</v>
      </c>
      <c r="C23" s="22">
        <f t="array" ref="C23">IFERROR(INDEX('06_STORE_ANALYSIS'!$E$2:$E$70,MATCH(LARGE('06_STORE_ANALYSIS'!$Q$2:$Q$70,5),'06_STORE_ANALYSIS'!$Q$2:$Q$70,0)),"")</f>
        <v>16</v>
      </c>
      <c r="D23" s="23">
        <f t="array" ref="D23">IFERROR(INDEX('06_STORE_ANALYSIS'!$I$2:$I$70,MATCH(LARGE('06_STORE_ANALYSIS'!$Q$2:$Q$70,5),'06_STORE_ANALYSIS'!$Q$2:$Q$70,0)),"")</f>
        <v>0.5714285714285714</v>
      </c>
    </row>
    <row r="24" spans="1:11" x14ac:dyDescent="0.2">
      <c r="A24" s="25">
        <v>6</v>
      </c>
      <c r="B24" s="25" t="str">
        <f t="array" ref="B24">IFERROR(INDEX('06_STORE_ANALYSIS'!$B$2:$B$70,MATCH(LARGE('06_STORE_ANALYSIS'!$Q$2:$Q$70,6),'06_STORE_ANALYSIS'!$Q$2:$Q$70,0)),"")</f>
        <v>Fresh Thyme #522</v>
      </c>
      <c r="C24" s="25">
        <f t="array" ref="C24">IFERROR(INDEX('06_STORE_ANALYSIS'!$E$2:$E$70,MATCH(LARGE('06_STORE_ANALYSIS'!$Q$2:$Q$70,6),'06_STORE_ANALYSIS'!$Q$2:$Q$70,0)),"")</f>
        <v>13</v>
      </c>
      <c r="D24" s="26">
        <f t="array" ref="D24">IFERROR(INDEX('06_STORE_ANALYSIS'!$I$2:$I$70,MATCH(LARGE('06_STORE_ANALYSIS'!$Q$2:$Q$70,6),'06_STORE_ANALYSIS'!$Q$2:$Q$70,0)),"")</f>
        <v>0.58333333333333337</v>
      </c>
    </row>
    <row r="25" spans="1:11" x14ac:dyDescent="0.2">
      <c r="A25" s="22">
        <v>7</v>
      </c>
      <c r="B25" s="22" t="str">
        <f t="array" ref="B25">IFERROR(INDEX('06_STORE_ANALYSIS'!$B$2:$B$70,MATCH(LARGE('06_STORE_ANALYSIS'!$Q$2:$Q$70,7),'06_STORE_ANALYSIS'!$Q$2:$Q$70,0)),"")</f>
        <v>Fresh Thyme #634</v>
      </c>
      <c r="C25" s="22">
        <f t="array" ref="C25">IFERROR(INDEX('06_STORE_ANALYSIS'!$E$2:$E$70,MATCH(LARGE('06_STORE_ANALYSIS'!$Q$2:$Q$70,7),'06_STORE_ANALYSIS'!$Q$2:$Q$70,0)),"")</f>
        <v>15</v>
      </c>
      <c r="D25" s="23">
        <f t="array" ref="D25">IFERROR(INDEX('06_STORE_ANALYSIS'!$I$2:$I$70,MATCH(LARGE('06_STORE_ANALYSIS'!$Q$2:$Q$70,7),'06_STORE_ANALYSIS'!$Q$2:$Q$70,0)),"")</f>
        <v>0.7</v>
      </c>
    </row>
    <row r="26" spans="1:11" x14ac:dyDescent="0.2">
      <c r="A26" s="25">
        <v>8</v>
      </c>
      <c r="B26" s="25" t="str">
        <f t="array" ref="B26">IFERROR(INDEX('06_STORE_ANALYSIS'!$B$2:$B$70,MATCH(LARGE('06_STORE_ANALYSIS'!$Q$2:$Q$70,8),'06_STORE_ANALYSIS'!$Q$2:$Q$70,0)),"")</f>
        <v>Fresh Thyme #562</v>
      </c>
      <c r="C26" s="25">
        <f t="array" ref="C26">IFERROR(INDEX('06_STORE_ANALYSIS'!$E$2:$E$70,MATCH(LARGE('06_STORE_ANALYSIS'!$Q$2:$Q$70,8),'06_STORE_ANALYSIS'!$Q$2:$Q$70,0)),"")</f>
        <v>15</v>
      </c>
      <c r="D26" s="26">
        <f t="array" ref="D26">IFERROR(INDEX('06_STORE_ANALYSIS'!$I$2:$I$70,MATCH(LARGE('06_STORE_ANALYSIS'!$Q$2:$Q$70,8),'06_STORE_ANALYSIS'!$Q$2:$Q$70,0)),"")</f>
        <v>0.72727272727272729</v>
      </c>
    </row>
    <row r="27" spans="1:11" x14ac:dyDescent="0.2">
      <c r="A27" s="22">
        <v>9</v>
      </c>
      <c r="B27" s="22" t="str">
        <f t="array" ref="B27">IFERROR(INDEX('06_STORE_ANALYSIS'!$B$2:$B$70,MATCH(LARGE('06_STORE_ANALYSIS'!$Q$2:$Q$70,9),'06_STORE_ANALYSIS'!$Q$2:$Q$70,0)),"")</f>
        <v>Fresh Thyme #546</v>
      </c>
      <c r="C27" s="22">
        <f t="array" ref="C27">IFERROR(INDEX('06_STORE_ANALYSIS'!$E$2:$E$70,MATCH(LARGE('06_STORE_ANALYSIS'!$Q$2:$Q$70,9),'06_STORE_ANALYSIS'!$Q$2:$Q$70,0)),"")</f>
        <v>15</v>
      </c>
      <c r="D27" s="23">
        <f t="array" ref="D27">IFERROR(INDEX('06_STORE_ANALYSIS'!$I$2:$I$70,MATCH(LARGE('06_STORE_ANALYSIS'!$Q$2:$Q$70,9),'06_STORE_ANALYSIS'!$Q$2:$Q$70,0)),"")</f>
        <v>0.72727272727272729</v>
      </c>
    </row>
    <row r="28" spans="1:11" x14ac:dyDescent="0.2">
      <c r="A28" s="25">
        <v>10</v>
      </c>
      <c r="B28" s="25" t="str">
        <f t="array" ref="B28">IFERROR(INDEX('06_STORE_ANALYSIS'!$B$2:$B$70,MATCH(LARGE('06_STORE_ANALYSIS'!$Q$2:$Q$70,10),'06_STORE_ANALYSIS'!$Q$2:$Q$70,0)),"")</f>
        <v>Fresh Thyme #701</v>
      </c>
      <c r="C28" s="25">
        <f t="array" ref="C28">IFERROR(INDEX('06_STORE_ANALYSIS'!$E$2:$E$70,MATCH(LARGE('06_STORE_ANALYSIS'!$Q$2:$Q$70,10),'06_STORE_ANALYSIS'!$Q$2:$Q$70,0)),"")</f>
        <v>10</v>
      </c>
      <c r="D28" s="26">
        <f t="array" ref="D28">IFERROR(INDEX('06_STORE_ANALYSIS'!$I$2:$I$70,MATCH(LARGE('06_STORE_ANALYSIS'!$Q$2:$Q$70,10),'06_STORE_ANALYSIS'!$Q$2:$Q$70,0)),"")</f>
        <v>0.77777777777777779</v>
      </c>
    </row>
    <row r="31" spans="1:11" ht="16" x14ac:dyDescent="0.2">
      <c r="A31" s="18" t="s">
        <v>567</v>
      </c>
    </row>
    <row r="32" spans="1:11" ht="15" customHeight="1" x14ac:dyDescent="0.2">
      <c r="A32" s="46" t="s">
        <v>568</v>
      </c>
      <c r="B32" s="46"/>
      <c r="C32" s="46"/>
      <c r="D32" s="46"/>
      <c r="E32" s="46"/>
      <c r="F32" s="46"/>
      <c r="G32" s="46"/>
      <c r="H32" s="46"/>
      <c r="I32" s="46"/>
      <c r="J32" s="46"/>
      <c r="K32" s="46"/>
    </row>
    <row r="33" spans="1:11" ht="15" customHeight="1" x14ac:dyDescent="0.2">
      <c r="A33" s="46"/>
      <c r="B33" s="46"/>
      <c r="C33" s="46"/>
      <c r="D33" s="46"/>
      <c r="E33" s="46"/>
      <c r="F33" s="46"/>
      <c r="G33" s="46"/>
      <c r="H33" s="46"/>
      <c r="I33" s="46"/>
      <c r="J33" s="46"/>
      <c r="K33" s="46"/>
    </row>
    <row r="34" spans="1:11" ht="15" customHeight="1" x14ac:dyDescent="0.2">
      <c r="A34" s="46"/>
      <c r="B34" s="46"/>
      <c r="C34" s="46"/>
      <c r="D34" s="46"/>
      <c r="E34" s="46"/>
      <c r="F34" s="46"/>
      <c r="G34" s="46"/>
      <c r="H34" s="46"/>
      <c r="I34" s="46"/>
      <c r="J34" s="46"/>
      <c r="K34" s="46"/>
    </row>
    <row r="35" spans="1:11" ht="15" customHeight="1" x14ac:dyDescent="0.2">
      <c r="A35" s="46" t="s">
        <v>569</v>
      </c>
      <c r="B35" s="46"/>
      <c r="C35" s="46"/>
      <c r="D35" s="46"/>
      <c r="E35" s="46"/>
      <c r="F35" s="46"/>
      <c r="G35" s="46"/>
      <c r="H35" s="46"/>
      <c r="I35" s="46"/>
      <c r="J35" s="46"/>
      <c r="K35" s="46"/>
    </row>
    <row r="36" spans="1:11" ht="15" customHeight="1" x14ac:dyDescent="0.2">
      <c r="A36" s="46"/>
      <c r="B36" s="46"/>
      <c r="C36" s="46"/>
      <c r="D36" s="46"/>
      <c r="E36" s="46"/>
      <c r="F36" s="46"/>
      <c r="G36" s="46"/>
      <c r="H36" s="46"/>
      <c r="I36" s="46"/>
      <c r="J36" s="46"/>
      <c r="K36" s="46"/>
    </row>
    <row r="37" spans="1:11" ht="15" customHeight="1" x14ac:dyDescent="0.2">
      <c r="A37" s="46"/>
      <c r="B37" s="46"/>
      <c r="C37" s="46"/>
      <c r="D37" s="46"/>
      <c r="E37" s="46"/>
      <c r="F37" s="46"/>
      <c r="G37" s="46"/>
      <c r="H37" s="46"/>
      <c r="I37" s="46"/>
      <c r="J37" s="46"/>
      <c r="K37" s="46"/>
    </row>
    <row r="38" spans="1:11" ht="15" customHeight="1" x14ac:dyDescent="0.2">
      <c r="A38" s="46" t="s">
        <v>570</v>
      </c>
      <c r="B38" s="46"/>
      <c r="C38" s="46"/>
      <c r="D38" s="46"/>
      <c r="E38" s="46"/>
      <c r="F38" s="46"/>
      <c r="G38" s="46"/>
      <c r="H38" s="46"/>
      <c r="I38" s="46"/>
      <c r="J38" s="46"/>
      <c r="K38" s="46"/>
    </row>
    <row r="39" spans="1:11" ht="15" customHeight="1" x14ac:dyDescent="0.2">
      <c r="A39" s="46"/>
      <c r="B39" s="46"/>
      <c r="C39" s="46"/>
      <c r="D39" s="46"/>
      <c r="E39" s="46"/>
      <c r="F39" s="46"/>
      <c r="G39" s="46"/>
      <c r="H39" s="46"/>
      <c r="I39" s="46"/>
      <c r="J39" s="46"/>
      <c r="K39" s="46"/>
    </row>
    <row r="40" spans="1:11" ht="15" customHeight="1" x14ac:dyDescent="0.2">
      <c r="A40" s="46"/>
      <c r="B40" s="46"/>
      <c r="C40" s="46"/>
      <c r="D40" s="46"/>
      <c r="E40" s="46"/>
      <c r="F40" s="46"/>
      <c r="G40" s="46"/>
      <c r="H40" s="46"/>
      <c r="I40" s="46"/>
      <c r="J40" s="46"/>
      <c r="K40" s="46"/>
    </row>
    <row r="41" spans="1:11" ht="15" customHeight="1" x14ac:dyDescent="0.2">
      <c r="A41" s="46" t="s">
        <v>571</v>
      </c>
      <c r="B41" s="46"/>
      <c r="C41" s="46"/>
      <c r="D41" s="46"/>
      <c r="E41" s="46"/>
      <c r="F41" s="46"/>
      <c r="G41" s="46"/>
      <c r="H41" s="46"/>
      <c r="I41" s="46"/>
      <c r="J41" s="46"/>
      <c r="K41" s="46"/>
    </row>
    <row r="42" spans="1:11" ht="15" customHeight="1" x14ac:dyDescent="0.2">
      <c r="A42" s="46"/>
      <c r="B42" s="46"/>
      <c r="C42" s="46"/>
      <c r="D42" s="46"/>
      <c r="E42" s="46"/>
      <c r="F42" s="46"/>
      <c r="G42" s="46"/>
      <c r="H42" s="46"/>
      <c r="I42" s="46"/>
      <c r="J42" s="46"/>
      <c r="K42" s="46"/>
    </row>
    <row r="43" spans="1:11" ht="15" customHeight="1" x14ac:dyDescent="0.2">
      <c r="A43" s="46"/>
      <c r="B43" s="46"/>
      <c r="C43" s="46"/>
      <c r="D43" s="46"/>
      <c r="E43" s="46"/>
      <c r="F43" s="46"/>
      <c r="G43" s="46"/>
      <c r="H43" s="46"/>
      <c r="I43" s="46"/>
      <c r="J43" s="46"/>
      <c r="K43" s="46"/>
    </row>
    <row r="44" spans="1:11" ht="15" customHeight="1" x14ac:dyDescent="0.2">
      <c r="A44" s="46" t="s">
        <v>572</v>
      </c>
      <c r="B44" s="46"/>
      <c r="C44" s="46"/>
      <c r="D44" s="46"/>
      <c r="E44" s="46"/>
      <c r="F44" s="46"/>
      <c r="G44" s="46"/>
      <c r="H44" s="46"/>
      <c r="I44" s="46"/>
      <c r="J44" s="46"/>
      <c r="K44" s="46"/>
    </row>
    <row r="45" spans="1:11" ht="15" customHeight="1" x14ac:dyDescent="0.2">
      <c r="A45" s="46"/>
      <c r="B45" s="46"/>
      <c r="C45" s="46"/>
      <c r="D45" s="46"/>
      <c r="E45" s="46"/>
      <c r="F45" s="46"/>
      <c r="G45" s="46"/>
      <c r="H45" s="46"/>
      <c r="I45" s="46"/>
      <c r="J45" s="46"/>
      <c r="K45" s="46"/>
    </row>
    <row r="46" spans="1:11" ht="15" customHeight="1" x14ac:dyDescent="0.2">
      <c r="A46" s="46"/>
      <c r="B46" s="46"/>
      <c r="C46" s="46"/>
      <c r="D46" s="46"/>
      <c r="E46" s="46"/>
      <c r="F46" s="46"/>
      <c r="G46" s="46"/>
      <c r="H46" s="46"/>
      <c r="I46" s="46"/>
      <c r="J46" s="46"/>
      <c r="K46" s="46"/>
    </row>
    <row r="47" spans="1:11" ht="15" customHeight="1" x14ac:dyDescent="0.2">
      <c r="A47" s="46" t="s">
        <v>573</v>
      </c>
      <c r="B47" s="46"/>
      <c r="C47" s="46"/>
      <c r="D47" s="46"/>
      <c r="E47" s="46"/>
      <c r="F47" s="46"/>
      <c r="G47" s="46"/>
      <c r="H47" s="46"/>
      <c r="I47" s="46"/>
      <c r="J47" s="46"/>
      <c r="K47" s="46"/>
    </row>
    <row r="48" spans="1:11" ht="15" customHeight="1" x14ac:dyDescent="0.2">
      <c r="A48" s="46"/>
      <c r="B48" s="46"/>
      <c r="C48" s="46"/>
      <c r="D48" s="46"/>
      <c r="E48" s="46"/>
      <c r="F48" s="46"/>
      <c r="G48" s="46"/>
      <c r="H48" s="46"/>
      <c r="I48" s="46"/>
      <c r="J48" s="46"/>
      <c r="K48" s="46"/>
    </row>
    <row r="49" spans="1:11" ht="15" customHeight="1" x14ac:dyDescent="0.2">
      <c r="A49" s="46"/>
      <c r="B49" s="46"/>
      <c r="C49" s="46"/>
      <c r="D49" s="46"/>
      <c r="E49" s="46"/>
      <c r="F49" s="46"/>
      <c r="G49" s="46"/>
      <c r="H49" s="46"/>
      <c r="I49" s="46"/>
      <c r="J49" s="46"/>
      <c r="K49" s="46"/>
    </row>
  </sheetData>
  <mergeCells count="7">
    <mergeCell ref="A44:K46"/>
    <mergeCell ref="A47:K49"/>
    <mergeCell ref="A1:H1"/>
    <mergeCell ref="A32:K34"/>
    <mergeCell ref="A35:K37"/>
    <mergeCell ref="A38:K40"/>
    <mergeCell ref="A41:K4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70"/>
  <sheetViews>
    <sheetView showGridLines="0" tabSelected="1" zoomScaleNormal="100" workbookViewId="0">
      <pane ySplit="1" topLeftCell="A2" activePane="bottomLeft" state="frozen"/>
      <selection pane="bottomLeft"/>
    </sheetView>
  </sheetViews>
  <sheetFormatPr baseColWidth="10" defaultColWidth="8.6640625" defaultRowHeight="15" x14ac:dyDescent="0.2"/>
  <cols>
    <col min="1" max="1" width="14" customWidth="1"/>
    <col min="2" max="2" width="12" customWidth="1"/>
    <col min="3" max="4" width="16" customWidth="1"/>
    <col min="5" max="5" width="7" customWidth="1"/>
    <col min="6" max="6" width="18" customWidth="1"/>
    <col min="7" max="7" width="14" customWidth="1"/>
    <col min="8" max="8" width="9" customWidth="1"/>
    <col min="9" max="9" width="11" customWidth="1"/>
    <col min="10" max="11" width="12" customWidth="1"/>
    <col min="12" max="12" width="11" customWidth="1"/>
    <col min="13" max="13" width="10" customWidth="1"/>
    <col min="14" max="14" width="12" customWidth="1"/>
    <col min="15" max="15" width="14" customWidth="1"/>
    <col min="16" max="16" width="10" customWidth="1"/>
    <col min="17" max="18" width="12" customWidth="1"/>
    <col min="19" max="19" width="20" customWidth="1"/>
    <col min="20" max="22" width="10" customWidth="1"/>
    <col min="23" max="23" width="13" customWidth="1"/>
    <col min="25" max="25" width="60" customWidth="1"/>
  </cols>
  <sheetData>
    <row r="1" spans="1:25" ht="31.5" customHeight="1" x14ac:dyDescent="0.2">
      <c r="A1" s="34" t="s">
        <v>574</v>
      </c>
      <c r="B1" s="34" t="s">
        <v>575</v>
      </c>
      <c r="C1" s="34" t="s">
        <v>102</v>
      </c>
      <c r="D1" s="34" t="s">
        <v>103</v>
      </c>
      <c r="E1" s="34" t="s">
        <v>104</v>
      </c>
      <c r="F1" s="34" t="s">
        <v>576</v>
      </c>
      <c r="G1" s="34" t="s">
        <v>577</v>
      </c>
      <c r="H1" s="34" t="s">
        <v>550</v>
      </c>
      <c r="I1" s="34" t="s">
        <v>578</v>
      </c>
      <c r="J1" s="34" t="s">
        <v>579</v>
      </c>
      <c r="K1" s="34" t="s">
        <v>580</v>
      </c>
      <c r="L1" s="34" t="s">
        <v>581</v>
      </c>
      <c r="M1" s="34" t="s">
        <v>582</v>
      </c>
      <c r="N1" s="34" t="s">
        <v>583</v>
      </c>
      <c r="O1" s="34" t="s">
        <v>584</v>
      </c>
      <c r="P1" s="34" t="s">
        <v>585</v>
      </c>
      <c r="Q1" s="34" t="s">
        <v>586</v>
      </c>
      <c r="R1" s="34" t="s">
        <v>587</v>
      </c>
      <c r="S1" s="34" t="s">
        <v>588</v>
      </c>
      <c r="T1" s="34" t="s">
        <v>589</v>
      </c>
      <c r="U1" s="34" t="s">
        <v>590</v>
      </c>
      <c r="V1" s="34" t="s">
        <v>591</v>
      </c>
      <c r="W1" s="34" t="s">
        <v>592</v>
      </c>
      <c r="Y1" s="47" t="s">
        <v>593</v>
      </c>
    </row>
    <row r="2" spans="1:25" x14ac:dyDescent="0.2">
      <c r="A2">
        <v>7526314205</v>
      </c>
      <c r="B2">
        <v>962</v>
      </c>
      <c r="C2" t="s">
        <v>244</v>
      </c>
      <c r="D2" t="s">
        <v>245</v>
      </c>
      <c r="E2" t="s">
        <v>246</v>
      </c>
      <c r="F2" t="s">
        <v>525</v>
      </c>
      <c r="G2" t="s">
        <v>528</v>
      </c>
      <c r="H2">
        <v>2</v>
      </c>
      <c r="I2" t="s">
        <v>594</v>
      </c>
      <c r="J2" s="39">
        <v>45920.5737731482</v>
      </c>
      <c r="K2" s="39">
        <v>45920</v>
      </c>
      <c r="L2" t="str">
        <f t="shared" ref="L2:L65" si="0">IF(K2="","",TEXT(K2,"YYYY-MM"))</f>
        <v>2025-09</v>
      </c>
      <c r="M2" t="s">
        <v>595</v>
      </c>
      <c r="N2">
        <v>16</v>
      </c>
      <c r="O2">
        <v>5.83</v>
      </c>
      <c r="P2">
        <v>0</v>
      </c>
      <c r="Q2">
        <v>0</v>
      </c>
      <c r="R2">
        <v>0</v>
      </c>
      <c r="S2" t="s">
        <v>95</v>
      </c>
      <c r="T2">
        <v>0</v>
      </c>
      <c r="V2" t="str">
        <f t="shared" ref="V2:V65" si="1">IF(R2=0,"",IF(U2&lt;&gt;"",U2,Q2))</f>
        <v/>
      </c>
      <c r="W2" t="str">
        <f t="shared" ref="W2:W65" si="2">IF(R2=0,"Not Eligible",IF(V2=1,"Met","Missed"))</f>
        <v>Not Eligible</v>
      </c>
      <c r="Y2" s="47"/>
    </row>
    <row r="3" spans="1:25" x14ac:dyDescent="0.2">
      <c r="A3">
        <v>7621502464</v>
      </c>
      <c r="B3">
        <v>606</v>
      </c>
      <c r="C3" t="s">
        <v>176</v>
      </c>
      <c r="D3" t="s">
        <v>177</v>
      </c>
      <c r="E3" t="s">
        <v>178</v>
      </c>
      <c r="F3" t="s">
        <v>292</v>
      </c>
      <c r="G3" t="s">
        <v>291</v>
      </c>
      <c r="H3">
        <v>2</v>
      </c>
      <c r="I3" t="s">
        <v>596</v>
      </c>
      <c r="J3" s="39">
        <v>46236.917129629597</v>
      </c>
      <c r="K3" s="39">
        <v>46237</v>
      </c>
      <c r="L3" t="str">
        <f t="shared" si="0"/>
        <v>2026-08</v>
      </c>
      <c r="M3" t="s">
        <v>595</v>
      </c>
      <c r="N3">
        <v>16</v>
      </c>
      <c r="O3">
        <v>11.42</v>
      </c>
      <c r="P3">
        <v>1</v>
      </c>
      <c r="Q3">
        <v>1</v>
      </c>
      <c r="R3">
        <v>1</v>
      </c>
      <c r="S3" t="s">
        <v>94</v>
      </c>
      <c r="T3">
        <v>2</v>
      </c>
      <c r="U3">
        <v>1</v>
      </c>
      <c r="V3">
        <f t="shared" si="1"/>
        <v>1</v>
      </c>
      <c r="W3" t="str">
        <f t="shared" si="2"/>
        <v>Met</v>
      </c>
      <c r="Y3" s="47"/>
    </row>
    <row r="4" spans="1:25" x14ac:dyDescent="0.2">
      <c r="A4">
        <v>7534505738</v>
      </c>
      <c r="B4">
        <v>643</v>
      </c>
      <c r="C4" t="s">
        <v>201</v>
      </c>
      <c r="D4" t="s">
        <v>202</v>
      </c>
      <c r="E4" t="s">
        <v>178</v>
      </c>
      <c r="F4" t="s">
        <v>320</v>
      </c>
      <c r="G4" t="s">
        <v>319</v>
      </c>
      <c r="H4">
        <v>2</v>
      </c>
      <c r="I4" t="s">
        <v>594</v>
      </c>
      <c r="J4" s="39">
        <v>46002.495231481502</v>
      </c>
      <c r="K4" s="39">
        <v>46002</v>
      </c>
      <c r="L4" t="str">
        <f t="shared" si="0"/>
        <v>2025-12</v>
      </c>
      <c r="M4" t="s">
        <v>595</v>
      </c>
      <c r="N4">
        <v>16</v>
      </c>
      <c r="O4">
        <v>1.83</v>
      </c>
      <c r="P4">
        <v>0</v>
      </c>
      <c r="Q4">
        <v>0</v>
      </c>
      <c r="R4">
        <v>0</v>
      </c>
      <c r="S4" t="s">
        <v>95</v>
      </c>
      <c r="T4">
        <v>0</v>
      </c>
      <c r="V4" t="str">
        <f t="shared" si="1"/>
        <v/>
      </c>
      <c r="W4" t="str">
        <f t="shared" si="2"/>
        <v>Not Eligible</v>
      </c>
      <c r="Y4" s="47"/>
    </row>
    <row r="5" spans="1:25" x14ac:dyDescent="0.2">
      <c r="A5">
        <v>7521807604</v>
      </c>
      <c r="B5">
        <v>647</v>
      </c>
      <c r="C5" t="s">
        <v>207</v>
      </c>
      <c r="D5" t="s">
        <v>208</v>
      </c>
      <c r="E5" t="s">
        <v>178</v>
      </c>
      <c r="F5" t="s">
        <v>408</v>
      </c>
      <c r="G5" t="s">
        <v>407</v>
      </c>
      <c r="H5">
        <v>2</v>
      </c>
      <c r="I5" t="s">
        <v>594</v>
      </c>
      <c r="J5" s="39">
        <v>45875.613749999997</v>
      </c>
      <c r="K5" s="39">
        <v>45875</v>
      </c>
      <c r="L5" t="str">
        <f t="shared" si="0"/>
        <v>2025-08</v>
      </c>
      <c r="M5" t="s">
        <v>595</v>
      </c>
      <c r="N5">
        <v>16</v>
      </c>
      <c r="O5">
        <v>0.8</v>
      </c>
      <c r="P5">
        <v>0</v>
      </c>
      <c r="Q5">
        <v>0</v>
      </c>
      <c r="R5">
        <v>0</v>
      </c>
      <c r="S5" t="s">
        <v>95</v>
      </c>
      <c r="T5">
        <v>0</v>
      </c>
      <c r="V5" t="str">
        <f t="shared" si="1"/>
        <v/>
      </c>
      <c r="W5" t="str">
        <f t="shared" si="2"/>
        <v>Not Eligible</v>
      </c>
      <c r="Y5" s="47"/>
    </row>
    <row r="6" spans="1:25" x14ac:dyDescent="0.2">
      <c r="A6">
        <v>7621504463</v>
      </c>
      <c r="B6">
        <v>536</v>
      </c>
      <c r="C6" t="s">
        <v>155</v>
      </c>
      <c r="D6" t="s">
        <v>147</v>
      </c>
      <c r="E6" t="s">
        <v>134</v>
      </c>
      <c r="F6" t="s">
        <v>343</v>
      </c>
      <c r="G6" t="s">
        <v>342</v>
      </c>
      <c r="H6">
        <v>2</v>
      </c>
      <c r="I6" t="s">
        <v>596</v>
      </c>
      <c r="J6" s="39">
        <v>46237.395335648202</v>
      </c>
      <c r="K6" s="39">
        <v>46238</v>
      </c>
      <c r="L6" t="str">
        <f t="shared" si="0"/>
        <v>2026-08</v>
      </c>
      <c r="M6" t="s">
        <v>595</v>
      </c>
      <c r="N6">
        <v>16</v>
      </c>
      <c r="O6">
        <v>26.15</v>
      </c>
      <c r="P6">
        <v>1</v>
      </c>
      <c r="Q6">
        <v>1</v>
      </c>
      <c r="R6">
        <v>1</v>
      </c>
      <c r="S6" t="s">
        <v>94</v>
      </c>
      <c r="T6">
        <v>2</v>
      </c>
      <c r="U6">
        <v>1</v>
      </c>
      <c r="V6">
        <f t="shared" si="1"/>
        <v>1</v>
      </c>
      <c r="W6" t="str">
        <f t="shared" si="2"/>
        <v>Met</v>
      </c>
      <c r="Y6" s="47"/>
    </row>
    <row r="7" spans="1:25" x14ac:dyDescent="0.2">
      <c r="A7">
        <v>7527904317</v>
      </c>
      <c r="B7">
        <v>631</v>
      </c>
      <c r="C7" t="s">
        <v>179</v>
      </c>
      <c r="D7" t="s">
        <v>180</v>
      </c>
      <c r="E7" t="s">
        <v>181</v>
      </c>
      <c r="F7" t="s">
        <v>440</v>
      </c>
      <c r="G7" t="s">
        <v>439</v>
      </c>
      <c r="H7">
        <v>1</v>
      </c>
      <c r="I7" t="s">
        <v>596</v>
      </c>
      <c r="J7" s="39">
        <v>45936.417997685203</v>
      </c>
      <c r="K7" s="39">
        <v>45937</v>
      </c>
      <c r="L7" t="str">
        <f t="shared" si="0"/>
        <v>2025-10</v>
      </c>
      <c r="M7" t="s">
        <v>595</v>
      </c>
      <c r="N7">
        <v>12</v>
      </c>
      <c r="O7">
        <v>26.53</v>
      </c>
      <c r="P7">
        <v>0</v>
      </c>
      <c r="Q7">
        <v>0</v>
      </c>
      <c r="R7">
        <v>1</v>
      </c>
      <c r="S7" t="s">
        <v>95</v>
      </c>
      <c r="T7">
        <v>0</v>
      </c>
      <c r="V7">
        <f t="shared" si="1"/>
        <v>0</v>
      </c>
      <c r="W7" t="str">
        <f t="shared" si="2"/>
        <v>Missed</v>
      </c>
    </row>
    <row r="8" spans="1:25" x14ac:dyDescent="0.2">
      <c r="A8">
        <v>7618403340</v>
      </c>
      <c r="B8">
        <v>638</v>
      </c>
      <c r="C8" t="s">
        <v>194</v>
      </c>
      <c r="D8" t="s">
        <v>147</v>
      </c>
      <c r="E8" t="s">
        <v>181</v>
      </c>
      <c r="F8" t="s">
        <v>361</v>
      </c>
      <c r="G8" t="s">
        <v>360</v>
      </c>
      <c r="H8">
        <v>2</v>
      </c>
      <c r="I8" t="s">
        <v>596</v>
      </c>
      <c r="J8" s="39">
        <v>46206.671446759297</v>
      </c>
      <c r="K8" s="39">
        <v>46209</v>
      </c>
      <c r="L8" t="str">
        <f t="shared" si="0"/>
        <v>2026-07</v>
      </c>
      <c r="M8" t="s">
        <v>595</v>
      </c>
      <c r="N8">
        <v>16</v>
      </c>
      <c r="O8">
        <v>68.05</v>
      </c>
      <c r="P8">
        <v>0</v>
      </c>
      <c r="Q8">
        <v>0</v>
      </c>
      <c r="R8">
        <v>1</v>
      </c>
      <c r="S8" t="s">
        <v>94</v>
      </c>
      <c r="T8">
        <v>0</v>
      </c>
      <c r="U8">
        <v>0</v>
      </c>
      <c r="V8">
        <f t="shared" si="1"/>
        <v>0</v>
      </c>
      <c r="W8" t="str">
        <f t="shared" si="2"/>
        <v>Missed</v>
      </c>
    </row>
    <row r="9" spans="1:25" x14ac:dyDescent="0.2">
      <c r="A9">
        <v>7530306800</v>
      </c>
      <c r="B9">
        <v>448</v>
      </c>
      <c r="C9" t="s">
        <v>109</v>
      </c>
      <c r="D9" t="s">
        <v>110</v>
      </c>
      <c r="E9" t="s">
        <v>111</v>
      </c>
      <c r="F9" t="s">
        <v>302</v>
      </c>
      <c r="G9" t="s">
        <v>301</v>
      </c>
      <c r="H9">
        <v>2</v>
      </c>
      <c r="I9" t="s">
        <v>596</v>
      </c>
      <c r="J9" s="39">
        <v>45960.5484027778</v>
      </c>
      <c r="K9" s="39">
        <v>45960</v>
      </c>
      <c r="L9" t="str">
        <f t="shared" si="0"/>
        <v>2025-10</v>
      </c>
      <c r="M9" t="s">
        <v>595</v>
      </c>
      <c r="N9">
        <v>16</v>
      </c>
      <c r="O9">
        <v>6.83</v>
      </c>
      <c r="P9">
        <v>1</v>
      </c>
      <c r="Q9">
        <v>1</v>
      </c>
      <c r="R9">
        <v>1</v>
      </c>
      <c r="S9" t="s">
        <v>95</v>
      </c>
      <c r="T9">
        <v>0</v>
      </c>
      <c r="V9">
        <f t="shared" si="1"/>
        <v>1</v>
      </c>
      <c r="W9" t="str">
        <f t="shared" si="2"/>
        <v>Met</v>
      </c>
    </row>
    <row r="10" spans="1:25" x14ac:dyDescent="0.2">
      <c r="A10">
        <v>7610001329</v>
      </c>
      <c r="B10">
        <v>545</v>
      </c>
      <c r="C10" t="s">
        <v>166</v>
      </c>
      <c r="D10" t="s">
        <v>167</v>
      </c>
      <c r="E10" t="s">
        <v>159</v>
      </c>
      <c r="F10" t="s">
        <v>304</v>
      </c>
      <c r="G10" t="s">
        <v>522</v>
      </c>
      <c r="H10">
        <v>2</v>
      </c>
      <c r="I10" t="s">
        <v>596</v>
      </c>
      <c r="J10" s="39">
        <v>46122.648622685199</v>
      </c>
      <c r="K10" s="39">
        <v>46129</v>
      </c>
      <c r="L10" t="str">
        <f t="shared" si="0"/>
        <v>2026-04</v>
      </c>
      <c r="M10" t="s">
        <v>595</v>
      </c>
      <c r="N10">
        <v>0</v>
      </c>
      <c r="O10">
        <v>166.07</v>
      </c>
      <c r="P10">
        <v>1</v>
      </c>
      <c r="Q10">
        <v>1</v>
      </c>
      <c r="R10">
        <v>1</v>
      </c>
      <c r="S10" t="s">
        <v>94</v>
      </c>
      <c r="T10">
        <v>1</v>
      </c>
      <c r="V10">
        <f t="shared" si="1"/>
        <v>1</v>
      </c>
      <c r="W10" t="str">
        <f t="shared" si="2"/>
        <v>Met</v>
      </c>
    </row>
    <row r="11" spans="1:25" x14ac:dyDescent="0.2">
      <c r="A11">
        <v>7526100324</v>
      </c>
      <c r="B11">
        <v>926</v>
      </c>
      <c r="C11" t="s">
        <v>235</v>
      </c>
      <c r="D11" t="s">
        <v>225</v>
      </c>
      <c r="E11" t="s">
        <v>226</v>
      </c>
      <c r="F11" t="s">
        <v>335</v>
      </c>
      <c r="G11" t="s">
        <v>334</v>
      </c>
      <c r="H11">
        <v>2</v>
      </c>
      <c r="I11" t="s">
        <v>594</v>
      </c>
      <c r="J11" s="39">
        <v>45918.704189814802</v>
      </c>
      <c r="K11" s="39">
        <v>45925</v>
      </c>
      <c r="L11" t="str">
        <f t="shared" si="0"/>
        <v>2025-09</v>
      </c>
      <c r="M11" t="s">
        <v>595</v>
      </c>
      <c r="N11">
        <v>16</v>
      </c>
      <c r="O11">
        <v>163.93</v>
      </c>
      <c r="P11">
        <v>0</v>
      </c>
      <c r="Q11">
        <v>0</v>
      </c>
      <c r="R11">
        <v>0</v>
      </c>
      <c r="S11" t="s">
        <v>94</v>
      </c>
      <c r="T11">
        <v>1</v>
      </c>
      <c r="V11" t="str">
        <f t="shared" si="1"/>
        <v/>
      </c>
      <c r="W11" t="str">
        <f t="shared" si="2"/>
        <v>Not Eligible</v>
      </c>
    </row>
    <row r="12" spans="1:25" x14ac:dyDescent="0.2">
      <c r="A12">
        <v>7621012398</v>
      </c>
      <c r="B12">
        <v>526</v>
      </c>
      <c r="C12" t="s">
        <v>140</v>
      </c>
      <c r="D12" t="s">
        <v>133</v>
      </c>
      <c r="E12" t="s">
        <v>134</v>
      </c>
      <c r="F12" t="s">
        <v>280</v>
      </c>
      <c r="G12" t="s">
        <v>279</v>
      </c>
      <c r="H12">
        <v>2</v>
      </c>
      <c r="I12" t="s">
        <v>594</v>
      </c>
      <c r="J12" s="39">
        <v>46232.577731481499</v>
      </c>
      <c r="K12" s="39">
        <v>46232</v>
      </c>
      <c r="L12" t="str">
        <f t="shared" si="0"/>
        <v>2026-07</v>
      </c>
      <c r="M12" t="s">
        <v>595</v>
      </c>
      <c r="N12">
        <v>16</v>
      </c>
      <c r="O12">
        <v>1.28</v>
      </c>
      <c r="P12">
        <v>0</v>
      </c>
      <c r="Q12">
        <v>0</v>
      </c>
      <c r="R12">
        <v>0</v>
      </c>
      <c r="S12" t="s">
        <v>94</v>
      </c>
      <c r="T12">
        <v>2</v>
      </c>
      <c r="U12">
        <v>1</v>
      </c>
      <c r="V12" t="str">
        <f t="shared" si="1"/>
        <v/>
      </c>
      <c r="W12" t="str">
        <f t="shared" si="2"/>
        <v>Not Eligible</v>
      </c>
    </row>
    <row r="13" spans="1:25" x14ac:dyDescent="0.2">
      <c r="A13">
        <v>7619803959</v>
      </c>
      <c r="B13">
        <v>523</v>
      </c>
      <c r="C13" t="s">
        <v>135</v>
      </c>
      <c r="D13" t="s">
        <v>136</v>
      </c>
      <c r="E13" t="s">
        <v>134</v>
      </c>
      <c r="F13" t="s">
        <v>355</v>
      </c>
      <c r="G13" t="s">
        <v>534</v>
      </c>
      <c r="H13">
        <v>2</v>
      </c>
      <c r="I13" t="s">
        <v>596</v>
      </c>
      <c r="J13" s="39">
        <v>46220.619641203702</v>
      </c>
      <c r="K13" s="39">
        <v>46221</v>
      </c>
      <c r="L13" t="str">
        <f t="shared" si="0"/>
        <v>2026-07</v>
      </c>
      <c r="M13" t="s">
        <v>595</v>
      </c>
      <c r="N13">
        <v>16</v>
      </c>
      <c r="O13">
        <v>27</v>
      </c>
      <c r="P13">
        <v>1</v>
      </c>
      <c r="Q13">
        <v>1</v>
      </c>
      <c r="R13">
        <v>1</v>
      </c>
      <c r="S13" t="s">
        <v>94</v>
      </c>
      <c r="T13">
        <v>2</v>
      </c>
      <c r="U13">
        <v>1</v>
      </c>
      <c r="V13">
        <f t="shared" si="1"/>
        <v>1</v>
      </c>
      <c r="W13" t="str">
        <f t="shared" si="2"/>
        <v>Met</v>
      </c>
    </row>
    <row r="14" spans="1:25" x14ac:dyDescent="0.2">
      <c r="A14">
        <v>7526401175</v>
      </c>
      <c r="B14">
        <v>925</v>
      </c>
      <c r="C14" t="s">
        <v>233</v>
      </c>
      <c r="D14" t="s">
        <v>234</v>
      </c>
      <c r="E14" t="s">
        <v>226</v>
      </c>
      <c r="F14" t="s">
        <v>278</v>
      </c>
      <c r="G14" t="s">
        <v>277</v>
      </c>
      <c r="H14">
        <v>2</v>
      </c>
      <c r="I14" t="s">
        <v>596</v>
      </c>
      <c r="J14" s="39">
        <v>45921.630590277797</v>
      </c>
      <c r="K14" s="39">
        <v>45922</v>
      </c>
      <c r="L14" t="str">
        <f t="shared" si="0"/>
        <v>2025-09</v>
      </c>
      <c r="M14" t="s">
        <v>595</v>
      </c>
      <c r="N14">
        <v>16</v>
      </c>
      <c r="O14">
        <v>24.53</v>
      </c>
      <c r="P14">
        <v>1</v>
      </c>
      <c r="Q14">
        <v>1</v>
      </c>
      <c r="R14">
        <v>1</v>
      </c>
      <c r="S14" t="s">
        <v>95</v>
      </c>
      <c r="T14">
        <v>0</v>
      </c>
      <c r="V14">
        <f t="shared" si="1"/>
        <v>1</v>
      </c>
      <c r="W14" t="str">
        <f t="shared" si="2"/>
        <v>Met</v>
      </c>
    </row>
    <row r="15" spans="1:25" x14ac:dyDescent="0.2">
      <c r="A15">
        <v>7603603855</v>
      </c>
      <c r="B15">
        <v>546</v>
      </c>
      <c r="C15" t="s">
        <v>168</v>
      </c>
      <c r="D15" t="s">
        <v>169</v>
      </c>
      <c r="E15" t="s">
        <v>159</v>
      </c>
      <c r="F15" t="s">
        <v>254</v>
      </c>
      <c r="G15" t="s">
        <v>253</v>
      </c>
      <c r="H15">
        <v>2</v>
      </c>
      <c r="I15" t="s">
        <v>594</v>
      </c>
      <c r="J15" s="39">
        <v>46058.5842708333</v>
      </c>
      <c r="K15" s="39">
        <v>46058</v>
      </c>
      <c r="L15" t="str">
        <f t="shared" si="0"/>
        <v>2026-02</v>
      </c>
      <c r="M15" t="s">
        <v>595</v>
      </c>
      <c r="N15">
        <v>0</v>
      </c>
      <c r="O15">
        <v>2.0299999999999998</v>
      </c>
      <c r="P15">
        <v>1</v>
      </c>
      <c r="Q15">
        <v>1</v>
      </c>
      <c r="R15">
        <v>1</v>
      </c>
      <c r="S15" t="s">
        <v>94</v>
      </c>
      <c r="T15">
        <v>2</v>
      </c>
      <c r="U15">
        <v>1</v>
      </c>
      <c r="V15">
        <f t="shared" si="1"/>
        <v>1</v>
      </c>
      <c r="W15" t="str">
        <f t="shared" si="2"/>
        <v>Met</v>
      </c>
    </row>
    <row r="16" spans="1:25" x14ac:dyDescent="0.2">
      <c r="A16">
        <v>7610405508</v>
      </c>
      <c r="B16">
        <v>497</v>
      </c>
      <c r="C16" t="s">
        <v>125</v>
      </c>
      <c r="D16" t="s">
        <v>126</v>
      </c>
      <c r="E16" t="s">
        <v>124</v>
      </c>
      <c r="F16" t="s">
        <v>364</v>
      </c>
      <c r="G16" t="s">
        <v>363</v>
      </c>
      <c r="H16">
        <v>1</v>
      </c>
      <c r="I16" t="s">
        <v>596</v>
      </c>
      <c r="J16" s="39">
        <v>46126.463483796302</v>
      </c>
      <c r="K16" s="39">
        <v>46126</v>
      </c>
      <c r="L16" t="str">
        <f t="shared" si="0"/>
        <v>2026-04</v>
      </c>
      <c r="M16" t="s">
        <v>595</v>
      </c>
      <c r="N16">
        <v>0</v>
      </c>
      <c r="O16">
        <v>1.78</v>
      </c>
      <c r="P16">
        <v>1</v>
      </c>
      <c r="Q16">
        <v>1</v>
      </c>
      <c r="R16">
        <v>1</v>
      </c>
      <c r="S16" t="s">
        <v>94</v>
      </c>
      <c r="T16">
        <v>2</v>
      </c>
      <c r="U16">
        <v>1</v>
      </c>
      <c r="V16">
        <f t="shared" si="1"/>
        <v>1</v>
      </c>
      <c r="W16" t="str">
        <f t="shared" si="2"/>
        <v>Met</v>
      </c>
    </row>
    <row r="17" spans="1:23" x14ac:dyDescent="0.2">
      <c r="A17">
        <v>7617903140</v>
      </c>
      <c r="B17">
        <v>541</v>
      </c>
      <c r="C17" t="s">
        <v>158</v>
      </c>
      <c r="D17" t="s">
        <v>147</v>
      </c>
      <c r="E17" t="s">
        <v>159</v>
      </c>
      <c r="F17" t="s">
        <v>398</v>
      </c>
      <c r="G17" t="s">
        <v>451</v>
      </c>
      <c r="H17">
        <v>2</v>
      </c>
      <c r="I17" t="s">
        <v>596</v>
      </c>
      <c r="J17" s="39">
        <v>46201.407164351898</v>
      </c>
      <c r="K17" s="39">
        <v>46201</v>
      </c>
      <c r="L17" t="str">
        <f t="shared" si="0"/>
        <v>2026-06</v>
      </c>
      <c r="M17" t="s">
        <v>595</v>
      </c>
      <c r="N17">
        <v>16</v>
      </c>
      <c r="O17">
        <v>7.17</v>
      </c>
      <c r="P17">
        <v>1</v>
      </c>
      <c r="Q17">
        <v>1</v>
      </c>
      <c r="R17">
        <v>1</v>
      </c>
      <c r="S17" t="s">
        <v>94</v>
      </c>
      <c r="T17">
        <v>2</v>
      </c>
      <c r="U17">
        <v>1</v>
      </c>
      <c r="V17">
        <f t="shared" si="1"/>
        <v>1</v>
      </c>
      <c r="W17" t="str">
        <f t="shared" si="2"/>
        <v>Met</v>
      </c>
    </row>
    <row r="18" spans="1:23" x14ac:dyDescent="0.2">
      <c r="A18">
        <v>7612003885</v>
      </c>
      <c r="B18">
        <v>929</v>
      </c>
      <c r="C18" t="s">
        <v>240</v>
      </c>
      <c r="D18" t="s">
        <v>241</v>
      </c>
      <c r="E18" t="s">
        <v>226</v>
      </c>
      <c r="F18" t="s">
        <v>339</v>
      </c>
      <c r="G18" t="s">
        <v>338</v>
      </c>
      <c r="H18">
        <v>2</v>
      </c>
      <c r="I18" t="s">
        <v>596</v>
      </c>
      <c r="J18" s="39">
        <v>46142.331979166702</v>
      </c>
      <c r="K18" s="39">
        <v>46142</v>
      </c>
      <c r="L18" t="str">
        <f t="shared" si="0"/>
        <v>2026-04</v>
      </c>
      <c r="M18" t="s">
        <v>595</v>
      </c>
      <c r="N18">
        <v>16</v>
      </c>
      <c r="O18">
        <v>4.18</v>
      </c>
      <c r="P18">
        <v>1</v>
      </c>
      <c r="Q18">
        <v>1</v>
      </c>
      <c r="R18">
        <v>1</v>
      </c>
      <c r="S18" t="s">
        <v>94</v>
      </c>
      <c r="T18">
        <v>2</v>
      </c>
      <c r="U18">
        <v>1</v>
      </c>
      <c r="V18">
        <f t="shared" si="1"/>
        <v>1</v>
      </c>
      <c r="W18" t="str">
        <f t="shared" si="2"/>
        <v>Met</v>
      </c>
    </row>
    <row r="19" spans="1:23" x14ac:dyDescent="0.2">
      <c r="A19">
        <v>7601102256</v>
      </c>
      <c r="B19">
        <v>493</v>
      </c>
      <c r="C19" t="s">
        <v>116</v>
      </c>
      <c r="D19" t="s">
        <v>117</v>
      </c>
      <c r="E19" t="s">
        <v>111</v>
      </c>
      <c r="F19" t="s">
        <v>262</v>
      </c>
      <c r="G19" t="s">
        <v>261</v>
      </c>
      <c r="H19">
        <v>2</v>
      </c>
      <c r="I19" t="s">
        <v>594</v>
      </c>
      <c r="J19" s="39">
        <v>46033.568622685198</v>
      </c>
      <c r="K19" s="39">
        <v>46033</v>
      </c>
      <c r="L19" t="str">
        <f t="shared" si="0"/>
        <v>2026-01</v>
      </c>
      <c r="M19" t="s">
        <v>595</v>
      </c>
      <c r="N19">
        <v>16</v>
      </c>
      <c r="O19">
        <v>2.52</v>
      </c>
      <c r="P19">
        <v>0</v>
      </c>
      <c r="Q19">
        <v>0</v>
      </c>
      <c r="R19">
        <v>0</v>
      </c>
      <c r="S19" t="s">
        <v>94</v>
      </c>
      <c r="T19">
        <v>2</v>
      </c>
      <c r="U19">
        <v>1</v>
      </c>
      <c r="V19" t="str">
        <f t="shared" si="1"/>
        <v/>
      </c>
      <c r="W19" t="str">
        <f t="shared" si="2"/>
        <v>Not Eligible</v>
      </c>
    </row>
    <row r="20" spans="1:23" x14ac:dyDescent="0.2">
      <c r="A20">
        <v>7601501624</v>
      </c>
      <c r="B20">
        <v>542</v>
      </c>
      <c r="C20" t="s">
        <v>160</v>
      </c>
      <c r="D20" t="s">
        <v>161</v>
      </c>
      <c r="E20" t="s">
        <v>159</v>
      </c>
      <c r="F20" t="s">
        <v>398</v>
      </c>
      <c r="G20" t="s">
        <v>397</v>
      </c>
      <c r="H20">
        <v>2</v>
      </c>
      <c r="I20" t="s">
        <v>596</v>
      </c>
      <c r="J20" s="39">
        <v>46037.709479166697</v>
      </c>
      <c r="K20" s="39">
        <v>46037</v>
      </c>
      <c r="L20" t="str">
        <f t="shared" si="0"/>
        <v>2026-01</v>
      </c>
      <c r="M20" t="s">
        <v>595</v>
      </c>
      <c r="N20">
        <v>16</v>
      </c>
      <c r="O20">
        <v>1.72</v>
      </c>
      <c r="P20">
        <v>1</v>
      </c>
      <c r="Q20">
        <v>1</v>
      </c>
      <c r="R20">
        <v>1</v>
      </c>
      <c r="S20" t="s">
        <v>94</v>
      </c>
      <c r="T20">
        <v>2</v>
      </c>
      <c r="U20">
        <v>1</v>
      </c>
      <c r="V20">
        <f t="shared" si="1"/>
        <v>1</v>
      </c>
      <c r="W20" t="str">
        <f t="shared" si="2"/>
        <v>Met</v>
      </c>
    </row>
    <row r="21" spans="1:23" x14ac:dyDescent="0.2">
      <c r="A21">
        <v>7525901406</v>
      </c>
      <c r="B21">
        <v>648</v>
      </c>
      <c r="C21" t="s">
        <v>209</v>
      </c>
      <c r="D21" t="s">
        <v>210</v>
      </c>
      <c r="E21" t="s">
        <v>178</v>
      </c>
      <c r="F21" t="s">
        <v>282</v>
      </c>
      <c r="G21" t="s">
        <v>281</v>
      </c>
      <c r="H21">
        <v>2</v>
      </c>
      <c r="I21" t="s">
        <v>596</v>
      </c>
      <c r="J21" s="39">
        <v>45916.745231481502</v>
      </c>
      <c r="K21" s="39">
        <v>45917</v>
      </c>
      <c r="L21" t="str">
        <f t="shared" si="0"/>
        <v>2025-09</v>
      </c>
      <c r="M21" t="s">
        <v>595</v>
      </c>
      <c r="N21">
        <v>16</v>
      </c>
      <c r="O21">
        <v>17.57</v>
      </c>
      <c r="P21">
        <v>1</v>
      </c>
      <c r="Q21">
        <v>1</v>
      </c>
      <c r="R21">
        <v>1</v>
      </c>
      <c r="S21" t="s">
        <v>95</v>
      </c>
      <c r="T21">
        <v>0</v>
      </c>
      <c r="V21">
        <f t="shared" si="1"/>
        <v>1</v>
      </c>
      <c r="W21" t="str">
        <f t="shared" si="2"/>
        <v>Met</v>
      </c>
    </row>
    <row r="22" spans="1:23" x14ac:dyDescent="0.2">
      <c r="A22">
        <v>7531506970</v>
      </c>
      <c r="B22">
        <v>632</v>
      </c>
      <c r="C22" t="s">
        <v>182</v>
      </c>
      <c r="D22" t="s">
        <v>183</v>
      </c>
      <c r="E22" t="s">
        <v>181</v>
      </c>
      <c r="F22" t="s">
        <v>382</v>
      </c>
      <c r="G22" t="s">
        <v>381</v>
      </c>
      <c r="H22">
        <v>2</v>
      </c>
      <c r="I22" t="s">
        <v>596</v>
      </c>
      <c r="J22" s="39">
        <v>45972.528518518498</v>
      </c>
      <c r="K22" s="39">
        <v>45973</v>
      </c>
      <c r="L22" t="str">
        <f t="shared" si="0"/>
        <v>2025-11</v>
      </c>
      <c r="M22" t="s">
        <v>595</v>
      </c>
      <c r="N22">
        <v>16</v>
      </c>
      <c r="O22">
        <v>28.5</v>
      </c>
      <c r="P22">
        <v>0</v>
      </c>
      <c r="Q22">
        <v>0</v>
      </c>
      <c r="R22">
        <v>1</v>
      </c>
      <c r="S22" t="s">
        <v>95</v>
      </c>
      <c r="T22">
        <v>0</v>
      </c>
      <c r="V22">
        <f t="shared" si="1"/>
        <v>0</v>
      </c>
      <c r="W22" t="str">
        <f t="shared" si="2"/>
        <v>Missed</v>
      </c>
    </row>
    <row r="23" spans="1:23" x14ac:dyDescent="0.2">
      <c r="A23">
        <v>7523303294</v>
      </c>
      <c r="B23">
        <v>647</v>
      </c>
      <c r="C23" t="s">
        <v>207</v>
      </c>
      <c r="D23" t="s">
        <v>208</v>
      </c>
      <c r="E23" t="s">
        <v>178</v>
      </c>
      <c r="F23" t="s">
        <v>467</v>
      </c>
      <c r="G23" t="s">
        <v>466</v>
      </c>
      <c r="H23">
        <v>2</v>
      </c>
      <c r="I23" t="s">
        <v>596</v>
      </c>
      <c r="J23" s="39">
        <v>45890.3609027778</v>
      </c>
      <c r="K23" s="39">
        <v>45892</v>
      </c>
      <c r="L23" t="str">
        <f t="shared" si="0"/>
        <v>2025-08</v>
      </c>
      <c r="M23" t="s">
        <v>597</v>
      </c>
      <c r="N23">
        <v>16</v>
      </c>
      <c r="O23">
        <v>59.87</v>
      </c>
      <c r="P23">
        <v>0</v>
      </c>
      <c r="Q23">
        <v>0</v>
      </c>
      <c r="R23">
        <v>0</v>
      </c>
      <c r="S23" t="s">
        <v>95</v>
      </c>
      <c r="T23">
        <v>0</v>
      </c>
      <c r="V23" t="str">
        <f t="shared" si="1"/>
        <v/>
      </c>
      <c r="W23" t="str">
        <f t="shared" si="2"/>
        <v>Not Eligible</v>
      </c>
    </row>
    <row r="24" spans="1:23" x14ac:dyDescent="0.2">
      <c r="A24">
        <v>7620602557</v>
      </c>
      <c r="B24">
        <v>931</v>
      </c>
      <c r="C24" t="s">
        <v>242</v>
      </c>
      <c r="D24" t="s">
        <v>243</v>
      </c>
      <c r="E24" t="s">
        <v>226</v>
      </c>
      <c r="F24" t="s">
        <v>414</v>
      </c>
      <c r="G24" t="s">
        <v>413</v>
      </c>
      <c r="H24">
        <v>1</v>
      </c>
      <c r="I24" t="s">
        <v>596</v>
      </c>
      <c r="J24" s="39">
        <v>46228.618773148199</v>
      </c>
      <c r="K24" s="39">
        <v>46228</v>
      </c>
      <c r="L24" t="str">
        <f t="shared" si="0"/>
        <v>2026-07</v>
      </c>
      <c r="M24" t="s">
        <v>595</v>
      </c>
      <c r="N24">
        <v>12</v>
      </c>
      <c r="O24">
        <v>1.9</v>
      </c>
      <c r="P24">
        <v>1</v>
      </c>
      <c r="Q24">
        <v>1</v>
      </c>
      <c r="R24">
        <v>1</v>
      </c>
      <c r="S24" t="s">
        <v>94</v>
      </c>
      <c r="T24">
        <v>2</v>
      </c>
      <c r="U24">
        <v>1</v>
      </c>
      <c r="V24">
        <f t="shared" si="1"/>
        <v>1</v>
      </c>
      <c r="W24" t="str">
        <f t="shared" si="2"/>
        <v>Met</v>
      </c>
    </row>
    <row r="25" spans="1:23" x14ac:dyDescent="0.2">
      <c r="A25">
        <v>7524404738</v>
      </c>
      <c r="B25">
        <v>544</v>
      </c>
      <c r="C25" t="s">
        <v>164</v>
      </c>
      <c r="D25" t="s">
        <v>165</v>
      </c>
      <c r="E25" t="s">
        <v>159</v>
      </c>
      <c r="F25" t="s">
        <v>304</v>
      </c>
      <c r="G25" t="s">
        <v>303</v>
      </c>
      <c r="H25">
        <v>2</v>
      </c>
      <c r="I25" t="s">
        <v>596</v>
      </c>
      <c r="J25" s="39">
        <v>45901.314780092602</v>
      </c>
      <c r="K25" s="39">
        <v>45902</v>
      </c>
      <c r="L25" t="str">
        <f t="shared" si="0"/>
        <v>2025-09</v>
      </c>
      <c r="M25" t="s">
        <v>595</v>
      </c>
      <c r="N25">
        <v>16</v>
      </c>
      <c r="O25">
        <v>35.6</v>
      </c>
      <c r="P25">
        <v>0</v>
      </c>
      <c r="Q25">
        <v>0</v>
      </c>
      <c r="R25">
        <v>1</v>
      </c>
      <c r="S25" t="s">
        <v>94</v>
      </c>
      <c r="T25">
        <v>1</v>
      </c>
      <c r="V25">
        <f t="shared" si="1"/>
        <v>0</v>
      </c>
      <c r="W25" t="str">
        <f t="shared" si="2"/>
        <v>Missed</v>
      </c>
    </row>
    <row r="26" spans="1:23" x14ac:dyDescent="0.2">
      <c r="A26">
        <v>7611409193</v>
      </c>
      <c r="B26">
        <v>633</v>
      </c>
      <c r="C26" t="s">
        <v>184</v>
      </c>
      <c r="D26" t="s">
        <v>185</v>
      </c>
      <c r="E26" t="s">
        <v>181</v>
      </c>
      <c r="F26" t="s">
        <v>382</v>
      </c>
      <c r="G26" t="s">
        <v>381</v>
      </c>
      <c r="H26">
        <v>2</v>
      </c>
      <c r="I26" t="s">
        <v>596</v>
      </c>
      <c r="J26" s="39">
        <v>46136.645601851902</v>
      </c>
      <c r="K26" s="39">
        <v>46137</v>
      </c>
      <c r="L26" t="str">
        <f t="shared" si="0"/>
        <v>2026-04</v>
      </c>
      <c r="M26" t="s">
        <v>595</v>
      </c>
      <c r="N26">
        <v>0</v>
      </c>
      <c r="O26">
        <v>24.52</v>
      </c>
      <c r="P26">
        <v>1</v>
      </c>
      <c r="Q26">
        <v>1</v>
      </c>
      <c r="R26">
        <v>1</v>
      </c>
      <c r="S26" t="s">
        <v>94</v>
      </c>
      <c r="T26">
        <v>2</v>
      </c>
      <c r="U26">
        <v>1</v>
      </c>
      <c r="V26">
        <f t="shared" si="1"/>
        <v>1</v>
      </c>
      <c r="W26" t="str">
        <f t="shared" si="2"/>
        <v>Met</v>
      </c>
    </row>
    <row r="27" spans="1:23" x14ac:dyDescent="0.2">
      <c r="A27">
        <v>7531403109</v>
      </c>
      <c r="B27">
        <v>522</v>
      </c>
      <c r="C27" t="s">
        <v>132</v>
      </c>
      <c r="D27" t="s">
        <v>133</v>
      </c>
      <c r="E27" t="s">
        <v>134</v>
      </c>
      <c r="F27" t="s">
        <v>260</v>
      </c>
      <c r="G27" t="s">
        <v>259</v>
      </c>
      <c r="H27">
        <v>1</v>
      </c>
      <c r="I27" t="s">
        <v>596</v>
      </c>
      <c r="J27" s="39">
        <v>45971.375289351898</v>
      </c>
      <c r="K27" s="39">
        <v>45981</v>
      </c>
      <c r="L27" t="str">
        <f t="shared" si="0"/>
        <v>2025-11</v>
      </c>
      <c r="M27" t="s">
        <v>595</v>
      </c>
      <c r="N27">
        <v>12</v>
      </c>
      <c r="O27">
        <v>244.8</v>
      </c>
      <c r="P27">
        <v>0</v>
      </c>
      <c r="Q27">
        <v>0</v>
      </c>
      <c r="R27">
        <v>1</v>
      </c>
      <c r="S27" t="s">
        <v>94</v>
      </c>
      <c r="T27">
        <v>1</v>
      </c>
      <c r="V27">
        <f t="shared" si="1"/>
        <v>0</v>
      </c>
      <c r="W27" t="str">
        <f t="shared" si="2"/>
        <v>Missed</v>
      </c>
    </row>
    <row r="28" spans="1:23" x14ac:dyDescent="0.2">
      <c r="A28">
        <v>7620100963</v>
      </c>
      <c r="B28">
        <v>524</v>
      </c>
      <c r="C28" t="s">
        <v>137</v>
      </c>
      <c r="D28" t="s">
        <v>138</v>
      </c>
      <c r="E28" t="s">
        <v>134</v>
      </c>
      <c r="F28" t="s">
        <v>294</v>
      </c>
      <c r="G28" t="s">
        <v>293</v>
      </c>
      <c r="H28">
        <v>2</v>
      </c>
      <c r="I28" t="s">
        <v>596</v>
      </c>
      <c r="J28" s="39">
        <v>46223.392893518503</v>
      </c>
      <c r="K28" s="39">
        <v>46223</v>
      </c>
      <c r="L28" t="str">
        <f t="shared" si="0"/>
        <v>2026-07</v>
      </c>
      <c r="M28" t="s">
        <v>595</v>
      </c>
      <c r="N28">
        <v>16</v>
      </c>
      <c r="O28">
        <v>7.98</v>
      </c>
      <c r="P28">
        <v>1</v>
      </c>
      <c r="Q28">
        <v>1</v>
      </c>
      <c r="R28">
        <v>1</v>
      </c>
      <c r="S28" t="s">
        <v>94</v>
      </c>
      <c r="T28">
        <v>2</v>
      </c>
      <c r="U28">
        <v>1</v>
      </c>
      <c r="V28">
        <f t="shared" si="1"/>
        <v>1</v>
      </c>
      <c r="W28" t="str">
        <f t="shared" si="2"/>
        <v>Met</v>
      </c>
    </row>
    <row r="29" spans="1:23" x14ac:dyDescent="0.2">
      <c r="A29">
        <v>7535501543</v>
      </c>
      <c r="B29">
        <v>647</v>
      </c>
      <c r="C29" t="s">
        <v>207</v>
      </c>
      <c r="D29" t="s">
        <v>208</v>
      </c>
      <c r="E29" t="s">
        <v>178</v>
      </c>
      <c r="F29" t="s">
        <v>292</v>
      </c>
      <c r="G29" t="s">
        <v>291</v>
      </c>
      <c r="H29">
        <v>2</v>
      </c>
      <c r="I29" t="s">
        <v>596</v>
      </c>
      <c r="J29" s="39">
        <v>46011.864768518499</v>
      </c>
      <c r="K29" s="39">
        <v>46024</v>
      </c>
      <c r="L29" t="str">
        <f t="shared" si="0"/>
        <v>2026-01</v>
      </c>
      <c r="M29" t="s">
        <v>595</v>
      </c>
      <c r="N29">
        <v>16</v>
      </c>
      <c r="O29">
        <v>307.87</v>
      </c>
      <c r="P29">
        <v>0</v>
      </c>
      <c r="Q29">
        <v>0</v>
      </c>
      <c r="R29">
        <v>1</v>
      </c>
      <c r="S29" t="s">
        <v>94</v>
      </c>
      <c r="T29">
        <v>1</v>
      </c>
      <c r="V29">
        <f t="shared" si="1"/>
        <v>0</v>
      </c>
      <c r="W29" t="str">
        <f t="shared" si="2"/>
        <v>Missed</v>
      </c>
    </row>
    <row r="30" spans="1:23" x14ac:dyDescent="0.2">
      <c r="A30">
        <v>7530106514</v>
      </c>
      <c r="B30">
        <v>640</v>
      </c>
      <c r="C30" t="s">
        <v>197</v>
      </c>
      <c r="D30" t="s">
        <v>198</v>
      </c>
      <c r="E30" t="s">
        <v>178</v>
      </c>
      <c r="F30" t="s">
        <v>463</v>
      </c>
      <c r="G30" t="s">
        <v>462</v>
      </c>
      <c r="H30">
        <v>1</v>
      </c>
      <c r="I30" t="s">
        <v>596</v>
      </c>
      <c r="J30" s="39">
        <v>45958.603298611102</v>
      </c>
      <c r="K30" s="39">
        <v>45959</v>
      </c>
      <c r="L30" t="str">
        <f t="shared" si="0"/>
        <v>2025-10</v>
      </c>
      <c r="M30" t="s">
        <v>595</v>
      </c>
      <c r="N30">
        <v>12</v>
      </c>
      <c r="O30">
        <v>21.45</v>
      </c>
      <c r="P30">
        <v>1</v>
      </c>
      <c r="Q30">
        <v>1</v>
      </c>
      <c r="R30">
        <v>1</v>
      </c>
      <c r="S30" t="s">
        <v>95</v>
      </c>
      <c r="T30">
        <v>0</v>
      </c>
      <c r="V30">
        <f t="shared" si="1"/>
        <v>1</v>
      </c>
      <c r="W30" t="str">
        <f t="shared" si="2"/>
        <v>Met</v>
      </c>
    </row>
    <row r="31" spans="1:23" x14ac:dyDescent="0.2">
      <c r="A31">
        <v>7600504723</v>
      </c>
      <c r="B31">
        <v>928</v>
      </c>
      <c r="C31" t="s">
        <v>238</v>
      </c>
      <c r="D31" t="s">
        <v>239</v>
      </c>
      <c r="E31" t="s">
        <v>226</v>
      </c>
      <c r="F31" t="s">
        <v>266</v>
      </c>
      <c r="G31" t="s">
        <v>265</v>
      </c>
      <c r="H31">
        <v>2</v>
      </c>
      <c r="I31" t="s">
        <v>596</v>
      </c>
      <c r="J31" s="39">
        <v>46027.394456018497</v>
      </c>
      <c r="K31" s="39">
        <v>46027</v>
      </c>
      <c r="L31" t="str">
        <f t="shared" si="0"/>
        <v>2026-01</v>
      </c>
      <c r="M31" t="s">
        <v>595</v>
      </c>
      <c r="N31">
        <v>16</v>
      </c>
      <c r="O31">
        <v>3.62</v>
      </c>
      <c r="P31">
        <v>1</v>
      </c>
      <c r="Q31">
        <v>1</v>
      </c>
      <c r="R31">
        <v>1</v>
      </c>
      <c r="S31" t="s">
        <v>94</v>
      </c>
      <c r="T31">
        <v>2</v>
      </c>
      <c r="U31">
        <v>1</v>
      </c>
      <c r="V31">
        <f t="shared" si="1"/>
        <v>1</v>
      </c>
      <c r="W31" t="str">
        <f t="shared" si="2"/>
        <v>Met</v>
      </c>
    </row>
    <row r="32" spans="1:23" x14ac:dyDescent="0.2">
      <c r="A32">
        <v>7524606956</v>
      </c>
      <c r="B32">
        <v>544</v>
      </c>
      <c r="C32" t="s">
        <v>164</v>
      </c>
      <c r="D32" t="s">
        <v>165</v>
      </c>
      <c r="E32" t="s">
        <v>159</v>
      </c>
      <c r="F32" t="s">
        <v>286</v>
      </c>
      <c r="G32" t="s">
        <v>285</v>
      </c>
      <c r="H32">
        <v>1</v>
      </c>
      <c r="I32" t="s">
        <v>596</v>
      </c>
      <c r="J32" s="39">
        <v>45903.434583333299</v>
      </c>
      <c r="K32" s="39">
        <v>45903</v>
      </c>
      <c r="L32" t="str">
        <f t="shared" si="0"/>
        <v>2025-09</v>
      </c>
      <c r="M32" t="s">
        <v>595</v>
      </c>
      <c r="N32">
        <v>12</v>
      </c>
      <c r="O32">
        <v>2.97</v>
      </c>
      <c r="P32">
        <v>1</v>
      </c>
      <c r="Q32">
        <v>1</v>
      </c>
      <c r="R32">
        <v>1</v>
      </c>
      <c r="S32" t="s">
        <v>95</v>
      </c>
      <c r="T32">
        <v>0</v>
      </c>
      <c r="V32">
        <f t="shared" si="1"/>
        <v>1</v>
      </c>
      <c r="W32" t="str">
        <f t="shared" si="2"/>
        <v>Met</v>
      </c>
    </row>
    <row r="33" spans="1:23" x14ac:dyDescent="0.2">
      <c r="A33">
        <v>7618000492</v>
      </c>
      <c r="B33">
        <v>493</v>
      </c>
      <c r="C33" t="s">
        <v>116</v>
      </c>
      <c r="D33" t="s">
        <v>117</v>
      </c>
      <c r="E33" t="s">
        <v>111</v>
      </c>
      <c r="F33" t="s">
        <v>444</v>
      </c>
      <c r="G33" t="s">
        <v>443</v>
      </c>
      <c r="H33">
        <v>1</v>
      </c>
      <c r="I33" t="s">
        <v>594</v>
      </c>
      <c r="J33" s="39">
        <v>46201.841238425899</v>
      </c>
      <c r="K33" s="39">
        <v>46203</v>
      </c>
      <c r="L33" t="str">
        <f t="shared" si="0"/>
        <v>2026-06</v>
      </c>
      <c r="M33" t="s">
        <v>595</v>
      </c>
      <c r="N33">
        <v>12</v>
      </c>
      <c r="O33">
        <v>42.82</v>
      </c>
      <c r="P33">
        <v>0</v>
      </c>
      <c r="Q33">
        <v>0</v>
      </c>
      <c r="R33">
        <v>0</v>
      </c>
      <c r="S33" t="s">
        <v>94</v>
      </c>
      <c r="T33">
        <v>1</v>
      </c>
      <c r="V33" t="str">
        <f t="shared" si="1"/>
        <v/>
      </c>
      <c r="W33" t="str">
        <f t="shared" si="2"/>
        <v>Not Eligible</v>
      </c>
    </row>
    <row r="34" spans="1:23" x14ac:dyDescent="0.2">
      <c r="A34">
        <v>7606002257</v>
      </c>
      <c r="B34">
        <v>639</v>
      </c>
      <c r="C34" t="s">
        <v>195</v>
      </c>
      <c r="D34" t="s">
        <v>196</v>
      </c>
      <c r="E34" t="s">
        <v>181</v>
      </c>
      <c r="F34" t="s">
        <v>430</v>
      </c>
      <c r="G34" t="s">
        <v>429</v>
      </c>
      <c r="H34">
        <v>1</v>
      </c>
      <c r="I34" t="s">
        <v>596</v>
      </c>
      <c r="J34" s="39">
        <v>46082.392476851899</v>
      </c>
      <c r="K34" s="39">
        <v>46082</v>
      </c>
      <c r="L34" t="str">
        <f t="shared" si="0"/>
        <v>2026-03</v>
      </c>
      <c r="M34" t="s">
        <v>595</v>
      </c>
      <c r="N34">
        <v>0</v>
      </c>
      <c r="O34">
        <v>3.07</v>
      </c>
      <c r="P34">
        <v>1</v>
      </c>
      <c r="Q34">
        <v>1</v>
      </c>
      <c r="R34">
        <v>1</v>
      </c>
      <c r="S34" t="s">
        <v>94</v>
      </c>
      <c r="T34">
        <v>2</v>
      </c>
      <c r="U34">
        <v>1</v>
      </c>
      <c r="V34">
        <f t="shared" si="1"/>
        <v>1</v>
      </c>
      <c r="W34" t="str">
        <f t="shared" si="2"/>
        <v>Met</v>
      </c>
    </row>
    <row r="35" spans="1:23" x14ac:dyDescent="0.2">
      <c r="A35">
        <v>7525201332</v>
      </c>
      <c r="B35">
        <v>494</v>
      </c>
      <c r="C35" t="s">
        <v>118</v>
      </c>
      <c r="D35" t="s">
        <v>119</v>
      </c>
      <c r="E35" t="s">
        <v>111</v>
      </c>
      <c r="F35" t="s">
        <v>358</v>
      </c>
      <c r="G35" t="s">
        <v>357</v>
      </c>
      <c r="H35">
        <v>2</v>
      </c>
      <c r="I35" t="s">
        <v>594</v>
      </c>
      <c r="J35" s="39">
        <v>45909.665474537003</v>
      </c>
      <c r="K35" s="39">
        <v>45909</v>
      </c>
      <c r="L35" t="str">
        <f t="shared" si="0"/>
        <v>2025-09</v>
      </c>
      <c r="M35" t="s">
        <v>595</v>
      </c>
      <c r="N35">
        <v>16</v>
      </c>
      <c r="O35">
        <v>2.37</v>
      </c>
      <c r="P35">
        <v>0</v>
      </c>
      <c r="Q35">
        <v>0</v>
      </c>
      <c r="R35">
        <v>0</v>
      </c>
      <c r="S35" t="s">
        <v>95</v>
      </c>
      <c r="T35">
        <v>0</v>
      </c>
      <c r="V35" t="str">
        <f t="shared" si="1"/>
        <v/>
      </c>
      <c r="W35" t="str">
        <f t="shared" si="2"/>
        <v>Not Eligible</v>
      </c>
    </row>
    <row r="36" spans="1:23" x14ac:dyDescent="0.2">
      <c r="A36">
        <v>7600205143</v>
      </c>
      <c r="B36">
        <v>931</v>
      </c>
      <c r="C36" t="s">
        <v>242</v>
      </c>
      <c r="D36" t="s">
        <v>243</v>
      </c>
      <c r="E36" t="s">
        <v>226</v>
      </c>
      <c r="F36" t="s">
        <v>316</v>
      </c>
      <c r="G36" t="s">
        <v>315</v>
      </c>
      <c r="H36">
        <v>2</v>
      </c>
      <c r="I36" t="s">
        <v>594</v>
      </c>
      <c r="J36" s="39">
        <v>46024.778900463003</v>
      </c>
      <c r="K36" s="39">
        <v>46025</v>
      </c>
      <c r="L36" t="str">
        <f t="shared" si="0"/>
        <v>2026-01</v>
      </c>
      <c r="M36" t="s">
        <v>595</v>
      </c>
      <c r="N36">
        <v>16</v>
      </c>
      <c r="O36">
        <v>19.7</v>
      </c>
      <c r="P36">
        <v>0</v>
      </c>
      <c r="Q36">
        <v>0</v>
      </c>
      <c r="R36">
        <v>0</v>
      </c>
      <c r="S36" t="s">
        <v>94</v>
      </c>
      <c r="T36">
        <v>1</v>
      </c>
      <c r="V36" t="str">
        <f t="shared" si="1"/>
        <v/>
      </c>
      <c r="W36" t="str">
        <f t="shared" si="2"/>
        <v>Not Eligible</v>
      </c>
    </row>
    <row r="37" spans="1:23" x14ac:dyDescent="0.2">
      <c r="A37">
        <v>7604100360</v>
      </c>
      <c r="B37">
        <v>640</v>
      </c>
      <c r="C37" t="s">
        <v>197</v>
      </c>
      <c r="D37" t="s">
        <v>198</v>
      </c>
      <c r="E37" t="s">
        <v>178</v>
      </c>
      <c r="F37" t="s">
        <v>366</v>
      </c>
      <c r="G37" t="s">
        <v>365</v>
      </c>
      <c r="H37">
        <v>2</v>
      </c>
      <c r="I37" t="s">
        <v>596</v>
      </c>
      <c r="J37" s="39">
        <v>46063.660115740699</v>
      </c>
      <c r="K37" s="39">
        <v>46067</v>
      </c>
      <c r="L37" t="str">
        <f t="shared" si="0"/>
        <v>2026-02</v>
      </c>
      <c r="M37" t="s">
        <v>595</v>
      </c>
      <c r="N37">
        <v>0</v>
      </c>
      <c r="O37">
        <v>91.73</v>
      </c>
      <c r="P37">
        <v>1</v>
      </c>
      <c r="Q37">
        <v>1</v>
      </c>
      <c r="R37">
        <v>1</v>
      </c>
      <c r="S37" t="s">
        <v>94</v>
      </c>
      <c r="T37">
        <v>1</v>
      </c>
      <c r="V37">
        <f t="shared" si="1"/>
        <v>1</v>
      </c>
      <c r="W37" t="str">
        <f t="shared" si="2"/>
        <v>Met</v>
      </c>
    </row>
    <row r="38" spans="1:23" x14ac:dyDescent="0.2">
      <c r="A38">
        <v>7612213351</v>
      </c>
      <c r="B38">
        <v>710</v>
      </c>
      <c r="C38" t="s">
        <v>220</v>
      </c>
      <c r="D38" t="s">
        <v>221</v>
      </c>
      <c r="E38" t="s">
        <v>215</v>
      </c>
      <c r="F38" t="s">
        <v>324</v>
      </c>
      <c r="G38" t="s">
        <v>356</v>
      </c>
      <c r="H38">
        <v>2</v>
      </c>
      <c r="I38" t="s">
        <v>596</v>
      </c>
      <c r="J38" s="39">
        <v>46144.528483796297</v>
      </c>
      <c r="K38" s="39">
        <v>46144</v>
      </c>
      <c r="L38" t="str">
        <f t="shared" si="0"/>
        <v>2026-05</v>
      </c>
      <c r="M38" t="s">
        <v>595</v>
      </c>
      <c r="N38">
        <v>0</v>
      </c>
      <c r="O38">
        <v>2.3199999999999998</v>
      </c>
      <c r="P38">
        <v>1</v>
      </c>
      <c r="Q38">
        <v>1</v>
      </c>
      <c r="R38">
        <v>1</v>
      </c>
      <c r="S38" t="s">
        <v>94</v>
      </c>
      <c r="T38">
        <v>2</v>
      </c>
      <c r="U38">
        <v>1</v>
      </c>
      <c r="V38">
        <f t="shared" si="1"/>
        <v>1</v>
      </c>
      <c r="W38" t="str">
        <f t="shared" si="2"/>
        <v>Met</v>
      </c>
    </row>
    <row r="39" spans="1:23" x14ac:dyDescent="0.2">
      <c r="A39">
        <v>7521704609</v>
      </c>
      <c r="B39">
        <v>546</v>
      </c>
      <c r="C39" t="s">
        <v>168</v>
      </c>
      <c r="D39" t="s">
        <v>169</v>
      </c>
      <c r="E39" t="s">
        <v>159</v>
      </c>
      <c r="F39" t="s">
        <v>254</v>
      </c>
      <c r="G39" t="s">
        <v>253</v>
      </c>
      <c r="H39">
        <v>2</v>
      </c>
      <c r="I39" t="s">
        <v>594</v>
      </c>
      <c r="J39" s="39">
        <v>45874.572638888902</v>
      </c>
      <c r="K39" s="39">
        <v>45876</v>
      </c>
      <c r="L39" t="str">
        <f t="shared" si="0"/>
        <v>2025-08</v>
      </c>
      <c r="M39" t="s">
        <v>595</v>
      </c>
      <c r="N39">
        <v>16</v>
      </c>
      <c r="O39">
        <v>43.2</v>
      </c>
      <c r="P39">
        <v>0</v>
      </c>
      <c r="Q39">
        <v>0</v>
      </c>
      <c r="R39">
        <v>0</v>
      </c>
      <c r="S39" t="s">
        <v>95</v>
      </c>
      <c r="T39">
        <v>0</v>
      </c>
      <c r="V39" t="str">
        <f t="shared" si="1"/>
        <v/>
      </c>
      <c r="W39" t="str">
        <f t="shared" si="2"/>
        <v>Not Eligible</v>
      </c>
    </row>
    <row r="40" spans="1:23" x14ac:dyDescent="0.2">
      <c r="A40">
        <v>7532709357</v>
      </c>
      <c r="B40">
        <v>648</v>
      </c>
      <c r="C40" t="s">
        <v>209</v>
      </c>
      <c r="D40" t="s">
        <v>210</v>
      </c>
      <c r="E40" t="s">
        <v>178</v>
      </c>
      <c r="F40" t="s">
        <v>282</v>
      </c>
      <c r="G40" t="s">
        <v>281</v>
      </c>
      <c r="H40">
        <v>2</v>
      </c>
      <c r="I40" t="s">
        <v>594</v>
      </c>
      <c r="J40" s="39">
        <v>45983.893067129597</v>
      </c>
      <c r="K40" s="39">
        <v>45984</v>
      </c>
      <c r="L40" t="str">
        <f t="shared" si="0"/>
        <v>2025-11</v>
      </c>
      <c r="M40" t="s">
        <v>595</v>
      </c>
      <c r="N40">
        <v>16</v>
      </c>
      <c r="O40">
        <v>9.8699999999999992</v>
      </c>
      <c r="P40">
        <v>0</v>
      </c>
      <c r="Q40">
        <v>0</v>
      </c>
      <c r="R40">
        <v>0</v>
      </c>
      <c r="S40" t="s">
        <v>95</v>
      </c>
      <c r="T40">
        <v>0</v>
      </c>
      <c r="V40" t="str">
        <f t="shared" si="1"/>
        <v/>
      </c>
      <c r="W40" t="str">
        <f t="shared" si="2"/>
        <v>Not Eligible</v>
      </c>
    </row>
    <row r="41" spans="1:23" x14ac:dyDescent="0.2">
      <c r="A41">
        <v>7601201077</v>
      </c>
      <c r="B41">
        <v>546</v>
      </c>
      <c r="C41" t="s">
        <v>168</v>
      </c>
      <c r="D41" t="s">
        <v>169</v>
      </c>
      <c r="E41" t="s">
        <v>159</v>
      </c>
      <c r="F41" t="s">
        <v>398</v>
      </c>
      <c r="G41" t="s">
        <v>397</v>
      </c>
      <c r="H41">
        <v>2</v>
      </c>
      <c r="I41" t="s">
        <v>596</v>
      </c>
      <c r="J41" s="39">
        <v>46034.557638888902</v>
      </c>
      <c r="K41" s="39">
        <v>46034</v>
      </c>
      <c r="L41" t="str">
        <f t="shared" si="0"/>
        <v>2026-01</v>
      </c>
      <c r="M41" t="s">
        <v>595</v>
      </c>
      <c r="N41">
        <v>16</v>
      </c>
      <c r="O41">
        <v>6.85</v>
      </c>
      <c r="P41">
        <v>1</v>
      </c>
      <c r="Q41">
        <v>1</v>
      </c>
      <c r="R41">
        <v>1</v>
      </c>
      <c r="S41" t="s">
        <v>94</v>
      </c>
      <c r="T41">
        <v>2</v>
      </c>
      <c r="U41">
        <v>1</v>
      </c>
      <c r="V41">
        <f t="shared" si="1"/>
        <v>1</v>
      </c>
      <c r="W41" t="str">
        <f t="shared" si="2"/>
        <v>Met</v>
      </c>
    </row>
    <row r="42" spans="1:23" x14ac:dyDescent="0.2">
      <c r="A42">
        <v>7523105395</v>
      </c>
      <c r="B42">
        <v>647</v>
      </c>
      <c r="C42" t="s">
        <v>207</v>
      </c>
      <c r="D42" t="s">
        <v>208</v>
      </c>
      <c r="E42" t="s">
        <v>178</v>
      </c>
      <c r="F42" t="s">
        <v>410</v>
      </c>
      <c r="G42" t="s">
        <v>409</v>
      </c>
      <c r="H42">
        <v>2</v>
      </c>
      <c r="I42" t="s">
        <v>596</v>
      </c>
      <c r="J42" s="39">
        <v>45888.681273148199</v>
      </c>
      <c r="K42" s="39">
        <v>45896</v>
      </c>
      <c r="L42" t="str">
        <f t="shared" si="0"/>
        <v>2025-08</v>
      </c>
      <c r="M42" t="s">
        <v>595</v>
      </c>
      <c r="N42">
        <v>16</v>
      </c>
      <c r="O42">
        <v>193.7</v>
      </c>
      <c r="P42">
        <v>0</v>
      </c>
      <c r="Q42">
        <v>0</v>
      </c>
      <c r="R42">
        <v>1</v>
      </c>
      <c r="S42" t="s">
        <v>95</v>
      </c>
      <c r="T42">
        <v>0</v>
      </c>
      <c r="V42">
        <f t="shared" si="1"/>
        <v>0</v>
      </c>
      <c r="W42" t="str">
        <f t="shared" si="2"/>
        <v>Missed</v>
      </c>
    </row>
    <row r="43" spans="1:23" x14ac:dyDescent="0.2">
      <c r="A43">
        <v>7525513317</v>
      </c>
      <c r="B43">
        <v>701</v>
      </c>
      <c r="C43" t="s">
        <v>213</v>
      </c>
      <c r="D43" t="s">
        <v>214</v>
      </c>
      <c r="E43" t="s">
        <v>215</v>
      </c>
      <c r="F43" t="s">
        <v>324</v>
      </c>
      <c r="G43" t="s">
        <v>323</v>
      </c>
      <c r="H43">
        <v>1</v>
      </c>
      <c r="I43" t="s">
        <v>596</v>
      </c>
      <c r="J43" s="39">
        <v>45912.766006944497</v>
      </c>
      <c r="K43" s="39">
        <v>45912</v>
      </c>
      <c r="L43" t="str">
        <f t="shared" si="0"/>
        <v>2025-09</v>
      </c>
      <c r="M43" t="s">
        <v>595</v>
      </c>
      <c r="N43">
        <v>12</v>
      </c>
      <c r="O43">
        <v>1.93</v>
      </c>
      <c r="P43">
        <v>1</v>
      </c>
      <c r="Q43">
        <v>1</v>
      </c>
      <c r="R43">
        <v>1</v>
      </c>
      <c r="S43" t="s">
        <v>95</v>
      </c>
      <c r="T43">
        <v>0</v>
      </c>
      <c r="V43">
        <f t="shared" si="1"/>
        <v>1</v>
      </c>
      <c r="W43" t="str">
        <f t="shared" si="2"/>
        <v>Met</v>
      </c>
    </row>
    <row r="44" spans="1:23" x14ac:dyDescent="0.2">
      <c r="A44">
        <v>7614112943</v>
      </c>
      <c r="B44">
        <v>528</v>
      </c>
      <c r="C44" t="s">
        <v>143</v>
      </c>
      <c r="D44" t="s">
        <v>144</v>
      </c>
      <c r="E44" t="s">
        <v>134</v>
      </c>
      <c r="F44" t="s">
        <v>260</v>
      </c>
      <c r="G44" t="s">
        <v>259</v>
      </c>
      <c r="H44">
        <v>2</v>
      </c>
      <c r="I44" t="s">
        <v>594</v>
      </c>
      <c r="J44" s="39">
        <v>46163.519907407397</v>
      </c>
      <c r="K44" s="39">
        <v>46163</v>
      </c>
      <c r="L44" t="str">
        <f t="shared" si="0"/>
        <v>2026-05</v>
      </c>
      <c r="M44" t="s">
        <v>595</v>
      </c>
      <c r="N44">
        <v>16</v>
      </c>
      <c r="O44">
        <v>1.95</v>
      </c>
      <c r="P44">
        <v>0</v>
      </c>
      <c r="Q44">
        <v>0</v>
      </c>
      <c r="R44">
        <v>0</v>
      </c>
      <c r="S44" t="s">
        <v>94</v>
      </c>
      <c r="T44">
        <v>2</v>
      </c>
      <c r="U44">
        <v>1</v>
      </c>
      <c r="V44" t="str">
        <f t="shared" si="1"/>
        <v/>
      </c>
      <c r="W44" t="str">
        <f t="shared" si="2"/>
        <v>Not Eligible</v>
      </c>
    </row>
    <row r="45" spans="1:23" x14ac:dyDescent="0.2">
      <c r="A45">
        <v>7614109881</v>
      </c>
      <c r="B45">
        <v>562</v>
      </c>
      <c r="C45" t="s">
        <v>172</v>
      </c>
      <c r="D45" t="s">
        <v>173</v>
      </c>
      <c r="E45" t="s">
        <v>159</v>
      </c>
      <c r="F45" t="s">
        <v>306</v>
      </c>
      <c r="G45" t="s">
        <v>325</v>
      </c>
      <c r="H45">
        <v>2</v>
      </c>
      <c r="I45" t="s">
        <v>596</v>
      </c>
      <c r="J45" s="39">
        <v>46162.853935185201</v>
      </c>
      <c r="K45" s="39">
        <v>46163</v>
      </c>
      <c r="L45" t="str">
        <f t="shared" si="0"/>
        <v>2026-05</v>
      </c>
      <c r="M45" t="s">
        <v>595</v>
      </c>
      <c r="N45">
        <v>16</v>
      </c>
      <c r="O45">
        <v>14.15</v>
      </c>
      <c r="P45">
        <v>1</v>
      </c>
      <c r="Q45">
        <v>1</v>
      </c>
      <c r="R45">
        <v>1</v>
      </c>
      <c r="S45" t="s">
        <v>94</v>
      </c>
      <c r="T45">
        <v>2</v>
      </c>
      <c r="U45">
        <v>1</v>
      </c>
      <c r="V45">
        <f t="shared" si="1"/>
        <v>1</v>
      </c>
      <c r="W45" t="str">
        <f t="shared" si="2"/>
        <v>Met</v>
      </c>
    </row>
    <row r="46" spans="1:23" x14ac:dyDescent="0.2">
      <c r="A46">
        <v>7606605823</v>
      </c>
      <c r="B46">
        <v>532</v>
      </c>
      <c r="C46" t="s">
        <v>148</v>
      </c>
      <c r="D46" t="s">
        <v>133</v>
      </c>
      <c r="E46" t="s">
        <v>134</v>
      </c>
      <c r="F46" t="s">
        <v>296</v>
      </c>
      <c r="G46" t="s">
        <v>295</v>
      </c>
      <c r="H46">
        <v>2</v>
      </c>
      <c r="I46" t="s">
        <v>596</v>
      </c>
      <c r="J46" s="39">
        <v>46088.390416666698</v>
      </c>
      <c r="K46" s="39">
        <v>46091</v>
      </c>
      <c r="L46" t="str">
        <f t="shared" si="0"/>
        <v>2026-03</v>
      </c>
      <c r="M46" t="s">
        <v>595</v>
      </c>
      <c r="N46">
        <v>0</v>
      </c>
      <c r="O46">
        <v>80.37</v>
      </c>
      <c r="P46">
        <v>1</v>
      </c>
      <c r="Q46">
        <v>1</v>
      </c>
      <c r="R46">
        <v>1</v>
      </c>
      <c r="S46" t="s">
        <v>94</v>
      </c>
      <c r="T46">
        <v>1</v>
      </c>
      <c r="V46">
        <f t="shared" si="1"/>
        <v>1</v>
      </c>
      <c r="W46" t="str">
        <f t="shared" si="2"/>
        <v>Met</v>
      </c>
    </row>
    <row r="47" spans="1:23" x14ac:dyDescent="0.2">
      <c r="A47">
        <v>7528302118</v>
      </c>
      <c r="B47">
        <v>546</v>
      </c>
      <c r="C47" t="s">
        <v>168</v>
      </c>
      <c r="D47" t="s">
        <v>169</v>
      </c>
      <c r="E47" t="s">
        <v>159</v>
      </c>
      <c r="F47" t="s">
        <v>254</v>
      </c>
      <c r="G47" t="s">
        <v>253</v>
      </c>
      <c r="H47">
        <v>2</v>
      </c>
      <c r="I47" t="s">
        <v>594</v>
      </c>
      <c r="J47" s="39">
        <v>45940.651111111103</v>
      </c>
      <c r="K47" s="39">
        <v>45941</v>
      </c>
      <c r="L47" t="str">
        <f t="shared" si="0"/>
        <v>2025-10</v>
      </c>
      <c r="M47" t="s">
        <v>595</v>
      </c>
      <c r="N47">
        <v>16</v>
      </c>
      <c r="O47">
        <v>16.97</v>
      </c>
      <c r="P47">
        <v>0</v>
      </c>
      <c r="Q47">
        <v>0</v>
      </c>
      <c r="R47">
        <v>0</v>
      </c>
      <c r="S47" t="s">
        <v>95</v>
      </c>
      <c r="T47">
        <v>0</v>
      </c>
      <c r="V47" t="str">
        <f t="shared" si="1"/>
        <v/>
      </c>
      <c r="W47" t="str">
        <f t="shared" si="2"/>
        <v>Not Eligible</v>
      </c>
    </row>
    <row r="48" spans="1:23" x14ac:dyDescent="0.2">
      <c r="A48">
        <v>7613405652</v>
      </c>
      <c r="B48">
        <v>494</v>
      </c>
      <c r="C48" t="s">
        <v>118</v>
      </c>
      <c r="D48" t="s">
        <v>119</v>
      </c>
      <c r="E48" t="s">
        <v>111</v>
      </c>
      <c r="F48" t="s">
        <v>258</v>
      </c>
      <c r="G48" t="s">
        <v>257</v>
      </c>
      <c r="H48">
        <v>1</v>
      </c>
      <c r="I48" t="s">
        <v>596</v>
      </c>
      <c r="J48" s="39">
        <v>46156.511631944399</v>
      </c>
      <c r="K48" s="39">
        <v>46156</v>
      </c>
      <c r="L48" t="str">
        <f t="shared" si="0"/>
        <v>2026-05</v>
      </c>
      <c r="M48" t="s">
        <v>595</v>
      </c>
      <c r="N48">
        <v>0</v>
      </c>
      <c r="O48">
        <v>4.38</v>
      </c>
      <c r="P48">
        <v>1</v>
      </c>
      <c r="Q48">
        <v>1</v>
      </c>
      <c r="R48">
        <v>1</v>
      </c>
      <c r="S48" t="s">
        <v>94</v>
      </c>
      <c r="T48">
        <v>2</v>
      </c>
      <c r="U48">
        <v>1</v>
      </c>
      <c r="V48">
        <f t="shared" si="1"/>
        <v>1</v>
      </c>
      <c r="W48" t="str">
        <f t="shared" si="2"/>
        <v>Met</v>
      </c>
    </row>
    <row r="49" spans="1:23" x14ac:dyDescent="0.2">
      <c r="A49">
        <v>7534506026</v>
      </c>
      <c r="B49">
        <v>537</v>
      </c>
      <c r="C49" t="s">
        <v>156</v>
      </c>
      <c r="D49" t="s">
        <v>157</v>
      </c>
      <c r="E49" t="s">
        <v>134</v>
      </c>
      <c r="F49" t="s">
        <v>300</v>
      </c>
      <c r="G49" t="s">
        <v>299</v>
      </c>
      <c r="H49">
        <v>1</v>
      </c>
      <c r="I49" t="s">
        <v>596</v>
      </c>
      <c r="J49" s="39">
        <v>46002.555150462998</v>
      </c>
      <c r="K49" s="39">
        <v>46002</v>
      </c>
      <c r="L49" t="str">
        <f t="shared" si="0"/>
        <v>2025-12</v>
      </c>
      <c r="M49" t="s">
        <v>595</v>
      </c>
      <c r="N49">
        <v>12</v>
      </c>
      <c r="O49">
        <v>2.52</v>
      </c>
      <c r="P49">
        <v>1</v>
      </c>
      <c r="Q49">
        <v>1</v>
      </c>
      <c r="R49">
        <v>1</v>
      </c>
      <c r="S49" t="s">
        <v>95</v>
      </c>
      <c r="T49">
        <v>0</v>
      </c>
      <c r="V49">
        <f t="shared" si="1"/>
        <v>1</v>
      </c>
      <c r="W49" t="str">
        <f t="shared" si="2"/>
        <v>Met</v>
      </c>
    </row>
    <row r="50" spans="1:23" x14ac:dyDescent="0.2">
      <c r="A50">
        <v>7608203087</v>
      </c>
      <c r="B50">
        <v>533</v>
      </c>
      <c r="C50" t="s">
        <v>149</v>
      </c>
      <c r="D50" t="s">
        <v>150</v>
      </c>
      <c r="E50" t="s">
        <v>134</v>
      </c>
      <c r="F50" t="s">
        <v>376</v>
      </c>
      <c r="G50" t="s">
        <v>375</v>
      </c>
      <c r="H50">
        <v>2</v>
      </c>
      <c r="I50" t="s">
        <v>596</v>
      </c>
      <c r="J50" s="39">
        <v>46104.286597222199</v>
      </c>
      <c r="K50" s="39">
        <v>46104</v>
      </c>
      <c r="L50" t="str">
        <f t="shared" si="0"/>
        <v>2026-03</v>
      </c>
      <c r="M50" t="s">
        <v>595</v>
      </c>
      <c r="N50">
        <v>0</v>
      </c>
      <c r="O50">
        <v>9.7799999999999994</v>
      </c>
      <c r="P50">
        <v>1</v>
      </c>
      <c r="Q50">
        <v>1</v>
      </c>
      <c r="R50">
        <v>1</v>
      </c>
      <c r="S50" t="s">
        <v>94</v>
      </c>
      <c r="T50">
        <v>2</v>
      </c>
      <c r="U50">
        <v>1</v>
      </c>
      <c r="V50">
        <f t="shared" si="1"/>
        <v>1</v>
      </c>
      <c r="W50" t="str">
        <f t="shared" si="2"/>
        <v>Met</v>
      </c>
    </row>
    <row r="51" spans="1:23" x14ac:dyDescent="0.2">
      <c r="A51">
        <v>7619303079</v>
      </c>
      <c r="B51">
        <v>493</v>
      </c>
      <c r="C51" t="s">
        <v>116</v>
      </c>
      <c r="D51" t="s">
        <v>117</v>
      </c>
      <c r="E51" t="s">
        <v>111</v>
      </c>
      <c r="F51" t="s">
        <v>258</v>
      </c>
      <c r="G51" t="s">
        <v>257</v>
      </c>
      <c r="H51">
        <v>2</v>
      </c>
      <c r="I51" t="s">
        <v>594</v>
      </c>
      <c r="J51" s="39">
        <v>46215.533703703702</v>
      </c>
      <c r="K51" s="39">
        <v>46215</v>
      </c>
      <c r="L51" t="str">
        <f t="shared" si="0"/>
        <v>2026-07</v>
      </c>
      <c r="M51" t="s">
        <v>595</v>
      </c>
      <c r="N51">
        <v>16</v>
      </c>
      <c r="O51">
        <v>3.97</v>
      </c>
      <c r="P51">
        <v>0</v>
      </c>
      <c r="Q51">
        <v>0</v>
      </c>
      <c r="R51">
        <v>0</v>
      </c>
      <c r="S51" t="s">
        <v>94</v>
      </c>
      <c r="T51">
        <v>2</v>
      </c>
      <c r="U51">
        <v>1</v>
      </c>
      <c r="V51" t="str">
        <f t="shared" si="1"/>
        <v/>
      </c>
      <c r="W51" t="str">
        <f t="shared" si="2"/>
        <v>Not Eligible</v>
      </c>
    </row>
    <row r="52" spans="1:23" x14ac:dyDescent="0.2">
      <c r="A52">
        <v>7617502553</v>
      </c>
      <c r="B52">
        <v>928</v>
      </c>
      <c r="C52" t="s">
        <v>238</v>
      </c>
      <c r="D52" t="s">
        <v>239</v>
      </c>
      <c r="E52" t="s">
        <v>226</v>
      </c>
      <c r="F52" t="s">
        <v>266</v>
      </c>
      <c r="G52" t="s">
        <v>265</v>
      </c>
      <c r="H52">
        <v>2</v>
      </c>
      <c r="I52" t="s">
        <v>596</v>
      </c>
      <c r="J52" s="39">
        <v>46197.394236111097</v>
      </c>
      <c r="K52" s="39">
        <v>46199</v>
      </c>
      <c r="L52" t="str">
        <f t="shared" si="0"/>
        <v>2026-06</v>
      </c>
      <c r="M52" t="s">
        <v>595</v>
      </c>
      <c r="N52">
        <v>16</v>
      </c>
      <c r="O52">
        <v>57.43</v>
      </c>
      <c r="P52">
        <v>0</v>
      </c>
      <c r="Q52">
        <v>0</v>
      </c>
      <c r="R52">
        <v>1</v>
      </c>
      <c r="S52" t="s">
        <v>94</v>
      </c>
      <c r="T52">
        <v>1</v>
      </c>
      <c r="V52">
        <f t="shared" si="1"/>
        <v>0</v>
      </c>
      <c r="W52" t="str">
        <f t="shared" si="2"/>
        <v>Missed</v>
      </c>
    </row>
    <row r="53" spans="1:23" x14ac:dyDescent="0.2">
      <c r="A53">
        <v>7618110245</v>
      </c>
      <c r="B53">
        <v>639</v>
      </c>
      <c r="C53" t="s">
        <v>195</v>
      </c>
      <c r="D53" t="s">
        <v>196</v>
      </c>
      <c r="E53" t="s">
        <v>181</v>
      </c>
      <c r="F53" t="s">
        <v>384</v>
      </c>
      <c r="G53" t="s">
        <v>383</v>
      </c>
      <c r="H53">
        <v>2</v>
      </c>
      <c r="I53" t="s">
        <v>596</v>
      </c>
      <c r="J53" s="39">
        <v>46203.6252662037</v>
      </c>
      <c r="K53" s="39">
        <v>46203</v>
      </c>
      <c r="L53" t="str">
        <f t="shared" si="0"/>
        <v>2026-06</v>
      </c>
      <c r="M53" t="s">
        <v>595</v>
      </c>
      <c r="N53">
        <v>16</v>
      </c>
      <c r="O53">
        <v>3.05</v>
      </c>
      <c r="P53">
        <v>1</v>
      </c>
      <c r="Q53">
        <v>1</v>
      </c>
      <c r="R53">
        <v>1</v>
      </c>
      <c r="S53" t="s">
        <v>94</v>
      </c>
      <c r="T53">
        <v>2</v>
      </c>
      <c r="U53">
        <v>1</v>
      </c>
      <c r="V53">
        <f t="shared" si="1"/>
        <v>1</v>
      </c>
      <c r="W53" t="str">
        <f t="shared" si="2"/>
        <v>Met</v>
      </c>
    </row>
    <row r="54" spans="1:23" x14ac:dyDescent="0.2">
      <c r="A54">
        <v>7521704683</v>
      </c>
      <c r="B54">
        <v>701</v>
      </c>
      <c r="C54" t="s">
        <v>213</v>
      </c>
      <c r="D54" t="s">
        <v>214</v>
      </c>
      <c r="E54" t="s">
        <v>215</v>
      </c>
      <c r="F54" t="s">
        <v>446</v>
      </c>
      <c r="G54" t="s">
        <v>445</v>
      </c>
      <c r="H54">
        <v>2</v>
      </c>
      <c r="I54" t="s">
        <v>596</v>
      </c>
      <c r="J54" s="39">
        <v>45874.586018518501</v>
      </c>
      <c r="K54" s="39">
        <v>45877</v>
      </c>
      <c r="L54" t="str">
        <f t="shared" si="0"/>
        <v>2025-08</v>
      </c>
      <c r="M54" t="s">
        <v>595</v>
      </c>
      <c r="N54">
        <v>16</v>
      </c>
      <c r="O54">
        <v>72.849999999999994</v>
      </c>
      <c r="P54">
        <v>0</v>
      </c>
      <c r="Q54">
        <v>0</v>
      </c>
      <c r="R54">
        <v>1</v>
      </c>
      <c r="S54" t="s">
        <v>95</v>
      </c>
      <c r="T54">
        <v>0</v>
      </c>
      <c r="V54">
        <f t="shared" si="1"/>
        <v>0</v>
      </c>
      <c r="W54" t="str">
        <f t="shared" si="2"/>
        <v>Missed</v>
      </c>
    </row>
    <row r="55" spans="1:23" x14ac:dyDescent="0.2">
      <c r="A55">
        <v>7618212327</v>
      </c>
      <c r="B55">
        <v>524</v>
      </c>
      <c r="C55" t="s">
        <v>137</v>
      </c>
      <c r="D55" t="s">
        <v>138</v>
      </c>
      <c r="E55" t="s">
        <v>134</v>
      </c>
      <c r="F55" t="s">
        <v>294</v>
      </c>
      <c r="G55" t="s">
        <v>293</v>
      </c>
      <c r="H55">
        <v>2</v>
      </c>
      <c r="I55" t="s">
        <v>596</v>
      </c>
      <c r="J55" s="39">
        <v>46204.408425925903</v>
      </c>
      <c r="K55" s="39">
        <v>46204</v>
      </c>
      <c r="L55" t="str">
        <f t="shared" si="0"/>
        <v>2026-07</v>
      </c>
      <c r="M55" t="s">
        <v>595</v>
      </c>
      <c r="N55">
        <v>16</v>
      </c>
      <c r="O55">
        <v>2.02</v>
      </c>
      <c r="P55">
        <v>1</v>
      </c>
      <c r="Q55">
        <v>1</v>
      </c>
      <c r="R55">
        <v>1</v>
      </c>
      <c r="S55" t="s">
        <v>94</v>
      </c>
      <c r="T55">
        <v>2</v>
      </c>
      <c r="U55">
        <v>1</v>
      </c>
      <c r="V55">
        <f t="shared" si="1"/>
        <v>1</v>
      </c>
      <c r="W55" t="str">
        <f t="shared" si="2"/>
        <v>Met</v>
      </c>
    </row>
    <row r="56" spans="1:23" x14ac:dyDescent="0.2">
      <c r="A56">
        <v>7606002214</v>
      </c>
      <c r="B56">
        <v>643</v>
      </c>
      <c r="C56" t="s">
        <v>201</v>
      </c>
      <c r="D56" t="s">
        <v>202</v>
      </c>
      <c r="E56" t="s">
        <v>178</v>
      </c>
      <c r="F56" t="s">
        <v>298</v>
      </c>
      <c r="G56" t="s">
        <v>297</v>
      </c>
      <c r="H56">
        <v>1</v>
      </c>
      <c r="I56" t="s">
        <v>596</v>
      </c>
      <c r="J56" s="39">
        <v>46082.4093055556</v>
      </c>
      <c r="K56" s="39">
        <v>46082</v>
      </c>
      <c r="L56" t="str">
        <f t="shared" si="0"/>
        <v>2026-03</v>
      </c>
      <c r="M56" t="s">
        <v>595</v>
      </c>
      <c r="N56">
        <v>0</v>
      </c>
      <c r="O56">
        <v>5.03</v>
      </c>
      <c r="P56">
        <v>1</v>
      </c>
      <c r="Q56">
        <v>1</v>
      </c>
      <c r="R56">
        <v>1</v>
      </c>
      <c r="S56" t="s">
        <v>94</v>
      </c>
      <c r="T56">
        <v>2</v>
      </c>
      <c r="U56">
        <v>1</v>
      </c>
      <c r="V56">
        <f t="shared" si="1"/>
        <v>1</v>
      </c>
      <c r="W56" t="str">
        <f t="shared" si="2"/>
        <v>Met</v>
      </c>
    </row>
    <row r="57" spans="1:23" x14ac:dyDescent="0.2">
      <c r="A57">
        <v>7536509827</v>
      </c>
      <c r="B57">
        <v>525</v>
      </c>
      <c r="C57" t="s">
        <v>139</v>
      </c>
      <c r="D57" t="s">
        <v>133</v>
      </c>
      <c r="E57" t="s">
        <v>134</v>
      </c>
      <c r="F57" t="s">
        <v>308</v>
      </c>
      <c r="G57" t="s">
        <v>307</v>
      </c>
      <c r="H57">
        <v>2</v>
      </c>
      <c r="I57" t="s">
        <v>596</v>
      </c>
      <c r="J57" s="39">
        <v>46022.637638888897</v>
      </c>
      <c r="K57" s="39">
        <v>46022</v>
      </c>
      <c r="L57" t="str">
        <f t="shared" si="0"/>
        <v>2025-12</v>
      </c>
      <c r="M57" t="s">
        <v>595</v>
      </c>
      <c r="N57">
        <v>16</v>
      </c>
      <c r="O57">
        <v>1.97</v>
      </c>
      <c r="P57">
        <v>1</v>
      </c>
      <c r="Q57">
        <v>1</v>
      </c>
      <c r="R57">
        <v>1</v>
      </c>
      <c r="S57" t="s">
        <v>95</v>
      </c>
      <c r="T57">
        <v>0</v>
      </c>
      <c r="V57">
        <f t="shared" si="1"/>
        <v>1</v>
      </c>
      <c r="W57" t="str">
        <f t="shared" si="2"/>
        <v>Met</v>
      </c>
    </row>
    <row r="58" spans="1:23" x14ac:dyDescent="0.2">
      <c r="A58">
        <v>7601102405</v>
      </c>
      <c r="B58">
        <v>526</v>
      </c>
      <c r="C58" t="s">
        <v>140</v>
      </c>
      <c r="D58" t="s">
        <v>133</v>
      </c>
      <c r="E58" t="s">
        <v>134</v>
      </c>
      <c r="F58" t="s">
        <v>264</v>
      </c>
      <c r="G58" t="s">
        <v>263</v>
      </c>
      <c r="H58">
        <v>2</v>
      </c>
      <c r="I58" t="s">
        <v>594</v>
      </c>
      <c r="J58" s="39">
        <v>46033.666111111103</v>
      </c>
      <c r="K58" s="39">
        <v>46033</v>
      </c>
      <c r="L58" t="str">
        <f t="shared" si="0"/>
        <v>2026-01</v>
      </c>
      <c r="M58" t="s">
        <v>595</v>
      </c>
      <c r="N58">
        <v>16</v>
      </c>
      <c r="O58">
        <v>3.53</v>
      </c>
      <c r="P58">
        <v>0</v>
      </c>
      <c r="Q58">
        <v>0</v>
      </c>
      <c r="R58">
        <v>0</v>
      </c>
      <c r="S58" t="s">
        <v>94</v>
      </c>
      <c r="T58">
        <v>2</v>
      </c>
      <c r="U58">
        <v>1</v>
      </c>
      <c r="V58" t="str">
        <f t="shared" si="1"/>
        <v/>
      </c>
      <c r="W58" t="str">
        <f t="shared" si="2"/>
        <v>Not Eligible</v>
      </c>
    </row>
    <row r="59" spans="1:23" x14ac:dyDescent="0.2">
      <c r="A59">
        <v>7620907076</v>
      </c>
      <c r="B59">
        <v>636</v>
      </c>
      <c r="C59" t="s">
        <v>190</v>
      </c>
      <c r="D59" t="s">
        <v>191</v>
      </c>
      <c r="E59" t="s">
        <v>181</v>
      </c>
      <c r="F59" t="s">
        <v>386</v>
      </c>
      <c r="G59" t="s">
        <v>385</v>
      </c>
      <c r="H59">
        <v>2</v>
      </c>
      <c r="I59" t="s">
        <v>594</v>
      </c>
      <c r="J59" s="39">
        <v>46231.424074074101</v>
      </c>
      <c r="K59" s="39">
        <v>46234</v>
      </c>
      <c r="L59" t="str">
        <f t="shared" si="0"/>
        <v>2026-07</v>
      </c>
      <c r="M59" t="s">
        <v>595</v>
      </c>
      <c r="N59">
        <v>16</v>
      </c>
      <c r="O59">
        <v>72.2</v>
      </c>
      <c r="P59">
        <v>0</v>
      </c>
      <c r="Q59">
        <v>0</v>
      </c>
      <c r="R59">
        <v>0</v>
      </c>
      <c r="S59" t="s">
        <v>94</v>
      </c>
      <c r="T59">
        <v>1</v>
      </c>
      <c r="V59" t="str">
        <f t="shared" si="1"/>
        <v/>
      </c>
      <c r="W59" t="str">
        <f t="shared" si="2"/>
        <v>Not Eligible</v>
      </c>
    </row>
    <row r="60" spans="1:23" x14ac:dyDescent="0.2">
      <c r="A60">
        <v>7527205737</v>
      </c>
      <c r="B60">
        <v>561</v>
      </c>
      <c r="C60" t="s">
        <v>170</v>
      </c>
      <c r="D60" t="s">
        <v>171</v>
      </c>
      <c r="E60" t="s">
        <v>159</v>
      </c>
      <c r="F60" t="s">
        <v>254</v>
      </c>
      <c r="G60" t="s">
        <v>253</v>
      </c>
      <c r="H60">
        <v>2</v>
      </c>
      <c r="I60" t="s">
        <v>596</v>
      </c>
      <c r="J60" s="39">
        <v>45929.554212962998</v>
      </c>
      <c r="K60" s="39">
        <v>45931</v>
      </c>
      <c r="L60" t="str">
        <f t="shared" si="0"/>
        <v>2025-10</v>
      </c>
      <c r="M60" t="s">
        <v>595</v>
      </c>
      <c r="N60">
        <v>16</v>
      </c>
      <c r="O60">
        <v>50.27</v>
      </c>
      <c r="P60">
        <v>0</v>
      </c>
      <c r="Q60">
        <v>0</v>
      </c>
      <c r="R60">
        <v>1</v>
      </c>
      <c r="S60" t="s">
        <v>94</v>
      </c>
      <c r="T60">
        <v>1</v>
      </c>
      <c r="V60">
        <f t="shared" si="1"/>
        <v>0</v>
      </c>
      <c r="W60" t="str">
        <f t="shared" si="2"/>
        <v>Missed</v>
      </c>
    </row>
    <row r="61" spans="1:23" x14ac:dyDescent="0.2">
      <c r="A61">
        <v>7617605712</v>
      </c>
      <c r="B61">
        <v>931</v>
      </c>
      <c r="C61" t="s">
        <v>242</v>
      </c>
      <c r="D61" t="s">
        <v>243</v>
      </c>
      <c r="E61" t="s">
        <v>226</v>
      </c>
      <c r="F61" t="s">
        <v>485</v>
      </c>
      <c r="G61" t="s">
        <v>484</v>
      </c>
      <c r="H61">
        <v>1</v>
      </c>
      <c r="I61" t="s">
        <v>596</v>
      </c>
      <c r="J61" s="39">
        <v>46198.603599536997</v>
      </c>
      <c r="K61" s="39">
        <v>46199</v>
      </c>
      <c r="L61" t="str">
        <f t="shared" si="0"/>
        <v>2026-06</v>
      </c>
      <c r="M61" t="s">
        <v>595</v>
      </c>
      <c r="N61">
        <v>12</v>
      </c>
      <c r="O61">
        <v>20.95</v>
      </c>
      <c r="P61">
        <v>1</v>
      </c>
      <c r="Q61">
        <v>1</v>
      </c>
      <c r="R61">
        <v>1</v>
      </c>
      <c r="S61" t="s">
        <v>94</v>
      </c>
      <c r="T61">
        <v>2</v>
      </c>
      <c r="U61">
        <v>1</v>
      </c>
      <c r="V61">
        <f t="shared" si="1"/>
        <v>1</v>
      </c>
      <c r="W61" t="str">
        <f t="shared" si="2"/>
        <v>Met</v>
      </c>
    </row>
    <row r="62" spans="1:23" x14ac:dyDescent="0.2">
      <c r="A62">
        <v>7525214566</v>
      </c>
      <c r="B62">
        <v>528</v>
      </c>
      <c r="C62" t="s">
        <v>143</v>
      </c>
      <c r="D62" t="s">
        <v>144</v>
      </c>
      <c r="E62" t="s">
        <v>134</v>
      </c>
      <c r="F62" t="s">
        <v>264</v>
      </c>
      <c r="G62" t="s">
        <v>263</v>
      </c>
      <c r="H62">
        <v>2</v>
      </c>
      <c r="I62" t="s">
        <v>596</v>
      </c>
      <c r="J62" s="39">
        <v>45909.400833333297</v>
      </c>
      <c r="K62" s="39">
        <v>45910</v>
      </c>
      <c r="L62" t="str">
        <f t="shared" si="0"/>
        <v>2025-09</v>
      </c>
      <c r="M62" t="s">
        <v>595</v>
      </c>
      <c r="N62">
        <v>16</v>
      </c>
      <c r="O62">
        <v>24.38</v>
      </c>
      <c r="P62">
        <v>1</v>
      </c>
      <c r="Q62">
        <v>1</v>
      </c>
      <c r="R62">
        <v>1</v>
      </c>
      <c r="S62" t="s">
        <v>95</v>
      </c>
      <c r="T62">
        <v>0</v>
      </c>
      <c r="V62">
        <f t="shared" si="1"/>
        <v>1</v>
      </c>
      <c r="W62" t="str">
        <f t="shared" si="2"/>
        <v>Met</v>
      </c>
    </row>
    <row r="63" spans="1:23" x14ac:dyDescent="0.2">
      <c r="A63">
        <v>7525401279</v>
      </c>
      <c r="B63">
        <v>537</v>
      </c>
      <c r="C63" t="s">
        <v>156</v>
      </c>
      <c r="D63" t="s">
        <v>157</v>
      </c>
      <c r="E63" t="s">
        <v>134</v>
      </c>
      <c r="F63" t="s">
        <v>300</v>
      </c>
      <c r="G63" t="s">
        <v>299</v>
      </c>
      <c r="H63">
        <v>2</v>
      </c>
      <c r="I63" t="s">
        <v>596</v>
      </c>
      <c r="J63" s="39">
        <v>45911.724247685197</v>
      </c>
      <c r="K63" s="39">
        <v>45912</v>
      </c>
      <c r="L63" t="str">
        <f t="shared" si="0"/>
        <v>2025-09</v>
      </c>
      <c r="M63" t="s">
        <v>595</v>
      </c>
      <c r="N63">
        <v>16</v>
      </c>
      <c r="O63">
        <v>19.72</v>
      </c>
      <c r="P63">
        <v>1</v>
      </c>
      <c r="Q63">
        <v>1</v>
      </c>
      <c r="R63">
        <v>1</v>
      </c>
      <c r="S63" t="s">
        <v>95</v>
      </c>
      <c r="T63">
        <v>0</v>
      </c>
      <c r="V63">
        <f t="shared" si="1"/>
        <v>1</v>
      </c>
      <c r="W63" t="str">
        <f t="shared" si="2"/>
        <v>Met</v>
      </c>
    </row>
    <row r="64" spans="1:23" x14ac:dyDescent="0.2">
      <c r="A64">
        <v>7611912938</v>
      </c>
      <c r="B64">
        <v>637</v>
      </c>
      <c r="C64" t="s">
        <v>192</v>
      </c>
      <c r="D64" t="s">
        <v>193</v>
      </c>
      <c r="E64" t="s">
        <v>181</v>
      </c>
      <c r="F64" t="s">
        <v>272</v>
      </c>
      <c r="G64" t="s">
        <v>271</v>
      </c>
      <c r="H64">
        <v>2</v>
      </c>
      <c r="I64" t="s">
        <v>596</v>
      </c>
      <c r="J64" s="39">
        <v>46141.521840277797</v>
      </c>
      <c r="K64" s="39">
        <v>46143</v>
      </c>
      <c r="L64" t="str">
        <f t="shared" si="0"/>
        <v>2026-05</v>
      </c>
      <c r="M64" t="s">
        <v>595</v>
      </c>
      <c r="N64">
        <v>16</v>
      </c>
      <c r="O64">
        <v>54.95</v>
      </c>
      <c r="P64">
        <v>0</v>
      </c>
      <c r="Q64">
        <v>0</v>
      </c>
      <c r="R64">
        <v>1</v>
      </c>
      <c r="S64" t="s">
        <v>94</v>
      </c>
      <c r="T64">
        <v>1</v>
      </c>
      <c r="V64">
        <f t="shared" si="1"/>
        <v>0</v>
      </c>
      <c r="W64" t="str">
        <f t="shared" si="2"/>
        <v>Missed</v>
      </c>
    </row>
    <row r="65" spans="1:23" x14ac:dyDescent="0.2">
      <c r="A65">
        <v>7604703168</v>
      </c>
      <c r="B65">
        <v>631</v>
      </c>
      <c r="C65" t="s">
        <v>179</v>
      </c>
      <c r="D65" t="s">
        <v>180</v>
      </c>
      <c r="E65" t="s">
        <v>181</v>
      </c>
      <c r="F65" t="s">
        <v>440</v>
      </c>
      <c r="G65" t="s">
        <v>439</v>
      </c>
      <c r="H65">
        <v>2</v>
      </c>
      <c r="I65" t="s">
        <v>596</v>
      </c>
      <c r="J65" s="39">
        <v>46069.437152777798</v>
      </c>
      <c r="K65" s="39">
        <v>46069</v>
      </c>
      <c r="L65" t="str">
        <f t="shared" si="0"/>
        <v>2026-02</v>
      </c>
      <c r="M65" t="s">
        <v>595</v>
      </c>
      <c r="N65">
        <v>0</v>
      </c>
      <c r="O65">
        <v>7.03</v>
      </c>
      <c r="P65">
        <v>1</v>
      </c>
      <c r="Q65">
        <v>1</v>
      </c>
      <c r="R65">
        <v>1</v>
      </c>
      <c r="S65" t="s">
        <v>94</v>
      </c>
      <c r="T65">
        <v>2</v>
      </c>
      <c r="U65">
        <v>1</v>
      </c>
      <c r="V65">
        <f t="shared" si="1"/>
        <v>1</v>
      </c>
      <c r="W65" t="str">
        <f t="shared" si="2"/>
        <v>Met</v>
      </c>
    </row>
    <row r="66" spans="1:23" x14ac:dyDescent="0.2">
      <c r="A66">
        <v>7534008699</v>
      </c>
      <c r="B66">
        <v>535</v>
      </c>
      <c r="C66" t="s">
        <v>153</v>
      </c>
      <c r="D66" t="s">
        <v>154</v>
      </c>
      <c r="E66" t="s">
        <v>134</v>
      </c>
      <c r="F66" t="s">
        <v>308</v>
      </c>
      <c r="G66" t="s">
        <v>307</v>
      </c>
      <c r="H66">
        <v>1</v>
      </c>
      <c r="I66" t="s">
        <v>596</v>
      </c>
      <c r="J66" s="39">
        <v>45997.774953703702</v>
      </c>
      <c r="K66" s="39">
        <v>45998</v>
      </c>
      <c r="L66" t="str">
        <f t="shared" ref="L66:L129" si="3">IF(K66="","",TEXT(K66,"YYYY-MM"))</f>
        <v>2025-12</v>
      </c>
      <c r="M66" t="s">
        <v>595</v>
      </c>
      <c r="N66">
        <v>12</v>
      </c>
      <c r="O66">
        <v>20.399999999999999</v>
      </c>
      <c r="P66">
        <v>1</v>
      </c>
      <c r="Q66">
        <v>1</v>
      </c>
      <c r="R66">
        <v>1</v>
      </c>
      <c r="S66" t="s">
        <v>95</v>
      </c>
      <c r="T66">
        <v>0</v>
      </c>
      <c r="V66">
        <f t="shared" ref="V66:V129" si="4">IF(R66=0,"",IF(U66&lt;&gt;"",U66,Q66))</f>
        <v>1</v>
      </c>
      <c r="W66" t="str">
        <f t="shared" ref="W66:W129" si="5">IF(R66=0,"Not Eligible",IF(V66=1,"Met","Missed"))</f>
        <v>Met</v>
      </c>
    </row>
    <row r="67" spans="1:23" x14ac:dyDescent="0.2">
      <c r="A67">
        <v>7524606974</v>
      </c>
      <c r="B67">
        <v>544</v>
      </c>
      <c r="C67" t="s">
        <v>164</v>
      </c>
      <c r="D67" t="s">
        <v>165</v>
      </c>
      <c r="E67" t="s">
        <v>159</v>
      </c>
      <c r="F67" t="s">
        <v>286</v>
      </c>
      <c r="G67" t="s">
        <v>285</v>
      </c>
      <c r="H67">
        <v>1</v>
      </c>
      <c r="I67" t="s">
        <v>596</v>
      </c>
      <c r="J67" s="39">
        <v>45903.437986111101</v>
      </c>
      <c r="K67" s="39">
        <v>45903</v>
      </c>
      <c r="L67" t="str">
        <f t="shared" si="3"/>
        <v>2025-09</v>
      </c>
      <c r="M67" t="s">
        <v>595</v>
      </c>
      <c r="N67">
        <v>12</v>
      </c>
      <c r="O67">
        <v>3</v>
      </c>
      <c r="P67">
        <v>1</v>
      </c>
      <c r="Q67">
        <v>1</v>
      </c>
      <c r="R67">
        <v>1</v>
      </c>
      <c r="S67" t="s">
        <v>95</v>
      </c>
      <c r="T67">
        <v>0</v>
      </c>
      <c r="V67">
        <f t="shared" si="4"/>
        <v>1</v>
      </c>
      <c r="W67" t="str">
        <f t="shared" si="5"/>
        <v>Met</v>
      </c>
    </row>
    <row r="68" spans="1:23" x14ac:dyDescent="0.2">
      <c r="A68">
        <v>7601403432</v>
      </c>
      <c r="B68">
        <v>493</v>
      </c>
      <c r="C68" t="s">
        <v>116</v>
      </c>
      <c r="D68" t="s">
        <v>117</v>
      </c>
      <c r="E68" t="s">
        <v>111</v>
      </c>
      <c r="F68" t="s">
        <v>290</v>
      </c>
      <c r="G68" t="s">
        <v>289</v>
      </c>
      <c r="H68">
        <v>1</v>
      </c>
      <c r="I68" t="s">
        <v>596</v>
      </c>
      <c r="J68" s="39">
        <v>46036.345949074101</v>
      </c>
      <c r="K68" s="39">
        <v>46037</v>
      </c>
      <c r="L68" t="str">
        <f t="shared" si="3"/>
        <v>2026-01</v>
      </c>
      <c r="M68" t="s">
        <v>595</v>
      </c>
      <c r="N68">
        <v>12</v>
      </c>
      <c r="O68">
        <v>31.07</v>
      </c>
      <c r="P68">
        <v>0</v>
      </c>
      <c r="Q68">
        <v>0</v>
      </c>
      <c r="R68">
        <v>1</v>
      </c>
      <c r="S68" t="s">
        <v>94</v>
      </c>
      <c r="T68">
        <v>1</v>
      </c>
      <c r="V68">
        <f t="shared" si="4"/>
        <v>0</v>
      </c>
      <c r="W68" t="str">
        <f t="shared" si="5"/>
        <v>Missed</v>
      </c>
    </row>
    <row r="69" spans="1:23" x14ac:dyDescent="0.2">
      <c r="A69">
        <v>7617300249</v>
      </c>
      <c r="B69">
        <v>931</v>
      </c>
      <c r="C69" t="s">
        <v>242</v>
      </c>
      <c r="D69" t="s">
        <v>243</v>
      </c>
      <c r="E69" t="s">
        <v>226</v>
      </c>
      <c r="F69" t="s">
        <v>418</v>
      </c>
      <c r="G69" t="s">
        <v>417</v>
      </c>
      <c r="H69">
        <v>1</v>
      </c>
      <c r="I69" t="s">
        <v>594</v>
      </c>
      <c r="J69" s="39">
        <v>46195.693541666697</v>
      </c>
      <c r="K69" s="39">
        <v>46197</v>
      </c>
      <c r="L69" t="str">
        <f t="shared" si="3"/>
        <v>2026-06</v>
      </c>
      <c r="M69" t="s">
        <v>595</v>
      </c>
      <c r="N69">
        <v>12</v>
      </c>
      <c r="O69">
        <v>41.95</v>
      </c>
      <c r="P69">
        <v>0</v>
      </c>
      <c r="Q69">
        <v>0</v>
      </c>
      <c r="R69">
        <v>0</v>
      </c>
      <c r="S69" t="s">
        <v>94</v>
      </c>
      <c r="T69">
        <v>1</v>
      </c>
      <c r="V69" t="str">
        <f t="shared" si="4"/>
        <v/>
      </c>
      <c r="W69" t="str">
        <f t="shared" si="5"/>
        <v>Not Eligible</v>
      </c>
    </row>
    <row r="70" spans="1:23" x14ac:dyDescent="0.2">
      <c r="A70">
        <v>7622205665</v>
      </c>
      <c r="B70">
        <v>448</v>
      </c>
      <c r="C70" t="s">
        <v>109</v>
      </c>
      <c r="D70" t="s">
        <v>110</v>
      </c>
      <c r="E70" t="s">
        <v>111</v>
      </c>
      <c r="F70" t="s">
        <v>258</v>
      </c>
      <c r="G70" t="s">
        <v>257</v>
      </c>
      <c r="H70">
        <v>1</v>
      </c>
      <c r="I70" t="s">
        <v>594</v>
      </c>
      <c r="J70" s="39">
        <v>46244.427870370397</v>
      </c>
      <c r="K70" s="39">
        <v>46244</v>
      </c>
      <c r="L70" t="str">
        <f t="shared" si="3"/>
        <v>2026-08</v>
      </c>
      <c r="M70" t="s">
        <v>595</v>
      </c>
      <c r="N70">
        <v>12</v>
      </c>
      <c r="O70">
        <v>7.8</v>
      </c>
      <c r="P70">
        <v>0</v>
      </c>
      <c r="Q70">
        <v>0</v>
      </c>
      <c r="R70">
        <v>0</v>
      </c>
      <c r="S70" t="s">
        <v>95</v>
      </c>
      <c r="T70">
        <v>0</v>
      </c>
      <c r="V70" t="str">
        <f t="shared" si="4"/>
        <v/>
      </c>
      <c r="W70" t="str">
        <f t="shared" si="5"/>
        <v>Not Eligible</v>
      </c>
    </row>
    <row r="71" spans="1:23" x14ac:dyDescent="0.2">
      <c r="A71">
        <v>7523502631</v>
      </c>
      <c r="B71">
        <v>525</v>
      </c>
      <c r="C71" t="s">
        <v>139</v>
      </c>
      <c r="D71" t="s">
        <v>133</v>
      </c>
      <c r="E71" t="s">
        <v>134</v>
      </c>
      <c r="F71" t="s">
        <v>341</v>
      </c>
      <c r="G71" t="s">
        <v>340</v>
      </c>
      <c r="H71">
        <v>2</v>
      </c>
      <c r="I71" t="s">
        <v>594</v>
      </c>
      <c r="J71" s="39">
        <v>45892.819444444503</v>
      </c>
      <c r="K71" s="39">
        <v>45893</v>
      </c>
      <c r="L71" t="str">
        <f t="shared" si="3"/>
        <v>2025-08</v>
      </c>
      <c r="M71" t="s">
        <v>595</v>
      </c>
      <c r="N71">
        <v>16</v>
      </c>
      <c r="O71">
        <v>20.2</v>
      </c>
      <c r="P71">
        <v>0</v>
      </c>
      <c r="Q71">
        <v>0</v>
      </c>
      <c r="R71">
        <v>0</v>
      </c>
      <c r="S71" t="s">
        <v>95</v>
      </c>
      <c r="T71">
        <v>0</v>
      </c>
      <c r="V71" t="str">
        <f t="shared" si="4"/>
        <v/>
      </c>
      <c r="W71" t="str">
        <f t="shared" si="5"/>
        <v>Not Eligible</v>
      </c>
    </row>
    <row r="72" spans="1:23" x14ac:dyDescent="0.2">
      <c r="A72">
        <v>7533602044</v>
      </c>
      <c r="B72">
        <v>537</v>
      </c>
      <c r="C72" t="s">
        <v>156</v>
      </c>
      <c r="D72" t="s">
        <v>157</v>
      </c>
      <c r="E72" t="s">
        <v>134</v>
      </c>
      <c r="F72" t="s">
        <v>300</v>
      </c>
      <c r="G72" t="s">
        <v>299</v>
      </c>
      <c r="H72">
        <v>2</v>
      </c>
      <c r="I72" t="s">
        <v>596</v>
      </c>
      <c r="J72" s="39">
        <v>45993.691608796304</v>
      </c>
      <c r="K72" s="39">
        <v>45994</v>
      </c>
      <c r="L72" t="str">
        <f t="shared" si="3"/>
        <v>2025-12</v>
      </c>
      <c r="M72" t="s">
        <v>595</v>
      </c>
      <c r="N72">
        <v>16</v>
      </c>
      <c r="O72">
        <v>20.9</v>
      </c>
      <c r="P72">
        <v>1</v>
      </c>
      <c r="Q72">
        <v>1</v>
      </c>
      <c r="R72">
        <v>1</v>
      </c>
      <c r="S72" t="s">
        <v>95</v>
      </c>
      <c r="T72">
        <v>0</v>
      </c>
      <c r="V72">
        <f t="shared" si="4"/>
        <v>1</v>
      </c>
      <c r="W72" t="str">
        <f t="shared" si="5"/>
        <v>Met</v>
      </c>
    </row>
    <row r="73" spans="1:23" x14ac:dyDescent="0.2">
      <c r="A73">
        <v>7618701084</v>
      </c>
      <c r="B73">
        <v>634</v>
      </c>
      <c r="C73" t="s">
        <v>186</v>
      </c>
      <c r="D73" t="s">
        <v>187</v>
      </c>
      <c r="E73" t="s">
        <v>181</v>
      </c>
      <c r="F73" t="s">
        <v>434</v>
      </c>
      <c r="G73" t="s">
        <v>433</v>
      </c>
      <c r="H73">
        <v>2</v>
      </c>
      <c r="I73" t="s">
        <v>596</v>
      </c>
      <c r="J73" s="39">
        <v>46209.607106481497</v>
      </c>
      <c r="K73" s="39">
        <v>46218</v>
      </c>
      <c r="L73" t="str">
        <f t="shared" si="3"/>
        <v>2026-07</v>
      </c>
      <c r="M73" t="s">
        <v>595</v>
      </c>
      <c r="N73">
        <v>16</v>
      </c>
      <c r="O73">
        <v>216.5</v>
      </c>
      <c r="P73">
        <v>0</v>
      </c>
      <c r="Q73">
        <v>0</v>
      </c>
      <c r="R73">
        <v>1</v>
      </c>
      <c r="S73" t="s">
        <v>94</v>
      </c>
      <c r="T73">
        <v>0</v>
      </c>
      <c r="U73">
        <v>0</v>
      </c>
      <c r="V73">
        <f t="shared" si="4"/>
        <v>0</v>
      </c>
      <c r="W73" t="str">
        <f t="shared" si="5"/>
        <v>Missed</v>
      </c>
    </row>
    <row r="74" spans="1:23" x14ac:dyDescent="0.2">
      <c r="A74">
        <v>7610604948</v>
      </c>
      <c r="B74">
        <v>648</v>
      </c>
      <c r="C74" t="s">
        <v>209</v>
      </c>
      <c r="D74" t="s">
        <v>210</v>
      </c>
      <c r="E74" t="s">
        <v>178</v>
      </c>
      <c r="F74" t="s">
        <v>312</v>
      </c>
      <c r="G74" t="s">
        <v>311</v>
      </c>
      <c r="H74">
        <v>2</v>
      </c>
      <c r="I74" t="s">
        <v>596</v>
      </c>
      <c r="J74" s="39">
        <v>46128.426967592597</v>
      </c>
      <c r="K74" s="39">
        <v>46128</v>
      </c>
      <c r="L74" t="str">
        <f t="shared" si="3"/>
        <v>2026-04</v>
      </c>
      <c r="M74" t="s">
        <v>598</v>
      </c>
      <c r="N74">
        <v>0</v>
      </c>
      <c r="O74">
        <v>0.13</v>
      </c>
      <c r="P74">
        <v>1</v>
      </c>
      <c r="Q74">
        <v>1</v>
      </c>
      <c r="R74">
        <v>1</v>
      </c>
      <c r="S74" t="s">
        <v>94</v>
      </c>
      <c r="T74">
        <v>1</v>
      </c>
      <c r="V74">
        <f t="shared" si="4"/>
        <v>1</v>
      </c>
      <c r="W74" t="str">
        <f t="shared" si="5"/>
        <v>Met</v>
      </c>
    </row>
    <row r="75" spans="1:23" x14ac:dyDescent="0.2">
      <c r="A75">
        <v>7620802549</v>
      </c>
      <c r="B75">
        <v>637</v>
      </c>
      <c r="C75" t="s">
        <v>192</v>
      </c>
      <c r="D75" t="s">
        <v>193</v>
      </c>
      <c r="E75" t="s">
        <v>181</v>
      </c>
      <c r="F75" t="s">
        <v>272</v>
      </c>
      <c r="G75" t="s">
        <v>271</v>
      </c>
      <c r="H75">
        <v>2</v>
      </c>
      <c r="I75" t="s">
        <v>596</v>
      </c>
      <c r="J75" s="39">
        <v>46230.6043981482</v>
      </c>
      <c r="K75" s="39">
        <v>46230</v>
      </c>
      <c r="L75" t="str">
        <f t="shared" si="3"/>
        <v>2026-07</v>
      </c>
      <c r="M75" t="s">
        <v>595</v>
      </c>
      <c r="N75">
        <v>16</v>
      </c>
      <c r="O75">
        <v>4.03</v>
      </c>
      <c r="P75">
        <v>1</v>
      </c>
      <c r="Q75">
        <v>1</v>
      </c>
      <c r="R75">
        <v>1</v>
      </c>
      <c r="S75" t="s">
        <v>94</v>
      </c>
      <c r="T75">
        <v>2</v>
      </c>
      <c r="U75">
        <v>1</v>
      </c>
      <c r="V75">
        <f t="shared" si="4"/>
        <v>1</v>
      </c>
      <c r="W75" t="str">
        <f t="shared" si="5"/>
        <v>Met</v>
      </c>
    </row>
    <row r="76" spans="1:23" x14ac:dyDescent="0.2">
      <c r="A76">
        <v>7613500273</v>
      </c>
      <c r="B76">
        <v>633</v>
      </c>
      <c r="C76" t="s">
        <v>184</v>
      </c>
      <c r="D76" t="s">
        <v>185</v>
      </c>
      <c r="E76" t="s">
        <v>181</v>
      </c>
      <c r="F76" t="s">
        <v>256</v>
      </c>
      <c r="G76" t="s">
        <v>255</v>
      </c>
      <c r="H76">
        <v>2</v>
      </c>
      <c r="I76" t="s">
        <v>596</v>
      </c>
      <c r="J76" s="39">
        <v>46157.658206018503</v>
      </c>
      <c r="K76" s="39">
        <v>46161</v>
      </c>
      <c r="L76" t="str">
        <f t="shared" si="3"/>
        <v>2026-05</v>
      </c>
      <c r="M76" t="s">
        <v>595</v>
      </c>
      <c r="N76">
        <v>16</v>
      </c>
      <c r="O76">
        <v>96.7</v>
      </c>
      <c r="P76">
        <v>0</v>
      </c>
      <c r="Q76">
        <v>0</v>
      </c>
      <c r="R76">
        <v>1</v>
      </c>
      <c r="S76" t="s">
        <v>94</v>
      </c>
      <c r="T76">
        <v>0</v>
      </c>
      <c r="U76">
        <v>0</v>
      </c>
      <c r="V76">
        <f t="shared" si="4"/>
        <v>0</v>
      </c>
      <c r="W76" t="str">
        <f t="shared" si="5"/>
        <v>Missed</v>
      </c>
    </row>
    <row r="77" spans="1:23" x14ac:dyDescent="0.2">
      <c r="A77">
        <v>7615315154</v>
      </c>
      <c r="B77">
        <v>562</v>
      </c>
      <c r="C77" t="s">
        <v>172</v>
      </c>
      <c r="D77" t="s">
        <v>173</v>
      </c>
      <c r="E77" t="s">
        <v>159</v>
      </c>
      <c r="F77" t="s">
        <v>306</v>
      </c>
      <c r="G77" t="s">
        <v>325</v>
      </c>
      <c r="H77">
        <v>2</v>
      </c>
      <c r="I77" t="s">
        <v>596</v>
      </c>
      <c r="J77" s="39">
        <v>46175.515381944497</v>
      </c>
      <c r="K77" s="39">
        <v>46175</v>
      </c>
      <c r="L77" t="str">
        <f t="shared" si="3"/>
        <v>2026-06</v>
      </c>
      <c r="M77" t="s">
        <v>595</v>
      </c>
      <c r="N77">
        <v>16</v>
      </c>
      <c r="O77">
        <v>3.47</v>
      </c>
      <c r="P77">
        <v>1</v>
      </c>
      <c r="Q77">
        <v>1</v>
      </c>
      <c r="R77">
        <v>1</v>
      </c>
      <c r="S77" t="s">
        <v>94</v>
      </c>
      <c r="T77">
        <v>2</v>
      </c>
      <c r="U77">
        <v>1</v>
      </c>
      <c r="V77">
        <f t="shared" si="4"/>
        <v>1</v>
      </c>
      <c r="W77" t="str">
        <f t="shared" si="5"/>
        <v>Met</v>
      </c>
    </row>
    <row r="78" spans="1:23" x14ac:dyDescent="0.2">
      <c r="A78">
        <v>7602702923</v>
      </c>
      <c r="B78">
        <v>635</v>
      </c>
      <c r="C78" t="s">
        <v>188</v>
      </c>
      <c r="D78" t="s">
        <v>189</v>
      </c>
      <c r="E78" t="s">
        <v>181</v>
      </c>
      <c r="F78" t="s">
        <v>380</v>
      </c>
      <c r="G78" t="s">
        <v>379</v>
      </c>
      <c r="H78">
        <v>2</v>
      </c>
      <c r="I78" t="s">
        <v>596</v>
      </c>
      <c r="J78" s="39">
        <v>46049.348680555602</v>
      </c>
      <c r="K78" s="39">
        <v>46049</v>
      </c>
      <c r="L78" t="str">
        <f t="shared" si="3"/>
        <v>2026-01</v>
      </c>
      <c r="M78" t="s">
        <v>595</v>
      </c>
      <c r="N78">
        <v>16</v>
      </c>
      <c r="O78">
        <v>2.75</v>
      </c>
      <c r="P78">
        <v>1</v>
      </c>
      <c r="Q78">
        <v>1</v>
      </c>
      <c r="R78">
        <v>1</v>
      </c>
      <c r="S78" t="s">
        <v>94</v>
      </c>
      <c r="T78">
        <v>2</v>
      </c>
      <c r="U78">
        <v>1</v>
      </c>
      <c r="V78">
        <f t="shared" si="4"/>
        <v>1</v>
      </c>
      <c r="W78" t="str">
        <f t="shared" si="5"/>
        <v>Met</v>
      </c>
    </row>
    <row r="79" spans="1:23" x14ac:dyDescent="0.2">
      <c r="A79">
        <v>7606400037</v>
      </c>
      <c r="B79">
        <v>494</v>
      </c>
      <c r="C79" t="s">
        <v>118</v>
      </c>
      <c r="D79" t="s">
        <v>119</v>
      </c>
      <c r="E79" t="s">
        <v>111</v>
      </c>
      <c r="F79" t="s">
        <v>258</v>
      </c>
      <c r="G79" t="s">
        <v>257</v>
      </c>
      <c r="H79">
        <v>1</v>
      </c>
      <c r="I79" t="s">
        <v>594</v>
      </c>
      <c r="J79" s="39">
        <v>46086.549328703702</v>
      </c>
      <c r="K79" s="39">
        <v>46087</v>
      </c>
      <c r="L79" t="str">
        <f t="shared" si="3"/>
        <v>2026-03</v>
      </c>
      <c r="M79" t="s">
        <v>595</v>
      </c>
      <c r="N79">
        <v>0</v>
      </c>
      <c r="O79">
        <v>26.75</v>
      </c>
      <c r="P79">
        <v>1</v>
      </c>
      <c r="Q79">
        <v>1</v>
      </c>
      <c r="R79">
        <v>1</v>
      </c>
      <c r="S79" t="s">
        <v>94</v>
      </c>
      <c r="T79">
        <v>1</v>
      </c>
      <c r="V79">
        <f t="shared" si="4"/>
        <v>1</v>
      </c>
      <c r="W79" t="str">
        <f t="shared" si="5"/>
        <v>Met</v>
      </c>
    </row>
    <row r="80" spans="1:23" x14ac:dyDescent="0.2">
      <c r="A80">
        <v>7606609442</v>
      </c>
      <c r="B80">
        <v>649</v>
      </c>
      <c r="C80" t="s">
        <v>211</v>
      </c>
      <c r="D80" t="s">
        <v>212</v>
      </c>
      <c r="E80" t="s">
        <v>178</v>
      </c>
      <c r="F80" t="s">
        <v>282</v>
      </c>
      <c r="G80" t="s">
        <v>281</v>
      </c>
      <c r="H80">
        <v>2</v>
      </c>
      <c r="I80" t="s">
        <v>596</v>
      </c>
      <c r="J80" s="39">
        <v>46088.664803240703</v>
      </c>
      <c r="K80" s="39">
        <v>46089</v>
      </c>
      <c r="L80" t="str">
        <f t="shared" si="3"/>
        <v>2026-03</v>
      </c>
      <c r="M80" t="s">
        <v>595</v>
      </c>
      <c r="N80">
        <v>0</v>
      </c>
      <c r="O80">
        <v>14.5</v>
      </c>
      <c r="P80">
        <v>1</v>
      </c>
      <c r="Q80">
        <v>1</v>
      </c>
      <c r="R80">
        <v>1</v>
      </c>
      <c r="S80" t="s">
        <v>94</v>
      </c>
      <c r="T80">
        <v>2</v>
      </c>
      <c r="U80">
        <v>1</v>
      </c>
      <c r="V80">
        <f t="shared" si="4"/>
        <v>1</v>
      </c>
      <c r="W80" t="str">
        <f t="shared" si="5"/>
        <v>Met</v>
      </c>
    </row>
    <row r="81" spans="1:23" x14ac:dyDescent="0.2">
      <c r="A81">
        <v>7535201789</v>
      </c>
      <c r="B81">
        <v>546</v>
      </c>
      <c r="C81" t="s">
        <v>168</v>
      </c>
      <c r="D81" t="s">
        <v>169</v>
      </c>
      <c r="E81" t="s">
        <v>159</v>
      </c>
      <c r="F81" t="s">
        <v>304</v>
      </c>
      <c r="G81" t="s">
        <v>303</v>
      </c>
      <c r="H81">
        <v>2</v>
      </c>
      <c r="I81" t="s">
        <v>596</v>
      </c>
      <c r="J81" s="39">
        <v>46009.670486111099</v>
      </c>
      <c r="K81" s="39">
        <v>46009</v>
      </c>
      <c r="L81" t="str">
        <f t="shared" si="3"/>
        <v>2025-12</v>
      </c>
      <c r="M81" t="s">
        <v>595</v>
      </c>
      <c r="N81">
        <v>16</v>
      </c>
      <c r="O81">
        <v>4.3499999999999996</v>
      </c>
      <c r="P81">
        <v>1</v>
      </c>
      <c r="Q81">
        <v>1</v>
      </c>
      <c r="R81">
        <v>1</v>
      </c>
      <c r="S81" t="s">
        <v>95</v>
      </c>
      <c r="T81">
        <v>0</v>
      </c>
      <c r="V81">
        <f t="shared" si="4"/>
        <v>1</v>
      </c>
      <c r="W81" t="str">
        <f t="shared" si="5"/>
        <v>Met</v>
      </c>
    </row>
    <row r="82" spans="1:23" x14ac:dyDescent="0.2">
      <c r="A82">
        <v>7605405426</v>
      </c>
      <c r="B82">
        <v>639</v>
      </c>
      <c r="C82" t="s">
        <v>195</v>
      </c>
      <c r="D82" t="s">
        <v>196</v>
      </c>
      <c r="E82" t="s">
        <v>181</v>
      </c>
      <c r="F82" t="s">
        <v>256</v>
      </c>
      <c r="G82" t="s">
        <v>255</v>
      </c>
      <c r="H82">
        <v>1</v>
      </c>
      <c r="I82" t="s">
        <v>596</v>
      </c>
      <c r="J82" s="39">
        <v>46076.3522337963</v>
      </c>
      <c r="K82" s="39">
        <v>46076</v>
      </c>
      <c r="L82" t="str">
        <f t="shared" si="3"/>
        <v>2026-02</v>
      </c>
      <c r="M82" t="s">
        <v>595</v>
      </c>
      <c r="N82">
        <v>0</v>
      </c>
      <c r="O82">
        <v>3.4</v>
      </c>
      <c r="P82">
        <v>1</v>
      </c>
      <c r="Q82">
        <v>1</v>
      </c>
      <c r="R82">
        <v>1</v>
      </c>
      <c r="S82" t="s">
        <v>94</v>
      </c>
      <c r="T82">
        <v>2</v>
      </c>
      <c r="U82">
        <v>1</v>
      </c>
      <c r="V82">
        <f t="shared" si="4"/>
        <v>1</v>
      </c>
      <c r="W82" t="str">
        <f t="shared" si="5"/>
        <v>Met</v>
      </c>
    </row>
    <row r="83" spans="1:23" x14ac:dyDescent="0.2">
      <c r="A83">
        <v>7531903475</v>
      </c>
      <c r="B83">
        <v>647</v>
      </c>
      <c r="C83" t="s">
        <v>207</v>
      </c>
      <c r="D83" t="s">
        <v>208</v>
      </c>
      <c r="E83" t="s">
        <v>178</v>
      </c>
      <c r="F83" t="s">
        <v>331</v>
      </c>
      <c r="G83" t="s">
        <v>330</v>
      </c>
      <c r="H83">
        <v>2</v>
      </c>
      <c r="I83" t="s">
        <v>596</v>
      </c>
      <c r="J83" s="39">
        <v>45976.438136574099</v>
      </c>
      <c r="K83" s="39">
        <v>45982</v>
      </c>
      <c r="L83" t="str">
        <f t="shared" si="3"/>
        <v>2025-11</v>
      </c>
      <c r="M83" t="s">
        <v>595</v>
      </c>
      <c r="N83">
        <v>16</v>
      </c>
      <c r="O83">
        <v>146.78</v>
      </c>
      <c r="P83">
        <v>0</v>
      </c>
      <c r="Q83">
        <v>0</v>
      </c>
      <c r="R83">
        <v>1</v>
      </c>
      <c r="S83" t="s">
        <v>94</v>
      </c>
      <c r="T83">
        <v>1</v>
      </c>
      <c r="V83">
        <f t="shared" si="4"/>
        <v>0</v>
      </c>
      <c r="W83" t="str">
        <f t="shared" si="5"/>
        <v>Missed</v>
      </c>
    </row>
    <row r="84" spans="1:23" x14ac:dyDescent="0.2">
      <c r="A84">
        <v>7621902493</v>
      </c>
      <c r="B84">
        <v>643</v>
      </c>
      <c r="C84" t="s">
        <v>201</v>
      </c>
      <c r="D84" t="s">
        <v>202</v>
      </c>
      <c r="E84" t="s">
        <v>178</v>
      </c>
      <c r="F84" t="s">
        <v>288</v>
      </c>
      <c r="G84" t="s">
        <v>287</v>
      </c>
      <c r="H84">
        <v>2</v>
      </c>
      <c r="I84" t="s">
        <v>594</v>
      </c>
      <c r="J84" s="39">
        <v>46241.413668981499</v>
      </c>
      <c r="K84" s="39">
        <v>46242</v>
      </c>
      <c r="L84" t="str">
        <f t="shared" si="3"/>
        <v>2026-08</v>
      </c>
      <c r="M84" t="s">
        <v>595</v>
      </c>
      <c r="N84">
        <v>16</v>
      </c>
      <c r="O84">
        <v>24.47</v>
      </c>
      <c r="P84">
        <v>0</v>
      </c>
      <c r="Q84">
        <v>0</v>
      </c>
      <c r="R84">
        <v>0</v>
      </c>
      <c r="S84" t="s">
        <v>94</v>
      </c>
      <c r="T84">
        <v>2</v>
      </c>
      <c r="U84">
        <v>1</v>
      </c>
      <c r="V84" t="str">
        <f t="shared" si="4"/>
        <v/>
      </c>
      <c r="W84" t="str">
        <f t="shared" si="5"/>
        <v>Not Eligible</v>
      </c>
    </row>
    <row r="85" spans="1:23" x14ac:dyDescent="0.2">
      <c r="A85">
        <v>7600505547</v>
      </c>
      <c r="B85">
        <v>928</v>
      </c>
      <c r="C85" t="s">
        <v>238</v>
      </c>
      <c r="D85" t="s">
        <v>239</v>
      </c>
      <c r="E85" t="s">
        <v>226</v>
      </c>
      <c r="F85" t="s">
        <v>266</v>
      </c>
      <c r="G85" t="s">
        <v>265</v>
      </c>
      <c r="H85">
        <v>2</v>
      </c>
      <c r="I85" t="s">
        <v>596</v>
      </c>
      <c r="J85" s="39">
        <v>46027.382916666698</v>
      </c>
      <c r="K85" s="39">
        <v>46027</v>
      </c>
      <c r="L85" t="str">
        <f t="shared" si="3"/>
        <v>2026-01</v>
      </c>
      <c r="M85" t="s">
        <v>595</v>
      </c>
      <c r="N85">
        <v>16</v>
      </c>
      <c r="O85">
        <v>2.6</v>
      </c>
      <c r="P85">
        <v>1</v>
      </c>
      <c r="Q85">
        <v>1</v>
      </c>
      <c r="R85">
        <v>1</v>
      </c>
      <c r="S85" t="s">
        <v>94</v>
      </c>
      <c r="T85">
        <v>2</v>
      </c>
      <c r="U85">
        <v>1</v>
      </c>
      <c r="V85">
        <f t="shared" si="4"/>
        <v>1</v>
      </c>
      <c r="W85" t="str">
        <f t="shared" si="5"/>
        <v>Met</v>
      </c>
    </row>
    <row r="86" spans="1:23" x14ac:dyDescent="0.2">
      <c r="A86">
        <v>7618302591</v>
      </c>
      <c r="B86">
        <v>649</v>
      </c>
      <c r="C86" t="s">
        <v>211</v>
      </c>
      <c r="D86" t="s">
        <v>212</v>
      </c>
      <c r="E86" t="s">
        <v>178</v>
      </c>
      <c r="F86" t="s">
        <v>284</v>
      </c>
      <c r="G86" t="s">
        <v>283</v>
      </c>
      <c r="H86">
        <v>2</v>
      </c>
      <c r="I86" t="s">
        <v>596</v>
      </c>
      <c r="J86" s="39">
        <v>46205.469641203701</v>
      </c>
      <c r="K86" s="39">
        <v>46205</v>
      </c>
      <c r="L86" t="str">
        <f t="shared" si="3"/>
        <v>2026-07</v>
      </c>
      <c r="M86" t="s">
        <v>595</v>
      </c>
      <c r="N86">
        <v>16</v>
      </c>
      <c r="O86">
        <v>6.17</v>
      </c>
      <c r="P86">
        <v>1</v>
      </c>
      <c r="Q86">
        <v>1</v>
      </c>
      <c r="R86">
        <v>1</v>
      </c>
      <c r="S86" t="s">
        <v>94</v>
      </c>
      <c r="T86">
        <v>2</v>
      </c>
      <c r="U86">
        <v>1</v>
      </c>
      <c r="V86">
        <f t="shared" si="4"/>
        <v>1</v>
      </c>
      <c r="W86" t="str">
        <f t="shared" si="5"/>
        <v>Met</v>
      </c>
    </row>
    <row r="87" spans="1:23" x14ac:dyDescent="0.2">
      <c r="A87">
        <v>7608004726</v>
      </c>
      <c r="B87">
        <v>708</v>
      </c>
      <c r="C87" t="s">
        <v>218</v>
      </c>
      <c r="D87" t="s">
        <v>219</v>
      </c>
      <c r="E87" t="s">
        <v>215</v>
      </c>
      <c r="F87" t="s">
        <v>324</v>
      </c>
      <c r="G87" t="s">
        <v>323</v>
      </c>
      <c r="H87">
        <v>2</v>
      </c>
      <c r="I87" t="s">
        <v>596</v>
      </c>
      <c r="J87" s="39">
        <v>46102.574282407397</v>
      </c>
      <c r="K87" s="39">
        <v>46102</v>
      </c>
      <c r="L87" t="str">
        <f t="shared" si="3"/>
        <v>2026-03</v>
      </c>
      <c r="M87" t="s">
        <v>595</v>
      </c>
      <c r="N87">
        <v>0</v>
      </c>
      <c r="O87">
        <v>7.22</v>
      </c>
      <c r="P87">
        <v>1</v>
      </c>
      <c r="Q87">
        <v>1</v>
      </c>
      <c r="R87">
        <v>1</v>
      </c>
      <c r="S87" t="s">
        <v>94</v>
      </c>
      <c r="T87">
        <v>2</v>
      </c>
      <c r="U87">
        <v>1</v>
      </c>
      <c r="V87">
        <f t="shared" si="4"/>
        <v>1</v>
      </c>
      <c r="W87" t="str">
        <f t="shared" si="5"/>
        <v>Met</v>
      </c>
    </row>
    <row r="88" spans="1:23" x14ac:dyDescent="0.2">
      <c r="A88">
        <v>7525904672</v>
      </c>
      <c r="B88">
        <v>494</v>
      </c>
      <c r="C88" t="s">
        <v>118</v>
      </c>
      <c r="D88" t="s">
        <v>119</v>
      </c>
      <c r="E88" t="s">
        <v>111</v>
      </c>
      <c r="F88" t="s">
        <v>274</v>
      </c>
      <c r="G88" t="s">
        <v>273</v>
      </c>
      <c r="H88">
        <v>2</v>
      </c>
      <c r="I88" t="s">
        <v>596</v>
      </c>
      <c r="J88" s="39">
        <v>45916.521527777797</v>
      </c>
      <c r="K88" s="39">
        <v>45916</v>
      </c>
      <c r="L88" t="str">
        <f t="shared" si="3"/>
        <v>2025-09</v>
      </c>
      <c r="M88" t="s">
        <v>595</v>
      </c>
      <c r="N88">
        <v>16</v>
      </c>
      <c r="O88">
        <v>4.1500000000000004</v>
      </c>
      <c r="P88">
        <v>1</v>
      </c>
      <c r="Q88">
        <v>1</v>
      </c>
      <c r="R88">
        <v>1</v>
      </c>
      <c r="S88" t="s">
        <v>95</v>
      </c>
      <c r="T88">
        <v>0</v>
      </c>
      <c r="V88">
        <f t="shared" si="4"/>
        <v>1</v>
      </c>
      <c r="W88" t="str">
        <f t="shared" si="5"/>
        <v>Met</v>
      </c>
    </row>
    <row r="89" spans="1:23" x14ac:dyDescent="0.2">
      <c r="A89">
        <v>7615711241</v>
      </c>
      <c r="B89">
        <v>525</v>
      </c>
      <c r="C89" t="s">
        <v>139</v>
      </c>
      <c r="D89" t="s">
        <v>133</v>
      </c>
      <c r="E89" t="s">
        <v>134</v>
      </c>
      <c r="F89" t="s">
        <v>264</v>
      </c>
      <c r="G89" t="s">
        <v>263</v>
      </c>
      <c r="H89">
        <v>2</v>
      </c>
      <c r="I89" t="s">
        <v>596</v>
      </c>
      <c r="J89" s="39">
        <v>46179.5775810185</v>
      </c>
      <c r="K89" s="39">
        <v>46179</v>
      </c>
      <c r="L89" t="str">
        <f t="shared" si="3"/>
        <v>2026-06</v>
      </c>
      <c r="M89" t="s">
        <v>595</v>
      </c>
      <c r="N89">
        <v>16</v>
      </c>
      <c r="O89">
        <v>3.12</v>
      </c>
      <c r="P89">
        <v>1</v>
      </c>
      <c r="Q89">
        <v>1</v>
      </c>
      <c r="R89">
        <v>1</v>
      </c>
      <c r="S89" t="s">
        <v>94</v>
      </c>
      <c r="T89">
        <v>2</v>
      </c>
      <c r="U89">
        <v>1</v>
      </c>
      <c r="V89">
        <f t="shared" si="4"/>
        <v>1</v>
      </c>
      <c r="W89" t="str">
        <f t="shared" si="5"/>
        <v>Met</v>
      </c>
    </row>
    <row r="90" spans="1:23" x14ac:dyDescent="0.2">
      <c r="A90">
        <v>7612506377</v>
      </c>
      <c r="B90">
        <v>534</v>
      </c>
      <c r="C90" t="s">
        <v>151</v>
      </c>
      <c r="D90" t="s">
        <v>152</v>
      </c>
      <c r="E90" t="s">
        <v>134</v>
      </c>
      <c r="F90" t="s">
        <v>487</v>
      </c>
      <c r="G90" t="s">
        <v>486</v>
      </c>
      <c r="H90">
        <v>2</v>
      </c>
      <c r="I90" t="s">
        <v>596</v>
      </c>
      <c r="J90" s="39">
        <v>46147.419398148202</v>
      </c>
      <c r="K90" s="39">
        <v>46147</v>
      </c>
      <c r="L90" t="str">
        <f t="shared" si="3"/>
        <v>2026-05</v>
      </c>
      <c r="M90" t="s">
        <v>595</v>
      </c>
      <c r="N90">
        <v>0</v>
      </c>
      <c r="O90">
        <v>5.2</v>
      </c>
      <c r="P90">
        <v>1</v>
      </c>
      <c r="Q90">
        <v>1</v>
      </c>
      <c r="R90">
        <v>1</v>
      </c>
      <c r="S90" t="s">
        <v>94</v>
      </c>
      <c r="T90">
        <v>2</v>
      </c>
      <c r="U90">
        <v>1</v>
      </c>
      <c r="V90">
        <f t="shared" si="4"/>
        <v>1</v>
      </c>
      <c r="W90" t="str">
        <f t="shared" si="5"/>
        <v>Met</v>
      </c>
    </row>
    <row r="91" spans="1:23" x14ac:dyDescent="0.2">
      <c r="A91">
        <v>7611702338</v>
      </c>
      <c r="B91">
        <v>563</v>
      </c>
      <c r="C91" t="s">
        <v>174</v>
      </c>
      <c r="D91" t="s">
        <v>175</v>
      </c>
      <c r="E91" t="s">
        <v>159</v>
      </c>
      <c r="F91" t="s">
        <v>450</v>
      </c>
      <c r="G91" t="s">
        <v>449</v>
      </c>
      <c r="H91">
        <v>1</v>
      </c>
      <c r="I91" t="s">
        <v>596</v>
      </c>
      <c r="J91" s="39">
        <v>46139.4093055556</v>
      </c>
      <c r="K91" s="39">
        <v>46139</v>
      </c>
      <c r="L91" t="str">
        <f t="shared" si="3"/>
        <v>2026-04</v>
      </c>
      <c r="M91" t="s">
        <v>595</v>
      </c>
      <c r="N91">
        <v>12</v>
      </c>
      <c r="O91">
        <v>4.33</v>
      </c>
      <c r="P91">
        <v>1</v>
      </c>
      <c r="Q91">
        <v>1</v>
      </c>
      <c r="R91">
        <v>1</v>
      </c>
      <c r="S91" t="s">
        <v>94</v>
      </c>
      <c r="T91">
        <v>2</v>
      </c>
      <c r="U91">
        <v>1</v>
      </c>
      <c r="V91">
        <f t="shared" si="4"/>
        <v>1</v>
      </c>
      <c r="W91" t="str">
        <f t="shared" si="5"/>
        <v>Met</v>
      </c>
    </row>
    <row r="92" spans="1:23" x14ac:dyDescent="0.2">
      <c r="A92">
        <v>7607202680</v>
      </c>
      <c r="B92">
        <v>497</v>
      </c>
      <c r="C92" t="s">
        <v>125</v>
      </c>
      <c r="D92" t="s">
        <v>126</v>
      </c>
      <c r="E92" t="s">
        <v>124</v>
      </c>
      <c r="F92" t="s">
        <v>270</v>
      </c>
      <c r="G92" t="s">
        <v>269</v>
      </c>
      <c r="H92">
        <v>2</v>
      </c>
      <c r="I92" t="s">
        <v>596</v>
      </c>
      <c r="J92" s="39">
        <v>46094.544664351903</v>
      </c>
      <c r="K92" s="39">
        <v>46097</v>
      </c>
      <c r="L92" t="str">
        <f t="shared" si="3"/>
        <v>2026-03</v>
      </c>
      <c r="M92" t="s">
        <v>595</v>
      </c>
      <c r="N92">
        <v>0</v>
      </c>
      <c r="O92">
        <v>67.78</v>
      </c>
      <c r="P92">
        <v>1</v>
      </c>
      <c r="Q92">
        <v>1</v>
      </c>
      <c r="R92">
        <v>1</v>
      </c>
      <c r="S92" t="s">
        <v>94</v>
      </c>
      <c r="T92">
        <v>1</v>
      </c>
      <c r="V92">
        <f t="shared" si="4"/>
        <v>1</v>
      </c>
      <c r="W92" t="str">
        <f t="shared" si="5"/>
        <v>Met</v>
      </c>
    </row>
    <row r="93" spans="1:23" x14ac:dyDescent="0.2">
      <c r="A93">
        <v>7604005123</v>
      </c>
      <c r="B93">
        <v>493</v>
      </c>
      <c r="C93" t="s">
        <v>116</v>
      </c>
      <c r="D93" t="s">
        <v>117</v>
      </c>
      <c r="E93" t="s">
        <v>111</v>
      </c>
      <c r="F93" t="s">
        <v>517</v>
      </c>
      <c r="G93" t="s">
        <v>516</v>
      </c>
      <c r="H93">
        <v>2</v>
      </c>
      <c r="I93" t="s">
        <v>596</v>
      </c>
      <c r="J93" s="39">
        <v>46062.439351851899</v>
      </c>
      <c r="K93" s="39">
        <v>46062</v>
      </c>
      <c r="L93" t="str">
        <f t="shared" si="3"/>
        <v>2026-02</v>
      </c>
      <c r="M93" t="s">
        <v>595</v>
      </c>
      <c r="N93">
        <v>0</v>
      </c>
      <c r="O93">
        <v>4.63</v>
      </c>
      <c r="P93">
        <v>1</v>
      </c>
      <c r="Q93">
        <v>1</v>
      </c>
      <c r="R93">
        <v>1</v>
      </c>
      <c r="S93" t="s">
        <v>94</v>
      </c>
      <c r="T93">
        <v>2</v>
      </c>
      <c r="U93">
        <v>1</v>
      </c>
      <c r="V93">
        <f t="shared" si="4"/>
        <v>1</v>
      </c>
      <c r="W93" t="str">
        <f t="shared" si="5"/>
        <v>Met</v>
      </c>
    </row>
    <row r="94" spans="1:23" x14ac:dyDescent="0.2">
      <c r="A94">
        <v>7602703663</v>
      </c>
      <c r="B94">
        <v>715</v>
      </c>
      <c r="C94" t="s">
        <v>222</v>
      </c>
      <c r="D94" t="s">
        <v>223</v>
      </c>
      <c r="E94" t="s">
        <v>215</v>
      </c>
      <c r="F94" t="s">
        <v>256</v>
      </c>
      <c r="G94" t="s">
        <v>255</v>
      </c>
      <c r="H94">
        <v>2</v>
      </c>
      <c r="I94" t="s">
        <v>596</v>
      </c>
      <c r="J94" s="39">
        <v>46049.353981481501</v>
      </c>
      <c r="K94" s="39">
        <v>46051</v>
      </c>
      <c r="L94" t="str">
        <f t="shared" si="3"/>
        <v>2026-01</v>
      </c>
      <c r="M94" t="s">
        <v>595</v>
      </c>
      <c r="N94">
        <v>16</v>
      </c>
      <c r="O94">
        <v>53.25</v>
      </c>
      <c r="P94">
        <v>0</v>
      </c>
      <c r="Q94">
        <v>0</v>
      </c>
      <c r="R94">
        <v>1</v>
      </c>
      <c r="S94" t="s">
        <v>94</v>
      </c>
      <c r="T94">
        <v>1</v>
      </c>
      <c r="V94">
        <f t="shared" si="4"/>
        <v>0</v>
      </c>
      <c r="W94" t="str">
        <f t="shared" si="5"/>
        <v>Missed</v>
      </c>
    </row>
    <row r="95" spans="1:23" x14ac:dyDescent="0.2">
      <c r="A95">
        <v>7607100040</v>
      </c>
      <c r="B95">
        <v>634</v>
      </c>
      <c r="C95" t="s">
        <v>186</v>
      </c>
      <c r="D95" t="s">
        <v>187</v>
      </c>
      <c r="E95" t="s">
        <v>181</v>
      </c>
      <c r="F95" t="s">
        <v>388</v>
      </c>
      <c r="G95" t="s">
        <v>387</v>
      </c>
      <c r="H95">
        <v>2</v>
      </c>
      <c r="I95" t="s">
        <v>596</v>
      </c>
      <c r="J95" s="39">
        <v>46093.590775463003</v>
      </c>
      <c r="K95" s="39">
        <v>46093</v>
      </c>
      <c r="L95" t="str">
        <f t="shared" si="3"/>
        <v>2026-03</v>
      </c>
      <c r="M95" t="s">
        <v>595</v>
      </c>
      <c r="N95">
        <v>0</v>
      </c>
      <c r="O95">
        <v>5.3</v>
      </c>
      <c r="P95">
        <v>1</v>
      </c>
      <c r="Q95">
        <v>1</v>
      </c>
      <c r="R95">
        <v>1</v>
      </c>
      <c r="S95" t="s">
        <v>94</v>
      </c>
      <c r="T95">
        <v>2</v>
      </c>
      <c r="U95">
        <v>1</v>
      </c>
      <c r="V95">
        <f t="shared" si="4"/>
        <v>1</v>
      </c>
      <c r="W95" t="str">
        <f t="shared" si="5"/>
        <v>Met</v>
      </c>
    </row>
    <row r="96" spans="1:23" x14ac:dyDescent="0.2">
      <c r="A96">
        <v>7605704708</v>
      </c>
      <c r="B96">
        <v>707</v>
      </c>
      <c r="C96" t="s">
        <v>216</v>
      </c>
      <c r="D96" t="s">
        <v>217</v>
      </c>
      <c r="E96" t="s">
        <v>215</v>
      </c>
      <c r="F96" t="s">
        <v>324</v>
      </c>
      <c r="G96" t="s">
        <v>323</v>
      </c>
      <c r="H96">
        <v>2</v>
      </c>
      <c r="I96" t="s">
        <v>596</v>
      </c>
      <c r="J96" s="39">
        <v>46079.619317129604</v>
      </c>
      <c r="K96" s="39">
        <v>46079</v>
      </c>
      <c r="L96" t="str">
        <f t="shared" si="3"/>
        <v>2026-02</v>
      </c>
      <c r="M96" t="s">
        <v>595</v>
      </c>
      <c r="N96">
        <v>0</v>
      </c>
      <c r="O96">
        <v>4.3</v>
      </c>
      <c r="P96">
        <v>1</v>
      </c>
      <c r="Q96">
        <v>1</v>
      </c>
      <c r="R96">
        <v>1</v>
      </c>
      <c r="S96" t="s">
        <v>94</v>
      </c>
      <c r="T96">
        <v>2</v>
      </c>
      <c r="U96">
        <v>1</v>
      </c>
      <c r="V96">
        <f t="shared" si="4"/>
        <v>1</v>
      </c>
      <c r="W96" t="str">
        <f t="shared" si="5"/>
        <v>Met</v>
      </c>
    </row>
    <row r="97" spans="1:23" x14ac:dyDescent="0.2">
      <c r="A97">
        <v>7607504786</v>
      </c>
      <c r="B97">
        <v>562</v>
      </c>
      <c r="C97" t="s">
        <v>172</v>
      </c>
      <c r="D97" t="s">
        <v>173</v>
      </c>
      <c r="E97" t="s">
        <v>159</v>
      </c>
      <c r="F97" t="s">
        <v>400</v>
      </c>
      <c r="G97" t="s">
        <v>399</v>
      </c>
      <c r="H97">
        <v>1</v>
      </c>
      <c r="I97" t="s">
        <v>596</v>
      </c>
      <c r="J97" s="39">
        <v>46097.789444444497</v>
      </c>
      <c r="K97" s="39">
        <v>46098</v>
      </c>
      <c r="L97" t="str">
        <f t="shared" si="3"/>
        <v>2026-03</v>
      </c>
      <c r="M97" t="s">
        <v>595</v>
      </c>
      <c r="N97">
        <v>12</v>
      </c>
      <c r="O97">
        <v>16.95</v>
      </c>
      <c r="P97">
        <v>1</v>
      </c>
      <c r="Q97">
        <v>1</v>
      </c>
      <c r="R97">
        <v>1</v>
      </c>
      <c r="S97" t="s">
        <v>94</v>
      </c>
      <c r="T97">
        <v>2</v>
      </c>
      <c r="U97">
        <v>1</v>
      </c>
      <c r="V97">
        <f t="shared" si="4"/>
        <v>1</v>
      </c>
      <c r="W97" t="str">
        <f t="shared" si="5"/>
        <v>Met</v>
      </c>
    </row>
    <row r="98" spans="1:23" x14ac:dyDescent="0.2">
      <c r="A98">
        <v>7606400046</v>
      </c>
      <c r="B98">
        <v>494</v>
      </c>
      <c r="C98" t="s">
        <v>118</v>
      </c>
      <c r="D98" t="s">
        <v>119</v>
      </c>
      <c r="E98" t="s">
        <v>111</v>
      </c>
      <c r="F98" t="s">
        <v>258</v>
      </c>
      <c r="G98" t="s">
        <v>257</v>
      </c>
      <c r="H98">
        <v>1</v>
      </c>
      <c r="I98" t="s">
        <v>596</v>
      </c>
      <c r="J98" s="39">
        <v>46086.551851851902</v>
      </c>
      <c r="K98" s="39">
        <v>46086</v>
      </c>
      <c r="L98" t="str">
        <f t="shared" si="3"/>
        <v>2026-03</v>
      </c>
      <c r="M98" t="s">
        <v>595</v>
      </c>
      <c r="N98">
        <v>0</v>
      </c>
      <c r="O98">
        <v>5.53</v>
      </c>
      <c r="P98">
        <v>1</v>
      </c>
      <c r="Q98">
        <v>1</v>
      </c>
      <c r="R98">
        <v>1</v>
      </c>
      <c r="S98" t="s">
        <v>94</v>
      </c>
      <c r="T98">
        <v>2</v>
      </c>
      <c r="U98">
        <v>1</v>
      </c>
      <c r="V98">
        <f t="shared" si="4"/>
        <v>1</v>
      </c>
      <c r="W98" t="str">
        <f t="shared" si="5"/>
        <v>Met</v>
      </c>
    </row>
    <row r="99" spans="1:23" x14ac:dyDescent="0.2">
      <c r="A99">
        <v>7605302048</v>
      </c>
      <c r="B99">
        <v>643</v>
      </c>
      <c r="C99" t="s">
        <v>201</v>
      </c>
      <c r="D99" t="s">
        <v>202</v>
      </c>
      <c r="E99" t="s">
        <v>178</v>
      </c>
      <c r="F99" t="s">
        <v>284</v>
      </c>
      <c r="G99" t="s">
        <v>283</v>
      </c>
      <c r="H99">
        <v>2</v>
      </c>
      <c r="I99" t="s">
        <v>594</v>
      </c>
      <c r="J99" s="39">
        <v>46075.386134259301</v>
      </c>
      <c r="K99" s="39">
        <v>46076</v>
      </c>
      <c r="L99" t="str">
        <f t="shared" si="3"/>
        <v>2026-02</v>
      </c>
      <c r="M99" t="s">
        <v>595</v>
      </c>
      <c r="N99">
        <v>0</v>
      </c>
      <c r="O99">
        <v>29.27</v>
      </c>
      <c r="P99">
        <v>1</v>
      </c>
      <c r="Q99">
        <v>1</v>
      </c>
      <c r="R99">
        <v>1</v>
      </c>
      <c r="S99" t="s">
        <v>94</v>
      </c>
      <c r="T99">
        <v>1</v>
      </c>
      <c r="V99">
        <f t="shared" si="4"/>
        <v>1</v>
      </c>
      <c r="W99" t="str">
        <f t="shared" si="5"/>
        <v>Met</v>
      </c>
    </row>
    <row r="100" spans="1:23" x14ac:dyDescent="0.2">
      <c r="A100">
        <v>7618302295</v>
      </c>
      <c r="B100">
        <v>931</v>
      </c>
      <c r="C100" t="s">
        <v>242</v>
      </c>
      <c r="D100" t="s">
        <v>243</v>
      </c>
      <c r="E100" t="s">
        <v>226</v>
      </c>
      <c r="F100" t="s">
        <v>414</v>
      </c>
      <c r="G100" t="s">
        <v>413</v>
      </c>
      <c r="H100">
        <v>2</v>
      </c>
      <c r="I100" t="s">
        <v>596</v>
      </c>
      <c r="J100" s="39">
        <v>46205.401875000003</v>
      </c>
      <c r="K100" s="39">
        <v>46208</v>
      </c>
      <c r="L100" t="str">
        <f t="shared" si="3"/>
        <v>2026-07</v>
      </c>
      <c r="M100" t="s">
        <v>595</v>
      </c>
      <c r="N100">
        <v>16</v>
      </c>
      <c r="O100">
        <v>73.8</v>
      </c>
      <c r="P100">
        <v>0</v>
      </c>
      <c r="Q100">
        <v>0</v>
      </c>
      <c r="R100">
        <v>1</v>
      </c>
      <c r="S100" t="s">
        <v>94</v>
      </c>
      <c r="T100">
        <v>0</v>
      </c>
      <c r="U100">
        <v>0</v>
      </c>
      <c r="V100">
        <f t="shared" si="4"/>
        <v>0</v>
      </c>
      <c r="W100" t="str">
        <f t="shared" si="5"/>
        <v>Missed</v>
      </c>
    </row>
    <row r="101" spans="1:23" x14ac:dyDescent="0.2">
      <c r="A101">
        <v>7521308941</v>
      </c>
      <c r="B101">
        <v>921</v>
      </c>
      <c r="C101" t="s">
        <v>229</v>
      </c>
      <c r="D101" t="s">
        <v>230</v>
      </c>
      <c r="E101" t="s">
        <v>226</v>
      </c>
      <c r="F101" t="s">
        <v>276</v>
      </c>
      <c r="G101" t="s">
        <v>275</v>
      </c>
      <c r="H101">
        <v>1</v>
      </c>
      <c r="I101" t="s">
        <v>596</v>
      </c>
      <c r="J101" s="39">
        <v>45870.425034722197</v>
      </c>
      <c r="K101" s="39">
        <v>45870</v>
      </c>
      <c r="L101" t="str">
        <f t="shared" si="3"/>
        <v>2025-08</v>
      </c>
      <c r="M101" t="s">
        <v>595</v>
      </c>
      <c r="N101">
        <v>12</v>
      </c>
      <c r="O101">
        <v>2.3199999999999998</v>
      </c>
      <c r="P101">
        <v>1</v>
      </c>
      <c r="Q101">
        <v>1</v>
      </c>
      <c r="R101">
        <v>1</v>
      </c>
      <c r="S101" t="s">
        <v>95</v>
      </c>
      <c r="T101">
        <v>0</v>
      </c>
      <c r="V101">
        <f t="shared" si="4"/>
        <v>1</v>
      </c>
      <c r="W101" t="str">
        <f t="shared" si="5"/>
        <v>Met</v>
      </c>
    </row>
    <row r="102" spans="1:23" x14ac:dyDescent="0.2">
      <c r="A102">
        <v>7523904812</v>
      </c>
      <c r="B102">
        <v>448</v>
      </c>
      <c r="C102" t="s">
        <v>109</v>
      </c>
      <c r="D102" t="s">
        <v>110</v>
      </c>
      <c r="E102" t="s">
        <v>111</v>
      </c>
      <c r="F102" t="s">
        <v>258</v>
      </c>
      <c r="G102" t="s">
        <v>257</v>
      </c>
      <c r="H102">
        <v>2</v>
      </c>
      <c r="I102" t="s">
        <v>594</v>
      </c>
      <c r="J102" s="39">
        <v>45896.570254629602</v>
      </c>
      <c r="K102" s="39">
        <v>45896</v>
      </c>
      <c r="L102" t="str">
        <f t="shared" si="3"/>
        <v>2025-08</v>
      </c>
      <c r="M102" t="s">
        <v>595</v>
      </c>
      <c r="N102">
        <v>16</v>
      </c>
      <c r="O102">
        <v>1.98</v>
      </c>
      <c r="P102">
        <v>0</v>
      </c>
      <c r="Q102">
        <v>0</v>
      </c>
      <c r="R102">
        <v>0</v>
      </c>
      <c r="S102" t="s">
        <v>95</v>
      </c>
      <c r="T102">
        <v>0</v>
      </c>
      <c r="V102" t="str">
        <f t="shared" si="4"/>
        <v/>
      </c>
      <c r="W102" t="str">
        <f t="shared" si="5"/>
        <v>Not Eligible</v>
      </c>
    </row>
    <row r="103" spans="1:23" x14ac:dyDescent="0.2">
      <c r="A103">
        <v>7621206111</v>
      </c>
      <c r="B103">
        <v>537</v>
      </c>
      <c r="C103" t="s">
        <v>156</v>
      </c>
      <c r="D103" t="s">
        <v>157</v>
      </c>
      <c r="E103" t="s">
        <v>134</v>
      </c>
      <c r="F103" t="s">
        <v>300</v>
      </c>
      <c r="G103" t="s">
        <v>362</v>
      </c>
      <c r="H103">
        <v>2</v>
      </c>
      <c r="I103" t="s">
        <v>596</v>
      </c>
      <c r="J103" s="39">
        <v>46234.364386574103</v>
      </c>
      <c r="K103" s="39">
        <v>46234</v>
      </c>
      <c r="L103" t="str">
        <f t="shared" si="3"/>
        <v>2026-07</v>
      </c>
      <c r="M103" t="s">
        <v>595</v>
      </c>
      <c r="N103">
        <v>16</v>
      </c>
      <c r="O103">
        <v>2.1</v>
      </c>
      <c r="P103">
        <v>1</v>
      </c>
      <c r="Q103">
        <v>1</v>
      </c>
      <c r="R103">
        <v>1</v>
      </c>
      <c r="S103" t="s">
        <v>94</v>
      </c>
      <c r="T103">
        <v>2</v>
      </c>
      <c r="U103">
        <v>1</v>
      </c>
      <c r="V103">
        <f t="shared" si="4"/>
        <v>1</v>
      </c>
      <c r="W103" t="str">
        <f t="shared" si="5"/>
        <v>Met</v>
      </c>
    </row>
    <row r="104" spans="1:23" x14ac:dyDescent="0.2">
      <c r="A104">
        <v>7615900371</v>
      </c>
      <c r="B104">
        <v>632</v>
      </c>
      <c r="C104" t="s">
        <v>182</v>
      </c>
      <c r="D104" t="s">
        <v>183</v>
      </c>
      <c r="E104" t="s">
        <v>181</v>
      </c>
      <c r="F104" t="s">
        <v>256</v>
      </c>
      <c r="G104" t="s">
        <v>255</v>
      </c>
      <c r="H104">
        <v>2</v>
      </c>
      <c r="I104" t="s">
        <v>596</v>
      </c>
      <c r="J104" s="39">
        <v>46181.710104166697</v>
      </c>
      <c r="K104" s="39">
        <v>46183</v>
      </c>
      <c r="L104" t="str">
        <f t="shared" si="3"/>
        <v>2026-06</v>
      </c>
      <c r="M104" t="s">
        <v>595</v>
      </c>
      <c r="N104">
        <v>16</v>
      </c>
      <c r="O104">
        <v>48.5</v>
      </c>
      <c r="P104">
        <v>0</v>
      </c>
      <c r="Q104">
        <v>0</v>
      </c>
      <c r="R104">
        <v>1</v>
      </c>
      <c r="S104" t="s">
        <v>94</v>
      </c>
      <c r="T104">
        <v>1</v>
      </c>
      <c r="V104">
        <f t="shared" si="4"/>
        <v>0</v>
      </c>
      <c r="W104" t="str">
        <f t="shared" si="5"/>
        <v>Missed</v>
      </c>
    </row>
    <row r="105" spans="1:23" x14ac:dyDescent="0.2">
      <c r="A105">
        <v>7602402244</v>
      </c>
      <c r="B105">
        <v>526</v>
      </c>
      <c r="C105" t="s">
        <v>140</v>
      </c>
      <c r="D105" t="s">
        <v>133</v>
      </c>
      <c r="E105" t="s">
        <v>134</v>
      </c>
      <c r="F105" t="s">
        <v>260</v>
      </c>
      <c r="G105" t="s">
        <v>259</v>
      </c>
      <c r="H105">
        <v>2</v>
      </c>
      <c r="I105" t="s">
        <v>594</v>
      </c>
      <c r="J105" s="39">
        <v>46046.301655092597</v>
      </c>
      <c r="K105" s="39">
        <v>46046</v>
      </c>
      <c r="L105" t="str">
        <f t="shared" si="3"/>
        <v>2026-01</v>
      </c>
      <c r="M105" t="s">
        <v>595</v>
      </c>
      <c r="N105">
        <v>16</v>
      </c>
      <c r="O105">
        <v>1.43</v>
      </c>
      <c r="P105">
        <v>0</v>
      </c>
      <c r="Q105">
        <v>0</v>
      </c>
      <c r="R105">
        <v>0</v>
      </c>
      <c r="S105" t="s">
        <v>94</v>
      </c>
      <c r="T105">
        <v>2</v>
      </c>
      <c r="U105">
        <v>1</v>
      </c>
      <c r="V105" t="str">
        <f t="shared" si="4"/>
        <v/>
      </c>
      <c r="W105" t="str">
        <f t="shared" si="5"/>
        <v>Not Eligible</v>
      </c>
    </row>
    <row r="106" spans="1:23" x14ac:dyDescent="0.2">
      <c r="A106">
        <v>7607114857</v>
      </c>
      <c r="B106">
        <v>928</v>
      </c>
      <c r="C106" t="s">
        <v>238</v>
      </c>
      <c r="D106" t="s">
        <v>239</v>
      </c>
      <c r="E106" t="s">
        <v>226</v>
      </c>
      <c r="F106" t="s">
        <v>266</v>
      </c>
      <c r="G106" t="s">
        <v>265</v>
      </c>
      <c r="H106">
        <v>2</v>
      </c>
      <c r="I106" t="s">
        <v>596</v>
      </c>
      <c r="J106" s="39">
        <v>46093.380763888897</v>
      </c>
      <c r="K106" s="39">
        <v>46093</v>
      </c>
      <c r="L106" t="str">
        <f t="shared" si="3"/>
        <v>2026-03</v>
      </c>
      <c r="M106" t="s">
        <v>595</v>
      </c>
      <c r="N106">
        <v>0</v>
      </c>
      <c r="O106">
        <v>2.88</v>
      </c>
      <c r="P106">
        <v>1</v>
      </c>
      <c r="Q106">
        <v>1</v>
      </c>
      <c r="R106">
        <v>1</v>
      </c>
      <c r="S106" t="s">
        <v>94</v>
      </c>
      <c r="T106">
        <v>2</v>
      </c>
      <c r="U106">
        <v>1</v>
      </c>
      <c r="V106">
        <f t="shared" si="4"/>
        <v>1</v>
      </c>
      <c r="W106" t="str">
        <f t="shared" si="5"/>
        <v>Met</v>
      </c>
    </row>
    <row r="107" spans="1:23" x14ac:dyDescent="0.2">
      <c r="A107">
        <v>7536000247</v>
      </c>
      <c r="B107">
        <v>634</v>
      </c>
      <c r="C107" t="s">
        <v>186</v>
      </c>
      <c r="D107" t="s">
        <v>187</v>
      </c>
      <c r="E107" t="s">
        <v>181</v>
      </c>
      <c r="F107" t="s">
        <v>353</v>
      </c>
      <c r="G107" t="s">
        <v>352</v>
      </c>
      <c r="H107">
        <v>2</v>
      </c>
      <c r="I107" t="s">
        <v>594</v>
      </c>
      <c r="J107" s="39">
        <v>46017.607673611099</v>
      </c>
      <c r="K107" s="39">
        <v>46017</v>
      </c>
      <c r="L107" t="str">
        <f t="shared" si="3"/>
        <v>2025-12</v>
      </c>
      <c r="M107" t="s">
        <v>595</v>
      </c>
      <c r="N107">
        <v>16</v>
      </c>
      <c r="O107">
        <v>1.75</v>
      </c>
      <c r="P107">
        <v>0</v>
      </c>
      <c r="Q107">
        <v>0</v>
      </c>
      <c r="R107">
        <v>0</v>
      </c>
      <c r="S107" t="s">
        <v>94</v>
      </c>
      <c r="T107">
        <v>1</v>
      </c>
      <c r="V107" t="str">
        <f t="shared" si="4"/>
        <v/>
      </c>
      <c r="W107" t="str">
        <f t="shared" si="5"/>
        <v>Not Eligible</v>
      </c>
    </row>
    <row r="108" spans="1:23" x14ac:dyDescent="0.2">
      <c r="A108">
        <v>7612805472</v>
      </c>
      <c r="B108">
        <v>642</v>
      </c>
      <c r="C108" t="s">
        <v>199</v>
      </c>
      <c r="D108" t="s">
        <v>200</v>
      </c>
      <c r="E108" t="s">
        <v>178</v>
      </c>
      <c r="F108" t="s">
        <v>268</v>
      </c>
      <c r="G108" t="s">
        <v>267</v>
      </c>
      <c r="H108">
        <v>1</v>
      </c>
      <c r="I108" t="s">
        <v>596</v>
      </c>
      <c r="J108" s="39">
        <v>46150.744363425903</v>
      </c>
      <c r="K108" s="39">
        <v>46151</v>
      </c>
      <c r="L108" t="str">
        <f t="shared" si="3"/>
        <v>2026-05</v>
      </c>
      <c r="M108" t="s">
        <v>595</v>
      </c>
      <c r="N108">
        <v>0</v>
      </c>
      <c r="O108">
        <v>14.5</v>
      </c>
      <c r="P108">
        <v>1</v>
      </c>
      <c r="Q108">
        <v>1</v>
      </c>
      <c r="R108">
        <v>1</v>
      </c>
      <c r="S108" t="s">
        <v>94</v>
      </c>
      <c r="T108">
        <v>2</v>
      </c>
      <c r="U108">
        <v>1</v>
      </c>
      <c r="V108">
        <f t="shared" si="4"/>
        <v>1</v>
      </c>
      <c r="W108" t="str">
        <f t="shared" si="5"/>
        <v>Met</v>
      </c>
    </row>
    <row r="109" spans="1:23" x14ac:dyDescent="0.2">
      <c r="A109">
        <v>7612902858</v>
      </c>
      <c r="B109">
        <v>495</v>
      </c>
      <c r="C109" t="s">
        <v>120</v>
      </c>
      <c r="D109" t="s">
        <v>121</v>
      </c>
      <c r="E109" t="s">
        <v>111</v>
      </c>
      <c r="F109" t="s">
        <v>442</v>
      </c>
      <c r="G109" t="s">
        <v>441</v>
      </c>
      <c r="H109">
        <v>2</v>
      </c>
      <c r="I109" t="s">
        <v>596</v>
      </c>
      <c r="J109" s="39">
        <v>46151.757233796299</v>
      </c>
      <c r="K109" s="39">
        <v>46152</v>
      </c>
      <c r="L109" t="str">
        <f t="shared" si="3"/>
        <v>2026-05</v>
      </c>
      <c r="M109" t="s">
        <v>595</v>
      </c>
      <c r="N109">
        <v>0</v>
      </c>
      <c r="O109">
        <v>18.350000000000001</v>
      </c>
      <c r="P109">
        <v>1</v>
      </c>
      <c r="Q109">
        <v>1</v>
      </c>
      <c r="R109">
        <v>1</v>
      </c>
      <c r="S109" t="s">
        <v>94</v>
      </c>
      <c r="T109">
        <v>2</v>
      </c>
      <c r="U109">
        <v>1</v>
      </c>
      <c r="V109">
        <f t="shared" si="4"/>
        <v>1</v>
      </c>
      <c r="W109" t="str">
        <f t="shared" si="5"/>
        <v>Met</v>
      </c>
    </row>
    <row r="110" spans="1:23" x14ac:dyDescent="0.2">
      <c r="A110">
        <v>7526113395</v>
      </c>
      <c r="B110">
        <v>527</v>
      </c>
      <c r="C110" t="s">
        <v>141</v>
      </c>
      <c r="D110" t="s">
        <v>142</v>
      </c>
      <c r="E110" t="s">
        <v>134</v>
      </c>
      <c r="F110" t="s">
        <v>310</v>
      </c>
      <c r="G110" t="s">
        <v>309</v>
      </c>
      <c r="H110">
        <v>2</v>
      </c>
      <c r="I110" t="s">
        <v>596</v>
      </c>
      <c r="J110" s="39">
        <v>45918.393125000002</v>
      </c>
      <c r="K110" s="39">
        <v>45919</v>
      </c>
      <c r="L110" t="str">
        <f t="shared" si="3"/>
        <v>2025-09</v>
      </c>
      <c r="M110" t="s">
        <v>595</v>
      </c>
      <c r="N110">
        <v>16</v>
      </c>
      <c r="O110">
        <v>26.17</v>
      </c>
      <c r="P110">
        <v>1</v>
      </c>
      <c r="Q110">
        <v>1</v>
      </c>
      <c r="R110">
        <v>1</v>
      </c>
      <c r="S110" t="s">
        <v>95</v>
      </c>
      <c r="T110">
        <v>0</v>
      </c>
      <c r="V110">
        <f t="shared" si="4"/>
        <v>1</v>
      </c>
      <c r="W110" t="str">
        <f t="shared" si="5"/>
        <v>Met</v>
      </c>
    </row>
    <row r="111" spans="1:23" x14ac:dyDescent="0.2">
      <c r="A111">
        <v>7532701364</v>
      </c>
      <c r="B111">
        <v>648</v>
      </c>
      <c r="C111" t="s">
        <v>209</v>
      </c>
      <c r="D111" t="s">
        <v>210</v>
      </c>
      <c r="E111" t="s">
        <v>178</v>
      </c>
      <c r="F111" t="s">
        <v>347</v>
      </c>
      <c r="G111" t="s">
        <v>346</v>
      </c>
      <c r="H111">
        <v>2</v>
      </c>
      <c r="I111" t="s">
        <v>594</v>
      </c>
      <c r="J111" s="39">
        <v>45984.693900462997</v>
      </c>
      <c r="K111" s="39">
        <v>45985</v>
      </c>
      <c r="L111" t="str">
        <f t="shared" si="3"/>
        <v>2025-11</v>
      </c>
      <c r="M111" t="s">
        <v>595</v>
      </c>
      <c r="N111">
        <v>16</v>
      </c>
      <c r="O111">
        <v>15.3</v>
      </c>
      <c r="P111">
        <v>0</v>
      </c>
      <c r="Q111">
        <v>0</v>
      </c>
      <c r="R111">
        <v>0</v>
      </c>
      <c r="S111" t="s">
        <v>95</v>
      </c>
      <c r="T111">
        <v>0</v>
      </c>
      <c r="V111" t="str">
        <f t="shared" si="4"/>
        <v/>
      </c>
      <c r="W111" t="str">
        <f t="shared" si="5"/>
        <v>Not Eligible</v>
      </c>
    </row>
    <row r="112" spans="1:23" x14ac:dyDescent="0.2">
      <c r="A112">
        <v>7610102065</v>
      </c>
      <c r="B112">
        <v>635</v>
      </c>
      <c r="C112" t="s">
        <v>188</v>
      </c>
      <c r="D112" t="s">
        <v>189</v>
      </c>
      <c r="E112" t="s">
        <v>181</v>
      </c>
      <c r="F112" t="s">
        <v>322</v>
      </c>
      <c r="G112" t="s">
        <v>321</v>
      </c>
      <c r="H112">
        <v>2</v>
      </c>
      <c r="I112" t="s">
        <v>596</v>
      </c>
      <c r="J112" s="39">
        <v>46123.327696759297</v>
      </c>
      <c r="K112" s="39">
        <v>46123</v>
      </c>
      <c r="L112" t="str">
        <f t="shared" si="3"/>
        <v>2026-04</v>
      </c>
      <c r="M112" t="s">
        <v>595</v>
      </c>
      <c r="N112">
        <v>0</v>
      </c>
      <c r="O112">
        <v>3.57</v>
      </c>
      <c r="P112">
        <v>1</v>
      </c>
      <c r="Q112">
        <v>1</v>
      </c>
      <c r="R112">
        <v>1</v>
      </c>
      <c r="S112" t="s">
        <v>94</v>
      </c>
      <c r="T112">
        <v>2</v>
      </c>
      <c r="U112">
        <v>1</v>
      </c>
      <c r="V112">
        <f t="shared" si="4"/>
        <v>1</v>
      </c>
      <c r="W112" t="str">
        <f t="shared" si="5"/>
        <v>Met</v>
      </c>
    </row>
    <row r="113" spans="1:23" x14ac:dyDescent="0.2">
      <c r="A113">
        <v>7616303168</v>
      </c>
      <c r="B113">
        <v>523</v>
      </c>
      <c r="C113" t="s">
        <v>135</v>
      </c>
      <c r="D113" t="s">
        <v>136</v>
      </c>
      <c r="E113" t="s">
        <v>134</v>
      </c>
      <c r="F113" t="s">
        <v>300</v>
      </c>
      <c r="G113" t="s">
        <v>362</v>
      </c>
      <c r="H113">
        <v>2</v>
      </c>
      <c r="I113" t="s">
        <v>594</v>
      </c>
      <c r="J113" s="39">
        <v>46185.409421296303</v>
      </c>
      <c r="K113" s="39">
        <v>46185</v>
      </c>
      <c r="L113" t="str">
        <f t="shared" si="3"/>
        <v>2026-06</v>
      </c>
      <c r="M113" t="s">
        <v>595</v>
      </c>
      <c r="N113">
        <v>16</v>
      </c>
      <c r="O113">
        <v>2.4</v>
      </c>
      <c r="P113">
        <v>1</v>
      </c>
      <c r="Q113">
        <v>1</v>
      </c>
      <c r="R113">
        <v>1</v>
      </c>
      <c r="S113" t="s">
        <v>94</v>
      </c>
      <c r="T113">
        <v>2</v>
      </c>
      <c r="U113">
        <v>1</v>
      </c>
      <c r="V113">
        <f t="shared" si="4"/>
        <v>1</v>
      </c>
      <c r="W113" t="str">
        <f t="shared" si="5"/>
        <v>Met</v>
      </c>
    </row>
    <row r="114" spans="1:23" x14ac:dyDescent="0.2">
      <c r="A114">
        <v>7531001136</v>
      </c>
      <c r="B114">
        <v>648</v>
      </c>
      <c r="C114" t="s">
        <v>209</v>
      </c>
      <c r="D114" t="s">
        <v>210</v>
      </c>
      <c r="E114" t="s">
        <v>178</v>
      </c>
      <c r="F114" t="s">
        <v>298</v>
      </c>
      <c r="G114" t="s">
        <v>297</v>
      </c>
      <c r="H114">
        <v>1</v>
      </c>
      <c r="I114" t="s">
        <v>596</v>
      </c>
      <c r="J114" s="39">
        <v>45967.600289351903</v>
      </c>
      <c r="K114" s="39">
        <v>45969</v>
      </c>
      <c r="L114" t="str">
        <f t="shared" si="3"/>
        <v>2025-11</v>
      </c>
      <c r="M114" t="s">
        <v>595</v>
      </c>
      <c r="N114">
        <v>12</v>
      </c>
      <c r="O114">
        <v>46.42</v>
      </c>
      <c r="P114">
        <v>0</v>
      </c>
      <c r="Q114">
        <v>0</v>
      </c>
      <c r="R114">
        <v>1</v>
      </c>
      <c r="S114" t="s">
        <v>95</v>
      </c>
      <c r="T114">
        <v>0</v>
      </c>
      <c r="V114">
        <f t="shared" si="4"/>
        <v>0</v>
      </c>
      <c r="W114" t="str">
        <f t="shared" si="5"/>
        <v>Missed</v>
      </c>
    </row>
    <row r="115" spans="1:23" x14ac:dyDescent="0.2">
      <c r="A115">
        <v>7616816120</v>
      </c>
      <c r="B115">
        <v>528</v>
      </c>
      <c r="C115" t="s">
        <v>143</v>
      </c>
      <c r="D115" t="s">
        <v>144</v>
      </c>
      <c r="E115" t="s">
        <v>134</v>
      </c>
      <c r="F115" t="s">
        <v>318</v>
      </c>
      <c r="G115" t="s">
        <v>317</v>
      </c>
      <c r="H115">
        <v>2</v>
      </c>
      <c r="I115" t="s">
        <v>594</v>
      </c>
      <c r="J115" s="39">
        <v>46190.622233796297</v>
      </c>
      <c r="K115" s="39">
        <v>46191</v>
      </c>
      <c r="L115" t="str">
        <f t="shared" si="3"/>
        <v>2026-06</v>
      </c>
      <c r="M115" t="s">
        <v>595</v>
      </c>
      <c r="N115">
        <v>16</v>
      </c>
      <c r="O115">
        <v>22.27</v>
      </c>
      <c r="P115">
        <v>0</v>
      </c>
      <c r="Q115">
        <v>0</v>
      </c>
      <c r="R115">
        <v>0</v>
      </c>
      <c r="S115" t="s">
        <v>94</v>
      </c>
      <c r="T115">
        <v>2</v>
      </c>
      <c r="U115">
        <v>1</v>
      </c>
      <c r="V115" t="str">
        <f t="shared" si="4"/>
        <v/>
      </c>
      <c r="W115" t="str">
        <f t="shared" si="5"/>
        <v>Not Eligible</v>
      </c>
    </row>
    <row r="116" spans="1:23" x14ac:dyDescent="0.2">
      <c r="A116">
        <v>7521807483</v>
      </c>
      <c r="B116">
        <v>923</v>
      </c>
      <c r="C116" t="s">
        <v>231</v>
      </c>
      <c r="D116" t="s">
        <v>232</v>
      </c>
      <c r="E116" t="s">
        <v>226</v>
      </c>
      <c r="F116" t="s">
        <v>368</v>
      </c>
      <c r="G116" t="s">
        <v>367</v>
      </c>
      <c r="H116">
        <v>2</v>
      </c>
      <c r="I116" t="s">
        <v>594</v>
      </c>
      <c r="J116" s="39">
        <v>45875.590879629599</v>
      </c>
      <c r="K116" s="39">
        <v>45880</v>
      </c>
      <c r="L116" t="str">
        <f t="shared" si="3"/>
        <v>2025-08</v>
      </c>
      <c r="M116" t="s">
        <v>595</v>
      </c>
      <c r="N116">
        <v>16</v>
      </c>
      <c r="O116">
        <v>121.3</v>
      </c>
      <c r="P116">
        <v>0</v>
      </c>
      <c r="Q116">
        <v>0</v>
      </c>
      <c r="R116">
        <v>0</v>
      </c>
      <c r="S116" t="s">
        <v>94</v>
      </c>
      <c r="T116">
        <v>1</v>
      </c>
      <c r="V116" t="str">
        <f t="shared" si="4"/>
        <v/>
      </c>
      <c r="W116" t="str">
        <f t="shared" si="5"/>
        <v>Not Eligible</v>
      </c>
    </row>
    <row r="117" spans="1:23" x14ac:dyDescent="0.2">
      <c r="A117">
        <v>7532608934</v>
      </c>
      <c r="B117">
        <v>495</v>
      </c>
      <c r="C117" t="s">
        <v>120</v>
      </c>
      <c r="D117" t="s">
        <v>121</v>
      </c>
      <c r="E117" t="s">
        <v>111</v>
      </c>
      <c r="F117" t="s">
        <v>290</v>
      </c>
      <c r="G117" t="s">
        <v>289</v>
      </c>
      <c r="H117">
        <v>2</v>
      </c>
      <c r="I117" t="s">
        <v>596</v>
      </c>
      <c r="J117" s="39">
        <v>45983.612719907404</v>
      </c>
      <c r="K117" s="39">
        <v>45983</v>
      </c>
      <c r="L117" t="str">
        <f t="shared" si="3"/>
        <v>2025-11</v>
      </c>
      <c r="M117" t="s">
        <v>595</v>
      </c>
      <c r="N117">
        <v>16</v>
      </c>
      <c r="O117">
        <v>2.35</v>
      </c>
      <c r="P117">
        <v>1</v>
      </c>
      <c r="Q117">
        <v>1</v>
      </c>
      <c r="R117">
        <v>1</v>
      </c>
      <c r="S117" t="s">
        <v>95</v>
      </c>
      <c r="T117">
        <v>0</v>
      </c>
      <c r="V117">
        <f t="shared" si="4"/>
        <v>1</v>
      </c>
      <c r="W117" t="str">
        <f t="shared" si="5"/>
        <v>Met</v>
      </c>
    </row>
    <row r="118" spans="1:23" x14ac:dyDescent="0.2">
      <c r="A118">
        <v>7621903257</v>
      </c>
      <c r="B118">
        <v>524</v>
      </c>
      <c r="C118" t="s">
        <v>137</v>
      </c>
      <c r="D118" t="s">
        <v>138</v>
      </c>
      <c r="E118" t="s">
        <v>134</v>
      </c>
      <c r="F118" t="s">
        <v>422</v>
      </c>
      <c r="G118" t="s">
        <v>421</v>
      </c>
      <c r="H118">
        <v>2</v>
      </c>
      <c r="I118" t="s">
        <v>596</v>
      </c>
      <c r="J118" s="39">
        <v>46241.415787037004</v>
      </c>
      <c r="K118" s="39">
        <v>46241</v>
      </c>
      <c r="L118" t="str">
        <f t="shared" si="3"/>
        <v>2026-08</v>
      </c>
      <c r="M118" t="s">
        <v>595</v>
      </c>
      <c r="N118">
        <v>16</v>
      </c>
      <c r="O118">
        <v>5.6</v>
      </c>
      <c r="P118">
        <v>0</v>
      </c>
      <c r="Q118">
        <v>0</v>
      </c>
      <c r="R118">
        <v>0</v>
      </c>
      <c r="S118" t="s">
        <v>94</v>
      </c>
      <c r="T118">
        <v>2</v>
      </c>
      <c r="U118">
        <v>1</v>
      </c>
      <c r="V118" t="str">
        <f t="shared" si="4"/>
        <v/>
      </c>
      <c r="W118" t="str">
        <f t="shared" si="5"/>
        <v>Not Eligible</v>
      </c>
    </row>
    <row r="119" spans="1:23" x14ac:dyDescent="0.2">
      <c r="A119">
        <v>7609501684</v>
      </c>
      <c r="B119">
        <v>639</v>
      </c>
      <c r="C119" t="s">
        <v>195</v>
      </c>
      <c r="D119" t="s">
        <v>196</v>
      </c>
      <c r="E119" t="s">
        <v>181</v>
      </c>
      <c r="F119" t="s">
        <v>384</v>
      </c>
      <c r="G119" t="s">
        <v>383</v>
      </c>
      <c r="H119">
        <v>2</v>
      </c>
      <c r="I119" t="s">
        <v>596</v>
      </c>
      <c r="J119" s="39">
        <v>46117.746886574103</v>
      </c>
      <c r="K119" s="39">
        <v>46117</v>
      </c>
      <c r="L119" t="str">
        <f t="shared" si="3"/>
        <v>2026-04</v>
      </c>
      <c r="M119" t="s">
        <v>595</v>
      </c>
      <c r="N119">
        <v>0</v>
      </c>
      <c r="O119">
        <v>2.08</v>
      </c>
      <c r="P119">
        <v>1</v>
      </c>
      <c r="Q119">
        <v>1</v>
      </c>
      <c r="R119">
        <v>1</v>
      </c>
      <c r="S119" t="s">
        <v>94</v>
      </c>
      <c r="T119">
        <v>2</v>
      </c>
      <c r="U119">
        <v>1</v>
      </c>
      <c r="V119">
        <f t="shared" si="4"/>
        <v>1</v>
      </c>
      <c r="W119" t="str">
        <f t="shared" si="5"/>
        <v>Met</v>
      </c>
    </row>
    <row r="120" spans="1:23" x14ac:dyDescent="0.2">
      <c r="A120">
        <v>7532101218</v>
      </c>
      <c r="B120">
        <v>635</v>
      </c>
      <c r="C120" t="s">
        <v>188</v>
      </c>
      <c r="D120" t="s">
        <v>189</v>
      </c>
      <c r="E120" t="s">
        <v>181</v>
      </c>
      <c r="F120" t="s">
        <v>322</v>
      </c>
      <c r="G120" t="s">
        <v>321</v>
      </c>
      <c r="H120">
        <v>2</v>
      </c>
      <c r="I120" t="s">
        <v>596</v>
      </c>
      <c r="J120" s="39">
        <v>45978.603796296302</v>
      </c>
      <c r="K120" s="39">
        <v>45978</v>
      </c>
      <c r="L120" t="str">
        <f t="shared" si="3"/>
        <v>2025-11</v>
      </c>
      <c r="M120" t="s">
        <v>595</v>
      </c>
      <c r="N120">
        <v>16</v>
      </c>
      <c r="O120">
        <v>3.3</v>
      </c>
      <c r="P120">
        <v>1</v>
      </c>
      <c r="Q120">
        <v>1</v>
      </c>
      <c r="R120">
        <v>1</v>
      </c>
      <c r="S120" t="s">
        <v>95</v>
      </c>
      <c r="T120">
        <v>0</v>
      </c>
      <c r="V120">
        <f t="shared" si="4"/>
        <v>1</v>
      </c>
      <c r="W120" t="str">
        <f t="shared" si="5"/>
        <v>Met</v>
      </c>
    </row>
    <row r="121" spans="1:23" x14ac:dyDescent="0.2">
      <c r="A121">
        <v>7527904149</v>
      </c>
      <c r="B121">
        <v>525</v>
      </c>
      <c r="C121" t="s">
        <v>139</v>
      </c>
      <c r="D121" t="s">
        <v>133</v>
      </c>
      <c r="E121" t="s">
        <v>134</v>
      </c>
      <c r="F121" t="s">
        <v>264</v>
      </c>
      <c r="G121" t="s">
        <v>263</v>
      </c>
      <c r="H121">
        <v>2</v>
      </c>
      <c r="I121" t="s">
        <v>596</v>
      </c>
      <c r="J121" s="39">
        <v>45936.421944444497</v>
      </c>
      <c r="K121" s="39">
        <v>45936</v>
      </c>
      <c r="L121" t="str">
        <f t="shared" si="3"/>
        <v>2025-10</v>
      </c>
      <c r="M121" t="s">
        <v>595</v>
      </c>
      <c r="N121">
        <v>16</v>
      </c>
      <c r="O121">
        <v>5.32</v>
      </c>
      <c r="P121">
        <v>1</v>
      </c>
      <c r="Q121">
        <v>1</v>
      </c>
      <c r="R121">
        <v>1</v>
      </c>
      <c r="S121" t="s">
        <v>95</v>
      </c>
      <c r="T121">
        <v>0</v>
      </c>
      <c r="V121">
        <f t="shared" si="4"/>
        <v>1</v>
      </c>
      <c r="W121" t="str">
        <f t="shared" si="5"/>
        <v>Met</v>
      </c>
    </row>
    <row r="122" spans="1:23" x14ac:dyDescent="0.2">
      <c r="A122">
        <v>7603002358</v>
      </c>
      <c r="B122">
        <v>527</v>
      </c>
      <c r="C122" t="s">
        <v>141</v>
      </c>
      <c r="D122" t="s">
        <v>142</v>
      </c>
      <c r="E122" t="s">
        <v>134</v>
      </c>
      <c r="F122" t="s">
        <v>280</v>
      </c>
      <c r="G122" t="s">
        <v>279</v>
      </c>
      <c r="H122">
        <v>2</v>
      </c>
      <c r="I122" t="s">
        <v>594</v>
      </c>
      <c r="J122" s="39">
        <v>46052.330069444499</v>
      </c>
      <c r="K122" s="39">
        <v>46053</v>
      </c>
      <c r="L122" t="str">
        <f t="shared" si="3"/>
        <v>2026-01</v>
      </c>
      <c r="M122" t="s">
        <v>595</v>
      </c>
      <c r="N122">
        <v>16</v>
      </c>
      <c r="O122">
        <v>30.12</v>
      </c>
      <c r="P122">
        <v>0</v>
      </c>
      <c r="Q122">
        <v>0</v>
      </c>
      <c r="R122">
        <v>0</v>
      </c>
      <c r="S122" t="s">
        <v>94</v>
      </c>
      <c r="T122">
        <v>1</v>
      </c>
      <c r="V122" t="str">
        <f t="shared" si="4"/>
        <v/>
      </c>
      <c r="W122" t="str">
        <f t="shared" si="5"/>
        <v>Not Eligible</v>
      </c>
    </row>
    <row r="123" spans="1:23" x14ac:dyDescent="0.2">
      <c r="A123">
        <v>7600503305</v>
      </c>
      <c r="B123">
        <v>928</v>
      </c>
      <c r="C123" t="s">
        <v>238</v>
      </c>
      <c r="D123" t="s">
        <v>239</v>
      </c>
      <c r="E123" t="s">
        <v>226</v>
      </c>
      <c r="F123" t="s">
        <v>314</v>
      </c>
      <c r="G123" t="s">
        <v>313</v>
      </c>
      <c r="H123">
        <v>2</v>
      </c>
      <c r="I123" t="s">
        <v>596</v>
      </c>
      <c r="J123" s="39">
        <v>46027.307986111096</v>
      </c>
      <c r="K123" s="39">
        <v>46027</v>
      </c>
      <c r="L123" t="str">
        <f t="shared" si="3"/>
        <v>2026-01</v>
      </c>
      <c r="M123" t="s">
        <v>595</v>
      </c>
      <c r="N123">
        <v>16</v>
      </c>
      <c r="O123">
        <v>0.82</v>
      </c>
      <c r="P123">
        <v>1</v>
      </c>
      <c r="Q123">
        <v>1</v>
      </c>
      <c r="R123">
        <v>1</v>
      </c>
      <c r="S123" t="s">
        <v>94</v>
      </c>
      <c r="T123">
        <v>2</v>
      </c>
      <c r="U123">
        <v>1</v>
      </c>
      <c r="V123">
        <f t="shared" si="4"/>
        <v>1</v>
      </c>
      <c r="W123" t="str">
        <f t="shared" si="5"/>
        <v>Met</v>
      </c>
    </row>
    <row r="124" spans="1:23" x14ac:dyDescent="0.2">
      <c r="A124">
        <v>7522306048</v>
      </c>
      <c r="B124">
        <v>928</v>
      </c>
      <c r="C124" t="s">
        <v>238</v>
      </c>
      <c r="D124" t="s">
        <v>239</v>
      </c>
      <c r="E124" t="s">
        <v>226</v>
      </c>
      <c r="F124" t="s">
        <v>278</v>
      </c>
      <c r="G124" t="s">
        <v>277</v>
      </c>
      <c r="H124">
        <v>2</v>
      </c>
      <c r="I124" t="s">
        <v>594</v>
      </c>
      <c r="J124" s="39">
        <v>45880.551076388903</v>
      </c>
      <c r="K124" s="39">
        <v>45888</v>
      </c>
      <c r="L124" t="str">
        <f t="shared" si="3"/>
        <v>2025-08</v>
      </c>
      <c r="M124" t="s">
        <v>595</v>
      </c>
      <c r="N124">
        <v>16</v>
      </c>
      <c r="O124">
        <v>194.68</v>
      </c>
      <c r="P124">
        <v>0</v>
      </c>
      <c r="Q124">
        <v>0</v>
      </c>
      <c r="R124">
        <v>0</v>
      </c>
      <c r="S124" t="s">
        <v>94</v>
      </c>
      <c r="T124">
        <v>1</v>
      </c>
      <c r="V124" t="str">
        <f t="shared" si="4"/>
        <v/>
      </c>
      <c r="W124" t="str">
        <f t="shared" si="5"/>
        <v>Not Eligible</v>
      </c>
    </row>
    <row r="125" spans="1:23" x14ac:dyDescent="0.2">
      <c r="A125">
        <v>7532803915</v>
      </c>
      <c r="B125">
        <v>563</v>
      </c>
      <c r="C125" t="s">
        <v>174</v>
      </c>
      <c r="D125" t="s">
        <v>175</v>
      </c>
      <c r="E125" t="s">
        <v>159</v>
      </c>
      <c r="F125" t="s">
        <v>378</v>
      </c>
      <c r="G125" t="s">
        <v>377</v>
      </c>
      <c r="H125">
        <v>1</v>
      </c>
      <c r="I125" t="s">
        <v>596</v>
      </c>
      <c r="J125" s="39">
        <v>45985.473784722199</v>
      </c>
      <c r="K125" s="39">
        <v>45993</v>
      </c>
      <c r="L125" t="str">
        <f t="shared" si="3"/>
        <v>2025-12</v>
      </c>
      <c r="M125" t="s">
        <v>595</v>
      </c>
      <c r="N125">
        <v>12</v>
      </c>
      <c r="O125">
        <v>192.77</v>
      </c>
      <c r="P125">
        <v>0</v>
      </c>
      <c r="Q125">
        <v>0</v>
      </c>
      <c r="R125">
        <v>1</v>
      </c>
      <c r="S125" t="s">
        <v>94</v>
      </c>
      <c r="T125">
        <v>1</v>
      </c>
      <c r="V125">
        <f t="shared" si="4"/>
        <v>0</v>
      </c>
      <c r="W125" t="str">
        <f t="shared" si="5"/>
        <v>Missed</v>
      </c>
    </row>
    <row r="126" spans="1:23" x14ac:dyDescent="0.2">
      <c r="A126">
        <v>7609800392</v>
      </c>
      <c r="B126">
        <v>929</v>
      </c>
      <c r="C126" t="s">
        <v>240</v>
      </c>
      <c r="D126" t="s">
        <v>241</v>
      </c>
      <c r="E126" t="s">
        <v>226</v>
      </c>
      <c r="F126" t="s">
        <v>288</v>
      </c>
      <c r="G126" t="s">
        <v>287</v>
      </c>
      <c r="H126">
        <v>2</v>
      </c>
      <c r="I126" t="s">
        <v>599</v>
      </c>
      <c r="J126" s="39">
        <v>46120.725162037001</v>
      </c>
      <c r="K126" s="39">
        <v>46121</v>
      </c>
      <c r="L126" t="str">
        <f t="shared" si="3"/>
        <v>2026-04</v>
      </c>
      <c r="M126" t="s">
        <v>595</v>
      </c>
      <c r="N126">
        <v>0</v>
      </c>
      <c r="O126">
        <v>20.57</v>
      </c>
      <c r="P126">
        <v>1</v>
      </c>
      <c r="Q126">
        <v>1</v>
      </c>
      <c r="R126">
        <v>1</v>
      </c>
      <c r="S126" t="s">
        <v>94</v>
      </c>
      <c r="T126">
        <v>1</v>
      </c>
      <c r="V126">
        <f t="shared" si="4"/>
        <v>1</v>
      </c>
      <c r="W126" t="str">
        <f t="shared" si="5"/>
        <v>Met</v>
      </c>
    </row>
    <row r="127" spans="1:23" x14ac:dyDescent="0.2">
      <c r="A127">
        <v>7618505532</v>
      </c>
      <c r="B127">
        <v>931</v>
      </c>
      <c r="C127" t="s">
        <v>242</v>
      </c>
      <c r="D127" t="s">
        <v>243</v>
      </c>
      <c r="E127" t="s">
        <v>226</v>
      </c>
      <c r="F127" t="s">
        <v>312</v>
      </c>
      <c r="G127" t="s">
        <v>311</v>
      </c>
      <c r="H127">
        <v>2</v>
      </c>
      <c r="I127" t="s">
        <v>596</v>
      </c>
      <c r="J127" s="39">
        <v>46207.511678240699</v>
      </c>
      <c r="K127" s="39">
        <v>46207</v>
      </c>
      <c r="L127" t="str">
        <f t="shared" si="3"/>
        <v>2026-07</v>
      </c>
      <c r="M127" t="s">
        <v>600</v>
      </c>
      <c r="N127">
        <v>16</v>
      </c>
      <c r="O127">
        <v>3.7</v>
      </c>
      <c r="P127">
        <v>0</v>
      </c>
      <c r="Q127">
        <v>0</v>
      </c>
      <c r="R127">
        <v>0</v>
      </c>
      <c r="S127" t="s">
        <v>94</v>
      </c>
      <c r="T127">
        <v>1</v>
      </c>
      <c r="V127" t="str">
        <f t="shared" si="4"/>
        <v/>
      </c>
      <c r="W127" t="str">
        <f t="shared" si="5"/>
        <v>Not Eligible</v>
      </c>
    </row>
    <row r="128" spans="1:23" x14ac:dyDescent="0.2">
      <c r="A128">
        <v>7612805459</v>
      </c>
      <c r="B128">
        <v>642</v>
      </c>
      <c r="C128" t="s">
        <v>199</v>
      </c>
      <c r="D128" t="s">
        <v>200</v>
      </c>
      <c r="E128" t="s">
        <v>178</v>
      </c>
      <c r="F128" t="s">
        <v>268</v>
      </c>
      <c r="G128" t="s">
        <v>267</v>
      </c>
      <c r="H128">
        <v>2</v>
      </c>
      <c r="I128" t="s">
        <v>596</v>
      </c>
      <c r="J128" s="39">
        <v>46150.740266203698</v>
      </c>
      <c r="K128" s="39">
        <v>46151</v>
      </c>
      <c r="L128" t="str">
        <f t="shared" si="3"/>
        <v>2026-05</v>
      </c>
      <c r="M128" t="s">
        <v>595</v>
      </c>
      <c r="N128">
        <v>0</v>
      </c>
      <c r="O128">
        <v>17.28</v>
      </c>
      <c r="P128">
        <v>1</v>
      </c>
      <c r="Q128">
        <v>1</v>
      </c>
      <c r="R128">
        <v>1</v>
      </c>
      <c r="S128" t="s">
        <v>94</v>
      </c>
      <c r="T128">
        <v>2</v>
      </c>
      <c r="U128">
        <v>1</v>
      </c>
      <c r="V128">
        <f t="shared" si="4"/>
        <v>1</v>
      </c>
      <c r="W128" t="str">
        <f t="shared" si="5"/>
        <v>Met</v>
      </c>
    </row>
    <row r="129" spans="1:23" x14ac:dyDescent="0.2">
      <c r="A129">
        <v>7523105351</v>
      </c>
      <c r="B129">
        <v>634</v>
      </c>
      <c r="C129" t="s">
        <v>186</v>
      </c>
      <c r="D129" t="s">
        <v>187</v>
      </c>
      <c r="E129" t="s">
        <v>181</v>
      </c>
      <c r="F129" t="s">
        <v>434</v>
      </c>
      <c r="G129" t="s">
        <v>433</v>
      </c>
      <c r="H129">
        <v>1</v>
      </c>
      <c r="I129" t="s">
        <v>596</v>
      </c>
      <c r="J129" s="39">
        <v>45888.628946759301</v>
      </c>
      <c r="K129" s="39">
        <v>45889</v>
      </c>
      <c r="L129" t="str">
        <f t="shared" si="3"/>
        <v>2025-08</v>
      </c>
      <c r="M129" t="s">
        <v>595</v>
      </c>
      <c r="N129">
        <v>12</v>
      </c>
      <c r="O129">
        <v>22.13</v>
      </c>
      <c r="P129">
        <v>1</v>
      </c>
      <c r="Q129">
        <v>1</v>
      </c>
      <c r="R129">
        <v>1</v>
      </c>
      <c r="S129" t="s">
        <v>95</v>
      </c>
      <c r="T129">
        <v>0</v>
      </c>
      <c r="V129">
        <f t="shared" si="4"/>
        <v>1</v>
      </c>
      <c r="W129" t="str">
        <f t="shared" si="5"/>
        <v>Met</v>
      </c>
    </row>
    <row r="130" spans="1:23" x14ac:dyDescent="0.2">
      <c r="A130">
        <v>7600401494</v>
      </c>
      <c r="B130">
        <v>634</v>
      </c>
      <c r="C130" t="s">
        <v>186</v>
      </c>
      <c r="D130" t="s">
        <v>187</v>
      </c>
      <c r="E130" t="s">
        <v>181</v>
      </c>
      <c r="F130" t="s">
        <v>378</v>
      </c>
      <c r="G130" t="s">
        <v>377</v>
      </c>
      <c r="H130">
        <v>1</v>
      </c>
      <c r="I130" t="s">
        <v>594</v>
      </c>
      <c r="J130" s="39">
        <v>46025.840717592597</v>
      </c>
      <c r="K130" s="39">
        <v>46026</v>
      </c>
      <c r="L130" t="str">
        <f t="shared" ref="L130:L193" si="6">IF(K130="","",TEXT(K130,"YYYY-MM"))</f>
        <v>2026-01</v>
      </c>
      <c r="M130" t="s">
        <v>595</v>
      </c>
      <c r="N130">
        <v>12</v>
      </c>
      <c r="O130">
        <v>17.329999999999998</v>
      </c>
      <c r="P130">
        <v>0</v>
      </c>
      <c r="Q130">
        <v>0</v>
      </c>
      <c r="R130">
        <v>0</v>
      </c>
      <c r="S130" t="s">
        <v>94</v>
      </c>
      <c r="T130">
        <v>1</v>
      </c>
      <c r="V130" t="str">
        <f t="shared" ref="V130:V193" si="7">IF(R130=0,"",IF(U130&lt;&gt;"",U130,Q130))</f>
        <v/>
      </c>
      <c r="W130" t="str">
        <f t="shared" ref="W130:W193" si="8">IF(R130=0,"Not Eligible",IF(V130=1,"Met","Missed"))</f>
        <v>Not Eligible</v>
      </c>
    </row>
    <row r="131" spans="1:23" x14ac:dyDescent="0.2">
      <c r="A131">
        <v>7528214369</v>
      </c>
      <c r="B131">
        <v>545</v>
      </c>
      <c r="C131" t="s">
        <v>166</v>
      </c>
      <c r="D131" t="s">
        <v>167</v>
      </c>
      <c r="E131" t="s">
        <v>159</v>
      </c>
      <c r="F131" t="s">
        <v>286</v>
      </c>
      <c r="G131" t="s">
        <v>285</v>
      </c>
      <c r="H131">
        <v>2</v>
      </c>
      <c r="I131" t="s">
        <v>596</v>
      </c>
      <c r="J131" s="39">
        <v>45939.355451388903</v>
      </c>
      <c r="K131" s="39">
        <v>45952</v>
      </c>
      <c r="L131" t="str">
        <f t="shared" si="6"/>
        <v>2025-10</v>
      </c>
      <c r="M131" t="s">
        <v>595</v>
      </c>
      <c r="N131">
        <v>16</v>
      </c>
      <c r="O131">
        <v>318.3</v>
      </c>
      <c r="P131">
        <v>0</v>
      </c>
      <c r="Q131">
        <v>0</v>
      </c>
      <c r="R131">
        <v>1</v>
      </c>
      <c r="S131" t="s">
        <v>95</v>
      </c>
      <c r="T131">
        <v>0</v>
      </c>
      <c r="V131">
        <f t="shared" si="7"/>
        <v>0</v>
      </c>
      <c r="W131" t="str">
        <f t="shared" si="8"/>
        <v>Missed</v>
      </c>
    </row>
    <row r="132" spans="1:23" x14ac:dyDescent="0.2">
      <c r="A132">
        <v>7617608240</v>
      </c>
      <c r="B132">
        <v>633</v>
      </c>
      <c r="C132" t="s">
        <v>184</v>
      </c>
      <c r="D132" t="s">
        <v>185</v>
      </c>
      <c r="E132" t="s">
        <v>181</v>
      </c>
      <c r="F132" t="s">
        <v>256</v>
      </c>
      <c r="G132" t="s">
        <v>255</v>
      </c>
      <c r="H132">
        <v>2</v>
      </c>
      <c r="I132" t="s">
        <v>596</v>
      </c>
      <c r="J132" s="39">
        <v>46198.599976851903</v>
      </c>
      <c r="K132" s="39">
        <v>46200</v>
      </c>
      <c r="L132" t="str">
        <f t="shared" si="6"/>
        <v>2026-06</v>
      </c>
      <c r="M132" t="s">
        <v>595</v>
      </c>
      <c r="N132">
        <v>16</v>
      </c>
      <c r="O132">
        <v>46.72</v>
      </c>
      <c r="P132">
        <v>0</v>
      </c>
      <c r="Q132">
        <v>0</v>
      </c>
      <c r="R132">
        <v>1</v>
      </c>
      <c r="S132" t="s">
        <v>94</v>
      </c>
      <c r="T132">
        <v>1</v>
      </c>
      <c r="V132">
        <f t="shared" si="7"/>
        <v>0</v>
      </c>
      <c r="W132" t="str">
        <f t="shared" si="8"/>
        <v>Missed</v>
      </c>
    </row>
    <row r="133" spans="1:23" x14ac:dyDescent="0.2">
      <c r="A133">
        <v>7608303802</v>
      </c>
      <c r="B133">
        <v>968</v>
      </c>
      <c r="C133" t="s">
        <v>247</v>
      </c>
      <c r="D133" t="s">
        <v>248</v>
      </c>
      <c r="E133" t="s">
        <v>246</v>
      </c>
      <c r="F133" t="s">
        <v>455</v>
      </c>
      <c r="G133" t="s">
        <v>454</v>
      </c>
      <c r="H133">
        <v>2</v>
      </c>
      <c r="I133" t="s">
        <v>596</v>
      </c>
      <c r="J133" s="39">
        <v>46105.435289351903</v>
      </c>
      <c r="K133" s="39">
        <v>46105</v>
      </c>
      <c r="L133" t="str">
        <f t="shared" si="6"/>
        <v>2026-03</v>
      </c>
      <c r="M133" t="s">
        <v>595</v>
      </c>
      <c r="N133">
        <v>0</v>
      </c>
      <c r="O133">
        <v>4.42</v>
      </c>
      <c r="P133">
        <v>1</v>
      </c>
      <c r="Q133">
        <v>1</v>
      </c>
      <c r="R133">
        <v>1</v>
      </c>
      <c r="S133" t="s">
        <v>94</v>
      </c>
      <c r="T133">
        <v>2</v>
      </c>
      <c r="U133">
        <v>1</v>
      </c>
      <c r="V133">
        <f t="shared" si="7"/>
        <v>1</v>
      </c>
      <c r="W133" t="str">
        <f t="shared" si="8"/>
        <v>Met</v>
      </c>
    </row>
    <row r="134" spans="1:23" x14ac:dyDescent="0.2">
      <c r="A134">
        <v>7618212830</v>
      </c>
      <c r="B134">
        <v>606</v>
      </c>
      <c r="C134" t="s">
        <v>176</v>
      </c>
      <c r="D134" t="s">
        <v>177</v>
      </c>
      <c r="E134" t="s">
        <v>178</v>
      </c>
      <c r="F134" t="s">
        <v>292</v>
      </c>
      <c r="G134" t="s">
        <v>291</v>
      </c>
      <c r="H134">
        <v>1</v>
      </c>
      <c r="I134" t="s">
        <v>594</v>
      </c>
      <c r="J134" s="39">
        <v>46204.567037036999</v>
      </c>
      <c r="K134" s="39">
        <v>46204</v>
      </c>
      <c r="L134" t="str">
        <f t="shared" si="6"/>
        <v>2026-07</v>
      </c>
      <c r="M134" t="s">
        <v>595</v>
      </c>
      <c r="N134">
        <v>12</v>
      </c>
      <c r="O134">
        <v>2.0699999999999998</v>
      </c>
      <c r="P134">
        <v>0</v>
      </c>
      <c r="Q134">
        <v>0</v>
      </c>
      <c r="R134">
        <v>0</v>
      </c>
      <c r="S134" t="s">
        <v>94</v>
      </c>
      <c r="T134">
        <v>2</v>
      </c>
      <c r="U134">
        <v>1</v>
      </c>
      <c r="V134" t="str">
        <f t="shared" si="7"/>
        <v/>
      </c>
      <c r="W134" t="str">
        <f t="shared" si="8"/>
        <v>Not Eligible</v>
      </c>
    </row>
    <row r="135" spans="1:23" x14ac:dyDescent="0.2">
      <c r="A135">
        <v>7613900425</v>
      </c>
      <c r="B135">
        <v>634</v>
      </c>
      <c r="C135" t="s">
        <v>186</v>
      </c>
      <c r="D135" t="s">
        <v>187</v>
      </c>
      <c r="E135" t="s">
        <v>181</v>
      </c>
      <c r="F135" t="s">
        <v>351</v>
      </c>
      <c r="G135" t="s">
        <v>350</v>
      </c>
      <c r="H135">
        <v>2</v>
      </c>
      <c r="I135" t="s">
        <v>594</v>
      </c>
      <c r="J135" s="39">
        <v>46161.667013888902</v>
      </c>
      <c r="K135" s="39">
        <v>46162</v>
      </c>
      <c r="L135" t="str">
        <f t="shared" si="6"/>
        <v>2026-05</v>
      </c>
      <c r="M135" t="s">
        <v>595</v>
      </c>
      <c r="N135">
        <v>16</v>
      </c>
      <c r="O135">
        <v>20.75</v>
      </c>
      <c r="P135">
        <v>0</v>
      </c>
      <c r="Q135">
        <v>0</v>
      </c>
      <c r="R135">
        <v>0</v>
      </c>
      <c r="S135" t="s">
        <v>94</v>
      </c>
      <c r="T135">
        <v>2</v>
      </c>
      <c r="U135">
        <v>1</v>
      </c>
      <c r="V135" t="str">
        <f t="shared" si="7"/>
        <v/>
      </c>
      <c r="W135" t="str">
        <f t="shared" si="8"/>
        <v>Not Eligible</v>
      </c>
    </row>
    <row r="136" spans="1:23" x14ac:dyDescent="0.2">
      <c r="A136">
        <v>7527701221</v>
      </c>
      <c r="B136">
        <v>493</v>
      </c>
      <c r="C136" t="s">
        <v>116</v>
      </c>
      <c r="D136" t="s">
        <v>117</v>
      </c>
      <c r="E136" t="s">
        <v>111</v>
      </c>
      <c r="F136" t="s">
        <v>302</v>
      </c>
      <c r="G136" t="s">
        <v>301</v>
      </c>
      <c r="H136">
        <v>2</v>
      </c>
      <c r="I136" t="s">
        <v>596</v>
      </c>
      <c r="J136" s="39">
        <v>45934.630474537</v>
      </c>
      <c r="K136" s="39">
        <v>45936</v>
      </c>
      <c r="L136" t="str">
        <f t="shared" si="6"/>
        <v>2025-10</v>
      </c>
      <c r="M136" t="s">
        <v>595</v>
      </c>
      <c r="N136">
        <v>16</v>
      </c>
      <c r="O136">
        <v>52.98</v>
      </c>
      <c r="P136">
        <v>0</v>
      </c>
      <c r="Q136">
        <v>0</v>
      </c>
      <c r="R136">
        <v>1</v>
      </c>
      <c r="S136" t="s">
        <v>95</v>
      </c>
      <c r="T136">
        <v>0</v>
      </c>
      <c r="V136">
        <f t="shared" si="7"/>
        <v>0</v>
      </c>
      <c r="W136" t="str">
        <f t="shared" si="8"/>
        <v>Missed</v>
      </c>
    </row>
    <row r="137" spans="1:23" x14ac:dyDescent="0.2">
      <c r="A137">
        <v>7602301381</v>
      </c>
      <c r="B137">
        <v>546</v>
      </c>
      <c r="C137" t="s">
        <v>168</v>
      </c>
      <c r="D137" t="s">
        <v>169</v>
      </c>
      <c r="E137" t="s">
        <v>159</v>
      </c>
      <c r="F137" t="s">
        <v>304</v>
      </c>
      <c r="G137" t="s">
        <v>303</v>
      </c>
      <c r="H137">
        <v>2</v>
      </c>
      <c r="I137" t="s">
        <v>596</v>
      </c>
      <c r="J137" s="39">
        <v>46045.664479166699</v>
      </c>
      <c r="K137" s="39">
        <v>46046</v>
      </c>
      <c r="L137" t="str">
        <f t="shared" si="6"/>
        <v>2026-01</v>
      </c>
      <c r="M137" t="s">
        <v>595</v>
      </c>
      <c r="N137">
        <v>16</v>
      </c>
      <c r="O137">
        <v>25.38</v>
      </c>
      <c r="P137">
        <v>1</v>
      </c>
      <c r="Q137">
        <v>1</v>
      </c>
      <c r="R137">
        <v>1</v>
      </c>
      <c r="S137" t="s">
        <v>94</v>
      </c>
      <c r="T137">
        <v>2</v>
      </c>
      <c r="U137">
        <v>1</v>
      </c>
      <c r="V137">
        <f t="shared" si="7"/>
        <v>1</v>
      </c>
      <c r="W137" t="str">
        <f t="shared" si="8"/>
        <v>Met</v>
      </c>
    </row>
    <row r="138" spans="1:23" x14ac:dyDescent="0.2">
      <c r="A138">
        <v>7602702930</v>
      </c>
      <c r="B138">
        <v>715</v>
      </c>
      <c r="C138" t="s">
        <v>222</v>
      </c>
      <c r="D138" t="s">
        <v>223</v>
      </c>
      <c r="E138" t="s">
        <v>215</v>
      </c>
      <c r="F138" t="s">
        <v>256</v>
      </c>
      <c r="G138" t="s">
        <v>255</v>
      </c>
      <c r="H138">
        <v>2</v>
      </c>
      <c r="I138" t="s">
        <v>596</v>
      </c>
      <c r="J138" s="39">
        <v>46049.352129629602</v>
      </c>
      <c r="K138" s="39">
        <v>46051</v>
      </c>
      <c r="L138" t="str">
        <f t="shared" si="6"/>
        <v>2026-01</v>
      </c>
      <c r="M138" t="s">
        <v>595</v>
      </c>
      <c r="N138">
        <v>16</v>
      </c>
      <c r="O138">
        <v>53.37</v>
      </c>
      <c r="P138">
        <v>0</v>
      </c>
      <c r="Q138">
        <v>0</v>
      </c>
      <c r="R138">
        <v>1</v>
      </c>
      <c r="S138" t="s">
        <v>94</v>
      </c>
      <c r="T138">
        <v>1</v>
      </c>
      <c r="V138">
        <f t="shared" si="7"/>
        <v>0</v>
      </c>
      <c r="W138" t="str">
        <f t="shared" si="8"/>
        <v>Missed</v>
      </c>
    </row>
    <row r="139" spans="1:23" x14ac:dyDescent="0.2">
      <c r="A139">
        <v>7612700009</v>
      </c>
      <c r="B139">
        <v>546</v>
      </c>
      <c r="C139" t="s">
        <v>168</v>
      </c>
      <c r="D139" t="s">
        <v>169</v>
      </c>
      <c r="E139" t="s">
        <v>159</v>
      </c>
      <c r="F139" t="s">
        <v>254</v>
      </c>
      <c r="G139" t="s">
        <v>359</v>
      </c>
      <c r="H139">
        <v>1</v>
      </c>
      <c r="I139" t="s">
        <v>594</v>
      </c>
      <c r="J139" s="39">
        <v>46149.588761574101</v>
      </c>
      <c r="K139" s="39">
        <v>46149</v>
      </c>
      <c r="L139" t="str">
        <f t="shared" si="6"/>
        <v>2026-05</v>
      </c>
      <c r="M139" t="s">
        <v>595</v>
      </c>
      <c r="N139">
        <v>0</v>
      </c>
      <c r="O139">
        <v>1.47</v>
      </c>
      <c r="P139">
        <v>1</v>
      </c>
      <c r="Q139">
        <v>1</v>
      </c>
      <c r="R139">
        <v>1</v>
      </c>
      <c r="S139" t="s">
        <v>94</v>
      </c>
      <c r="T139">
        <v>2</v>
      </c>
      <c r="U139">
        <v>1</v>
      </c>
      <c r="V139">
        <f t="shared" si="7"/>
        <v>1</v>
      </c>
      <c r="W139" t="str">
        <f t="shared" si="8"/>
        <v>Met</v>
      </c>
    </row>
    <row r="140" spans="1:23" x14ac:dyDescent="0.2">
      <c r="A140">
        <v>7613200075</v>
      </c>
      <c r="B140">
        <v>563</v>
      </c>
      <c r="C140" t="s">
        <v>174</v>
      </c>
      <c r="D140" t="s">
        <v>175</v>
      </c>
      <c r="E140" t="s">
        <v>159</v>
      </c>
      <c r="F140" t="s">
        <v>450</v>
      </c>
      <c r="G140" t="s">
        <v>449</v>
      </c>
      <c r="H140">
        <v>1</v>
      </c>
      <c r="I140" t="s">
        <v>596</v>
      </c>
      <c r="J140" s="39">
        <v>46154.620787036998</v>
      </c>
      <c r="K140" s="39">
        <v>46154</v>
      </c>
      <c r="L140" t="str">
        <f t="shared" si="6"/>
        <v>2026-05</v>
      </c>
      <c r="M140" t="s">
        <v>595</v>
      </c>
      <c r="N140">
        <v>12</v>
      </c>
      <c r="O140">
        <v>5.53</v>
      </c>
      <c r="P140">
        <v>1</v>
      </c>
      <c r="Q140">
        <v>1</v>
      </c>
      <c r="R140">
        <v>1</v>
      </c>
      <c r="S140" t="s">
        <v>94</v>
      </c>
      <c r="T140">
        <v>2</v>
      </c>
      <c r="U140">
        <v>1</v>
      </c>
      <c r="V140">
        <f t="shared" si="7"/>
        <v>1</v>
      </c>
      <c r="W140" t="str">
        <f t="shared" si="8"/>
        <v>Met</v>
      </c>
    </row>
    <row r="141" spans="1:23" x14ac:dyDescent="0.2">
      <c r="A141">
        <v>7617902771</v>
      </c>
      <c r="B141">
        <v>524</v>
      </c>
      <c r="C141" t="s">
        <v>137</v>
      </c>
      <c r="D141" t="s">
        <v>138</v>
      </c>
      <c r="E141" t="s">
        <v>134</v>
      </c>
      <c r="F141" t="s">
        <v>294</v>
      </c>
      <c r="G141" t="s">
        <v>293</v>
      </c>
      <c r="H141">
        <v>1</v>
      </c>
      <c r="I141" t="s">
        <v>596</v>
      </c>
      <c r="J141" s="39">
        <v>46200.867488425902</v>
      </c>
      <c r="K141" s="39">
        <v>46201</v>
      </c>
      <c r="L141" t="str">
        <f t="shared" si="6"/>
        <v>2026-06</v>
      </c>
      <c r="M141" t="s">
        <v>595</v>
      </c>
      <c r="N141">
        <v>12</v>
      </c>
      <c r="O141">
        <v>11.6</v>
      </c>
      <c r="P141">
        <v>1</v>
      </c>
      <c r="Q141">
        <v>1</v>
      </c>
      <c r="R141">
        <v>1</v>
      </c>
      <c r="S141" t="s">
        <v>94</v>
      </c>
      <c r="T141">
        <v>2</v>
      </c>
      <c r="U141">
        <v>1</v>
      </c>
      <c r="V141">
        <f t="shared" si="7"/>
        <v>1</v>
      </c>
      <c r="W141" t="str">
        <f t="shared" si="8"/>
        <v>Met</v>
      </c>
    </row>
    <row r="142" spans="1:23" x14ac:dyDescent="0.2">
      <c r="A142">
        <v>7533002901</v>
      </c>
      <c r="B142">
        <v>545</v>
      </c>
      <c r="C142" t="s">
        <v>166</v>
      </c>
      <c r="D142" t="s">
        <v>167</v>
      </c>
      <c r="E142" t="s">
        <v>159</v>
      </c>
      <c r="F142" t="s">
        <v>396</v>
      </c>
      <c r="G142" t="s">
        <v>395</v>
      </c>
      <c r="H142">
        <v>2</v>
      </c>
      <c r="I142" t="s">
        <v>596</v>
      </c>
      <c r="J142" s="39">
        <v>45987.361226851899</v>
      </c>
      <c r="K142" s="39">
        <v>45991</v>
      </c>
      <c r="L142" t="str">
        <f t="shared" si="6"/>
        <v>2025-11</v>
      </c>
      <c r="M142" t="s">
        <v>595</v>
      </c>
      <c r="N142">
        <v>16</v>
      </c>
      <c r="O142">
        <v>105.53</v>
      </c>
      <c r="P142">
        <v>0</v>
      </c>
      <c r="Q142">
        <v>0</v>
      </c>
      <c r="R142">
        <v>0</v>
      </c>
      <c r="S142" t="s">
        <v>95</v>
      </c>
      <c r="T142">
        <v>0</v>
      </c>
      <c r="V142" t="str">
        <f t="shared" si="7"/>
        <v/>
      </c>
      <c r="W142" t="str">
        <f t="shared" si="8"/>
        <v>Not Eligible</v>
      </c>
    </row>
    <row r="143" spans="1:23" x14ac:dyDescent="0.2">
      <c r="A143">
        <v>7600619523</v>
      </c>
      <c r="B143">
        <v>642</v>
      </c>
      <c r="C143" t="s">
        <v>199</v>
      </c>
      <c r="D143" t="s">
        <v>200</v>
      </c>
      <c r="E143" t="s">
        <v>178</v>
      </c>
      <c r="F143" t="s">
        <v>268</v>
      </c>
      <c r="G143" t="s">
        <v>267</v>
      </c>
      <c r="H143">
        <v>1</v>
      </c>
      <c r="I143" t="s">
        <v>596</v>
      </c>
      <c r="J143" s="39">
        <v>46028.542766203696</v>
      </c>
      <c r="K143" s="39">
        <v>46028</v>
      </c>
      <c r="L143" t="str">
        <f t="shared" si="6"/>
        <v>2026-01</v>
      </c>
      <c r="M143" t="s">
        <v>595</v>
      </c>
      <c r="N143">
        <v>12</v>
      </c>
      <c r="O143">
        <v>2.65</v>
      </c>
      <c r="P143">
        <v>1</v>
      </c>
      <c r="Q143">
        <v>1</v>
      </c>
      <c r="R143">
        <v>1</v>
      </c>
      <c r="S143" t="s">
        <v>94</v>
      </c>
      <c r="T143">
        <v>2</v>
      </c>
      <c r="U143">
        <v>1</v>
      </c>
      <c r="V143">
        <f t="shared" si="7"/>
        <v>1</v>
      </c>
      <c r="W143" t="str">
        <f t="shared" si="8"/>
        <v>Met</v>
      </c>
    </row>
    <row r="144" spans="1:23" x14ac:dyDescent="0.2">
      <c r="A144">
        <v>7600701669</v>
      </c>
      <c r="B144">
        <v>635</v>
      </c>
      <c r="C144" t="s">
        <v>188</v>
      </c>
      <c r="D144" t="s">
        <v>189</v>
      </c>
      <c r="E144" t="s">
        <v>181</v>
      </c>
      <c r="F144" t="s">
        <v>384</v>
      </c>
      <c r="G144" t="s">
        <v>383</v>
      </c>
      <c r="H144">
        <v>2</v>
      </c>
      <c r="I144" t="s">
        <v>596</v>
      </c>
      <c r="J144" s="39">
        <v>46028.755462963003</v>
      </c>
      <c r="K144" s="39">
        <v>46030</v>
      </c>
      <c r="L144" t="str">
        <f t="shared" si="6"/>
        <v>2026-01</v>
      </c>
      <c r="M144" t="s">
        <v>595</v>
      </c>
      <c r="N144">
        <v>16</v>
      </c>
      <c r="O144">
        <v>47.37</v>
      </c>
      <c r="P144">
        <v>0</v>
      </c>
      <c r="Q144">
        <v>0</v>
      </c>
      <c r="R144">
        <v>1</v>
      </c>
      <c r="S144" t="s">
        <v>94</v>
      </c>
      <c r="T144">
        <v>1</v>
      </c>
      <c r="V144">
        <f t="shared" si="7"/>
        <v>0</v>
      </c>
      <c r="W144" t="str">
        <f t="shared" si="8"/>
        <v>Missed</v>
      </c>
    </row>
    <row r="145" spans="1:23" x14ac:dyDescent="0.2">
      <c r="A145">
        <v>7528502232</v>
      </c>
      <c r="B145">
        <v>494</v>
      </c>
      <c r="C145" t="s">
        <v>118</v>
      </c>
      <c r="D145" t="s">
        <v>119</v>
      </c>
      <c r="E145" t="s">
        <v>111</v>
      </c>
      <c r="F145" t="s">
        <v>302</v>
      </c>
      <c r="G145" t="s">
        <v>301</v>
      </c>
      <c r="H145">
        <v>2</v>
      </c>
      <c r="I145" t="s">
        <v>596</v>
      </c>
      <c r="J145" s="39">
        <v>45942.595254629603</v>
      </c>
      <c r="K145" s="39">
        <v>45943</v>
      </c>
      <c r="L145" t="str">
        <f t="shared" si="6"/>
        <v>2025-10</v>
      </c>
      <c r="M145" t="s">
        <v>595</v>
      </c>
      <c r="N145">
        <v>16</v>
      </c>
      <c r="O145">
        <v>26.28</v>
      </c>
      <c r="P145">
        <v>1</v>
      </c>
      <c r="Q145">
        <v>1</v>
      </c>
      <c r="R145">
        <v>1</v>
      </c>
      <c r="S145" t="s">
        <v>95</v>
      </c>
      <c r="T145">
        <v>0</v>
      </c>
      <c r="V145">
        <f t="shared" si="7"/>
        <v>1</v>
      </c>
      <c r="W145" t="str">
        <f t="shared" si="8"/>
        <v>Met</v>
      </c>
    </row>
    <row r="146" spans="1:23" x14ac:dyDescent="0.2">
      <c r="A146">
        <v>7609301223</v>
      </c>
      <c r="B146">
        <v>562</v>
      </c>
      <c r="C146" t="s">
        <v>172</v>
      </c>
      <c r="D146" t="s">
        <v>173</v>
      </c>
      <c r="E146" t="s">
        <v>159</v>
      </c>
      <c r="F146" t="s">
        <v>306</v>
      </c>
      <c r="G146" t="s">
        <v>325</v>
      </c>
      <c r="H146">
        <v>2</v>
      </c>
      <c r="I146" t="s">
        <v>594</v>
      </c>
      <c r="J146" s="39">
        <v>46115.631782407399</v>
      </c>
      <c r="K146" s="39">
        <v>46115</v>
      </c>
      <c r="L146" t="str">
        <f t="shared" si="6"/>
        <v>2026-04</v>
      </c>
      <c r="M146" t="s">
        <v>595</v>
      </c>
      <c r="N146">
        <v>0</v>
      </c>
      <c r="O146">
        <v>3.38</v>
      </c>
      <c r="P146">
        <v>1</v>
      </c>
      <c r="Q146">
        <v>1</v>
      </c>
      <c r="R146">
        <v>1</v>
      </c>
      <c r="S146" t="s">
        <v>94</v>
      </c>
      <c r="T146">
        <v>2</v>
      </c>
      <c r="U146">
        <v>1</v>
      </c>
      <c r="V146">
        <f t="shared" si="7"/>
        <v>1</v>
      </c>
      <c r="W146" t="str">
        <f t="shared" si="8"/>
        <v>Met</v>
      </c>
    </row>
    <row r="147" spans="1:23" x14ac:dyDescent="0.2">
      <c r="A147">
        <v>7612005838</v>
      </c>
      <c r="B147">
        <v>496</v>
      </c>
      <c r="C147" t="s">
        <v>122</v>
      </c>
      <c r="D147" t="s">
        <v>123</v>
      </c>
      <c r="E147" t="s">
        <v>124</v>
      </c>
      <c r="F147" t="s">
        <v>270</v>
      </c>
      <c r="G147" t="s">
        <v>269</v>
      </c>
      <c r="H147">
        <v>2</v>
      </c>
      <c r="I147" t="s">
        <v>596</v>
      </c>
      <c r="J147" s="39">
        <v>46142.530659722201</v>
      </c>
      <c r="K147" s="39">
        <v>46142</v>
      </c>
      <c r="L147" t="str">
        <f t="shared" si="6"/>
        <v>2026-04</v>
      </c>
      <c r="M147" t="s">
        <v>595</v>
      </c>
      <c r="N147">
        <v>0</v>
      </c>
      <c r="O147">
        <v>4.0199999999999996</v>
      </c>
      <c r="P147">
        <v>1</v>
      </c>
      <c r="Q147">
        <v>1</v>
      </c>
      <c r="R147">
        <v>1</v>
      </c>
      <c r="S147" t="s">
        <v>94</v>
      </c>
      <c r="T147">
        <v>2</v>
      </c>
      <c r="U147">
        <v>1</v>
      </c>
      <c r="V147">
        <f t="shared" si="7"/>
        <v>1</v>
      </c>
      <c r="W147" t="str">
        <f t="shared" si="8"/>
        <v>Met</v>
      </c>
    </row>
    <row r="148" spans="1:23" x14ac:dyDescent="0.2">
      <c r="A148">
        <v>7617101156</v>
      </c>
      <c r="B148">
        <v>522</v>
      </c>
      <c r="C148" t="s">
        <v>132</v>
      </c>
      <c r="D148" t="s">
        <v>133</v>
      </c>
      <c r="E148" t="s">
        <v>134</v>
      </c>
      <c r="F148" t="s">
        <v>345</v>
      </c>
      <c r="G148" t="s">
        <v>344</v>
      </c>
      <c r="H148">
        <v>2</v>
      </c>
      <c r="I148" t="s">
        <v>596</v>
      </c>
      <c r="J148" s="39">
        <v>46193.653587963003</v>
      </c>
      <c r="K148" s="39">
        <v>46194</v>
      </c>
      <c r="L148" t="str">
        <f t="shared" si="6"/>
        <v>2026-06</v>
      </c>
      <c r="M148" t="s">
        <v>595</v>
      </c>
      <c r="N148">
        <v>16</v>
      </c>
      <c r="O148">
        <v>19.3</v>
      </c>
      <c r="P148">
        <v>1</v>
      </c>
      <c r="Q148">
        <v>1</v>
      </c>
      <c r="R148">
        <v>1</v>
      </c>
      <c r="S148" t="s">
        <v>94</v>
      </c>
      <c r="T148">
        <v>2</v>
      </c>
      <c r="U148">
        <v>1</v>
      </c>
      <c r="V148">
        <f t="shared" si="7"/>
        <v>1</v>
      </c>
      <c r="W148" t="str">
        <f t="shared" si="8"/>
        <v>Met</v>
      </c>
    </row>
    <row r="149" spans="1:23" x14ac:dyDescent="0.2">
      <c r="A149">
        <v>7522903316</v>
      </c>
      <c r="B149">
        <v>543</v>
      </c>
      <c r="C149" t="s">
        <v>162</v>
      </c>
      <c r="D149" t="s">
        <v>163</v>
      </c>
      <c r="E149" t="s">
        <v>159</v>
      </c>
      <c r="F149" t="s">
        <v>327</v>
      </c>
      <c r="G149" t="s">
        <v>326</v>
      </c>
      <c r="H149">
        <v>1</v>
      </c>
      <c r="I149" t="s">
        <v>596</v>
      </c>
      <c r="J149" s="39">
        <v>45886.544930555603</v>
      </c>
      <c r="K149" s="39">
        <v>45889</v>
      </c>
      <c r="L149" t="str">
        <f t="shared" si="6"/>
        <v>2025-08</v>
      </c>
      <c r="M149" t="s">
        <v>595</v>
      </c>
      <c r="N149">
        <v>12</v>
      </c>
      <c r="O149">
        <v>73.17</v>
      </c>
      <c r="P149">
        <v>0</v>
      </c>
      <c r="Q149">
        <v>0</v>
      </c>
      <c r="R149">
        <v>1</v>
      </c>
      <c r="S149" t="s">
        <v>95</v>
      </c>
      <c r="T149">
        <v>0</v>
      </c>
      <c r="V149">
        <f t="shared" si="7"/>
        <v>0</v>
      </c>
      <c r="W149" t="str">
        <f t="shared" si="8"/>
        <v>Missed</v>
      </c>
    </row>
    <row r="150" spans="1:23" x14ac:dyDescent="0.2">
      <c r="A150">
        <v>7617414032</v>
      </c>
      <c r="B150">
        <v>537</v>
      </c>
      <c r="C150" t="s">
        <v>156</v>
      </c>
      <c r="D150" t="s">
        <v>157</v>
      </c>
      <c r="E150" t="s">
        <v>134</v>
      </c>
      <c r="F150" t="s">
        <v>300</v>
      </c>
      <c r="G150" t="s">
        <v>362</v>
      </c>
      <c r="H150">
        <v>2</v>
      </c>
      <c r="I150" t="s">
        <v>594</v>
      </c>
      <c r="J150" s="39">
        <v>46196.386493055601</v>
      </c>
      <c r="K150" s="39">
        <v>46196</v>
      </c>
      <c r="L150" t="str">
        <f t="shared" si="6"/>
        <v>2026-06</v>
      </c>
      <c r="M150" t="s">
        <v>595</v>
      </c>
      <c r="N150">
        <v>16</v>
      </c>
      <c r="O150">
        <v>9.15</v>
      </c>
      <c r="P150">
        <v>0</v>
      </c>
      <c r="Q150">
        <v>0</v>
      </c>
      <c r="R150">
        <v>0</v>
      </c>
      <c r="S150" t="s">
        <v>94</v>
      </c>
      <c r="T150">
        <v>2</v>
      </c>
      <c r="U150">
        <v>1</v>
      </c>
      <c r="V150" t="str">
        <f t="shared" si="7"/>
        <v/>
      </c>
      <c r="W150" t="str">
        <f t="shared" si="8"/>
        <v>Not Eligible</v>
      </c>
    </row>
    <row r="151" spans="1:23" x14ac:dyDescent="0.2">
      <c r="A151">
        <v>7526204864</v>
      </c>
      <c r="B151">
        <v>448</v>
      </c>
      <c r="C151" t="s">
        <v>109</v>
      </c>
      <c r="D151" t="s">
        <v>110</v>
      </c>
      <c r="E151" t="s">
        <v>111</v>
      </c>
      <c r="F151" t="s">
        <v>262</v>
      </c>
      <c r="G151" t="s">
        <v>261</v>
      </c>
      <c r="H151">
        <v>2</v>
      </c>
      <c r="I151" t="s">
        <v>594</v>
      </c>
      <c r="J151" s="39">
        <v>45919.577418981498</v>
      </c>
      <c r="K151" s="39">
        <v>45920</v>
      </c>
      <c r="L151" t="str">
        <f t="shared" si="6"/>
        <v>2025-09</v>
      </c>
      <c r="M151" t="s">
        <v>595</v>
      </c>
      <c r="N151">
        <v>16</v>
      </c>
      <c r="O151">
        <v>28.68</v>
      </c>
      <c r="P151">
        <v>0</v>
      </c>
      <c r="Q151">
        <v>0</v>
      </c>
      <c r="R151">
        <v>0</v>
      </c>
      <c r="S151" t="s">
        <v>95</v>
      </c>
      <c r="T151">
        <v>0</v>
      </c>
      <c r="V151" t="str">
        <f t="shared" si="7"/>
        <v/>
      </c>
      <c r="W151" t="str">
        <f t="shared" si="8"/>
        <v>Not Eligible</v>
      </c>
    </row>
    <row r="152" spans="1:23" x14ac:dyDescent="0.2">
      <c r="A152">
        <v>7529606402</v>
      </c>
      <c r="B152">
        <v>491</v>
      </c>
      <c r="C152" t="s">
        <v>112</v>
      </c>
      <c r="D152" t="s">
        <v>113</v>
      </c>
      <c r="E152" t="s">
        <v>111</v>
      </c>
      <c r="F152" t="s">
        <v>262</v>
      </c>
      <c r="G152" t="s">
        <v>261</v>
      </c>
      <c r="H152">
        <v>2</v>
      </c>
      <c r="I152" t="s">
        <v>594</v>
      </c>
      <c r="J152" s="39">
        <v>45953.345138888901</v>
      </c>
      <c r="K152" s="39">
        <v>45956</v>
      </c>
      <c r="L152" t="str">
        <f t="shared" si="6"/>
        <v>2025-10</v>
      </c>
      <c r="M152" t="s">
        <v>595</v>
      </c>
      <c r="N152">
        <v>16</v>
      </c>
      <c r="O152">
        <v>85.28</v>
      </c>
      <c r="P152">
        <v>0</v>
      </c>
      <c r="Q152">
        <v>0</v>
      </c>
      <c r="R152">
        <v>0</v>
      </c>
      <c r="S152" t="s">
        <v>95</v>
      </c>
      <c r="T152">
        <v>0</v>
      </c>
      <c r="V152" t="str">
        <f t="shared" si="7"/>
        <v/>
      </c>
      <c r="W152" t="str">
        <f t="shared" si="8"/>
        <v>Not Eligible</v>
      </c>
    </row>
    <row r="153" spans="1:23" x14ac:dyDescent="0.2">
      <c r="A153">
        <v>7618001041</v>
      </c>
      <c r="B153">
        <v>649</v>
      </c>
      <c r="C153" t="s">
        <v>211</v>
      </c>
      <c r="D153" t="s">
        <v>212</v>
      </c>
      <c r="E153" t="s">
        <v>178</v>
      </c>
      <c r="F153" t="s">
        <v>282</v>
      </c>
      <c r="G153" t="s">
        <v>281</v>
      </c>
      <c r="H153">
        <v>2</v>
      </c>
      <c r="I153" t="s">
        <v>594</v>
      </c>
      <c r="J153" s="39">
        <v>46202.644247685203</v>
      </c>
      <c r="K153" s="39">
        <v>46203</v>
      </c>
      <c r="L153" t="str">
        <f t="shared" si="6"/>
        <v>2026-06</v>
      </c>
      <c r="M153" t="s">
        <v>595</v>
      </c>
      <c r="N153">
        <v>16</v>
      </c>
      <c r="O153">
        <v>17.850000000000001</v>
      </c>
      <c r="P153">
        <v>0</v>
      </c>
      <c r="Q153">
        <v>0</v>
      </c>
      <c r="R153">
        <v>0</v>
      </c>
      <c r="S153" t="s">
        <v>94</v>
      </c>
      <c r="T153">
        <v>2</v>
      </c>
      <c r="U153">
        <v>1</v>
      </c>
      <c r="V153" t="str">
        <f t="shared" si="7"/>
        <v/>
      </c>
      <c r="W153" t="str">
        <f t="shared" si="8"/>
        <v>Not Eligible</v>
      </c>
    </row>
    <row r="154" spans="1:23" x14ac:dyDescent="0.2">
      <c r="A154">
        <v>7529400408</v>
      </c>
      <c r="B154">
        <v>925</v>
      </c>
      <c r="C154" t="s">
        <v>233</v>
      </c>
      <c r="D154" t="s">
        <v>234</v>
      </c>
      <c r="E154" t="s">
        <v>226</v>
      </c>
      <c r="F154" t="s">
        <v>278</v>
      </c>
      <c r="G154" t="s">
        <v>277</v>
      </c>
      <c r="H154">
        <v>2</v>
      </c>
      <c r="I154" t="s">
        <v>594</v>
      </c>
      <c r="J154" s="39">
        <v>45951.750289351898</v>
      </c>
      <c r="K154" s="39">
        <v>45953</v>
      </c>
      <c r="L154" t="str">
        <f t="shared" si="6"/>
        <v>2025-10</v>
      </c>
      <c r="M154" t="s">
        <v>595</v>
      </c>
      <c r="N154">
        <v>16</v>
      </c>
      <c r="O154">
        <v>42.42</v>
      </c>
      <c r="P154">
        <v>0</v>
      </c>
      <c r="Q154">
        <v>0</v>
      </c>
      <c r="R154">
        <v>0</v>
      </c>
      <c r="S154" t="s">
        <v>94</v>
      </c>
      <c r="T154">
        <v>1</v>
      </c>
      <c r="V154" t="str">
        <f t="shared" si="7"/>
        <v/>
      </c>
      <c r="W154" t="str">
        <f t="shared" si="8"/>
        <v>Not Eligible</v>
      </c>
    </row>
    <row r="155" spans="1:23" x14ac:dyDescent="0.2">
      <c r="A155">
        <v>7529209222</v>
      </c>
      <c r="B155">
        <v>494</v>
      </c>
      <c r="C155" t="s">
        <v>118</v>
      </c>
      <c r="D155" t="s">
        <v>119</v>
      </c>
      <c r="E155" t="s">
        <v>111</v>
      </c>
      <c r="F155" t="s">
        <v>274</v>
      </c>
      <c r="G155" t="s">
        <v>273</v>
      </c>
      <c r="H155">
        <v>2</v>
      </c>
      <c r="I155" t="s">
        <v>596</v>
      </c>
      <c r="J155" s="39">
        <v>45949.462175925903</v>
      </c>
      <c r="K155" s="39">
        <v>45950</v>
      </c>
      <c r="L155" t="str">
        <f t="shared" si="6"/>
        <v>2025-10</v>
      </c>
      <c r="M155" t="s">
        <v>595</v>
      </c>
      <c r="N155">
        <v>16</v>
      </c>
      <c r="O155">
        <v>26.22</v>
      </c>
      <c r="P155">
        <v>1</v>
      </c>
      <c r="Q155">
        <v>1</v>
      </c>
      <c r="R155">
        <v>1</v>
      </c>
      <c r="S155" t="s">
        <v>95</v>
      </c>
      <c r="T155">
        <v>0</v>
      </c>
      <c r="V155">
        <f t="shared" si="7"/>
        <v>1</v>
      </c>
      <c r="W155" t="str">
        <f t="shared" si="8"/>
        <v>Met</v>
      </c>
    </row>
    <row r="156" spans="1:23" x14ac:dyDescent="0.2">
      <c r="A156">
        <v>7523303552</v>
      </c>
      <c r="B156">
        <v>962</v>
      </c>
      <c r="C156" t="s">
        <v>244</v>
      </c>
      <c r="D156" t="s">
        <v>245</v>
      </c>
      <c r="E156" t="s">
        <v>246</v>
      </c>
      <c r="F156" t="s">
        <v>394</v>
      </c>
      <c r="G156" t="s">
        <v>393</v>
      </c>
      <c r="H156">
        <v>2</v>
      </c>
      <c r="I156" t="s">
        <v>596</v>
      </c>
      <c r="J156" s="39">
        <v>45890.404502314799</v>
      </c>
      <c r="K156" s="39">
        <v>45890</v>
      </c>
      <c r="L156" t="str">
        <f t="shared" si="6"/>
        <v>2025-08</v>
      </c>
      <c r="M156" t="s">
        <v>595</v>
      </c>
      <c r="N156">
        <v>16</v>
      </c>
      <c r="O156">
        <v>5.8</v>
      </c>
      <c r="P156">
        <v>1</v>
      </c>
      <c r="Q156">
        <v>1</v>
      </c>
      <c r="R156">
        <v>1</v>
      </c>
      <c r="S156" t="s">
        <v>95</v>
      </c>
      <c r="T156">
        <v>0</v>
      </c>
      <c r="V156">
        <f t="shared" si="7"/>
        <v>1</v>
      </c>
      <c r="W156" t="str">
        <f t="shared" si="8"/>
        <v>Met</v>
      </c>
    </row>
    <row r="157" spans="1:23" x14ac:dyDescent="0.2">
      <c r="A157">
        <v>7527700470</v>
      </c>
      <c r="B157">
        <v>645</v>
      </c>
      <c r="C157" t="s">
        <v>205</v>
      </c>
      <c r="D157" t="s">
        <v>206</v>
      </c>
      <c r="E157" t="s">
        <v>178</v>
      </c>
      <c r="F157" t="s">
        <v>320</v>
      </c>
      <c r="G157" t="s">
        <v>319</v>
      </c>
      <c r="H157">
        <v>2</v>
      </c>
      <c r="I157" t="s">
        <v>596</v>
      </c>
      <c r="J157" s="39">
        <v>45933.837847222203</v>
      </c>
      <c r="K157" s="39">
        <v>45934</v>
      </c>
      <c r="L157" t="str">
        <f t="shared" si="6"/>
        <v>2025-10</v>
      </c>
      <c r="M157" t="s">
        <v>595</v>
      </c>
      <c r="N157">
        <v>16</v>
      </c>
      <c r="O157">
        <v>14.98</v>
      </c>
      <c r="P157">
        <v>1</v>
      </c>
      <c r="Q157">
        <v>1</v>
      </c>
      <c r="R157">
        <v>1</v>
      </c>
      <c r="S157" t="s">
        <v>95</v>
      </c>
      <c r="T157">
        <v>0</v>
      </c>
      <c r="V157">
        <f t="shared" si="7"/>
        <v>1</v>
      </c>
      <c r="W157" t="str">
        <f t="shared" si="8"/>
        <v>Met</v>
      </c>
    </row>
    <row r="158" spans="1:23" x14ac:dyDescent="0.2">
      <c r="A158">
        <v>7530800762</v>
      </c>
      <c r="B158">
        <v>632</v>
      </c>
      <c r="C158" t="s">
        <v>182</v>
      </c>
      <c r="D158" t="s">
        <v>183</v>
      </c>
      <c r="E158" t="s">
        <v>181</v>
      </c>
      <c r="F158" t="s">
        <v>428</v>
      </c>
      <c r="G158" t="s">
        <v>427</v>
      </c>
      <c r="H158">
        <v>1</v>
      </c>
      <c r="I158" t="s">
        <v>596</v>
      </c>
      <c r="J158" s="39">
        <v>45964.762048611097</v>
      </c>
      <c r="K158" s="39">
        <v>45964</v>
      </c>
      <c r="L158" t="str">
        <f t="shared" si="6"/>
        <v>2025-11</v>
      </c>
      <c r="M158" t="s">
        <v>595</v>
      </c>
      <c r="N158">
        <v>12</v>
      </c>
      <c r="O158">
        <v>0.55000000000000004</v>
      </c>
      <c r="P158">
        <v>0</v>
      </c>
      <c r="Q158">
        <v>0</v>
      </c>
      <c r="R158">
        <v>0</v>
      </c>
      <c r="S158" t="s">
        <v>95</v>
      </c>
      <c r="T158">
        <v>0</v>
      </c>
      <c r="V158" t="str">
        <f t="shared" si="7"/>
        <v/>
      </c>
      <c r="W158" t="str">
        <f t="shared" si="8"/>
        <v>Not Eligible</v>
      </c>
    </row>
    <row r="159" spans="1:23" x14ac:dyDescent="0.2">
      <c r="A159">
        <v>7611004650</v>
      </c>
      <c r="B159">
        <v>522</v>
      </c>
      <c r="C159" t="s">
        <v>132</v>
      </c>
      <c r="D159" t="s">
        <v>133</v>
      </c>
      <c r="E159" t="s">
        <v>134</v>
      </c>
      <c r="F159" t="s">
        <v>260</v>
      </c>
      <c r="G159" t="s">
        <v>259</v>
      </c>
      <c r="H159">
        <v>1</v>
      </c>
      <c r="I159" t="s">
        <v>596</v>
      </c>
      <c r="J159" s="39">
        <v>46132.419247685197</v>
      </c>
      <c r="K159" s="39">
        <v>46132</v>
      </c>
      <c r="L159" t="str">
        <f t="shared" si="6"/>
        <v>2026-04</v>
      </c>
      <c r="M159" t="s">
        <v>595</v>
      </c>
      <c r="N159">
        <v>0</v>
      </c>
      <c r="O159">
        <v>7.1</v>
      </c>
      <c r="P159">
        <v>1</v>
      </c>
      <c r="Q159">
        <v>1</v>
      </c>
      <c r="R159">
        <v>1</v>
      </c>
      <c r="S159" t="s">
        <v>94</v>
      </c>
      <c r="T159">
        <v>2</v>
      </c>
      <c r="U159">
        <v>1</v>
      </c>
      <c r="V159">
        <f t="shared" si="7"/>
        <v>1</v>
      </c>
      <c r="W159" t="str">
        <f t="shared" si="8"/>
        <v>Met</v>
      </c>
    </row>
    <row r="160" spans="1:23" x14ac:dyDescent="0.2">
      <c r="A160">
        <v>7620906361</v>
      </c>
      <c r="B160">
        <v>493</v>
      </c>
      <c r="C160" t="s">
        <v>116</v>
      </c>
      <c r="D160" t="s">
        <v>117</v>
      </c>
      <c r="E160" t="s">
        <v>111</v>
      </c>
      <c r="F160" t="s">
        <v>290</v>
      </c>
      <c r="G160" t="s">
        <v>289</v>
      </c>
      <c r="H160">
        <v>2</v>
      </c>
      <c r="I160" t="s">
        <v>594</v>
      </c>
      <c r="J160" s="39">
        <v>46230.918159722198</v>
      </c>
      <c r="K160" s="39">
        <v>46231</v>
      </c>
      <c r="L160" t="str">
        <f t="shared" si="6"/>
        <v>2026-07</v>
      </c>
      <c r="M160" t="s">
        <v>595</v>
      </c>
      <c r="N160">
        <v>16</v>
      </c>
      <c r="O160">
        <v>17.43</v>
      </c>
      <c r="P160">
        <v>0</v>
      </c>
      <c r="Q160">
        <v>0</v>
      </c>
      <c r="R160">
        <v>0</v>
      </c>
      <c r="S160" t="s">
        <v>94</v>
      </c>
      <c r="T160">
        <v>2</v>
      </c>
      <c r="U160">
        <v>1</v>
      </c>
      <c r="V160" t="str">
        <f t="shared" si="7"/>
        <v/>
      </c>
      <c r="W160" t="str">
        <f t="shared" si="8"/>
        <v>Not Eligible</v>
      </c>
    </row>
    <row r="161" spans="1:23" x14ac:dyDescent="0.2">
      <c r="A161">
        <v>7536304574</v>
      </c>
      <c r="B161">
        <v>499</v>
      </c>
      <c r="C161" t="s">
        <v>129</v>
      </c>
      <c r="D161" t="s">
        <v>130</v>
      </c>
      <c r="E161" t="s">
        <v>131</v>
      </c>
      <c r="F161" t="s">
        <v>370</v>
      </c>
      <c r="G161" t="s">
        <v>369</v>
      </c>
      <c r="H161">
        <v>2</v>
      </c>
      <c r="I161" t="s">
        <v>596</v>
      </c>
      <c r="J161" s="39">
        <v>46019.874652777798</v>
      </c>
      <c r="K161" s="39">
        <v>46020</v>
      </c>
      <c r="L161" t="str">
        <f t="shared" si="6"/>
        <v>2025-12</v>
      </c>
      <c r="M161" t="s">
        <v>595</v>
      </c>
      <c r="N161">
        <v>16</v>
      </c>
      <c r="O161">
        <v>10.87</v>
      </c>
      <c r="P161">
        <v>1</v>
      </c>
      <c r="Q161">
        <v>1</v>
      </c>
      <c r="R161">
        <v>1</v>
      </c>
      <c r="S161" t="s">
        <v>95</v>
      </c>
      <c r="T161">
        <v>0</v>
      </c>
      <c r="V161">
        <f t="shared" si="7"/>
        <v>1</v>
      </c>
      <c r="W161" t="str">
        <f t="shared" si="8"/>
        <v>Met</v>
      </c>
    </row>
    <row r="162" spans="1:23" x14ac:dyDescent="0.2">
      <c r="A162">
        <v>7609800379</v>
      </c>
      <c r="B162">
        <v>929</v>
      </c>
      <c r="C162" t="s">
        <v>240</v>
      </c>
      <c r="D162" t="s">
        <v>241</v>
      </c>
      <c r="E162" t="s">
        <v>226</v>
      </c>
      <c r="F162" t="s">
        <v>288</v>
      </c>
      <c r="G162" t="s">
        <v>287</v>
      </c>
      <c r="H162">
        <v>2</v>
      </c>
      <c r="I162" t="s">
        <v>594</v>
      </c>
      <c r="J162" s="39">
        <v>46120.722037036998</v>
      </c>
      <c r="K162" s="39">
        <v>46121</v>
      </c>
      <c r="L162" t="str">
        <f t="shared" si="6"/>
        <v>2026-04</v>
      </c>
      <c r="M162" t="s">
        <v>595</v>
      </c>
      <c r="N162">
        <v>0</v>
      </c>
      <c r="O162">
        <v>18.57</v>
      </c>
      <c r="P162">
        <v>1</v>
      </c>
      <c r="Q162">
        <v>1</v>
      </c>
      <c r="R162">
        <v>1</v>
      </c>
      <c r="S162" t="s">
        <v>94</v>
      </c>
      <c r="T162">
        <v>1</v>
      </c>
      <c r="V162">
        <f t="shared" si="7"/>
        <v>1</v>
      </c>
      <c r="W162" t="str">
        <f t="shared" si="8"/>
        <v>Met</v>
      </c>
    </row>
    <row r="163" spans="1:23" x14ac:dyDescent="0.2">
      <c r="A163">
        <v>7526306736</v>
      </c>
      <c r="B163">
        <v>643</v>
      </c>
      <c r="C163" t="s">
        <v>201</v>
      </c>
      <c r="D163" t="s">
        <v>202</v>
      </c>
      <c r="E163" t="s">
        <v>178</v>
      </c>
      <c r="F163" t="s">
        <v>298</v>
      </c>
      <c r="G163" t="s">
        <v>297</v>
      </c>
      <c r="H163">
        <v>2</v>
      </c>
      <c r="I163" t="s">
        <v>596</v>
      </c>
      <c r="J163" s="39">
        <v>45920.432812500003</v>
      </c>
      <c r="K163" s="39">
        <v>45920</v>
      </c>
      <c r="L163" t="str">
        <f t="shared" si="6"/>
        <v>2025-09</v>
      </c>
      <c r="M163" t="s">
        <v>595</v>
      </c>
      <c r="N163">
        <v>16</v>
      </c>
      <c r="O163">
        <v>7.6</v>
      </c>
      <c r="P163">
        <v>1</v>
      </c>
      <c r="Q163">
        <v>1</v>
      </c>
      <c r="R163">
        <v>1</v>
      </c>
      <c r="S163" t="s">
        <v>95</v>
      </c>
      <c r="T163">
        <v>0</v>
      </c>
      <c r="V163">
        <f t="shared" si="7"/>
        <v>1</v>
      </c>
      <c r="W163" t="str">
        <f t="shared" si="8"/>
        <v>Met</v>
      </c>
    </row>
    <row r="164" spans="1:23" x14ac:dyDescent="0.2">
      <c r="A164">
        <v>7530404073</v>
      </c>
      <c r="B164">
        <v>536</v>
      </c>
      <c r="C164" t="s">
        <v>155</v>
      </c>
      <c r="D164" t="s">
        <v>147</v>
      </c>
      <c r="E164" t="s">
        <v>134</v>
      </c>
      <c r="F164" t="s">
        <v>343</v>
      </c>
      <c r="G164" t="s">
        <v>342</v>
      </c>
      <c r="H164">
        <v>1</v>
      </c>
      <c r="I164" t="s">
        <v>596</v>
      </c>
      <c r="J164" s="39">
        <v>45961.572627314803</v>
      </c>
      <c r="K164" s="39">
        <v>45966</v>
      </c>
      <c r="L164" t="str">
        <f t="shared" si="6"/>
        <v>2025-11</v>
      </c>
      <c r="M164" t="s">
        <v>595</v>
      </c>
      <c r="N164">
        <v>12</v>
      </c>
      <c r="O164">
        <v>117.63</v>
      </c>
      <c r="P164">
        <v>0</v>
      </c>
      <c r="Q164">
        <v>0</v>
      </c>
      <c r="R164">
        <v>1</v>
      </c>
      <c r="S164" t="s">
        <v>95</v>
      </c>
      <c r="T164">
        <v>0</v>
      </c>
      <c r="V164">
        <f t="shared" si="7"/>
        <v>0</v>
      </c>
      <c r="W164" t="str">
        <f t="shared" si="8"/>
        <v>Missed</v>
      </c>
    </row>
    <row r="165" spans="1:23" x14ac:dyDescent="0.2">
      <c r="A165">
        <v>7611512328</v>
      </c>
      <c r="B165">
        <v>926</v>
      </c>
      <c r="C165" t="s">
        <v>235</v>
      </c>
      <c r="D165" t="s">
        <v>225</v>
      </c>
      <c r="E165" t="s">
        <v>226</v>
      </c>
      <c r="F165" t="s">
        <v>337</v>
      </c>
      <c r="G165" t="s">
        <v>336</v>
      </c>
      <c r="H165">
        <v>1</v>
      </c>
      <c r="I165" t="s">
        <v>596</v>
      </c>
      <c r="J165" s="39">
        <v>46137.529606481497</v>
      </c>
      <c r="K165" s="39">
        <v>46140</v>
      </c>
      <c r="L165" t="str">
        <f t="shared" si="6"/>
        <v>2026-04</v>
      </c>
      <c r="M165" t="s">
        <v>595</v>
      </c>
      <c r="N165">
        <v>0</v>
      </c>
      <c r="O165">
        <v>74.22</v>
      </c>
      <c r="P165">
        <v>1</v>
      </c>
      <c r="Q165">
        <v>1</v>
      </c>
      <c r="R165">
        <v>1</v>
      </c>
      <c r="S165" t="s">
        <v>94</v>
      </c>
      <c r="T165">
        <v>0</v>
      </c>
      <c r="U165">
        <v>0</v>
      </c>
      <c r="V165">
        <f t="shared" si="7"/>
        <v>0</v>
      </c>
      <c r="W165" t="str">
        <f t="shared" si="8"/>
        <v>Missed</v>
      </c>
    </row>
    <row r="166" spans="1:23" x14ac:dyDescent="0.2">
      <c r="A166">
        <v>7610011553</v>
      </c>
      <c r="B166">
        <v>640</v>
      </c>
      <c r="C166" t="s">
        <v>197</v>
      </c>
      <c r="D166" t="s">
        <v>198</v>
      </c>
      <c r="E166" t="s">
        <v>178</v>
      </c>
      <c r="F166" t="s">
        <v>366</v>
      </c>
      <c r="G166" t="s">
        <v>365</v>
      </c>
      <c r="H166">
        <v>1</v>
      </c>
      <c r="I166" t="s">
        <v>594</v>
      </c>
      <c r="J166" s="39">
        <v>46122.476180555597</v>
      </c>
      <c r="K166" s="39">
        <v>46122</v>
      </c>
      <c r="L166" t="str">
        <f t="shared" si="6"/>
        <v>2026-04</v>
      </c>
      <c r="M166" t="s">
        <v>595</v>
      </c>
      <c r="N166">
        <v>0</v>
      </c>
      <c r="O166">
        <v>8.77</v>
      </c>
      <c r="P166">
        <v>1</v>
      </c>
      <c r="Q166">
        <v>1</v>
      </c>
      <c r="R166">
        <v>1</v>
      </c>
      <c r="S166" t="s">
        <v>94</v>
      </c>
      <c r="T166">
        <v>2</v>
      </c>
      <c r="U166">
        <v>1</v>
      </c>
      <c r="V166">
        <f t="shared" si="7"/>
        <v>1</v>
      </c>
      <c r="W166" t="str">
        <f t="shared" si="8"/>
        <v>Met</v>
      </c>
    </row>
    <row r="167" spans="1:23" x14ac:dyDescent="0.2">
      <c r="A167">
        <v>7607314162</v>
      </c>
      <c r="B167">
        <v>927</v>
      </c>
      <c r="C167" t="s">
        <v>236</v>
      </c>
      <c r="D167" t="s">
        <v>237</v>
      </c>
      <c r="E167" t="s">
        <v>226</v>
      </c>
      <c r="F167" t="s">
        <v>412</v>
      </c>
      <c r="G167" t="s">
        <v>411</v>
      </c>
      <c r="H167">
        <v>1</v>
      </c>
      <c r="I167" t="s">
        <v>596</v>
      </c>
      <c r="J167" s="39">
        <v>46095.363622685203</v>
      </c>
      <c r="K167" s="39">
        <v>46095</v>
      </c>
      <c r="L167" t="str">
        <f t="shared" si="6"/>
        <v>2026-03</v>
      </c>
      <c r="M167" t="s">
        <v>595</v>
      </c>
      <c r="N167">
        <v>0</v>
      </c>
      <c r="O167">
        <v>7.75</v>
      </c>
      <c r="P167">
        <v>1</v>
      </c>
      <c r="Q167">
        <v>1</v>
      </c>
      <c r="R167">
        <v>1</v>
      </c>
      <c r="S167" t="s">
        <v>94</v>
      </c>
      <c r="T167">
        <v>2</v>
      </c>
      <c r="U167">
        <v>1</v>
      </c>
      <c r="V167">
        <f t="shared" si="7"/>
        <v>1</v>
      </c>
      <c r="W167" t="str">
        <f t="shared" si="8"/>
        <v>Met</v>
      </c>
    </row>
    <row r="168" spans="1:23" x14ac:dyDescent="0.2">
      <c r="A168">
        <v>7612705396</v>
      </c>
      <c r="B168">
        <v>493</v>
      </c>
      <c r="C168" t="s">
        <v>116</v>
      </c>
      <c r="D168" t="s">
        <v>117</v>
      </c>
      <c r="E168" t="s">
        <v>111</v>
      </c>
      <c r="F168" t="s">
        <v>274</v>
      </c>
      <c r="G168" t="s">
        <v>273</v>
      </c>
      <c r="H168">
        <v>2</v>
      </c>
      <c r="I168" t="s">
        <v>594</v>
      </c>
      <c r="J168" s="39">
        <v>46148.808900463002</v>
      </c>
      <c r="K168" s="39">
        <v>46149</v>
      </c>
      <c r="L168" t="str">
        <f t="shared" si="6"/>
        <v>2026-05</v>
      </c>
      <c r="M168" t="s">
        <v>595</v>
      </c>
      <c r="N168">
        <v>0</v>
      </c>
      <c r="O168">
        <v>13.52</v>
      </c>
      <c r="P168">
        <v>1</v>
      </c>
      <c r="Q168">
        <v>1</v>
      </c>
      <c r="R168">
        <v>1</v>
      </c>
      <c r="S168" t="s">
        <v>94</v>
      </c>
      <c r="T168">
        <v>2</v>
      </c>
      <c r="U168">
        <v>1</v>
      </c>
      <c r="V168">
        <f t="shared" si="7"/>
        <v>1</v>
      </c>
      <c r="W168" t="str">
        <f t="shared" si="8"/>
        <v>Met</v>
      </c>
    </row>
    <row r="169" spans="1:23" x14ac:dyDescent="0.2">
      <c r="A169">
        <v>7607605526</v>
      </c>
      <c r="B169">
        <v>498</v>
      </c>
      <c r="C169" t="s">
        <v>127</v>
      </c>
      <c r="D169" t="s">
        <v>128</v>
      </c>
      <c r="E169" t="s">
        <v>124</v>
      </c>
      <c r="F169" t="s">
        <v>402</v>
      </c>
      <c r="G169" t="s">
        <v>401</v>
      </c>
      <c r="H169">
        <v>2</v>
      </c>
      <c r="I169" t="s">
        <v>596</v>
      </c>
      <c r="J169" s="39">
        <v>46098.403298611098</v>
      </c>
      <c r="K169" s="39">
        <v>46098</v>
      </c>
      <c r="L169" t="str">
        <f t="shared" si="6"/>
        <v>2026-03</v>
      </c>
      <c r="M169" t="s">
        <v>595</v>
      </c>
      <c r="N169">
        <v>0</v>
      </c>
      <c r="O169">
        <v>6.25</v>
      </c>
      <c r="P169">
        <v>1</v>
      </c>
      <c r="Q169">
        <v>1</v>
      </c>
      <c r="R169">
        <v>1</v>
      </c>
      <c r="S169" t="s">
        <v>94</v>
      </c>
      <c r="T169">
        <v>2</v>
      </c>
      <c r="U169">
        <v>1</v>
      </c>
      <c r="V169">
        <f t="shared" si="7"/>
        <v>1</v>
      </c>
      <c r="W169" t="str">
        <f t="shared" si="8"/>
        <v>Met</v>
      </c>
    </row>
    <row r="170" spans="1:23" x14ac:dyDescent="0.2">
      <c r="A170">
        <v>7615504890</v>
      </c>
      <c r="B170">
        <v>493</v>
      </c>
      <c r="C170" t="s">
        <v>116</v>
      </c>
      <c r="D170" t="s">
        <v>117</v>
      </c>
      <c r="E170" t="s">
        <v>111</v>
      </c>
      <c r="F170" t="s">
        <v>290</v>
      </c>
      <c r="G170" t="s">
        <v>289</v>
      </c>
      <c r="H170">
        <v>2</v>
      </c>
      <c r="I170" t="s">
        <v>596</v>
      </c>
      <c r="J170" s="39">
        <v>46177.708449074104</v>
      </c>
      <c r="K170" s="39">
        <v>46177</v>
      </c>
      <c r="L170" t="str">
        <f t="shared" si="6"/>
        <v>2026-06</v>
      </c>
      <c r="M170" t="s">
        <v>595</v>
      </c>
      <c r="N170">
        <v>16</v>
      </c>
      <c r="O170">
        <v>3.42</v>
      </c>
      <c r="P170">
        <v>1</v>
      </c>
      <c r="Q170">
        <v>1</v>
      </c>
      <c r="R170">
        <v>1</v>
      </c>
      <c r="S170" t="s">
        <v>94</v>
      </c>
      <c r="T170">
        <v>2</v>
      </c>
      <c r="U170">
        <v>1</v>
      </c>
      <c r="V170">
        <f t="shared" si="7"/>
        <v>1</v>
      </c>
      <c r="W170" t="str">
        <f t="shared" si="8"/>
        <v>Met</v>
      </c>
    </row>
    <row r="171" spans="1:23" x14ac:dyDescent="0.2">
      <c r="A171">
        <v>7533700128</v>
      </c>
      <c r="B171">
        <v>523</v>
      </c>
      <c r="C171" t="s">
        <v>135</v>
      </c>
      <c r="D171" t="s">
        <v>136</v>
      </c>
      <c r="E171" t="s">
        <v>134</v>
      </c>
      <c r="F171" t="s">
        <v>300</v>
      </c>
      <c r="G171" t="s">
        <v>299</v>
      </c>
      <c r="H171">
        <v>2</v>
      </c>
      <c r="I171" t="s">
        <v>596</v>
      </c>
      <c r="J171" s="39">
        <v>45994.640520833302</v>
      </c>
      <c r="K171" s="39">
        <v>45994</v>
      </c>
      <c r="L171" t="str">
        <f t="shared" si="6"/>
        <v>2025-12</v>
      </c>
      <c r="M171" t="s">
        <v>595</v>
      </c>
      <c r="N171">
        <v>16</v>
      </c>
      <c r="O171">
        <v>1.1000000000000001</v>
      </c>
      <c r="P171">
        <v>1</v>
      </c>
      <c r="Q171">
        <v>1</v>
      </c>
      <c r="R171">
        <v>1</v>
      </c>
      <c r="S171" t="s">
        <v>95</v>
      </c>
      <c r="T171">
        <v>0</v>
      </c>
      <c r="V171">
        <f t="shared" si="7"/>
        <v>1</v>
      </c>
      <c r="W171" t="str">
        <f t="shared" si="8"/>
        <v>Met</v>
      </c>
    </row>
    <row r="172" spans="1:23" x14ac:dyDescent="0.2">
      <c r="A172">
        <v>7526500560</v>
      </c>
      <c r="B172">
        <v>642</v>
      </c>
      <c r="C172" t="s">
        <v>199</v>
      </c>
      <c r="D172" t="s">
        <v>200</v>
      </c>
      <c r="E172" t="s">
        <v>178</v>
      </c>
      <c r="F172" t="s">
        <v>298</v>
      </c>
      <c r="G172" t="s">
        <v>297</v>
      </c>
      <c r="H172">
        <v>2</v>
      </c>
      <c r="I172" t="s">
        <v>596</v>
      </c>
      <c r="J172" s="39">
        <v>45922.781238425901</v>
      </c>
      <c r="K172" s="39">
        <v>45923</v>
      </c>
      <c r="L172" t="str">
        <f t="shared" si="6"/>
        <v>2025-09</v>
      </c>
      <c r="M172" t="s">
        <v>595</v>
      </c>
      <c r="N172">
        <v>16</v>
      </c>
      <c r="O172">
        <v>14.85</v>
      </c>
      <c r="P172">
        <v>1</v>
      </c>
      <c r="Q172">
        <v>1</v>
      </c>
      <c r="R172">
        <v>1</v>
      </c>
      <c r="S172" t="s">
        <v>95</v>
      </c>
      <c r="T172">
        <v>0</v>
      </c>
      <c r="V172">
        <f t="shared" si="7"/>
        <v>1</v>
      </c>
      <c r="W172" t="str">
        <f t="shared" si="8"/>
        <v>Met</v>
      </c>
    </row>
    <row r="173" spans="1:23" x14ac:dyDescent="0.2">
      <c r="A173">
        <v>7615504934</v>
      </c>
      <c r="B173">
        <v>644</v>
      </c>
      <c r="C173" t="s">
        <v>203</v>
      </c>
      <c r="D173" t="s">
        <v>204</v>
      </c>
      <c r="E173" t="s">
        <v>178</v>
      </c>
      <c r="F173" t="s">
        <v>424</v>
      </c>
      <c r="G173" t="s">
        <v>423</v>
      </c>
      <c r="H173">
        <v>2</v>
      </c>
      <c r="I173" t="s">
        <v>596</v>
      </c>
      <c r="J173" s="39">
        <v>46177.770138888904</v>
      </c>
      <c r="K173" s="39">
        <v>46177</v>
      </c>
      <c r="L173" t="str">
        <f t="shared" si="6"/>
        <v>2026-06</v>
      </c>
      <c r="M173" t="s">
        <v>595</v>
      </c>
      <c r="N173">
        <v>16</v>
      </c>
      <c r="O173">
        <v>2.2000000000000002</v>
      </c>
      <c r="P173">
        <v>1</v>
      </c>
      <c r="Q173">
        <v>1</v>
      </c>
      <c r="R173">
        <v>1</v>
      </c>
      <c r="S173" t="s">
        <v>94</v>
      </c>
      <c r="T173">
        <v>2</v>
      </c>
      <c r="U173">
        <v>1</v>
      </c>
      <c r="V173">
        <f t="shared" si="7"/>
        <v>1</v>
      </c>
      <c r="W173" t="str">
        <f t="shared" si="8"/>
        <v>Met</v>
      </c>
    </row>
    <row r="174" spans="1:23" x14ac:dyDescent="0.2">
      <c r="A174">
        <v>7606401867</v>
      </c>
      <c r="B174">
        <v>494</v>
      </c>
      <c r="C174" t="s">
        <v>118</v>
      </c>
      <c r="D174" t="s">
        <v>119</v>
      </c>
      <c r="E174" t="s">
        <v>111</v>
      </c>
      <c r="F174" t="s">
        <v>258</v>
      </c>
      <c r="G174" t="s">
        <v>257</v>
      </c>
      <c r="H174">
        <v>2</v>
      </c>
      <c r="I174" t="s">
        <v>596</v>
      </c>
      <c r="J174" s="39">
        <v>46086.742974537003</v>
      </c>
      <c r="K174" s="39">
        <v>46087</v>
      </c>
      <c r="L174" t="str">
        <f t="shared" si="6"/>
        <v>2026-03</v>
      </c>
      <c r="M174" t="s">
        <v>595</v>
      </c>
      <c r="N174">
        <v>0</v>
      </c>
      <c r="O174">
        <v>22.32</v>
      </c>
      <c r="P174">
        <v>1</v>
      </c>
      <c r="Q174">
        <v>1</v>
      </c>
      <c r="R174">
        <v>1</v>
      </c>
      <c r="S174" t="s">
        <v>94</v>
      </c>
      <c r="T174">
        <v>2</v>
      </c>
      <c r="U174">
        <v>1</v>
      </c>
      <c r="V174">
        <f t="shared" si="7"/>
        <v>1</v>
      </c>
      <c r="W174" t="str">
        <f t="shared" si="8"/>
        <v>Met</v>
      </c>
    </row>
    <row r="175" spans="1:23" x14ac:dyDescent="0.2">
      <c r="A175">
        <v>7606900559</v>
      </c>
      <c r="B175">
        <v>546</v>
      </c>
      <c r="C175" t="s">
        <v>168</v>
      </c>
      <c r="D175" t="s">
        <v>169</v>
      </c>
      <c r="E175" t="s">
        <v>159</v>
      </c>
      <c r="F175" t="s">
        <v>304</v>
      </c>
      <c r="G175" t="s">
        <v>303</v>
      </c>
      <c r="H175">
        <v>2</v>
      </c>
      <c r="I175" t="s">
        <v>596</v>
      </c>
      <c r="J175" s="39">
        <v>46091.782766203702</v>
      </c>
      <c r="K175" s="39">
        <v>46093</v>
      </c>
      <c r="L175" t="str">
        <f t="shared" si="6"/>
        <v>2026-03</v>
      </c>
      <c r="M175" t="s">
        <v>595</v>
      </c>
      <c r="N175">
        <v>0</v>
      </c>
      <c r="O175">
        <v>45.65</v>
      </c>
      <c r="P175">
        <v>1</v>
      </c>
      <c r="Q175">
        <v>1</v>
      </c>
      <c r="R175">
        <v>1</v>
      </c>
      <c r="S175" t="s">
        <v>94</v>
      </c>
      <c r="T175">
        <v>0</v>
      </c>
      <c r="U175">
        <v>0</v>
      </c>
      <c r="V175">
        <f t="shared" si="7"/>
        <v>0</v>
      </c>
      <c r="W175" t="str">
        <f t="shared" si="8"/>
        <v>Missed</v>
      </c>
    </row>
    <row r="176" spans="1:23" x14ac:dyDescent="0.2">
      <c r="A176">
        <v>7601002526</v>
      </c>
      <c r="B176">
        <v>643</v>
      </c>
      <c r="C176" t="s">
        <v>201</v>
      </c>
      <c r="D176" t="s">
        <v>202</v>
      </c>
      <c r="E176" t="s">
        <v>178</v>
      </c>
      <c r="F176" t="s">
        <v>320</v>
      </c>
      <c r="G176" t="s">
        <v>319</v>
      </c>
      <c r="H176">
        <v>2</v>
      </c>
      <c r="I176" t="s">
        <v>596</v>
      </c>
      <c r="J176" s="39">
        <v>46032.444918981499</v>
      </c>
      <c r="K176" s="39">
        <v>46032</v>
      </c>
      <c r="L176" t="str">
        <f t="shared" si="6"/>
        <v>2026-01</v>
      </c>
      <c r="M176" t="s">
        <v>595</v>
      </c>
      <c r="N176">
        <v>16</v>
      </c>
      <c r="O176">
        <v>2.0699999999999998</v>
      </c>
      <c r="P176">
        <v>1</v>
      </c>
      <c r="Q176">
        <v>1</v>
      </c>
      <c r="R176">
        <v>1</v>
      </c>
      <c r="S176" t="s">
        <v>94</v>
      </c>
      <c r="T176">
        <v>2</v>
      </c>
      <c r="U176">
        <v>1</v>
      </c>
      <c r="V176">
        <f t="shared" si="7"/>
        <v>1</v>
      </c>
      <c r="W176" t="str">
        <f t="shared" si="8"/>
        <v>Met</v>
      </c>
    </row>
    <row r="177" spans="1:23" x14ac:dyDescent="0.2">
      <c r="A177">
        <v>7521807660</v>
      </c>
      <c r="B177">
        <v>634</v>
      </c>
      <c r="C177" t="s">
        <v>186</v>
      </c>
      <c r="D177" t="s">
        <v>187</v>
      </c>
      <c r="E177" t="s">
        <v>181</v>
      </c>
      <c r="F177" t="s">
        <v>388</v>
      </c>
      <c r="G177" t="s">
        <v>387</v>
      </c>
      <c r="H177">
        <v>2</v>
      </c>
      <c r="I177" t="s">
        <v>596</v>
      </c>
      <c r="J177" s="39">
        <v>45875.580219907402</v>
      </c>
      <c r="K177" s="39">
        <v>45875</v>
      </c>
      <c r="L177" t="str">
        <f t="shared" si="6"/>
        <v>2025-08</v>
      </c>
      <c r="M177" t="s">
        <v>595</v>
      </c>
      <c r="N177">
        <v>16</v>
      </c>
      <c r="O177">
        <v>1.43</v>
      </c>
      <c r="P177">
        <v>1</v>
      </c>
      <c r="Q177">
        <v>1</v>
      </c>
      <c r="R177">
        <v>1</v>
      </c>
      <c r="S177" t="s">
        <v>95</v>
      </c>
      <c r="T177">
        <v>0</v>
      </c>
      <c r="V177">
        <f t="shared" si="7"/>
        <v>1</v>
      </c>
      <c r="W177" t="str">
        <f t="shared" si="8"/>
        <v>Met</v>
      </c>
    </row>
    <row r="178" spans="1:23" x14ac:dyDescent="0.2">
      <c r="A178">
        <v>7524614539</v>
      </c>
      <c r="B178">
        <v>544</v>
      </c>
      <c r="C178" t="s">
        <v>164</v>
      </c>
      <c r="D178" t="s">
        <v>165</v>
      </c>
      <c r="E178" t="s">
        <v>159</v>
      </c>
      <c r="F178" t="s">
        <v>286</v>
      </c>
      <c r="G178" t="s">
        <v>285</v>
      </c>
      <c r="H178">
        <v>1</v>
      </c>
      <c r="I178" t="s">
        <v>596</v>
      </c>
      <c r="J178" s="39">
        <v>45903.435682870397</v>
      </c>
      <c r="K178" s="39">
        <v>45903</v>
      </c>
      <c r="L178" t="str">
        <f t="shared" si="6"/>
        <v>2025-09</v>
      </c>
      <c r="M178" t="s">
        <v>595</v>
      </c>
      <c r="N178">
        <v>12</v>
      </c>
      <c r="O178">
        <v>3.12</v>
      </c>
      <c r="P178">
        <v>1</v>
      </c>
      <c r="Q178">
        <v>1</v>
      </c>
      <c r="R178">
        <v>1</v>
      </c>
      <c r="S178" t="s">
        <v>95</v>
      </c>
      <c r="T178">
        <v>0</v>
      </c>
      <c r="V178">
        <f t="shared" si="7"/>
        <v>1</v>
      </c>
      <c r="W178" t="str">
        <f t="shared" si="8"/>
        <v>Met</v>
      </c>
    </row>
    <row r="179" spans="1:23" x14ac:dyDescent="0.2">
      <c r="A179">
        <v>7531202946</v>
      </c>
      <c r="B179">
        <v>532</v>
      </c>
      <c r="C179" t="s">
        <v>148</v>
      </c>
      <c r="D179" t="s">
        <v>133</v>
      </c>
      <c r="E179" t="s">
        <v>134</v>
      </c>
      <c r="F179" t="s">
        <v>343</v>
      </c>
      <c r="G179" t="s">
        <v>342</v>
      </c>
      <c r="H179">
        <v>2</v>
      </c>
      <c r="I179" t="s">
        <v>594</v>
      </c>
      <c r="J179" s="39">
        <v>45969.565833333298</v>
      </c>
      <c r="K179" s="39">
        <v>45969</v>
      </c>
      <c r="L179" t="str">
        <f t="shared" si="6"/>
        <v>2025-11</v>
      </c>
      <c r="M179" t="s">
        <v>595</v>
      </c>
      <c r="N179">
        <v>16</v>
      </c>
      <c r="O179">
        <v>3.62</v>
      </c>
      <c r="P179">
        <v>0</v>
      </c>
      <c r="Q179">
        <v>0</v>
      </c>
      <c r="R179">
        <v>0</v>
      </c>
      <c r="S179" t="s">
        <v>95</v>
      </c>
      <c r="T179">
        <v>0</v>
      </c>
      <c r="V179" t="str">
        <f t="shared" si="7"/>
        <v/>
      </c>
      <c r="W179" t="str">
        <f t="shared" si="8"/>
        <v>Not Eligible</v>
      </c>
    </row>
    <row r="180" spans="1:23" x14ac:dyDescent="0.2">
      <c r="A180">
        <v>7522201347</v>
      </c>
      <c r="B180">
        <v>925</v>
      </c>
      <c r="C180" t="s">
        <v>233</v>
      </c>
      <c r="D180" t="s">
        <v>234</v>
      </c>
      <c r="E180" t="s">
        <v>226</v>
      </c>
      <c r="F180" t="s">
        <v>372</v>
      </c>
      <c r="G180" t="s">
        <v>371</v>
      </c>
      <c r="H180">
        <v>2</v>
      </c>
      <c r="I180" t="s">
        <v>596</v>
      </c>
      <c r="J180" s="39">
        <v>45879.660844907397</v>
      </c>
      <c r="K180" s="39">
        <v>45880</v>
      </c>
      <c r="L180" t="str">
        <f t="shared" si="6"/>
        <v>2025-08</v>
      </c>
      <c r="M180" t="s">
        <v>595</v>
      </c>
      <c r="N180">
        <v>16</v>
      </c>
      <c r="O180">
        <v>21.52</v>
      </c>
      <c r="P180">
        <v>1</v>
      </c>
      <c r="Q180">
        <v>1</v>
      </c>
      <c r="R180">
        <v>1</v>
      </c>
      <c r="S180" t="s">
        <v>95</v>
      </c>
      <c r="T180">
        <v>0</v>
      </c>
      <c r="V180">
        <f t="shared" si="7"/>
        <v>1</v>
      </c>
      <c r="W180" t="str">
        <f t="shared" si="8"/>
        <v>Met</v>
      </c>
    </row>
    <row r="181" spans="1:23" x14ac:dyDescent="0.2">
      <c r="A181">
        <v>7600505577</v>
      </c>
      <c r="B181">
        <v>928</v>
      </c>
      <c r="C181" t="s">
        <v>238</v>
      </c>
      <c r="D181" t="s">
        <v>239</v>
      </c>
      <c r="E181" t="s">
        <v>226</v>
      </c>
      <c r="F181" t="s">
        <v>266</v>
      </c>
      <c r="G181" t="s">
        <v>265</v>
      </c>
      <c r="H181">
        <v>2</v>
      </c>
      <c r="I181" t="s">
        <v>596</v>
      </c>
      <c r="J181" s="39">
        <v>46027.391921296301</v>
      </c>
      <c r="K181" s="39">
        <v>46027</v>
      </c>
      <c r="L181" t="str">
        <f t="shared" si="6"/>
        <v>2026-01</v>
      </c>
      <c r="M181" t="s">
        <v>595</v>
      </c>
      <c r="N181">
        <v>16</v>
      </c>
      <c r="O181">
        <v>3.83</v>
      </c>
      <c r="P181">
        <v>1</v>
      </c>
      <c r="Q181">
        <v>1</v>
      </c>
      <c r="R181">
        <v>1</v>
      </c>
      <c r="S181" t="s">
        <v>94</v>
      </c>
      <c r="T181">
        <v>2</v>
      </c>
      <c r="U181">
        <v>1</v>
      </c>
      <c r="V181">
        <f t="shared" si="7"/>
        <v>1</v>
      </c>
      <c r="W181" t="str">
        <f t="shared" si="8"/>
        <v>Met</v>
      </c>
    </row>
    <row r="182" spans="1:23" x14ac:dyDescent="0.2">
      <c r="A182">
        <v>7608402142</v>
      </c>
      <c r="B182">
        <v>562</v>
      </c>
      <c r="C182" t="s">
        <v>172</v>
      </c>
      <c r="D182" t="s">
        <v>173</v>
      </c>
      <c r="E182" t="s">
        <v>159</v>
      </c>
      <c r="F182" t="s">
        <v>306</v>
      </c>
      <c r="G182" t="s">
        <v>305</v>
      </c>
      <c r="H182">
        <v>2</v>
      </c>
      <c r="I182" t="s">
        <v>594</v>
      </c>
      <c r="J182" s="39">
        <v>46106.350104166697</v>
      </c>
      <c r="K182" s="39">
        <v>46108</v>
      </c>
      <c r="L182" t="str">
        <f t="shared" si="6"/>
        <v>2026-03</v>
      </c>
      <c r="M182" t="s">
        <v>595</v>
      </c>
      <c r="N182">
        <v>0</v>
      </c>
      <c r="O182">
        <v>51.95</v>
      </c>
      <c r="P182">
        <v>1</v>
      </c>
      <c r="Q182">
        <v>1</v>
      </c>
      <c r="R182">
        <v>1</v>
      </c>
      <c r="S182" t="s">
        <v>94</v>
      </c>
      <c r="T182">
        <v>1</v>
      </c>
      <c r="V182">
        <f t="shared" si="7"/>
        <v>1</v>
      </c>
      <c r="W182" t="str">
        <f t="shared" si="8"/>
        <v>Met</v>
      </c>
    </row>
    <row r="183" spans="1:23" x14ac:dyDescent="0.2">
      <c r="A183">
        <v>7606904326</v>
      </c>
      <c r="B183">
        <v>526</v>
      </c>
      <c r="C183" t="s">
        <v>140</v>
      </c>
      <c r="D183" t="s">
        <v>133</v>
      </c>
      <c r="E183" t="s">
        <v>134</v>
      </c>
      <c r="F183" t="s">
        <v>264</v>
      </c>
      <c r="G183" t="s">
        <v>263</v>
      </c>
      <c r="H183">
        <v>2</v>
      </c>
      <c r="I183" t="s">
        <v>596</v>
      </c>
      <c r="J183" s="39">
        <v>46091.383854166699</v>
      </c>
      <c r="K183" s="39">
        <v>46092</v>
      </c>
      <c r="L183" t="str">
        <f t="shared" si="6"/>
        <v>2026-03</v>
      </c>
      <c r="M183" t="s">
        <v>595</v>
      </c>
      <c r="N183">
        <v>0</v>
      </c>
      <c r="O183">
        <v>29.58</v>
      </c>
      <c r="P183">
        <v>1</v>
      </c>
      <c r="Q183">
        <v>1</v>
      </c>
      <c r="R183">
        <v>1</v>
      </c>
      <c r="S183" t="s">
        <v>94</v>
      </c>
      <c r="T183">
        <v>1</v>
      </c>
      <c r="V183">
        <f t="shared" si="7"/>
        <v>1</v>
      </c>
      <c r="W183" t="str">
        <f t="shared" si="8"/>
        <v>Met</v>
      </c>
    </row>
    <row r="184" spans="1:23" x14ac:dyDescent="0.2">
      <c r="A184">
        <v>7611913100</v>
      </c>
      <c r="B184">
        <v>637</v>
      </c>
      <c r="C184" t="s">
        <v>192</v>
      </c>
      <c r="D184" t="s">
        <v>193</v>
      </c>
      <c r="E184" t="s">
        <v>181</v>
      </c>
      <c r="F184" t="s">
        <v>272</v>
      </c>
      <c r="G184" t="s">
        <v>271</v>
      </c>
      <c r="H184">
        <v>2</v>
      </c>
      <c r="I184" t="s">
        <v>596</v>
      </c>
      <c r="J184" s="39">
        <v>46141.520717592597</v>
      </c>
      <c r="K184" s="39">
        <v>46143</v>
      </c>
      <c r="L184" t="str">
        <f t="shared" si="6"/>
        <v>2026-05</v>
      </c>
      <c r="M184" t="s">
        <v>595</v>
      </c>
      <c r="N184">
        <v>16</v>
      </c>
      <c r="O184">
        <v>54.67</v>
      </c>
      <c r="P184">
        <v>0</v>
      </c>
      <c r="Q184">
        <v>0</v>
      </c>
      <c r="R184">
        <v>1</v>
      </c>
      <c r="S184" t="s">
        <v>94</v>
      </c>
      <c r="T184">
        <v>1</v>
      </c>
      <c r="V184">
        <f t="shared" si="7"/>
        <v>0</v>
      </c>
      <c r="W184" t="str">
        <f t="shared" si="8"/>
        <v>Missed</v>
      </c>
    </row>
    <row r="185" spans="1:23" x14ac:dyDescent="0.2">
      <c r="A185">
        <v>7529901540</v>
      </c>
      <c r="B185">
        <v>543</v>
      </c>
      <c r="C185" t="s">
        <v>162</v>
      </c>
      <c r="D185" t="s">
        <v>163</v>
      </c>
      <c r="E185" t="s">
        <v>159</v>
      </c>
      <c r="F185" t="s">
        <v>398</v>
      </c>
      <c r="G185" t="s">
        <v>397</v>
      </c>
      <c r="H185">
        <v>1</v>
      </c>
      <c r="I185" t="s">
        <v>594</v>
      </c>
      <c r="J185" s="39">
        <v>45955.802939814799</v>
      </c>
      <c r="K185" s="39">
        <v>45956</v>
      </c>
      <c r="L185" t="str">
        <f t="shared" si="6"/>
        <v>2025-10</v>
      </c>
      <c r="M185" t="s">
        <v>595</v>
      </c>
      <c r="N185">
        <v>12</v>
      </c>
      <c r="O185">
        <v>25.57</v>
      </c>
      <c r="P185">
        <v>0</v>
      </c>
      <c r="Q185">
        <v>0</v>
      </c>
      <c r="R185">
        <v>0</v>
      </c>
      <c r="S185" t="s">
        <v>95</v>
      </c>
      <c r="T185">
        <v>0</v>
      </c>
      <c r="V185" t="str">
        <f t="shared" si="7"/>
        <v/>
      </c>
      <c r="W185" t="str">
        <f t="shared" si="8"/>
        <v>Not Eligible</v>
      </c>
    </row>
    <row r="186" spans="1:23" x14ac:dyDescent="0.2">
      <c r="A186">
        <v>7536401962</v>
      </c>
      <c r="B186">
        <v>491</v>
      </c>
      <c r="C186" t="s">
        <v>112</v>
      </c>
      <c r="D186" t="s">
        <v>113</v>
      </c>
      <c r="E186" t="s">
        <v>111</v>
      </c>
      <c r="F186" t="s">
        <v>302</v>
      </c>
      <c r="G186" t="s">
        <v>301</v>
      </c>
      <c r="H186">
        <v>2</v>
      </c>
      <c r="I186" t="s">
        <v>596</v>
      </c>
      <c r="J186" s="39">
        <v>46020.841712963003</v>
      </c>
      <c r="K186" s="39">
        <v>46021</v>
      </c>
      <c r="L186" t="str">
        <f t="shared" si="6"/>
        <v>2025-12</v>
      </c>
      <c r="M186" t="s">
        <v>595</v>
      </c>
      <c r="N186">
        <v>16</v>
      </c>
      <c r="O186">
        <v>18.25</v>
      </c>
      <c r="P186">
        <v>1</v>
      </c>
      <c r="Q186">
        <v>1</v>
      </c>
      <c r="R186">
        <v>1</v>
      </c>
      <c r="S186" t="s">
        <v>95</v>
      </c>
      <c r="T186">
        <v>0</v>
      </c>
      <c r="V186">
        <f t="shared" si="7"/>
        <v>1</v>
      </c>
      <c r="W186" t="str">
        <f t="shared" si="8"/>
        <v>Met</v>
      </c>
    </row>
    <row r="187" spans="1:23" x14ac:dyDescent="0.2">
      <c r="A187">
        <v>7601904162</v>
      </c>
      <c r="B187">
        <v>525</v>
      </c>
      <c r="C187" t="s">
        <v>139</v>
      </c>
      <c r="D187" t="s">
        <v>133</v>
      </c>
      <c r="E187" t="s">
        <v>134</v>
      </c>
      <c r="F187" t="s">
        <v>296</v>
      </c>
      <c r="G187" t="s">
        <v>295</v>
      </c>
      <c r="H187">
        <v>2</v>
      </c>
      <c r="I187" t="s">
        <v>596</v>
      </c>
      <c r="J187" s="39">
        <v>46041.753321759301</v>
      </c>
      <c r="K187" s="39">
        <v>46042</v>
      </c>
      <c r="L187" t="str">
        <f t="shared" si="6"/>
        <v>2026-01</v>
      </c>
      <c r="M187" t="s">
        <v>595</v>
      </c>
      <c r="N187">
        <v>16</v>
      </c>
      <c r="O187">
        <v>21.8</v>
      </c>
      <c r="P187">
        <v>1</v>
      </c>
      <c r="Q187">
        <v>1</v>
      </c>
      <c r="R187">
        <v>1</v>
      </c>
      <c r="S187" t="s">
        <v>94</v>
      </c>
      <c r="T187">
        <v>2</v>
      </c>
      <c r="U187">
        <v>1</v>
      </c>
      <c r="V187">
        <f t="shared" si="7"/>
        <v>1</v>
      </c>
      <c r="W187" t="str">
        <f t="shared" si="8"/>
        <v>Met</v>
      </c>
    </row>
    <row r="188" spans="1:23" x14ac:dyDescent="0.2">
      <c r="A188">
        <v>7524803845</v>
      </c>
      <c r="B188">
        <v>638</v>
      </c>
      <c r="C188" t="s">
        <v>194</v>
      </c>
      <c r="D188" t="s">
        <v>147</v>
      </c>
      <c r="E188" t="s">
        <v>181</v>
      </c>
      <c r="F188" t="s">
        <v>438</v>
      </c>
      <c r="G188" t="s">
        <v>437</v>
      </c>
      <c r="H188">
        <v>2</v>
      </c>
      <c r="I188" t="s">
        <v>596</v>
      </c>
      <c r="J188" s="39">
        <v>45905.402916666702</v>
      </c>
      <c r="K188" s="39">
        <v>45905</v>
      </c>
      <c r="L188" t="str">
        <f t="shared" si="6"/>
        <v>2025-09</v>
      </c>
      <c r="M188" t="s">
        <v>595</v>
      </c>
      <c r="N188">
        <v>16</v>
      </c>
      <c r="O188">
        <v>1.3</v>
      </c>
      <c r="P188">
        <v>1</v>
      </c>
      <c r="Q188">
        <v>1</v>
      </c>
      <c r="R188">
        <v>1</v>
      </c>
      <c r="S188" t="s">
        <v>95</v>
      </c>
      <c r="T188">
        <v>0</v>
      </c>
      <c r="V188">
        <f t="shared" si="7"/>
        <v>1</v>
      </c>
      <c r="W188" t="str">
        <f t="shared" si="8"/>
        <v>Met</v>
      </c>
    </row>
    <row r="189" spans="1:23" x14ac:dyDescent="0.2">
      <c r="A189">
        <v>7528101827</v>
      </c>
      <c r="B189">
        <v>545</v>
      </c>
      <c r="C189" t="s">
        <v>166</v>
      </c>
      <c r="D189" t="s">
        <v>167</v>
      </c>
      <c r="E189" t="s">
        <v>159</v>
      </c>
      <c r="F189" t="s">
        <v>457</v>
      </c>
      <c r="G189" t="s">
        <v>456</v>
      </c>
      <c r="H189">
        <v>2</v>
      </c>
      <c r="I189" t="s">
        <v>596</v>
      </c>
      <c r="J189" s="39">
        <v>45938.372233796297</v>
      </c>
      <c r="K189" s="39">
        <v>45938</v>
      </c>
      <c r="L189" t="str">
        <f t="shared" si="6"/>
        <v>2025-10</v>
      </c>
      <c r="M189" t="s">
        <v>595</v>
      </c>
      <c r="N189">
        <v>16</v>
      </c>
      <c r="O189">
        <v>9.2799999999999994</v>
      </c>
      <c r="P189">
        <v>1</v>
      </c>
      <c r="Q189">
        <v>1</v>
      </c>
      <c r="R189">
        <v>1</v>
      </c>
      <c r="S189" t="s">
        <v>95</v>
      </c>
      <c r="T189">
        <v>0</v>
      </c>
      <c r="V189">
        <f t="shared" si="7"/>
        <v>1</v>
      </c>
      <c r="W189" t="str">
        <f t="shared" si="8"/>
        <v>Met</v>
      </c>
    </row>
    <row r="190" spans="1:23" x14ac:dyDescent="0.2">
      <c r="A190">
        <v>7621808118</v>
      </c>
      <c r="B190">
        <v>640</v>
      </c>
      <c r="C190" t="s">
        <v>197</v>
      </c>
      <c r="D190" t="s">
        <v>198</v>
      </c>
      <c r="E190" t="s">
        <v>178</v>
      </c>
      <c r="F190" t="s">
        <v>329</v>
      </c>
      <c r="G190" t="s">
        <v>328</v>
      </c>
      <c r="H190">
        <v>2</v>
      </c>
      <c r="I190" t="s">
        <v>596</v>
      </c>
      <c r="J190" s="39">
        <v>46240.580451388902</v>
      </c>
      <c r="K190" s="39">
        <v>46241</v>
      </c>
      <c r="L190" t="str">
        <f t="shared" si="6"/>
        <v>2026-08</v>
      </c>
      <c r="M190" t="s">
        <v>595</v>
      </c>
      <c r="N190">
        <v>16</v>
      </c>
      <c r="O190">
        <v>21.12</v>
      </c>
      <c r="P190">
        <v>1</v>
      </c>
      <c r="Q190">
        <v>1</v>
      </c>
      <c r="R190">
        <v>1</v>
      </c>
      <c r="S190" t="s">
        <v>94</v>
      </c>
      <c r="T190">
        <v>2</v>
      </c>
      <c r="U190">
        <v>1</v>
      </c>
      <c r="V190">
        <f t="shared" si="7"/>
        <v>1</v>
      </c>
      <c r="W190" t="str">
        <f t="shared" si="8"/>
        <v>Met</v>
      </c>
    </row>
    <row r="191" spans="1:23" x14ac:dyDescent="0.2">
      <c r="A191">
        <v>7529002889</v>
      </c>
      <c r="B191">
        <v>522</v>
      </c>
      <c r="C191" t="s">
        <v>132</v>
      </c>
      <c r="D191" t="s">
        <v>133</v>
      </c>
      <c r="E191" t="s">
        <v>134</v>
      </c>
      <c r="F191" t="s">
        <v>296</v>
      </c>
      <c r="G191" t="s">
        <v>295</v>
      </c>
      <c r="H191">
        <v>2</v>
      </c>
      <c r="I191" t="s">
        <v>596</v>
      </c>
      <c r="J191" s="39">
        <v>45947.721909722197</v>
      </c>
      <c r="K191" s="39">
        <v>45953</v>
      </c>
      <c r="L191" t="str">
        <f t="shared" si="6"/>
        <v>2025-10</v>
      </c>
      <c r="M191" t="s">
        <v>595</v>
      </c>
      <c r="N191">
        <v>16</v>
      </c>
      <c r="O191">
        <v>143.94999999999999</v>
      </c>
      <c r="P191">
        <v>0</v>
      </c>
      <c r="Q191">
        <v>0</v>
      </c>
      <c r="R191">
        <v>1</v>
      </c>
      <c r="S191" t="s">
        <v>94</v>
      </c>
      <c r="T191">
        <v>1</v>
      </c>
      <c r="V191">
        <f t="shared" si="7"/>
        <v>0</v>
      </c>
      <c r="W191" t="str">
        <f t="shared" si="8"/>
        <v>Missed</v>
      </c>
    </row>
    <row r="192" spans="1:23" x14ac:dyDescent="0.2">
      <c r="A192">
        <v>7613801040</v>
      </c>
      <c r="B192">
        <v>925</v>
      </c>
      <c r="C192" t="s">
        <v>233</v>
      </c>
      <c r="D192" t="s">
        <v>234</v>
      </c>
      <c r="E192" t="s">
        <v>226</v>
      </c>
      <c r="F192" t="s">
        <v>266</v>
      </c>
      <c r="G192" t="s">
        <v>265</v>
      </c>
      <c r="H192">
        <v>1</v>
      </c>
      <c r="I192" t="s">
        <v>596</v>
      </c>
      <c r="J192" s="39">
        <v>46160.637638888897</v>
      </c>
      <c r="K192" s="39">
        <v>46160</v>
      </c>
      <c r="L192" t="str">
        <f t="shared" si="6"/>
        <v>2026-05</v>
      </c>
      <c r="M192" t="s">
        <v>595</v>
      </c>
      <c r="N192">
        <v>12</v>
      </c>
      <c r="O192">
        <v>2.5499999999999998</v>
      </c>
      <c r="P192">
        <v>1</v>
      </c>
      <c r="Q192">
        <v>1</v>
      </c>
      <c r="R192">
        <v>1</v>
      </c>
      <c r="S192" t="s">
        <v>94</v>
      </c>
      <c r="T192">
        <v>2</v>
      </c>
      <c r="U192">
        <v>1</v>
      </c>
      <c r="V192">
        <f t="shared" si="7"/>
        <v>1</v>
      </c>
      <c r="W192" t="str">
        <f t="shared" si="8"/>
        <v>Met</v>
      </c>
    </row>
    <row r="193" spans="1:23" x14ac:dyDescent="0.2">
      <c r="A193">
        <v>7611101746</v>
      </c>
      <c r="B193">
        <v>493</v>
      </c>
      <c r="C193" t="s">
        <v>116</v>
      </c>
      <c r="D193" t="s">
        <v>117</v>
      </c>
      <c r="E193" t="s">
        <v>111</v>
      </c>
      <c r="F193" t="s">
        <v>274</v>
      </c>
      <c r="G193" t="s">
        <v>273</v>
      </c>
      <c r="H193">
        <v>2</v>
      </c>
      <c r="I193" t="s">
        <v>596</v>
      </c>
      <c r="J193" s="39">
        <v>46133.712395833303</v>
      </c>
      <c r="K193" s="39">
        <v>46134</v>
      </c>
      <c r="L193" t="str">
        <f t="shared" si="6"/>
        <v>2026-04</v>
      </c>
      <c r="M193" t="s">
        <v>595</v>
      </c>
      <c r="N193">
        <v>0</v>
      </c>
      <c r="O193">
        <v>22.02</v>
      </c>
      <c r="P193">
        <v>1</v>
      </c>
      <c r="Q193">
        <v>1</v>
      </c>
      <c r="R193">
        <v>1</v>
      </c>
      <c r="S193" t="s">
        <v>94</v>
      </c>
      <c r="T193">
        <v>2</v>
      </c>
      <c r="U193">
        <v>1</v>
      </c>
      <c r="V193">
        <f t="shared" si="7"/>
        <v>1</v>
      </c>
      <c r="W193" t="str">
        <f t="shared" si="8"/>
        <v>Met</v>
      </c>
    </row>
    <row r="194" spans="1:23" x14ac:dyDescent="0.2">
      <c r="A194">
        <v>7602601219</v>
      </c>
      <c r="B194">
        <v>968</v>
      </c>
      <c r="C194" t="s">
        <v>247</v>
      </c>
      <c r="D194" t="s">
        <v>248</v>
      </c>
      <c r="E194" t="s">
        <v>246</v>
      </c>
      <c r="F194" t="s">
        <v>453</v>
      </c>
      <c r="G194" t="s">
        <v>452</v>
      </c>
      <c r="H194">
        <v>1</v>
      </c>
      <c r="I194" t="s">
        <v>596</v>
      </c>
      <c r="J194" s="39">
        <v>46048.576493055603</v>
      </c>
      <c r="K194" s="39">
        <v>46048</v>
      </c>
      <c r="L194" t="str">
        <f t="shared" ref="L194:L257" si="9">IF(K194="","",TEXT(K194,"YYYY-MM"))</f>
        <v>2026-01</v>
      </c>
      <c r="M194" t="s">
        <v>595</v>
      </c>
      <c r="N194">
        <v>12</v>
      </c>
      <c r="O194">
        <v>2.5499999999999998</v>
      </c>
      <c r="P194">
        <v>1</v>
      </c>
      <c r="Q194">
        <v>1</v>
      </c>
      <c r="R194">
        <v>1</v>
      </c>
      <c r="S194" t="s">
        <v>94</v>
      </c>
      <c r="T194">
        <v>2</v>
      </c>
      <c r="U194">
        <v>1</v>
      </c>
      <c r="V194">
        <f t="shared" ref="V194:V257" si="10">IF(R194=0,"",IF(U194&lt;&gt;"",U194,Q194))</f>
        <v>1</v>
      </c>
      <c r="W194" t="str">
        <f t="shared" ref="W194:W257" si="11">IF(R194=0,"Not Eligible",IF(V194=1,"Met","Missed"))</f>
        <v>Met</v>
      </c>
    </row>
    <row r="195" spans="1:23" x14ac:dyDescent="0.2">
      <c r="A195">
        <v>7523405303</v>
      </c>
      <c r="B195">
        <v>637</v>
      </c>
      <c r="C195" t="s">
        <v>192</v>
      </c>
      <c r="D195" t="s">
        <v>193</v>
      </c>
      <c r="E195" t="s">
        <v>181</v>
      </c>
      <c r="F195" t="s">
        <v>272</v>
      </c>
      <c r="G195" t="s">
        <v>271</v>
      </c>
      <c r="H195">
        <v>2</v>
      </c>
      <c r="I195" t="s">
        <v>596</v>
      </c>
      <c r="J195" s="39">
        <v>45891.298564814802</v>
      </c>
      <c r="K195" s="39">
        <v>45891</v>
      </c>
      <c r="L195" t="str">
        <f t="shared" si="9"/>
        <v>2025-08</v>
      </c>
      <c r="M195" t="s">
        <v>595</v>
      </c>
      <c r="N195">
        <v>16</v>
      </c>
      <c r="O195">
        <v>8.8800000000000008</v>
      </c>
      <c r="P195">
        <v>1</v>
      </c>
      <c r="Q195">
        <v>1</v>
      </c>
      <c r="R195">
        <v>1</v>
      </c>
      <c r="S195" t="s">
        <v>95</v>
      </c>
      <c r="T195">
        <v>0</v>
      </c>
      <c r="V195">
        <f t="shared" si="10"/>
        <v>1</v>
      </c>
      <c r="W195" t="str">
        <f t="shared" si="11"/>
        <v>Met</v>
      </c>
    </row>
    <row r="196" spans="1:23" x14ac:dyDescent="0.2">
      <c r="A196">
        <v>7527510297</v>
      </c>
      <c r="B196">
        <v>640</v>
      </c>
      <c r="C196" t="s">
        <v>197</v>
      </c>
      <c r="D196" t="s">
        <v>198</v>
      </c>
      <c r="E196" t="s">
        <v>178</v>
      </c>
      <c r="F196" t="s">
        <v>329</v>
      </c>
      <c r="G196" t="s">
        <v>328</v>
      </c>
      <c r="H196">
        <v>2</v>
      </c>
      <c r="I196" t="s">
        <v>596</v>
      </c>
      <c r="J196" s="39">
        <v>45932.4129398148</v>
      </c>
      <c r="K196" s="39">
        <v>45932</v>
      </c>
      <c r="L196" t="str">
        <f t="shared" si="9"/>
        <v>2025-10</v>
      </c>
      <c r="M196" t="s">
        <v>595</v>
      </c>
      <c r="N196">
        <v>16</v>
      </c>
      <c r="O196">
        <v>3.53</v>
      </c>
      <c r="P196">
        <v>1</v>
      </c>
      <c r="Q196">
        <v>1</v>
      </c>
      <c r="R196">
        <v>1</v>
      </c>
      <c r="S196" t="s">
        <v>95</v>
      </c>
      <c r="T196">
        <v>0</v>
      </c>
      <c r="V196">
        <f t="shared" si="10"/>
        <v>1</v>
      </c>
      <c r="W196" t="str">
        <f t="shared" si="11"/>
        <v>Met</v>
      </c>
    </row>
    <row r="197" spans="1:23" x14ac:dyDescent="0.2">
      <c r="A197">
        <v>7614005652</v>
      </c>
      <c r="B197">
        <v>647</v>
      </c>
      <c r="C197" t="s">
        <v>207</v>
      </c>
      <c r="D197" t="s">
        <v>208</v>
      </c>
      <c r="E197" t="s">
        <v>178</v>
      </c>
      <c r="F197" t="s">
        <v>292</v>
      </c>
      <c r="G197" t="s">
        <v>291</v>
      </c>
      <c r="H197">
        <v>2</v>
      </c>
      <c r="I197" t="s">
        <v>596</v>
      </c>
      <c r="J197" s="39">
        <v>46162.612083333297</v>
      </c>
      <c r="K197" s="39">
        <v>46163</v>
      </c>
      <c r="L197" t="str">
        <f t="shared" si="9"/>
        <v>2026-05</v>
      </c>
      <c r="M197" t="s">
        <v>595</v>
      </c>
      <c r="N197">
        <v>16</v>
      </c>
      <c r="O197">
        <v>21.08</v>
      </c>
      <c r="P197">
        <v>1</v>
      </c>
      <c r="Q197">
        <v>1</v>
      </c>
      <c r="R197">
        <v>1</v>
      </c>
      <c r="S197" t="s">
        <v>94</v>
      </c>
      <c r="T197">
        <v>2</v>
      </c>
      <c r="U197">
        <v>1</v>
      </c>
      <c r="V197">
        <f t="shared" si="10"/>
        <v>1</v>
      </c>
      <c r="W197" t="str">
        <f t="shared" si="11"/>
        <v>Met</v>
      </c>
    </row>
    <row r="198" spans="1:23" x14ac:dyDescent="0.2">
      <c r="A198">
        <v>7610602737</v>
      </c>
      <c r="B198">
        <v>648</v>
      </c>
      <c r="C198" t="s">
        <v>209</v>
      </c>
      <c r="D198" t="s">
        <v>210</v>
      </c>
      <c r="E198" t="s">
        <v>178</v>
      </c>
      <c r="F198" t="s">
        <v>268</v>
      </c>
      <c r="G198" t="s">
        <v>267</v>
      </c>
      <c r="H198">
        <v>2</v>
      </c>
      <c r="I198" t="s">
        <v>594</v>
      </c>
      <c r="J198" s="39">
        <v>46128.678703703699</v>
      </c>
      <c r="K198" s="39">
        <v>46130</v>
      </c>
      <c r="L198" t="str">
        <f t="shared" si="9"/>
        <v>2026-04</v>
      </c>
      <c r="M198" t="s">
        <v>595</v>
      </c>
      <c r="N198">
        <v>0</v>
      </c>
      <c r="O198">
        <v>40.5</v>
      </c>
      <c r="P198">
        <v>1</v>
      </c>
      <c r="Q198">
        <v>1</v>
      </c>
      <c r="R198">
        <v>1</v>
      </c>
      <c r="S198" t="s">
        <v>94</v>
      </c>
      <c r="T198">
        <v>1</v>
      </c>
      <c r="V198">
        <f t="shared" si="10"/>
        <v>1</v>
      </c>
      <c r="W198" t="str">
        <f t="shared" si="11"/>
        <v>Met</v>
      </c>
    </row>
    <row r="199" spans="1:23" x14ac:dyDescent="0.2">
      <c r="A199">
        <v>7526603537</v>
      </c>
      <c r="B199">
        <v>528</v>
      </c>
      <c r="C199" t="s">
        <v>143</v>
      </c>
      <c r="D199" t="s">
        <v>144</v>
      </c>
      <c r="E199" t="s">
        <v>134</v>
      </c>
      <c r="F199" t="s">
        <v>341</v>
      </c>
      <c r="G199" t="s">
        <v>340</v>
      </c>
      <c r="H199">
        <v>2</v>
      </c>
      <c r="I199" t="s">
        <v>596</v>
      </c>
      <c r="J199" s="39">
        <v>45923.434236111098</v>
      </c>
      <c r="K199" s="39">
        <v>45923</v>
      </c>
      <c r="L199" t="str">
        <f t="shared" si="9"/>
        <v>2025-09</v>
      </c>
      <c r="M199" t="s">
        <v>595</v>
      </c>
      <c r="N199">
        <v>16</v>
      </c>
      <c r="O199">
        <v>5.2</v>
      </c>
      <c r="P199">
        <v>1</v>
      </c>
      <c r="Q199">
        <v>1</v>
      </c>
      <c r="R199">
        <v>1</v>
      </c>
      <c r="S199" t="s">
        <v>95</v>
      </c>
      <c r="T199">
        <v>0</v>
      </c>
      <c r="V199">
        <f t="shared" si="10"/>
        <v>1</v>
      </c>
      <c r="W199" t="str">
        <f t="shared" si="11"/>
        <v>Met</v>
      </c>
    </row>
    <row r="200" spans="1:23" x14ac:dyDescent="0.2">
      <c r="A200">
        <v>7521807648</v>
      </c>
      <c r="B200">
        <v>921</v>
      </c>
      <c r="C200" t="s">
        <v>229</v>
      </c>
      <c r="D200" t="s">
        <v>230</v>
      </c>
      <c r="E200" t="s">
        <v>226</v>
      </c>
      <c r="F200" t="s">
        <v>416</v>
      </c>
      <c r="G200" t="s">
        <v>415</v>
      </c>
      <c r="H200">
        <v>2</v>
      </c>
      <c r="I200" t="s">
        <v>594</v>
      </c>
      <c r="J200" s="39">
        <v>45875.6188541667</v>
      </c>
      <c r="K200" s="39">
        <v>45875</v>
      </c>
      <c r="L200" t="str">
        <f t="shared" si="9"/>
        <v>2025-08</v>
      </c>
      <c r="M200" t="s">
        <v>595</v>
      </c>
      <c r="N200">
        <v>16</v>
      </c>
      <c r="O200">
        <v>1.07</v>
      </c>
      <c r="P200">
        <v>0</v>
      </c>
      <c r="Q200">
        <v>0</v>
      </c>
      <c r="R200">
        <v>0</v>
      </c>
      <c r="S200" t="s">
        <v>95</v>
      </c>
      <c r="T200">
        <v>0</v>
      </c>
      <c r="V200" t="str">
        <f t="shared" si="10"/>
        <v/>
      </c>
      <c r="W200" t="str">
        <f t="shared" si="11"/>
        <v>Not Eligible</v>
      </c>
    </row>
    <row r="201" spans="1:23" x14ac:dyDescent="0.2">
      <c r="A201">
        <v>7616900474</v>
      </c>
      <c r="B201">
        <v>923</v>
      </c>
      <c r="C201" t="s">
        <v>231</v>
      </c>
      <c r="D201" t="s">
        <v>232</v>
      </c>
      <c r="E201" t="s">
        <v>226</v>
      </c>
      <c r="F201" t="s">
        <v>335</v>
      </c>
      <c r="G201" t="s">
        <v>334</v>
      </c>
      <c r="H201">
        <v>2</v>
      </c>
      <c r="I201" t="s">
        <v>596</v>
      </c>
      <c r="J201" s="39">
        <v>46190.848009259302</v>
      </c>
      <c r="K201" s="39">
        <v>46196</v>
      </c>
      <c r="L201" t="str">
        <f t="shared" si="9"/>
        <v>2026-06</v>
      </c>
      <c r="M201" t="s">
        <v>595</v>
      </c>
      <c r="N201">
        <v>16</v>
      </c>
      <c r="O201">
        <v>141.27000000000001</v>
      </c>
      <c r="P201">
        <v>0</v>
      </c>
      <c r="Q201">
        <v>0</v>
      </c>
      <c r="R201">
        <v>1</v>
      </c>
      <c r="S201" t="s">
        <v>94</v>
      </c>
      <c r="T201">
        <v>0</v>
      </c>
      <c r="U201">
        <v>0</v>
      </c>
      <c r="V201">
        <f t="shared" si="10"/>
        <v>0</v>
      </c>
      <c r="W201" t="str">
        <f t="shared" si="11"/>
        <v>Missed</v>
      </c>
    </row>
    <row r="202" spans="1:23" x14ac:dyDescent="0.2">
      <c r="A202">
        <v>7530114317</v>
      </c>
      <c r="B202">
        <v>543</v>
      </c>
      <c r="C202" t="s">
        <v>162</v>
      </c>
      <c r="D202" t="s">
        <v>163</v>
      </c>
      <c r="E202" t="s">
        <v>159</v>
      </c>
      <c r="F202" t="s">
        <v>538</v>
      </c>
      <c r="G202" t="s">
        <v>537</v>
      </c>
      <c r="H202">
        <v>2</v>
      </c>
      <c r="I202" t="s">
        <v>596</v>
      </c>
      <c r="J202" s="39">
        <v>45958.365509259304</v>
      </c>
      <c r="K202" s="39">
        <v>45958</v>
      </c>
      <c r="L202" t="str">
        <f t="shared" si="9"/>
        <v>2025-10</v>
      </c>
      <c r="M202" t="s">
        <v>595</v>
      </c>
      <c r="N202">
        <v>16</v>
      </c>
      <c r="O202">
        <v>4.28</v>
      </c>
      <c r="P202">
        <v>1</v>
      </c>
      <c r="Q202">
        <v>1</v>
      </c>
      <c r="R202">
        <v>1</v>
      </c>
      <c r="S202" t="s">
        <v>95</v>
      </c>
      <c r="T202">
        <v>0</v>
      </c>
      <c r="V202">
        <f t="shared" si="10"/>
        <v>1</v>
      </c>
      <c r="W202" t="str">
        <f t="shared" si="11"/>
        <v>Met</v>
      </c>
    </row>
    <row r="203" spans="1:23" x14ac:dyDescent="0.2">
      <c r="A203">
        <v>7617502541</v>
      </c>
      <c r="B203">
        <v>645</v>
      </c>
      <c r="C203" t="s">
        <v>205</v>
      </c>
      <c r="D203" t="s">
        <v>206</v>
      </c>
      <c r="E203" t="s">
        <v>178</v>
      </c>
      <c r="F203" t="s">
        <v>349</v>
      </c>
      <c r="G203" t="s">
        <v>348</v>
      </c>
      <c r="H203">
        <v>2</v>
      </c>
      <c r="I203" t="s">
        <v>596</v>
      </c>
      <c r="J203" s="39">
        <v>46197.390150462998</v>
      </c>
      <c r="K203" s="39">
        <v>46197</v>
      </c>
      <c r="L203" t="str">
        <f t="shared" si="9"/>
        <v>2026-06</v>
      </c>
      <c r="M203" t="s">
        <v>595</v>
      </c>
      <c r="N203">
        <v>16</v>
      </c>
      <c r="O203">
        <v>2.4500000000000002</v>
      </c>
      <c r="P203">
        <v>1</v>
      </c>
      <c r="Q203">
        <v>1</v>
      </c>
      <c r="R203">
        <v>1</v>
      </c>
      <c r="S203" t="s">
        <v>94</v>
      </c>
      <c r="T203">
        <v>2</v>
      </c>
      <c r="U203">
        <v>1</v>
      </c>
      <c r="V203">
        <f t="shared" si="10"/>
        <v>1</v>
      </c>
      <c r="W203" t="str">
        <f t="shared" si="11"/>
        <v>Met</v>
      </c>
    </row>
    <row r="204" spans="1:23" x14ac:dyDescent="0.2">
      <c r="A204">
        <v>7523803552</v>
      </c>
      <c r="B204">
        <v>525</v>
      </c>
      <c r="C204" t="s">
        <v>139</v>
      </c>
      <c r="D204" t="s">
        <v>133</v>
      </c>
      <c r="E204" t="s">
        <v>134</v>
      </c>
      <c r="F204" t="s">
        <v>260</v>
      </c>
      <c r="G204" t="s">
        <v>259</v>
      </c>
      <c r="H204">
        <v>1</v>
      </c>
      <c r="I204" t="s">
        <v>596</v>
      </c>
      <c r="J204" s="39">
        <v>45894.846307870401</v>
      </c>
      <c r="K204" s="39">
        <v>45895</v>
      </c>
      <c r="L204" t="str">
        <f t="shared" si="9"/>
        <v>2025-08</v>
      </c>
      <c r="M204" t="s">
        <v>595</v>
      </c>
      <c r="N204">
        <v>12</v>
      </c>
      <c r="O204">
        <v>19.05</v>
      </c>
      <c r="P204">
        <v>0</v>
      </c>
      <c r="Q204">
        <v>0</v>
      </c>
      <c r="R204">
        <v>0</v>
      </c>
      <c r="S204" t="s">
        <v>95</v>
      </c>
      <c r="T204">
        <v>0</v>
      </c>
      <c r="V204" t="str">
        <f t="shared" si="10"/>
        <v/>
      </c>
      <c r="W204" t="str">
        <f t="shared" si="11"/>
        <v>Not Eligible</v>
      </c>
    </row>
    <row r="205" spans="1:23" x14ac:dyDescent="0.2">
      <c r="A205">
        <v>7605504318</v>
      </c>
      <c r="B205">
        <v>562</v>
      </c>
      <c r="C205" t="s">
        <v>172</v>
      </c>
      <c r="D205" t="s">
        <v>173</v>
      </c>
      <c r="E205" t="s">
        <v>159</v>
      </c>
      <c r="F205" t="s">
        <v>306</v>
      </c>
      <c r="G205" t="s">
        <v>305</v>
      </c>
      <c r="H205">
        <v>2</v>
      </c>
      <c r="I205" t="s">
        <v>596</v>
      </c>
      <c r="J205" s="39">
        <v>46077.351840277799</v>
      </c>
      <c r="K205" s="39">
        <v>46077</v>
      </c>
      <c r="L205" t="str">
        <f t="shared" si="9"/>
        <v>2026-02</v>
      </c>
      <c r="M205" t="s">
        <v>595</v>
      </c>
      <c r="N205">
        <v>0</v>
      </c>
      <c r="O205">
        <v>2.82</v>
      </c>
      <c r="P205">
        <v>1</v>
      </c>
      <c r="Q205">
        <v>1</v>
      </c>
      <c r="R205">
        <v>1</v>
      </c>
      <c r="S205" t="s">
        <v>94</v>
      </c>
      <c r="T205">
        <v>2</v>
      </c>
      <c r="U205">
        <v>1</v>
      </c>
      <c r="V205">
        <f t="shared" si="10"/>
        <v>1</v>
      </c>
      <c r="W205" t="str">
        <f t="shared" si="11"/>
        <v>Met</v>
      </c>
    </row>
    <row r="206" spans="1:23" x14ac:dyDescent="0.2">
      <c r="A206">
        <v>7610204577</v>
      </c>
      <c r="B206">
        <v>631</v>
      </c>
      <c r="C206" t="s">
        <v>179</v>
      </c>
      <c r="D206" t="s">
        <v>180</v>
      </c>
      <c r="E206" t="s">
        <v>181</v>
      </c>
      <c r="F206" t="s">
        <v>262</v>
      </c>
      <c r="G206" t="s">
        <v>261</v>
      </c>
      <c r="H206">
        <v>2</v>
      </c>
      <c r="I206" t="s">
        <v>594</v>
      </c>
      <c r="J206" s="39">
        <v>46124.4050810185</v>
      </c>
      <c r="K206" s="39">
        <v>46124</v>
      </c>
      <c r="L206" t="str">
        <f t="shared" si="9"/>
        <v>2026-04</v>
      </c>
      <c r="M206" t="s">
        <v>595</v>
      </c>
      <c r="N206">
        <v>0</v>
      </c>
      <c r="O206">
        <v>3.88</v>
      </c>
      <c r="P206">
        <v>1</v>
      </c>
      <c r="Q206">
        <v>1</v>
      </c>
      <c r="R206">
        <v>1</v>
      </c>
      <c r="S206" t="s">
        <v>94</v>
      </c>
      <c r="T206">
        <v>2</v>
      </c>
      <c r="U206">
        <v>1</v>
      </c>
      <c r="V206">
        <f t="shared" si="10"/>
        <v>1</v>
      </c>
      <c r="W206" t="str">
        <f t="shared" si="11"/>
        <v>Met</v>
      </c>
    </row>
    <row r="207" spans="1:23" x14ac:dyDescent="0.2">
      <c r="A207">
        <v>7612604388</v>
      </c>
      <c r="B207">
        <v>637</v>
      </c>
      <c r="C207" t="s">
        <v>192</v>
      </c>
      <c r="D207" t="s">
        <v>193</v>
      </c>
      <c r="E207" t="s">
        <v>181</v>
      </c>
      <c r="F207" t="s">
        <v>388</v>
      </c>
      <c r="G207" t="s">
        <v>387</v>
      </c>
      <c r="H207">
        <v>2</v>
      </c>
      <c r="I207" t="s">
        <v>596</v>
      </c>
      <c r="J207" s="39">
        <v>46148.602175925902</v>
      </c>
      <c r="K207" s="39">
        <v>46148</v>
      </c>
      <c r="L207" t="str">
        <f t="shared" si="9"/>
        <v>2026-05</v>
      </c>
      <c r="M207" t="s">
        <v>595</v>
      </c>
      <c r="N207">
        <v>0</v>
      </c>
      <c r="O207">
        <v>2.63</v>
      </c>
      <c r="P207">
        <v>1</v>
      </c>
      <c r="Q207">
        <v>1</v>
      </c>
      <c r="R207">
        <v>1</v>
      </c>
      <c r="S207" t="s">
        <v>94</v>
      </c>
      <c r="T207">
        <v>2</v>
      </c>
      <c r="U207">
        <v>1</v>
      </c>
      <c r="V207">
        <f t="shared" si="10"/>
        <v>1</v>
      </c>
      <c r="W207" t="str">
        <f t="shared" si="11"/>
        <v>Met</v>
      </c>
    </row>
    <row r="208" spans="1:23" x14ac:dyDescent="0.2">
      <c r="A208">
        <v>7526201281</v>
      </c>
      <c r="B208">
        <v>527</v>
      </c>
      <c r="C208" t="s">
        <v>141</v>
      </c>
      <c r="D208" t="s">
        <v>142</v>
      </c>
      <c r="E208" t="s">
        <v>134</v>
      </c>
      <c r="F208" t="s">
        <v>341</v>
      </c>
      <c r="G208" t="s">
        <v>340</v>
      </c>
      <c r="H208">
        <v>2</v>
      </c>
      <c r="I208" t="s">
        <v>594</v>
      </c>
      <c r="J208" s="39">
        <v>45919.665844907402</v>
      </c>
      <c r="K208" s="39">
        <v>45922</v>
      </c>
      <c r="L208" t="str">
        <f t="shared" si="9"/>
        <v>2025-09</v>
      </c>
      <c r="M208" t="s">
        <v>595</v>
      </c>
      <c r="N208">
        <v>16</v>
      </c>
      <c r="O208">
        <v>67.430000000000007</v>
      </c>
      <c r="P208">
        <v>0</v>
      </c>
      <c r="Q208">
        <v>0</v>
      </c>
      <c r="R208">
        <v>0</v>
      </c>
      <c r="S208" t="s">
        <v>94</v>
      </c>
      <c r="T208">
        <v>1</v>
      </c>
      <c r="V208" t="str">
        <f t="shared" si="10"/>
        <v/>
      </c>
      <c r="W208" t="str">
        <f t="shared" si="11"/>
        <v>Not Eligible</v>
      </c>
    </row>
    <row r="209" spans="1:23" x14ac:dyDescent="0.2">
      <c r="A209">
        <v>7601301469</v>
      </c>
      <c r="B209">
        <v>542</v>
      </c>
      <c r="C209" t="s">
        <v>160</v>
      </c>
      <c r="D209" t="s">
        <v>161</v>
      </c>
      <c r="E209" t="s">
        <v>159</v>
      </c>
      <c r="F209" t="s">
        <v>540</v>
      </c>
      <c r="G209" t="s">
        <v>539</v>
      </c>
      <c r="H209">
        <v>2</v>
      </c>
      <c r="I209" t="s">
        <v>596</v>
      </c>
      <c r="J209" s="39">
        <v>46035.643194444398</v>
      </c>
      <c r="K209" s="39">
        <v>46036</v>
      </c>
      <c r="L209" t="str">
        <f t="shared" si="9"/>
        <v>2026-01</v>
      </c>
      <c r="M209" t="s">
        <v>595</v>
      </c>
      <c r="N209">
        <v>16</v>
      </c>
      <c r="O209">
        <v>17.73</v>
      </c>
      <c r="P209">
        <v>1</v>
      </c>
      <c r="Q209">
        <v>1</v>
      </c>
      <c r="R209">
        <v>1</v>
      </c>
      <c r="S209" t="s">
        <v>94</v>
      </c>
      <c r="T209">
        <v>2</v>
      </c>
      <c r="U209">
        <v>1</v>
      </c>
      <c r="V209">
        <f t="shared" si="10"/>
        <v>1</v>
      </c>
      <c r="W209" t="str">
        <f t="shared" si="11"/>
        <v>Met</v>
      </c>
    </row>
    <row r="210" spans="1:23" x14ac:dyDescent="0.2">
      <c r="A210">
        <v>7606104409</v>
      </c>
      <c r="B210">
        <v>522</v>
      </c>
      <c r="C210" t="s">
        <v>132</v>
      </c>
      <c r="D210" t="s">
        <v>133</v>
      </c>
      <c r="E210" t="s">
        <v>134</v>
      </c>
      <c r="F210" t="s">
        <v>264</v>
      </c>
      <c r="G210" t="s">
        <v>263</v>
      </c>
      <c r="H210">
        <v>2</v>
      </c>
      <c r="I210" t="s">
        <v>596</v>
      </c>
      <c r="J210" s="39">
        <v>46083.387060185203</v>
      </c>
      <c r="K210" s="39">
        <v>46083</v>
      </c>
      <c r="L210" t="str">
        <f t="shared" si="9"/>
        <v>2026-03</v>
      </c>
      <c r="M210" t="s">
        <v>595</v>
      </c>
      <c r="N210">
        <v>0</v>
      </c>
      <c r="O210">
        <v>11.2</v>
      </c>
      <c r="P210">
        <v>1</v>
      </c>
      <c r="Q210">
        <v>1</v>
      </c>
      <c r="R210">
        <v>1</v>
      </c>
      <c r="S210" t="s">
        <v>94</v>
      </c>
      <c r="T210">
        <v>2</v>
      </c>
      <c r="U210">
        <v>1</v>
      </c>
      <c r="V210">
        <f t="shared" si="10"/>
        <v>1</v>
      </c>
      <c r="W210" t="str">
        <f t="shared" si="11"/>
        <v>Met</v>
      </c>
    </row>
    <row r="211" spans="1:23" x14ac:dyDescent="0.2">
      <c r="A211">
        <v>7530106553</v>
      </c>
      <c r="B211">
        <v>563</v>
      </c>
      <c r="C211" t="s">
        <v>174</v>
      </c>
      <c r="D211" t="s">
        <v>175</v>
      </c>
      <c r="E211" t="s">
        <v>159</v>
      </c>
      <c r="F211" t="s">
        <v>304</v>
      </c>
      <c r="G211" t="s">
        <v>303</v>
      </c>
      <c r="H211">
        <v>2</v>
      </c>
      <c r="I211" t="s">
        <v>596</v>
      </c>
      <c r="J211" s="39">
        <v>45958.570428240702</v>
      </c>
      <c r="K211" s="39">
        <v>45962</v>
      </c>
      <c r="L211" t="str">
        <f t="shared" si="9"/>
        <v>2025-11</v>
      </c>
      <c r="M211" t="s">
        <v>595</v>
      </c>
      <c r="N211">
        <v>16</v>
      </c>
      <c r="O211">
        <v>102.1</v>
      </c>
      <c r="P211">
        <v>0</v>
      </c>
      <c r="Q211">
        <v>0</v>
      </c>
      <c r="R211">
        <v>1</v>
      </c>
      <c r="S211" t="s">
        <v>95</v>
      </c>
      <c r="T211">
        <v>0</v>
      </c>
      <c r="V211">
        <f t="shared" si="10"/>
        <v>0</v>
      </c>
      <c r="W211" t="str">
        <f t="shared" si="11"/>
        <v>Missed</v>
      </c>
    </row>
    <row r="212" spans="1:23" x14ac:dyDescent="0.2">
      <c r="A212">
        <v>7605902380</v>
      </c>
      <c r="B212">
        <v>643</v>
      </c>
      <c r="C212" t="s">
        <v>201</v>
      </c>
      <c r="D212" t="s">
        <v>202</v>
      </c>
      <c r="E212" t="s">
        <v>178</v>
      </c>
      <c r="F212" t="s">
        <v>497</v>
      </c>
      <c r="G212" t="s">
        <v>496</v>
      </c>
      <c r="H212">
        <v>2</v>
      </c>
      <c r="I212" t="s">
        <v>596</v>
      </c>
      <c r="J212" s="39">
        <v>46081.410925925898</v>
      </c>
      <c r="K212" s="39">
        <v>46081</v>
      </c>
      <c r="L212" t="str">
        <f t="shared" si="9"/>
        <v>2026-02</v>
      </c>
      <c r="M212" t="s">
        <v>595</v>
      </c>
      <c r="N212">
        <v>0</v>
      </c>
      <c r="O212">
        <v>2.57</v>
      </c>
      <c r="P212">
        <v>1</v>
      </c>
      <c r="Q212">
        <v>1</v>
      </c>
      <c r="R212">
        <v>1</v>
      </c>
      <c r="S212" t="s">
        <v>94</v>
      </c>
      <c r="T212">
        <v>2</v>
      </c>
      <c r="U212">
        <v>1</v>
      </c>
      <c r="V212">
        <f t="shared" si="10"/>
        <v>1</v>
      </c>
      <c r="W212" t="str">
        <f t="shared" si="11"/>
        <v>Met</v>
      </c>
    </row>
    <row r="213" spans="1:23" x14ac:dyDescent="0.2">
      <c r="A213">
        <v>7602312079</v>
      </c>
      <c r="B213">
        <v>632</v>
      </c>
      <c r="C213" t="s">
        <v>182</v>
      </c>
      <c r="D213" t="s">
        <v>183</v>
      </c>
      <c r="E213" t="s">
        <v>181</v>
      </c>
      <c r="F213" t="s">
        <v>501</v>
      </c>
      <c r="G213" t="s">
        <v>500</v>
      </c>
      <c r="H213">
        <v>2</v>
      </c>
      <c r="I213" t="s">
        <v>594</v>
      </c>
      <c r="J213" s="39">
        <v>46045.509502314802</v>
      </c>
      <c r="K213" s="39">
        <v>46046</v>
      </c>
      <c r="L213" t="str">
        <f t="shared" si="9"/>
        <v>2026-01</v>
      </c>
      <c r="M213" t="s">
        <v>595</v>
      </c>
      <c r="N213">
        <v>16</v>
      </c>
      <c r="O213">
        <v>20.23</v>
      </c>
      <c r="P213">
        <v>0</v>
      </c>
      <c r="Q213">
        <v>0</v>
      </c>
      <c r="R213">
        <v>0</v>
      </c>
      <c r="S213" t="s">
        <v>94</v>
      </c>
      <c r="T213">
        <v>2</v>
      </c>
      <c r="U213">
        <v>1</v>
      </c>
      <c r="V213" t="str">
        <f t="shared" si="10"/>
        <v/>
      </c>
      <c r="W213" t="str">
        <f t="shared" si="11"/>
        <v>Not Eligible</v>
      </c>
    </row>
    <row r="214" spans="1:23" x14ac:dyDescent="0.2">
      <c r="A214">
        <v>7609403967</v>
      </c>
      <c r="B214">
        <v>493</v>
      </c>
      <c r="C214" t="s">
        <v>116</v>
      </c>
      <c r="D214" t="s">
        <v>117</v>
      </c>
      <c r="E214" t="s">
        <v>111</v>
      </c>
      <c r="F214" t="s">
        <v>290</v>
      </c>
      <c r="G214" t="s">
        <v>289</v>
      </c>
      <c r="H214">
        <v>2</v>
      </c>
      <c r="I214" t="s">
        <v>596</v>
      </c>
      <c r="J214" s="39">
        <v>46115.809270833299</v>
      </c>
      <c r="K214" s="39">
        <v>46115</v>
      </c>
      <c r="L214" t="str">
        <f t="shared" si="9"/>
        <v>2026-04</v>
      </c>
      <c r="M214" t="s">
        <v>595</v>
      </c>
      <c r="N214">
        <v>16</v>
      </c>
      <c r="O214">
        <v>2.0699999999999998</v>
      </c>
      <c r="P214">
        <v>1</v>
      </c>
      <c r="Q214">
        <v>1</v>
      </c>
      <c r="R214">
        <v>1</v>
      </c>
      <c r="S214" t="s">
        <v>94</v>
      </c>
      <c r="T214">
        <v>2</v>
      </c>
      <c r="U214">
        <v>1</v>
      </c>
      <c r="V214">
        <f t="shared" si="10"/>
        <v>1</v>
      </c>
      <c r="W214" t="str">
        <f t="shared" si="11"/>
        <v>Met</v>
      </c>
    </row>
    <row r="215" spans="1:23" x14ac:dyDescent="0.2">
      <c r="A215">
        <v>7617301207</v>
      </c>
      <c r="B215">
        <v>931</v>
      </c>
      <c r="C215" t="s">
        <v>242</v>
      </c>
      <c r="D215" t="s">
        <v>243</v>
      </c>
      <c r="E215" t="s">
        <v>226</v>
      </c>
      <c r="F215" t="s">
        <v>418</v>
      </c>
      <c r="G215" t="s">
        <v>417</v>
      </c>
      <c r="H215">
        <v>2</v>
      </c>
      <c r="I215" t="s">
        <v>596</v>
      </c>
      <c r="J215" s="39">
        <v>46195.671076388899</v>
      </c>
      <c r="K215" s="39">
        <v>46197</v>
      </c>
      <c r="L215" t="str">
        <f t="shared" si="9"/>
        <v>2026-06</v>
      </c>
      <c r="M215" t="s">
        <v>595</v>
      </c>
      <c r="N215">
        <v>16</v>
      </c>
      <c r="O215">
        <v>42.63</v>
      </c>
      <c r="P215">
        <v>0</v>
      </c>
      <c r="Q215">
        <v>0</v>
      </c>
      <c r="R215">
        <v>1</v>
      </c>
      <c r="S215" t="s">
        <v>94</v>
      </c>
      <c r="T215">
        <v>1</v>
      </c>
      <c r="V215">
        <f t="shared" si="10"/>
        <v>0</v>
      </c>
      <c r="W215" t="str">
        <f t="shared" si="11"/>
        <v>Missed</v>
      </c>
    </row>
    <row r="216" spans="1:23" x14ac:dyDescent="0.2">
      <c r="A216">
        <v>7528401303</v>
      </c>
      <c r="B216">
        <v>541</v>
      </c>
      <c r="C216" t="s">
        <v>158</v>
      </c>
      <c r="D216" t="s">
        <v>147</v>
      </c>
      <c r="E216" t="s">
        <v>159</v>
      </c>
      <c r="F216" t="s">
        <v>254</v>
      </c>
      <c r="G216" t="s">
        <v>253</v>
      </c>
      <c r="H216">
        <v>1</v>
      </c>
      <c r="I216" t="s">
        <v>594</v>
      </c>
      <c r="J216" s="39">
        <v>45941.587986111103</v>
      </c>
      <c r="K216" s="39">
        <v>45944</v>
      </c>
      <c r="L216" t="str">
        <f t="shared" si="9"/>
        <v>2025-10</v>
      </c>
      <c r="M216" t="s">
        <v>595</v>
      </c>
      <c r="N216">
        <v>12</v>
      </c>
      <c r="O216">
        <v>73.55</v>
      </c>
      <c r="P216">
        <v>0</v>
      </c>
      <c r="Q216">
        <v>0</v>
      </c>
      <c r="R216">
        <v>0</v>
      </c>
      <c r="S216" t="s">
        <v>95</v>
      </c>
      <c r="T216">
        <v>0</v>
      </c>
      <c r="V216" t="str">
        <f t="shared" si="10"/>
        <v/>
      </c>
      <c r="W216" t="str">
        <f t="shared" si="11"/>
        <v>Not Eligible</v>
      </c>
    </row>
    <row r="217" spans="1:23" x14ac:dyDescent="0.2">
      <c r="A217">
        <v>7610902774</v>
      </c>
      <c r="B217">
        <v>522</v>
      </c>
      <c r="C217" t="s">
        <v>132</v>
      </c>
      <c r="D217" t="s">
        <v>133</v>
      </c>
      <c r="E217" t="s">
        <v>134</v>
      </c>
      <c r="F217" t="s">
        <v>318</v>
      </c>
      <c r="G217" t="s">
        <v>317</v>
      </c>
      <c r="H217">
        <v>2</v>
      </c>
      <c r="I217" t="s">
        <v>596</v>
      </c>
      <c r="J217" s="39">
        <v>46131.712268518502</v>
      </c>
      <c r="K217" s="39">
        <v>46131</v>
      </c>
      <c r="L217" t="str">
        <f t="shared" si="9"/>
        <v>2026-04</v>
      </c>
      <c r="M217" t="s">
        <v>595</v>
      </c>
      <c r="N217">
        <v>0</v>
      </c>
      <c r="O217">
        <v>3.57</v>
      </c>
      <c r="P217">
        <v>1</v>
      </c>
      <c r="Q217">
        <v>1</v>
      </c>
      <c r="R217">
        <v>1</v>
      </c>
      <c r="S217" t="s">
        <v>94</v>
      </c>
      <c r="T217">
        <v>2</v>
      </c>
      <c r="U217">
        <v>1</v>
      </c>
      <c r="V217">
        <f t="shared" si="10"/>
        <v>1</v>
      </c>
      <c r="W217" t="str">
        <f t="shared" si="11"/>
        <v>Met</v>
      </c>
    </row>
    <row r="218" spans="1:23" x14ac:dyDescent="0.2">
      <c r="A218">
        <v>7600402188</v>
      </c>
      <c r="B218">
        <v>562</v>
      </c>
      <c r="C218" t="s">
        <v>172</v>
      </c>
      <c r="D218" t="s">
        <v>173</v>
      </c>
      <c r="E218" t="s">
        <v>159</v>
      </c>
      <c r="F218" t="s">
        <v>306</v>
      </c>
      <c r="G218" t="s">
        <v>305</v>
      </c>
      <c r="H218">
        <v>2</v>
      </c>
      <c r="I218" t="s">
        <v>594</v>
      </c>
      <c r="J218" s="39">
        <v>46026.401469907403</v>
      </c>
      <c r="K218" s="39">
        <v>46026</v>
      </c>
      <c r="L218" t="str">
        <f t="shared" si="9"/>
        <v>2026-01</v>
      </c>
      <c r="M218" t="s">
        <v>595</v>
      </c>
      <c r="N218">
        <v>16</v>
      </c>
      <c r="O218">
        <v>1.03</v>
      </c>
      <c r="P218">
        <v>0</v>
      </c>
      <c r="Q218">
        <v>0</v>
      </c>
      <c r="R218">
        <v>0</v>
      </c>
      <c r="S218" t="s">
        <v>94</v>
      </c>
      <c r="T218">
        <v>1</v>
      </c>
      <c r="V218" t="str">
        <f t="shared" si="10"/>
        <v/>
      </c>
      <c r="W218" t="str">
        <f t="shared" si="11"/>
        <v>Not Eligible</v>
      </c>
    </row>
    <row r="219" spans="1:23" x14ac:dyDescent="0.2">
      <c r="A219">
        <v>7605405430</v>
      </c>
      <c r="B219">
        <v>639</v>
      </c>
      <c r="C219" t="s">
        <v>195</v>
      </c>
      <c r="D219" t="s">
        <v>196</v>
      </c>
      <c r="E219" t="s">
        <v>181</v>
      </c>
      <c r="F219" t="s">
        <v>256</v>
      </c>
      <c r="G219" t="s">
        <v>255</v>
      </c>
      <c r="H219">
        <v>1</v>
      </c>
      <c r="I219" t="s">
        <v>596</v>
      </c>
      <c r="J219" s="39">
        <v>46076.353668981501</v>
      </c>
      <c r="K219" s="39">
        <v>46076</v>
      </c>
      <c r="L219" t="str">
        <f t="shared" si="9"/>
        <v>2026-02</v>
      </c>
      <c r="M219" t="s">
        <v>595</v>
      </c>
      <c r="N219">
        <v>0</v>
      </c>
      <c r="O219">
        <v>3.48</v>
      </c>
      <c r="P219">
        <v>1</v>
      </c>
      <c r="Q219">
        <v>1</v>
      </c>
      <c r="R219">
        <v>1</v>
      </c>
      <c r="S219" t="s">
        <v>94</v>
      </c>
      <c r="T219">
        <v>2</v>
      </c>
      <c r="U219">
        <v>1</v>
      </c>
      <c r="V219">
        <f t="shared" si="10"/>
        <v>1</v>
      </c>
      <c r="W219" t="str">
        <f t="shared" si="11"/>
        <v>Met</v>
      </c>
    </row>
    <row r="220" spans="1:23" x14ac:dyDescent="0.2">
      <c r="A220">
        <v>7613106378</v>
      </c>
      <c r="B220">
        <v>929</v>
      </c>
      <c r="C220" t="s">
        <v>240</v>
      </c>
      <c r="D220" t="s">
        <v>241</v>
      </c>
      <c r="E220" t="s">
        <v>226</v>
      </c>
      <c r="F220" t="s">
        <v>339</v>
      </c>
      <c r="G220" t="s">
        <v>338</v>
      </c>
      <c r="H220">
        <v>2</v>
      </c>
      <c r="I220" t="s">
        <v>596</v>
      </c>
      <c r="J220" s="39">
        <v>46153.529456018499</v>
      </c>
      <c r="K220" s="39">
        <v>46153</v>
      </c>
      <c r="L220" t="str">
        <f t="shared" si="9"/>
        <v>2026-05</v>
      </c>
      <c r="M220" t="s">
        <v>595</v>
      </c>
      <c r="N220">
        <v>16</v>
      </c>
      <c r="O220">
        <v>5.83</v>
      </c>
      <c r="P220">
        <v>1</v>
      </c>
      <c r="Q220">
        <v>1</v>
      </c>
      <c r="R220">
        <v>1</v>
      </c>
      <c r="S220" t="s">
        <v>94</v>
      </c>
      <c r="T220">
        <v>2</v>
      </c>
      <c r="U220">
        <v>1</v>
      </c>
      <c r="V220">
        <f t="shared" si="10"/>
        <v>1</v>
      </c>
      <c r="W220" t="str">
        <f t="shared" si="11"/>
        <v>Met</v>
      </c>
    </row>
    <row r="221" spans="1:23" x14ac:dyDescent="0.2">
      <c r="A221">
        <v>7600615490</v>
      </c>
      <c r="B221">
        <v>523</v>
      </c>
      <c r="C221" t="s">
        <v>135</v>
      </c>
      <c r="D221" t="s">
        <v>136</v>
      </c>
      <c r="E221" t="s">
        <v>134</v>
      </c>
      <c r="F221" t="s">
        <v>300</v>
      </c>
      <c r="G221" t="s">
        <v>299</v>
      </c>
      <c r="H221">
        <v>2</v>
      </c>
      <c r="I221" t="s">
        <v>596</v>
      </c>
      <c r="J221" s="39">
        <v>46027.819803240702</v>
      </c>
      <c r="K221" s="39">
        <v>46028</v>
      </c>
      <c r="L221" t="str">
        <f t="shared" si="9"/>
        <v>2026-01</v>
      </c>
      <c r="M221" t="s">
        <v>595</v>
      </c>
      <c r="N221">
        <v>16</v>
      </c>
      <c r="O221">
        <v>18.600000000000001</v>
      </c>
      <c r="P221">
        <v>1</v>
      </c>
      <c r="Q221">
        <v>1</v>
      </c>
      <c r="R221">
        <v>1</v>
      </c>
      <c r="S221" t="s">
        <v>94</v>
      </c>
      <c r="T221">
        <v>2</v>
      </c>
      <c r="U221">
        <v>1</v>
      </c>
      <c r="V221">
        <f t="shared" si="10"/>
        <v>1</v>
      </c>
      <c r="W221" t="str">
        <f t="shared" si="11"/>
        <v>Met</v>
      </c>
    </row>
    <row r="222" spans="1:23" x14ac:dyDescent="0.2">
      <c r="A222">
        <v>7529601257</v>
      </c>
      <c r="B222">
        <v>545</v>
      </c>
      <c r="C222" t="s">
        <v>166</v>
      </c>
      <c r="D222" t="s">
        <v>167</v>
      </c>
      <c r="E222" t="s">
        <v>159</v>
      </c>
      <c r="F222" t="s">
        <v>254</v>
      </c>
      <c r="G222" t="s">
        <v>253</v>
      </c>
      <c r="H222">
        <v>2</v>
      </c>
      <c r="I222" t="s">
        <v>596</v>
      </c>
      <c r="J222" s="39">
        <v>45953.651828703703</v>
      </c>
      <c r="K222" s="39">
        <v>45953</v>
      </c>
      <c r="L222" t="str">
        <f t="shared" si="9"/>
        <v>2025-10</v>
      </c>
      <c r="M222" t="s">
        <v>595</v>
      </c>
      <c r="N222">
        <v>16</v>
      </c>
      <c r="O222">
        <v>2.37</v>
      </c>
      <c r="P222">
        <v>1</v>
      </c>
      <c r="Q222">
        <v>1</v>
      </c>
      <c r="R222">
        <v>1</v>
      </c>
      <c r="S222" t="s">
        <v>95</v>
      </c>
      <c r="T222">
        <v>0</v>
      </c>
      <c r="V222">
        <f t="shared" si="10"/>
        <v>1</v>
      </c>
      <c r="W222" t="str">
        <f t="shared" si="11"/>
        <v>Met</v>
      </c>
    </row>
    <row r="223" spans="1:23" x14ac:dyDescent="0.2">
      <c r="A223">
        <v>7524501430</v>
      </c>
      <c r="B223">
        <v>931</v>
      </c>
      <c r="C223" t="s">
        <v>242</v>
      </c>
      <c r="D223" t="s">
        <v>243</v>
      </c>
      <c r="E223" t="s">
        <v>226</v>
      </c>
      <c r="F223" t="s">
        <v>420</v>
      </c>
      <c r="G223" t="s">
        <v>419</v>
      </c>
      <c r="H223">
        <v>1</v>
      </c>
      <c r="I223" t="s">
        <v>596</v>
      </c>
      <c r="J223" s="39">
        <v>45902.6805902778</v>
      </c>
      <c r="K223" s="39">
        <v>45903</v>
      </c>
      <c r="L223" t="str">
        <f t="shared" si="9"/>
        <v>2025-09</v>
      </c>
      <c r="M223" t="s">
        <v>595</v>
      </c>
      <c r="N223">
        <v>12</v>
      </c>
      <c r="O223">
        <v>18.75</v>
      </c>
      <c r="P223">
        <v>1</v>
      </c>
      <c r="Q223">
        <v>1</v>
      </c>
      <c r="R223">
        <v>1</v>
      </c>
      <c r="S223" t="s">
        <v>95</v>
      </c>
      <c r="T223">
        <v>0</v>
      </c>
      <c r="V223">
        <f t="shared" si="10"/>
        <v>1</v>
      </c>
      <c r="W223" t="str">
        <f t="shared" si="11"/>
        <v>Met</v>
      </c>
    </row>
    <row r="224" spans="1:23" x14ac:dyDescent="0.2">
      <c r="A224">
        <v>7530914124</v>
      </c>
      <c r="B224">
        <v>562</v>
      </c>
      <c r="C224" t="s">
        <v>172</v>
      </c>
      <c r="D224" t="s">
        <v>173</v>
      </c>
      <c r="E224" t="s">
        <v>159</v>
      </c>
      <c r="F224" t="s">
        <v>306</v>
      </c>
      <c r="G224" t="s">
        <v>305</v>
      </c>
      <c r="H224">
        <v>2</v>
      </c>
      <c r="I224" t="s">
        <v>596</v>
      </c>
      <c r="J224" s="39">
        <v>45966.519918981503</v>
      </c>
      <c r="K224" s="39">
        <v>45981</v>
      </c>
      <c r="L224" t="str">
        <f t="shared" si="9"/>
        <v>2025-11</v>
      </c>
      <c r="M224" t="s">
        <v>595</v>
      </c>
      <c r="N224">
        <v>16</v>
      </c>
      <c r="O224">
        <v>358.18</v>
      </c>
      <c r="P224">
        <v>0</v>
      </c>
      <c r="Q224">
        <v>0</v>
      </c>
      <c r="R224">
        <v>1</v>
      </c>
      <c r="S224" t="s">
        <v>95</v>
      </c>
      <c r="T224">
        <v>0</v>
      </c>
      <c r="V224">
        <f t="shared" si="10"/>
        <v>0</v>
      </c>
      <c r="W224" t="str">
        <f t="shared" si="11"/>
        <v>Missed</v>
      </c>
    </row>
    <row r="225" spans="1:23" x14ac:dyDescent="0.2">
      <c r="A225">
        <v>7524404723</v>
      </c>
      <c r="B225">
        <v>544</v>
      </c>
      <c r="C225" t="s">
        <v>164</v>
      </c>
      <c r="D225" t="s">
        <v>165</v>
      </c>
      <c r="E225" t="s">
        <v>159</v>
      </c>
      <c r="F225" t="s">
        <v>304</v>
      </c>
      <c r="G225" t="s">
        <v>303</v>
      </c>
      <c r="H225">
        <v>2</v>
      </c>
      <c r="I225" t="s">
        <v>596</v>
      </c>
      <c r="J225" s="39">
        <v>45901.311944444496</v>
      </c>
      <c r="K225" s="39">
        <v>45902</v>
      </c>
      <c r="L225" t="str">
        <f t="shared" si="9"/>
        <v>2025-09</v>
      </c>
      <c r="M225" t="s">
        <v>595</v>
      </c>
      <c r="N225">
        <v>16</v>
      </c>
      <c r="O225">
        <v>36.18</v>
      </c>
      <c r="P225">
        <v>0</v>
      </c>
      <c r="Q225">
        <v>0</v>
      </c>
      <c r="R225">
        <v>1</v>
      </c>
      <c r="S225" t="s">
        <v>94</v>
      </c>
      <c r="T225">
        <v>1</v>
      </c>
      <c r="V225">
        <f t="shared" si="10"/>
        <v>0</v>
      </c>
      <c r="W225" t="str">
        <f t="shared" si="11"/>
        <v>Missed</v>
      </c>
    </row>
    <row r="226" spans="1:23" x14ac:dyDescent="0.2">
      <c r="A226">
        <v>7529503139</v>
      </c>
      <c r="B226">
        <v>962</v>
      </c>
      <c r="C226" t="s">
        <v>244</v>
      </c>
      <c r="D226" t="s">
        <v>245</v>
      </c>
      <c r="E226" t="s">
        <v>246</v>
      </c>
      <c r="F226" t="s">
        <v>394</v>
      </c>
      <c r="G226" t="s">
        <v>393</v>
      </c>
      <c r="H226">
        <v>1</v>
      </c>
      <c r="I226" t="s">
        <v>596</v>
      </c>
      <c r="J226" s="39">
        <v>45952.343946759298</v>
      </c>
      <c r="K226" s="39">
        <v>45953</v>
      </c>
      <c r="L226" t="str">
        <f t="shared" si="9"/>
        <v>2025-10</v>
      </c>
      <c r="M226" t="s">
        <v>595</v>
      </c>
      <c r="N226">
        <v>12</v>
      </c>
      <c r="O226">
        <v>31.25</v>
      </c>
      <c r="P226">
        <v>0</v>
      </c>
      <c r="Q226">
        <v>0</v>
      </c>
      <c r="R226">
        <v>1</v>
      </c>
      <c r="S226" t="s">
        <v>95</v>
      </c>
      <c r="T226">
        <v>0</v>
      </c>
      <c r="V226">
        <f t="shared" si="10"/>
        <v>0</v>
      </c>
      <c r="W226" t="str">
        <f t="shared" si="11"/>
        <v>Missed</v>
      </c>
    </row>
    <row r="227" spans="1:23" x14ac:dyDescent="0.2">
      <c r="A227">
        <v>7522605802</v>
      </c>
      <c r="B227">
        <v>495</v>
      </c>
      <c r="C227" t="s">
        <v>120</v>
      </c>
      <c r="D227" t="s">
        <v>121</v>
      </c>
      <c r="E227" t="s">
        <v>111</v>
      </c>
      <c r="F227" t="s">
        <v>290</v>
      </c>
      <c r="G227" t="s">
        <v>289</v>
      </c>
      <c r="H227">
        <v>2</v>
      </c>
      <c r="I227" t="s">
        <v>594</v>
      </c>
      <c r="J227" s="39">
        <v>45883.687199074098</v>
      </c>
      <c r="K227" s="39">
        <v>45883</v>
      </c>
      <c r="L227" t="str">
        <f t="shared" si="9"/>
        <v>2025-08</v>
      </c>
      <c r="M227" t="s">
        <v>595</v>
      </c>
      <c r="N227">
        <v>16</v>
      </c>
      <c r="O227">
        <v>3.13</v>
      </c>
      <c r="P227">
        <v>0</v>
      </c>
      <c r="Q227">
        <v>0</v>
      </c>
      <c r="R227">
        <v>0</v>
      </c>
      <c r="S227" t="s">
        <v>95</v>
      </c>
      <c r="T227">
        <v>0</v>
      </c>
      <c r="V227" t="str">
        <f t="shared" si="10"/>
        <v/>
      </c>
      <c r="W227" t="str">
        <f t="shared" si="11"/>
        <v>Not Eligible</v>
      </c>
    </row>
    <row r="228" spans="1:23" x14ac:dyDescent="0.2">
      <c r="A228">
        <v>7609800354</v>
      </c>
      <c r="B228">
        <v>929</v>
      </c>
      <c r="C228" t="s">
        <v>240</v>
      </c>
      <c r="D228" t="s">
        <v>241</v>
      </c>
      <c r="E228" t="s">
        <v>226</v>
      </c>
      <c r="F228" t="s">
        <v>288</v>
      </c>
      <c r="G228" t="s">
        <v>287</v>
      </c>
      <c r="H228">
        <v>2</v>
      </c>
      <c r="I228" t="s">
        <v>594</v>
      </c>
      <c r="J228" s="39">
        <v>46120.714664351901</v>
      </c>
      <c r="K228" s="39">
        <v>46121</v>
      </c>
      <c r="L228" t="str">
        <f t="shared" si="9"/>
        <v>2026-04</v>
      </c>
      <c r="M228" t="s">
        <v>595</v>
      </c>
      <c r="N228">
        <v>0</v>
      </c>
      <c r="O228">
        <v>19.78</v>
      </c>
      <c r="P228">
        <v>1</v>
      </c>
      <c r="Q228">
        <v>1</v>
      </c>
      <c r="R228">
        <v>1</v>
      </c>
      <c r="S228" t="s">
        <v>94</v>
      </c>
      <c r="T228">
        <v>1</v>
      </c>
      <c r="V228">
        <f t="shared" si="10"/>
        <v>1</v>
      </c>
      <c r="W228" t="str">
        <f t="shared" si="11"/>
        <v>Met</v>
      </c>
    </row>
    <row r="229" spans="1:23" x14ac:dyDescent="0.2">
      <c r="A229">
        <v>7535505560</v>
      </c>
      <c r="B229">
        <v>642</v>
      </c>
      <c r="C229" t="s">
        <v>199</v>
      </c>
      <c r="D229" t="s">
        <v>200</v>
      </c>
      <c r="E229" t="s">
        <v>178</v>
      </c>
      <c r="F229" t="s">
        <v>282</v>
      </c>
      <c r="G229" t="s">
        <v>281</v>
      </c>
      <c r="H229">
        <v>1</v>
      </c>
      <c r="I229" t="s">
        <v>594</v>
      </c>
      <c r="J229" s="39">
        <v>46012.568807870397</v>
      </c>
      <c r="K229" s="39">
        <v>46013</v>
      </c>
      <c r="L229" t="str">
        <f t="shared" si="9"/>
        <v>2025-12</v>
      </c>
      <c r="M229" t="s">
        <v>595</v>
      </c>
      <c r="N229">
        <v>12</v>
      </c>
      <c r="O229">
        <v>21.13</v>
      </c>
      <c r="P229">
        <v>0</v>
      </c>
      <c r="Q229">
        <v>0</v>
      </c>
      <c r="R229">
        <v>0</v>
      </c>
      <c r="S229" t="s">
        <v>94</v>
      </c>
      <c r="T229">
        <v>1</v>
      </c>
      <c r="V229" t="str">
        <f t="shared" si="10"/>
        <v/>
      </c>
      <c r="W229" t="str">
        <f t="shared" si="11"/>
        <v>Not Eligible</v>
      </c>
    </row>
    <row r="230" spans="1:23" x14ac:dyDescent="0.2">
      <c r="A230">
        <v>7613901143</v>
      </c>
      <c r="B230">
        <v>546</v>
      </c>
      <c r="C230" t="s">
        <v>168</v>
      </c>
      <c r="D230" t="s">
        <v>169</v>
      </c>
      <c r="E230" t="s">
        <v>159</v>
      </c>
      <c r="F230" t="s">
        <v>254</v>
      </c>
      <c r="G230" t="s">
        <v>359</v>
      </c>
      <c r="H230">
        <v>2</v>
      </c>
      <c r="I230" t="s">
        <v>594</v>
      </c>
      <c r="J230" s="39">
        <v>46161.640231481499</v>
      </c>
      <c r="K230" s="39">
        <v>46161</v>
      </c>
      <c r="L230" t="str">
        <f t="shared" si="9"/>
        <v>2026-05</v>
      </c>
      <c r="M230" t="s">
        <v>595</v>
      </c>
      <c r="N230">
        <v>16</v>
      </c>
      <c r="O230">
        <v>1.4</v>
      </c>
      <c r="P230">
        <v>0</v>
      </c>
      <c r="Q230">
        <v>0</v>
      </c>
      <c r="R230">
        <v>0</v>
      </c>
      <c r="S230" t="s">
        <v>94</v>
      </c>
      <c r="T230">
        <v>2</v>
      </c>
      <c r="U230">
        <v>1</v>
      </c>
      <c r="V230" t="str">
        <f t="shared" si="10"/>
        <v/>
      </c>
      <c r="W230" t="str">
        <f t="shared" si="11"/>
        <v>Not Eligible</v>
      </c>
    </row>
    <row r="231" spans="1:23" x14ac:dyDescent="0.2">
      <c r="A231">
        <v>7525102645</v>
      </c>
      <c r="B231">
        <v>931</v>
      </c>
      <c r="C231" t="s">
        <v>242</v>
      </c>
      <c r="D231" t="s">
        <v>243</v>
      </c>
      <c r="E231" t="s">
        <v>226</v>
      </c>
      <c r="F231" t="s">
        <v>374</v>
      </c>
      <c r="G231" t="s">
        <v>373</v>
      </c>
      <c r="H231">
        <v>2</v>
      </c>
      <c r="I231" t="s">
        <v>596</v>
      </c>
      <c r="J231" s="39">
        <v>45908.4597685185</v>
      </c>
      <c r="K231" s="39">
        <v>45916</v>
      </c>
      <c r="L231" t="str">
        <f t="shared" si="9"/>
        <v>2025-09</v>
      </c>
      <c r="M231" t="s">
        <v>595</v>
      </c>
      <c r="N231">
        <v>16</v>
      </c>
      <c r="O231">
        <v>195.02</v>
      </c>
      <c r="P231">
        <v>0</v>
      </c>
      <c r="Q231">
        <v>0</v>
      </c>
      <c r="R231">
        <v>1</v>
      </c>
      <c r="S231" t="s">
        <v>94</v>
      </c>
      <c r="T231">
        <v>1</v>
      </c>
      <c r="V231">
        <f t="shared" si="10"/>
        <v>0</v>
      </c>
      <c r="W231" t="str">
        <f t="shared" si="11"/>
        <v>Missed</v>
      </c>
    </row>
    <row r="232" spans="1:23" x14ac:dyDescent="0.2">
      <c r="A232">
        <v>7525502691</v>
      </c>
      <c r="B232">
        <v>544</v>
      </c>
      <c r="C232" t="s">
        <v>164</v>
      </c>
      <c r="D232" t="s">
        <v>165</v>
      </c>
      <c r="E232" t="s">
        <v>159</v>
      </c>
      <c r="F232" t="s">
        <v>254</v>
      </c>
      <c r="G232" t="s">
        <v>253</v>
      </c>
      <c r="H232">
        <v>1</v>
      </c>
      <c r="I232" t="s">
        <v>596</v>
      </c>
      <c r="J232" s="39">
        <v>45912.336851851898</v>
      </c>
      <c r="K232" s="39">
        <v>45913</v>
      </c>
      <c r="L232" t="str">
        <f t="shared" si="9"/>
        <v>2025-09</v>
      </c>
      <c r="M232" t="s">
        <v>595</v>
      </c>
      <c r="N232">
        <v>12</v>
      </c>
      <c r="O232">
        <v>29.9</v>
      </c>
      <c r="P232">
        <v>0</v>
      </c>
      <c r="Q232">
        <v>0</v>
      </c>
      <c r="R232">
        <v>1</v>
      </c>
      <c r="S232" t="s">
        <v>95</v>
      </c>
      <c r="T232">
        <v>0</v>
      </c>
      <c r="V232">
        <f t="shared" si="10"/>
        <v>0</v>
      </c>
      <c r="W232" t="str">
        <f t="shared" si="11"/>
        <v>Missed</v>
      </c>
    </row>
    <row r="233" spans="1:23" x14ac:dyDescent="0.2">
      <c r="A233">
        <v>7616704262</v>
      </c>
      <c r="B233">
        <v>631</v>
      </c>
      <c r="C233" t="s">
        <v>179</v>
      </c>
      <c r="D233" t="s">
        <v>180</v>
      </c>
      <c r="E233" t="s">
        <v>181</v>
      </c>
      <c r="F233" t="s">
        <v>262</v>
      </c>
      <c r="G233" t="s">
        <v>261</v>
      </c>
      <c r="H233">
        <v>2</v>
      </c>
      <c r="I233" t="s">
        <v>596</v>
      </c>
      <c r="J233" s="39">
        <v>46189.322962963</v>
      </c>
      <c r="K233" s="39">
        <v>46189</v>
      </c>
      <c r="L233" t="str">
        <f t="shared" si="9"/>
        <v>2026-06</v>
      </c>
      <c r="M233" t="s">
        <v>595</v>
      </c>
      <c r="N233">
        <v>16</v>
      </c>
      <c r="O233">
        <v>14.23</v>
      </c>
      <c r="P233">
        <v>1</v>
      </c>
      <c r="Q233">
        <v>1</v>
      </c>
      <c r="R233">
        <v>1</v>
      </c>
      <c r="S233" t="s">
        <v>94</v>
      </c>
      <c r="T233">
        <v>2</v>
      </c>
      <c r="U233">
        <v>1</v>
      </c>
      <c r="V233">
        <f t="shared" si="10"/>
        <v>1</v>
      </c>
      <c r="W233" t="str">
        <f t="shared" si="11"/>
        <v>Met</v>
      </c>
    </row>
    <row r="234" spans="1:23" x14ac:dyDescent="0.2">
      <c r="A234">
        <v>7613900156</v>
      </c>
      <c r="B234">
        <v>494</v>
      </c>
      <c r="C234" t="s">
        <v>118</v>
      </c>
      <c r="D234" t="s">
        <v>119</v>
      </c>
      <c r="E234" t="s">
        <v>111</v>
      </c>
      <c r="F234" t="s">
        <v>262</v>
      </c>
      <c r="G234" t="s">
        <v>261</v>
      </c>
      <c r="H234">
        <v>2</v>
      </c>
      <c r="I234" t="s">
        <v>596</v>
      </c>
      <c r="J234" s="39">
        <v>46161.6030439815</v>
      </c>
      <c r="K234" s="39">
        <v>46161</v>
      </c>
      <c r="L234" t="str">
        <f t="shared" si="9"/>
        <v>2026-05</v>
      </c>
      <c r="M234" t="s">
        <v>595</v>
      </c>
      <c r="N234">
        <v>16</v>
      </c>
      <c r="O234">
        <v>3.98</v>
      </c>
      <c r="P234">
        <v>1</v>
      </c>
      <c r="Q234">
        <v>1</v>
      </c>
      <c r="R234">
        <v>1</v>
      </c>
      <c r="S234" t="s">
        <v>94</v>
      </c>
      <c r="T234">
        <v>2</v>
      </c>
      <c r="U234">
        <v>1</v>
      </c>
      <c r="V234">
        <f t="shared" si="10"/>
        <v>1</v>
      </c>
      <c r="W234" t="str">
        <f t="shared" si="11"/>
        <v>Met</v>
      </c>
    </row>
    <row r="235" spans="1:23" x14ac:dyDescent="0.2">
      <c r="A235">
        <v>7536305744</v>
      </c>
      <c r="B235">
        <v>528</v>
      </c>
      <c r="C235" t="s">
        <v>143</v>
      </c>
      <c r="D235" t="s">
        <v>144</v>
      </c>
      <c r="E235" t="s">
        <v>134</v>
      </c>
      <c r="F235" t="s">
        <v>280</v>
      </c>
      <c r="G235" t="s">
        <v>279</v>
      </c>
      <c r="H235">
        <v>2</v>
      </c>
      <c r="I235" t="s">
        <v>594</v>
      </c>
      <c r="J235" s="39">
        <v>46020.424224536997</v>
      </c>
      <c r="K235" s="39">
        <v>46020</v>
      </c>
      <c r="L235" t="str">
        <f t="shared" si="9"/>
        <v>2025-12</v>
      </c>
      <c r="M235" t="s">
        <v>595</v>
      </c>
      <c r="N235">
        <v>16</v>
      </c>
      <c r="O235">
        <v>5.23</v>
      </c>
      <c r="P235">
        <v>0</v>
      </c>
      <c r="Q235">
        <v>0</v>
      </c>
      <c r="R235">
        <v>0</v>
      </c>
      <c r="S235" t="s">
        <v>94</v>
      </c>
      <c r="T235">
        <v>1</v>
      </c>
      <c r="V235" t="str">
        <f t="shared" si="10"/>
        <v/>
      </c>
      <c r="W235" t="str">
        <f t="shared" si="11"/>
        <v>Not Eligible</v>
      </c>
    </row>
    <row r="236" spans="1:23" x14ac:dyDescent="0.2">
      <c r="A236">
        <v>7521604229</v>
      </c>
      <c r="B236">
        <v>968</v>
      </c>
      <c r="C236" t="s">
        <v>247</v>
      </c>
      <c r="D236" t="s">
        <v>248</v>
      </c>
      <c r="E236" t="s">
        <v>246</v>
      </c>
      <c r="F236" t="s">
        <v>453</v>
      </c>
      <c r="G236" t="s">
        <v>452</v>
      </c>
      <c r="H236">
        <v>2</v>
      </c>
      <c r="I236" t="s">
        <v>594</v>
      </c>
      <c r="J236" s="39">
        <v>45873.340173611097</v>
      </c>
      <c r="K236" s="39">
        <v>45873</v>
      </c>
      <c r="L236" t="str">
        <f t="shared" si="9"/>
        <v>2025-08</v>
      </c>
      <c r="M236" t="s">
        <v>595</v>
      </c>
      <c r="N236">
        <v>16</v>
      </c>
      <c r="O236">
        <v>1.73</v>
      </c>
      <c r="P236">
        <v>0</v>
      </c>
      <c r="Q236">
        <v>0</v>
      </c>
      <c r="R236">
        <v>0</v>
      </c>
      <c r="S236" t="s">
        <v>95</v>
      </c>
      <c r="T236">
        <v>0</v>
      </c>
      <c r="V236" t="str">
        <f t="shared" si="10"/>
        <v/>
      </c>
      <c r="W236" t="str">
        <f t="shared" si="11"/>
        <v>Not Eligible</v>
      </c>
    </row>
    <row r="237" spans="1:23" x14ac:dyDescent="0.2">
      <c r="A237">
        <v>7610300079</v>
      </c>
      <c r="B237">
        <v>638</v>
      </c>
      <c r="C237" t="s">
        <v>194</v>
      </c>
      <c r="D237" t="s">
        <v>147</v>
      </c>
      <c r="E237" t="s">
        <v>181</v>
      </c>
      <c r="F237" t="s">
        <v>438</v>
      </c>
      <c r="G237" t="s">
        <v>531</v>
      </c>
      <c r="H237">
        <v>2</v>
      </c>
      <c r="I237" t="s">
        <v>596</v>
      </c>
      <c r="J237" s="39">
        <v>46125.592858796299</v>
      </c>
      <c r="K237" s="39">
        <v>46126</v>
      </c>
      <c r="L237" t="str">
        <f t="shared" si="9"/>
        <v>2026-04</v>
      </c>
      <c r="M237" t="s">
        <v>595</v>
      </c>
      <c r="N237">
        <v>0</v>
      </c>
      <c r="O237">
        <v>20.38</v>
      </c>
      <c r="P237">
        <v>1</v>
      </c>
      <c r="Q237">
        <v>1</v>
      </c>
      <c r="R237">
        <v>1</v>
      </c>
      <c r="S237" t="s">
        <v>94</v>
      </c>
      <c r="T237">
        <v>2</v>
      </c>
      <c r="U237">
        <v>1</v>
      </c>
      <c r="V237">
        <f t="shared" si="10"/>
        <v>1</v>
      </c>
      <c r="W237" t="str">
        <f t="shared" si="11"/>
        <v>Met</v>
      </c>
    </row>
    <row r="238" spans="1:23" x14ac:dyDescent="0.2">
      <c r="A238">
        <v>7524711826</v>
      </c>
      <c r="B238">
        <v>563</v>
      </c>
      <c r="C238" t="s">
        <v>174</v>
      </c>
      <c r="D238" t="s">
        <v>175</v>
      </c>
      <c r="E238" t="s">
        <v>159</v>
      </c>
      <c r="F238" t="s">
        <v>256</v>
      </c>
      <c r="G238" t="s">
        <v>255</v>
      </c>
      <c r="H238">
        <v>2</v>
      </c>
      <c r="I238" t="s">
        <v>596</v>
      </c>
      <c r="J238" s="39">
        <v>45904.4132060185</v>
      </c>
      <c r="K238" s="39">
        <v>45904</v>
      </c>
      <c r="L238" t="str">
        <f t="shared" si="9"/>
        <v>2025-09</v>
      </c>
      <c r="M238" t="s">
        <v>595</v>
      </c>
      <c r="N238">
        <v>16</v>
      </c>
      <c r="O238">
        <v>2.9</v>
      </c>
      <c r="P238">
        <v>1</v>
      </c>
      <c r="Q238">
        <v>1</v>
      </c>
      <c r="R238">
        <v>1</v>
      </c>
      <c r="S238" t="s">
        <v>95</v>
      </c>
      <c r="T238">
        <v>0</v>
      </c>
      <c r="V238">
        <f t="shared" si="10"/>
        <v>1</v>
      </c>
      <c r="W238" t="str">
        <f t="shared" si="11"/>
        <v>Met</v>
      </c>
    </row>
    <row r="239" spans="1:23" x14ac:dyDescent="0.2">
      <c r="A239">
        <v>7521905061</v>
      </c>
      <c r="B239">
        <v>493</v>
      </c>
      <c r="C239" t="s">
        <v>116</v>
      </c>
      <c r="D239" t="s">
        <v>117</v>
      </c>
      <c r="E239" t="s">
        <v>111</v>
      </c>
      <c r="F239" t="s">
        <v>358</v>
      </c>
      <c r="G239" t="s">
        <v>357</v>
      </c>
      <c r="H239">
        <v>2</v>
      </c>
      <c r="I239" t="s">
        <v>594</v>
      </c>
      <c r="J239" s="39">
        <v>45876.569884259297</v>
      </c>
      <c r="K239" s="39">
        <v>45877</v>
      </c>
      <c r="L239" t="str">
        <f t="shared" si="9"/>
        <v>2025-08</v>
      </c>
      <c r="M239" t="s">
        <v>595</v>
      </c>
      <c r="N239">
        <v>16</v>
      </c>
      <c r="O239">
        <v>23.6</v>
      </c>
      <c r="P239">
        <v>0</v>
      </c>
      <c r="Q239">
        <v>0</v>
      </c>
      <c r="R239">
        <v>0</v>
      </c>
      <c r="S239" t="s">
        <v>95</v>
      </c>
      <c r="T239">
        <v>0</v>
      </c>
      <c r="V239" t="str">
        <f t="shared" si="10"/>
        <v/>
      </c>
      <c r="W239" t="str">
        <f t="shared" si="11"/>
        <v>Not Eligible</v>
      </c>
    </row>
    <row r="240" spans="1:23" x14ac:dyDescent="0.2">
      <c r="A240">
        <v>7535300490</v>
      </c>
      <c r="B240">
        <v>648</v>
      </c>
      <c r="C240" t="s">
        <v>209</v>
      </c>
      <c r="D240" t="s">
        <v>210</v>
      </c>
      <c r="E240" t="s">
        <v>178</v>
      </c>
      <c r="F240" t="s">
        <v>424</v>
      </c>
      <c r="G240" t="s">
        <v>423</v>
      </c>
      <c r="H240">
        <v>2</v>
      </c>
      <c r="I240" t="s">
        <v>599</v>
      </c>
      <c r="J240" s="39">
        <v>46010.685277777797</v>
      </c>
      <c r="K240" s="39">
        <v>46010</v>
      </c>
      <c r="L240" t="str">
        <f t="shared" si="9"/>
        <v>2025-12</v>
      </c>
      <c r="M240" t="s">
        <v>595</v>
      </c>
      <c r="N240">
        <v>16</v>
      </c>
      <c r="O240">
        <v>3.07</v>
      </c>
      <c r="P240">
        <v>0</v>
      </c>
      <c r="Q240">
        <v>0</v>
      </c>
      <c r="R240">
        <v>0</v>
      </c>
      <c r="S240" t="s">
        <v>95</v>
      </c>
      <c r="T240">
        <v>0</v>
      </c>
      <c r="V240" t="str">
        <f t="shared" si="10"/>
        <v/>
      </c>
      <c r="W240" t="str">
        <f t="shared" si="11"/>
        <v>Not Eligible</v>
      </c>
    </row>
    <row r="241" spans="1:23" x14ac:dyDescent="0.2">
      <c r="A241">
        <v>7528205165</v>
      </c>
      <c r="B241">
        <v>532</v>
      </c>
      <c r="C241" t="s">
        <v>148</v>
      </c>
      <c r="D241" t="s">
        <v>133</v>
      </c>
      <c r="E241" t="s">
        <v>134</v>
      </c>
      <c r="F241" t="s">
        <v>260</v>
      </c>
      <c r="G241" t="s">
        <v>259</v>
      </c>
      <c r="H241">
        <v>2</v>
      </c>
      <c r="I241" t="s">
        <v>596</v>
      </c>
      <c r="J241" s="39">
        <v>45939.384965277801</v>
      </c>
      <c r="K241" s="39">
        <v>45939</v>
      </c>
      <c r="L241" t="str">
        <f t="shared" si="9"/>
        <v>2025-10</v>
      </c>
      <c r="M241" t="s">
        <v>595</v>
      </c>
      <c r="N241">
        <v>16</v>
      </c>
      <c r="O241">
        <v>2.83</v>
      </c>
      <c r="P241">
        <v>0</v>
      </c>
      <c r="Q241">
        <v>0</v>
      </c>
      <c r="R241">
        <v>0</v>
      </c>
      <c r="S241" t="s">
        <v>95</v>
      </c>
      <c r="T241">
        <v>0</v>
      </c>
      <c r="V241" t="str">
        <f t="shared" si="10"/>
        <v/>
      </c>
      <c r="W241" t="str">
        <f t="shared" si="11"/>
        <v>Not Eligible</v>
      </c>
    </row>
    <row r="242" spans="1:23" x14ac:dyDescent="0.2">
      <c r="A242">
        <v>7621706232</v>
      </c>
      <c r="B242">
        <v>642</v>
      </c>
      <c r="C242" t="s">
        <v>199</v>
      </c>
      <c r="D242" t="s">
        <v>200</v>
      </c>
      <c r="E242" t="s">
        <v>178</v>
      </c>
      <c r="F242" t="s">
        <v>268</v>
      </c>
      <c r="G242" t="s">
        <v>267</v>
      </c>
      <c r="H242">
        <v>2</v>
      </c>
      <c r="I242" t="s">
        <v>596</v>
      </c>
      <c r="J242" s="39">
        <v>46239.592349537001</v>
      </c>
      <c r="K242" s="39">
        <v>46239</v>
      </c>
      <c r="L242" t="str">
        <f t="shared" si="9"/>
        <v>2026-08</v>
      </c>
      <c r="M242" t="s">
        <v>595</v>
      </c>
      <c r="N242">
        <v>16</v>
      </c>
      <c r="O242">
        <v>3.85</v>
      </c>
      <c r="P242">
        <v>1</v>
      </c>
      <c r="Q242">
        <v>1</v>
      </c>
      <c r="R242">
        <v>1</v>
      </c>
      <c r="S242" t="s">
        <v>94</v>
      </c>
      <c r="T242">
        <v>2</v>
      </c>
      <c r="U242">
        <v>1</v>
      </c>
      <c r="V242">
        <f t="shared" si="10"/>
        <v>1</v>
      </c>
      <c r="W242" t="str">
        <f t="shared" si="11"/>
        <v>Met</v>
      </c>
    </row>
    <row r="243" spans="1:23" x14ac:dyDescent="0.2">
      <c r="A243">
        <v>7600903511</v>
      </c>
      <c r="B243">
        <v>545</v>
      </c>
      <c r="C243" t="s">
        <v>166</v>
      </c>
      <c r="D243" t="s">
        <v>167</v>
      </c>
      <c r="E243" t="s">
        <v>159</v>
      </c>
      <c r="F243" t="s">
        <v>327</v>
      </c>
      <c r="G243" t="s">
        <v>326</v>
      </c>
      <c r="H243">
        <v>2</v>
      </c>
      <c r="I243" t="s">
        <v>594</v>
      </c>
      <c r="J243" s="39">
        <v>46031.427789351903</v>
      </c>
      <c r="K243" s="39">
        <v>46035</v>
      </c>
      <c r="L243" t="str">
        <f t="shared" si="9"/>
        <v>2026-01</v>
      </c>
      <c r="M243" t="s">
        <v>595</v>
      </c>
      <c r="N243">
        <v>16</v>
      </c>
      <c r="O243">
        <v>101.43</v>
      </c>
      <c r="P243">
        <v>0</v>
      </c>
      <c r="Q243">
        <v>0</v>
      </c>
      <c r="R243">
        <v>0</v>
      </c>
      <c r="S243" t="s">
        <v>94</v>
      </c>
      <c r="T243">
        <v>1</v>
      </c>
      <c r="V243" t="str">
        <f t="shared" si="10"/>
        <v/>
      </c>
      <c r="W243" t="str">
        <f t="shared" si="11"/>
        <v>Not Eligible</v>
      </c>
    </row>
    <row r="244" spans="1:23" x14ac:dyDescent="0.2">
      <c r="A244">
        <v>7609700604</v>
      </c>
      <c r="B244">
        <v>643</v>
      </c>
      <c r="C244" t="s">
        <v>201</v>
      </c>
      <c r="D244" t="s">
        <v>202</v>
      </c>
      <c r="E244" t="s">
        <v>178</v>
      </c>
      <c r="F244" t="s">
        <v>349</v>
      </c>
      <c r="G244" t="s">
        <v>348</v>
      </c>
      <c r="H244">
        <v>2</v>
      </c>
      <c r="I244" t="s">
        <v>596</v>
      </c>
      <c r="J244" s="39">
        <v>46118.834016203698</v>
      </c>
      <c r="K244" s="39">
        <v>46119</v>
      </c>
      <c r="L244" t="str">
        <f t="shared" si="9"/>
        <v>2026-04</v>
      </c>
      <c r="M244" t="s">
        <v>595</v>
      </c>
      <c r="N244">
        <v>0</v>
      </c>
      <c r="O244">
        <v>14.85</v>
      </c>
      <c r="P244">
        <v>1</v>
      </c>
      <c r="Q244">
        <v>1</v>
      </c>
      <c r="R244">
        <v>1</v>
      </c>
      <c r="S244" t="s">
        <v>94</v>
      </c>
      <c r="T244">
        <v>2</v>
      </c>
      <c r="U244">
        <v>1</v>
      </c>
      <c r="V244">
        <f t="shared" si="10"/>
        <v>1</v>
      </c>
      <c r="W244" t="str">
        <f t="shared" si="11"/>
        <v>Met</v>
      </c>
    </row>
    <row r="245" spans="1:23" x14ac:dyDescent="0.2">
      <c r="A245">
        <v>7533600520</v>
      </c>
      <c r="B245">
        <v>541</v>
      </c>
      <c r="C245" t="s">
        <v>158</v>
      </c>
      <c r="D245" t="s">
        <v>147</v>
      </c>
      <c r="E245" t="s">
        <v>159</v>
      </c>
      <c r="F245" t="s">
        <v>327</v>
      </c>
      <c r="G245" t="s">
        <v>326</v>
      </c>
      <c r="H245">
        <v>2</v>
      </c>
      <c r="I245" t="s">
        <v>596</v>
      </c>
      <c r="J245" s="39">
        <v>45993.625057870398</v>
      </c>
      <c r="K245" s="39">
        <v>45998</v>
      </c>
      <c r="L245" t="str">
        <f t="shared" si="9"/>
        <v>2025-12</v>
      </c>
      <c r="M245" t="s">
        <v>595</v>
      </c>
      <c r="N245">
        <v>16</v>
      </c>
      <c r="O245">
        <v>121.75</v>
      </c>
      <c r="P245">
        <v>0</v>
      </c>
      <c r="Q245">
        <v>0</v>
      </c>
      <c r="R245">
        <v>1</v>
      </c>
      <c r="S245" t="s">
        <v>95</v>
      </c>
      <c r="T245">
        <v>0</v>
      </c>
      <c r="V245">
        <f t="shared" si="10"/>
        <v>0</v>
      </c>
      <c r="W245" t="str">
        <f t="shared" si="11"/>
        <v>Missed</v>
      </c>
    </row>
    <row r="246" spans="1:23" x14ac:dyDescent="0.2">
      <c r="A246">
        <v>7534410347</v>
      </c>
      <c r="B246">
        <v>541</v>
      </c>
      <c r="C246" t="s">
        <v>158</v>
      </c>
      <c r="D246" t="s">
        <v>147</v>
      </c>
      <c r="E246" t="s">
        <v>159</v>
      </c>
      <c r="F246" t="s">
        <v>254</v>
      </c>
      <c r="G246" t="s">
        <v>253</v>
      </c>
      <c r="H246">
        <v>2</v>
      </c>
      <c r="I246" t="s">
        <v>596</v>
      </c>
      <c r="J246" s="39">
        <v>46000.857592592598</v>
      </c>
      <c r="K246" s="39">
        <v>46001</v>
      </c>
      <c r="L246" t="str">
        <f t="shared" si="9"/>
        <v>2025-12</v>
      </c>
      <c r="M246" t="s">
        <v>595</v>
      </c>
      <c r="N246">
        <v>16</v>
      </c>
      <c r="O246">
        <v>16.13</v>
      </c>
      <c r="P246">
        <v>1</v>
      </c>
      <c r="Q246">
        <v>1</v>
      </c>
      <c r="R246">
        <v>1</v>
      </c>
      <c r="S246" t="s">
        <v>95</v>
      </c>
      <c r="T246">
        <v>0</v>
      </c>
      <c r="V246">
        <f t="shared" si="10"/>
        <v>1</v>
      </c>
      <c r="W246" t="str">
        <f t="shared" si="11"/>
        <v>Met</v>
      </c>
    </row>
    <row r="247" spans="1:23" x14ac:dyDescent="0.2">
      <c r="A247">
        <v>7621816816</v>
      </c>
      <c r="B247">
        <v>708</v>
      </c>
      <c r="C247" t="s">
        <v>218</v>
      </c>
      <c r="D247" t="s">
        <v>219</v>
      </c>
      <c r="E247" t="s">
        <v>215</v>
      </c>
      <c r="F247" t="s">
        <v>390</v>
      </c>
      <c r="G247" t="s">
        <v>510</v>
      </c>
      <c r="H247">
        <v>2</v>
      </c>
      <c r="I247" t="s">
        <v>596</v>
      </c>
      <c r="J247" s="39">
        <v>46240.359351851897</v>
      </c>
      <c r="K247" s="39">
        <v>46240</v>
      </c>
      <c r="L247" t="str">
        <f t="shared" si="9"/>
        <v>2026-08</v>
      </c>
      <c r="M247" t="s">
        <v>595</v>
      </c>
      <c r="N247">
        <v>16</v>
      </c>
      <c r="O247">
        <v>3.03</v>
      </c>
      <c r="P247">
        <v>1</v>
      </c>
      <c r="Q247">
        <v>1</v>
      </c>
      <c r="R247">
        <v>1</v>
      </c>
      <c r="S247" t="s">
        <v>94</v>
      </c>
      <c r="T247">
        <v>2</v>
      </c>
      <c r="U247">
        <v>1</v>
      </c>
      <c r="V247">
        <f t="shared" si="10"/>
        <v>1</v>
      </c>
      <c r="W247" t="str">
        <f t="shared" si="11"/>
        <v>Met</v>
      </c>
    </row>
    <row r="248" spans="1:23" x14ac:dyDescent="0.2">
      <c r="A248">
        <v>7605302045</v>
      </c>
      <c r="B248">
        <v>643</v>
      </c>
      <c r="C248" t="s">
        <v>201</v>
      </c>
      <c r="D248" t="s">
        <v>202</v>
      </c>
      <c r="E248" t="s">
        <v>178</v>
      </c>
      <c r="F248" t="s">
        <v>284</v>
      </c>
      <c r="G248" t="s">
        <v>283</v>
      </c>
      <c r="H248">
        <v>2</v>
      </c>
      <c r="I248" t="s">
        <v>594</v>
      </c>
      <c r="J248" s="39">
        <v>46075.384560185201</v>
      </c>
      <c r="K248" s="39">
        <v>46076</v>
      </c>
      <c r="L248" t="str">
        <f t="shared" si="9"/>
        <v>2026-02</v>
      </c>
      <c r="M248" t="s">
        <v>595</v>
      </c>
      <c r="N248">
        <v>0</v>
      </c>
      <c r="O248">
        <v>30.1</v>
      </c>
      <c r="P248">
        <v>1</v>
      </c>
      <c r="Q248">
        <v>1</v>
      </c>
      <c r="R248">
        <v>1</v>
      </c>
      <c r="S248" t="s">
        <v>94</v>
      </c>
      <c r="T248">
        <v>1</v>
      </c>
      <c r="V248">
        <f t="shared" si="10"/>
        <v>1</v>
      </c>
      <c r="W248" t="str">
        <f t="shared" si="11"/>
        <v>Met</v>
      </c>
    </row>
    <row r="249" spans="1:23" x14ac:dyDescent="0.2">
      <c r="A249">
        <v>7615900507</v>
      </c>
      <c r="B249">
        <v>543</v>
      </c>
      <c r="C249" t="s">
        <v>162</v>
      </c>
      <c r="D249" t="s">
        <v>163</v>
      </c>
      <c r="E249" t="s">
        <v>159</v>
      </c>
      <c r="F249" t="s">
        <v>396</v>
      </c>
      <c r="G249" t="s">
        <v>520</v>
      </c>
      <c r="H249">
        <v>2</v>
      </c>
      <c r="I249" t="s">
        <v>596</v>
      </c>
      <c r="J249" s="39">
        <v>46180.792662036998</v>
      </c>
      <c r="K249" s="39">
        <v>46181</v>
      </c>
      <c r="L249" t="str">
        <f t="shared" si="9"/>
        <v>2026-06</v>
      </c>
      <c r="M249" t="s">
        <v>595</v>
      </c>
      <c r="N249">
        <v>16</v>
      </c>
      <c r="O249">
        <v>18.850000000000001</v>
      </c>
      <c r="P249">
        <v>0</v>
      </c>
      <c r="Q249">
        <v>0</v>
      </c>
      <c r="R249">
        <v>0</v>
      </c>
      <c r="S249" t="s">
        <v>94</v>
      </c>
      <c r="T249">
        <v>2</v>
      </c>
      <c r="U249">
        <v>1</v>
      </c>
      <c r="V249" t="str">
        <f t="shared" si="10"/>
        <v/>
      </c>
      <c r="W249" t="str">
        <f t="shared" si="11"/>
        <v>Not Eligible</v>
      </c>
    </row>
    <row r="250" spans="1:23" x14ac:dyDescent="0.2">
      <c r="A250">
        <v>7522202824</v>
      </c>
      <c r="B250">
        <v>925</v>
      </c>
      <c r="C250" t="s">
        <v>233</v>
      </c>
      <c r="D250" t="s">
        <v>234</v>
      </c>
      <c r="E250" t="s">
        <v>226</v>
      </c>
      <c r="F250" t="s">
        <v>372</v>
      </c>
      <c r="G250" t="s">
        <v>371</v>
      </c>
      <c r="H250">
        <v>1</v>
      </c>
      <c r="I250" t="s">
        <v>596</v>
      </c>
      <c r="J250" s="39">
        <v>45879.659201388902</v>
      </c>
      <c r="K250" s="39">
        <v>45880</v>
      </c>
      <c r="L250" t="str">
        <f t="shared" si="9"/>
        <v>2025-08</v>
      </c>
      <c r="M250" t="s">
        <v>595</v>
      </c>
      <c r="N250">
        <v>12</v>
      </c>
      <c r="O250">
        <v>21.25</v>
      </c>
      <c r="P250">
        <v>1</v>
      </c>
      <c r="Q250">
        <v>1</v>
      </c>
      <c r="R250">
        <v>1</v>
      </c>
      <c r="S250" t="s">
        <v>95</v>
      </c>
      <c r="T250">
        <v>0</v>
      </c>
      <c r="V250">
        <f t="shared" si="10"/>
        <v>1</v>
      </c>
      <c r="W250" t="str">
        <f t="shared" si="11"/>
        <v>Met</v>
      </c>
    </row>
    <row r="251" spans="1:23" x14ac:dyDescent="0.2">
      <c r="A251">
        <v>7529504246</v>
      </c>
      <c r="B251">
        <v>537</v>
      </c>
      <c r="C251" t="s">
        <v>156</v>
      </c>
      <c r="D251" t="s">
        <v>157</v>
      </c>
      <c r="E251" t="s">
        <v>134</v>
      </c>
      <c r="F251" t="s">
        <v>300</v>
      </c>
      <c r="G251" t="s">
        <v>299</v>
      </c>
      <c r="H251">
        <v>1</v>
      </c>
      <c r="I251" t="s">
        <v>596</v>
      </c>
      <c r="J251" s="39">
        <v>45952.551018518498</v>
      </c>
      <c r="K251" s="39">
        <v>45952</v>
      </c>
      <c r="L251" t="str">
        <f t="shared" si="9"/>
        <v>2025-10</v>
      </c>
      <c r="M251" t="s">
        <v>595</v>
      </c>
      <c r="N251">
        <v>12</v>
      </c>
      <c r="O251">
        <v>3.85</v>
      </c>
      <c r="P251">
        <v>1</v>
      </c>
      <c r="Q251">
        <v>1</v>
      </c>
      <c r="R251">
        <v>1</v>
      </c>
      <c r="S251" t="s">
        <v>95</v>
      </c>
      <c r="T251">
        <v>0</v>
      </c>
      <c r="V251">
        <f t="shared" si="10"/>
        <v>1</v>
      </c>
      <c r="W251" t="str">
        <f t="shared" si="11"/>
        <v>Met</v>
      </c>
    </row>
    <row r="252" spans="1:23" x14ac:dyDescent="0.2">
      <c r="A252">
        <v>7522810592</v>
      </c>
      <c r="B252">
        <v>523</v>
      </c>
      <c r="C252" t="s">
        <v>135</v>
      </c>
      <c r="D252" t="s">
        <v>136</v>
      </c>
      <c r="E252" t="s">
        <v>134</v>
      </c>
      <c r="F252" t="s">
        <v>355</v>
      </c>
      <c r="G252" t="s">
        <v>354</v>
      </c>
      <c r="H252">
        <v>2</v>
      </c>
      <c r="I252" t="s">
        <v>596</v>
      </c>
      <c r="J252" s="39">
        <v>45885.415902777801</v>
      </c>
      <c r="K252" s="39">
        <v>45885</v>
      </c>
      <c r="L252" t="str">
        <f t="shared" si="9"/>
        <v>2025-08</v>
      </c>
      <c r="M252" t="s">
        <v>595</v>
      </c>
      <c r="N252">
        <v>16</v>
      </c>
      <c r="O252">
        <v>8.4</v>
      </c>
      <c r="P252">
        <v>1</v>
      </c>
      <c r="Q252">
        <v>1</v>
      </c>
      <c r="R252">
        <v>1</v>
      </c>
      <c r="S252" t="s">
        <v>95</v>
      </c>
      <c r="T252">
        <v>0</v>
      </c>
      <c r="V252">
        <f t="shared" si="10"/>
        <v>1</v>
      </c>
      <c r="W252" t="str">
        <f t="shared" si="11"/>
        <v>Met</v>
      </c>
    </row>
    <row r="253" spans="1:23" x14ac:dyDescent="0.2">
      <c r="A253">
        <v>7600402168</v>
      </c>
      <c r="B253">
        <v>562</v>
      </c>
      <c r="C253" t="s">
        <v>172</v>
      </c>
      <c r="D253" t="s">
        <v>173</v>
      </c>
      <c r="E253" t="s">
        <v>159</v>
      </c>
      <c r="F253" t="s">
        <v>306</v>
      </c>
      <c r="G253" t="s">
        <v>305</v>
      </c>
      <c r="H253">
        <v>2</v>
      </c>
      <c r="I253" t="s">
        <v>594</v>
      </c>
      <c r="J253" s="39">
        <v>46026.384768518503</v>
      </c>
      <c r="K253" s="39">
        <v>46026</v>
      </c>
      <c r="L253" t="str">
        <f t="shared" si="9"/>
        <v>2026-01</v>
      </c>
      <c r="M253" t="s">
        <v>595</v>
      </c>
      <c r="N253">
        <v>16</v>
      </c>
      <c r="O253">
        <v>1.25</v>
      </c>
      <c r="P253">
        <v>0</v>
      </c>
      <c r="Q253">
        <v>0</v>
      </c>
      <c r="R253">
        <v>0</v>
      </c>
      <c r="S253" t="s">
        <v>94</v>
      </c>
      <c r="T253">
        <v>1</v>
      </c>
      <c r="V253" t="str">
        <f t="shared" si="10"/>
        <v/>
      </c>
      <c r="W253" t="str">
        <f t="shared" si="11"/>
        <v>Not Eligible</v>
      </c>
    </row>
    <row r="254" spans="1:23" x14ac:dyDescent="0.2">
      <c r="A254">
        <v>7532906816</v>
      </c>
      <c r="B254">
        <v>931</v>
      </c>
      <c r="C254" t="s">
        <v>242</v>
      </c>
      <c r="D254" t="s">
        <v>243</v>
      </c>
      <c r="E254" t="s">
        <v>226</v>
      </c>
      <c r="F254" t="s">
        <v>316</v>
      </c>
      <c r="G254" t="s">
        <v>315</v>
      </c>
      <c r="H254">
        <v>2</v>
      </c>
      <c r="I254" t="s">
        <v>596</v>
      </c>
      <c r="J254" s="39">
        <v>45986.507187499999</v>
      </c>
      <c r="K254" s="39">
        <v>45991</v>
      </c>
      <c r="L254" t="str">
        <f t="shared" si="9"/>
        <v>2025-11</v>
      </c>
      <c r="M254" t="s">
        <v>595</v>
      </c>
      <c r="N254">
        <v>16</v>
      </c>
      <c r="O254">
        <v>122.43</v>
      </c>
      <c r="P254">
        <v>0</v>
      </c>
      <c r="Q254">
        <v>0</v>
      </c>
      <c r="R254">
        <v>1</v>
      </c>
      <c r="S254" t="s">
        <v>94</v>
      </c>
      <c r="T254">
        <v>1</v>
      </c>
      <c r="V254">
        <f t="shared" si="10"/>
        <v>0</v>
      </c>
      <c r="W254" t="str">
        <f t="shared" si="11"/>
        <v>Missed</v>
      </c>
    </row>
    <row r="255" spans="1:23" x14ac:dyDescent="0.2">
      <c r="A255">
        <v>7527903084</v>
      </c>
      <c r="B255">
        <v>647</v>
      </c>
      <c r="C255" t="s">
        <v>207</v>
      </c>
      <c r="D255" t="s">
        <v>208</v>
      </c>
      <c r="E255" t="s">
        <v>178</v>
      </c>
      <c r="F255" t="s">
        <v>331</v>
      </c>
      <c r="G255" t="s">
        <v>330</v>
      </c>
      <c r="H255">
        <v>2</v>
      </c>
      <c r="I255" t="s">
        <v>596</v>
      </c>
      <c r="J255" s="39">
        <v>45936.394606481503</v>
      </c>
      <c r="K255" s="39">
        <v>45936</v>
      </c>
      <c r="L255" t="str">
        <f t="shared" si="9"/>
        <v>2025-10</v>
      </c>
      <c r="M255" t="s">
        <v>595</v>
      </c>
      <c r="N255">
        <v>16</v>
      </c>
      <c r="O255">
        <v>4.87</v>
      </c>
      <c r="P255">
        <v>1</v>
      </c>
      <c r="Q255">
        <v>1</v>
      </c>
      <c r="R255">
        <v>1</v>
      </c>
      <c r="S255" t="s">
        <v>95</v>
      </c>
      <c r="T255">
        <v>0</v>
      </c>
      <c r="V255">
        <f t="shared" si="10"/>
        <v>1</v>
      </c>
      <c r="W255" t="str">
        <f t="shared" si="11"/>
        <v>Met</v>
      </c>
    </row>
    <row r="256" spans="1:23" x14ac:dyDescent="0.2">
      <c r="A256">
        <v>7609201041</v>
      </c>
      <c r="B256">
        <v>926</v>
      </c>
      <c r="C256" t="s">
        <v>235</v>
      </c>
      <c r="D256" t="s">
        <v>225</v>
      </c>
      <c r="E256" t="s">
        <v>226</v>
      </c>
      <c r="F256" t="s">
        <v>477</v>
      </c>
      <c r="G256" t="s">
        <v>476</v>
      </c>
      <c r="H256">
        <v>2</v>
      </c>
      <c r="I256" t="s">
        <v>596</v>
      </c>
      <c r="J256" s="39">
        <v>46114.642048611102</v>
      </c>
      <c r="K256" s="39">
        <v>46114</v>
      </c>
      <c r="L256" t="str">
        <f t="shared" si="9"/>
        <v>2026-04</v>
      </c>
      <c r="M256" t="s">
        <v>595</v>
      </c>
      <c r="N256">
        <v>0</v>
      </c>
      <c r="O256">
        <v>1.85</v>
      </c>
      <c r="P256">
        <v>1</v>
      </c>
      <c r="Q256">
        <v>1</v>
      </c>
      <c r="R256">
        <v>1</v>
      </c>
      <c r="S256" t="s">
        <v>94</v>
      </c>
      <c r="T256">
        <v>2</v>
      </c>
      <c r="U256">
        <v>1</v>
      </c>
      <c r="V256">
        <f t="shared" si="10"/>
        <v>1</v>
      </c>
      <c r="W256" t="str">
        <f t="shared" si="11"/>
        <v>Met</v>
      </c>
    </row>
    <row r="257" spans="1:23" x14ac:dyDescent="0.2">
      <c r="A257">
        <v>7525302371</v>
      </c>
      <c r="B257">
        <v>638</v>
      </c>
      <c r="C257" t="s">
        <v>194</v>
      </c>
      <c r="D257" t="s">
        <v>147</v>
      </c>
      <c r="E257" t="s">
        <v>181</v>
      </c>
      <c r="F257" t="s">
        <v>436</v>
      </c>
      <c r="G257" t="s">
        <v>435</v>
      </c>
      <c r="H257">
        <v>1</v>
      </c>
      <c r="I257" t="s">
        <v>594</v>
      </c>
      <c r="J257" s="39">
        <v>45910.318958333301</v>
      </c>
      <c r="K257" s="39">
        <v>45910</v>
      </c>
      <c r="L257" t="str">
        <f t="shared" si="9"/>
        <v>2025-09</v>
      </c>
      <c r="M257" t="s">
        <v>595</v>
      </c>
      <c r="N257">
        <v>12</v>
      </c>
      <c r="O257">
        <v>4.43</v>
      </c>
      <c r="P257">
        <v>0</v>
      </c>
      <c r="Q257">
        <v>0</v>
      </c>
      <c r="R257">
        <v>0</v>
      </c>
      <c r="S257" t="s">
        <v>95</v>
      </c>
      <c r="T257">
        <v>0</v>
      </c>
      <c r="V257" t="str">
        <f t="shared" si="10"/>
        <v/>
      </c>
      <c r="W257" t="str">
        <f t="shared" si="11"/>
        <v>Not Eligible</v>
      </c>
    </row>
    <row r="258" spans="1:23" x14ac:dyDescent="0.2">
      <c r="A258">
        <v>7527303692</v>
      </c>
      <c r="B258">
        <v>701</v>
      </c>
      <c r="C258" t="s">
        <v>213</v>
      </c>
      <c r="D258" t="s">
        <v>214</v>
      </c>
      <c r="E258" t="s">
        <v>215</v>
      </c>
      <c r="F258" t="s">
        <v>448</v>
      </c>
      <c r="G258" t="s">
        <v>447</v>
      </c>
      <c r="H258">
        <v>2</v>
      </c>
      <c r="I258" t="s">
        <v>596</v>
      </c>
      <c r="J258" s="39">
        <v>45930.477997685201</v>
      </c>
      <c r="K258" s="39">
        <v>45930</v>
      </c>
      <c r="L258" t="str">
        <f t="shared" ref="L258:L321" si="12">IF(K258="","",TEXT(K258,"YYYY-MM"))</f>
        <v>2025-09</v>
      </c>
      <c r="M258" t="s">
        <v>595</v>
      </c>
      <c r="N258">
        <v>16</v>
      </c>
      <c r="O258">
        <v>3.97</v>
      </c>
      <c r="P258">
        <v>1</v>
      </c>
      <c r="Q258">
        <v>1</v>
      </c>
      <c r="R258">
        <v>1</v>
      </c>
      <c r="S258" t="s">
        <v>95</v>
      </c>
      <c r="T258">
        <v>0</v>
      </c>
      <c r="V258">
        <f t="shared" ref="V258:V321" si="13">IF(R258=0,"",IF(U258&lt;&gt;"",U258,Q258))</f>
        <v>1</v>
      </c>
      <c r="W258" t="str">
        <f t="shared" ref="W258:W321" si="14">IF(R258=0,"Not Eligible",IF(V258=1,"Met","Missed"))</f>
        <v>Met</v>
      </c>
    </row>
    <row r="259" spans="1:23" x14ac:dyDescent="0.2">
      <c r="A259">
        <v>7605405441</v>
      </c>
      <c r="B259">
        <v>639</v>
      </c>
      <c r="C259" t="s">
        <v>195</v>
      </c>
      <c r="D259" t="s">
        <v>196</v>
      </c>
      <c r="E259" t="s">
        <v>181</v>
      </c>
      <c r="F259" t="s">
        <v>256</v>
      </c>
      <c r="G259" t="s">
        <v>255</v>
      </c>
      <c r="H259">
        <v>1</v>
      </c>
      <c r="I259" t="s">
        <v>596</v>
      </c>
      <c r="J259" s="39">
        <v>46076.357337963003</v>
      </c>
      <c r="K259" s="39">
        <v>46076</v>
      </c>
      <c r="L259" t="str">
        <f t="shared" si="12"/>
        <v>2026-02</v>
      </c>
      <c r="M259" t="s">
        <v>595</v>
      </c>
      <c r="N259">
        <v>0</v>
      </c>
      <c r="O259">
        <v>3.83</v>
      </c>
      <c r="P259">
        <v>1</v>
      </c>
      <c r="Q259">
        <v>1</v>
      </c>
      <c r="R259">
        <v>1</v>
      </c>
      <c r="S259" t="s">
        <v>94</v>
      </c>
      <c r="T259">
        <v>2</v>
      </c>
      <c r="U259">
        <v>1</v>
      </c>
      <c r="V259">
        <f t="shared" si="13"/>
        <v>1</v>
      </c>
      <c r="W259" t="str">
        <f t="shared" si="14"/>
        <v>Met</v>
      </c>
    </row>
    <row r="260" spans="1:23" x14ac:dyDescent="0.2">
      <c r="A260">
        <v>7610802332</v>
      </c>
      <c r="B260">
        <v>925</v>
      </c>
      <c r="C260" t="s">
        <v>233</v>
      </c>
      <c r="D260" t="s">
        <v>234</v>
      </c>
      <c r="E260" t="s">
        <v>226</v>
      </c>
      <c r="F260" t="s">
        <v>278</v>
      </c>
      <c r="G260" t="s">
        <v>277</v>
      </c>
      <c r="H260">
        <v>2</v>
      </c>
      <c r="I260" t="s">
        <v>594</v>
      </c>
      <c r="J260" s="39">
        <v>46130.269189814797</v>
      </c>
      <c r="K260" s="39">
        <v>46130</v>
      </c>
      <c r="L260" t="str">
        <f t="shared" si="12"/>
        <v>2026-04</v>
      </c>
      <c r="M260" t="s">
        <v>595</v>
      </c>
      <c r="N260">
        <v>0</v>
      </c>
      <c r="O260">
        <v>8.67</v>
      </c>
      <c r="P260">
        <v>1</v>
      </c>
      <c r="Q260">
        <v>1</v>
      </c>
      <c r="R260">
        <v>1</v>
      </c>
      <c r="S260" t="s">
        <v>94</v>
      </c>
      <c r="T260">
        <v>2</v>
      </c>
      <c r="U260">
        <v>1</v>
      </c>
      <c r="V260">
        <f t="shared" si="13"/>
        <v>1</v>
      </c>
      <c r="W260" t="str">
        <f t="shared" si="14"/>
        <v>Met</v>
      </c>
    </row>
    <row r="261" spans="1:23" x14ac:dyDescent="0.2">
      <c r="A261">
        <v>7602703640</v>
      </c>
      <c r="B261">
        <v>715</v>
      </c>
      <c r="C261" t="s">
        <v>222</v>
      </c>
      <c r="D261" t="s">
        <v>223</v>
      </c>
      <c r="E261" t="s">
        <v>215</v>
      </c>
      <c r="F261" t="s">
        <v>256</v>
      </c>
      <c r="G261" t="s">
        <v>255</v>
      </c>
      <c r="H261">
        <v>2</v>
      </c>
      <c r="I261" t="s">
        <v>596</v>
      </c>
      <c r="J261" s="39">
        <v>46049.348784722199</v>
      </c>
      <c r="K261" s="39">
        <v>46050</v>
      </c>
      <c r="L261" t="str">
        <f t="shared" si="12"/>
        <v>2026-01</v>
      </c>
      <c r="M261" t="s">
        <v>595</v>
      </c>
      <c r="N261">
        <v>16</v>
      </c>
      <c r="O261">
        <v>31.57</v>
      </c>
      <c r="P261">
        <v>0</v>
      </c>
      <c r="Q261">
        <v>0</v>
      </c>
      <c r="R261">
        <v>1</v>
      </c>
      <c r="S261" t="s">
        <v>94</v>
      </c>
      <c r="T261">
        <v>1</v>
      </c>
      <c r="V261">
        <f t="shared" si="13"/>
        <v>0</v>
      </c>
      <c r="W261" t="str">
        <f t="shared" si="14"/>
        <v>Missed</v>
      </c>
    </row>
    <row r="262" spans="1:23" x14ac:dyDescent="0.2">
      <c r="A262">
        <v>7621904213</v>
      </c>
      <c r="B262">
        <v>633</v>
      </c>
      <c r="C262" t="s">
        <v>184</v>
      </c>
      <c r="D262" t="s">
        <v>185</v>
      </c>
      <c r="E262" t="s">
        <v>181</v>
      </c>
      <c r="F262" t="s">
        <v>380</v>
      </c>
      <c r="G262" t="s">
        <v>379</v>
      </c>
      <c r="H262">
        <v>2</v>
      </c>
      <c r="I262" t="s">
        <v>596</v>
      </c>
      <c r="J262" s="39">
        <v>46241.557685185202</v>
      </c>
      <c r="K262" s="39"/>
      <c r="L262" t="str">
        <f t="shared" si="12"/>
        <v/>
      </c>
      <c r="M262" t="s">
        <v>601</v>
      </c>
      <c r="N262">
        <v>16</v>
      </c>
      <c r="P262">
        <v>0</v>
      </c>
      <c r="Q262">
        <v>0</v>
      </c>
      <c r="R262">
        <v>0</v>
      </c>
      <c r="S262" t="s">
        <v>95</v>
      </c>
      <c r="T262">
        <v>0</v>
      </c>
      <c r="V262" t="str">
        <f t="shared" si="13"/>
        <v/>
      </c>
      <c r="W262" t="str">
        <f t="shared" si="14"/>
        <v>Not Eligible</v>
      </c>
    </row>
    <row r="263" spans="1:23" x14ac:dyDescent="0.2">
      <c r="A263">
        <v>7616303160</v>
      </c>
      <c r="B263">
        <v>523</v>
      </c>
      <c r="C263" t="s">
        <v>135</v>
      </c>
      <c r="D263" t="s">
        <v>136</v>
      </c>
      <c r="E263" t="s">
        <v>134</v>
      </c>
      <c r="F263" t="s">
        <v>300</v>
      </c>
      <c r="G263" t="s">
        <v>362</v>
      </c>
      <c r="H263">
        <v>2</v>
      </c>
      <c r="I263" t="s">
        <v>596</v>
      </c>
      <c r="J263" s="39">
        <v>46185.406736111101</v>
      </c>
      <c r="K263" s="39">
        <v>46186</v>
      </c>
      <c r="L263" t="str">
        <f t="shared" si="12"/>
        <v>2026-06</v>
      </c>
      <c r="M263" t="s">
        <v>595</v>
      </c>
      <c r="N263">
        <v>16</v>
      </c>
      <c r="O263">
        <v>30.78</v>
      </c>
      <c r="P263">
        <v>0</v>
      </c>
      <c r="Q263">
        <v>0</v>
      </c>
      <c r="R263">
        <v>1</v>
      </c>
      <c r="S263" t="s">
        <v>94</v>
      </c>
      <c r="T263">
        <v>1</v>
      </c>
      <c r="V263">
        <f t="shared" si="13"/>
        <v>0</v>
      </c>
      <c r="W263" t="str">
        <f t="shared" si="14"/>
        <v>Missed</v>
      </c>
    </row>
    <row r="264" spans="1:23" x14ac:dyDescent="0.2">
      <c r="A264">
        <v>7614601328</v>
      </c>
      <c r="B264">
        <v>635</v>
      </c>
      <c r="C264" t="s">
        <v>188</v>
      </c>
      <c r="D264" t="s">
        <v>189</v>
      </c>
      <c r="E264" t="s">
        <v>181</v>
      </c>
      <c r="F264" t="s">
        <v>353</v>
      </c>
      <c r="G264" t="s">
        <v>352</v>
      </c>
      <c r="H264">
        <v>2</v>
      </c>
      <c r="I264" t="s">
        <v>596</v>
      </c>
      <c r="J264" s="39">
        <v>46168.715324074103</v>
      </c>
      <c r="K264" s="39">
        <v>46169</v>
      </c>
      <c r="L264" t="str">
        <f t="shared" si="12"/>
        <v>2026-05</v>
      </c>
      <c r="M264" t="s">
        <v>595</v>
      </c>
      <c r="N264">
        <v>16</v>
      </c>
      <c r="O264">
        <v>19.399999999999999</v>
      </c>
      <c r="P264">
        <v>1</v>
      </c>
      <c r="Q264">
        <v>1</v>
      </c>
      <c r="R264">
        <v>1</v>
      </c>
      <c r="S264" t="s">
        <v>94</v>
      </c>
      <c r="T264">
        <v>2</v>
      </c>
      <c r="U264">
        <v>1</v>
      </c>
      <c r="V264">
        <f t="shared" si="13"/>
        <v>1</v>
      </c>
      <c r="W264" t="str">
        <f t="shared" si="14"/>
        <v>Met</v>
      </c>
    </row>
    <row r="265" spans="1:23" x14ac:dyDescent="0.2">
      <c r="A265">
        <v>7530305901</v>
      </c>
      <c r="B265">
        <v>647</v>
      </c>
      <c r="C265" t="s">
        <v>207</v>
      </c>
      <c r="D265" t="s">
        <v>208</v>
      </c>
      <c r="E265" t="s">
        <v>178</v>
      </c>
      <c r="F265" t="s">
        <v>410</v>
      </c>
      <c r="G265" t="s">
        <v>409</v>
      </c>
      <c r="H265">
        <v>2</v>
      </c>
      <c r="I265" t="s">
        <v>596</v>
      </c>
      <c r="J265" s="39">
        <v>45960.3979398148</v>
      </c>
      <c r="K265" s="39">
        <v>45964</v>
      </c>
      <c r="L265" t="str">
        <f t="shared" si="12"/>
        <v>2025-11</v>
      </c>
      <c r="M265" t="s">
        <v>595</v>
      </c>
      <c r="N265">
        <v>16</v>
      </c>
      <c r="O265">
        <v>99.65</v>
      </c>
      <c r="P265">
        <v>0</v>
      </c>
      <c r="Q265">
        <v>0</v>
      </c>
      <c r="R265">
        <v>1</v>
      </c>
      <c r="S265" t="s">
        <v>95</v>
      </c>
      <c r="T265">
        <v>0</v>
      </c>
      <c r="V265">
        <f t="shared" si="13"/>
        <v>0</v>
      </c>
      <c r="W265" t="str">
        <f t="shared" si="14"/>
        <v>Missed</v>
      </c>
    </row>
    <row r="266" spans="1:23" x14ac:dyDescent="0.2">
      <c r="A266">
        <v>7600110650</v>
      </c>
      <c r="B266">
        <v>525</v>
      </c>
      <c r="C266" t="s">
        <v>139</v>
      </c>
      <c r="D266" t="s">
        <v>133</v>
      </c>
      <c r="E266" t="s">
        <v>134</v>
      </c>
      <c r="F266" t="s">
        <v>345</v>
      </c>
      <c r="G266" t="s">
        <v>344</v>
      </c>
      <c r="H266">
        <v>2</v>
      </c>
      <c r="I266" t="s">
        <v>594</v>
      </c>
      <c r="J266" s="39">
        <v>46023.398900462998</v>
      </c>
      <c r="K266" s="39">
        <v>46023</v>
      </c>
      <c r="L266" t="str">
        <f t="shared" si="12"/>
        <v>2026-01</v>
      </c>
      <c r="M266" t="s">
        <v>595</v>
      </c>
      <c r="N266">
        <v>16</v>
      </c>
      <c r="O266">
        <v>1.18</v>
      </c>
      <c r="P266">
        <v>0</v>
      </c>
      <c r="Q266">
        <v>0</v>
      </c>
      <c r="R266">
        <v>0</v>
      </c>
      <c r="S266" t="s">
        <v>94</v>
      </c>
      <c r="T266">
        <v>1</v>
      </c>
      <c r="V266" t="str">
        <f t="shared" si="13"/>
        <v/>
      </c>
      <c r="W266" t="str">
        <f t="shared" si="14"/>
        <v>Not Eligible</v>
      </c>
    </row>
    <row r="267" spans="1:23" x14ac:dyDescent="0.2">
      <c r="A267">
        <v>7617300211</v>
      </c>
      <c r="B267">
        <v>931</v>
      </c>
      <c r="C267" t="s">
        <v>242</v>
      </c>
      <c r="D267" t="s">
        <v>243</v>
      </c>
      <c r="E267" t="s">
        <v>226</v>
      </c>
      <c r="F267" t="s">
        <v>312</v>
      </c>
      <c r="G267" t="s">
        <v>311</v>
      </c>
      <c r="H267">
        <v>1</v>
      </c>
      <c r="I267" t="s">
        <v>596</v>
      </c>
      <c r="J267" s="39">
        <v>46195.674085648199</v>
      </c>
      <c r="K267" s="39">
        <v>46195</v>
      </c>
      <c r="L267" t="str">
        <f t="shared" si="12"/>
        <v>2026-06</v>
      </c>
      <c r="M267" t="s">
        <v>600</v>
      </c>
      <c r="N267">
        <v>12</v>
      </c>
      <c r="O267">
        <v>0.88</v>
      </c>
      <c r="P267">
        <v>0</v>
      </c>
      <c r="Q267">
        <v>0</v>
      </c>
      <c r="R267">
        <v>0</v>
      </c>
      <c r="S267" t="s">
        <v>94</v>
      </c>
      <c r="T267">
        <v>1</v>
      </c>
      <c r="V267" t="str">
        <f t="shared" si="13"/>
        <v/>
      </c>
      <c r="W267" t="str">
        <f t="shared" si="14"/>
        <v>Not Eligible</v>
      </c>
    </row>
    <row r="268" spans="1:23" x14ac:dyDescent="0.2">
      <c r="A268">
        <v>7601501225</v>
      </c>
      <c r="B268">
        <v>606</v>
      </c>
      <c r="C268" t="s">
        <v>176</v>
      </c>
      <c r="D268" t="s">
        <v>177</v>
      </c>
      <c r="E268" t="s">
        <v>178</v>
      </c>
      <c r="F268" t="s">
        <v>465</v>
      </c>
      <c r="G268" t="s">
        <v>464</v>
      </c>
      <c r="H268">
        <v>2</v>
      </c>
      <c r="I268" t="s">
        <v>596</v>
      </c>
      <c r="J268" s="39">
        <v>46037.654386574097</v>
      </c>
      <c r="K268" s="39">
        <v>46038</v>
      </c>
      <c r="L268" t="str">
        <f t="shared" si="12"/>
        <v>2026-01</v>
      </c>
      <c r="M268" t="s">
        <v>595</v>
      </c>
      <c r="N268">
        <v>16</v>
      </c>
      <c r="O268">
        <v>19.47</v>
      </c>
      <c r="P268">
        <v>1</v>
      </c>
      <c r="Q268">
        <v>1</v>
      </c>
      <c r="R268">
        <v>1</v>
      </c>
      <c r="S268" t="s">
        <v>94</v>
      </c>
      <c r="T268">
        <v>2</v>
      </c>
      <c r="U268">
        <v>1</v>
      </c>
      <c r="V268">
        <f t="shared" si="13"/>
        <v>1</v>
      </c>
      <c r="W268" t="str">
        <f t="shared" si="14"/>
        <v>Met</v>
      </c>
    </row>
    <row r="269" spans="1:23" x14ac:dyDescent="0.2">
      <c r="A269">
        <v>7615702331</v>
      </c>
      <c r="B269">
        <v>931</v>
      </c>
      <c r="C269" t="s">
        <v>242</v>
      </c>
      <c r="D269" t="s">
        <v>243</v>
      </c>
      <c r="E269" t="s">
        <v>226</v>
      </c>
      <c r="F269" t="s">
        <v>420</v>
      </c>
      <c r="G269" t="s">
        <v>419</v>
      </c>
      <c r="H269">
        <v>2</v>
      </c>
      <c r="I269" t="s">
        <v>594</v>
      </c>
      <c r="J269" s="39">
        <v>46179.671192129601</v>
      </c>
      <c r="K269" s="39">
        <v>46182</v>
      </c>
      <c r="L269" t="str">
        <f t="shared" si="12"/>
        <v>2026-06</v>
      </c>
      <c r="M269" t="s">
        <v>595</v>
      </c>
      <c r="N269">
        <v>16</v>
      </c>
      <c r="O269">
        <v>66.3</v>
      </c>
      <c r="P269">
        <v>0</v>
      </c>
      <c r="Q269">
        <v>0</v>
      </c>
      <c r="R269">
        <v>0</v>
      </c>
      <c r="S269" t="s">
        <v>94</v>
      </c>
      <c r="T269">
        <v>1</v>
      </c>
      <c r="V269" t="str">
        <f t="shared" si="13"/>
        <v/>
      </c>
      <c r="W269" t="str">
        <f t="shared" si="14"/>
        <v>Not Eligible</v>
      </c>
    </row>
    <row r="270" spans="1:23" x14ac:dyDescent="0.2">
      <c r="A270">
        <v>7604308126</v>
      </c>
      <c r="B270">
        <v>546</v>
      </c>
      <c r="C270" t="s">
        <v>168</v>
      </c>
      <c r="D270" t="s">
        <v>169</v>
      </c>
      <c r="E270" t="s">
        <v>159</v>
      </c>
      <c r="F270" t="s">
        <v>254</v>
      </c>
      <c r="G270" t="s">
        <v>253</v>
      </c>
      <c r="H270">
        <v>2</v>
      </c>
      <c r="I270" t="s">
        <v>594</v>
      </c>
      <c r="J270" s="39">
        <v>46065.605173611097</v>
      </c>
      <c r="K270" s="39">
        <v>46065</v>
      </c>
      <c r="L270" t="str">
        <f t="shared" si="12"/>
        <v>2026-02</v>
      </c>
      <c r="M270" t="s">
        <v>595</v>
      </c>
      <c r="N270">
        <v>0</v>
      </c>
      <c r="O270">
        <v>1.3</v>
      </c>
      <c r="P270">
        <v>1</v>
      </c>
      <c r="Q270">
        <v>1</v>
      </c>
      <c r="R270">
        <v>1</v>
      </c>
      <c r="S270" t="s">
        <v>94</v>
      </c>
      <c r="T270">
        <v>1</v>
      </c>
      <c r="V270">
        <f t="shared" si="13"/>
        <v>1</v>
      </c>
      <c r="W270" t="str">
        <f t="shared" si="14"/>
        <v>Met</v>
      </c>
    </row>
    <row r="271" spans="1:23" x14ac:dyDescent="0.2">
      <c r="A271">
        <v>7602300672</v>
      </c>
      <c r="B271">
        <v>530</v>
      </c>
      <c r="C271" t="s">
        <v>146</v>
      </c>
      <c r="D271" t="s">
        <v>147</v>
      </c>
      <c r="E271" t="s">
        <v>134</v>
      </c>
      <c r="F271" t="s">
        <v>260</v>
      </c>
      <c r="G271" t="s">
        <v>259</v>
      </c>
      <c r="H271">
        <v>2</v>
      </c>
      <c r="I271" t="s">
        <v>594</v>
      </c>
      <c r="J271" s="39">
        <v>46045.708321759303</v>
      </c>
      <c r="K271" s="39">
        <v>46046</v>
      </c>
      <c r="L271" t="str">
        <f t="shared" si="12"/>
        <v>2026-01</v>
      </c>
      <c r="M271" t="s">
        <v>595</v>
      </c>
      <c r="N271">
        <v>16</v>
      </c>
      <c r="O271">
        <v>17.73</v>
      </c>
      <c r="P271">
        <v>0</v>
      </c>
      <c r="Q271">
        <v>0</v>
      </c>
      <c r="R271">
        <v>0</v>
      </c>
      <c r="S271" t="s">
        <v>94</v>
      </c>
      <c r="T271">
        <v>2</v>
      </c>
      <c r="U271">
        <v>1</v>
      </c>
      <c r="V271" t="str">
        <f t="shared" si="13"/>
        <v/>
      </c>
      <c r="W271" t="str">
        <f t="shared" si="14"/>
        <v>Not Eligible</v>
      </c>
    </row>
    <row r="272" spans="1:23" x14ac:dyDescent="0.2">
      <c r="A272">
        <v>7604901236</v>
      </c>
      <c r="B272">
        <v>495</v>
      </c>
      <c r="C272" t="s">
        <v>120</v>
      </c>
      <c r="D272" t="s">
        <v>121</v>
      </c>
      <c r="E272" t="s">
        <v>111</v>
      </c>
      <c r="F272" t="s">
        <v>302</v>
      </c>
      <c r="G272" t="s">
        <v>301</v>
      </c>
      <c r="H272">
        <v>2</v>
      </c>
      <c r="I272" t="s">
        <v>596</v>
      </c>
      <c r="J272" s="39">
        <v>46071.585451388899</v>
      </c>
      <c r="K272" s="39">
        <v>46071</v>
      </c>
      <c r="L272" t="str">
        <f t="shared" si="12"/>
        <v>2026-02</v>
      </c>
      <c r="M272" t="s">
        <v>595</v>
      </c>
      <c r="N272">
        <v>0</v>
      </c>
      <c r="O272">
        <v>2.72</v>
      </c>
      <c r="P272">
        <v>1</v>
      </c>
      <c r="Q272">
        <v>1</v>
      </c>
      <c r="R272">
        <v>1</v>
      </c>
      <c r="S272" t="s">
        <v>94</v>
      </c>
      <c r="T272">
        <v>2</v>
      </c>
      <c r="U272">
        <v>1</v>
      </c>
      <c r="V272">
        <f t="shared" si="13"/>
        <v>1</v>
      </c>
      <c r="W272" t="str">
        <f t="shared" si="14"/>
        <v>Met</v>
      </c>
    </row>
    <row r="273" spans="1:23" x14ac:dyDescent="0.2">
      <c r="A273">
        <v>7619111785</v>
      </c>
      <c r="B273">
        <v>562</v>
      </c>
      <c r="C273" t="s">
        <v>172</v>
      </c>
      <c r="D273" t="s">
        <v>173</v>
      </c>
      <c r="E273" t="s">
        <v>159</v>
      </c>
      <c r="F273" t="s">
        <v>306</v>
      </c>
      <c r="G273" t="s">
        <v>325</v>
      </c>
      <c r="H273">
        <v>2</v>
      </c>
      <c r="I273" t="s">
        <v>596</v>
      </c>
      <c r="J273" s="39">
        <v>46213.323993055601</v>
      </c>
      <c r="K273" s="39">
        <v>46216</v>
      </c>
      <c r="L273" t="str">
        <f t="shared" si="12"/>
        <v>2026-07</v>
      </c>
      <c r="M273" t="s">
        <v>595</v>
      </c>
      <c r="N273">
        <v>16</v>
      </c>
      <c r="O273">
        <v>75.099999999999994</v>
      </c>
      <c r="P273">
        <v>0</v>
      </c>
      <c r="Q273">
        <v>0</v>
      </c>
      <c r="R273">
        <v>1</v>
      </c>
      <c r="S273" t="s">
        <v>94</v>
      </c>
      <c r="T273">
        <v>0</v>
      </c>
      <c r="U273">
        <v>0</v>
      </c>
      <c r="V273">
        <f t="shared" si="13"/>
        <v>0</v>
      </c>
      <c r="W273" t="str">
        <f t="shared" si="14"/>
        <v>Missed</v>
      </c>
    </row>
    <row r="274" spans="1:23" x14ac:dyDescent="0.2">
      <c r="A274">
        <v>7530801152</v>
      </c>
      <c r="B274">
        <v>543</v>
      </c>
      <c r="C274" t="s">
        <v>162</v>
      </c>
      <c r="D274" t="s">
        <v>163</v>
      </c>
      <c r="E274" t="s">
        <v>159</v>
      </c>
      <c r="F274" t="s">
        <v>536</v>
      </c>
      <c r="G274" t="s">
        <v>535</v>
      </c>
      <c r="H274">
        <v>2</v>
      </c>
      <c r="I274" t="s">
        <v>596</v>
      </c>
      <c r="J274" s="39">
        <v>45965.569340277798</v>
      </c>
      <c r="K274" s="39">
        <v>45965</v>
      </c>
      <c r="L274" t="str">
        <f t="shared" si="12"/>
        <v>2025-11</v>
      </c>
      <c r="M274" t="s">
        <v>595</v>
      </c>
      <c r="N274">
        <v>16</v>
      </c>
      <c r="O274">
        <v>3.55</v>
      </c>
      <c r="P274">
        <v>1</v>
      </c>
      <c r="Q274">
        <v>1</v>
      </c>
      <c r="R274">
        <v>1</v>
      </c>
      <c r="S274" t="s">
        <v>95</v>
      </c>
      <c r="T274">
        <v>0</v>
      </c>
      <c r="V274">
        <f t="shared" si="13"/>
        <v>1</v>
      </c>
      <c r="W274" t="str">
        <f t="shared" si="14"/>
        <v>Met</v>
      </c>
    </row>
    <row r="275" spans="1:23" x14ac:dyDescent="0.2">
      <c r="A275">
        <v>7534410950</v>
      </c>
      <c r="B275">
        <v>448</v>
      </c>
      <c r="C275" t="s">
        <v>109</v>
      </c>
      <c r="D275" t="s">
        <v>110</v>
      </c>
      <c r="E275" t="s">
        <v>111</v>
      </c>
      <c r="F275" t="s">
        <v>258</v>
      </c>
      <c r="G275" t="s">
        <v>257</v>
      </c>
      <c r="H275">
        <v>2</v>
      </c>
      <c r="I275" t="s">
        <v>596</v>
      </c>
      <c r="J275" s="39">
        <v>46001.336261574099</v>
      </c>
      <c r="K275" s="39">
        <v>46002</v>
      </c>
      <c r="L275" t="str">
        <f t="shared" si="12"/>
        <v>2025-12</v>
      </c>
      <c r="M275" t="s">
        <v>595</v>
      </c>
      <c r="N275">
        <v>16</v>
      </c>
      <c r="O275">
        <v>28.4</v>
      </c>
      <c r="P275">
        <v>0</v>
      </c>
      <c r="Q275">
        <v>0</v>
      </c>
      <c r="R275">
        <v>1</v>
      </c>
      <c r="S275" t="s">
        <v>95</v>
      </c>
      <c r="T275">
        <v>0</v>
      </c>
      <c r="V275">
        <f t="shared" si="13"/>
        <v>0</v>
      </c>
      <c r="W275" t="str">
        <f t="shared" si="14"/>
        <v>Missed</v>
      </c>
    </row>
    <row r="276" spans="1:23" x14ac:dyDescent="0.2">
      <c r="A276">
        <v>7615002346</v>
      </c>
      <c r="B276">
        <v>561</v>
      </c>
      <c r="C276" t="s">
        <v>170</v>
      </c>
      <c r="D276" t="s">
        <v>171</v>
      </c>
      <c r="E276" t="s">
        <v>159</v>
      </c>
      <c r="F276" t="s">
        <v>398</v>
      </c>
      <c r="G276" t="s">
        <v>451</v>
      </c>
      <c r="H276">
        <v>2</v>
      </c>
      <c r="I276" t="s">
        <v>596</v>
      </c>
      <c r="J276" s="39">
        <v>46172.527789351901</v>
      </c>
      <c r="K276" s="39">
        <v>46178</v>
      </c>
      <c r="L276" t="str">
        <f t="shared" si="12"/>
        <v>2026-06</v>
      </c>
      <c r="M276" t="s">
        <v>595</v>
      </c>
      <c r="N276">
        <v>16</v>
      </c>
      <c r="O276">
        <v>149.82</v>
      </c>
      <c r="P276">
        <v>0</v>
      </c>
      <c r="Q276">
        <v>0</v>
      </c>
      <c r="R276">
        <v>1</v>
      </c>
      <c r="S276" t="s">
        <v>94</v>
      </c>
      <c r="T276">
        <v>0</v>
      </c>
      <c r="U276">
        <v>0</v>
      </c>
      <c r="V276">
        <f t="shared" si="13"/>
        <v>0</v>
      </c>
      <c r="W276" t="str">
        <f t="shared" si="14"/>
        <v>Missed</v>
      </c>
    </row>
    <row r="277" spans="1:23" x14ac:dyDescent="0.2">
      <c r="A277">
        <v>7521904010</v>
      </c>
      <c r="B277">
        <v>648</v>
      </c>
      <c r="C277" t="s">
        <v>209</v>
      </c>
      <c r="D277" t="s">
        <v>210</v>
      </c>
      <c r="E277" t="s">
        <v>178</v>
      </c>
      <c r="F277" t="s">
        <v>284</v>
      </c>
      <c r="G277" t="s">
        <v>283</v>
      </c>
      <c r="H277">
        <v>2</v>
      </c>
      <c r="I277" t="s">
        <v>594</v>
      </c>
      <c r="J277" s="39">
        <v>45876.4859027778</v>
      </c>
      <c r="K277" s="39">
        <v>45877</v>
      </c>
      <c r="L277" t="str">
        <f t="shared" si="12"/>
        <v>2025-08</v>
      </c>
      <c r="M277" t="s">
        <v>595</v>
      </c>
      <c r="N277">
        <v>16</v>
      </c>
      <c r="O277">
        <v>27.9</v>
      </c>
      <c r="P277">
        <v>0</v>
      </c>
      <c r="Q277">
        <v>0</v>
      </c>
      <c r="R277">
        <v>0</v>
      </c>
      <c r="S277" t="s">
        <v>95</v>
      </c>
      <c r="T277">
        <v>0</v>
      </c>
      <c r="V277" t="str">
        <f t="shared" si="13"/>
        <v/>
      </c>
      <c r="W277" t="str">
        <f t="shared" si="14"/>
        <v>Not Eligible</v>
      </c>
    </row>
    <row r="278" spans="1:23" x14ac:dyDescent="0.2">
      <c r="A278">
        <v>7535811071</v>
      </c>
      <c r="B278">
        <v>919</v>
      </c>
      <c r="C278" t="s">
        <v>224</v>
      </c>
      <c r="D278" t="s">
        <v>225</v>
      </c>
      <c r="E278" t="s">
        <v>226</v>
      </c>
      <c r="F278" t="s">
        <v>473</v>
      </c>
      <c r="G278" t="s">
        <v>472</v>
      </c>
      <c r="H278">
        <v>2</v>
      </c>
      <c r="I278" t="s">
        <v>596</v>
      </c>
      <c r="J278" s="39">
        <v>46015.407268518502</v>
      </c>
      <c r="K278" s="39">
        <v>46015</v>
      </c>
      <c r="L278" t="str">
        <f t="shared" si="12"/>
        <v>2025-12</v>
      </c>
      <c r="M278" t="s">
        <v>595</v>
      </c>
      <c r="N278">
        <v>16</v>
      </c>
      <c r="O278">
        <v>2.1800000000000002</v>
      </c>
      <c r="P278">
        <v>1</v>
      </c>
      <c r="Q278">
        <v>1</v>
      </c>
      <c r="R278">
        <v>1</v>
      </c>
      <c r="S278" t="s">
        <v>95</v>
      </c>
      <c r="T278">
        <v>0</v>
      </c>
      <c r="V278">
        <f t="shared" si="13"/>
        <v>1</v>
      </c>
      <c r="W278" t="str">
        <f t="shared" si="14"/>
        <v>Met</v>
      </c>
    </row>
    <row r="279" spans="1:23" x14ac:dyDescent="0.2">
      <c r="A279">
        <v>7615203808</v>
      </c>
      <c r="B279">
        <v>710</v>
      </c>
      <c r="C279" t="s">
        <v>220</v>
      </c>
      <c r="D279" t="s">
        <v>221</v>
      </c>
      <c r="E279" t="s">
        <v>215</v>
      </c>
      <c r="F279" t="s">
        <v>509</v>
      </c>
      <c r="G279" t="s">
        <v>508</v>
      </c>
      <c r="H279">
        <v>2</v>
      </c>
      <c r="I279" t="s">
        <v>596</v>
      </c>
      <c r="J279" s="39">
        <v>46174.493113425902</v>
      </c>
      <c r="K279" s="39">
        <v>46175</v>
      </c>
      <c r="L279" t="str">
        <f t="shared" si="12"/>
        <v>2026-06</v>
      </c>
      <c r="M279" t="s">
        <v>595</v>
      </c>
      <c r="N279">
        <v>16</v>
      </c>
      <c r="O279">
        <v>28.73</v>
      </c>
      <c r="P279">
        <v>0</v>
      </c>
      <c r="Q279">
        <v>0</v>
      </c>
      <c r="R279">
        <v>1</v>
      </c>
      <c r="S279" t="s">
        <v>94</v>
      </c>
      <c r="T279">
        <v>0</v>
      </c>
      <c r="U279">
        <v>0</v>
      </c>
      <c r="V279">
        <f t="shared" si="13"/>
        <v>0</v>
      </c>
      <c r="W279" t="str">
        <f t="shared" si="14"/>
        <v>Missed</v>
      </c>
    </row>
    <row r="280" spans="1:23" x14ac:dyDescent="0.2">
      <c r="A280">
        <v>7615400374</v>
      </c>
      <c r="B280">
        <v>929</v>
      </c>
      <c r="C280" t="s">
        <v>240</v>
      </c>
      <c r="D280" t="s">
        <v>241</v>
      </c>
      <c r="E280" t="s">
        <v>226</v>
      </c>
      <c r="F280" t="s">
        <v>320</v>
      </c>
      <c r="G280" t="s">
        <v>319</v>
      </c>
      <c r="H280">
        <v>2</v>
      </c>
      <c r="I280" t="s">
        <v>596</v>
      </c>
      <c r="J280" s="39">
        <v>46176.722175925897</v>
      </c>
      <c r="K280" s="39">
        <v>46177</v>
      </c>
      <c r="L280" t="str">
        <f t="shared" si="12"/>
        <v>2026-06</v>
      </c>
      <c r="M280" t="s">
        <v>595</v>
      </c>
      <c r="N280">
        <v>16</v>
      </c>
      <c r="O280">
        <v>21.65</v>
      </c>
      <c r="P280">
        <v>1</v>
      </c>
      <c r="Q280">
        <v>1</v>
      </c>
      <c r="R280">
        <v>1</v>
      </c>
      <c r="S280" t="s">
        <v>94</v>
      </c>
      <c r="T280">
        <v>2</v>
      </c>
      <c r="U280">
        <v>1</v>
      </c>
      <c r="V280">
        <f t="shared" si="13"/>
        <v>1</v>
      </c>
      <c r="W280" t="str">
        <f t="shared" si="14"/>
        <v>Met</v>
      </c>
    </row>
    <row r="281" spans="1:23" x14ac:dyDescent="0.2">
      <c r="A281">
        <v>7526606098</v>
      </c>
      <c r="B281">
        <v>642</v>
      </c>
      <c r="C281" t="s">
        <v>199</v>
      </c>
      <c r="D281" t="s">
        <v>200</v>
      </c>
      <c r="E281" t="s">
        <v>178</v>
      </c>
      <c r="F281" t="s">
        <v>495</v>
      </c>
      <c r="G281" t="s">
        <v>494</v>
      </c>
      <c r="H281">
        <v>2</v>
      </c>
      <c r="I281" t="s">
        <v>596</v>
      </c>
      <c r="J281" s="39">
        <v>45923.616967592599</v>
      </c>
      <c r="K281" s="39">
        <v>45936</v>
      </c>
      <c r="L281" t="str">
        <f t="shared" si="12"/>
        <v>2025-10</v>
      </c>
      <c r="M281" t="s">
        <v>595</v>
      </c>
      <c r="N281">
        <v>16</v>
      </c>
      <c r="O281">
        <v>316.02</v>
      </c>
      <c r="P281">
        <v>0</v>
      </c>
      <c r="Q281">
        <v>0</v>
      </c>
      <c r="R281">
        <v>1</v>
      </c>
      <c r="S281" t="s">
        <v>94</v>
      </c>
      <c r="T281">
        <v>1</v>
      </c>
      <c r="V281">
        <f t="shared" si="13"/>
        <v>0</v>
      </c>
      <c r="W281" t="str">
        <f t="shared" si="14"/>
        <v>Missed</v>
      </c>
    </row>
    <row r="282" spans="1:23" x14ac:dyDescent="0.2">
      <c r="A282">
        <v>7531702683</v>
      </c>
      <c r="B282">
        <v>546</v>
      </c>
      <c r="C282" t="s">
        <v>168</v>
      </c>
      <c r="D282" t="s">
        <v>169</v>
      </c>
      <c r="E282" t="s">
        <v>159</v>
      </c>
      <c r="F282" t="s">
        <v>254</v>
      </c>
      <c r="G282" t="s">
        <v>253</v>
      </c>
      <c r="H282">
        <v>2</v>
      </c>
      <c r="I282" t="s">
        <v>596</v>
      </c>
      <c r="J282" s="39">
        <v>45974.310636574097</v>
      </c>
      <c r="K282" s="39">
        <v>45980</v>
      </c>
      <c r="L282" t="str">
        <f t="shared" si="12"/>
        <v>2025-11</v>
      </c>
      <c r="M282" t="s">
        <v>595</v>
      </c>
      <c r="N282">
        <v>16</v>
      </c>
      <c r="O282">
        <v>153.82</v>
      </c>
      <c r="P282">
        <v>0</v>
      </c>
      <c r="Q282">
        <v>0</v>
      </c>
      <c r="R282">
        <v>1</v>
      </c>
      <c r="S282" t="s">
        <v>95</v>
      </c>
      <c r="T282">
        <v>0</v>
      </c>
      <c r="V282">
        <f t="shared" si="13"/>
        <v>0</v>
      </c>
      <c r="W282" t="str">
        <f t="shared" si="14"/>
        <v>Missed</v>
      </c>
    </row>
    <row r="283" spans="1:23" x14ac:dyDescent="0.2">
      <c r="A283">
        <v>7535302810</v>
      </c>
      <c r="B283">
        <v>920</v>
      </c>
      <c r="C283" t="s">
        <v>227</v>
      </c>
      <c r="D283" t="s">
        <v>228</v>
      </c>
      <c r="E283" t="s">
        <v>226</v>
      </c>
      <c r="F283" t="s">
        <v>337</v>
      </c>
      <c r="G283" t="s">
        <v>336</v>
      </c>
      <c r="H283">
        <v>2</v>
      </c>
      <c r="I283" t="s">
        <v>596</v>
      </c>
      <c r="J283" s="39">
        <v>46010.379988425899</v>
      </c>
      <c r="K283" s="39">
        <v>46010</v>
      </c>
      <c r="L283" t="str">
        <f t="shared" si="12"/>
        <v>2025-12</v>
      </c>
      <c r="M283" t="s">
        <v>595</v>
      </c>
      <c r="N283">
        <v>16</v>
      </c>
      <c r="O283">
        <v>4.7</v>
      </c>
      <c r="P283">
        <v>1</v>
      </c>
      <c r="Q283">
        <v>1</v>
      </c>
      <c r="R283">
        <v>1</v>
      </c>
      <c r="S283" t="s">
        <v>95</v>
      </c>
      <c r="T283">
        <v>0</v>
      </c>
      <c r="V283">
        <f t="shared" si="13"/>
        <v>1</v>
      </c>
      <c r="W283" t="str">
        <f t="shared" si="14"/>
        <v>Met</v>
      </c>
    </row>
    <row r="284" spans="1:23" x14ac:dyDescent="0.2">
      <c r="A284">
        <v>7618913543</v>
      </c>
      <c r="B284">
        <v>527</v>
      </c>
      <c r="C284" t="s">
        <v>141</v>
      </c>
      <c r="D284" t="s">
        <v>142</v>
      </c>
      <c r="E284" t="s">
        <v>134</v>
      </c>
      <c r="F284" t="s">
        <v>308</v>
      </c>
      <c r="G284" t="s">
        <v>307</v>
      </c>
      <c r="H284">
        <v>2</v>
      </c>
      <c r="I284" t="s">
        <v>594</v>
      </c>
      <c r="J284" s="39">
        <v>46210.882581018501</v>
      </c>
      <c r="K284" s="39">
        <v>46211</v>
      </c>
      <c r="L284" t="str">
        <f t="shared" si="12"/>
        <v>2026-07</v>
      </c>
      <c r="M284" t="s">
        <v>595</v>
      </c>
      <c r="N284">
        <v>16</v>
      </c>
      <c r="O284">
        <v>15.32</v>
      </c>
      <c r="P284">
        <v>0</v>
      </c>
      <c r="Q284">
        <v>0</v>
      </c>
      <c r="R284">
        <v>0</v>
      </c>
      <c r="S284" t="s">
        <v>94</v>
      </c>
      <c r="T284">
        <v>2</v>
      </c>
      <c r="U284">
        <v>1</v>
      </c>
      <c r="V284" t="str">
        <f t="shared" si="13"/>
        <v/>
      </c>
      <c r="W284" t="str">
        <f t="shared" si="14"/>
        <v>Not Eligible</v>
      </c>
    </row>
    <row r="285" spans="1:23" x14ac:dyDescent="0.2">
      <c r="A285">
        <v>7600400733</v>
      </c>
      <c r="B285">
        <v>497</v>
      </c>
      <c r="C285" t="s">
        <v>125</v>
      </c>
      <c r="D285" t="s">
        <v>126</v>
      </c>
      <c r="E285" t="s">
        <v>124</v>
      </c>
      <c r="F285" t="s">
        <v>270</v>
      </c>
      <c r="G285" t="s">
        <v>269</v>
      </c>
      <c r="H285">
        <v>2</v>
      </c>
      <c r="I285" t="s">
        <v>594</v>
      </c>
      <c r="J285" s="39">
        <v>46025.867418981499</v>
      </c>
      <c r="K285" s="39">
        <v>46026</v>
      </c>
      <c r="L285" t="str">
        <f t="shared" si="12"/>
        <v>2026-01</v>
      </c>
      <c r="M285" t="s">
        <v>595</v>
      </c>
      <c r="N285">
        <v>16</v>
      </c>
      <c r="O285">
        <v>11.78</v>
      </c>
      <c r="P285">
        <v>0</v>
      </c>
      <c r="Q285">
        <v>0</v>
      </c>
      <c r="R285">
        <v>0</v>
      </c>
      <c r="S285" t="s">
        <v>94</v>
      </c>
      <c r="T285">
        <v>1</v>
      </c>
      <c r="V285" t="str">
        <f t="shared" si="13"/>
        <v/>
      </c>
      <c r="W285" t="str">
        <f t="shared" si="14"/>
        <v>Not Eligible</v>
      </c>
    </row>
    <row r="286" spans="1:23" x14ac:dyDescent="0.2">
      <c r="A286">
        <v>7531305554</v>
      </c>
      <c r="B286">
        <v>929</v>
      </c>
      <c r="C286" t="s">
        <v>240</v>
      </c>
      <c r="D286" t="s">
        <v>241</v>
      </c>
      <c r="E286" t="s">
        <v>226</v>
      </c>
      <c r="F286" t="s">
        <v>339</v>
      </c>
      <c r="G286" t="s">
        <v>338</v>
      </c>
      <c r="H286">
        <v>1</v>
      </c>
      <c r="I286" t="s">
        <v>596</v>
      </c>
      <c r="J286" s="39">
        <v>45970.4852777778</v>
      </c>
      <c r="K286" s="39">
        <v>45974</v>
      </c>
      <c r="L286" t="str">
        <f t="shared" si="12"/>
        <v>2025-11</v>
      </c>
      <c r="M286" t="s">
        <v>595</v>
      </c>
      <c r="N286">
        <v>12</v>
      </c>
      <c r="O286">
        <v>101.03</v>
      </c>
      <c r="P286">
        <v>0</v>
      </c>
      <c r="Q286">
        <v>0</v>
      </c>
      <c r="R286">
        <v>1</v>
      </c>
      <c r="S286" t="s">
        <v>95</v>
      </c>
      <c r="T286">
        <v>0</v>
      </c>
      <c r="V286">
        <f t="shared" si="13"/>
        <v>0</v>
      </c>
      <c r="W286" t="str">
        <f t="shared" si="14"/>
        <v>Missed</v>
      </c>
    </row>
    <row r="287" spans="1:23" x14ac:dyDescent="0.2">
      <c r="A287">
        <v>7523902604</v>
      </c>
      <c r="B287">
        <v>642</v>
      </c>
      <c r="C287" t="s">
        <v>199</v>
      </c>
      <c r="D287" t="s">
        <v>200</v>
      </c>
      <c r="E287" t="s">
        <v>178</v>
      </c>
      <c r="F287" t="s">
        <v>347</v>
      </c>
      <c r="G287" t="s">
        <v>346</v>
      </c>
      <c r="H287">
        <v>2</v>
      </c>
      <c r="I287" t="s">
        <v>594</v>
      </c>
      <c r="J287" s="39">
        <v>45896.422800925902</v>
      </c>
      <c r="K287" s="39">
        <v>45899</v>
      </c>
      <c r="L287" t="str">
        <f t="shared" si="12"/>
        <v>2025-08</v>
      </c>
      <c r="M287" t="s">
        <v>595</v>
      </c>
      <c r="N287">
        <v>16</v>
      </c>
      <c r="O287">
        <v>73.680000000000007</v>
      </c>
      <c r="P287">
        <v>0</v>
      </c>
      <c r="Q287">
        <v>0</v>
      </c>
      <c r="R287">
        <v>0</v>
      </c>
      <c r="S287" t="s">
        <v>94</v>
      </c>
      <c r="T287">
        <v>1</v>
      </c>
      <c r="V287" t="str">
        <f t="shared" si="13"/>
        <v/>
      </c>
      <c r="W287" t="str">
        <f t="shared" si="14"/>
        <v>Not Eligible</v>
      </c>
    </row>
    <row r="288" spans="1:23" x14ac:dyDescent="0.2">
      <c r="A288">
        <v>7618001069</v>
      </c>
      <c r="B288">
        <v>634</v>
      </c>
      <c r="C288" t="s">
        <v>186</v>
      </c>
      <c r="D288" t="s">
        <v>187</v>
      </c>
      <c r="E288" t="s">
        <v>181</v>
      </c>
      <c r="F288" t="s">
        <v>428</v>
      </c>
      <c r="G288" t="s">
        <v>427</v>
      </c>
      <c r="H288">
        <v>2</v>
      </c>
      <c r="I288" t="s">
        <v>596</v>
      </c>
      <c r="J288" s="39">
        <v>46202.613229166702</v>
      </c>
      <c r="K288" s="39">
        <v>46204</v>
      </c>
      <c r="L288" t="str">
        <f t="shared" si="12"/>
        <v>2026-07</v>
      </c>
      <c r="M288" t="s">
        <v>595</v>
      </c>
      <c r="N288">
        <v>16</v>
      </c>
      <c r="O288">
        <v>48.2</v>
      </c>
      <c r="P288">
        <v>0</v>
      </c>
      <c r="Q288">
        <v>0</v>
      </c>
      <c r="R288">
        <v>0</v>
      </c>
      <c r="S288" t="s">
        <v>94</v>
      </c>
      <c r="T288">
        <v>1</v>
      </c>
      <c r="V288" t="str">
        <f t="shared" si="13"/>
        <v/>
      </c>
      <c r="W288" t="str">
        <f t="shared" si="14"/>
        <v>Not Eligible</v>
      </c>
    </row>
    <row r="289" spans="1:23" x14ac:dyDescent="0.2">
      <c r="A289">
        <v>7532710194</v>
      </c>
      <c r="B289">
        <v>493</v>
      </c>
      <c r="C289" t="s">
        <v>116</v>
      </c>
      <c r="D289" t="s">
        <v>117</v>
      </c>
      <c r="E289" t="s">
        <v>111</v>
      </c>
      <c r="F289" t="s">
        <v>515</v>
      </c>
      <c r="G289" t="s">
        <v>514</v>
      </c>
      <c r="H289">
        <v>1</v>
      </c>
      <c r="I289" t="s">
        <v>596</v>
      </c>
      <c r="J289" s="39">
        <v>45984.3883333333</v>
      </c>
      <c r="K289" s="39">
        <v>45984</v>
      </c>
      <c r="L289" t="str">
        <f t="shared" si="12"/>
        <v>2025-11</v>
      </c>
      <c r="M289" t="s">
        <v>595</v>
      </c>
      <c r="N289">
        <v>12</v>
      </c>
      <c r="O289">
        <v>3.23</v>
      </c>
      <c r="P289">
        <v>1</v>
      </c>
      <c r="Q289">
        <v>1</v>
      </c>
      <c r="R289">
        <v>1</v>
      </c>
      <c r="S289" t="s">
        <v>95</v>
      </c>
      <c r="T289">
        <v>0</v>
      </c>
      <c r="V289">
        <f t="shared" si="13"/>
        <v>1</v>
      </c>
      <c r="W289" t="str">
        <f t="shared" si="14"/>
        <v>Met</v>
      </c>
    </row>
    <row r="290" spans="1:23" x14ac:dyDescent="0.2">
      <c r="A290">
        <v>7606401194</v>
      </c>
      <c r="B290">
        <v>532</v>
      </c>
      <c r="C290" t="s">
        <v>148</v>
      </c>
      <c r="D290" t="s">
        <v>133</v>
      </c>
      <c r="E290" t="s">
        <v>134</v>
      </c>
      <c r="F290" t="s">
        <v>296</v>
      </c>
      <c r="G290" t="s">
        <v>295</v>
      </c>
      <c r="H290">
        <v>2</v>
      </c>
      <c r="I290" t="s">
        <v>596</v>
      </c>
      <c r="J290" s="39">
        <v>46086.621909722198</v>
      </c>
      <c r="K290" s="39">
        <v>46093</v>
      </c>
      <c r="L290" t="str">
        <f t="shared" si="12"/>
        <v>2026-03</v>
      </c>
      <c r="M290" t="s">
        <v>595</v>
      </c>
      <c r="N290">
        <v>0</v>
      </c>
      <c r="O290">
        <v>167.27</v>
      </c>
      <c r="P290">
        <v>1</v>
      </c>
      <c r="Q290">
        <v>1</v>
      </c>
      <c r="R290">
        <v>1</v>
      </c>
      <c r="S290" t="s">
        <v>94</v>
      </c>
      <c r="T290">
        <v>1</v>
      </c>
      <c r="V290">
        <f t="shared" si="13"/>
        <v>1</v>
      </c>
      <c r="W290" t="str">
        <f t="shared" si="14"/>
        <v>Met</v>
      </c>
    </row>
    <row r="291" spans="1:23" x14ac:dyDescent="0.2">
      <c r="A291">
        <v>7528911411</v>
      </c>
      <c r="B291">
        <v>526</v>
      </c>
      <c r="C291" t="s">
        <v>140</v>
      </c>
      <c r="D291" t="s">
        <v>133</v>
      </c>
      <c r="E291" t="s">
        <v>134</v>
      </c>
      <c r="F291" t="s">
        <v>341</v>
      </c>
      <c r="G291" t="s">
        <v>340</v>
      </c>
      <c r="H291">
        <v>2</v>
      </c>
      <c r="I291" t="s">
        <v>596</v>
      </c>
      <c r="J291" s="39">
        <v>45946.385381944398</v>
      </c>
      <c r="K291" s="39">
        <v>45946</v>
      </c>
      <c r="L291" t="str">
        <f t="shared" si="12"/>
        <v>2025-10</v>
      </c>
      <c r="M291" t="s">
        <v>595</v>
      </c>
      <c r="N291">
        <v>16</v>
      </c>
      <c r="O291">
        <v>2.52</v>
      </c>
      <c r="P291">
        <v>1</v>
      </c>
      <c r="Q291">
        <v>1</v>
      </c>
      <c r="R291">
        <v>1</v>
      </c>
      <c r="S291" t="s">
        <v>95</v>
      </c>
      <c r="T291">
        <v>0</v>
      </c>
      <c r="V291">
        <f t="shared" si="13"/>
        <v>1</v>
      </c>
      <c r="W291" t="str">
        <f t="shared" si="14"/>
        <v>Met</v>
      </c>
    </row>
    <row r="292" spans="1:23" x14ac:dyDescent="0.2">
      <c r="A292">
        <v>7525102642</v>
      </c>
      <c r="B292">
        <v>931</v>
      </c>
      <c r="C292" t="s">
        <v>242</v>
      </c>
      <c r="D292" t="s">
        <v>243</v>
      </c>
      <c r="E292" t="s">
        <v>226</v>
      </c>
      <c r="F292" t="s">
        <v>374</v>
      </c>
      <c r="G292" t="s">
        <v>373</v>
      </c>
      <c r="H292">
        <v>2</v>
      </c>
      <c r="I292" t="s">
        <v>596</v>
      </c>
      <c r="J292" s="39">
        <v>45908.458078703698</v>
      </c>
      <c r="K292" s="39">
        <v>45916</v>
      </c>
      <c r="L292" t="str">
        <f t="shared" si="12"/>
        <v>2025-09</v>
      </c>
      <c r="M292" t="s">
        <v>595</v>
      </c>
      <c r="N292">
        <v>16</v>
      </c>
      <c r="O292">
        <v>194.52</v>
      </c>
      <c r="P292">
        <v>0</v>
      </c>
      <c r="Q292">
        <v>0</v>
      </c>
      <c r="R292">
        <v>1</v>
      </c>
      <c r="S292" t="s">
        <v>94</v>
      </c>
      <c r="T292">
        <v>1</v>
      </c>
      <c r="V292">
        <f t="shared" si="13"/>
        <v>0</v>
      </c>
      <c r="W292" t="str">
        <f t="shared" si="14"/>
        <v>Missed</v>
      </c>
    </row>
    <row r="293" spans="1:23" x14ac:dyDescent="0.2">
      <c r="A293">
        <v>7604703056</v>
      </c>
      <c r="B293">
        <v>537</v>
      </c>
      <c r="C293" t="s">
        <v>156</v>
      </c>
      <c r="D293" t="s">
        <v>157</v>
      </c>
      <c r="E293" t="s">
        <v>134</v>
      </c>
      <c r="F293" t="s">
        <v>300</v>
      </c>
      <c r="G293" t="s">
        <v>299</v>
      </c>
      <c r="H293">
        <v>2</v>
      </c>
      <c r="I293" t="s">
        <v>594</v>
      </c>
      <c r="J293" s="39">
        <v>46069.459236111099</v>
      </c>
      <c r="K293" s="39">
        <v>46069</v>
      </c>
      <c r="L293" t="str">
        <f t="shared" si="12"/>
        <v>2026-02</v>
      </c>
      <c r="M293" t="s">
        <v>595</v>
      </c>
      <c r="N293">
        <v>0</v>
      </c>
      <c r="O293">
        <v>1</v>
      </c>
      <c r="P293">
        <v>1</v>
      </c>
      <c r="Q293">
        <v>1</v>
      </c>
      <c r="R293">
        <v>1</v>
      </c>
      <c r="S293" t="s">
        <v>94</v>
      </c>
      <c r="T293">
        <v>1</v>
      </c>
      <c r="V293">
        <f t="shared" si="13"/>
        <v>1</v>
      </c>
      <c r="W293" t="str">
        <f t="shared" si="14"/>
        <v>Met</v>
      </c>
    </row>
    <row r="294" spans="1:23" x14ac:dyDescent="0.2">
      <c r="A294">
        <v>7614309194</v>
      </c>
      <c r="B294">
        <v>535</v>
      </c>
      <c r="C294" t="s">
        <v>153</v>
      </c>
      <c r="D294" t="s">
        <v>154</v>
      </c>
      <c r="E294" t="s">
        <v>134</v>
      </c>
      <c r="F294" t="s">
        <v>280</v>
      </c>
      <c r="G294" t="s">
        <v>279</v>
      </c>
      <c r="H294">
        <v>1</v>
      </c>
      <c r="I294" t="s">
        <v>596</v>
      </c>
      <c r="J294" s="39">
        <v>46165.8311805556</v>
      </c>
      <c r="K294" s="39">
        <v>46166</v>
      </c>
      <c r="L294" t="str">
        <f t="shared" si="12"/>
        <v>2026-05</v>
      </c>
      <c r="M294" t="s">
        <v>595</v>
      </c>
      <c r="N294">
        <v>12</v>
      </c>
      <c r="O294">
        <v>18.23</v>
      </c>
      <c r="P294">
        <v>1</v>
      </c>
      <c r="Q294">
        <v>1</v>
      </c>
      <c r="R294">
        <v>1</v>
      </c>
      <c r="S294" t="s">
        <v>94</v>
      </c>
      <c r="T294">
        <v>2</v>
      </c>
      <c r="U294">
        <v>1</v>
      </c>
      <c r="V294">
        <f t="shared" si="13"/>
        <v>1</v>
      </c>
      <c r="W294" t="str">
        <f t="shared" si="14"/>
        <v>Met</v>
      </c>
    </row>
    <row r="295" spans="1:23" x14ac:dyDescent="0.2">
      <c r="A295">
        <v>7608302491</v>
      </c>
      <c r="B295">
        <v>638</v>
      </c>
      <c r="C295" t="s">
        <v>194</v>
      </c>
      <c r="D295" t="s">
        <v>147</v>
      </c>
      <c r="E295" t="s">
        <v>181</v>
      </c>
      <c r="F295" t="s">
        <v>438</v>
      </c>
      <c r="G295" t="s">
        <v>437</v>
      </c>
      <c r="H295">
        <v>2</v>
      </c>
      <c r="I295" t="s">
        <v>596</v>
      </c>
      <c r="J295" s="39">
        <v>46104.8254282407</v>
      </c>
      <c r="K295" s="39">
        <v>46105</v>
      </c>
      <c r="L295" t="str">
        <f t="shared" si="12"/>
        <v>2026-03</v>
      </c>
      <c r="M295" t="s">
        <v>595</v>
      </c>
      <c r="N295">
        <v>0</v>
      </c>
      <c r="O295">
        <v>16.07</v>
      </c>
      <c r="P295">
        <v>1</v>
      </c>
      <c r="Q295">
        <v>1</v>
      </c>
      <c r="R295">
        <v>1</v>
      </c>
      <c r="S295" t="s">
        <v>94</v>
      </c>
      <c r="T295">
        <v>2</v>
      </c>
      <c r="U295">
        <v>1</v>
      </c>
      <c r="V295">
        <f t="shared" si="13"/>
        <v>1</v>
      </c>
      <c r="W295" t="str">
        <f t="shared" si="14"/>
        <v>Met</v>
      </c>
    </row>
    <row r="296" spans="1:23" x14ac:dyDescent="0.2">
      <c r="A296">
        <v>7534200412</v>
      </c>
      <c r="B296">
        <v>645</v>
      </c>
      <c r="C296" t="s">
        <v>205</v>
      </c>
      <c r="D296" t="s">
        <v>206</v>
      </c>
      <c r="E296" t="s">
        <v>178</v>
      </c>
      <c r="F296" t="s">
        <v>282</v>
      </c>
      <c r="G296" t="s">
        <v>281</v>
      </c>
      <c r="H296">
        <v>2</v>
      </c>
      <c r="I296" t="s">
        <v>596</v>
      </c>
      <c r="J296" s="39">
        <v>45999.712002314802</v>
      </c>
      <c r="K296" s="39">
        <v>46000</v>
      </c>
      <c r="L296" t="str">
        <f t="shared" si="12"/>
        <v>2025-12</v>
      </c>
      <c r="M296" t="s">
        <v>595</v>
      </c>
      <c r="N296">
        <v>16</v>
      </c>
      <c r="O296">
        <v>14.47</v>
      </c>
      <c r="P296">
        <v>1</v>
      </c>
      <c r="Q296">
        <v>1</v>
      </c>
      <c r="R296">
        <v>1</v>
      </c>
      <c r="S296" t="s">
        <v>95</v>
      </c>
      <c r="T296">
        <v>0</v>
      </c>
      <c r="V296">
        <f t="shared" si="13"/>
        <v>1</v>
      </c>
      <c r="W296" t="str">
        <f t="shared" si="14"/>
        <v>Met</v>
      </c>
    </row>
    <row r="297" spans="1:23" x14ac:dyDescent="0.2">
      <c r="A297">
        <v>7523807289</v>
      </c>
      <c r="B297">
        <v>926</v>
      </c>
      <c r="C297" t="s">
        <v>235</v>
      </c>
      <c r="D297" t="s">
        <v>225</v>
      </c>
      <c r="E297" t="s">
        <v>226</v>
      </c>
      <c r="F297" t="s">
        <v>335</v>
      </c>
      <c r="G297" t="s">
        <v>334</v>
      </c>
      <c r="H297">
        <v>2</v>
      </c>
      <c r="I297" t="s">
        <v>596</v>
      </c>
      <c r="J297" s="39">
        <v>45895.618842592601</v>
      </c>
      <c r="K297" s="39">
        <v>45896</v>
      </c>
      <c r="L297" t="str">
        <f t="shared" si="12"/>
        <v>2025-08</v>
      </c>
      <c r="M297" t="s">
        <v>595</v>
      </c>
      <c r="N297">
        <v>16</v>
      </c>
      <c r="O297">
        <v>27.37</v>
      </c>
      <c r="P297">
        <v>1</v>
      </c>
      <c r="Q297">
        <v>1</v>
      </c>
      <c r="R297">
        <v>1</v>
      </c>
      <c r="S297" t="s">
        <v>95</v>
      </c>
      <c r="T297">
        <v>0</v>
      </c>
      <c r="V297">
        <f t="shared" si="13"/>
        <v>1</v>
      </c>
      <c r="W297" t="str">
        <f t="shared" si="14"/>
        <v>Met</v>
      </c>
    </row>
    <row r="298" spans="1:23" x14ac:dyDescent="0.2">
      <c r="A298">
        <v>7532302701</v>
      </c>
      <c r="B298">
        <v>647</v>
      </c>
      <c r="C298" t="s">
        <v>207</v>
      </c>
      <c r="D298" t="s">
        <v>208</v>
      </c>
      <c r="E298" t="s">
        <v>178</v>
      </c>
      <c r="F298" t="s">
        <v>331</v>
      </c>
      <c r="G298" t="s">
        <v>330</v>
      </c>
      <c r="H298">
        <v>1</v>
      </c>
      <c r="I298" t="s">
        <v>596</v>
      </c>
      <c r="J298" s="39">
        <v>45980.674074074101</v>
      </c>
      <c r="K298" s="39">
        <v>45982</v>
      </c>
      <c r="L298" t="str">
        <f t="shared" si="12"/>
        <v>2025-11</v>
      </c>
      <c r="M298" t="s">
        <v>595</v>
      </c>
      <c r="N298">
        <v>12</v>
      </c>
      <c r="O298">
        <v>45.45</v>
      </c>
      <c r="P298">
        <v>0</v>
      </c>
      <c r="Q298">
        <v>0</v>
      </c>
      <c r="R298">
        <v>1</v>
      </c>
      <c r="S298" t="s">
        <v>94</v>
      </c>
      <c r="T298">
        <v>1</v>
      </c>
      <c r="V298">
        <f t="shared" si="13"/>
        <v>0</v>
      </c>
      <c r="W298" t="str">
        <f t="shared" si="14"/>
        <v>Missed</v>
      </c>
    </row>
    <row r="299" spans="1:23" x14ac:dyDescent="0.2">
      <c r="A299">
        <v>7521310692</v>
      </c>
      <c r="B299">
        <v>649</v>
      </c>
      <c r="C299" t="s">
        <v>211</v>
      </c>
      <c r="D299" t="s">
        <v>212</v>
      </c>
      <c r="E299" t="s">
        <v>178</v>
      </c>
      <c r="F299" t="s">
        <v>284</v>
      </c>
      <c r="G299" t="s">
        <v>283</v>
      </c>
      <c r="H299">
        <v>2</v>
      </c>
      <c r="I299" t="s">
        <v>594</v>
      </c>
      <c r="J299" s="39">
        <v>45870.598969907398</v>
      </c>
      <c r="K299" s="39">
        <v>45870</v>
      </c>
      <c r="L299" t="str">
        <f t="shared" si="12"/>
        <v>2025-08</v>
      </c>
      <c r="M299" t="s">
        <v>595</v>
      </c>
      <c r="N299">
        <v>16</v>
      </c>
      <c r="O299">
        <v>2.12</v>
      </c>
      <c r="P299">
        <v>0</v>
      </c>
      <c r="Q299">
        <v>0</v>
      </c>
      <c r="R299">
        <v>0</v>
      </c>
      <c r="S299" t="s">
        <v>95</v>
      </c>
      <c r="T299">
        <v>0</v>
      </c>
      <c r="V299" t="str">
        <f t="shared" si="13"/>
        <v/>
      </c>
      <c r="W299" t="str">
        <f t="shared" si="14"/>
        <v>Not Eligible</v>
      </c>
    </row>
    <row r="300" spans="1:23" x14ac:dyDescent="0.2">
      <c r="A300">
        <v>7609204761</v>
      </c>
      <c r="B300">
        <v>524</v>
      </c>
      <c r="C300" t="s">
        <v>137</v>
      </c>
      <c r="D300" t="s">
        <v>138</v>
      </c>
      <c r="E300" t="s">
        <v>134</v>
      </c>
      <c r="F300" t="s">
        <v>294</v>
      </c>
      <c r="G300" t="s">
        <v>293</v>
      </c>
      <c r="H300">
        <v>2</v>
      </c>
      <c r="I300" t="s">
        <v>596</v>
      </c>
      <c r="J300" s="39">
        <v>46114.550578703696</v>
      </c>
      <c r="K300" s="39">
        <v>46114</v>
      </c>
      <c r="L300" t="str">
        <f t="shared" si="12"/>
        <v>2026-04</v>
      </c>
      <c r="M300" t="s">
        <v>595</v>
      </c>
      <c r="N300">
        <v>0</v>
      </c>
      <c r="O300">
        <v>3.7</v>
      </c>
      <c r="P300">
        <v>1</v>
      </c>
      <c r="Q300">
        <v>1</v>
      </c>
      <c r="R300">
        <v>1</v>
      </c>
      <c r="S300" t="s">
        <v>94</v>
      </c>
      <c r="T300">
        <v>2</v>
      </c>
      <c r="U300">
        <v>1</v>
      </c>
      <c r="V300">
        <f t="shared" si="13"/>
        <v>1</v>
      </c>
      <c r="W300" t="str">
        <f t="shared" si="14"/>
        <v>Met</v>
      </c>
    </row>
    <row r="301" spans="1:23" x14ac:dyDescent="0.2">
      <c r="A301">
        <v>7607600346</v>
      </c>
      <c r="B301">
        <v>498</v>
      </c>
      <c r="C301" t="s">
        <v>127</v>
      </c>
      <c r="D301" t="s">
        <v>128</v>
      </c>
      <c r="E301" t="s">
        <v>124</v>
      </c>
      <c r="F301" t="s">
        <v>270</v>
      </c>
      <c r="G301" t="s">
        <v>269</v>
      </c>
      <c r="H301">
        <v>2</v>
      </c>
      <c r="I301" t="s">
        <v>596</v>
      </c>
      <c r="J301" s="39">
        <v>46098.6980092593</v>
      </c>
      <c r="K301" s="39">
        <v>46100</v>
      </c>
      <c r="L301" t="str">
        <f t="shared" si="12"/>
        <v>2026-03</v>
      </c>
      <c r="M301" t="s">
        <v>595</v>
      </c>
      <c r="N301">
        <v>0</v>
      </c>
      <c r="O301">
        <v>46.37</v>
      </c>
      <c r="P301">
        <v>1</v>
      </c>
      <c r="Q301">
        <v>1</v>
      </c>
      <c r="R301">
        <v>1</v>
      </c>
      <c r="S301" t="s">
        <v>94</v>
      </c>
      <c r="T301">
        <v>0</v>
      </c>
      <c r="U301">
        <v>0</v>
      </c>
      <c r="V301">
        <f t="shared" si="13"/>
        <v>0</v>
      </c>
      <c r="W301" t="str">
        <f t="shared" si="14"/>
        <v>Missed</v>
      </c>
    </row>
    <row r="302" spans="1:23" x14ac:dyDescent="0.2">
      <c r="A302">
        <v>7526000206</v>
      </c>
      <c r="B302">
        <v>701</v>
      </c>
      <c r="C302" t="s">
        <v>213</v>
      </c>
      <c r="D302" t="s">
        <v>214</v>
      </c>
      <c r="E302" t="s">
        <v>215</v>
      </c>
      <c r="F302" t="s">
        <v>390</v>
      </c>
      <c r="G302" t="s">
        <v>389</v>
      </c>
      <c r="H302">
        <v>2</v>
      </c>
      <c r="I302" t="s">
        <v>596</v>
      </c>
      <c r="J302" s="39">
        <v>45917.6809027778</v>
      </c>
      <c r="K302" s="39">
        <v>45918</v>
      </c>
      <c r="L302" t="str">
        <f t="shared" si="12"/>
        <v>2025-09</v>
      </c>
      <c r="M302" t="s">
        <v>595</v>
      </c>
      <c r="N302">
        <v>16</v>
      </c>
      <c r="O302">
        <v>17.55</v>
      </c>
      <c r="P302">
        <v>1</v>
      </c>
      <c r="Q302">
        <v>1</v>
      </c>
      <c r="R302">
        <v>1</v>
      </c>
      <c r="S302" t="s">
        <v>95</v>
      </c>
      <c r="T302">
        <v>0</v>
      </c>
      <c r="V302">
        <f t="shared" si="13"/>
        <v>1</v>
      </c>
      <c r="W302" t="str">
        <f t="shared" si="14"/>
        <v>Met</v>
      </c>
    </row>
    <row r="303" spans="1:23" x14ac:dyDescent="0.2">
      <c r="A303">
        <v>7607700261</v>
      </c>
      <c r="B303">
        <v>526</v>
      </c>
      <c r="C303" t="s">
        <v>140</v>
      </c>
      <c r="D303" t="s">
        <v>133</v>
      </c>
      <c r="E303" t="s">
        <v>134</v>
      </c>
      <c r="F303" t="s">
        <v>308</v>
      </c>
      <c r="G303" t="s">
        <v>307</v>
      </c>
      <c r="H303">
        <v>2</v>
      </c>
      <c r="I303" t="s">
        <v>596</v>
      </c>
      <c r="J303" s="39">
        <v>46099.6656365741</v>
      </c>
      <c r="K303" s="39">
        <v>46100</v>
      </c>
      <c r="L303" t="str">
        <f t="shared" si="12"/>
        <v>2026-03</v>
      </c>
      <c r="M303" t="s">
        <v>595</v>
      </c>
      <c r="N303">
        <v>0</v>
      </c>
      <c r="O303">
        <v>19.420000000000002</v>
      </c>
      <c r="P303">
        <v>1</v>
      </c>
      <c r="Q303">
        <v>1</v>
      </c>
      <c r="R303">
        <v>1</v>
      </c>
      <c r="S303" t="s">
        <v>94</v>
      </c>
      <c r="T303">
        <v>2</v>
      </c>
      <c r="U303">
        <v>1</v>
      </c>
      <c r="V303">
        <f t="shared" si="13"/>
        <v>1</v>
      </c>
      <c r="W303" t="str">
        <f t="shared" si="14"/>
        <v>Met</v>
      </c>
    </row>
    <row r="304" spans="1:23" x14ac:dyDescent="0.2">
      <c r="A304">
        <v>7535401708</v>
      </c>
      <c r="B304">
        <v>535</v>
      </c>
      <c r="C304" t="s">
        <v>153</v>
      </c>
      <c r="D304" t="s">
        <v>154</v>
      </c>
      <c r="E304" t="s">
        <v>134</v>
      </c>
      <c r="F304" t="s">
        <v>280</v>
      </c>
      <c r="G304" t="s">
        <v>279</v>
      </c>
      <c r="H304">
        <v>1</v>
      </c>
      <c r="I304" t="s">
        <v>596</v>
      </c>
      <c r="J304" s="39">
        <v>46010.818391203698</v>
      </c>
      <c r="K304" s="39">
        <v>46012</v>
      </c>
      <c r="L304" t="str">
        <f t="shared" si="12"/>
        <v>2025-12</v>
      </c>
      <c r="M304" t="s">
        <v>595</v>
      </c>
      <c r="N304">
        <v>12</v>
      </c>
      <c r="O304">
        <v>46.68</v>
      </c>
      <c r="P304">
        <v>0</v>
      </c>
      <c r="Q304">
        <v>0</v>
      </c>
      <c r="R304">
        <v>1</v>
      </c>
      <c r="S304" t="s">
        <v>94</v>
      </c>
      <c r="T304">
        <v>1</v>
      </c>
      <c r="V304">
        <f t="shared" si="13"/>
        <v>0</v>
      </c>
      <c r="W304" t="str">
        <f t="shared" si="14"/>
        <v>Missed</v>
      </c>
    </row>
    <row r="305" spans="1:23" x14ac:dyDescent="0.2">
      <c r="A305">
        <v>7534409241</v>
      </c>
      <c r="B305">
        <v>561</v>
      </c>
      <c r="C305" t="s">
        <v>170</v>
      </c>
      <c r="D305" t="s">
        <v>171</v>
      </c>
      <c r="E305" t="s">
        <v>159</v>
      </c>
      <c r="F305" t="s">
        <v>254</v>
      </c>
      <c r="G305" t="s">
        <v>253</v>
      </c>
      <c r="H305">
        <v>2</v>
      </c>
      <c r="I305" t="s">
        <v>594</v>
      </c>
      <c r="J305" s="39">
        <v>46000.895659722199</v>
      </c>
      <c r="K305" s="39">
        <v>46003</v>
      </c>
      <c r="L305" t="str">
        <f t="shared" si="12"/>
        <v>2025-12</v>
      </c>
      <c r="M305" t="s">
        <v>595</v>
      </c>
      <c r="N305">
        <v>16</v>
      </c>
      <c r="O305">
        <v>61.82</v>
      </c>
      <c r="P305">
        <v>0</v>
      </c>
      <c r="Q305">
        <v>0</v>
      </c>
      <c r="R305">
        <v>0</v>
      </c>
      <c r="S305" t="s">
        <v>94</v>
      </c>
      <c r="T305">
        <v>1</v>
      </c>
      <c r="V305" t="str">
        <f t="shared" si="13"/>
        <v/>
      </c>
      <c r="W305" t="str">
        <f t="shared" si="14"/>
        <v>Not Eligible</v>
      </c>
    </row>
    <row r="306" spans="1:23" x14ac:dyDescent="0.2">
      <c r="A306">
        <v>7533702511</v>
      </c>
      <c r="B306">
        <v>647</v>
      </c>
      <c r="C306" t="s">
        <v>207</v>
      </c>
      <c r="D306" t="s">
        <v>208</v>
      </c>
      <c r="E306" t="s">
        <v>178</v>
      </c>
      <c r="F306" t="s">
        <v>406</v>
      </c>
      <c r="G306" t="s">
        <v>405</v>
      </c>
      <c r="H306">
        <v>2</v>
      </c>
      <c r="I306" t="s">
        <v>596</v>
      </c>
      <c r="J306" s="39">
        <v>45993.860428240703</v>
      </c>
      <c r="K306" s="39">
        <v>45994</v>
      </c>
      <c r="L306" t="str">
        <f t="shared" si="12"/>
        <v>2025-12</v>
      </c>
      <c r="M306" t="s">
        <v>595</v>
      </c>
      <c r="N306">
        <v>16</v>
      </c>
      <c r="O306">
        <v>15.58</v>
      </c>
      <c r="P306">
        <v>1</v>
      </c>
      <c r="Q306">
        <v>1</v>
      </c>
      <c r="R306">
        <v>1</v>
      </c>
      <c r="S306" t="s">
        <v>95</v>
      </c>
      <c r="T306">
        <v>0</v>
      </c>
      <c r="V306">
        <f t="shared" si="13"/>
        <v>1</v>
      </c>
      <c r="W306" t="str">
        <f t="shared" si="14"/>
        <v>Met</v>
      </c>
    </row>
    <row r="307" spans="1:23" x14ac:dyDescent="0.2">
      <c r="A307">
        <v>7536102642</v>
      </c>
      <c r="B307">
        <v>546</v>
      </c>
      <c r="C307" t="s">
        <v>168</v>
      </c>
      <c r="D307" t="s">
        <v>169</v>
      </c>
      <c r="E307" t="s">
        <v>159</v>
      </c>
      <c r="F307" t="s">
        <v>396</v>
      </c>
      <c r="G307" t="s">
        <v>395</v>
      </c>
      <c r="H307">
        <v>1</v>
      </c>
      <c r="I307" t="s">
        <v>596</v>
      </c>
      <c r="J307" s="39">
        <v>46018.694699074098</v>
      </c>
      <c r="K307" s="39">
        <v>46018</v>
      </c>
      <c r="L307" t="str">
        <f t="shared" si="12"/>
        <v>2025-12</v>
      </c>
      <c r="M307" t="s">
        <v>595</v>
      </c>
      <c r="N307">
        <v>12</v>
      </c>
      <c r="O307">
        <v>3.37</v>
      </c>
      <c r="P307">
        <v>1</v>
      </c>
      <c r="Q307">
        <v>1</v>
      </c>
      <c r="R307">
        <v>1</v>
      </c>
      <c r="S307" t="s">
        <v>95</v>
      </c>
      <c r="T307">
        <v>0</v>
      </c>
      <c r="V307">
        <f t="shared" si="13"/>
        <v>1</v>
      </c>
      <c r="W307" t="str">
        <f t="shared" si="14"/>
        <v>Met</v>
      </c>
    </row>
    <row r="308" spans="1:23" x14ac:dyDescent="0.2">
      <c r="A308">
        <v>7525800251</v>
      </c>
      <c r="B308">
        <v>497</v>
      </c>
      <c r="C308" t="s">
        <v>125</v>
      </c>
      <c r="D308" t="s">
        <v>126</v>
      </c>
      <c r="E308" t="s">
        <v>124</v>
      </c>
      <c r="F308" t="s">
        <v>461</v>
      </c>
      <c r="G308" t="s">
        <v>460</v>
      </c>
      <c r="H308">
        <v>1</v>
      </c>
      <c r="I308" t="s">
        <v>596</v>
      </c>
      <c r="J308" s="39">
        <v>45915.692442129599</v>
      </c>
      <c r="K308" s="39">
        <v>45916</v>
      </c>
      <c r="L308" t="str">
        <f t="shared" si="12"/>
        <v>2025-09</v>
      </c>
      <c r="M308" t="s">
        <v>595</v>
      </c>
      <c r="N308">
        <v>12</v>
      </c>
      <c r="O308">
        <v>14.87</v>
      </c>
      <c r="P308">
        <v>1</v>
      </c>
      <c r="Q308">
        <v>1</v>
      </c>
      <c r="R308">
        <v>1</v>
      </c>
      <c r="S308" t="s">
        <v>95</v>
      </c>
      <c r="T308">
        <v>0</v>
      </c>
      <c r="V308">
        <f t="shared" si="13"/>
        <v>1</v>
      </c>
      <c r="W308" t="str">
        <f t="shared" si="14"/>
        <v>Met</v>
      </c>
    </row>
    <row r="309" spans="1:23" x14ac:dyDescent="0.2">
      <c r="A309">
        <v>7615310106</v>
      </c>
      <c r="B309">
        <v>927</v>
      </c>
      <c r="C309" t="s">
        <v>236</v>
      </c>
      <c r="D309" t="s">
        <v>237</v>
      </c>
      <c r="E309" t="s">
        <v>226</v>
      </c>
      <c r="F309" t="s">
        <v>368</v>
      </c>
      <c r="G309" t="s">
        <v>367</v>
      </c>
      <c r="H309">
        <v>2</v>
      </c>
      <c r="I309" t="s">
        <v>594</v>
      </c>
      <c r="J309" s="39">
        <v>46175.688553240703</v>
      </c>
      <c r="K309" s="39">
        <v>46175</v>
      </c>
      <c r="L309" t="str">
        <f t="shared" si="12"/>
        <v>2026-06</v>
      </c>
      <c r="M309" t="s">
        <v>595</v>
      </c>
      <c r="N309">
        <v>16</v>
      </c>
      <c r="O309">
        <v>3.08</v>
      </c>
      <c r="P309">
        <v>0</v>
      </c>
      <c r="Q309">
        <v>0</v>
      </c>
      <c r="R309">
        <v>0</v>
      </c>
      <c r="S309" t="s">
        <v>94</v>
      </c>
      <c r="T309">
        <v>2</v>
      </c>
      <c r="U309">
        <v>1</v>
      </c>
      <c r="V309" t="str">
        <f t="shared" si="13"/>
        <v/>
      </c>
      <c r="W309" t="str">
        <f t="shared" si="14"/>
        <v>Not Eligible</v>
      </c>
    </row>
    <row r="310" spans="1:23" x14ac:dyDescent="0.2">
      <c r="A310">
        <v>7620306292</v>
      </c>
      <c r="B310">
        <v>710</v>
      </c>
      <c r="C310" t="s">
        <v>220</v>
      </c>
      <c r="D310" t="s">
        <v>221</v>
      </c>
      <c r="E310" t="s">
        <v>215</v>
      </c>
      <c r="F310" t="s">
        <v>324</v>
      </c>
      <c r="G310" t="s">
        <v>356</v>
      </c>
      <c r="H310">
        <v>2</v>
      </c>
      <c r="I310" t="s">
        <v>596</v>
      </c>
      <c r="J310" s="39">
        <v>46225.351412037002</v>
      </c>
      <c r="K310" s="39">
        <v>46225</v>
      </c>
      <c r="L310" t="str">
        <f t="shared" si="12"/>
        <v>2026-07</v>
      </c>
      <c r="M310" t="s">
        <v>595</v>
      </c>
      <c r="N310">
        <v>16</v>
      </c>
      <c r="O310">
        <v>10.3</v>
      </c>
      <c r="P310">
        <v>1</v>
      </c>
      <c r="Q310">
        <v>1</v>
      </c>
      <c r="R310">
        <v>1</v>
      </c>
      <c r="S310" t="s">
        <v>94</v>
      </c>
      <c r="T310">
        <v>2</v>
      </c>
      <c r="U310">
        <v>1</v>
      </c>
      <c r="V310">
        <f t="shared" si="13"/>
        <v>1</v>
      </c>
      <c r="W310" t="str">
        <f t="shared" si="14"/>
        <v>Met</v>
      </c>
    </row>
    <row r="311" spans="1:23" x14ac:dyDescent="0.2">
      <c r="A311">
        <v>7601105887</v>
      </c>
      <c r="B311">
        <v>710</v>
      </c>
      <c r="C311" t="s">
        <v>220</v>
      </c>
      <c r="D311" t="s">
        <v>221</v>
      </c>
      <c r="E311" t="s">
        <v>215</v>
      </c>
      <c r="F311" t="s">
        <v>390</v>
      </c>
      <c r="G311" t="s">
        <v>389</v>
      </c>
      <c r="H311">
        <v>2</v>
      </c>
      <c r="I311" t="s">
        <v>596</v>
      </c>
      <c r="J311" s="39">
        <v>46033.526875000003</v>
      </c>
      <c r="K311" s="39">
        <v>46033</v>
      </c>
      <c r="L311" t="str">
        <f t="shared" si="12"/>
        <v>2026-01</v>
      </c>
      <c r="M311" t="s">
        <v>595</v>
      </c>
      <c r="N311">
        <v>16</v>
      </c>
      <c r="O311">
        <v>1.18</v>
      </c>
      <c r="P311">
        <v>1</v>
      </c>
      <c r="Q311">
        <v>1</v>
      </c>
      <c r="R311">
        <v>1</v>
      </c>
      <c r="S311" t="s">
        <v>94</v>
      </c>
      <c r="T311">
        <v>2</v>
      </c>
      <c r="U311">
        <v>1</v>
      </c>
      <c r="V311">
        <f t="shared" si="13"/>
        <v>1</v>
      </c>
      <c r="W311" t="str">
        <f t="shared" si="14"/>
        <v>Met</v>
      </c>
    </row>
    <row r="312" spans="1:23" x14ac:dyDescent="0.2">
      <c r="A312">
        <v>7618410257</v>
      </c>
      <c r="B312">
        <v>497</v>
      </c>
      <c r="C312" t="s">
        <v>125</v>
      </c>
      <c r="D312" t="s">
        <v>126</v>
      </c>
      <c r="E312" t="s">
        <v>124</v>
      </c>
      <c r="F312" t="s">
        <v>270</v>
      </c>
      <c r="G312" t="s">
        <v>269</v>
      </c>
      <c r="H312">
        <v>2</v>
      </c>
      <c r="I312" t="s">
        <v>594</v>
      </c>
      <c r="J312" s="39">
        <v>46206.439444444499</v>
      </c>
      <c r="K312" s="39">
        <v>46207</v>
      </c>
      <c r="L312" t="str">
        <f t="shared" si="12"/>
        <v>2026-07</v>
      </c>
      <c r="M312" t="s">
        <v>595</v>
      </c>
      <c r="N312">
        <v>16</v>
      </c>
      <c r="O312">
        <v>27.95</v>
      </c>
      <c r="P312">
        <v>0</v>
      </c>
      <c r="Q312">
        <v>0</v>
      </c>
      <c r="R312">
        <v>0</v>
      </c>
      <c r="S312" t="s">
        <v>94</v>
      </c>
      <c r="T312">
        <v>2</v>
      </c>
      <c r="U312">
        <v>1</v>
      </c>
      <c r="V312" t="str">
        <f t="shared" si="13"/>
        <v/>
      </c>
      <c r="W312" t="str">
        <f t="shared" si="14"/>
        <v>Not Eligible</v>
      </c>
    </row>
    <row r="313" spans="1:23" x14ac:dyDescent="0.2">
      <c r="A313">
        <v>7526504313</v>
      </c>
      <c r="B313">
        <v>495</v>
      </c>
      <c r="C313" t="s">
        <v>120</v>
      </c>
      <c r="D313" t="s">
        <v>121</v>
      </c>
      <c r="E313" t="s">
        <v>111</v>
      </c>
      <c r="F313" t="s">
        <v>302</v>
      </c>
      <c r="G313" t="s">
        <v>301</v>
      </c>
      <c r="H313">
        <v>2</v>
      </c>
      <c r="I313" t="s">
        <v>596</v>
      </c>
      <c r="J313" s="39">
        <v>45922.431006944498</v>
      </c>
      <c r="K313" s="39">
        <v>45922</v>
      </c>
      <c r="L313" t="str">
        <f t="shared" si="12"/>
        <v>2025-09</v>
      </c>
      <c r="M313" t="s">
        <v>595</v>
      </c>
      <c r="N313">
        <v>16</v>
      </c>
      <c r="O313">
        <v>5.05</v>
      </c>
      <c r="P313">
        <v>1</v>
      </c>
      <c r="Q313">
        <v>1</v>
      </c>
      <c r="R313">
        <v>1</v>
      </c>
      <c r="S313" t="s">
        <v>95</v>
      </c>
      <c r="T313">
        <v>0</v>
      </c>
      <c r="V313">
        <f t="shared" si="13"/>
        <v>1</v>
      </c>
      <c r="W313" t="str">
        <f t="shared" si="14"/>
        <v>Met</v>
      </c>
    </row>
    <row r="314" spans="1:23" x14ac:dyDescent="0.2">
      <c r="A314">
        <v>7604411866</v>
      </c>
      <c r="B314">
        <v>701</v>
      </c>
      <c r="C314" t="s">
        <v>213</v>
      </c>
      <c r="D314" t="s">
        <v>214</v>
      </c>
      <c r="E314" t="s">
        <v>215</v>
      </c>
      <c r="F314" t="s">
        <v>324</v>
      </c>
      <c r="G314" t="s">
        <v>323</v>
      </c>
      <c r="H314">
        <v>2</v>
      </c>
      <c r="I314" t="s">
        <v>596</v>
      </c>
      <c r="J314" s="39">
        <v>46066.463240740697</v>
      </c>
      <c r="K314" s="39">
        <v>46066</v>
      </c>
      <c r="L314" t="str">
        <f t="shared" si="12"/>
        <v>2026-02</v>
      </c>
      <c r="M314" t="s">
        <v>595</v>
      </c>
      <c r="N314">
        <v>0</v>
      </c>
      <c r="O314">
        <v>1.87</v>
      </c>
      <c r="P314">
        <v>1</v>
      </c>
      <c r="Q314">
        <v>1</v>
      </c>
      <c r="R314">
        <v>1</v>
      </c>
      <c r="S314" t="s">
        <v>94</v>
      </c>
      <c r="T314">
        <v>2</v>
      </c>
      <c r="U314">
        <v>1</v>
      </c>
      <c r="V314">
        <f t="shared" si="13"/>
        <v>1</v>
      </c>
      <c r="W314" t="str">
        <f t="shared" si="14"/>
        <v>Met</v>
      </c>
    </row>
    <row r="315" spans="1:23" x14ac:dyDescent="0.2">
      <c r="A315">
        <v>7605505113</v>
      </c>
      <c r="B315">
        <v>542</v>
      </c>
      <c r="C315" t="s">
        <v>160</v>
      </c>
      <c r="D315" t="s">
        <v>161</v>
      </c>
      <c r="E315" t="s">
        <v>159</v>
      </c>
      <c r="F315" t="s">
        <v>327</v>
      </c>
      <c r="G315" t="s">
        <v>326</v>
      </c>
      <c r="H315">
        <v>2</v>
      </c>
      <c r="I315" t="s">
        <v>596</v>
      </c>
      <c r="J315" s="39">
        <v>46077.530381944503</v>
      </c>
      <c r="K315" s="39">
        <v>46085</v>
      </c>
      <c r="L315" t="str">
        <f t="shared" si="12"/>
        <v>2026-03</v>
      </c>
      <c r="M315" t="s">
        <v>595</v>
      </c>
      <c r="N315">
        <v>0</v>
      </c>
      <c r="O315">
        <v>191.92</v>
      </c>
      <c r="P315">
        <v>1</v>
      </c>
      <c r="Q315">
        <v>1</v>
      </c>
      <c r="R315">
        <v>1</v>
      </c>
      <c r="S315" t="s">
        <v>94</v>
      </c>
      <c r="T315">
        <v>1</v>
      </c>
      <c r="V315">
        <f t="shared" si="13"/>
        <v>1</v>
      </c>
      <c r="W315" t="str">
        <f t="shared" si="14"/>
        <v>Met</v>
      </c>
    </row>
    <row r="316" spans="1:23" x14ac:dyDescent="0.2">
      <c r="A316">
        <v>7535305003</v>
      </c>
      <c r="B316">
        <v>496</v>
      </c>
      <c r="C316" t="s">
        <v>122</v>
      </c>
      <c r="D316" t="s">
        <v>123</v>
      </c>
      <c r="E316" t="s">
        <v>124</v>
      </c>
      <c r="F316" t="s">
        <v>270</v>
      </c>
      <c r="G316" t="s">
        <v>269</v>
      </c>
      <c r="H316">
        <v>2</v>
      </c>
      <c r="I316" t="s">
        <v>596</v>
      </c>
      <c r="J316" s="39">
        <v>46010.434537036999</v>
      </c>
      <c r="K316" s="39">
        <v>46010</v>
      </c>
      <c r="L316" t="str">
        <f t="shared" si="12"/>
        <v>2025-12</v>
      </c>
      <c r="M316" t="s">
        <v>595</v>
      </c>
      <c r="N316">
        <v>16</v>
      </c>
      <c r="O316">
        <v>4.4800000000000004</v>
      </c>
      <c r="P316">
        <v>1</v>
      </c>
      <c r="Q316">
        <v>1</v>
      </c>
      <c r="R316">
        <v>1</v>
      </c>
      <c r="S316" t="s">
        <v>95</v>
      </c>
      <c r="T316">
        <v>0</v>
      </c>
      <c r="V316">
        <f t="shared" si="13"/>
        <v>1</v>
      </c>
      <c r="W316" t="str">
        <f t="shared" si="14"/>
        <v>Met</v>
      </c>
    </row>
    <row r="317" spans="1:23" x14ac:dyDescent="0.2">
      <c r="A317">
        <v>7612805469</v>
      </c>
      <c r="B317">
        <v>642</v>
      </c>
      <c r="C317" t="s">
        <v>199</v>
      </c>
      <c r="D317" t="s">
        <v>200</v>
      </c>
      <c r="E317" t="s">
        <v>178</v>
      </c>
      <c r="F317" t="s">
        <v>268</v>
      </c>
      <c r="G317" t="s">
        <v>267</v>
      </c>
      <c r="H317">
        <v>2</v>
      </c>
      <c r="I317" t="s">
        <v>596</v>
      </c>
      <c r="J317" s="39">
        <v>46150.7424537037</v>
      </c>
      <c r="K317" s="39">
        <v>46151</v>
      </c>
      <c r="L317" t="str">
        <f t="shared" si="12"/>
        <v>2026-05</v>
      </c>
      <c r="M317" t="s">
        <v>595</v>
      </c>
      <c r="N317">
        <v>0</v>
      </c>
      <c r="O317">
        <v>17.75</v>
      </c>
      <c r="P317">
        <v>1</v>
      </c>
      <c r="Q317">
        <v>1</v>
      </c>
      <c r="R317">
        <v>1</v>
      </c>
      <c r="S317" t="s">
        <v>94</v>
      </c>
      <c r="T317">
        <v>2</v>
      </c>
      <c r="U317">
        <v>1</v>
      </c>
      <c r="V317">
        <f t="shared" si="13"/>
        <v>1</v>
      </c>
      <c r="W317" t="str">
        <f t="shared" si="14"/>
        <v>Met</v>
      </c>
    </row>
    <row r="318" spans="1:23" x14ac:dyDescent="0.2">
      <c r="A318">
        <v>7528911715</v>
      </c>
      <c r="B318">
        <v>636</v>
      </c>
      <c r="C318" t="s">
        <v>190</v>
      </c>
      <c r="D318" t="s">
        <v>191</v>
      </c>
      <c r="E318" t="s">
        <v>181</v>
      </c>
      <c r="F318" t="s">
        <v>322</v>
      </c>
      <c r="G318" t="s">
        <v>321</v>
      </c>
      <c r="H318">
        <v>2</v>
      </c>
      <c r="I318" t="s">
        <v>596</v>
      </c>
      <c r="J318" s="39">
        <v>45946.435891203699</v>
      </c>
      <c r="K318" s="39">
        <v>45946</v>
      </c>
      <c r="L318" t="str">
        <f t="shared" si="12"/>
        <v>2025-10</v>
      </c>
      <c r="M318" t="s">
        <v>595</v>
      </c>
      <c r="N318">
        <v>16</v>
      </c>
      <c r="O318">
        <v>9</v>
      </c>
      <c r="P318">
        <v>1</v>
      </c>
      <c r="Q318">
        <v>1</v>
      </c>
      <c r="R318">
        <v>1</v>
      </c>
      <c r="S318" t="s">
        <v>95</v>
      </c>
      <c r="T318">
        <v>0</v>
      </c>
      <c r="V318">
        <f t="shared" si="13"/>
        <v>1</v>
      </c>
      <c r="W318" t="str">
        <f t="shared" si="14"/>
        <v>Met</v>
      </c>
    </row>
    <row r="319" spans="1:23" x14ac:dyDescent="0.2">
      <c r="A319">
        <v>7526410350</v>
      </c>
      <c r="B319">
        <v>533</v>
      </c>
      <c r="C319" t="s">
        <v>149</v>
      </c>
      <c r="D319" t="s">
        <v>150</v>
      </c>
      <c r="E319" t="s">
        <v>134</v>
      </c>
      <c r="F319" t="s">
        <v>489</v>
      </c>
      <c r="G319" t="s">
        <v>488</v>
      </c>
      <c r="H319">
        <v>2</v>
      </c>
      <c r="I319" t="s">
        <v>596</v>
      </c>
      <c r="J319" s="39">
        <v>45921.529398148101</v>
      </c>
      <c r="K319" s="39">
        <v>45922</v>
      </c>
      <c r="L319" t="str">
        <f t="shared" si="12"/>
        <v>2025-09</v>
      </c>
      <c r="M319" t="s">
        <v>595</v>
      </c>
      <c r="N319">
        <v>16</v>
      </c>
      <c r="O319">
        <v>28.97</v>
      </c>
      <c r="P319">
        <v>0</v>
      </c>
      <c r="Q319">
        <v>0</v>
      </c>
      <c r="R319">
        <v>1</v>
      </c>
      <c r="S319" t="s">
        <v>94</v>
      </c>
      <c r="T319">
        <v>1</v>
      </c>
      <c r="V319">
        <f t="shared" si="13"/>
        <v>0</v>
      </c>
      <c r="W319" t="str">
        <f t="shared" si="14"/>
        <v>Missed</v>
      </c>
    </row>
    <row r="320" spans="1:23" x14ac:dyDescent="0.2">
      <c r="A320">
        <v>7527509527</v>
      </c>
      <c r="B320">
        <v>648</v>
      </c>
      <c r="C320" t="s">
        <v>209</v>
      </c>
      <c r="D320" t="s">
        <v>210</v>
      </c>
      <c r="E320" t="s">
        <v>178</v>
      </c>
      <c r="F320" t="s">
        <v>268</v>
      </c>
      <c r="G320" t="s">
        <v>267</v>
      </c>
      <c r="H320">
        <v>2</v>
      </c>
      <c r="I320" t="s">
        <v>596</v>
      </c>
      <c r="J320" s="39">
        <v>45931.902060185203</v>
      </c>
      <c r="K320" s="39">
        <v>45932</v>
      </c>
      <c r="L320" t="str">
        <f t="shared" si="12"/>
        <v>2025-10</v>
      </c>
      <c r="M320" t="s">
        <v>595</v>
      </c>
      <c r="N320">
        <v>16</v>
      </c>
      <c r="O320">
        <v>10.6</v>
      </c>
      <c r="P320">
        <v>1</v>
      </c>
      <c r="Q320">
        <v>1</v>
      </c>
      <c r="R320">
        <v>1</v>
      </c>
      <c r="S320" t="s">
        <v>95</v>
      </c>
      <c r="T320">
        <v>0</v>
      </c>
      <c r="V320">
        <f t="shared" si="13"/>
        <v>1</v>
      </c>
      <c r="W320" t="str">
        <f t="shared" si="14"/>
        <v>Met</v>
      </c>
    </row>
    <row r="321" spans="1:23" x14ac:dyDescent="0.2">
      <c r="A321">
        <v>7617701451</v>
      </c>
      <c r="B321">
        <v>925</v>
      </c>
      <c r="C321" t="s">
        <v>233</v>
      </c>
      <c r="D321" t="s">
        <v>234</v>
      </c>
      <c r="E321" t="s">
        <v>226</v>
      </c>
      <c r="F321" t="s">
        <v>278</v>
      </c>
      <c r="G321" t="s">
        <v>277</v>
      </c>
      <c r="H321">
        <v>2</v>
      </c>
      <c r="I321" t="s">
        <v>594</v>
      </c>
      <c r="J321" s="39">
        <v>46199.643530092602</v>
      </c>
      <c r="K321" s="39">
        <v>46202</v>
      </c>
      <c r="L321" t="str">
        <f t="shared" si="12"/>
        <v>2026-06</v>
      </c>
      <c r="M321" t="s">
        <v>595</v>
      </c>
      <c r="N321">
        <v>16</v>
      </c>
      <c r="O321">
        <v>66.88</v>
      </c>
      <c r="P321">
        <v>0</v>
      </c>
      <c r="Q321">
        <v>0</v>
      </c>
      <c r="R321">
        <v>0</v>
      </c>
      <c r="S321" t="s">
        <v>94</v>
      </c>
      <c r="T321">
        <v>1</v>
      </c>
      <c r="V321" t="str">
        <f t="shared" si="13"/>
        <v/>
      </c>
      <c r="W321" t="str">
        <f t="shared" si="14"/>
        <v>Not Eligible</v>
      </c>
    </row>
    <row r="322" spans="1:23" x14ac:dyDescent="0.2">
      <c r="A322">
        <v>7602100090</v>
      </c>
      <c r="B322">
        <v>640</v>
      </c>
      <c r="C322" t="s">
        <v>197</v>
      </c>
      <c r="D322" t="s">
        <v>198</v>
      </c>
      <c r="E322" t="s">
        <v>178</v>
      </c>
      <c r="F322" t="s">
        <v>366</v>
      </c>
      <c r="G322" t="s">
        <v>365</v>
      </c>
      <c r="H322">
        <v>2</v>
      </c>
      <c r="I322" t="s">
        <v>596</v>
      </c>
      <c r="J322" s="39">
        <v>46043.597326388903</v>
      </c>
      <c r="K322" s="39">
        <v>46043</v>
      </c>
      <c r="L322" t="str">
        <f t="shared" ref="L322:L385" si="15">IF(K322="","",TEXT(K322,"YYYY-MM"))</f>
        <v>2026-01</v>
      </c>
      <c r="M322" t="s">
        <v>595</v>
      </c>
      <c r="N322">
        <v>16</v>
      </c>
      <c r="O322">
        <v>4.12</v>
      </c>
      <c r="P322">
        <v>1</v>
      </c>
      <c r="Q322">
        <v>1</v>
      </c>
      <c r="R322">
        <v>1</v>
      </c>
      <c r="S322" t="s">
        <v>94</v>
      </c>
      <c r="T322">
        <v>2</v>
      </c>
      <c r="U322">
        <v>1</v>
      </c>
      <c r="V322">
        <f t="shared" ref="V322:V385" si="16">IF(R322=0,"",IF(U322&lt;&gt;"",U322,Q322))</f>
        <v>1</v>
      </c>
      <c r="W322" t="str">
        <f t="shared" ref="W322:W385" si="17">IF(R322=0,"Not Eligible",IF(V322=1,"Met","Missed"))</f>
        <v>Met</v>
      </c>
    </row>
    <row r="323" spans="1:23" x14ac:dyDescent="0.2">
      <c r="A323">
        <v>7528101272</v>
      </c>
      <c r="B323">
        <v>647</v>
      </c>
      <c r="C323" t="s">
        <v>207</v>
      </c>
      <c r="D323" t="s">
        <v>208</v>
      </c>
      <c r="E323" t="s">
        <v>178</v>
      </c>
      <c r="F323" t="s">
        <v>292</v>
      </c>
      <c r="G323" t="s">
        <v>291</v>
      </c>
      <c r="H323">
        <v>2</v>
      </c>
      <c r="I323" t="s">
        <v>596</v>
      </c>
      <c r="J323" s="39">
        <v>45938.696828703702</v>
      </c>
      <c r="K323" s="39">
        <v>45944</v>
      </c>
      <c r="L323" t="str">
        <f t="shared" si="15"/>
        <v>2025-10</v>
      </c>
      <c r="M323" t="s">
        <v>595</v>
      </c>
      <c r="N323">
        <v>16</v>
      </c>
      <c r="O323">
        <v>144.38</v>
      </c>
      <c r="P323">
        <v>0</v>
      </c>
      <c r="Q323">
        <v>0</v>
      </c>
      <c r="R323">
        <v>1</v>
      </c>
      <c r="S323" t="s">
        <v>94</v>
      </c>
      <c r="T323">
        <v>1</v>
      </c>
      <c r="V323">
        <f t="shared" si="16"/>
        <v>0</v>
      </c>
      <c r="W323" t="str">
        <f t="shared" si="17"/>
        <v>Missed</v>
      </c>
    </row>
    <row r="324" spans="1:23" x14ac:dyDescent="0.2">
      <c r="A324">
        <v>7530305922</v>
      </c>
      <c r="B324">
        <v>561</v>
      </c>
      <c r="C324" t="s">
        <v>170</v>
      </c>
      <c r="D324" t="s">
        <v>171</v>
      </c>
      <c r="E324" t="s">
        <v>159</v>
      </c>
      <c r="F324" t="s">
        <v>432</v>
      </c>
      <c r="G324" t="s">
        <v>431</v>
      </c>
      <c r="H324">
        <v>2</v>
      </c>
      <c r="I324" t="s">
        <v>596</v>
      </c>
      <c r="J324" s="39">
        <v>45960.361226851899</v>
      </c>
      <c r="K324" s="39">
        <v>45960</v>
      </c>
      <c r="L324" t="str">
        <f t="shared" si="15"/>
        <v>2025-10</v>
      </c>
      <c r="M324" t="s">
        <v>595</v>
      </c>
      <c r="N324">
        <v>16</v>
      </c>
      <c r="O324">
        <v>2.17</v>
      </c>
      <c r="P324">
        <v>1</v>
      </c>
      <c r="Q324">
        <v>1</v>
      </c>
      <c r="R324">
        <v>1</v>
      </c>
      <c r="S324" t="s">
        <v>95</v>
      </c>
      <c r="T324">
        <v>0</v>
      </c>
      <c r="V324">
        <f t="shared" si="16"/>
        <v>1</v>
      </c>
      <c r="W324" t="str">
        <f t="shared" si="17"/>
        <v>Met</v>
      </c>
    </row>
    <row r="325" spans="1:23" x14ac:dyDescent="0.2">
      <c r="A325">
        <v>7622303121</v>
      </c>
      <c r="B325">
        <v>962</v>
      </c>
      <c r="C325" t="s">
        <v>244</v>
      </c>
      <c r="D325" t="s">
        <v>245</v>
      </c>
      <c r="E325" t="s">
        <v>246</v>
      </c>
      <c r="F325" t="s">
        <v>525</v>
      </c>
      <c r="G325" t="s">
        <v>524</v>
      </c>
      <c r="H325">
        <v>2</v>
      </c>
      <c r="I325" t="s">
        <v>596</v>
      </c>
      <c r="J325" s="39">
        <v>46245.352916666699</v>
      </c>
      <c r="K325" s="39">
        <v>46245</v>
      </c>
      <c r="L325" t="str">
        <f t="shared" si="15"/>
        <v>2026-08</v>
      </c>
      <c r="M325" t="s">
        <v>595</v>
      </c>
      <c r="N325">
        <v>16</v>
      </c>
      <c r="O325">
        <v>1.88</v>
      </c>
      <c r="P325">
        <v>1</v>
      </c>
      <c r="Q325">
        <v>1</v>
      </c>
      <c r="R325">
        <v>1</v>
      </c>
      <c r="S325" t="s">
        <v>95</v>
      </c>
      <c r="T325">
        <v>0</v>
      </c>
      <c r="V325">
        <f t="shared" si="16"/>
        <v>1</v>
      </c>
      <c r="W325" t="str">
        <f t="shared" si="17"/>
        <v>Met</v>
      </c>
    </row>
    <row r="326" spans="1:23" x14ac:dyDescent="0.2">
      <c r="A326">
        <v>7608301533</v>
      </c>
      <c r="B326">
        <v>496</v>
      </c>
      <c r="C326" t="s">
        <v>122</v>
      </c>
      <c r="D326" t="s">
        <v>123</v>
      </c>
      <c r="E326" t="s">
        <v>124</v>
      </c>
      <c r="F326" t="s">
        <v>270</v>
      </c>
      <c r="G326" t="s">
        <v>269</v>
      </c>
      <c r="H326">
        <v>2</v>
      </c>
      <c r="I326" t="s">
        <v>596</v>
      </c>
      <c r="J326" s="39">
        <v>46105.769131944398</v>
      </c>
      <c r="K326" s="39">
        <v>46106</v>
      </c>
      <c r="L326" t="str">
        <f t="shared" si="15"/>
        <v>2026-03</v>
      </c>
      <c r="M326" t="s">
        <v>595</v>
      </c>
      <c r="N326">
        <v>0</v>
      </c>
      <c r="O326">
        <v>22.2</v>
      </c>
      <c r="P326">
        <v>1</v>
      </c>
      <c r="Q326">
        <v>1</v>
      </c>
      <c r="R326">
        <v>1</v>
      </c>
      <c r="S326" t="s">
        <v>94</v>
      </c>
      <c r="T326">
        <v>2</v>
      </c>
      <c r="U326">
        <v>1</v>
      </c>
      <c r="V326">
        <f t="shared" si="16"/>
        <v>1</v>
      </c>
      <c r="W326" t="str">
        <f t="shared" si="17"/>
        <v>Met</v>
      </c>
    </row>
    <row r="327" spans="1:23" x14ac:dyDescent="0.2">
      <c r="A327">
        <v>7621012276</v>
      </c>
      <c r="B327">
        <v>495</v>
      </c>
      <c r="C327" t="s">
        <v>120</v>
      </c>
      <c r="D327" t="s">
        <v>121</v>
      </c>
      <c r="E327" t="s">
        <v>111</v>
      </c>
      <c r="F327" t="s">
        <v>274</v>
      </c>
      <c r="G327" t="s">
        <v>273</v>
      </c>
      <c r="H327">
        <v>2</v>
      </c>
      <c r="I327" t="s">
        <v>594</v>
      </c>
      <c r="J327" s="39">
        <v>46232.482233796298</v>
      </c>
      <c r="K327" s="39">
        <v>46232</v>
      </c>
      <c r="L327" t="str">
        <f t="shared" si="15"/>
        <v>2026-07</v>
      </c>
      <c r="M327" t="s">
        <v>595</v>
      </c>
      <c r="N327">
        <v>16</v>
      </c>
      <c r="O327">
        <v>2.75</v>
      </c>
      <c r="P327">
        <v>0</v>
      </c>
      <c r="Q327">
        <v>0</v>
      </c>
      <c r="R327">
        <v>0</v>
      </c>
      <c r="S327" t="s">
        <v>94</v>
      </c>
      <c r="T327">
        <v>2</v>
      </c>
      <c r="U327">
        <v>1</v>
      </c>
      <c r="V327" t="str">
        <f t="shared" si="16"/>
        <v/>
      </c>
      <c r="W327" t="str">
        <f t="shared" si="17"/>
        <v>Not Eligible</v>
      </c>
    </row>
    <row r="328" spans="1:23" x14ac:dyDescent="0.2">
      <c r="A328">
        <v>7615413266</v>
      </c>
      <c r="B328">
        <v>562</v>
      </c>
      <c r="C328" t="s">
        <v>172</v>
      </c>
      <c r="D328" t="s">
        <v>173</v>
      </c>
      <c r="E328" t="s">
        <v>159</v>
      </c>
      <c r="F328" t="s">
        <v>306</v>
      </c>
      <c r="G328" t="s">
        <v>325</v>
      </c>
      <c r="H328">
        <v>2</v>
      </c>
      <c r="I328" t="s">
        <v>594</v>
      </c>
      <c r="J328" s="39">
        <v>46176.572500000002</v>
      </c>
      <c r="K328" s="39">
        <v>46176</v>
      </c>
      <c r="L328" t="str">
        <f t="shared" si="15"/>
        <v>2026-06</v>
      </c>
      <c r="M328" t="s">
        <v>595</v>
      </c>
      <c r="N328">
        <v>16</v>
      </c>
      <c r="O328">
        <v>3.23</v>
      </c>
      <c r="P328">
        <v>0</v>
      </c>
      <c r="Q328">
        <v>0</v>
      </c>
      <c r="R328">
        <v>0</v>
      </c>
      <c r="S328" t="s">
        <v>94</v>
      </c>
      <c r="T328">
        <v>2</v>
      </c>
      <c r="U328">
        <v>1</v>
      </c>
      <c r="V328" t="str">
        <f t="shared" si="16"/>
        <v/>
      </c>
      <c r="W328" t="str">
        <f t="shared" si="17"/>
        <v>Not Eligible</v>
      </c>
    </row>
    <row r="329" spans="1:23" x14ac:dyDescent="0.2">
      <c r="A329">
        <v>7525503296</v>
      </c>
      <c r="B329">
        <v>544</v>
      </c>
      <c r="C329" t="s">
        <v>164</v>
      </c>
      <c r="D329" t="s">
        <v>165</v>
      </c>
      <c r="E329" t="s">
        <v>159</v>
      </c>
      <c r="F329" t="s">
        <v>254</v>
      </c>
      <c r="G329" t="s">
        <v>253</v>
      </c>
      <c r="H329">
        <v>1</v>
      </c>
      <c r="I329" t="s">
        <v>596</v>
      </c>
      <c r="J329" s="39">
        <v>45912.338217592602</v>
      </c>
      <c r="K329" s="39">
        <v>45913</v>
      </c>
      <c r="L329" t="str">
        <f t="shared" si="15"/>
        <v>2025-09</v>
      </c>
      <c r="M329" t="s">
        <v>595</v>
      </c>
      <c r="N329">
        <v>12</v>
      </c>
      <c r="O329">
        <v>29.65</v>
      </c>
      <c r="P329">
        <v>0</v>
      </c>
      <c r="Q329">
        <v>0</v>
      </c>
      <c r="R329">
        <v>1</v>
      </c>
      <c r="S329" t="s">
        <v>95</v>
      </c>
      <c r="T329">
        <v>0</v>
      </c>
      <c r="V329">
        <f t="shared" si="16"/>
        <v>0</v>
      </c>
      <c r="W329" t="str">
        <f t="shared" si="17"/>
        <v>Missed</v>
      </c>
    </row>
    <row r="330" spans="1:23" x14ac:dyDescent="0.2">
      <c r="A330">
        <v>7615609655</v>
      </c>
      <c r="B330">
        <v>647</v>
      </c>
      <c r="C330" t="s">
        <v>207</v>
      </c>
      <c r="D330" t="s">
        <v>208</v>
      </c>
      <c r="E330" t="s">
        <v>178</v>
      </c>
      <c r="F330" t="s">
        <v>408</v>
      </c>
      <c r="G330" t="s">
        <v>407</v>
      </c>
      <c r="H330">
        <v>2</v>
      </c>
      <c r="I330" t="s">
        <v>596</v>
      </c>
      <c r="J330" s="39">
        <v>46178.649363425902</v>
      </c>
      <c r="K330" s="39">
        <v>46180</v>
      </c>
      <c r="L330" t="str">
        <f t="shared" si="15"/>
        <v>2026-06</v>
      </c>
      <c r="M330" t="s">
        <v>595</v>
      </c>
      <c r="N330">
        <v>16</v>
      </c>
      <c r="O330">
        <v>50.4</v>
      </c>
      <c r="P330">
        <v>0</v>
      </c>
      <c r="Q330">
        <v>0</v>
      </c>
      <c r="R330">
        <v>1</v>
      </c>
      <c r="S330" t="s">
        <v>94</v>
      </c>
      <c r="T330">
        <v>0</v>
      </c>
      <c r="U330">
        <v>0</v>
      </c>
      <c r="V330">
        <f t="shared" si="16"/>
        <v>0</v>
      </c>
      <c r="W330" t="str">
        <f t="shared" si="17"/>
        <v>Missed</v>
      </c>
    </row>
    <row r="331" spans="1:23" x14ac:dyDescent="0.2">
      <c r="A331">
        <v>7528005038</v>
      </c>
      <c r="B331">
        <v>638</v>
      </c>
      <c r="C331" t="s">
        <v>194</v>
      </c>
      <c r="D331" t="s">
        <v>147</v>
      </c>
      <c r="E331" t="s">
        <v>181</v>
      </c>
      <c r="F331" t="s">
        <v>513</v>
      </c>
      <c r="G331" t="s">
        <v>512</v>
      </c>
      <c r="H331">
        <v>2</v>
      </c>
      <c r="I331" t="s">
        <v>596</v>
      </c>
      <c r="J331" s="39">
        <v>45937.498310185198</v>
      </c>
      <c r="K331" s="39">
        <v>45939</v>
      </c>
      <c r="L331" t="str">
        <f t="shared" si="15"/>
        <v>2025-10</v>
      </c>
      <c r="M331" t="s">
        <v>595</v>
      </c>
      <c r="N331">
        <v>16</v>
      </c>
      <c r="O331">
        <v>48.87</v>
      </c>
      <c r="P331">
        <v>0</v>
      </c>
      <c r="Q331">
        <v>0</v>
      </c>
      <c r="R331">
        <v>1</v>
      </c>
      <c r="S331" t="s">
        <v>95</v>
      </c>
      <c r="T331">
        <v>0</v>
      </c>
      <c r="V331">
        <f t="shared" si="16"/>
        <v>0</v>
      </c>
      <c r="W331" t="str">
        <f t="shared" si="17"/>
        <v>Missed</v>
      </c>
    </row>
    <row r="332" spans="1:23" x14ac:dyDescent="0.2">
      <c r="A332">
        <v>7532606860</v>
      </c>
      <c r="B332">
        <v>968</v>
      </c>
      <c r="C332" t="s">
        <v>247</v>
      </c>
      <c r="D332" t="s">
        <v>248</v>
      </c>
      <c r="E332" t="s">
        <v>246</v>
      </c>
      <c r="F332" t="s">
        <v>533</v>
      </c>
      <c r="G332" t="s">
        <v>532</v>
      </c>
      <c r="H332">
        <v>2</v>
      </c>
      <c r="I332" t="s">
        <v>594</v>
      </c>
      <c r="J332" s="39">
        <v>45982.760208333297</v>
      </c>
      <c r="K332" s="39">
        <v>45983</v>
      </c>
      <c r="L332" t="str">
        <f t="shared" si="15"/>
        <v>2025-11</v>
      </c>
      <c r="M332" t="s">
        <v>595</v>
      </c>
      <c r="N332">
        <v>16</v>
      </c>
      <c r="O332">
        <v>15.48</v>
      </c>
      <c r="P332">
        <v>0</v>
      </c>
      <c r="Q332">
        <v>0</v>
      </c>
      <c r="R332">
        <v>0</v>
      </c>
      <c r="S332" t="s">
        <v>95</v>
      </c>
      <c r="T332">
        <v>0</v>
      </c>
      <c r="V332" t="str">
        <f t="shared" si="16"/>
        <v/>
      </c>
      <c r="W332" t="str">
        <f t="shared" si="17"/>
        <v>Not Eligible</v>
      </c>
    </row>
    <row r="333" spans="1:23" x14ac:dyDescent="0.2">
      <c r="A333">
        <v>7532500914</v>
      </c>
      <c r="B333">
        <v>535</v>
      </c>
      <c r="C333" t="s">
        <v>153</v>
      </c>
      <c r="D333" t="s">
        <v>154</v>
      </c>
      <c r="E333" t="s">
        <v>134</v>
      </c>
      <c r="F333" t="s">
        <v>343</v>
      </c>
      <c r="G333" t="s">
        <v>342</v>
      </c>
      <c r="H333">
        <v>2</v>
      </c>
      <c r="I333" t="s">
        <v>596</v>
      </c>
      <c r="J333" s="39">
        <v>45981.860787037003</v>
      </c>
      <c r="K333" s="39">
        <v>45982</v>
      </c>
      <c r="L333" t="str">
        <f t="shared" si="15"/>
        <v>2025-11</v>
      </c>
      <c r="M333" t="s">
        <v>595</v>
      </c>
      <c r="N333">
        <v>16</v>
      </c>
      <c r="O333">
        <v>24.07</v>
      </c>
      <c r="P333">
        <v>1</v>
      </c>
      <c r="Q333">
        <v>1</v>
      </c>
      <c r="R333">
        <v>1</v>
      </c>
      <c r="S333" t="s">
        <v>95</v>
      </c>
      <c r="T333">
        <v>0</v>
      </c>
      <c r="V333">
        <f t="shared" si="16"/>
        <v>1</v>
      </c>
      <c r="W333" t="str">
        <f t="shared" si="17"/>
        <v>Met</v>
      </c>
    </row>
    <row r="334" spans="1:23" x14ac:dyDescent="0.2">
      <c r="A334">
        <v>7529701179</v>
      </c>
      <c r="B334">
        <v>495</v>
      </c>
      <c r="C334" t="s">
        <v>120</v>
      </c>
      <c r="D334" t="s">
        <v>121</v>
      </c>
      <c r="E334" t="s">
        <v>111</v>
      </c>
      <c r="F334" t="s">
        <v>290</v>
      </c>
      <c r="G334" t="s">
        <v>289</v>
      </c>
      <c r="H334">
        <v>2</v>
      </c>
      <c r="I334" t="s">
        <v>594</v>
      </c>
      <c r="J334" s="39">
        <v>45954.596655092602</v>
      </c>
      <c r="K334" s="39">
        <v>45955</v>
      </c>
      <c r="L334" t="str">
        <f t="shared" si="15"/>
        <v>2025-10</v>
      </c>
      <c r="M334" t="s">
        <v>595</v>
      </c>
      <c r="N334">
        <v>16</v>
      </c>
      <c r="O334">
        <v>28.4</v>
      </c>
      <c r="P334">
        <v>0</v>
      </c>
      <c r="Q334">
        <v>0</v>
      </c>
      <c r="R334">
        <v>0</v>
      </c>
      <c r="S334" t="s">
        <v>95</v>
      </c>
      <c r="T334">
        <v>0</v>
      </c>
      <c r="V334" t="str">
        <f t="shared" si="16"/>
        <v/>
      </c>
      <c r="W334" t="str">
        <f t="shared" si="17"/>
        <v>Not Eligible</v>
      </c>
    </row>
    <row r="335" spans="1:23" x14ac:dyDescent="0.2">
      <c r="A335">
        <v>7535501460</v>
      </c>
      <c r="B335">
        <v>642</v>
      </c>
      <c r="C335" t="s">
        <v>199</v>
      </c>
      <c r="D335" t="s">
        <v>200</v>
      </c>
      <c r="E335" t="s">
        <v>178</v>
      </c>
      <c r="F335" t="s">
        <v>282</v>
      </c>
      <c r="G335" t="s">
        <v>281</v>
      </c>
      <c r="H335">
        <v>2</v>
      </c>
      <c r="I335" t="s">
        <v>594</v>
      </c>
      <c r="J335" s="39">
        <v>46011.824826388904</v>
      </c>
      <c r="K335" s="39">
        <v>46012</v>
      </c>
      <c r="L335" t="str">
        <f t="shared" si="15"/>
        <v>2025-12</v>
      </c>
      <c r="M335" t="s">
        <v>595</v>
      </c>
      <c r="N335">
        <v>16</v>
      </c>
      <c r="O335">
        <v>10.42</v>
      </c>
      <c r="P335">
        <v>0</v>
      </c>
      <c r="Q335">
        <v>0</v>
      </c>
      <c r="R335">
        <v>0</v>
      </c>
      <c r="S335" t="s">
        <v>95</v>
      </c>
      <c r="T335">
        <v>0</v>
      </c>
      <c r="V335" t="str">
        <f t="shared" si="16"/>
        <v/>
      </c>
      <c r="W335" t="str">
        <f t="shared" si="17"/>
        <v>Not Eligible</v>
      </c>
    </row>
    <row r="336" spans="1:23" x14ac:dyDescent="0.2">
      <c r="A336">
        <v>7523604375</v>
      </c>
      <c r="B336">
        <v>919</v>
      </c>
      <c r="C336" t="s">
        <v>224</v>
      </c>
      <c r="D336" t="s">
        <v>225</v>
      </c>
      <c r="E336" t="s">
        <v>226</v>
      </c>
      <c r="F336" t="s">
        <v>469</v>
      </c>
      <c r="G336" t="s">
        <v>468</v>
      </c>
      <c r="H336">
        <v>2</v>
      </c>
      <c r="I336" t="s">
        <v>596</v>
      </c>
      <c r="J336" s="39">
        <v>45893.5868402778</v>
      </c>
      <c r="K336" s="39">
        <v>45893</v>
      </c>
      <c r="L336" t="str">
        <f t="shared" si="15"/>
        <v>2025-08</v>
      </c>
      <c r="M336" t="s">
        <v>595</v>
      </c>
      <c r="N336">
        <v>16</v>
      </c>
      <c r="O336">
        <v>5.82</v>
      </c>
      <c r="P336">
        <v>1</v>
      </c>
      <c r="Q336">
        <v>1</v>
      </c>
      <c r="R336">
        <v>1</v>
      </c>
      <c r="S336" t="s">
        <v>95</v>
      </c>
      <c r="T336">
        <v>0</v>
      </c>
      <c r="V336">
        <f t="shared" si="16"/>
        <v>1</v>
      </c>
      <c r="W336" t="str">
        <f t="shared" si="17"/>
        <v>Met</v>
      </c>
    </row>
    <row r="337" spans="1:23" x14ac:dyDescent="0.2">
      <c r="A337">
        <v>7601201482</v>
      </c>
      <c r="B337">
        <v>493</v>
      </c>
      <c r="C337" t="s">
        <v>116</v>
      </c>
      <c r="D337" t="s">
        <v>117</v>
      </c>
      <c r="E337" t="s">
        <v>111</v>
      </c>
      <c r="F337" t="s">
        <v>274</v>
      </c>
      <c r="G337" t="s">
        <v>273</v>
      </c>
      <c r="H337">
        <v>1</v>
      </c>
      <c r="I337" t="s">
        <v>596</v>
      </c>
      <c r="J337" s="39">
        <v>46034.662106481497</v>
      </c>
      <c r="K337" s="39">
        <v>46035</v>
      </c>
      <c r="L337" t="str">
        <f t="shared" si="15"/>
        <v>2026-01</v>
      </c>
      <c r="M337" t="s">
        <v>595</v>
      </c>
      <c r="N337">
        <v>12</v>
      </c>
      <c r="O337">
        <v>17.5</v>
      </c>
      <c r="P337">
        <v>1</v>
      </c>
      <c r="Q337">
        <v>1</v>
      </c>
      <c r="R337">
        <v>1</v>
      </c>
      <c r="S337" t="s">
        <v>94</v>
      </c>
      <c r="T337">
        <v>2</v>
      </c>
      <c r="U337">
        <v>1</v>
      </c>
      <c r="V337">
        <f t="shared" si="16"/>
        <v>1</v>
      </c>
      <c r="W337" t="str">
        <f t="shared" si="17"/>
        <v>Met</v>
      </c>
    </row>
    <row r="338" spans="1:23" x14ac:dyDescent="0.2">
      <c r="A338">
        <v>7524403906</v>
      </c>
      <c r="B338">
        <v>544</v>
      </c>
      <c r="C338" t="s">
        <v>164</v>
      </c>
      <c r="D338" t="s">
        <v>165</v>
      </c>
      <c r="E338" t="s">
        <v>159</v>
      </c>
      <c r="F338" t="s">
        <v>286</v>
      </c>
      <c r="G338" t="s">
        <v>285</v>
      </c>
      <c r="H338">
        <v>2</v>
      </c>
      <c r="I338" t="s">
        <v>596</v>
      </c>
      <c r="J338" s="39">
        <v>45901.317118055602</v>
      </c>
      <c r="K338" s="39">
        <v>45903</v>
      </c>
      <c r="L338" t="str">
        <f t="shared" si="15"/>
        <v>2025-09</v>
      </c>
      <c r="M338" t="s">
        <v>595</v>
      </c>
      <c r="N338">
        <v>16</v>
      </c>
      <c r="O338">
        <v>54.9</v>
      </c>
      <c r="P338">
        <v>0</v>
      </c>
      <c r="Q338">
        <v>0</v>
      </c>
      <c r="R338">
        <v>1</v>
      </c>
      <c r="S338" t="s">
        <v>95</v>
      </c>
      <c r="T338">
        <v>0</v>
      </c>
      <c r="V338">
        <f t="shared" si="16"/>
        <v>0</v>
      </c>
      <c r="W338" t="str">
        <f t="shared" si="17"/>
        <v>Missed</v>
      </c>
    </row>
    <row r="339" spans="1:23" x14ac:dyDescent="0.2">
      <c r="A339">
        <v>7605404772</v>
      </c>
      <c r="B339">
        <v>639</v>
      </c>
      <c r="C339" t="s">
        <v>195</v>
      </c>
      <c r="D339" t="s">
        <v>196</v>
      </c>
      <c r="E339" t="s">
        <v>181</v>
      </c>
      <c r="F339" t="s">
        <v>256</v>
      </c>
      <c r="G339" t="s">
        <v>255</v>
      </c>
      <c r="H339">
        <v>1</v>
      </c>
      <c r="I339" t="s">
        <v>596</v>
      </c>
      <c r="J339" s="39">
        <v>46076.356111111098</v>
      </c>
      <c r="K339" s="39">
        <v>46076</v>
      </c>
      <c r="L339" t="str">
        <f t="shared" si="15"/>
        <v>2026-02</v>
      </c>
      <c r="M339" t="s">
        <v>595</v>
      </c>
      <c r="N339">
        <v>0</v>
      </c>
      <c r="O339">
        <v>4.4000000000000004</v>
      </c>
      <c r="P339">
        <v>1</v>
      </c>
      <c r="Q339">
        <v>1</v>
      </c>
      <c r="R339">
        <v>1</v>
      </c>
      <c r="S339" t="s">
        <v>94</v>
      </c>
      <c r="T339">
        <v>2</v>
      </c>
      <c r="U339">
        <v>1</v>
      </c>
      <c r="V339">
        <f t="shared" si="16"/>
        <v>1</v>
      </c>
      <c r="W339" t="str">
        <f t="shared" si="17"/>
        <v>Met</v>
      </c>
    </row>
    <row r="340" spans="1:23" x14ac:dyDescent="0.2">
      <c r="A340">
        <v>7608305451</v>
      </c>
      <c r="B340">
        <v>526</v>
      </c>
      <c r="C340" t="s">
        <v>140</v>
      </c>
      <c r="D340" t="s">
        <v>133</v>
      </c>
      <c r="E340" t="s">
        <v>134</v>
      </c>
      <c r="F340" t="s">
        <v>308</v>
      </c>
      <c r="G340" t="s">
        <v>307</v>
      </c>
      <c r="H340">
        <v>2</v>
      </c>
      <c r="I340" t="s">
        <v>594</v>
      </c>
      <c r="J340" s="39">
        <v>46105.550798611097</v>
      </c>
      <c r="K340" s="39">
        <v>46105</v>
      </c>
      <c r="L340" t="str">
        <f t="shared" si="15"/>
        <v>2026-03</v>
      </c>
      <c r="M340" t="s">
        <v>595</v>
      </c>
      <c r="N340">
        <v>0</v>
      </c>
      <c r="O340">
        <v>5.55</v>
      </c>
      <c r="P340">
        <v>1</v>
      </c>
      <c r="Q340">
        <v>1</v>
      </c>
      <c r="R340">
        <v>1</v>
      </c>
      <c r="S340" t="s">
        <v>94</v>
      </c>
      <c r="T340">
        <v>2</v>
      </c>
      <c r="U340">
        <v>1</v>
      </c>
      <c r="V340">
        <f t="shared" si="16"/>
        <v>1</v>
      </c>
      <c r="W340" t="str">
        <f t="shared" si="17"/>
        <v>Met</v>
      </c>
    </row>
    <row r="341" spans="1:23" x14ac:dyDescent="0.2">
      <c r="A341">
        <v>7527204157</v>
      </c>
      <c r="B341">
        <v>561</v>
      </c>
      <c r="C341" t="s">
        <v>170</v>
      </c>
      <c r="D341" t="s">
        <v>171</v>
      </c>
      <c r="E341" t="s">
        <v>159</v>
      </c>
      <c r="F341" t="s">
        <v>457</v>
      </c>
      <c r="G341" t="s">
        <v>456</v>
      </c>
      <c r="H341">
        <v>2</v>
      </c>
      <c r="I341" t="s">
        <v>596</v>
      </c>
      <c r="J341" s="39">
        <v>45929.459930555597</v>
      </c>
      <c r="K341" s="39">
        <v>45929</v>
      </c>
      <c r="L341" t="str">
        <f t="shared" si="15"/>
        <v>2025-09</v>
      </c>
      <c r="M341" t="s">
        <v>595</v>
      </c>
      <c r="N341">
        <v>16</v>
      </c>
      <c r="O341">
        <v>0.57999999999999996</v>
      </c>
      <c r="P341">
        <v>1</v>
      </c>
      <c r="Q341">
        <v>1</v>
      </c>
      <c r="R341">
        <v>1</v>
      </c>
      <c r="S341" t="s">
        <v>95</v>
      </c>
      <c r="T341">
        <v>0</v>
      </c>
      <c r="V341">
        <f t="shared" si="16"/>
        <v>1</v>
      </c>
      <c r="W341" t="str">
        <f t="shared" si="17"/>
        <v>Met</v>
      </c>
    </row>
    <row r="342" spans="1:23" x14ac:dyDescent="0.2">
      <c r="A342">
        <v>7533401461</v>
      </c>
      <c r="B342">
        <v>497</v>
      </c>
      <c r="C342" t="s">
        <v>125</v>
      </c>
      <c r="D342" t="s">
        <v>126</v>
      </c>
      <c r="E342" t="s">
        <v>124</v>
      </c>
      <c r="F342" t="s">
        <v>364</v>
      </c>
      <c r="G342" t="s">
        <v>363</v>
      </c>
      <c r="H342">
        <v>2</v>
      </c>
      <c r="I342" t="s">
        <v>596</v>
      </c>
      <c r="J342" s="39">
        <v>45991.593148148197</v>
      </c>
      <c r="K342" s="39">
        <v>45991</v>
      </c>
      <c r="L342" t="str">
        <f t="shared" si="15"/>
        <v>2025-11</v>
      </c>
      <c r="M342" t="s">
        <v>595</v>
      </c>
      <c r="N342">
        <v>16</v>
      </c>
      <c r="O342">
        <v>3.17</v>
      </c>
      <c r="P342">
        <v>1</v>
      </c>
      <c r="Q342">
        <v>1</v>
      </c>
      <c r="R342">
        <v>1</v>
      </c>
      <c r="S342" t="s">
        <v>95</v>
      </c>
      <c r="T342">
        <v>0</v>
      </c>
      <c r="V342">
        <f t="shared" si="16"/>
        <v>1</v>
      </c>
      <c r="W342" t="str">
        <f t="shared" si="17"/>
        <v>Met</v>
      </c>
    </row>
    <row r="343" spans="1:23" x14ac:dyDescent="0.2">
      <c r="A343">
        <v>7530913973</v>
      </c>
      <c r="B343">
        <v>921</v>
      </c>
      <c r="C343" t="s">
        <v>229</v>
      </c>
      <c r="D343" t="s">
        <v>230</v>
      </c>
      <c r="E343" t="s">
        <v>226</v>
      </c>
      <c r="F343" t="s">
        <v>276</v>
      </c>
      <c r="G343" t="s">
        <v>275</v>
      </c>
      <c r="H343">
        <v>2</v>
      </c>
      <c r="I343" t="s">
        <v>596</v>
      </c>
      <c r="J343" s="39">
        <v>45966.537199074097</v>
      </c>
      <c r="K343" s="39">
        <v>45966</v>
      </c>
      <c r="L343" t="str">
        <f t="shared" si="15"/>
        <v>2025-11</v>
      </c>
      <c r="M343" t="s">
        <v>595</v>
      </c>
      <c r="N343">
        <v>16</v>
      </c>
      <c r="O343">
        <v>3.35</v>
      </c>
      <c r="P343">
        <v>1</v>
      </c>
      <c r="Q343">
        <v>1</v>
      </c>
      <c r="R343">
        <v>1</v>
      </c>
      <c r="S343" t="s">
        <v>95</v>
      </c>
      <c r="T343">
        <v>0</v>
      </c>
      <c r="V343">
        <f t="shared" si="16"/>
        <v>1</v>
      </c>
      <c r="W343" t="str">
        <f t="shared" si="17"/>
        <v>Met</v>
      </c>
    </row>
    <row r="344" spans="1:23" x14ac:dyDescent="0.2">
      <c r="A344">
        <v>7523707402</v>
      </c>
      <c r="B344">
        <v>606</v>
      </c>
      <c r="C344" t="s">
        <v>176</v>
      </c>
      <c r="D344" t="s">
        <v>177</v>
      </c>
      <c r="E344" t="s">
        <v>178</v>
      </c>
      <c r="F344" t="s">
        <v>292</v>
      </c>
      <c r="G344" t="s">
        <v>291</v>
      </c>
      <c r="H344">
        <v>2</v>
      </c>
      <c r="I344" t="s">
        <v>594</v>
      </c>
      <c r="J344" s="39">
        <v>45894.618657407402</v>
      </c>
      <c r="K344" s="39">
        <v>45895</v>
      </c>
      <c r="L344" t="str">
        <f t="shared" si="15"/>
        <v>2025-08</v>
      </c>
      <c r="M344" t="s">
        <v>595</v>
      </c>
      <c r="N344">
        <v>16</v>
      </c>
      <c r="O344">
        <v>26.32</v>
      </c>
      <c r="P344">
        <v>0</v>
      </c>
      <c r="Q344">
        <v>0</v>
      </c>
      <c r="R344">
        <v>0</v>
      </c>
      <c r="S344" t="s">
        <v>95</v>
      </c>
      <c r="T344">
        <v>0</v>
      </c>
      <c r="V344" t="str">
        <f t="shared" si="16"/>
        <v/>
      </c>
      <c r="W344" t="str">
        <f t="shared" si="17"/>
        <v>Not Eligible</v>
      </c>
    </row>
    <row r="345" spans="1:23" x14ac:dyDescent="0.2">
      <c r="A345">
        <v>7608003827</v>
      </c>
      <c r="B345">
        <v>708</v>
      </c>
      <c r="C345" t="s">
        <v>218</v>
      </c>
      <c r="D345" t="s">
        <v>219</v>
      </c>
      <c r="E345" t="s">
        <v>215</v>
      </c>
      <c r="F345" t="s">
        <v>324</v>
      </c>
      <c r="G345" t="s">
        <v>323</v>
      </c>
      <c r="H345">
        <v>2</v>
      </c>
      <c r="I345" t="s">
        <v>596</v>
      </c>
      <c r="J345" s="39">
        <v>46102.572916666701</v>
      </c>
      <c r="K345" s="39">
        <v>46102</v>
      </c>
      <c r="L345" t="str">
        <f t="shared" si="15"/>
        <v>2026-03</v>
      </c>
      <c r="M345" t="s">
        <v>595</v>
      </c>
      <c r="N345">
        <v>0</v>
      </c>
      <c r="O345">
        <v>6.75</v>
      </c>
      <c r="P345">
        <v>1</v>
      </c>
      <c r="Q345">
        <v>1</v>
      </c>
      <c r="R345">
        <v>1</v>
      </c>
      <c r="S345" t="s">
        <v>94</v>
      </c>
      <c r="T345">
        <v>2</v>
      </c>
      <c r="U345">
        <v>1</v>
      </c>
      <c r="V345">
        <f t="shared" si="16"/>
        <v>1</v>
      </c>
      <c r="W345" t="str">
        <f t="shared" si="17"/>
        <v>Met</v>
      </c>
    </row>
    <row r="346" spans="1:23" x14ac:dyDescent="0.2">
      <c r="A346">
        <v>7621504071</v>
      </c>
      <c r="B346">
        <v>640</v>
      </c>
      <c r="C346" t="s">
        <v>197</v>
      </c>
      <c r="D346" t="s">
        <v>198</v>
      </c>
      <c r="E346" t="s">
        <v>178</v>
      </c>
      <c r="F346" t="s">
        <v>404</v>
      </c>
      <c r="G346" t="s">
        <v>403</v>
      </c>
      <c r="H346">
        <v>2</v>
      </c>
      <c r="I346" t="s">
        <v>596</v>
      </c>
      <c r="J346" s="39">
        <v>46236.920729166697</v>
      </c>
      <c r="K346" s="39">
        <v>46237</v>
      </c>
      <c r="L346" t="str">
        <f t="shared" si="15"/>
        <v>2026-08</v>
      </c>
      <c r="M346" t="s">
        <v>595</v>
      </c>
      <c r="N346">
        <v>16</v>
      </c>
      <c r="O346">
        <v>17.53</v>
      </c>
      <c r="P346">
        <v>1</v>
      </c>
      <c r="Q346">
        <v>1</v>
      </c>
      <c r="R346">
        <v>1</v>
      </c>
      <c r="S346" t="s">
        <v>94</v>
      </c>
      <c r="T346">
        <v>2</v>
      </c>
      <c r="U346">
        <v>1</v>
      </c>
      <c r="V346">
        <f t="shared" si="16"/>
        <v>1</v>
      </c>
      <c r="W346" t="str">
        <f t="shared" si="17"/>
        <v>Met</v>
      </c>
    </row>
    <row r="347" spans="1:23" x14ac:dyDescent="0.2">
      <c r="A347">
        <v>7524504292</v>
      </c>
      <c r="B347">
        <v>636</v>
      </c>
      <c r="C347" t="s">
        <v>190</v>
      </c>
      <c r="D347" t="s">
        <v>191</v>
      </c>
      <c r="E347" t="s">
        <v>181</v>
      </c>
      <c r="F347" t="s">
        <v>351</v>
      </c>
      <c r="G347" t="s">
        <v>350</v>
      </c>
      <c r="H347">
        <v>2</v>
      </c>
      <c r="I347" t="s">
        <v>596</v>
      </c>
      <c r="J347" s="39">
        <v>45902.479965277802</v>
      </c>
      <c r="K347" s="39">
        <v>45903</v>
      </c>
      <c r="L347" t="str">
        <f t="shared" si="15"/>
        <v>2025-09</v>
      </c>
      <c r="M347" t="s">
        <v>595</v>
      </c>
      <c r="N347">
        <v>16</v>
      </c>
      <c r="O347">
        <v>22.65</v>
      </c>
      <c r="P347">
        <v>1</v>
      </c>
      <c r="Q347">
        <v>1</v>
      </c>
      <c r="R347">
        <v>1</v>
      </c>
      <c r="S347" t="s">
        <v>95</v>
      </c>
      <c r="T347">
        <v>0</v>
      </c>
      <c r="V347">
        <f t="shared" si="16"/>
        <v>1</v>
      </c>
      <c r="W347" t="str">
        <f t="shared" si="17"/>
        <v>Met</v>
      </c>
    </row>
    <row r="348" spans="1:23" x14ac:dyDescent="0.2">
      <c r="A348">
        <v>7621817039</v>
      </c>
      <c r="B348">
        <v>921</v>
      </c>
      <c r="C348" t="s">
        <v>229</v>
      </c>
      <c r="D348" t="s">
        <v>230</v>
      </c>
      <c r="E348" t="s">
        <v>226</v>
      </c>
      <c r="F348" t="s">
        <v>276</v>
      </c>
      <c r="G348" t="s">
        <v>275</v>
      </c>
      <c r="H348">
        <v>2</v>
      </c>
      <c r="I348" t="s">
        <v>596</v>
      </c>
      <c r="J348" s="39">
        <v>46240.468912037002</v>
      </c>
      <c r="K348" s="39">
        <v>46240</v>
      </c>
      <c r="L348" t="str">
        <f t="shared" si="15"/>
        <v>2026-08</v>
      </c>
      <c r="M348" t="s">
        <v>595</v>
      </c>
      <c r="N348">
        <v>16</v>
      </c>
      <c r="O348">
        <v>2.1</v>
      </c>
      <c r="P348">
        <v>1</v>
      </c>
      <c r="Q348">
        <v>1</v>
      </c>
      <c r="R348">
        <v>1</v>
      </c>
      <c r="S348" t="s">
        <v>94</v>
      </c>
      <c r="T348">
        <v>2</v>
      </c>
      <c r="U348">
        <v>1</v>
      </c>
      <c r="V348">
        <f t="shared" si="16"/>
        <v>1</v>
      </c>
      <c r="W348" t="str">
        <f t="shared" si="17"/>
        <v>Met</v>
      </c>
    </row>
    <row r="349" spans="1:23" x14ac:dyDescent="0.2">
      <c r="A349">
        <v>7533210258</v>
      </c>
      <c r="B349">
        <v>493</v>
      </c>
      <c r="C349" t="s">
        <v>116</v>
      </c>
      <c r="D349" t="s">
        <v>117</v>
      </c>
      <c r="E349" t="s">
        <v>111</v>
      </c>
      <c r="F349" t="s">
        <v>258</v>
      </c>
      <c r="G349" t="s">
        <v>257</v>
      </c>
      <c r="H349">
        <v>2</v>
      </c>
      <c r="I349" t="s">
        <v>594</v>
      </c>
      <c r="J349" s="39">
        <v>45989.369039351899</v>
      </c>
      <c r="K349" s="39">
        <v>45989</v>
      </c>
      <c r="L349" t="str">
        <f t="shared" si="15"/>
        <v>2025-11</v>
      </c>
      <c r="M349" t="s">
        <v>595</v>
      </c>
      <c r="N349">
        <v>16</v>
      </c>
      <c r="O349">
        <v>8.8800000000000008</v>
      </c>
      <c r="P349">
        <v>0</v>
      </c>
      <c r="Q349">
        <v>0</v>
      </c>
      <c r="R349">
        <v>0</v>
      </c>
      <c r="S349" t="s">
        <v>95</v>
      </c>
      <c r="T349">
        <v>0</v>
      </c>
      <c r="V349" t="str">
        <f t="shared" si="16"/>
        <v/>
      </c>
      <c r="W349" t="str">
        <f t="shared" si="17"/>
        <v>Not Eligible</v>
      </c>
    </row>
    <row r="350" spans="1:23" x14ac:dyDescent="0.2">
      <c r="A350">
        <v>7619901820</v>
      </c>
      <c r="B350">
        <v>495</v>
      </c>
      <c r="C350" t="s">
        <v>120</v>
      </c>
      <c r="D350" t="s">
        <v>121</v>
      </c>
      <c r="E350" t="s">
        <v>111</v>
      </c>
      <c r="F350" t="s">
        <v>274</v>
      </c>
      <c r="G350" t="s">
        <v>273</v>
      </c>
      <c r="H350">
        <v>2</v>
      </c>
      <c r="I350" t="s">
        <v>594</v>
      </c>
      <c r="J350" s="39">
        <v>46221.317280092597</v>
      </c>
      <c r="K350" s="39">
        <v>46221</v>
      </c>
      <c r="L350" t="str">
        <f t="shared" si="15"/>
        <v>2026-07</v>
      </c>
      <c r="M350" t="s">
        <v>595</v>
      </c>
      <c r="N350">
        <v>16</v>
      </c>
      <c r="O350">
        <v>4.25</v>
      </c>
      <c r="P350">
        <v>0</v>
      </c>
      <c r="Q350">
        <v>0</v>
      </c>
      <c r="R350">
        <v>0</v>
      </c>
      <c r="S350" t="s">
        <v>94</v>
      </c>
      <c r="T350">
        <v>2</v>
      </c>
      <c r="U350">
        <v>1</v>
      </c>
      <c r="V350" t="str">
        <f t="shared" si="16"/>
        <v/>
      </c>
      <c r="W350" t="str">
        <f t="shared" si="17"/>
        <v>Not Eligible</v>
      </c>
    </row>
    <row r="351" spans="1:23" x14ac:dyDescent="0.2">
      <c r="A351">
        <v>7608002950</v>
      </c>
      <c r="B351">
        <v>710</v>
      </c>
      <c r="C351" t="s">
        <v>220</v>
      </c>
      <c r="D351" t="s">
        <v>221</v>
      </c>
      <c r="E351" t="s">
        <v>215</v>
      </c>
      <c r="F351" t="s">
        <v>392</v>
      </c>
      <c r="G351" t="s">
        <v>391</v>
      </c>
      <c r="H351">
        <v>2</v>
      </c>
      <c r="I351" t="s">
        <v>594</v>
      </c>
      <c r="J351" s="39">
        <v>46102.263113425899</v>
      </c>
      <c r="K351" s="39">
        <v>46105</v>
      </c>
      <c r="L351" t="str">
        <f t="shared" si="15"/>
        <v>2026-03</v>
      </c>
      <c r="M351" t="s">
        <v>595</v>
      </c>
      <c r="N351">
        <v>0</v>
      </c>
      <c r="O351">
        <v>78.97</v>
      </c>
      <c r="P351">
        <v>1</v>
      </c>
      <c r="Q351">
        <v>1</v>
      </c>
      <c r="R351">
        <v>1</v>
      </c>
      <c r="S351" t="s">
        <v>94</v>
      </c>
      <c r="T351">
        <v>1</v>
      </c>
      <c r="V351">
        <f t="shared" si="16"/>
        <v>1</v>
      </c>
      <c r="W351" t="str">
        <f t="shared" si="17"/>
        <v>Met</v>
      </c>
    </row>
    <row r="352" spans="1:23" x14ac:dyDescent="0.2">
      <c r="A352">
        <v>7602901133</v>
      </c>
      <c r="B352">
        <v>926</v>
      </c>
      <c r="C352" t="s">
        <v>235</v>
      </c>
      <c r="D352" t="s">
        <v>225</v>
      </c>
      <c r="E352" t="s">
        <v>226</v>
      </c>
      <c r="F352" t="s">
        <v>412</v>
      </c>
      <c r="G352" t="s">
        <v>411</v>
      </c>
      <c r="H352">
        <v>2</v>
      </c>
      <c r="I352" t="s">
        <v>596</v>
      </c>
      <c r="J352" s="39">
        <v>46051.607731481497</v>
      </c>
      <c r="K352" s="39">
        <v>46051</v>
      </c>
      <c r="L352" t="str">
        <f t="shared" si="15"/>
        <v>2026-01</v>
      </c>
      <c r="M352" t="s">
        <v>595</v>
      </c>
      <c r="N352">
        <v>16</v>
      </c>
      <c r="O352">
        <v>2.5499999999999998</v>
      </c>
      <c r="P352">
        <v>0</v>
      </c>
      <c r="Q352">
        <v>0</v>
      </c>
      <c r="R352">
        <v>0</v>
      </c>
      <c r="S352" t="s">
        <v>94</v>
      </c>
      <c r="T352">
        <v>2</v>
      </c>
      <c r="U352">
        <v>1</v>
      </c>
      <c r="V352" t="str">
        <f t="shared" si="16"/>
        <v/>
      </c>
      <c r="W352" t="str">
        <f t="shared" si="17"/>
        <v>Not Eligible</v>
      </c>
    </row>
    <row r="353" spans="1:23" x14ac:dyDescent="0.2">
      <c r="A353">
        <v>7602703653</v>
      </c>
      <c r="B353">
        <v>715</v>
      </c>
      <c r="C353" t="s">
        <v>222</v>
      </c>
      <c r="D353" t="s">
        <v>223</v>
      </c>
      <c r="E353" t="s">
        <v>215</v>
      </c>
      <c r="F353" t="s">
        <v>256</v>
      </c>
      <c r="G353" t="s">
        <v>255</v>
      </c>
      <c r="H353">
        <v>2</v>
      </c>
      <c r="I353" t="s">
        <v>596</v>
      </c>
      <c r="J353" s="39">
        <v>46049.3511574074</v>
      </c>
      <c r="K353" s="39">
        <v>46051</v>
      </c>
      <c r="L353" t="str">
        <f t="shared" si="15"/>
        <v>2026-01</v>
      </c>
      <c r="M353" t="s">
        <v>595</v>
      </c>
      <c r="N353">
        <v>16</v>
      </c>
      <c r="O353">
        <v>53.15</v>
      </c>
      <c r="P353">
        <v>0</v>
      </c>
      <c r="Q353">
        <v>0</v>
      </c>
      <c r="R353">
        <v>1</v>
      </c>
      <c r="S353" t="s">
        <v>94</v>
      </c>
      <c r="T353">
        <v>1</v>
      </c>
      <c r="V353">
        <f t="shared" si="16"/>
        <v>0</v>
      </c>
      <c r="W353" t="str">
        <f t="shared" si="17"/>
        <v>Missed</v>
      </c>
    </row>
    <row r="354" spans="1:23" x14ac:dyDescent="0.2">
      <c r="A354">
        <v>7611911315</v>
      </c>
      <c r="B354">
        <v>639</v>
      </c>
      <c r="C354" t="s">
        <v>195</v>
      </c>
      <c r="D354" t="s">
        <v>196</v>
      </c>
      <c r="E354" t="s">
        <v>181</v>
      </c>
      <c r="F354" t="s">
        <v>312</v>
      </c>
      <c r="G354" t="s">
        <v>311</v>
      </c>
      <c r="H354">
        <v>2</v>
      </c>
      <c r="I354" t="s">
        <v>596</v>
      </c>
      <c r="J354" s="39">
        <v>46141.326793981498</v>
      </c>
      <c r="K354" s="39">
        <v>46141</v>
      </c>
      <c r="L354" t="str">
        <f t="shared" si="15"/>
        <v>2026-04</v>
      </c>
      <c r="M354" t="s">
        <v>600</v>
      </c>
      <c r="N354">
        <v>0</v>
      </c>
      <c r="O354">
        <v>0.88</v>
      </c>
      <c r="P354">
        <v>1</v>
      </c>
      <c r="Q354">
        <v>1</v>
      </c>
      <c r="R354">
        <v>1</v>
      </c>
      <c r="S354" t="s">
        <v>94</v>
      </c>
      <c r="T354">
        <v>1</v>
      </c>
      <c r="V354">
        <f t="shared" si="16"/>
        <v>1</v>
      </c>
      <c r="W354" t="str">
        <f t="shared" si="17"/>
        <v>Met</v>
      </c>
    </row>
    <row r="355" spans="1:23" x14ac:dyDescent="0.2">
      <c r="A355">
        <v>7605704418</v>
      </c>
      <c r="B355">
        <v>928</v>
      </c>
      <c r="C355" t="s">
        <v>238</v>
      </c>
      <c r="D355" t="s">
        <v>239</v>
      </c>
      <c r="E355" t="s">
        <v>226</v>
      </c>
      <c r="F355" t="s">
        <v>278</v>
      </c>
      <c r="G355" t="s">
        <v>277</v>
      </c>
      <c r="H355">
        <v>1</v>
      </c>
      <c r="I355" t="s">
        <v>594</v>
      </c>
      <c r="J355" s="39">
        <v>46079.592326388898</v>
      </c>
      <c r="K355" s="39">
        <v>46079</v>
      </c>
      <c r="L355" t="str">
        <f t="shared" si="15"/>
        <v>2026-02</v>
      </c>
      <c r="M355" t="s">
        <v>595</v>
      </c>
      <c r="N355">
        <v>0</v>
      </c>
      <c r="O355">
        <v>2.12</v>
      </c>
      <c r="P355">
        <v>1</v>
      </c>
      <c r="Q355">
        <v>1</v>
      </c>
      <c r="R355">
        <v>1</v>
      </c>
      <c r="S355" t="s">
        <v>94</v>
      </c>
      <c r="T355">
        <v>2</v>
      </c>
      <c r="U355">
        <v>1</v>
      </c>
      <c r="V355">
        <f t="shared" si="16"/>
        <v>1</v>
      </c>
      <c r="W355" t="str">
        <f t="shared" si="17"/>
        <v>Met</v>
      </c>
    </row>
    <row r="356" spans="1:23" x14ac:dyDescent="0.2">
      <c r="A356">
        <v>7530914116</v>
      </c>
      <c r="B356">
        <v>562</v>
      </c>
      <c r="C356" t="s">
        <v>172</v>
      </c>
      <c r="D356" t="s">
        <v>173</v>
      </c>
      <c r="E356" t="s">
        <v>159</v>
      </c>
      <c r="F356" t="s">
        <v>306</v>
      </c>
      <c r="G356" t="s">
        <v>305</v>
      </c>
      <c r="H356">
        <v>2</v>
      </c>
      <c r="I356" t="s">
        <v>596</v>
      </c>
      <c r="J356" s="39">
        <v>45966.518136574101</v>
      </c>
      <c r="K356" s="39">
        <v>45981</v>
      </c>
      <c r="L356" t="str">
        <f t="shared" si="15"/>
        <v>2025-11</v>
      </c>
      <c r="M356" t="s">
        <v>595</v>
      </c>
      <c r="N356">
        <v>16</v>
      </c>
      <c r="O356">
        <v>358.43</v>
      </c>
      <c r="P356">
        <v>0</v>
      </c>
      <c r="Q356">
        <v>0</v>
      </c>
      <c r="R356">
        <v>1</v>
      </c>
      <c r="S356" t="s">
        <v>95</v>
      </c>
      <c r="T356">
        <v>0</v>
      </c>
      <c r="V356">
        <f t="shared" si="16"/>
        <v>0</v>
      </c>
      <c r="W356" t="str">
        <f t="shared" si="17"/>
        <v>Missed</v>
      </c>
    </row>
    <row r="357" spans="1:23" x14ac:dyDescent="0.2">
      <c r="A357">
        <v>7530205152</v>
      </c>
      <c r="B357">
        <v>648</v>
      </c>
      <c r="C357" t="s">
        <v>209</v>
      </c>
      <c r="D357" t="s">
        <v>210</v>
      </c>
      <c r="E357" t="s">
        <v>178</v>
      </c>
      <c r="F357" t="s">
        <v>347</v>
      </c>
      <c r="G357" t="s">
        <v>346</v>
      </c>
      <c r="H357">
        <v>2</v>
      </c>
      <c r="I357" t="s">
        <v>594</v>
      </c>
      <c r="J357" s="39">
        <v>45959.770613425899</v>
      </c>
      <c r="K357" s="39">
        <v>45961</v>
      </c>
      <c r="L357" t="str">
        <f t="shared" si="15"/>
        <v>2025-10</v>
      </c>
      <c r="M357" t="s">
        <v>595</v>
      </c>
      <c r="N357">
        <v>16</v>
      </c>
      <c r="O357">
        <v>38.42</v>
      </c>
      <c r="P357">
        <v>0</v>
      </c>
      <c r="Q357">
        <v>0</v>
      </c>
      <c r="R357">
        <v>0</v>
      </c>
      <c r="S357" t="s">
        <v>95</v>
      </c>
      <c r="T357">
        <v>0</v>
      </c>
      <c r="V357" t="str">
        <f t="shared" si="16"/>
        <v/>
      </c>
      <c r="W357" t="str">
        <f t="shared" si="17"/>
        <v>Not Eligible</v>
      </c>
    </row>
    <row r="358" spans="1:23" x14ac:dyDescent="0.2">
      <c r="A358">
        <v>7607003018</v>
      </c>
      <c r="B358">
        <v>561</v>
      </c>
      <c r="C358" t="s">
        <v>170</v>
      </c>
      <c r="D358" t="s">
        <v>171</v>
      </c>
      <c r="E358" t="s">
        <v>159</v>
      </c>
      <c r="F358" t="s">
        <v>286</v>
      </c>
      <c r="G358" t="s">
        <v>285</v>
      </c>
      <c r="H358">
        <v>2</v>
      </c>
      <c r="I358" t="s">
        <v>596</v>
      </c>
      <c r="J358" s="39">
        <v>46092.328321759298</v>
      </c>
      <c r="K358" s="39">
        <v>46092</v>
      </c>
      <c r="L358" t="str">
        <f t="shared" si="15"/>
        <v>2026-03</v>
      </c>
      <c r="M358" t="s">
        <v>595</v>
      </c>
      <c r="N358">
        <v>0</v>
      </c>
      <c r="O358">
        <v>1.9</v>
      </c>
      <c r="P358">
        <v>1</v>
      </c>
      <c r="Q358">
        <v>1</v>
      </c>
      <c r="R358">
        <v>1</v>
      </c>
      <c r="S358" t="s">
        <v>94</v>
      </c>
      <c r="T358">
        <v>2</v>
      </c>
      <c r="U358">
        <v>1</v>
      </c>
      <c r="V358">
        <f t="shared" si="16"/>
        <v>1</v>
      </c>
      <c r="W358" t="str">
        <f t="shared" si="17"/>
        <v>Met</v>
      </c>
    </row>
    <row r="359" spans="1:23" x14ac:dyDescent="0.2">
      <c r="A359">
        <v>7534402521</v>
      </c>
      <c r="B359">
        <v>647</v>
      </c>
      <c r="C359" t="s">
        <v>207</v>
      </c>
      <c r="D359" t="s">
        <v>208</v>
      </c>
      <c r="E359" t="s">
        <v>178</v>
      </c>
      <c r="F359" t="s">
        <v>333</v>
      </c>
      <c r="G359" t="s">
        <v>332</v>
      </c>
      <c r="H359">
        <v>2</v>
      </c>
      <c r="I359" t="s">
        <v>596</v>
      </c>
      <c r="J359" s="39">
        <v>46001.590648148202</v>
      </c>
      <c r="K359" s="39">
        <v>46003</v>
      </c>
      <c r="L359" t="str">
        <f t="shared" si="15"/>
        <v>2025-12</v>
      </c>
      <c r="M359" t="s">
        <v>595</v>
      </c>
      <c r="N359">
        <v>16</v>
      </c>
      <c r="O359">
        <v>47.83</v>
      </c>
      <c r="P359">
        <v>0</v>
      </c>
      <c r="Q359">
        <v>1</v>
      </c>
      <c r="R359">
        <v>1</v>
      </c>
      <c r="S359" t="s">
        <v>95</v>
      </c>
      <c r="T359">
        <v>0</v>
      </c>
      <c r="V359">
        <f t="shared" si="16"/>
        <v>1</v>
      </c>
      <c r="W359" t="str">
        <f t="shared" si="17"/>
        <v>Met</v>
      </c>
    </row>
    <row r="360" spans="1:23" x14ac:dyDescent="0.2">
      <c r="A360">
        <v>7534006473</v>
      </c>
      <c r="B360">
        <v>535</v>
      </c>
      <c r="C360" t="s">
        <v>153</v>
      </c>
      <c r="D360" t="s">
        <v>154</v>
      </c>
      <c r="E360" t="s">
        <v>134</v>
      </c>
      <c r="F360" t="s">
        <v>260</v>
      </c>
      <c r="G360" t="s">
        <v>259</v>
      </c>
      <c r="H360">
        <v>2</v>
      </c>
      <c r="I360" t="s">
        <v>594</v>
      </c>
      <c r="J360" s="39">
        <v>45997.381840277798</v>
      </c>
      <c r="K360" s="39">
        <v>45997</v>
      </c>
      <c r="L360" t="str">
        <f t="shared" si="15"/>
        <v>2025-12</v>
      </c>
      <c r="M360" t="s">
        <v>595</v>
      </c>
      <c r="N360">
        <v>16</v>
      </c>
      <c r="O360">
        <v>2.8</v>
      </c>
      <c r="P360">
        <v>0</v>
      </c>
      <c r="Q360">
        <v>0</v>
      </c>
      <c r="R360">
        <v>0</v>
      </c>
      <c r="S360" t="s">
        <v>95</v>
      </c>
      <c r="T360">
        <v>0</v>
      </c>
      <c r="V360" t="str">
        <f t="shared" si="16"/>
        <v/>
      </c>
      <c r="W360" t="str">
        <f t="shared" si="17"/>
        <v>Not Eligible</v>
      </c>
    </row>
    <row r="361" spans="1:23" x14ac:dyDescent="0.2">
      <c r="A361">
        <v>7622204378</v>
      </c>
      <c r="B361">
        <v>493</v>
      </c>
      <c r="C361" t="s">
        <v>116</v>
      </c>
      <c r="D361" t="s">
        <v>117</v>
      </c>
      <c r="E361" t="s">
        <v>111</v>
      </c>
      <c r="F361" t="s">
        <v>274</v>
      </c>
      <c r="G361" t="s">
        <v>273</v>
      </c>
      <c r="H361">
        <v>1</v>
      </c>
      <c r="I361" t="s">
        <v>594</v>
      </c>
      <c r="J361" s="39">
        <v>46244.329872685201</v>
      </c>
      <c r="K361" s="39">
        <v>46244</v>
      </c>
      <c r="L361" t="str">
        <f t="shared" si="15"/>
        <v>2026-08</v>
      </c>
      <c r="M361" t="s">
        <v>595</v>
      </c>
      <c r="N361">
        <v>12</v>
      </c>
      <c r="O361">
        <v>1.1299999999999999</v>
      </c>
      <c r="P361">
        <v>0</v>
      </c>
      <c r="Q361">
        <v>0</v>
      </c>
      <c r="R361">
        <v>0</v>
      </c>
      <c r="S361" t="s">
        <v>95</v>
      </c>
      <c r="T361">
        <v>0</v>
      </c>
      <c r="V361" t="str">
        <f t="shared" si="16"/>
        <v/>
      </c>
      <c r="W361" t="str">
        <f t="shared" si="17"/>
        <v>Not Eligible</v>
      </c>
    </row>
    <row r="362" spans="1:23" x14ac:dyDescent="0.2">
      <c r="A362">
        <v>7613601013</v>
      </c>
      <c r="B362">
        <v>493</v>
      </c>
      <c r="C362" t="s">
        <v>116</v>
      </c>
      <c r="D362" t="s">
        <v>117</v>
      </c>
      <c r="E362" t="s">
        <v>111</v>
      </c>
      <c r="F362" t="s">
        <v>258</v>
      </c>
      <c r="G362" t="s">
        <v>257</v>
      </c>
      <c r="H362">
        <v>2</v>
      </c>
      <c r="I362" t="s">
        <v>596</v>
      </c>
      <c r="J362" s="39">
        <v>46158.592789351896</v>
      </c>
      <c r="K362" s="39">
        <v>46159</v>
      </c>
      <c r="L362" t="str">
        <f t="shared" si="15"/>
        <v>2026-05</v>
      </c>
      <c r="M362" t="s">
        <v>595</v>
      </c>
      <c r="N362">
        <v>16</v>
      </c>
      <c r="O362">
        <v>25.1</v>
      </c>
      <c r="P362">
        <v>1</v>
      </c>
      <c r="Q362">
        <v>1</v>
      </c>
      <c r="R362">
        <v>1</v>
      </c>
      <c r="S362" t="s">
        <v>94</v>
      </c>
      <c r="T362">
        <v>2</v>
      </c>
      <c r="U362">
        <v>1</v>
      </c>
      <c r="V362">
        <f t="shared" si="16"/>
        <v>1</v>
      </c>
      <c r="W362" t="str">
        <f t="shared" si="17"/>
        <v>Met</v>
      </c>
    </row>
    <row r="363" spans="1:23" x14ac:dyDescent="0.2">
      <c r="A363">
        <v>7612501357</v>
      </c>
      <c r="B363">
        <v>644</v>
      </c>
      <c r="C363" t="s">
        <v>203</v>
      </c>
      <c r="D363" t="s">
        <v>204</v>
      </c>
      <c r="E363" t="s">
        <v>178</v>
      </c>
      <c r="F363" t="s">
        <v>288</v>
      </c>
      <c r="G363" t="s">
        <v>287</v>
      </c>
      <c r="H363">
        <v>2</v>
      </c>
      <c r="I363" t="s">
        <v>594</v>
      </c>
      <c r="J363" s="39">
        <v>46147.717523148203</v>
      </c>
      <c r="K363" s="39">
        <v>46148</v>
      </c>
      <c r="L363" t="str">
        <f t="shared" si="15"/>
        <v>2026-05</v>
      </c>
      <c r="M363" t="s">
        <v>595</v>
      </c>
      <c r="N363">
        <v>0</v>
      </c>
      <c r="O363">
        <v>16.27</v>
      </c>
      <c r="P363">
        <v>1</v>
      </c>
      <c r="Q363">
        <v>1</v>
      </c>
      <c r="R363">
        <v>1</v>
      </c>
      <c r="S363" t="s">
        <v>94</v>
      </c>
      <c r="T363">
        <v>2</v>
      </c>
      <c r="U363">
        <v>1</v>
      </c>
      <c r="V363">
        <f t="shared" si="16"/>
        <v>1</v>
      </c>
      <c r="W363" t="str">
        <f t="shared" si="17"/>
        <v>Met</v>
      </c>
    </row>
    <row r="364" spans="1:23" x14ac:dyDescent="0.2">
      <c r="A364">
        <v>7528303495</v>
      </c>
      <c r="B364">
        <v>494</v>
      </c>
      <c r="C364" t="s">
        <v>118</v>
      </c>
      <c r="D364" t="s">
        <v>119</v>
      </c>
      <c r="E364" t="s">
        <v>111</v>
      </c>
      <c r="F364" t="s">
        <v>274</v>
      </c>
      <c r="G364" t="s">
        <v>273</v>
      </c>
      <c r="H364">
        <v>1</v>
      </c>
      <c r="I364" t="s">
        <v>594</v>
      </c>
      <c r="J364" s="39">
        <v>45940.425162036998</v>
      </c>
      <c r="K364" s="39">
        <v>45942</v>
      </c>
      <c r="L364" t="str">
        <f t="shared" si="15"/>
        <v>2025-10</v>
      </c>
      <c r="M364" t="s">
        <v>595</v>
      </c>
      <c r="N364">
        <v>12</v>
      </c>
      <c r="O364">
        <v>46.43</v>
      </c>
      <c r="P364">
        <v>0</v>
      </c>
      <c r="Q364">
        <v>0</v>
      </c>
      <c r="R364">
        <v>0</v>
      </c>
      <c r="S364" t="s">
        <v>95</v>
      </c>
      <c r="T364">
        <v>0</v>
      </c>
      <c r="V364" t="str">
        <f t="shared" si="16"/>
        <v/>
      </c>
      <c r="W364" t="str">
        <f t="shared" si="17"/>
        <v>Not Eligible</v>
      </c>
    </row>
    <row r="365" spans="1:23" x14ac:dyDescent="0.2">
      <c r="A365">
        <v>7615202919</v>
      </c>
      <c r="B365">
        <v>522</v>
      </c>
      <c r="C365" t="s">
        <v>132</v>
      </c>
      <c r="D365" t="s">
        <v>133</v>
      </c>
      <c r="E365" t="s">
        <v>134</v>
      </c>
      <c r="F365" t="s">
        <v>264</v>
      </c>
      <c r="G365" t="s">
        <v>263</v>
      </c>
      <c r="H365">
        <v>2</v>
      </c>
      <c r="I365" t="s">
        <v>596</v>
      </c>
      <c r="J365" s="39">
        <v>46174.5487615741</v>
      </c>
      <c r="K365" s="39">
        <v>46180</v>
      </c>
      <c r="L365" t="str">
        <f t="shared" si="15"/>
        <v>2026-06</v>
      </c>
      <c r="M365" t="s">
        <v>595</v>
      </c>
      <c r="N365">
        <v>16</v>
      </c>
      <c r="O365">
        <v>143.47999999999999</v>
      </c>
      <c r="P365">
        <v>0</v>
      </c>
      <c r="Q365">
        <v>0</v>
      </c>
      <c r="R365">
        <v>1</v>
      </c>
      <c r="S365" t="s">
        <v>94</v>
      </c>
      <c r="T365">
        <v>1</v>
      </c>
      <c r="V365">
        <f t="shared" si="16"/>
        <v>0</v>
      </c>
      <c r="W365" t="str">
        <f t="shared" si="17"/>
        <v>Missed</v>
      </c>
    </row>
    <row r="366" spans="1:23" x14ac:dyDescent="0.2">
      <c r="A366">
        <v>7606400580</v>
      </c>
      <c r="B366">
        <v>494</v>
      </c>
      <c r="C366" t="s">
        <v>118</v>
      </c>
      <c r="D366" t="s">
        <v>119</v>
      </c>
      <c r="E366" t="s">
        <v>111</v>
      </c>
      <c r="F366" t="s">
        <v>258</v>
      </c>
      <c r="G366" t="s">
        <v>257</v>
      </c>
      <c r="H366">
        <v>2</v>
      </c>
      <c r="I366" t="s">
        <v>596</v>
      </c>
      <c r="J366" s="39">
        <v>46086.749745370398</v>
      </c>
      <c r="K366" s="39">
        <v>46087</v>
      </c>
      <c r="L366" t="str">
        <f t="shared" si="15"/>
        <v>2026-03</v>
      </c>
      <c r="M366" t="s">
        <v>595</v>
      </c>
      <c r="N366">
        <v>0</v>
      </c>
      <c r="O366">
        <v>22.03</v>
      </c>
      <c r="P366">
        <v>1</v>
      </c>
      <c r="Q366">
        <v>1</v>
      </c>
      <c r="R366">
        <v>1</v>
      </c>
      <c r="S366" t="s">
        <v>94</v>
      </c>
      <c r="T366">
        <v>2</v>
      </c>
      <c r="U366">
        <v>1</v>
      </c>
      <c r="V366">
        <f t="shared" si="16"/>
        <v>1</v>
      </c>
      <c r="W366" t="str">
        <f t="shared" si="17"/>
        <v>Met</v>
      </c>
    </row>
    <row r="367" spans="1:23" x14ac:dyDescent="0.2">
      <c r="A367">
        <v>7536514402</v>
      </c>
      <c r="B367">
        <v>537</v>
      </c>
      <c r="C367" t="s">
        <v>156</v>
      </c>
      <c r="D367" t="s">
        <v>157</v>
      </c>
      <c r="E367" t="s">
        <v>134</v>
      </c>
      <c r="F367" t="s">
        <v>355</v>
      </c>
      <c r="G367" t="s">
        <v>354</v>
      </c>
      <c r="H367">
        <v>2</v>
      </c>
      <c r="I367" t="s">
        <v>596</v>
      </c>
      <c r="J367" s="39">
        <v>46022.490868055596</v>
      </c>
      <c r="K367" s="39">
        <v>46022</v>
      </c>
      <c r="L367" t="str">
        <f t="shared" si="15"/>
        <v>2025-12</v>
      </c>
      <c r="M367" t="s">
        <v>595</v>
      </c>
      <c r="N367">
        <v>16</v>
      </c>
      <c r="O367">
        <v>3.7</v>
      </c>
      <c r="P367">
        <v>1</v>
      </c>
      <c r="Q367">
        <v>1</v>
      </c>
      <c r="R367">
        <v>1</v>
      </c>
      <c r="S367" t="s">
        <v>95</v>
      </c>
      <c r="T367">
        <v>0</v>
      </c>
      <c r="V367">
        <f t="shared" si="16"/>
        <v>1</v>
      </c>
      <c r="W367" t="str">
        <f t="shared" si="17"/>
        <v>Met</v>
      </c>
    </row>
    <row r="368" spans="1:23" x14ac:dyDescent="0.2">
      <c r="A368">
        <v>7535709966</v>
      </c>
      <c r="B368">
        <v>535</v>
      </c>
      <c r="C368" t="s">
        <v>153</v>
      </c>
      <c r="D368" t="s">
        <v>154</v>
      </c>
      <c r="E368" t="s">
        <v>134</v>
      </c>
      <c r="F368" t="s">
        <v>296</v>
      </c>
      <c r="G368" t="s">
        <v>295</v>
      </c>
      <c r="H368">
        <v>2</v>
      </c>
      <c r="I368" t="s">
        <v>596</v>
      </c>
      <c r="J368" s="39">
        <v>46014.6729513889</v>
      </c>
      <c r="K368" s="39">
        <v>46015</v>
      </c>
      <c r="L368" t="str">
        <f t="shared" si="15"/>
        <v>2025-12</v>
      </c>
      <c r="M368" t="s">
        <v>595</v>
      </c>
      <c r="N368">
        <v>16</v>
      </c>
      <c r="O368">
        <v>24.22</v>
      </c>
      <c r="P368">
        <v>1</v>
      </c>
      <c r="Q368">
        <v>1</v>
      </c>
      <c r="R368">
        <v>1</v>
      </c>
      <c r="S368" t="s">
        <v>95</v>
      </c>
      <c r="T368">
        <v>0</v>
      </c>
      <c r="V368">
        <f t="shared" si="16"/>
        <v>1</v>
      </c>
      <c r="W368" t="str">
        <f t="shared" si="17"/>
        <v>Met</v>
      </c>
    </row>
    <row r="369" spans="1:23" x14ac:dyDescent="0.2">
      <c r="A369">
        <v>7611701344</v>
      </c>
      <c r="B369">
        <v>634</v>
      </c>
      <c r="C369" t="s">
        <v>186</v>
      </c>
      <c r="D369" t="s">
        <v>187</v>
      </c>
      <c r="E369" t="s">
        <v>181</v>
      </c>
      <c r="F369" t="s">
        <v>351</v>
      </c>
      <c r="G369" t="s">
        <v>350</v>
      </c>
      <c r="H369">
        <v>2</v>
      </c>
      <c r="I369" t="s">
        <v>596</v>
      </c>
      <c r="J369" s="39">
        <v>46138.846817129597</v>
      </c>
      <c r="K369" s="39">
        <v>46139</v>
      </c>
      <c r="L369" t="str">
        <f t="shared" si="15"/>
        <v>2026-04</v>
      </c>
      <c r="M369" t="s">
        <v>595</v>
      </c>
      <c r="N369">
        <v>0</v>
      </c>
      <c r="O369">
        <v>13.05</v>
      </c>
      <c r="P369">
        <v>1</v>
      </c>
      <c r="Q369">
        <v>1</v>
      </c>
      <c r="R369">
        <v>1</v>
      </c>
      <c r="S369" t="s">
        <v>94</v>
      </c>
      <c r="T369">
        <v>2</v>
      </c>
      <c r="U369">
        <v>1</v>
      </c>
      <c r="V369">
        <f t="shared" si="16"/>
        <v>1</v>
      </c>
      <c r="W369" t="str">
        <f t="shared" si="17"/>
        <v>Met</v>
      </c>
    </row>
    <row r="370" spans="1:23" x14ac:dyDescent="0.2">
      <c r="A370">
        <v>7620705491</v>
      </c>
      <c r="B370">
        <v>496</v>
      </c>
      <c r="C370" t="s">
        <v>122</v>
      </c>
      <c r="D370" t="s">
        <v>123</v>
      </c>
      <c r="E370" t="s">
        <v>124</v>
      </c>
      <c r="F370" t="s">
        <v>402</v>
      </c>
      <c r="G370" t="s">
        <v>401</v>
      </c>
      <c r="H370">
        <v>2</v>
      </c>
      <c r="I370" t="s">
        <v>596</v>
      </c>
      <c r="J370" s="39">
        <v>46229.510740740698</v>
      </c>
      <c r="K370" s="39">
        <v>46230</v>
      </c>
      <c r="L370" t="str">
        <f t="shared" si="15"/>
        <v>2026-07</v>
      </c>
      <c r="M370" t="s">
        <v>595</v>
      </c>
      <c r="N370">
        <v>16</v>
      </c>
      <c r="O370">
        <v>21.8</v>
      </c>
      <c r="P370">
        <v>1</v>
      </c>
      <c r="Q370">
        <v>1</v>
      </c>
      <c r="R370">
        <v>1</v>
      </c>
      <c r="S370" t="s">
        <v>94</v>
      </c>
      <c r="T370">
        <v>2</v>
      </c>
      <c r="U370">
        <v>1</v>
      </c>
      <c r="V370">
        <f t="shared" si="16"/>
        <v>1</v>
      </c>
      <c r="W370" t="str">
        <f t="shared" si="17"/>
        <v>Met</v>
      </c>
    </row>
    <row r="371" spans="1:23" x14ac:dyDescent="0.2">
      <c r="A371">
        <v>7528911469</v>
      </c>
      <c r="B371">
        <v>634</v>
      </c>
      <c r="C371" t="s">
        <v>186</v>
      </c>
      <c r="D371" t="s">
        <v>187</v>
      </c>
      <c r="E371" t="s">
        <v>181</v>
      </c>
      <c r="F371" t="s">
        <v>351</v>
      </c>
      <c r="G371" t="s">
        <v>350</v>
      </c>
      <c r="H371">
        <v>2</v>
      </c>
      <c r="I371" t="s">
        <v>594</v>
      </c>
      <c r="J371" s="39">
        <v>45946.3671412037</v>
      </c>
      <c r="K371" s="39">
        <v>45950</v>
      </c>
      <c r="L371" t="str">
        <f t="shared" si="15"/>
        <v>2025-10</v>
      </c>
      <c r="M371" t="s">
        <v>595</v>
      </c>
      <c r="N371">
        <v>16</v>
      </c>
      <c r="O371">
        <v>97.4</v>
      </c>
      <c r="P371">
        <v>0</v>
      </c>
      <c r="Q371">
        <v>0</v>
      </c>
      <c r="R371">
        <v>0</v>
      </c>
      <c r="S371" t="s">
        <v>95</v>
      </c>
      <c r="T371">
        <v>0</v>
      </c>
      <c r="V371" t="str">
        <f t="shared" si="16"/>
        <v/>
      </c>
      <c r="W371" t="str">
        <f t="shared" si="17"/>
        <v>Not Eligible</v>
      </c>
    </row>
    <row r="372" spans="1:23" x14ac:dyDescent="0.2">
      <c r="A372">
        <v>7601002834</v>
      </c>
      <c r="B372">
        <v>448</v>
      </c>
      <c r="C372" t="s">
        <v>109</v>
      </c>
      <c r="D372" t="s">
        <v>110</v>
      </c>
      <c r="E372" t="s">
        <v>111</v>
      </c>
      <c r="F372" t="s">
        <v>258</v>
      </c>
      <c r="G372" t="s">
        <v>257</v>
      </c>
      <c r="H372">
        <v>2</v>
      </c>
      <c r="I372" t="s">
        <v>594</v>
      </c>
      <c r="J372" s="39">
        <v>46032.524548611102</v>
      </c>
      <c r="K372" s="39">
        <v>46032</v>
      </c>
      <c r="L372" t="str">
        <f t="shared" si="15"/>
        <v>2026-01</v>
      </c>
      <c r="M372" t="s">
        <v>595</v>
      </c>
      <c r="N372">
        <v>16</v>
      </c>
      <c r="O372">
        <v>4.12</v>
      </c>
      <c r="P372">
        <v>0</v>
      </c>
      <c r="Q372">
        <v>0</v>
      </c>
      <c r="R372">
        <v>0</v>
      </c>
      <c r="S372" t="s">
        <v>94</v>
      </c>
      <c r="T372">
        <v>2</v>
      </c>
      <c r="U372">
        <v>1</v>
      </c>
      <c r="V372" t="str">
        <f t="shared" si="16"/>
        <v/>
      </c>
      <c r="W372" t="str">
        <f t="shared" si="17"/>
        <v>Not Eligible</v>
      </c>
    </row>
    <row r="373" spans="1:23" x14ac:dyDescent="0.2">
      <c r="A373">
        <v>7533600080</v>
      </c>
      <c r="B373">
        <v>563</v>
      </c>
      <c r="C373" t="s">
        <v>174</v>
      </c>
      <c r="D373" t="s">
        <v>175</v>
      </c>
      <c r="E373" t="s">
        <v>159</v>
      </c>
      <c r="F373" t="s">
        <v>378</v>
      </c>
      <c r="G373" t="s">
        <v>377</v>
      </c>
      <c r="H373">
        <v>1</v>
      </c>
      <c r="I373" t="s">
        <v>596</v>
      </c>
      <c r="J373" s="39">
        <v>45993.551805555602</v>
      </c>
      <c r="K373" s="39">
        <v>45993</v>
      </c>
      <c r="L373" t="str">
        <f t="shared" si="15"/>
        <v>2025-12</v>
      </c>
      <c r="M373" t="s">
        <v>595</v>
      </c>
      <c r="N373">
        <v>12</v>
      </c>
      <c r="O373">
        <v>0.92</v>
      </c>
      <c r="P373">
        <v>1</v>
      </c>
      <c r="Q373">
        <v>1</v>
      </c>
      <c r="R373">
        <v>1</v>
      </c>
      <c r="S373" t="s">
        <v>95</v>
      </c>
      <c r="T373">
        <v>0</v>
      </c>
      <c r="V373">
        <f t="shared" si="16"/>
        <v>1</v>
      </c>
      <c r="W373" t="str">
        <f t="shared" si="17"/>
        <v>Met</v>
      </c>
    </row>
    <row r="374" spans="1:23" x14ac:dyDescent="0.2">
      <c r="A374">
        <v>7612805447</v>
      </c>
      <c r="B374">
        <v>642</v>
      </c>
      <c r="C374" t="s">
        <v>199</v>
      </c>
      <c r="D374" t="s">
        <v>200</v>
      </c>
      <c r="E374" t="s">
        <v>178</v>
      </c>
      <c r="F374" t="s">
        <v>268</v>
      </c>
      <c r="G374" t="s">
        <v>267</v>
      </c>
      <c r="H374">
        <v>2</v>
      </c>
      <c r="I374" t="s">
        <v>596</v>
      </c>
      <c r="J374" s="39">
        <v>46150.735520833303</v>
      </c>
      <c r="K374" s="39">
        <v>46151</v>
      </c>
      <c r="L374" t="str">
        <f t="shared" si="15"/>
        <v>2026-05</v>
      </c>
      <c r="M374" t="s">
        <v>595</v>
      </c>
      <c r="N374">
        <v>0</v>
      </c>
      <c r="O374">
        <v>14.55</v>
      </c>
      <c r="P374">
        <v>1</v>
      </c>
      <c r="Q374">
        <v>1</v>
      </c>
      <c r="R374">
        <v>1</v>
      </c>
      <c r="S374" t="s">
        <v>94</v>
      </c>
      <c r="T374">
        <v>2</v>
      </c>
      <c r="U374">
        <v>1</v>
      </c>
      <c r="V374">
        <f t="shared" si="16"/>
        <v>1</v>
      </c>
      <c r="W374" t="str">
        <f t="shared" si="17"/>
        <v>Met</v>
      </c>
    </row>
    <row r="375" spans="1:23" x14ac:dyDescent="0.2">
      <c r="A375">
        <v>7600504706</v>
      </c>
      <c r="B375">
        <v>928</v>
      </c>
      <c r="C375" t="s">
        <v>238</v>
      </c>
      <c r="D375" t="s">
        <v>239</v>
      </c>
      <c r="E375" t="s">
        <v>226</v>
      </c>
      <c r="F375" t="s">
        <v>266</v>
      </c>
      <c r="G375" t="s">
        <v>265</v>
      </c>
      <c r="H375">
        <v>2</v>
      </c>
      <c r="I375" t="s">
        <v>596</v>
      </c>
      <c r="J375" s="39">
        <v>46027.389398148203</v>
      </c>
      <c r="K375" s="39">
        <v>46027</v>
      </c>
      <c r="L375" t="str">
        <f t="shared" si="15"/>
        <v>2026-01</v>
      </c>
      <c r="M375" t="s">
        <v>595</v>
      </c>
      <c r="N375">
        <v>16</v>
      </c>
      <c r="O375">
        <v>2.8</v>
      </c>
      <c r="P375">
        <v>1</v>
      </c>
      <c r="Q375">
        <v>1</v>
      </c>
      <c r="R375">
        <v>1</v>
      </c>
      <c r="S375" t="s">
        <v>94</v>
      </c>
      <c r="T375">
        <v>2</v>
      </c>
      <c r="U375">
        <v>1</v>
      </c>
      <c r="V375">
        <f t="shared" si="16"/>
        <v>1</v>
      </c>
      <c r="W375" t="str">
        <f t="shared" si="17"/>
        <v>Met</v>
      </c>
    </row>
    <row r="376" spans="1:23" x14ac:dyDescent="0.2">
      <c r="A376">
        <v>7604308147</v>
      </c>
      <c r="B376">
        <v>561</v>
      </c>
      <c r="C376" t="s">
        <v>170</v>
      </c>
      <c r="D376" t="s">
        <v>171</v>
      </c>
      <c r="E376" t="s">
        <v>159</v>
      </c>
      <c r="F376" t="s">
        <v>304</v>
      </c>
      <c r="G376" t="s">
        <v>303</v>
      </c>
      <c r="H376">
        <v>2</v>
      </c>
      <c r="I376" t="s">
        <v>596</v>
      </c>
      <c r="J376" s="39">
        <v>46065.609895833302</v>
      </c>
      <c r="K376" s="39">
        <v>46065</v>
      </c>
      <c r="L376" t="str">
        <f t="shared" si="15"/>
        <v>2026-02</v>
      </c>
      <c r="M376" t="s">
        <v>595</v>
      </c>
      <c r="N376">
        <v>0</v>
      </c>
      <c r="O376">
        <v>1.6</v>
      </c>
      <c r="P376">
        <v>1</v>
      </c>
      <c r="Q376">
        <v>1</v>
      </c>
      <c r="R376">
        <v>1</v>
      </c>
      <c r="S376" t="s">
        <v>94</v>
      </c>
      <c r="T376">
        <v>2</v>
      </c>
      <c r="U376">
        <v>1</v>
      </c>
      <c r="V376">
        <f t="shared" si="16"/>
        <v>1</v>
      </c>
      <c r="W376" t="str">
        <f t="shared" si="17"/>
        <v>Met</v>
      </c>
    </row>
    <row r="377" spans="1:23" x14ac:dyDescent="0.2">
      <c r="A377">
        <v>7524614544</v>
      </c>
      <c r="B377">
        <v>544</v>
      </c>
      <c r="C377" t="s">
        <v>164</v>
      </c>
      <c r="D377" t="s">
        <v>165</v>
      </c>
      <c r="E377" t="s">
        <v>159</v>
      </c>
      <c r="F377" t="s">
        <v>286</v>
      </c>
      <c r="G377" t="s">
        <v>285</v>
      </c>
      <c r="H377">
        <v>1</v>
      </c>
      <c r="I377" t="s">
        <v>596</v>
      </c>
      <c r="J377" s="39">
        <v>45903.4366898148</v>
      </c>
      <c r="K377" s="39">
        <v>45903</v>
      </c>
      <c r="L377" t="str">
        <f t="shared" si="15"/>
        <v>2025-09</v>
      </c>
      <c r="M377" t="s">
        <v>595</v>
      </c>
      <c r="N377">
        <v>12</v>
      </c>
      <c r="O377">
        <v>3.37</v>
      </c>
      <c r="P377">
        <v>1</v>
      </c>
      <c r="Q377">
        <v>1</v>
      </c>
      <c r="R377">
        <v>1</v>
      </c>
      <c r="S377" t="s">
        <v>95</v>
      </c>
      <c r="T377">
        <v>0</v>
      </c>
      <c r="V377">
        <f t="shared" si="16"/>
        <v>1</v>
      </c>
      <c r="W377" t="str">
        <f t="shared" si="17"/>
        <v>Met</v>
      </c>
    </row>
    <row r="378" spans="1:23" x14ac:dyDescent="0.2">
      <c r="A378">
        <v>7527202432</v>
      </c>
      <c r="B378">
        <v>634</v>
      </c>
      <c r="C378" t="s">
        <v>186</v>
      </c>
      <c r="D378" t="s">
        <v>187</v>
      </c>
      <c r="E378" t="s">
        <v>181</v>
      </c>
      <c r="F378" t="s">
        <v>256</v>
      </c>
      <c r="G378" t="s">
        <v>255</v>
      </c>
      <c r="H378">
        <v>2</v>
      </c>
      <c r="I378" t="s">
        <v>596</v>
      </c>
      <c r="J378" s="39">
        <v>45929.285057870402</v>
      </c>
      <c r="K378" s="39">
        <v>45929</v>
      </c>
      <c r="L378" t="str">
        <f t="shared" si="15"/>
        <v>2025-09</v>
      </c>
      <c r="M378" t="s">
        <v>595</v>
      </c>
      <c r="N378">
        <v>16</v>
      </c>
      <c r="O378">
        <v>6.07</v>
      </c>
      <c r="P378">
        <v>1</v>
      </c>
      <c r="Q378">
        <v>1</v>
      </c>
      <c r="R378">
        <v>1</v>
      </c>
      <c r="S378" t="s">
        <v>95</v>
      </c>
      <c r="T378">
        <v>0</v>
      </c>
      <c r="V378">
        <f t="shared" si="16"/>
        <v>1</v>
      </c>
      <c r="W378" t="str">
        <f t="shared" si="17"/>
        <v>Met</v>
      </c>
    </row>
    <row r="379" spans="1:23" x14ac:dyDescent="0.2">
      <c r="A379">
        <v>7604105200</v>
      </c>
      <c r="B379">
        <v>701</v>
      </c>
      <c r="C379" t="s">
        <v>213</v>
      </c>
      <c r="D379" t="s">
        <v>214</v>
      </c>
      <c r="E379" t="s">
        <v>215</v>
      </c>
      <c r="F379" t="s">
        <v>392</v>
      </c>
      <c r="G379" t="s">
        <v>391</v>
      </c>
      <c r="H379">
        <v>2</v>
      </c>
      <c r="I379" t="s">
        <v>594</v>
      </c>
      <c r="J379" s="39">
        <v>46063.401331018496</v>
      </c>
      <c r="K379" s="39">
        <v>46063</v>
      </c>
      <c r="L379" t="str">
        <f t="shared" si="15"/>
        <v>2026-02</v>
      </c>
      <c r="M379" t="s">
        <v>595</v>
      </c>
      <c r="N379">
        <v>0</v>
      </c>
      <c r="O379">
        <v>2.1</v>
      </c>
      <c r="P379">
        <v>1</v>
      </c>
      <c r="Q379">
        <v>1</v>
      </c>
      <c r="R379">
        <v>1</v>
      </c>
      <c r="S379" t="s">
        <v>94</v>
      </c>
      <c r="T379">
        <v>2</v>
      </c>
      <c r="U379">
        <v>1</v>
      </c>
      <c r="V379">
        <f t="shared" si="16"/>
        <v>1</v>
      </c>
      <c r="W379" t="str">
        <f t="shared" si="17"/>
        <v>Met</v>
      </c>
    </row>
    <row r="380" spans="1:23" x14ac:dyDescent="0.2">
      <c r="A380">
        <v>7534603459</v>
      </c>
      <c r="B380">
        <v>645</v>
      </c>
      <c r="C380" t="s">
        <v>205</v>
      </c>
      <c r="D380" t="s">
        <v>206</v>
      </c>
      <c r="E380" t="s">
        <v>178</v>
      </c>
      <c r="F380" t="s">
        <v>349</v>
      </c>
      <c r="G380" t="s">
        <v>348</v>
      </c>
      <c r="H380">
        <v>2</v>
      </c>
      <c r="I380" t="s">
        <v>596</v>
      </c>
      <c r="J380" s="39">
        <v>46003.386979166702</v>
      </c>
      <c r="K380" s="39">
        <v>46003</v>
      </c>
      <c r="L380" t="str">
        <f t="shared" si="15"/>
        <v>2025-12</v>
      </c>
      <c r="M380" t="s">
        <v>595</v>
      </c>
      <c r="N380">
        <v>16</v>
      </c>
      <c r="O380">
        <v>4</v>
      </c>
      <c r="P380">
        <v>1</v>
      </c>
      <c r="Q380">
        <v>1</v>
      </c>
      <c r="R380">
        <v>1</v>
      </c>
      <c r="S380" t="s">
        <v>95</v>
      </c>
      <c r="T380">
        <v>0</v>
      </c>
      <c r="V380">
        <f t="shared" si="16"/>
        <v>1</v>
      </c>
      <c r="W380" t="str">
        <f t="shared" si="17"/>
        <v>Met</v>
      </c>
    </row>
    <row r="381" spans="1:23" x14ac:dyDescent="0.2">
      <c r="A381">
        <v>7606304835</v>
      </c>
      <c r="B381">
        <v>562</v>
      </c>
      <c r="C381" t="s">
        <v>172</v>
      </c>
      <c r="D381" t="s">
        <v>173</v>
      </c>
      <c r="E381" t="s">
        <v>159</v>
      </c>
      <c r="F381" t="s">
        <v>400</v>
      </c>
      <c r="G381" t="s">
        <v>399</v>
      </c>
      <c r="H381">
        <v>2</v>
      </c>
      <c r="I381" t="s">
        <v>596</v>
      </c>
      <c r="J381" s="39">
        <v>46085.636365740698</v>
      </c>
      <c r="K381" s="39">
        <v>46086</v>
      </c>
      <c r="L381" t="str">
        <f t="shared" si="15"/>
        <v>2026-03</v>
      </c>
      <c r="M381" t="s">
        <v>595</v>
      </c>
      <c r="N381">
        <v>0</v>
      </c>
      <c r="O381">
        <v>20.5</v>
      </c>
      <c r="P381">
        <v>1</v>
      </c>
      <c r="Q381">
        <v>1</v>
      </c>
      <c r="R381">
        <v>1</v>
      </c>
      <c r="S381" t="s">
        <v>94</v>
      </c>
      <c r="T381">
        <v>2</v>
      </c>
      <c r="U381">
        <v>1</v>
      </c>
      <c r="V381">
        <f t="shared" si="16"/>
        <v>1</v>
      </c>
      <c r="W381" t="str">
        <f t="shared" si="17"/>
        <v>Met</v>
      </c>
    </row>
    <row r="382" spans="1:23" x14ac:dyDescent="0.2">
      <c r="A382">
        <v>7618401850</v>
      </c>
      <c r="B382">
        <v>546</v>
      </c>
      <c r="C382" t="s">
        <v>168</v>
      </c>
      <c r="D382" t="s">
        <v>169</v>
      </c>
      <c r="E382" t="s">
        <v>159</v>
      </c>
      <c r="F382" t="s">
        <v>254</v>
      </c>
      <c r="G382" t="s">
        <v>359</v>
      </c>
      <c r="H382">
        <v>2</v>
      </c>
      <c r="I382" t="s">
        <v>594</v>
      </c>
      <c r="J382" s="39">
        <v>46206.3746412037</v>
      </c>
      <c r="K382" s="39">
        <v>46206</v>
      </c>
      <c r="L382" t="str">
        <f t="shared" si="15"/>
        <v>2026-07</v>
      </c>
      <c r="M382" t="s">
        <v>595</v>
      </c>
      <c r="N382">
        <v>16</v>
      </c>
      <c r="O382">
        <v>1.35</v>
      </c>
      <c r="P382">
        <v>0</v>
      </c>
      <c r="Q382">
        <v>0</v>
      </c>
      <c r="R382">
        <v>0</v>
      </c>
      <c r="S382" t="s">
        <v>94</v>
      </c>
      <c r="T382">
        <v>2</v>
      </c>
      <c r="U382">
        <v>1</v>
      </c>
      <c r="V382" t="str">
        <f t="shared" si="16"/>
        <v/>
      </c>
      <c r="W382" t="str">
        <f t="shared" si="17"/>
        <v>Not Eligible</v>
      </c>
    </row>
    <row r="383" spans="1:23" x14ac:dyDescent="0.2">
      <c r="A383">
        <v>7613303448</v>
      </c>
      <c r="B383">
        <v>644</v>
      </c>
      <c r="C383" t="s">
        <v>203</v>
      </c>
      <c r="D383" t="s">
        <v>204</v>
      </c>
      <c r="E383" t="s">
        <v>178</v>
      </c>
      <c r="F383" t="s">
        <v>499</v>
      </c>
      <c r="G383" t="s">
        <v>498</v>
      </c>
      <c r="H383">
        <v>2</v>
      </c>
      <c r="I383" t="s">
        <v>596</v>
      </c>
      <c r="J383" s="39">
        <v>46155.503576388903</v>
      </c>
      <c r="K383" s="39">
        <v>46155</v>
      </c>
      <c r="L383" t="str">
        <f t="shared" si="15"/>
        <v>2026-05</v>
      </c>
      <c r="M383" t="s">
        <v>595</v>
      </c>
      <c r="N383">
        <v>0</v>
      </c>
      <c r="O383">
        <v>3.83</v>
      </c>
      <c r="P383">
        <v>1</v>
      </c>
      <c r="Q383">
        <v>1</v>
      </c>
      <c r="R383">
        <v>1</v>
      </c>
      <c r="S383" t="s">
        <v>94</v>
      </c>
      <c r="T383">
        <v>2</v>
      </c>
      <c r="U383">
        <v>1</v>
      </c>
      <c r="V383">
        <f t="shared" si="16"/>
        <v>1</v>
      </c>
      <c r="W383" t="str">
        <f t="shared" si="17"/>
        <v>Met</v>
      </c>
    </row>
    <row r="384" spans="1:23" x14ac:dyDescent="0.2">
      <c r="A384">
        <v>7525503140</v>
      </c>
      <c r="B384">
        <v>544</v>
      </c>
      <c r="C384" t="s">
        <v>164</v>
      </c>
      <c r="D384" t="s">
        <v>165</v>
      </c>
      <c r="E384" t="s">
        <v>159</v>
      </c>
      <c r="F384" t="s">
        <v>254</v>
      </c>
      <c r="G384" t="s">
        <v>253</v>
      </c>
      <c r="H384">
        <v>1</v>
      </c>
      <c r="I384" t="s">
        <v>596</v>
      </c>
      <c r="J384" s="39">
        <v>45912.304988425902</v>
      </c>
      <c r="K384" s="39">
        <v>45912</v>
      </c>
      <c r="L384" t="str">
        <f t="shared" si="15"/>
        <v>2025-09</v>
      </c>
      <c r="M384" t="s">
        <v>595</v>
      </c>
      <c r="N384">
        <v>12</v>
      </c>
      <c r="O384">
        <v>6.97</v>
      </c>
      <c r="P384">
        <v>1</v>
      </c>
      <c r="Q384">
        <v>1</v>
      </c>
      <c r="R384">
        <v>1</v>
      </c>
      <c r="S384" t="s">
        <v>95</v>
      </c>
      <c r="T384">
        <v>0</v>
      </c>
      <c r="V384">
        <f t="shared" si="16"/>
        <v>1</v>
      </c>
      <c r="W384" t="str">
        <f t="shared" si="17"/>
        <v>Met</v>
      </c>
    </row>
    <row r="385" spans="1:23" x14ac:dyDescent="0.2">
      <c r="A385">
        <v>7530704976</v>
      </c>
      <c r="B385">
        <v>491</v>
      </c>
      <c r="C385" t="s">
        <v>112</v>
      </c>
      <c r="D385" t="s">
        <v>113</v>
      </c>
      <c r="E385" t="s">
        <v>111</v>
      </c>
      <c r="F385" t="s">
        <v>274</v>
      </c>
      <c r="G385" t="s">
        <v>273</v>
      </c>
      <c r="H385">
        <v>2</v>
      </c>
      <c r="I385" t="s">
        <v>594</v>
      </c>
      <c r="J385" s="39">
        <v>45964.372488425899</v>
      </c>
      <c r="K385" s="39">
        <v>45964</v>
      </c>
      <c r="L385" t="str">
        <f t="shared" si="15"/>
        <v>2025-11</v>
      </c>
      <c r="M385" t="s">
        <v>595</v>
      </c>
      <c r="N385">
        <v>16</v>
      </c>
      <c r="O385">
        <v>3.95</v>
      </c>
      <c r="P385">
        <v>0</v>
      </c>
      <c r="Q385">
        <v>0</v>
      </c>
      <c r="R385">
        <v>0</v>
      </c>
      <c r="S385" t="s">
        <v>95</v>
      </c>
      <c r="T385">
        <v>0</v>
      </c>
      <c r="V385" t="str">
        <f t="shared" si="16"/>
        <v/>
      </c>
      <c r="W385" t="str">
        <f t="shared" si="17"/>
        <v>Not Eligible</v>
      </c>
    </row>
    <row r="386" spans="1:23" x14ac:dyDescent="0.2">
      <c r="A386">
        <v>7609800373</v>
      </c>
      <c r="B386">
        <v>929</v>
      </c>
      <c r="C386" t="s">
        <v>240</v>
      </c>
      <c r="D386" t="s">
        <v>241</v>
      </c>
      <c r="E386" t="s">
        <v>226</v>
      </c>
      <c r="F386" t="s">
        <v>288</v>
      </c>
      <c r="G386" t="s">
        <v>287</v>
      </c>
      <c r="H386">
        <v>2</v>
      </c>
      <c r="I386" t="s">
        <v>599</v>
      </c>
      <c r="J386" s="39">
        <v>46120.7198726852</v>
      </c>
      <c r="K386" s="39">
        <v>46121</v>
      </c>
      <c r="L386" t="str">
        <f t="shared" ref="L386:L449" si="18">IF(K386="","",TEXT(K386,"YYYY-MM"))</f>
        <v>2026-04</v>
      </c>
      <c r="M386" t="s">
        <v>595</v>
      </c>
      <c r="N386">
        <v>0</v>
      </c>
      <c r="O386">
        <v>20.25</v>
      </c>
      <c r="P386">
        <v>1</v>
      </c>
      <c r="Q386">
        <v>1</v>
      </c>
      <c r="R386">
        <v>1</v>
      </c>
      <c r="S386" t="s">
        <v>94</v>
      </c>
      <c r="T386">
        <v>1</v>
      </c>
      <c r="V386">
        <f t="shared" ref="V386:V449" si="19">IF(R386=0,"",IF(U386&lt;&gt;"",U386,Q386))</f>
        <v>1</v>
      </c>
      <c r="W386" t="str">
        <f t="shared" ref="W386:W449" si="20">IF(R386=0,"Not Eligible",IF(V386=1,"Met","Missed"))</f>
        <v>Met</v>
      </c>
    </row>
    <row r="387" spans="1:23" x14ac:dyDescent="0.2">
      <c r="A387">
        <v>7610903625</v>
      </c>
      <c r="B387">
        <v>522</v>
      </c>
      <c r="C387" t="s">
        <v>132</v>
      </c>
      <c r="D387" t="s">
        <v>133</v>
      </c>
      <c r="E387" t="s">
        <v>134</v>
      </c>
      <c r="F387" t="s">
        <v>318</v>
      </c>
      <c r="G387" t="s">
        <v>317</v>
      </c>
      <c r="H387">
        <v>2</v>
      </c>
      <c r="I387" t="s">
        <v>596</v>
      </c>
      <c r="J387" s="39">
        <v>46131.711134259298</v>
      </c>
      <c r="K387" s="39">
        <v>46131</v>
      </c>
      <c r="L387" t="str">
        <f t="shared" si="18"/>
        <v>2026-04</v>
      </c>
      <c r="M387" t="s">
        <v>595</v>
      </c>
      <c r="N387">
        <v>0</v>
      </c>
      <c r="O387">
        <v>2.4500000000000002</v>
      </c>
      <c r="P387">
        <v>1</v>
      </c>
      <c r="Q387">
        <v>1</v>
      </c>
      <c r="R387">
        <v>1</v>
      </c>
      <c r="S387" t="s">
        <v>94</v>
      </c>
      <c r="T387">
        <v>2</v>
      </c>
      <c r="U387">
        <v>1</v>
      </c>
      <c r="V387">
        <f t="shared" si="19"/>
        <v>1</v>
      </c>
      <c r="W387" t="str">
        <f t="shared" si="20"/>
        <v>Met</v>
      </c>
    </row>
    <row r="388" spans="1:23" x14ac:dyDescent="0.2">
      <c r="A388">
        <v>7527901328</v>
      </c>
      <c r="B388">
        <v>492</v>
      </c>
      <c r="C388" t="s">
        <v>114</v>
      </c>
      <c r="D388" t="s">
        <v>115</v>
      </c>
      <c r="E388" t="s">
        <v>111</v>
      </c>
      <c r="F388" t="s">
        <v>262</v>
      </c>
      <c r="G388" t="s">
        <v>261</v>
      </c>
      <c r="H388">
        <v>2</v>
      </c>
      <c r="I388" t="s">
        <v>594</v>
      </c>
      <c r="J388" s="39">
        <v>45936.6781134259</v>
      </c>
      <c r="K388" s="39">
        <v>45936</v>
      </c>
      <c r="L388" t="str">
        <f t="shared" si="18"/>
        <v>2025-10</v>
      </c>
      <c r="M388" t="s">
        <v>595</v>
      </c>
      <c r="N388">
        <v>16</v>
      </c>
      <c r="O388">
        <v>4.4800000000000004</v>
      </c>
      <c r="P388">
        <v>0</v>
      </c>
      <c r="Q388">
        <v>0</v>
      </c>
      <c r="R388">
        <v>0</v>
      </c>
      <c r="S388" t="s">
        <v>95</v>
      </c>
      <c r="T388">
        <v>0</v>
      </c>
      <c r="V388" t="str">
        <f t="shared" si="19"/>
        <v/>
      </c>
      <c r="W388" t="str">
        <f t="shared" si="20"/>
        <v>Not Eligible</v>
      </c>
    </row>
    <row r="389" spans="1:23" x14ac:dyDescent="0.2">
      <c r="A389">
        <v>7530401007</v>
      </c>
      <c r="B389">
        <v>491</v>
      </c>
      <c r="C389" t="s">
        <v>112</v>
      </c>
      <c r="D389" t="s">
        <v>113</v>
      </c>
      <c r="E389" t="s">
        <v>111</v>
      </c>
      <c r="F389" t="s">
        <v>262</v>
      </c>
      <c r="G389" t="s">
        <v>261</v>
      </c>
      <c r="H389">
        <v>2</v>
      </c>
      <c r="I389" t="s">
        <v>594</v>
      </c>
      <c r="J389" s="39">
        <v>45961.585601851897</v>
      </c>
      <c r="K389" s="39">
        <v>45961</v>
      </c>
      <c r="L389" t="str">
        <f t="shared" si="18"/>
        <v>2025-10</v>
      </c>
      <c r="M389" t="s">
        <v>595</v>
      </c>
      <c r="N389">
        <v>16</v>
      </c>
      <c r="O389">
        <v>3.47</v>
      </c>
      <c r="P389">
        <v>0</v>
      </c>
      <c r="Q389">
        <v>0</v>
      </c>
      <c r="R389">
        <v>0</v>
      </c>
      <c r="S389" t="s">
        <v>95</v>
      </c>
      <c r="T389">
        <v>0</v>
      </c>
      <c r="V389" t="str">
        <f t="shared" si="19"/>
        <v/>
      </c>
      <c r="W389" t="str">
        <f t="shared" si="20"/>
        <v>Not Eligible</v>
      </c>
    </row>
    <row r="390" spans="1:23" x14ac:dyDescent="0.2">
      <c r="A390">
        <v>7525104194</v>
      </c>
      <c r="B390">
        <v>701</v>
      </c>
      <c r="C390" t="s">
        <v>213</v>
      </c>
      <c r="D390" t="s">
        <v>214</v>
      </c>
      <c r="E390" t="s">
        <v>215</v>
      </c>
      <c r="F390" t="s">
        <v>446</v>
      </c>
      <c r="G390" t="s">
        <v>445</v>
      </c>
      <c r="H390">
        <v>2</v>
      </c>
      <c r="I390" t="s">
        <v>596</v>
      </c>
      <c r="J390" s="39">
        <v>45908.549675925897</v>
      </c>
      <c r="K390" s="39">
        <v>45908</v>
      </c>
      <c r="L390" t="str">
        <f t="shared" si="18"/>
        <v>2025-09</v>
      </c>
      <c r="M390" t="s">
        <v>595</v>
      </c>
      <c r="N390">
        <v>16</v>
      </c>
      <c r="O390">
        <v>2.08</v>
      </c>
      <c r="P390">
        <v>1</v>
      </c>
      <c r="Q390">
        <v>1</v>
      </c>
      <c r="R390">
        <v>1</v>
      </c>
      <c r="S390" t="s">
        <v>95</v>
      </c>
      <c r="T390">
        <v>0</v>
      </c>
      <c r="V390">
        <f t="shared" si="19"/>
        <v>1</v>
      </c>
      <c r="W390" t="str">
        <f t="shared" si="20"/>
        <v>Met</v>
      </c>
    </row>
    <row r="391" spans="1:23" x14ac:dyDescent="0.2">
      <c r="A391">
        <v>7523702277</v>
      </c>
      <c r="B391">
        <v>525</v>
      </c>
      <c r="C391" t="s">
        <v>139</v>
      </c>
      <c r="D391" t="s">
        <v>133</v>
      </c>
      <c r="E391" t="s">
        <v>134</v>
      </c>
      <c r="F391" t="s">
        <v>260</v>
      </c>
      <c r="G391" t="s">
        <v>259</v>
      </c>
      <c r="H391">
        <v>2</v>
      </c>
      <c r="I391" t="s">
        <v>596</v>
      </c>
      <c r="J391" s="39">
        <v>45894.659166666701</v>
      </c>
      <c r="K391" s="39">
        <v>45894</v>
      </c>
      <c r="L391" t="str">
        <f t="shared" si="18"/>
        <v>2025-08</v>
      </c>
      <c r="M391" t="s">
        <v>595</v>
      </c>
      <c r="N391">
        <v>16</v>
      </c>
      <c r="O391">
        <v>3.53</v>
      </c>
      <c r="P391">
        <v>0</v>
      </c>
      <c r="Q391">
        <v>0</v>
      </c>
      <c r="R391">
        <v>0</v>
      </c>
      <c r="S391" t="s">
        <v>95</v>
      </c>
      <c r="T391">
        <v>0</v>
      </c>
      <c r="V391" t="str">
        <f t="shared" si="19"/>
        <v/>
      </c>
      <c r="W391" t="str">
        <f t="shared" si="20"/>
        <v>Not Eligible</v>
      </c>
    </row>
    <row r="392" spans="1:23" x14ac:dyDescent="0.2">
      <c r="A392">
        <v>7531705269</v>
      </c>
      <c r="B392">
        <v>532</v>
      </c>
      <c r="C392" t="s">
        <v>148</v>
      </c>
      <c r="D392" t="s">
        <v>133</v>
      </c>
      <c r="E392" t="s">
        <v>134</v>
      </c>
      <c r="F392" t="s">
        <v>280</v>
      </c>
      <c r="G392" t="s">
        <v>279</v>
      </c>
      <c r="H392">
        <v>2</v>
      </c>
      <c r="I392" t="s">
        <v>596</v>
      </c>
      <c r="J392" s="39">
        <v>45974.698263888902</v>
      </c>
      <c r="K392" s="39">
        <v>45976</v>
      </c>
      <c r="L392" t="str">
        <f t="shared" si="18"/>
        <v>2025-11</v>
      </c>
      <c r="M392" t="s">
        <v>595</v>
      </c>
      <c r="N392">
        <v>16</v>
      </c>
      <c r="O392">
        <v>46.42</v>
      </c>
      <c r="P392">
        <v>0</v>
      </c>
      <c r="Q392">
        <v>0</v>
      </c>
      <c r="R392">
        <v>1</v>
      </c>
      <c r="S392" t="s">
        <v>95</v>
      </c>
      <c r="T392">
        <v>0</v>
      </c>
      <c r="V392">
        <f t="shared" si="19"/>
        <v>0</v>
      </c>
      <c r="W392" t="str">
        <f t="shared" si="20"/>
        <v>Missed</v>
      </c>
    </row>
    <row r="393" spans="1:23" x14ac:dyDescent="0.2">
      <c r="A393">
        <v>7525502674</v>
      </c>
      <c r="B393">
        <v>544</v>
      </c>
      <c r="C393" t="s">
        <v>164</v>
      </c>
      <c r="D393" t="s">
        <v>165</v>
      </c>
      <c r="E393" t="s">
        <v>159</v>
      </c>
      <c r="F393" t="s">
        <v>254</v>
      </c>
      <c r="G393" t="s">
        <v>253</v>
      </c>
      <c r="H393">
        <v>1</v>
      </c>
      <c r="I393" t="s">
        <v>596</v>
      </c>
      <c r="J393" s="39">
        <v>45912.335740740702</v>
      </c>
      <c r="K393" s="39">
        <v>45912</v>
      </c>
      <c r="L393" t="str">
        <f t="shared" si="18"/>
        <v>2025-09</v>
      </c>
      <c r="M393" t="s">
        <v>595</v>
      </c>
      <c r="N393">
        <v>12</v>
      </c>
      <c r="O393">
        <v>6.52</v>
      </c>
      <c r="P393">
        <v>1</v>
      </c>
      <c r="Q393">
        <v>1</v>
      </c>
      <c r="R393">
        <v>1</v>
      </c>
      <c r="S393" t="s">
        <v>95</v>
      </c>
      <c r="T393">
        <v>0</v>
      </c>
      <c r="V393">
        <f t="shared" si="19"/>
        <v>1</v>
      </c>
      <c r="W393" t="str">
        <f t="shared" si="20"/>
        <v>Met</v>
      </c>
    </row>
    <row r="394" spans="1:23" x14ac:dyDescent="0.2">
      <c r="A394">
        <v>7605600007</v>
      </c>
      <c r="B394">
        <v>632</v>
      </c>
      <c r="C394" t="s">
        <v>182</v>
      </c>
      <c r="D394" t="s">
        <v>183</v>
      </c>
      <c r="E394" t="s">
        <v>181</v>
      </c>
      <c r="F394" t="s">
        <v>322</v>
      </c>
      <c r="G394" t="s">
        <v>321</v>
      </c>
      <c r="H394">
        <v>2</v>
      </c>
      <c r="I394" t="s">
        <v>594</v>
      </c>
      <c r="J394" s="39">
        <v>46078.544456018499</v>
      </c>
      <c r="K394" s="39">
        <v>46078</v>
      </c>
      <c r="L394" t="str">
        <f t="shared" si="18"/>
        <v>2026-02</v>
      </c>
      <c r="M394" t="s">
        <v>595</v>
      </c>
      <c r="N394">
        <v>0</v>
      </c>
      <c r="O394">
        <v>2.0299999999999998</v>
      </c>
      <c r="P394">
        <v>1</v>
      </c>
      <c r="Q394">
        <v>1</v>
      </c>
      <c r="R394">
        <v>1</v>
      </c>
      <c r="S394" t="s">
        <v>94</v>
      </c>
      <c r="T394">
        <v>2</v>
      </c>
      <c r="U394">
        <v>1</v>
      </c>
      <c r="V394">
        <f t="shared" si="19"/>
        <v>1</v>
      </c>
      <c r="W394" t="str">
        <f t="shared" si="20"/>
        <v>Met</v>
      </c>
    </row>
    <row r="395" spans="1:23" x14ac:dyDescent="0.2">
      <c r="A395">
        <v>7536102469</v>
      </c>
      <c r="B395">
        <v>925</v>
      </c>
      <c r="C395" t="s">
        <v>233</v>
      </c>
      <c r="D395" t="s">
        <v>234</v>
      </c>
      <c r="E395" t="s">
        <v>226</v>
      </c>
      <c r="F395" t="s">
        <v>278</v>
      </c>
      <c r="G395" t="s">
        <v>277</v>
      </c>
      <c r="H395">
        <v>2</v>
      </c>
      <c r="I395" t="s">
        <v>596</v>
      </c>
      <c r="J395" s="39">
        <v>46018.675543981502</v>
      </c>
      <c r="K395" s="39">
        <v>46018</v>
      </c>
      <c r="L395" t="str">
        <f t="shared" si="18"/>
        <v>2025-12</v>
      </c>
      <c r="M395" t="s">
        <v>595</v>
      </c>
      <c r="N395">
        <v>16</v>
      </c>
      <c r="O395">
        <v>2.33</v>
      </c>
      <c r="P395">
        <v>1</v>
      </c>
      <c r="Q395">
        <v>1</v>
      </c>
      <c r="R395">
        <v>1</v>
      </c>
      <c r="S395" t="s">
        <v>95</v>
      </c>
      <c r="T395">
        <v>0</v>
      </c>
      <c r="V395">
        <f t="shared" si="19"/>
        <v>1</v>
      </c>
      <c r="W395" t="str">
        <f t="shared" si="20"/>
        <v>Met</v>
      </c>
    </row>
    <row r="396" spans="1:23" x14ac:dyDescent="0.2">
      <c r="A396">
        <v>7528604328</v>
      </c>
      <c r="B396">
        <v>701</v>
      </c>
      <c r="C396" t="s">
        <v>213</v>
      </c>
      <c r="D396" t="s">
        <v>214</v>
      </c>
      <c r="E396" t="s">
        <v>215</v>
      </c>
      <c r="F396" t="s">
        <v>392</v>
      </c>
      <c r="G396" t="s">
        <v>391</v>
      </c>
      <c r="H396">
        <v>1</v>
      </c>
      <c r="I396" t="s">
        <v>596</v>
      </c>
      <c r="J396" s="39">
        <v>45943.456145833297</v>
      </c>
      <c r="K396" s="39">
        <v>45943</v>
      </c>
      <c r="L396" t="str">
        <f t="shared" si="18"/>
        <v>2025-10</v>
      </c>
      <c r="M396" t="s">
        <v>595</v>
      </c>
      <c r="N396">
        <v>12</v>
      </c>
      <c r="O396">
        <v>1.57</v>
      </c>
      <c r="P396">
        <v>1</v>
      </c>
      <c r="Q396">
        <v>1</v>
      </c>
      <c r="R396">
        <v>1</v>
      </c>
      <c r="S396" t="s">
        <v>95</v>
      </c>
      <c r="T396">
        <v>0</v>
      </c>
      <c r="V396">
        <f t="shared" si="19"/>
        <v>1</v>
      </c>
      <c r="W396" t="str">
        <f t="shared" si="20"/>
        <v>Met</v>
      </c>
    </row>
    <row r="397" spans="1:23" x14ac:dyDescent="0.2">
      <c r="A397">
        <v>7527511111</v>
      </c>
      <c r="B397">
        <v>928</v>
      </c>
      <c r="C397" t="s">
        <v>238</v>
      </c>
      <c r="D397" t="s">
        <v>239</v>
      </c>
      <c r="E397" t="s">
        <v>226</v>
      </c>
      <c r="F397" t="s">
        <v>314</v>
      </c>
      <c r="G397" t="s">
        <v>313</v>
      </c>
      <c r="H397">
        <v>2</v>
      </c>
      <c r="I397" t="s">
        <v>594</v>
      </c>
      <c r="J397" s="39">
        <v>45932.436504629601</v>
      </c>
      <c r="K397" s="39">
        <v>45932</v>
      </c>
      <c r="L397" t="str">
        <f t="shared" si="18"/>
        <v>2025-10</v>
      </c>
      <c r="M397" t="s">
        <v>595</v>
      </c>
      <c r="N397">
        <v>16</v>
      </c>
      <c r="O397">
        <v>0.77</v>
      </c>
      <c r="P397">
        <v>0</v>
      </c>
      <c r="Q397">
        <v>0</v>
      </c>
      <c r="R397">
        <v>0</v>
      </c>
      <c r="S397" t="s">
        <v>95</v>
      </c>
      <c r="T397">
        <v>0</v>
      </c>
      <c r="V397" t="str">
        <f t="shared" si="19"/>
        <v/>
      </c>
      <c r="W397" t="str">
        <f t="shared" si="20"/>
        <v>Not Eligible</v>
      </c>
    </row>
    <row r="398" spans="1:23" x14ac:dyDescent="0.2">
      <c r="A398">
        <v>7523800148</v>
      </c>
      <c r="B398">
        <v>921</v>
      </c>
      <c r="C398" t="s">
        <v>229</v>
      </c>
      <c r="D398" t="s">
        <v>230</v>
      </c>
      <c r="E398" t="s">
        <v>226</v>
      </c>
      <c r="F398" t="s">
        <v>276</v>
      </c>
      <c r="G398" t="s">
        <v>275</v>
      </c>
      <c r="H398">
        <v>2</v>
      </c>
      <c r="I398" t="s">
        <v>596</v>
      </c>
      <c r="J398" s="39">
        <v>45895.6577314815</v>
      </c>
      <c r="K398" s="39">
        <v>45896</v>
      </c>
      <c r="L398" t="str">
        <f t="shared" si="18"/>
        <v>2025-08</v>
      </c>
      <c r="M398" t="s">
        <v>595</v>
      </c>
      <c r="N398">
        <v>16</v>
      </c>
      <c r="O398">
        <v>24.57</v>
      </c>
      <c r="P398">
        <v>1</v>
      </c>
      <c r="Q398">
        <v>1</v>
      </c>
      <c r="R398">
        <v>1</v>
      </c>
      <c r="S398" t="s">
        <v>95</v>
      </c>
      <c r="T398">
        <v>0</v>
      </c>
      <c r="V398">
        <f t="shared" si="19"/>
        <v>1</v>
      </c>
      <c r="W398" t="str">
        <f t="shared" si="20"/>
        <v>Met</v>
      </c>
    </row>
    <row r="399" spans="1:23" x14ac:dyDescent="0.2">
      <c r="A399">
        <v>7531903471</v>
      </c>
      <c r="B399">
        <v>533</v>
      </c>
      <c r="C399" t="s">
        <v>149</v>
      </c>
      <c r="D399" t="s">
        <v>150</v>
      </c>
      <c r="E399" t="s">
        <v>134</v>
      </c>
      <c r="F399" t="s">
        <v>376</v>
      </c>
      <c r="G399" t="s">
        <v>375</v>
      </c>
      <c r="H399">
        <v>2</v>
      </c>
      <c r="I399" t="s">
        <v>596</v>
      </c>
      <c r="J399" s="39">
        <v>45976.436365740701</v>
      </c>
      <c r="K399" s="39">
        <v>45976</v>
      </c>
      <c r="L399" t="str">
        <f t="shared" si="18"/>
        <v>2025-11</v>
      </c>
      <c r="M399" t="s">
        <v>595</v>
      </c>
      <c r="N399">
        <v>16</v>
      </c>
      <c r="O399">
        <v>6.35</v>
      </c>
      <c r="P399">
        <v>1</v>
      </c>
      <c r="Q399">
        <v>1</v>
      </c>
      <c r="R399">
        <v>1</v>
      </c>
      <c r="S399" t="s">
        <v>95</v>
      </c>
      <c r="T399">
        <v>0</v>
      </c>
      <c r="V399">
        <f t="shared" si="19"/>
        <v>1</v>
      </c>
      <c r="W399" t="str">
        <f t="shared" si="20"/>
        <v>Met</v>
      </c>
    </row>
    <row r="400" spans="1:23" x14ac:dyDescent="0.2">
      <c r="A400">
        <v>7534713604</v>
      </c>
      <c r="B400">
        <v>542</v>
      </c>
      <c r="C400" t="s">
        <v>160</v>
      </c>
      <c r="D400" t="s">
        <v>161</v>
      </c>
      <c r="E400" t="s">
        <v>159</v>
      </c>
      <c r="F400" t="s">
        <v>254</v>
      </c>
      <c r="G400" t="s">
        <v>253</v>
      </c>
      <c r="H400">
        <v>2</v>
      </c>
      <c r="I400" t="s">
        <v>596</v>
      </c>
      <c r="J400" s="39">
        <v>46003.9367361111</v>
      </c>
      <c r="K400" s="39">
        <v>46004</v>
      </c>
      <c r="L400" t="str">
        <f t="shared" si="18"/>
        <v>2025-12</v>
      </c>
      <c r="M400" t="s">
        <v>595</v>
      </c>
      <c r="N400">
        <v>16</v>
      </c>
      <c r="O400">
        <v>15.13</v>
      </c>
      <c r="P400">
        <v>1</v>
      </c>
      <c r="Q400">
        <v>1</v>
      </c>
      <c r="R400">
        <v>1</v>
      </c>
      <c r="S400" t="s">
        <v>95</v>
      </c>
      <c r="T400">
        <v>0</v>
      </c>
      <c r="V400">
        <f t="shared" si="19"/>
        <v>1</v>
      </c>
      <c r="W400" t="str">
        <f t="shared" si="20"/>
        <v>Met</v>
      </c>
    </row>
    <row r="401" spans="1:23" x14ac:dyDescent="0.2">
      <c r="A401">
        <v>7605405427</v>
      </c>
      <c r="B401">
        <v>544</v>
      </c>
      <c r="C401" t="s">
        <v>164</v>
      </c>
      <c r="D401" t="s">
        <v>165</v>
      </c>
      <c r="E401" t="s">
        <v>159</v>
      </c>
      <c r="F401" t="s">
        <v>327</v>
      </c>
      <c r="G401" t="s">
        <v>326</v>
      </c>
      <c r="H401">
        <v>1</v>
      </c>
      <c r="I401" t="s">
        <v>594</v>
      </c>
      <c r="J401" s="39">
        <v>46076.352488425902</v>
      </c>
      <c r="K401" s="39">
        <v>46076</v>
      </c>
      <c r="L401" t="str">
        <f t="shared" si="18"/>
        <v>2026-02</v>
      </c>
      <c r="M401" t="s">
        <v>595</v>
      </c>
      <c r="N401">
        <v>12</v>
      </c>
      <c r="O401">
        <v>2.42</v>
      </c>
      <c r="P401">
        <v>0</v>
      </c>
      <c r="Q401">
        <v>0</v>
      </c>
      <c r="R401">
        <v>0</v>
      </c>
      <c r="S401" t="s">
        <v>94</v>
      </c>
      <c r="T401">
        <v>2</v>
      </c>
      <c r="U401">
        <v>1</v>
      </c>
      <c r="V401" t="str">
        <f t="shared" si="19"/>
        <v/>
      </c>
      <c r="W401" t="str">
        <f t="shared" si="20"/>
        <v>Not Eligible</v>
      </c>
    </row>
    <row r="402" spans="1:23" x14ac:dyDescent="0.2">
      <c r="A402">
        <v>7608506068</v>
      </c>
      <c r="B402">
        <v>968</v>
      </c>
      <c r="C402" t="s">
        <v>247</v>
      </c>
      <c r="D402" t="s">
        <v>248</v>
      </c>
      <c r="E402" t="s">
        <v>246</v>
      </c>
      <c r="F402" t="s">
        <v>455</v>
      </c>
      <c r="G402" t="s">
        <v>454</v>
      </c>
      <c r="H402">
        <v>2</v>
      </c>
      <c r="I402" t="s">
        <v>596</v>
      </c>
      <c r="J402" s="39">
        <v>46107.554305555597</v>
      </c>
      <c r="K402" s="39">
        <v>46107</v>
      </c>
      <c r="L402" t="str">
        <f t="shared" si="18"/>
        <v>2026-03</v>
      </c>
      <c r="M402" t="s">
        <v>595</v>
      </c>
      <c r="N402">
        <v>0</v>
      </c>
      <c r="O402">
        <v>4.68</v>
      </c>
      <c r="P402">
        <v>1</v>
      </c>
      <c r="Q402">
        <v>1</v>
      </c>
      <c r="R402">
        <v>1</v>
      </c>
      <c r="S402" t="s">
        <v>94</v>
      </c>
      <c r="T402">
        <v>2</v>
      </c>
      <c r="U402">
        <v>1</v>
      </c>
      <c r="V402">
        <f t="shared" si="19"/>
        <v>1</v>
      </c>
      <c r="W402" t="str">
        <f t="shared" si="20"/>
        <v>Met</v>
      </c>
    </row>
    <row r="403" spans="1:23" x14ac:dyDescent="0.2">
      <c r="A403">
        <v>7606303431</v>
      </c>
      <c r="B403">
        <v>497</v>
      </c>
      <c r="C403" t="s">
        <v>125</v>
      </c>
      <c r="D403" t="s">
        <v>126</v>
      </c>
      <c r="E403" t="s">
        <v>124</v>
      </c>
      <c r="F403" t="s">
        <v>270</v>
      </c>
      <c r="G403" t="s">
        <v>269</v>
      </c>
      <c r="H403">
        <v>2</v>
      </c>
      <c r="I403" t="s">
        <v>596</v>
      </c>
      <c r="J403" s="39">
        <v>46085.362905092603</v>
      </c>
      <c r="K403" s="39">
        <v>46086</v>
      </c>
      <c r="L403" t="str">
        <f t="shared" si="18"/>
        <v>2026-03</v>
      </c>
      <c r="M403" t="s">
        <v>595</v>
      </c>
      <c r="N403">
        <v>0</v>
      </c>
      <c r="O403">
        <v>29.13</v>
      </c>
      <c r="P403">
        <v>1</v>
      </c>
      <c r="Q403">
        <v>1</v>
      </c>
      <c r="R403">
        <v>1</v>
      </c>
      <c r="S403" t="s">
        <v>94</v>
      </c>
      <c r="T403">
        <v>1</v>
      </c>
      <c r="V403">
        <f t="shared" si="19"/>
        <v>1</v>
      </c>
      <c r="W403" t="str">
        <f t="shared" si="20"/>
        <v>Met</v>
      </c>
    </row>
    <row r="404" spans="1:23" x14ac:dyDescent="0.2">
      <c r="A404">
        <v>7604201135</v>
      </c>
      <c r="B404">
        <v>524</v>
      </c>
      <c r="C404" t="s">
        <v>137</v>
      </c>
      <c r="D404" t="s">
        <v>138</v>
      </c>
      <c r="E404" t="s">
        <v>134</v>
      </c>
      <c r="F404" t="s">
        <v>294</v>
      </c>
      <c r="G404" t="s">
        <v>293</v>
      </c>
      <c r="H404">
        <v>2</v>
      </c>
      <c r="I404" t="s">
        <v>596</v>
      </c>
      <c r="J404" s="39">
        <v>46064.608275462997</v>
      </c>
      <c r="K404" s="39">
        <v>46064</v>
      </c>
      <c r="L404" t="str">
        <f t="shared" si="18"/>
        <v>2026-02</v>
      </c>
      <c r="M404" t="s">
        <v>595</v>
      </c>
      <c r="N404">
        <v>0</v>
      </c>
      <c r="O404">
        <v>2.08</v>
      </c>
      <c r="P404">
        <v>1</v>
      </c>
      <c r="Q404">
        <v>1</v>
      </c>
      <c r="R404">
        <v>1</v>
      </c>
      <c r="S404" t="s">
        <v>94</v>
      </c>
      <c r="T404">
        <v>2</v>
      </c>
      <c r="U404">
        <v>1</v>
      </c>
      <c r="V404">
        <f t="shared" si="19"/>
        <v>1</v>
      </c>
      <c r="W404" t="str">
        <f t="shared" si="20"/>
        <v>Met</v>
      </c>
    </row>
    <row r="405" spans="1:23" x14ac:dyDescent="0.2">
      <c r="A405">
        <v>7615412985</v>
      </c>
      <c r="B405">
        <v>640</v>
      </c>
      <c r="C405" t="s">
        <v>197</v>
      </c>
      <c r="D405" t="s">
        <v>198</v>
      </c>
      <c r="E405" t="s">
        <v>178</v>
      </c>
      <c r="F405" t="s">
        <v>329</v>
      </c>
      <c r="G405" t="s">
        <v>328</v>
      </c>
      <c r="H405">
        <v>2</v>
      </c>
      <c r="I405" t="s">
        <v>596</v>
      </c>
      <c r="J405" s="39">
        <v>46176.566828703697</v>
      </c>
      <c r="K405" s="39">
        <v>46176</v>
      </c>
      <c r="L405" t="str">
        <f t="shared" si="18"/>
        <v>2026-06</v>
      </c>
      <c r="M405" t="s">
        <v>595</v>
      </c>
      <c r="N405">
        <v>16</v>
      </c>
      <c r="O405">
        <v>2.57</v>
      </c>
      <c r="P405">
        <v>1</v>
      </c>
      <c r="Q405">
        <v>1</v>
      </c>
      <c r="R405">
        <v>1</v>
      </c>
      <c r="S405" t="s">
        <v>94</v>
      </c>
      <c r="T405">
        <v>2</v>
      </c>
      <c r="U405">
        <v>1</v>
      </c>
      <c r="V405">
        <f t="shared" si="19"/>
        <v>1</v>
      </c>
      <c r="W405" t="str">
        <f t="shared" si="20"/>
        <v>Met</v>
      </c>
    </row>
    <row r="406" spans="1:23" x14ac:dyDescent="0.2">
      <c r="A406">
        <v>7608200898</v>
      </c>
      <c r="B406">
        <v>527</v>
      </c>
      <c r="C406" t="s">
        <v>141</v>
      </c>
      <c r="D406" t="s">
        <v>142</v>
      </c>
      <c r="E406" t="s">
        <v>134</v>
      </c>
      <c r="F406" t="s">
        <v>264</v>
      </c>
      <c r="G406" t="s">
        <v>263</v>
      </c>
      <c r="H406">
        <v>2</v>
      </c>
      <c r="I406" t="s">
        <v>596</v>
      </c>
      <c r="J406" s="39">
        <v>46104.448784722197</v>
      </c>
      <c r="K406" s="39">
        <v>46106</v>
      </c>
      <c r="L406" t="str">
        <f t="shared" si="18"/>
        <v>2026-03</v>
      </c>
      <c r="M406" t="s">
        <v>595</v>
      </c>
      <c r="N406">
        <v>0</v>
      </c>
      <c r="O406">
        <v>49.63</v>
      </c>
      <c r="P406">
        <v>1</v>
      </c>
      <c r="Q406">
        <v>1</v>
      </c>
      <c r="R406">
        <v>1</v>
      </c>
      <c r="S406" t="s">
        <v>94</v>
      </c>
      <c r="T406">
        <v>0</v>
      </c>
      <c r="U406">
        <v>0</v>
      </c>
      <c r="V406">
        <f t="shared" si="19"/>
        <v>0</v>
      </c>
      <c r="W406" t="str">
        <f t="shared" si="20"/>
        <v>Missed</v>
      </c>
    </row>
    <row r="407" spans="1:23" x14ac:dyDescent="0.2">
      <c r="A407">
        <v>7607202157</v>
      </c>
      <c r="B407">
        <v>928</v>
      </c>
      <c r="C407" t="s">
        <v>238</v>
      </c>
      <c r="D407" t="s">
        <v>239</v>
      </c>
      <c r="E407" t="s">
        <v>226</v>
      </c>
      <c r="F407" t="s">
        <v>278</v>
      </c>
      <c r="G407" t="s">
        <v>277</v>
      </c>
      <c r="H407">
        <v>1</v>
      </c>
      <c r="I407" t="s">
        <v>596</v>
      </c>
      <c r="J407" s="39">
        <v>46094.385185185201</v>
      </c>
      <c r="K407" s="39">
        <v>46095</v>
      </c>
      <c r="L407" t="str">
        <f t="shared" si="18"/>
        <v>2026-03</v>
      </c>
      <c r="M407" t="s">
        <v>595</v>
      </c>
      <c r="N407">
        <v>0</v>
      </c>
      <c r="O407">
        <v>25.7</v>
      </c>
      <c r="P407">
        <v>1</v>
      </c>
      <c r="Q407">
        <v>1</v>
      </c>
      <c r="R407">
        <v>1</v>
      </c>
      <c r="S407" t="s">
        <v>94</v>
      </c>
      <c r="T407">
        <v>0</v>
      </c>
      <c r="U407">
        <v>0</v>
      </c>
      <c r="V407">
        <f t="shared" si="19"/>
        <v>0</v>
      </c>
      <c r="W407" t="str">
        <f t="shared" si="20"/>
        <v>Missed</v>
      </c>
    </row>
    <row r="408" spans="1:23" x14ac:dyDescent="0.2">
      <c r="A408">
        <v>7600505580</v>
      </c>
      <c r="B408">
        <v>928</v>
      </c>
      <c r="C408" t="s">
        <v>238</v>
      </c>
      <c r="D408" t="s">
        <v>239</v>
      </c>
      <c r="E408" t="s">
        <v>226</v>
      </c>
      <c r="F408" t="s">
        <v>266</v>
      </c>
      <c r="G408" t="s">
        <v>265</v>
      </c>
      <c r="H408">
        <v>2</v>
      </c>
      <c r="I408" t="s">
        <v>596</v>
      </c>
      <c r="J408" s="39">
        <v>46027.393067129597</v>
      </c>
      <c r="K408" s="39">
        <v>46027</v>
      </c>
      <c r="L408" t="str">
        <f t="shared" si="18"/>
        <v>2026-01</v>
      </c>
      <c r="M408" t="s">
        <v>595</v>
      </c>
      <c r="N408">
        <v>16</v>
      </c>
      <c r="O408">
        <v>3.5</v>
      </c>
      <c r="P408">
        <v>1</v>
      </c>
      <c r="Q408">
        <v>1</v>
      </c>
      <c r="R408">
        <v>1</v>
      </c>
      <c r="S408" t="s">
        <v>94</v>
      </c>
      <c r="T408">
        <v>2</v>
      </c>
      <c r="U408">
        <v>1</v>
      </c>
      <c r="V408">
        <f t="shared" si="19"/>
        <v>1</v>
      </c>
      <c r="W408" t="str">
        <f t="shared" si="20"/>
        <v>Met</v>
      </c>
    </row>
    <row r="409" spans="1:23" x14ac:dyDescent="0.2">
      <c r="A409">
        <v>7531102747</v>
      </c>
      <c r="B409">
        <v>532</v>
      </c>
      <c r="C409" t="s">
        <v>148</v>
      </c>
      <c r="D409" t="s">
        <v>133</v>
      </c>
      <c r="E409" t="s">
        <v>134</v>
      </c>
      <c r="F409" t="s">
        <v>260</v>
      </c>
      <c r="G409" t="s">
        <v>259</v>
      </c>
      <c r="H409">
        <v>1</v>
      </c>
      <c r="I409" t="s">
        <v>596</v>
      </c>
      <c r="J409" s="39">
        <v>45968.410567129598</v>
      </c>
      <c r="K409" s="39">
        <v>45968</v>
      </c>
      <c r="L409" t="str">
        <f t="shared" si="18"/>
        <v>2025-11</v>
      </c>
      <c r="M409" t="s">
        <v>595</v>
      </c>
      <c r="N409">
        <v>12</v>
      </c>
      <c r="O409">
        <v>6.27</v>
      </c>
      <c r="P409">
        <v>0</v>
      </c>
      <c r="Q409">
        <v>0</v>
      </c>
      <c r="R409">
        <v>0</v>
      </c>
      <c r="S409" t="s">
        <v>95</v>
      </c>
      <c r="T409">
        <v>0</v>
      </c>
      <c r="V409" t="str">
        <f t="shared" si="19"/>
        <v/>
      </c>
      <c r="W409" t="str">
        <f t="shared" si="20"/>
        <v>Not Eligible</v>
      </c>
    </row>
    <row r="410" spans="1:23" x14ac:dyDescent="0.2">
      <c r="A410">
        <v>7533004777</v>
      </c>
      <c r="B410">
        <v>606</v>
      </c>
      <c r="C410" t="s">
        <v>176</v>
      </c>
      <c r="D410" t="s">
        <v>177</v>
      </c>
      <c r="E410" t="s">
        <v>178</v>
      </c>
      <c r="F410" t="s">
        <v>333</v>
      </c>
      <c r="G410" t="s">
        <v>332</v>
      </c>
      <c r="H410">
        <v>2</v>
      </c>
      <c r="I410" t="s">
        <v>594</v>
      </c>
      <c r="J410" s="39">
        <v>45987.584340277797</v>
      </c>
      <c r="K410" s="39">
        <v>45987</v>
      </c>
      <c r="L410" t="str">
        <f t="shared" si="18"/>
        <v>2025-11</v>
      </c>
      <c r="M410" t="s">
        <v>595</v>
      </c>
      <c r="N410">
        <v>16</v>
      </c>
      <c r="O410">
        <v>2</v>
      </c>
      <c r="P410">
        <v>0</v>
      </c>
      <c r="Q410">
        <v>0</v>
      </c>
      <c r="R410">
        <v>0</v>
      </c>
      <c r="S410" t="s">
        <v>95</v>
      </c>
      <c r="T410">
        <v>0</v>
      </c>
      <c r="V410" t="str">
        <f t="shared" si="19"/>
        <v/>
      </c>
      <c r="W410" t="str">
        <f t="shared" si="20"/>
        <v>Not Eligible</v>
      </c>
    </row>
    <row r="411" spans="1:23" x14ac:dyDescent="0.2">
      <c r="A411">
        <v>7522902171</v>
      </c>
      <c r="B411">
        <v>639</v>
      </c>
      <c r="C411" t="s">
        <v>195</v>
      </c>
      <c r="D411" t="s">
        <v>196</v>
      </c>
      <c r="E411" t="s">
        <v>181</v>
      </c>
      <c r="F411" t="s">
        <v>507</v>
      </c>
      <c r="G411" t="s">
        <v>506</v>
      </c>
      <c r="H411">
        <v>2</v>
      </c>
      <c r="I411" t="s">
        <v>596</v>
      </c>
      <c r="J411" s="39">
        <v>45886.336782407401</v>
      </c>
      <c r="K411" s="39">
        <v>45886</v>
      </c>
      <c r="L411" t="str">
        <f t="shared" si="18"/>
        <v>2025-08</v>
      </c>
      <c r="M411" t="s">
        <v>595</v>
      </c>
      <c r="N411">
        <v>16</v>
      </c>
      <c r="O411">
        <v>6.75</v>
      </c>
      <c r="P411">
        <v>1</v>
      </c>
      <c r="Q411">
        <v>1</v>
      </c>
      <c r="R411">
        <v>1</v>
      </c>
      <c r="S411" t="s">
        <v>95</v>
      </c>
      <c r="T411">
        <v>0</v>
      </c>
      <c r="V411">
        <f t="shared" si="19"/>
        <v>1</v>
      </c>
      <c r="W411" t="str">
        <f t="shared" si="20"/>
        <v>Met</v>
      </c>
    </row>
    <row r="412" spans="1:23" x14ac:dyDescent="0.2">
      <c r="A412">
        <v>7531012847</v>
      </c>
      <c r="B412">
        <v>644</v>
      </c>
      <c r="C412" t="s">
        <v>203</v>
      </c>
      <c r="D412" t="s">
        <v>204</v>
      </c>
      <c r="E412" t="s">
        <v>178</v>
      </c>
      <c r="F412" t="s">
        <v>349</v>
      </c>
      <c r="G412" t="s">
        <v>348</v>
      </c>
      <c r="H412">
        <v>1</v>
      </c>
      <c r="I412" t="s">
        <v>596</v>
      </c>
      <c r="J412" s="39">
        <v>45967.503842592603</v>
      </c>
      <c r="K412" s="39">
        <v>45967</v>
      </c>
      <c r="L412" t="str">
        <f t="shared" si="18"/>
        <v>2025-11</v>
      </c>
      <c r="M412" t="s">
        <v>595</v>
      </c>
      <c r="N412">
        <v>12</v>
      </c>
      <c r="O412">
        <v>1.68</v>
      </c>
      <c r="P412">
        <v>1</v>
      </c>
      <c r="Q412">
        <v>1</v>
      </c>
      <c r="R412">
        <v>1</v>
      </c>
      <c r="S412" t="s">
        <v>95</v>
      </c>
      <c r="T412">
        <v>0</v>
      </c>
      <c r="V412">
        <f t="shared" si="19"/>
        <v>1</v>
      </c>
      <c r="W412" t="str">
        <f t="shared" si="20"/>
        <v>Met</v>
      </c>
    </row>
    <row r="413" spans="1:23" x14ac:dyDescent="0.2">
      <c r="A413">
        <v>7604702671</v>
      </c>
      <c r="B413">
        <v>632</v>
      </c>
      <c r="C413" t="s">
        <v>182</v>
      </c>
      <c r="D413" t="s">
        <v>183</v>
      </c>
      <c r="E413" t="s">
        <v>181</v>
      </c>
      <c r="F413" t="s">
        <v>353</v>
      </c>
      <c r="G413" t="s">
        <v>352</v>
      </c>
      <c r="H413">
        <v>1</v>
      </c>
      <c r="I413" t="s">
        <v>594</v>
      </c>
      <c r="J413" s="39">
        <v>46069.458287037</v>
      </c>
      <c r="K413" s="39">
        <v>46069</v>
      </c>
      <c r="L413" t="str">
        <f t="shared" si="18"/>
        <v>2026-02</v>
      </c>
      <c r="M413" t="s">
        <v>595</v>
      </c>
      <c r="N413">
        <v>0</v>
      </c>
      <c r="O413">
        <v>1.45</v>
      </c>
      <c r="P413">
        <v>1</v>
      </c>
      <c r="Q413">
        <v>1</v>
      </c>
      <c r="R413">
        <v>1</v>
      </c>
      <c r="S413" t="s">
        <v>94</v>
      </c>
      <c r="T413">
        <v>2</v>
      </c>
      <c r="U413">
        <v>1</v>
      </c>
      <c r="V413">
        <f t="shared" si="19"/>
        <v>1</v>
      </c>
      <c r="W413" t="str">
        <f t="shared" si="20"/>
        <v>Met</v>
      </c>
    </row>
    <row r="414" spans="1:23" x14ac:dyDescent="0.2">
      <c r="A414">
        <v>7621705492</v>
      </c>
      <c r="B414">
        <v>527</v>
      </c>
      <c r="C414" t="s">
        <v>141</v>
      </c>
      <c r="D414" t="s">
        <v>142</v>
      </c>
      <c r="E414" t="s">
        <v>134</v>
      </c>
      <c r="F414" t="s">
        <v>310</v>
      </c>
      <c r="G414" t="s">
        <v>309</v>
      </c>
      <c r="H414">
        <v>2</v>
      </c>
      <c r="I414" t="s">
        <v>596</v>
      </c>
      <c r="J414" s="39">
        <v>46239.417430555601</v>
      </c>
      <c r="K414" s="39">
        <v>46239</v>
      </c>
      <c r="L414" t="str">
        <f t="shared" si="18"/>
        <v>2026-08</v>
      </c>
      <c r="M414" t="s">
        <v>595</v>
      </c>
      <c r="N414">
        <v>16</v>
      </c>
      <c r="O414">
        <v>4.3499999999999996</v>
      </c>
      <c r="P414">
        <v>1</v>
      </c>
      <c r="Q414">
        <v>1</v>
      </c>
      <c r="R414">
        <v>1</v>
      </c>
      <c r="S414" t="s">
        <v>94</v>
      </c>
      <c r="T414">
        <v>2</v>
      </c>
      <c r="U414">
        <v>1</v>
      </c>
      <c r="V414">
        <f t="shared" si="19"/>
        <v>1</v>
      </c>
      <c r="W414" t="str">
        <f t="shared" si="20"/>
        <v>Met</v>
      </c>
    </row>
    <row r="415" spans="1:23" x14ac:dyDescent="0.2">
      <c r="A415">
        <v>7535000784</v>
      </c>
      <c r="B415">
        <v>639</v>
      </c>
      <c r="C415" t="s">
        <v>195</v>
      </c>
      <c r="D415" t="s">
        <v>196</v>
      </c>
      <c r="E415" t="s">
        <v>181</v>
      </c>
      <c r="F415" t="s">
        <v>430</v>
      </c>
      <c r="G415" t="s">
        <v>429</v>
      </c>
      <c r="H415">
        <v>2</v>
      </c>
      <c r="I415" t="s">
        <v>596</v>
      </c>
      <c r="J415" s="39">
        <v>46007.722581018497</v>
      </c>
      <c r="K415" s="39">
        <v>46008</v>
      </c>
      <c r="L415" t="str">
        <f t="shared" si="18"/>
        <v>2025-12</v>
      </c>
      <c r="M415" t="s">
        <v>595</v>
      </c>
      <c r="N415">
        <v>16</v>
      </c>
      <c r="O415">
        <v>19.329999999999998</v>
      </c>
      <c r="P415">
        <v>1</v>
      </c>
      <c r="Q415">
        <v>1</v>
      </c>
      <c r="R415">
        <v>1</v>
      </c>
      <c r="S415" t="s">
        <v>95</v>
      </c>
      <c r="T415">
        <v>0</v>
      </c>
      <c r="V415">
        <f t="shared" si="19"/>
        <v>1</v>
      </c>
      <c r="W415" t="str">
        <f t="shared" si="20"/>
        <v>Met</v>
      </c>
    </row>
    <row r="416" spans="1:23" x14ac:dyDescent="0.2">
      <c r="A416">
        <v>7621705497</v>
      </c>
      <c r="B416">
        <v>527</v>
      </c>
      <c r="C416" t="s">
        <v>141</v>
      </c>
      <c r="D416" t="s">
        <v>142</v>
      </c>
      <c r="E416" t="s">
        <v>134</v>
      </c>
      <c r="F416" t="s">
        <v>310</v>
      </c>
      <c r="G416" t="s">
        <v>309</v>
      </c>
      <c r="H416">
        <v>2</v>
      </c>
      <c r="I416" t="s">
        <v>596</v>
      </c>
      <c r="J416" s="39">
        <v>46239.419953703698</v>
      </c>
      <c r="K416" s="39">
        <v>46239</v>
      </c>
      <c r="L416" t="str">
        <f t="shared" si="18"/>
        <v>2026-08</v>
      </c>
      <c r="M416" t="s">
        <v>595</v>
      </c>
      <c r="N416">
        <v>16</v>
      </c>
      <c r="O416">
        <v>4.45</v>
      </c>
      <c r="P416">
        <v>1</v>
      </c>
      <c r="Q416">
        <v>1</v>
      </c>
      <c r="R416">
        <v>1</v>
      </c>
      <c r="S416" t="s">
        <v>94</v>
      </c>
      <c r="T416">
        <v>2</v>
      </c>
      <c r="U416">
        <v>1</v>
      </c>
      <c r="V416">
        <f t="shared" si="19"/>
        <v>1</v>
      </c>
      <c r="W416" t="str">
        <f t="shared" si="20"/>
        <v>Met</v>
      </c>
    </row>
    <row r="417" spans="1:23" x14ac:dyDescent="0.2">
      <c r="A417">
        <v>7532608746</v>
      </c>
      <c r="B417">
        <v>645</v>
      </c>
      <c r="C417" t="s">
        <v>205</v>
      </c>
      <c r="D417" t="s">
        <v>206</v>
      </c>
      <c r="E417" t="s">
        <v>178</v>
      </c>
      <c r="F417" t="s">
        <v>284</v>
      </c>
      <c r="G417" t="s">
        <v>283</v>
      </c>
      <c r="H417">
        <v>1</v>
      </c>
      <c r="I417" t="s">
        <v>594</v>
      </c>
      <c r="J417" s="39">
        <v>45983.5994907407</v>
      </c>
      <c r="K417" s="39">
        <v>45983</v>
      </c>
      <c r="L417" t="str">
        <f t="shared" si="18"/>
        <v>2025-11</v>
      </c>
      <c r="M417" t="s">
        <v>595</v>
      </c>
      <c r="N417">
        <v>12</v>
      </c>
      <c r="O417">
        <v>1.98</v>
      </c>
      <c r="P417">
        <v>0</v>
      </c>
      <c r="Q417">
        <v>0</v>
      </c>
      <c r="R417">
        <v>0</v>
      </c>
      <c r="S417" t="s">
        <v>95</v>
      </c>
      <c r="T417">
        <v>0</v>
      </c>
      <c r="V417" t="str">
        <f t="shared" si="19"/>
        <v/>
      </c>
      <c r="W417" t="str">
        <f t="shared" si="20"/>
        <v>Not Eligible</v>
      </c>
    </row>
    <row r="418" spans="1:23" x14ac:dyDescent="0.2">
      <c r="A418">
        <v>7528102256</v>
      </c>
      <c r="B418">
        <v>637</v>
      </c>
      <c r="C418" t="s">
        <v>192</v>
      </c>
      <c r="D418" t="s">
        <v>193</v>
      </c>
      <c r="E418" t="s">
        <v>181</v>
      </c>
      <c r="F418" t="s">
        <v>272</v>
      </c>
      <c r="G418" t="s">
        <v>271</v>
      </c>
      <c r="H418">
        <v>2</v>
      </c>
      <c r="I418" t="s">
        <v>596</v>
      </c>
      <c r="J418" s="39">
        <v>45937.811481481498</v>
      </c>
      <c r="K418" s="39">
        <v>45940</v>
      </c>
      <c r="L418" t="str">
        <f t="shared" si="18"/>
        <v>2025-10</v>
      </c>
      <c r="M418" t="s">
        <v>595</v>
      </c>
      <c r="N418">
        <v>16</v>
      </c>
      <c r="O418">
        <v>67.42</v>
      </c>
      <c r="P418">
        <v>0</v>
      </c>
      <c r="Q418">
        <v>0</v>
      </c>
      <c r="R418">
        <v>1</v>
      </c>
      <c r="S418" t="s">
        <v>95</v>
      </c>
      <c r="T418">
        <v>0</v>
      </c>
      <c r="V418">
        <f t="shared" si="19"/>
        <v>0</v>
      </c>
      <c r="W418" t="str">
        <f t="shared" si="20"/>
        <v>Missed</v>
      </c>
    </row>
    <row r="419" spans="1:23" x14ac:dyDescent="0.2">
      <c r="A419">
        <v>7600504710</v>
      </c>
      <c r="B419">
        <v>928</v>
      </c>
      <c r="C419" t="s">
        <v>238</v>
      </c>
      <c r="D419" t="s">
        <v>239</v>
      </c>
      <c r="E419" t="s">
        <v>226</v>
      </c>
      <c r="F419" t="s">
        <v>266</v>
      </c>
      <c r="G419" t="s">
        <v>265</v>
      </c>
      <c r="H419">
        <v>2</v>
      </c>
      <c r="I419" t="s">
        <v>596</v>
      </c>
      <c r="J419" s="39">
        <v>46027.390775462998</v>
      </c>
      <c r="K419" s="39">
        <v>46027</v>
      </c>
      <c r="L419" t="str">
        <f t="shared" si="18"/>
        <v>2026-01</v>
      </c>
      <c r="M419" t="s">
        <v>595</v>
      </c>
      <c r="N419">
        <v>16</v>
      </c>
      <c r="O419">
        <v>3.37</v>
      </c>
      <c r="P419">
        <v>1</v>
      </c>
      <c r="Q419">
        <v>1</v>
      </c>
      <c r="R419">
        <v>1</v>
      </c>
      <c r="S419" t="s">
        <v>94</v>
      </c>
      <c r="T419">
        <v>2</v>
      </c>
      <c r="U419">
        <v>1</v>
      </c>
      <c r="V419">
        <f t="shared" si="19"/>
        <v>1</v>
      </c>
      <c r="W419" t="str">
        <f t="shared" si="20"/>
        <v>Met</v>
      </c>
    </row>
    <row r="420" spans="1:23" x14ac:dyDescent="0.2">
      <c r="A420">
        <v>7602703454</v>
      </c>
      <c r="B420">
        <v>496</v>
      </c>
      <c r="C420" t="s">
        <v>122</v>
      </c>
      <c r="D420" t="s">
        <v>123</v>
      </c>
      <c r="E420" t="s">
        <v>124</v>
      </c>
      <c r="F420" t="s">
        <v>270</v>
      </c>
      <c r="G420" t="s">
        <v>269</v>
      </c>
      <c r="H420">
        <v>2</v>
      </c>
      <c r="I420" t="s">
        <v>596</v>
      </c>
      <c r="J420" s="39">
        <v>46049.339583333298</v>
      </c>
      <c r="K420" s="39">
        <v>46049</v>
      </c>
      <c r="L420" t="str">
        <f t="shared" si="18"/>
        <v>2026-01</v>
      </c>
      <c r="M420" t="s">
        <v>595</v>
      </c>
      <c r="N420">
        <v>16</v>
      </c>
      <c r="O420">
        <v>3</v>
      </c>
      <c r="P420">
        <v>1</v>
      </c>
      <c r="Q420">
        <v>1</v>
      </c>
      <c r="R420">
        <v>1</v>
      </c>
      <c r="S420" t="s">
        <v>94</v>
      </c>
      <c r="T420">
        <v>2</v>
      </c>
      <c r="U420">
        <v>1</v>
      </c>
      <c r="V420">
        <f t="shared" si="19"/>
        <v>1</v>
      </c>
      <c r="W420" t="str">
        <f t="shared" si="20"/>
        <v>Met</v>
      </c>
    </row>
    <row r="421" spans="1:23" x14ac:dyDescent="0.2">
      <c r="A421">
        <v>7601714430</v>
      </c>
      <c r="B421">
        <v>541</v>
      </c>
      <c r="C421" t="s">
        <v>158</v>
      </c>
      <c r="D421" t="s">
        <v>147</v>
      </c>
      <c r="E421" t="s">
        <v>159</v>
      </c>
      <c r="F421" t="s">
        <v>254</v>
      </c>
      <c r="G421" t="s">
        <v>253</v>
      </c>
      <c r="H421">
        <v>2</v>
      </c>
      <c r="I421" t="s">
        <v>594</v>
      </c>
      <c r="J421" s="39">
        <v>46039.486203703702</v>
      </c>
      <c r="K421" s="39">
        <v>46039</v>
      </c>
      <c r="L421" t="str">
        <f t="shared" si="18"/>
        <v>2026-01</v>
      </c>
      <c r="M421" t="s">
        <v>595</v>
      </c>
      <c r="N421">
        <v>16</v>
      </c>
      <c r="O421">
        <v>2.2999999999999998</v>
      </c>
      <c r="P421">
        <v>0</v>
      </c>
      <c r="Q421">
        <v>0</v>
      </c>
      <c r="R421">
        <v>0</v>
      </c>
      <c r="S421" t="s">
        <v>94</v>
      </c>
      <c r="T421">
        <v>2</v>
      </c>
      <c r="U421">
        <v>1</v>
      </c>
      <c r="V421" t="str">
        <f t="shared" si="19"/>
        <v/>
      </c>
      <c r="W421" t="str">
        <f t="shared" si="20"/>
        <v>Not Eligible</v>
      </c>
    </row>
    <row r="422" spans="1:23" x14ac:dyDescent="0.2">
      <c r="A422">
        <v>7616005133</v>
      </c>
      <c r="B422">
        <v>536</v>
      </c>
      <c r="C422" t="s">
        <v>155</v>
      </c>
      <c r="D422" t="s">
        <v>147</v>
      </c>
      <c r="E422" t="s">
        <v>134</v>
      </c>
      <c r="F422" t="s">
        <v>345</v>
      </c>
      <c r="G422" t="s">
        <v>344</v>
      </c>
      <c r="H422">
        <v>2</v>
      </c>
      <c r="I422" t="s">
        <v>594</v>
      </c>
      <c r="J422" s="39">
        <v>46182.386307870402</v>
      </c>
      <c r="K422" s="39">
        <v>46183</v>
      </c>
      <c r="L422" t="str">
        <f t="shared" si="18"/>
        <v>2026-06</v>
      </c>
      <c r="M422" t="s">
        <v>595</v>
      </c>
      <c r="N422">
        <v>16</v>
      </c>
      <c r="O422">
        <v>33.380000000000003</v>
      </c>
      <c r="P422">
        <v>0</v>
      </c>
      <c r="Q422">
        <v>0</v>
      </c>
      <c r="R422">
        <v>0</v>
      </c>
      <c r="S422" t="s">
        <v>94</v>
      </c>
      <c r="T422">
        <v>1</v>
      </c>
      <c r="V422" t="str">
        <f t="shared" si="19"/>
        <v/>
      </c>
      <c r="W422" t="str">
        <f t="shared" si="20"/>
        <v>Not Eligible</v>
      </c>
    </row>
    <row r="423" spans="1:23" x14ac:dyDescent="0.2">
      <c r="A423">
        <v>7602703644</v>
      </c>
      <c r="B423">
        <v>715</v>
      </c>
      <c r="C423" t="s">
        <v>222</v>
      </c>
      <c r="D423" t="s">
        <v>223</v>
      </c>
      <c r="E423" t="s">
        <v>215</v>
      </c>
      <c r="F423" t="s">
        <v>256</v>
      </c>
      <c r="G423" t="s">
        <v>255</v>
      </c>
      <c r="H423">
        <v>2</v>
      </c>
      <c r="I423" t="s">
        <v>596</v>
      </c>
      <c r="J423" s="39">
        <v>46049.350115740701</v>
      </c>
      <c r="K423" s="39">
        <v>46051</v>
      </c>
      <c r="L423" t="str">
        <f t="shared" si="18"/>
        <v>2026-01</v>
      </c>
      <c r="M423" t="s">
        <v>595</v>
      </c>
      <c r="N423">
        <v>16</v>
      </c>
      <c r="O423">
        <v>53.1</v>
      </c>
      <c r="P423">
        <v>0</v>
      </c>
      <c r="Q423">
        <v>0</v>
      </c>
      <c r="R423">
        <v>1</v>
      </c>
      <c r="S423" t="s">
        <v>94</v>
      </c>
      <c r="T423">
        <v>1</v>
      </c>
      <c r="V423">
        <f t="shared" si="19"/>
        <v>0</v>
      </c>
      <c r="W423" t="str">
        <f t="shared" si="20"/>
        <v>Missed</v>
      </c>
    </row>
    <row r="424" spans="1:23" x14ac:dyDescent="0.2">
      <c r="A424">
        <v>7618706707</v>
      </c>
      <c r="B424">
        <v>631</v>
      </c>
      <c r="C424" t="s">
        <v>179</v>
      </c>
      <c r="D424" t="s">
        <v>180</v>
      </c>
      <c r="E424" t="s">
        <v>181</v>
      </c>
      <c r="F424" t="s">
        <v>262</v>
      </c>
      <c r="G424" t="s">
        <v>261</v>
      </c>
      <c r="H424">
        <v>2</v>
      </c>
      <c r="I424" t="s">
        <v>596</v>
      </c>
      <c r="J424" s="39">
        <v>46209.582013888903</v>
      </c>
      <c r="K424" s="39">
        <v>46213</v>
      </c>
      <c r="L424" t="str">
        <f t="shared" si="18"/>
        <v>2026-07</v>
      </c>
      <c r="M424" t="s">
        <v>595</v>
      </c>
      <c r="N424">
        <v>16</v>
      </c>
      <c r="O424">
        <v>95.15</v>
      </c>
      <c r="P424">
        <v>0</v>
      </c>
      <c r="Q424">
        <v>0</v>
      </c>
      <c r="R424">
        <v>1</v>
      </c>
      <c r="S424" t="s">
        <v>94</v>
      </c>
      <c r="T424">
        <v>0</v>
      </c>
      <c r="U424">
        <v>0</v>
      </c>
      <c r="V424">
        <f t="shared" si="19"/>
        <v>0</v>
      </c>
      <c r="W424" t="str">
        <f t="shared" si="20"/>
        <v>Missed</v>
      </c>
    </row>
    <row r="425" spans="1:23" x14ac:dyDescent="0.2">
      <c r="A425">
        <v>7612805451</v>
      </c>
      <c r="B425">
        <v>642</v>
      </c>
      <c r="C425" t="s">
        <v>199</v>
      </c>
      <c r="D425" t="s">
        <v>200</v>
      </c>
      <c r="E425" t="s">
        <v>178</v>
      </c>
      <c r="F425" t="s">
        <v>268</v>
      </c>
      <c r="G425" t="s">
        <v>267</v>
      </c>
      <c r="H425">
        <v>2</v>
      </c>
      <c r="I425" t="s">
        <v>596</v>
      </c>
      <c r="J425" s="39">
        <v>46150.738460648201</v>
      </c>
      <c r="K425" s="39">
        <v>46151</v>
      </c>
      <c r="L425" t="str">
        <f t="shared" si="18"/>
        <v>2026-05</v>
      </c>
      <c r="M425" t="s">
        <v>595</v>
      </c>
      <c r="N425">
        <v>0</v>
      </c>
      <c r="O425">
        <v>14.77</v>
      </c>
      <c r="P425">
        <v>1</v>
      </c>
      <c r="Q425">
        <v>1</v>
      </c>
      <c r="R425">
        <v>1</v>
      </c>
      <c r="S425" t="s">
        <v>94</v>
      </c>
      <c r="T425">
        <v>2</v>
      </c>
      <c r="U425">
        <v>1</v>
      </c>
      <c r="V425">
        <f t="shared" si="19"/>
        <v>1</v>
      </c>
      <c r="W425" t="str">
        <f t="shared" si="20"/>
        <v>Met</v>
      </c>
    </row>
    <row r="426" spans="1:23" x14ac:dyDescent="0.2">
      <c r="A426">
        <v>7602701547</v>
      </c>
      <c r="B426">
        <v>925</v>
      </c>
      <c r="C426" t="s">
        <v>233</v>
      </c>
      <c r="D426" t="s">
        <v>234</v>
      </c>
      <c r="E426" t="s">
        <v>226</v>
      </c>
      <c r="F426" t="s">
        <v>314</v>
      </c>
      <c r="G426" t="s">
        <v>313</v>
      </c>
      <c r="H426">
        <v>2</v>
      </c>
      <c r="I426" t="s">
        <v>596</v>
      </c>
      <c r="J426" s="39">
        <v>46049.718518518501</v>
      </c>
      <c r="K426" s="39">
        <v>46050</v>
      </c>
      <c r="L426" t="str">
        <f t="shared" si="18"/>
        <v>2026-01</v>
      </c>
      <c r="M426" t="s">
        <v>595</v>
      </c>
      <c r="N426">
        <v>16</v>
      </c>
      <c r="O426">
        <v>21.8</v>
      </c>
      <c r="P426">
        <v>1</v>
      </c>
      <c r="Q426">
        <v>1</v>
      </c>
      <c r="R426">
        <v>1</v>
      </c>
      <c r="S426" t="s">
        <v>94</v>
      </c>
      <c r="T426">
        <v>2</v>
      </c>
      <c r="U426">
        <v>1</v>
      </c>
      <c r="V426">
        <f t="shared" si="19"/>
        <v>1</v>
      </c>
      <c r="W426" t="str">
        <f t="shared" si="20"/>
        <v>Met</v>
      </c>
    </row>
    <row r="427" spans="1:23" x14ac:dyDescent="0.2">
      <c r="A427">
        <v>7526603218</v>
      </c>
      <c r="B427">
        <v>636</v>
      </c>
      <c r="C427" t="s">
        <v>190</v>
      </c>
      <c r="D427" t="s">
        <v>191</v>
      </c>
      <c r="E427" t="s">
        <v>181</v>
      </c>
      <c r="F427" t="s">
        <v>386</v>
      </c>
      <c r="G427" t="s">
        <v>385</v>
      </c>
      <c r="H427">
        <v>2</v>
      </c>
      <c r="I427" t="s">
        <v>596</v>
      </c>
      <c r="J427" s="39">
        <v>45923.304386574098</v>
      </c>
      <c r="K427" s="39">
        <v>45923</v>
      </c>
      <c r="L427" t="str">
        <f t="shared" si="18"/>
        <v>2025-09</v>
      </c>
      <c r="M427" t="s">
        <v>595</v>
      </c>
      <c r="N427">
        <v>16</v>
      </c>
      <c r="O427">
        <v>3.23</v>
      </c>
      <c r="P427">
        <v>1</v>
      </c>
      <c r="Q427">
        <v>1</v>
      </c>
      <c r="R427">
        <v>1</v>
      </c>
      <c r="S427" t="s">
        <v>95</v>
      </c>
      <c r="T427">
        <v>0</v>
      </c>
      <c r="V427">
        <f t="shared" si="19"/>
        <v>1</v>
      </c>
      <c r="W427" t="str">
        <f t="shared" si="20"/>
        <v>Met</v>
      </c>
    </row>
    <row r="428" spans="1:23" x14ac:dyDescent="0.2">
      <c r="A428">
        <v>7603003615</v>
      </c>
      <c r="B428">
        <v>643</v>
      </c>
      <c r="C428" t="s">
        <v>201</v>
      </c>
      <c r="D428" t="s">
        <v>202</v>
      </c>
      <c r="E428" t="s">
        <v>178</v>
      </c>
      <c r="F428" t="s">
        <v>284</v>
      </c>
      <c r="G428" t="s">
        <v>283</v>
      </c>
      <c r="H428">
        <v>2</v>
      </c>
      <c r="I428" t="s">
        <v>594</v>
      </c>
      <c r="J428" s="39">
        <v>46052.498703703699</v>
      </c>
      <c r="K428" s="39">
        <v>46052</v>
      </c>
      <c r="L428" t="str">
        <f t="shared" si="18"/>
        <v>2026-01</v>
      </c>
      <c r="M428" t="s">
        <v>595</v>
      </c>
      <c r="N428">
        <v>16</v>
      </c>
      <c r="O428">
        <v>4.05</v>
      </c>
      <c r="P428">
        <v>0</v>
      </c>
      <c r="Q428">
        <v>0</v>
      </c>
      <c r="R428">
        <v>0</v>
      </c>
      <c r="S428" t="s">
        <v>94</v>
      </c>
      <c r="T428">
        <v>1</v>
      </c>
      <c r="V428" t="str">
        <f t="shared" si="19"/>
        <v/>
      </c>
      <c r="W428" t="str">
        <f t="shared" si="20"/>
        <v>Not Eligible</v>
      </c>
    </row>
    <row r="429" spans="1:23" x14ac:dyDescent="0.2">
      <c r="A429">
        <v>7605404745</v>
      </c>
      <c r="B429">
        <v>639</v>
      </c>
      <c r="C429" t="s">
        <v>195</v>
      </c>
      <c r="D429" t="s">
        <v>196</v>
      </c>
      <c r="E429" t="s">
        <v>181</v>
      </c>
      <c r="F429" t="s">
        <v>256</v>
      </c>
      <c r="G429" t="s">
        <v>255</v>
      </c>
      <c r="H429">
        <v>1</v>
      </c>
      <c r="I429" t="s">
        <v>596</v>
      </c>
      <c r="J429" s="39">
        <v>46076.351041666698</v>
      </c>
      <c r="K429" s="39">
        <v>46076</v>
      </c>
      <c r="L429" t="str">
        <f t="shared" si="18"/>
        <v>2026-02</v>
      </c>
      <c r="M429" t="s">
        <v>595</v>
      </c>
      <c r="N429">
        <v>0</v>
      </c>
      <c r="O429">
        <v>4.25</v>
      </c>
      <c r="P429">
        <v>1</v>
      </c>
      <c r="Q429">
        <v>1</v>
      </c>
      <c r="R429">
        <v>1</v>
      </c>
      <c r="S429" t="s">
        <v>94</v>
      </c>
      <c r="T429">
        <v>2</v>
      </c>
      <c r="U429">
        <v>1</v>
      </c>
      <c r="V429">
        <f t="shared" si="19"/>
        <v>1</v>
      </c>
      <c r="W429" t="str">
        <f t="shared" si="20"/>
        <v>Met</v>
      </c>
    </row>
    <row r="430" spans="1:23" x14ac:dyDescent="0.2">
      <c r="A430">
        <v>7619303051</v>
      </c>
      <c r="B430">
        <v>524</v>
      </c>
      <c r="C430" t="s">
        <v>137</v>
      </c>
      <c r="D430" t="s">
        <v>138</v>
      </c>
      <c r="E430" t="s">
        <v>134</v>
      </c>
      <c r="F430" t="s">
        <v>294</v>
      </c>
      <c r="G430" t="s">
        <v>293</v>
      </c>
      <c r="H430">
        <v>2</v>
      </c>
      <c r="I430" t="s">
        <v>596</v>
      </c>
      <c r="J430" s="39">
        <v>46215.559826388897</v>
      </c>
      <c r="K430" s="39">
        <v>46216</v>
      </c>
      <c r="L430" t="str">
        <f t="shared" si="18"/>
        <v>2026-07</v>
      </c>
      <c r="M430" t="s">
        <v>595</v>
      </c>
      <c r="N430">
        <v>16</v>
      </c>
      <c r="O430">
        <v>29.43</v>
      </c>
      <c r="P430">
        <v>0</v>
      </c>
      <c r="Q430">
        <v>0</v>
      </c>
      <c r="R430">
        <v>1</v>
      </c>
      <c r="S430" t="s">
        <v>94</v>
      </c>
      <c r="T430">
        <v>1</v>
      </c>
      <c r="V430">
        <f t="shared" si="19"/>
        <v>0</v>
      </c>
      <c r="W430" t="str">
        <f t="shared" si="20"/>
        <v>Missed</v>
      </c>
    </row>
    <row r="431" spans="1:23" x14ac:dyDescent="0.2">
      <c r="A431">
        <v>7532102334</v>
      </c>
      <c r="B431">
        <v>647</v>
      </c>
      <c r="C431" t="s">
        <v>207</v>
      </c>
      <c r="D431" t="s">
        <v>208</v>
      </c>
      <c r="E431" t="s">
        <v>178</v>
      </c>
      <c r="F431" t="s">
        <v>406</v>
      </c>
      <c r="G431" t="s">
        <v>405</v>
      </c>
      <c r="H431">
        <v>2</v>
      </c>
      <c r="I431" t="s">
        <v>596</v>
      </c>
      <c r="J431" s="39">
        <v>45977.811562499999</v>
      </c>
      <c r="K431" s="39">
        <v>45982</v>
      </c>
      <c r="L431" t="str">
        <f t="shared" si="18"/>
        <v>2025-11</v>
      </c>
      <c r="M431" t="s">
        <v>595</v>
      </c>
      <c r="N431">
        <v>16</v>
      </c>
      <c r="O431">
        <v>114.17</v>
      </c>
      <c r="P431">
        <v>0</v>
      </c>
      <c r="Q431">
        <v>0</v>
      </c>
      <c r="R431">
        <v>1</v>
      </c>
      <c r="S431" t="s">
        <v>95</v>
      </c>
      <c r="T431">
        <v>0</v>
      </c>
      <c r="V431">
        <f t="shared" si="19"/>
        <v>0</v>
      </c>
      <c r="W431" t="str">
        <f t="shared" si="20"/>
        <v>Missed</v>
      </c>
    </row>
    <row r="432" spans="1:23" x14ac:dyDescent="0.2">
      <c r="A432">
        <v>7529302451</v>
      </c>
      <c r="B432">
        <v>544</v>
      </c>
      <c r="C432" t="s">
        <v>164</v>
      </c>
      <c r="D432" t="s">
        <v>165</v>
      </c>
      <c r="E432" t="s">
        <v>159</v>
      </c>
      <c r="F432" t="s">
        <v>254</v>
      </c>
      <c r="G432" t="s">
        <v>253</v>
      </c>
      <c r="H432">
        <v>2</v>
      </c>
      <c r="I432" t="s">
        <v>594</v>
      </c>
      <c r="J432" s="39">
        <v>45950.660277777803</v>
      </c>
      <c r="K432" s="39">
        <v>45953</v>
      </c>
      <c r="L432" t="str">
        <f t="shared" si="18"/>
        <v>2025-10</v>
      </c>
      <c r="M432" t="s">
        <v>595</v>
      </c>
      <c r="N432">
        <v>16</v>
      </c>
      <c r="O432">
        <v>72</v>
      </c>
      <c r="P432">
        <v>0</v>
      </c>
      <c r="Q432">
        <v>0</v>
      </c>
      <c r="R432">
        <v>0</v>
      </c>
      <c r="S432" t="s">
        <v>95</v>
      </c>
      <c r="T432">
        <v>0</v>
      </c>
      <c r="V432" t="str">
        <f t="shared" si="19"/>
        <v/>
      </c>
      <c r="W432" t="str">
        <f t="shared" si="20"/>
        <v>Not Eligible</v>
      </c>
    </row>
    <row r="433" spans="1:23" x14ac:dyDescent="0.2">
      <c r="A433">
        <v>7528104550</v>
      </c>
      <c r="B433">
        <v>642</v>
      </c>
      <c r="C433" t="s">
        <v>199</v>
      </c>
      <c r="D433" t="s">
        <v>200</v>
      </c>
      <c r="E433" t="s">
        <v>178</v>
      </c>
      <c r="F433" t="s">
        <v>298</v>
      </c>
      <c r="G433" t="s">
        <v>297</v>
      </c>
      <c r="H433">
        <v>2</v>
      </c>
      <c r="I433" t="s">
        <v>596</v>
      </c>
      <c r="J433" s="39">
        <v>45938.624722222201</v>
      </c>
      <c r="K433" s="39">
        <v>45938</v>
      </c>
      <c r="L433" t="str">
        <f t="shared" si="18"/>
        <v>2025-10</v>
      </c>
      <c r="M433" t="s">
        <v>595</v>
      </c>
      <c r="N433">
        <v>16</v>
      </c>
      <c r="O433">
        <v>2.42</v>
      </c>
      <c r="P433">
        <v>1</v>
      </c>
      <c r="Q433">
        <v>1</v>
      </c>
      <c r="R433">
        <v>1</v>
      </c>
      <c r="S433" t="s">
        <v>95</v>
      </c>
      <c r="T433">
        <v>0</v>
      </c>
      <c r="V433">
        <f t="shared" si="19"/>
        <v>1</v>
      </c>
      <c r="W433" t="str">
        <f t="shared" si="20"/>
        <v>Met</v>
      </c>
    </row>
    <row r="434" spans="1:23" x14ac:dyDescent="0.2">
      <c r="A434">
        <v>7621704608</v>
      </c>
      <c r="B434">
        <v>923</v>
      </c>
      <c r="C434" t="s">
        <v>231</v>
      </c>
      <c r="D434" t="s">
        <v>232</v>
      </c>
      <c r="E434" t="s">
        <v>226</v>
      </c>
      <c r="F434" t="s">
        <v>337</v>
      </c>
      <c r="G434" t="s">
        <v>336</v>
      </c>
      <c r="H434">
        <v>2</v>
      </c>
      <c r="I434" t="s">
        <v>594</v>
      </c>
      <c r="J434" s="39">
        <v>46239.756921296299</v>
      </c>
      <c r="K434" s="39">
        <v>46240</v>
      </c>
      <c r="L434" t="str">
        <f t="shared" si="18"/>
        <v>2026-08</v>
      </c>
      <c r="M434" t="s">
        <v>595</v>
      </c>
      <c r="N434">
        <v>16</v>
      </c>
      <c r="O434">
        <v>19.350000000000001</v>
      </c>
      <c r="P434">
        <v>0</v>
      </c>
      <c r="Q434">
        <v>0</v>
      </c>
      <c r="R434">
        <v>0</v>
      </c>
      <c r="S434" t="s">
        <v>94</v>
      </c>
      <c r="T434">
        <v>2</v>
      </c>
      <c r="U434">
        <v>1</v>
      </c>
      <c r="V434" t="str">
        <f t="shared" si="19"/>
        <v/>
      </c>
      <c r="W434" t="str">
        <f t="shared" si="20"/>
        <v>Not Eligible</v>
      </c>
    </row>
    <row r="435" spans="1:23" x14ac:dyDescent="0.2">
      <c r="A435">
        <v>7611911313</v>
      </c>
      <c r="B435">
        <v>639</v>
      </c>
      <c r="C435" t="s">
        <v>195</v>
      </c>
      <c r="D435" t="s">
        <v>196</v>
      </c>
      <c r="E435" t="s">
        <v>181</v>
      </c>
      <c r="F435" t="s">
        <v>312</v>
      </c>
      <c r="G435" t="s">
        <v>311</v>
      </c>
      <c r="H435">
        <v>2</v>
      </c>
      <c r="I435" t="s">
        <v>596</v>
      </c>
      <c r="J435" s="39">
        <v>46141.325057870403</v>
      </c>
      <c r="K435" s="39">
        <v>46141</v>
      </c>
      <c r="L435" t="str">
        <f t="shared" si="18"/>
        <v>2026-04</v>
      </c>
      <c r="M435" t="s">
        <v>600</v>
      </c>
      <c r="N435">
        <v>0</v>
      </c>
      <c r="O435">
        <v>0.88</v>
      </c>
      <c r="P435">
        <v>1</v>
      </c>
      <c r="Q435">
        <v>1</v>
      </c>
      <c r="R435">
        <v>1</v>
      </c>
      <c r="S435" t="s">
        <v>94</v>
      </c>
      <c r="T435">
        <v>1</v>
      </c>
      <c r="V435">
        <f t="shared" si="19"/>
        <v>1</v>
      </c>
      <c r="W435" t="str">
        <f t="shared" si="20"/>
        <v>Met</v>
      </c>
    </row>
    <row r="436" spans="1:23" x14ac:dyDescent="0.2">
      <c r="A436">
        <v>7611004578</v>
      </c>
      <c r="B436">
        <v>529</v>
      </c>
      <c r="C436" t="s">
        <v>145</v>
      </c>
      <c r="D436" t="s">
        <v>133</v>
      </c>
      <c r="E436" t="s">
        <v>134</v>
      </c>
      <c r="F436" t="s">
        <v>280</v>
      </c>
      <c r="G436" t="s">
        <v>279</v>
      </c>
      <c r="H436">
        <v>1</v>
      </c>
      <c r="I436" t="s">
        <v>594</v>
      </c>
      <c r="J436" s="39">
        <v>46132.389039351903</v>
      </c>
      <c r="K436" s="39">
        <v>46132</v>
      </c>
      <c r="L436" t="str">
        <f t="shared" si="18"/>
        <v>2026-04</v>
      </c>
      <c r="M436" t="s">
        <v>595</v>
      </c>
      <c r="N436">
        <v>0</v>
      </c>
      <c r="O436">
        <v>6.58</v>
      </c>
      <c r="P436">
        <v>1</v>
      </c>
      <c r="Q436">
        <v>1</v>
      </c>
      <c r="R436">
        <v>1</v>
      </c>
      <c r="S436" t="s">
        <v>94</v>
      </c>
      <c r="T436">
        <v>2</v>
      </c>
      <c r="U436">
        <v>1</v>
      </c>
      <c r="V436">
        <f t="shared" si="19"/>
        <v>1</v>
      </c>
      <c r="W436" t="str">
        <f t="shared" si="20"/>
        <v>Met</v>
      </c>
    </row>
    <row r="437" spans="1:23" x14ac:dyDescent="0.2">
      <c r="A437">
        <v>7620804260</v>
      </c>
      <c r="B437">
        <v>921</v>
      </c>
      <c r="C437" t="s">
        <v>229</v>
      </c>
      <c r="D437" t="s">
        <v>230</v>
      </c>
      <c r="E437" t="s">
        <v>226</v>
      </c>
      <c r="F437" t="s">
        <v>276</v>
      </c>
      <c r="G437" t="s">
        <v>275</v>
      </c>
      <c r="H437">
        <v>1</v>
      </c>
      <c r="I437" t="s">
        <v>594</v>
      </c>
      <c r="J437" s="39">
        <v>46230.452731481499</v>
      </c>
      <c r="K437" s="39">
        <v>46230</v>
      </c>
      <c r="L437" t="str">
        <f t="shared" si="18"/>
        <v>2026-07</v>
      </c>
      <c r="M437" t="s">
        <v>595</v>
      </c>
      <c r="N437">
        <v>12</v>
      </c>
      <c r="O437">
        <v>3.37</v>
      </c>
      <c r="P437">
        <v>0</v>
      </c>
      <c r="Q437">
        <v>0</v>
      </c>
      <c r="R437">
        <v>0</v>
      </c>
      <c r="S437" t="s">
        <v>94</v>
      </c>
      <c r="T437">
        <v>2</v>
      </c>
      <c r="U437">
        <v>1</v>
      </c>
      <c r="V437" t="str">
        <f t="shared" si="19"/>
        <v/>
      </c>
      <c r="W437" t="str">
        <f t="shared" si="20"/>
        <v>Not Eligible</v>
      </c>
    </row>
    <row r="438" spans="1:23" x14ac:dyDescent="0.2">
      <c r="A438">
        <v>7612905155</v>
      </c>
      <c r="B438">
        <v>642</v>
      </c>
      <c r="C438" t="s">
        <v>199</v>
      </c>
      <c r="D438" t="s">
        <v>200</v>
      </c>
      <c r="E438" t="s">
        <v>178</v>
      </c>
      <c r="F438" t="s">
        <v>268</v>
      </c>
      <c r="G438" t="s">
        <v>267</v>
      </c>
      <c r="H438">
        <v>2</v>
      </c>
      <c r="I438" t="s">
        <v>596</v>
      </c>
      <c r="J438" s="39">
        <v>46151.480520833298</v>
      </c>
      <c r="K438" s="39">
        <v>46151</v>
      </c>
      <c r="L438" t="str">
        <f t="shared" si="18"/>
        <v>2026-05</v>
      </c>
      <c r="M438" t="s">
        <v>595</v>
      </c>
      <c r="N438">
        <v>0</v>
      </c>
      <c r="O438">
        <v>0.62</v>
      </c>
      <c r="P438">
        <v>1</v>
      </c>
      <c r="Q438">
        <v>1</v>
      </c>
      <c r="R438">
        <v>1</v>
      </c>
      <c r="S438" t="s">
        <v>94</v>
      </c>
      <c r="T438">
        <v>2</v>
      </c>
      <c r="U438">
        <v>1</v>
      </c>
      <c r="V438">
        <f t="shared" si="19"/>
        <v>1</v>
      </c>
      <c r="W438" t="str">
        <f t="shared" si="20"/>
        <v>Met</v>
      </c>
    </row>
    <row r="439" spans="1:23" x14ac:dyDescent="0.2">
      <c r="A439">
        <v>7607105720</v>
      </c>
      <c r="B439">
        <v>533</v>
      </c>
      <c r="C439" t="s">
        <v>149</v>
      </c>
      <c r="D439" t="s">
        <v>150</v>
      </c>
      <c r="E439" t="s">
        <v>134</v>
      </c>
      <c r="F439" t="s">
        <v>491</v>
      </c>
      <c r="G439" t="s">
        <v>490</v>
      </c>
      <c r="H439">
        <v>2</v>
      </c>
      <c r="I439" t="s">
        <v>594</v>
      </c>
      <c r="J439" s="39">
        <v>46093.471342592602</v>
      </c>
      <c r="K439" s="39">
        <v>46095</v>
      </c>
      <c r="L439" t="str">
        <f t="shared" si="18"/>
        <v>2026-03</v>
      </c>
      <c r="M439" t="s">
        <v>595</v>
      </c>
      <c r="N439">
        <v>0</v>
      </c>
      <c r="O439">
        <v>54.05</v>
      </c>
      <c r="P439">
        <v>1</v>
      </c>
      <c r="Q439">
        <v>1</v>
      </c>
      <c r="R439">
        <v>1</v>
      </c>
      <c r="S439" t="s">
        <v>94</v>
      </c>
      <c r="T439">
        <v>1</v>
      </c>
      <c r="V439">
        <f t="shared" si="19"/>
        <v>1</v>
      </c>
      <c r="W439" t="str">
        <f t="shared" si="20"/>
        <v>Met</v>
      </c>
    </row>
    <row r="440" spans="1:23" x14ac:dyDescent="0.2">
      <c r="A440">
        <v>7611913094</v>
      </c>
      <c r="B440">
        <v>637</v>
      </c>
      <c r="C440" t="s">
        <v>192</v>
      </c>
      <c r="D440" t="s">
        <v>193</v>
      </c>
      <c r="E440" t="s">
        <v>181</v>
      </c>
      <c r="F440" t="s">
        <v>272</v>
      </c>
      <c r="G440" t="s">
        <v>271</v>
      </c>
      <c r="H440">
        <v>2</v>
      </c>
      <c r="I440" t="s">
        <v>596</v>
      </c>
      <c r="J440" s="39">
        <v>46141.519456018497</v>
      </c>
      <c r="K440" s="39">
        <v>46143</v>
      </c>
      <c r="L440" t="str">
        <f t="shared" si="18"/>
        <v>2026-05</v>
      </c>
      <c r="M440" t="s">
        <v>595</v>
      </c>
      <c r="N440">
        <v>16</v>
      </c>
      <c r="O440">
        <v>54.75</v>
      </c>
      <c r="P440">
        <v>0</v>
      </c>
      <c r="Q440">
        <v>0</v>
      </c>
      <c r="R440">
        <v>1</v>
      </c>
      <c r="S440" t="s">
        <v>94</v>
      </c>
      <c r="T440">
        <v>1</v>
      </c>
      <c r="V440">
        <f t="shared" si="19"/>
        <v>0</v>
      </c>
      <c r="W440" t="str">
        <f t="shared" si="20"/>
        <v>Missed</v>
      </c>
    </row>
    <row r="441" spans="1:23" x14ac:dyDescent="0.2">
      <c r="A441">
        <v>7525102648</v>
      </c>
      <c r="B441">
        <v>931</v>
      </c>
      <c r="C441" t="s">
        <v>242</v>
      </c>
      <c r="D441" t="s">
        <v>243</v>
      </c>
      <c r="E441" t="s">
        <v>226</v>
      </c>
      <c r="F441" t="s">
        <v>374</v>
      </c>
      <c r="G441" t="s">
        <v>373</v>
      </c>
      <c r="H441">
        <v>2</v>
      </c>
      <c r="I441" t="s">
        <v>596</v>
      </c>
      <c r="J441" s="39">
        <v>45908.461145833302</v>
      </c>
      <c r="K441" s="39">
        <v>45916</v>
      </c>
      <c r="L441" t="str">
        <f t="shared" si="18"/>
        <v>2025-09</v>
      </c>
      <c r="M441" t="s">
        <v>595</v>
      </c>
      <c r="N441">
        <v>16</v>
      </c>
      <c r="O441">
        <v>194.65</v>
      </c>
      <c r="P441">
        <v>0</v>
      </c>
      <c r="Q441">
        <v>0</v>
      </c>
      <c r="R441">
        <v>1</v>
      </c>
      <c r="S441" t="s">
        <v>94</v>
      </c>
      <c r="T441">
        <v>1</v>
      </c>
      <c r="V441">
        <f t="shared" si="19"/>
        <v>0</v>
      </c>
      <c r="W441" t="str">
        <f t="shared" si="20"/>
        <v>Missed</v>
      </c>
    </row>
    <row r="442" spans="1:23" x14ac:dyDescent="0.2">
      <c r="A442">
        <v>7528102259</v>
      </c>
      <c r="B442">
        <v>637</v>
      </c>
      <c r="C442" t="s">
        <v>192</v>
      </c>
      <c r="D442" t="s">
        <v>193</v>
      </c>
      <c r="E442" t="s">
        <v>181</v>
      </c>
      <c r="F442" t="s">
        <v>272</v>
      </c>
      <c r="G442" t="s">
        <v>271</v>
      </c>
      <c r="H442">
        <v>2</v>
      </c>
      <c r="I442" t="s">
        <v>596</v>
      </c>
      <c r="J442" s="39">
        <v>45937.813067129602</v>
      </c>
      <c r="K442" s="39">
        <v>45940</v>
      </c>
      <c r="L442" t="str">
        <f t="shared" si="18"/>
        <v>2025-10</v>
      </c>
      <c r="M442" t="s">
        <v>595</v>
      </c>
      <c r="N442">
        <v>16</v>
      </c>
      <c r="O442">
        <v>67.55</v>
      </c>
      <c r="P442">
        <v>0</v>
      </c>
      <c r="Q442">
        <v>0</v>
      </c>
      <c r="R442">
        <v>1</v>
      </c>
      <c r="S442" t="s">
        <v>95</v>
      </c>
      <c r="T442">
        <v>0</v>
      </c>
      <c r="V442">
        <f t="shared" si="19"/>
        <v>0</v>
      </c>
      <c r="W442" t="str">
        <f t="shared" si="20"/>
        <v>Missed</v>
      </c>
    </row>
    <row r="443" spans="1:23" x14ac:dyDescent="0.2">
      <c r="A443">
        <v>7604002696</v>
      </c>
      <c r="B443">
        <v>962</v>
      </c>
      <c r="C443" t="s">
        <v>244</v>
      </c>
      <c r="D443" t="s">
        <v>245</v>
      </c>
      <c r="E443" t="s">
        <v>246</v>
      </c>
      <c r="F443" t="s">
        <v>527</v>
      </c>
      <c r="G443" t="s">
        <v>526</v>
      </c>
      <c r="H443">
        <v>2</v>
      </c>
      <c r="I443" t="s">
        <v>596</v>
      </c>
      <c r="J443" s="39">
        <v>46062.6159259259</v>
      </c>
      <c r="K443" s="39">
        <v>46062</v>
      </c>
      <c r="L443" t="str">
        <f t="shared" si="18"/>
        <v>2026-02</v>
      </c>
      <c r="M443" t="s">
        <v>595</v>
      </c>
      <c r="N443">
        <v>0</v>
      </c>
      <c r="O443">
        <v>1.52</v>
      </c>
      <c r="P443">
        <v>1</v>
      </c>
      <c r="Q443">
        <v>1</v>
      </c>
      <c r="R443">
        <v>1</v>
      </c>
      <c r="S443" t="s">
        <v>94</v>
      </c>
      <c r="T443">
        <v>2</v>
      </c>
      <c r="U443">
        <v>1</v>
      </c>
      <c r="V443">
        <f t="shared" si="19"/>
        <v>1</v>
      </c>
      <c r="W443" t="str">
        <f t="shared" si="20"/>
        <v>Met</v>
      </c>
    </row>
    <row r="444" spans="1:23" x14ac:dyDescent="0.2">
      <c r="A444">
        <v>7521905065</v>
      </c>
      <c r="B444">
        <v>493</v>
      </c>
      <c r="C444" t="s">
        <v>116</v>
      </c>
      <c r="D444" t="s">
        <v>117</v>
      </c>
      <c r="E444" t="s">
        <v>111</v>
      </c>
      <c r="F444" t="s">
        <v>358</v>
      </c>
      <c r="G444" t="s">
        <v>357</v>
      </c>
      <c r="H444">
        <v>2</v>
      </c>
      <c r="I444" t="s">
        <v>594</v>
      </c>
      <c r="J444" s="39">
        <v>45876.571412037003</v>
      </c>
      <c r="K444" s="39">
        <v>45877</v>
      </c>
      <c r="L444" t="str">
        <f t="shared" si="18"/>
        <v>2025-08</v>
      </c>
      <c r="M444" t="s">
        <v>595</v>
      </c>
      <c r="N444">
        <v>16</v>
      </c>
      <c r="O444">
        <v>23.4</v>
      </c>
      <c r="P444">
        <v>0</v>
      </c>
      <c r="Q444">
        <v>0</v>
      </c>
      <c r="R444">
        <v>0</v>
      </c>
      <c r="S444" t="s">
        <v>95</v>
      </c>
      <c r="T444">
        <v>0</v>
      </c>
      <c r="V444" t="str">
        <f t="shared" si="19"/>
        <v/>
      </c>
      <c r="W444" t="str">
        <f t="shared" si="20"/>
        <v>Not Eligible</v>
      </c>
    </row>
    <row r="445" spans="1:23" x14ac:dyDescent="0.2">
      <c r="A445">
        <v>7610100982</v>
      </c>
      <c r="B445">
        <v>638</v>
      </c>
      <c r="C445" t="s">
        <v>194</v>
      </c>
      <c r="D445" t="s">
        <v>147</v>
      </c>
      <c r="E445" t="s">
        <v>181</v>
      </c>
      <c r="F445" t="s">
        <v>361</v>
      </c>
      <c r="G445" t="s">
        <v>360</v>
      </c>
      <c r="H445">
        <v>2</v>
      </c>
      <c r="I445" t="s">
        <v>596</v>
      </c>
      <c r="J445" s="39">
        <v>46123.344756944498</v>
      </c>
      <c r="K445" s="39">
        <v>46123</v>
      </c>
      <c r="L445" t="str">
        <f t="shared" si="18"/>
        <v>2026-04</v>
      </c>
      <c r="M445" t="s">
        <v>595</v>
      </c>
      <c r="N445">
        <v>0</v>
      </c>
      <c r="O445">
        <v>1.77</v>
      </c>
      <c r="P445">
        <v>1</v>
      </c>
      <c r="Q445">
        <v>1</v>
      </c>
      <c r="R445">
        <v>1</v>
      </c>
      <c r="S445" t="s">
        <v>94</v>
      </c>
      <c r="T445">
        <v>2</v>
      </c>
      <c r="U445">
        <v>1</v>
      </c>
      <c r="V445">
        <f t="shared" si="19"/>
        <v>1</v>
      </c>
      <c r="W445" t="str">
        <f t="shared" si="20"/>
        <v>Met</v>
      </c>
    </row>
    <row r="446" spans="1:23" x14ac:dyDescent="0.2">
      <c r="A446">
        <v>7605504477</v>
      </c>
      <c r="B446">
        <v>544</v>
      </c>
      <c r="C446" t="s">
        <v>164</v>
      </c>
      <c r="D446" t="s">
        <v>165</v>
      </c>
      <c r="E446" t="s">
        <v>159</v>
      </c>
      <c r="F446" t="s">
        <v>286</v>
      </c>
      <c r="G446" t="s">
        <v>285</v>
      </c>
      <c r="H446">
        <v>1</v>
      </c>
      <c r="I446" t="s">
        <v>596</v>
      </c>
      <c r="J446" s="39">
        <v>46077.386435185203</v>
      </c>
      <c r="K446" s="39">
        <v>46077</v>
      </c>
      <c r="L446" t="str">
        <f t="shared" si="18"/>
        <v>2026-02</v>
      </c>
      <c r="M446" t="s">
        <v>595</v>
      </c>
      <c r="N446">
        <v>0</v>
      </c>
      <c r="O446">
        <v>3.03</v>
      </c>
      <c r="P446">
        <v>1</v>
      </c>
      <c r="Q446">
        <v>1</v>
      </c>
      <c r="R446">
        <v>1</v>
      </c>
      <c r="S446" t="s">
        <v>94</v>
      </c>
      <c r="T446">
        <v>2</v>
      </c>
      <c r="U446">
        <v>1</v>
      </c>
      <c r="V446">
        <f t="shared" si="19"/>
        <v>1</v>
      </c>
      <c r="W446" t="str">
        <f t="shared" si="20"/>
        <v>Met</v>
      </c>
    </row>
    <row r="447" spans="1:23" x14ac:dyDescent="0.2">
      <c r="A447">
        <v>7613400055</v>
      </c>
      <c r="B447">
        <v>634</v>
      </c>
      <c r="C447" t="s">
        <v>186</v>
      </c>
      <c r="D447" t="s">
        <v>187</v>
      </c>
      <c r="E447" t="s">
        <v>181</v>
      </c>
      <c r="F447" t="s">
        <v>380</v>
      </c>
      <c r="G447" t="s">
        <v>379</v>
      </c>
      <c r="H447">
        <v>2</v>
      </c>
      <c r="I447" t="s">
        <v>596</v>
      </c>
      <c r="J447" s="39">
        <v>46156.612650463001</v>
      </c>
      <c r="K447" s="39">
        <v>46157</v>
      </c>
      <c r="L447" t="str">
        <f t="shared" si="18"/>
        <v>2026-05</v>
      </c>
      <c r="M447" t="s">
        <v>595</v>
      </c>
      <c r="N447">
        <v>0</v>
      </c>
      <c r="O447">
        <v>24.5</v>
      </c>
      <c r="P447">
        <v>1</v>
      </c>
      <c r="Q447">
        <v>1</v>
      </c>
      <c r="R447">
        <v>1</v>
      </c>
      <c r="S447" t="s">
        <v>94</v>
      </c>
      <c r="T447">
        <v>2</v>
      </c>
      <c r="U447">
        <v>1</v>
      </c>
      <c r="V447">
        <f t="shared" si="19"/>
        <v>1</v>
      </c>
      <c r="W447" t="str">
        <f t="shared" si="20"/>
        <v>Met</v>
      </c>
    </row>
    <row r="448" spans="1:23" x14ac:dyDescent="0.2">
      <c r="A448">
        <v>7534008605</v>
      </c>
      <c r="B448">
        <v>532</v>
      </c>
      <c r="C448" t="s">
        <v>148</v>
      </c>
      <c r="D448" t="s">
        <v>133</v>
      </c>
      <c r="E448" t="s">
        <v>134</v>
      </c>
      <c r="F448" t="s">
        <v>280</v>
      </c>
      <c r="G448" t="s">
        <v>279</v>
      </c>
      <c r="H448">
        <v>2</v>
      </c>
      <c r="I448" t="s">
        <v>596</v>
      </c>
      <c r="J448" s="39">
        <v>45997.695567129602</v>
      </c>
      <c r="K448" s="39">
        <v>46000</v>
      </c>
      <c r="L448" t="str">
        <f t="shared" si="18"/>
        <v>2025-12</v>
      </c>
      <c r="M448" t="s">
        <v>595</v>
      </c>
      <c r="N448">
        <v>16</v>
      </c>
      <c r="O448">
        <v>70.95</v>
      </c>
      <c r="P448">
        <v>0</v>
      </c>
      <c r="Q448">
        <v>0</v>
      </c>
      <c r="R448">
        <v>1</v>
      </c>
      <c r="S448" t="s">
        <v>95</v>
      </c>
      <c r="T448">
        <v>0</v>
      </c>
      <c r="V448">
        <f t="shared" si="19"/>
        <v>0</v>
      </c>
      <c r="W448" t="str">
        <f t="shared" si="20"/>
        <v>Missed</v>
      </c>
    </row>
    <row r="449" spans="1:23" x14ac:dyDescent="0.2">
      <c r="A449">
        <v>7605300847</v>
      </c>
      <c r="B449">
        <v>643</v>
      </c>
      <c r="C449" t="s">
        <v>201</v>
      </c>
      <c r="D449" t="s">
        <v>202</v>
      </c>
      <c r="E449" t="s">
        <v>178</v>
      </c>
      <c r="F449" t="s">
        <v>426</v>
      </c>
      <c r="G449" t="s">
        <v>425</v>
      </c>
      <c r="H449">
        <v>2</v>
      </c>
      <c r="I449" t="s">
        <v>594</v>
      </c>
      <c r="J449" s="39">
        <v>46075.387812499997</v>
      </c>
      <c r="K449" s="39">
        <v>46077</v>
      </c>
      <c r="L449" t="str">
        <f t="shared" si="18"/>
        <v>2026-02</v>
      </c>
      <c r="M449" t="s">
        <v>595</v>
      </c>
      <c r="N449">
        <v>0</v>
      </c>
      <c r="O449">
        <v>55</v>
      </c>
      <c r="P449">
        <v>1</v>
      </c>
      <c r="Q449">
        <v>1</v>
      </c>
      <c r="R449">
        <v>1</v>
      </c>
      <c r="S449" t="s">
        <v>94</v>
      </c>
      <c r="T449">
        <v>1</v>
      </c>
      <c r="V449">
        <f t="shared" si="19"/>
        <v>1</v>
      </c>
      <c r="W449" t="str">
        <f t="shared" si="20"/>
        <v>Met</v>
      </c>
    </row>
    <row r="450" spans="1:23" x14ac:dyDescent="0.2">
      <c r="A450">
        <v>7609800368</v>
      </c>
      <c r="B450">
        <v>929</v>
      </c>
      <c r="C450" t="s">
        <v>240</v>
      </c>
      <c r="D450" t="s">
        <v>241</v>
      </c>
      <c r="E450" t="s">
        <v>226</v>
      </c>
      <c r="F450" t="s">
        <v>288</v>
      </c>
      <c r="G450" t="s">
        <v>287</v>
      </c>
      <c r="H450">
        <v>2</v>
      </c>
      <c r="I450" t="s">
        <v>599</v>
      </c>
      <c r="J450" s="39">
        <v>46120.717962962997</v>
      </c>
      <c r="K450" s="39">
        <v>46121</v>
      </c>
      <c r="L450" t="str">
        <f t="shared" ref="L450:L513" si="21">IF(K450="","",TEXT(K450,"YYYY-MM"))</f>
        <v>2026-04</v>
      </c>
      <c r="M450" t="s">
        <v>595</v>
      </c>
      <c r="N450">
        <v>0</v>
      </c>
      <c r="O450">
        <v>19.170000000000002</v>
      </c>
      <c r="P450">
        <v>1</v>
      </c>
      <c r="Q450">
        <v>1</v>
      </c>
      <c r="R450">
        <v>1</v>
      </c>
      <c r="S450" t="s">
        <v>94</v>
      </c>
      <c r="T450">
        <v>1</v>
      </c>
      <c r="V450">
        <f t="shared" ref="V450:V513" si="22">IF(R450=0,"",IF(U450&lt;&gt;"",U450,Q450))</f>
        <v>1</v>
      </c>
      <c r="W450" t="str">
        <f t="shared" ref="W450:W513" si="23">IF(R450=0,"Not Eligible",IF(V450=1,"Met","Missed"))</f>
        <v>Met</v>
      </c>
    </row>
    <row r="451" spans="1:23" x14ac:dyDescent="0.2">
      <c r="A451">
        <v>7615305792</v>
      </c>
      <c r="B451">
        <v>929</v>
      </c>
      <c r="C451" t="s">
        <v>240</v>
      </c>
      <c r="D451" t="s">
        <v>241</v>
      </c>
      <c r="E451" t="s">
        <v>226</v>
      </c>
      <c r="F451" t="s">
        <v>320</v>
      </c>
      <c r="G451" t="s">
        <v>319</v>
      </c>
      <c r="H451">
        <v>2</v>
      </c>
      <c r="I451" t="s">
        <v>596</v>
      </c>
      <c r="J451" s="39">
        <v>46175.449895833299</v>
      </c>
      <c r="K451" s="39">
        <v>46176</v>
      </c>
      <c r="L451" t="str">
        <f t="shared" si="21"/>
        <v>2026-06</v>
      </c>
      <c r="M451" t="s">
        <v>595</v>
      </c>
      <c r="N451">
        <v>16</v>
      </c>
      <c r="O451">
        <v>24.5</v>
      </c>
      <c r="P451">
        <v>1</v>
      </c>
      <c r="Q451">
        <v>1</v>
      </c>
      <c r="R451">
        <v>1</v>
      </c>
      <c r="S451" t="s">
        <v>94</v>
      </c>
      <c r="T451">
        <v>2</v>
      </c>
      <c r="U451">
        <v>1</v>
      </c>
      <c r="V451">
        <f t="shared" si="22"/>
        <v>1</v>
      </c>
      <c r="W451" t="str">
        <f t="shared" si="23"/>
        <v>Met</v>
      </c>
    </row>
    <row r="452" spans="1:23" x14ac:dyDescent="0.2">
      <c r="A452">
        <v>7615903435</v>
      </c>
      <c r="B452">
        <v>632</v>
      </c>
      <c r="C452" t="s">
        <v>182</v>
      </c>
      <c r="D452" t="s">
        <v>183</v>
      </c>
      <c r="E452" t="s">
        <v>181</v>
      </c>
      <c r="F452" t="s">
        <v>256</v>
      </c>
      <c r="G452" t="s">
        <v>255</v>
      </c>
      <c r="H452">
        <v>2</v>
      </c>
      <c r="I452" t="s">
        <v>596</v>
      </c>
      <c r="J452" s="39">
        <v>46181.508784722202</v>
      </c>
      <c r="K452" s="39">
        <v>46182</v>
      </c>
      <c r="L452" t="str">
        <f t="shared" si="21"/>
        <v>2026-06</v>
      </c>
      <c r="M452" t="s">
        <v>595</v>
      </c>
      <c r="N452">
        <v>16</v>
      </c>
      <c r="O452">
        <v>30.95</v>
      </c>
      <c r="P452">
        <v>0</v>
      </c>
      <c r="Q452">
        <v>0</v>
      </c>
      <c r="R452">
        <v>1</v>
      </c>
      <c r="S452" t="s">
        <v>94</v>
      </c>
      <c r="T452">
        <v>1</v>
      </c>
      <c r="V452">
        <f t="shared" si="22"/>
        <v>0</v>
      </c>
      <c r="W452" t="str">
        <f t="shared" si="23"/>
        <v>Missed</v>
      </c>
    </row>
    <row r="453" spans="1:23" x14ac:dyDescent="0.2">
      <c r="A453">
        <v>7528501566</v>
      </c>
      <c r="B453">
        <v>647</v>
      </c>
      <c r="C453" t="s">
        <v>207</v>
      </c>
      <c r="D453" t="s">
        <v>208</v>
      </c>
      <c r="E453" t="s">
        <v>178</v>
      </c>
      <c r="F453" t="s">
        <v>292</v>
      </c>
      <c r="G453" t="s">
        <v>291</v>
      </c>
      <c r="H453">
        <v>2</v>
      </c>
      <c r="I453" t="s">
        <v>596</v>
      </c>
      <c r="J453" s="39">
        <v>45942.761018518497</v>
      </c>
      <c r="K453" s="39">
        <v>45944</v>
      </c>
      <c r="L453" t="str">
        <f t="shared" si="21"/>
        <v>2025-10</v>
      </c>
      <c r="M453" t="s">
        <v>595</v>
      </c>
      <c r="N453">
        <v>16</v>
      </c>
      <c r="O453">
        <v>48</v>
      </c>
      <c r="P453">
        <v>0</v>
      </c>
      <c r="Q453">
        <v>0</v>
      </c>
      <c r="R453">
        <v>1</v>
      </c>
      <c r="S453" t="s">
        <v>94</v>
      </c>
      <c r="T453">
        <v>1</v>
      </c>
      <c r="V453">
        <f t="shared" si="22"/>
        <v>0</v>
      </c>
      <c r="W453" t="str">
        <f t="shared" si="23"/>
        <v>Missed</v>
      </c>
    </row>
    <row r="454" spans="1:23" x14ac:dyDescent="0.2">
      <c r="A454">
        <v>7526004045</v>
      </c>
      <c r="B454">
        <v>701</v>
      </c>
      <c r="C454" t="s">
        <v>213</v>
      </c>
      <c r="D454" t="s">
        <v>214</v>
      </c>
      <c r="E454" t="s">
        <v>215</v>
      </c>
      <c r="F454" t="s">
        <v>390</v>
      </c>
      <c r="G454" t="s">
        <v>389</v>
      </c>
      <c r="H454">
        <v>2</v>
      </c>
      <c r="I454" t="s">
        <v>599</v>
      </c>
      <c r="J454" s="39">
        <v>45917.511712963002</v>
      </c>
      <c r="K454" s="39">
        <v>45922</v>
      </c>
      <c r="L454" t="str">
        <f t="shared" si="21"/>
        <v>2025-09</v>
      </c>
      <c r="M454" t="s">
        <v>595</v>
      </c>
      <c r="N454">
        <v>16</v>
      </c>
      <c r="O454">
        <v>123.03</v>
      </c>
      <c r="P454">
        <v>0</v>
      </c>
      <c r="Q454">
        <v>0</v>
      </c>
      <c r="R454">
        <v>0</v>
      </c>
      <c r="S454" t="s">
        <v>95</v>
      </c>
      <c r="T454">
        <v>0</v>
      </c>
      <c r="V454" t="str">
        <f t="shared" si="22"/>
        <v/>
      </c>
      <c r="W454" t="str">
        <f t="shared" si="23"/>
        <v>Not Eligible</v>
      </c>
    </row>
    <row r="455" spans="1:23" x14ac:dyDescent="0.2">
      <c r="A455">
        <v>7612602206</v>
      </c>
      <c r="B455">
        <v>637</v>
      </c>
      <c r="C455" t="s">
        <v>192</v>
      </c>
      <c r="D455" t="s">
        <v>193</v>
      </c>
      <c r="E455" t="s">
        <v>181</v>
      </c>
      <c r="F455" t="s">
        <v>272</v>
      </c>
      <c r="G455" t="s">
        <v>271</v>
      </c>
      <c r="H455">
        <v>2</v>
      </c>
      <c r="I455" t="s">
        <v>596</v>
      </c>
      <c r="J455" s="39">
        <v>46148.355509259301</v>
      </c>
      <c r="K455" s="39">
        <v>46148</v>
      </c>
      <c r="L455" t="str">
        <f t="shared" si="21"/>
        <v>2026-05</v>
      </c>
      <c r="M455" t="s">
        <v>595</v>
      </c>
      <c r="N455">
        <v>0</v>
      </c>
      <c r="O455">
        <v>4.53</v>
      </c>
      <c r="P455">
        <v>1</v>
      </c>
      <c r="Q455">
        <v>1</v>
      </c>
      <c r="R455">
        <v>1</v>
      </c>
      <c r="S455" t="s">
        <v>94</v>
      </c>
      <c r="T455">
        <v>2</v>
      </c>
      <c r="U455">
        <v>1</v>
      </c>
      <c r="V455">
        <f t="shared" si="22"/>
        <v>1</v>
      </c>
      <c r="W455" t="str">
        <f t="shared" si="23"/>
        <v>Met</v>
      </c>
    </row>
    <row r="456" spans="1:23" x14ac:dyDescent="0.2">
      <c r="A456">
        <v>7603301471</v>
      </c>
      <c r="B456">
        <v>533</v>
      </c>
      <c r="C456" t="s">
        <v>149</v>
      </c>
      <c r="D456" t="s">
        <v>150</v>
      </c>
      <c r="E456" t="s">
        <v>134</v>
      </c>
      <c r="F456" t="s">
        <v>376</v>
      </c>
      <c r="G456" t="s">
        <v>375</v>
      </c>
      <c r="H456">
        <v>2</v>
      </c>
      <c r="I456" t="s">
        <v>594</v>
      </c>
      <c r="J456" s="39">
        <v>46054.807094907403</v>
      </c>
      <c r="K456" s="39">
        <v>46056</v>
      </c>
      <c r="L456" t="str">
        <f t="shared" si="21"/>
        <v>2026-02</v>
      </c>
      <c r="M456" t="s">
        <v>595</v>
      </c>
      <c r="N456">
        <v>0</v>
      </c>
      <c r="O456">
        <v>38.729999999999997</v>
      </c>
      <c r="P456">
        <v>1</v>
      </c>
      <c r="Q456">
        <v>1</v>
      </c>
      <c r="R456">
        <v>1</v>
      </c>
      <c r="S456" t="s">
        <v>94</v>
      </c>
      <c r="T456">
        <v>1</v>
      </c>
      <c r="V456">
        <f t="shared" si="22"/>
        <v>1</v>
      </c>
      <c r="W456" t="str">
        <f t="shared" si="23"/>
        <v>Met</v>
      </c>
    </row>
    <row r="457" spans="1:23" x14ac:dyDescent="0.2">
      <c r="A457">
        <v>7521704674</v>
      </c>
      <c r="B457">
        <v>546</v>
      </c>
      <c r="C457" t="s">
        <v>168</v>
      </c>
      <c r="D457" t="s">
        <v>169</v>
      </c>
      <c r="E457" t="s">
        <v>159</v>
      </c>
      <c r="F457" t="s">
        <v>254</v>
      </c>
      <c r="G457" t="s">
        <v>253</v>
      </c>
      <c r="H457">
        <v>2</v>
      </c>
      <c r="I457" t="s">
        <v>596</v>
      </c>
      <c r="J457" s="39">
        <v>45874.583518518499</v>
      </c>
      <c r="K457" s="39">
        <v>45902</v>
      </c>
      <c r="L457" t="str">
        <f t="shared" si="21"/>
        <v>2025-09</v>
      </c>
      <c r="M457" t="s">
        <v>595</v>
      </c>
      <c r="N457">
        <v>16</v>
      </c>
      <c r="O457">
        <v>672.22</v>
      </c>
      <c r="P457">
        <v>0</v>
      </c>
      <c r="Q457">
        <v>0</v>
      </c>
      <c r="R457">
        <v>1</v>
      </c>
      <c r="S457" t="s">
        <v>94</v>
      </c>
      <c r="T457">
        <v>1</v>
      </c>
      <c r="V457">
        <f t="shared" si="22"/>
        <v>0</v>
      </c>
      <c r="W457" t="str">
        <f t="shared" si="23"/>
        <v>Missed</v>
      </c>
    </row>
    <row r="458" spans="1:23" x14ac:dyDescent="0.2">
      <c r="A458">
        <v>7528401309</v>
      </c>
      <c r="B458">
        <v>541</v>
      </c>
      <c r="C458" t="s">
        <v>158</v>
      </c>
      <c r="D458" t="s">
        <v>147</v>
      </c>
      <c r="E458" t="s">
        <v>159</v>
      </c>
      <c r="F458" t="s">
        <v>254</v>
      </c>
      <c r="G458" t="s">
        <v>253</v>
      </c>
      <c r="H458">
        <v>1</v>
      </c>
      <c r="I458" t="s">
        <v>594</v>
      </c>
      <c r="J458" s="39">
        <v>45941.589664351901</v>
      </c>
      <c r="K458" s="39">
        <v>45944</v>
      </c>
      <c r="L458" t="str">
        <f t="shared" si="21"/>
        <v>2025-10</v>
      </c>
      <c r="M458" t="s">
        <v>595</v>
      </c>
      <c r="N458">
        <v>12</v>
      </c>
      <c r="O458">
        <v>73.83</v>
      </c>
      <c r="P458">
        <v>0</v>
      </c>
      <c r="Q458">
        <v>0</v>
      </c>
      <c r="R458">
        <v>0</v>
      </c>
      <c r="S458" t="s">
        <v>95</v>
      </c>
      <c r="T458">
        <v>0</v>
      </c>
      <c r="V458" t="str">
        <f t="shared" si="22"/>
        <v/>
      </c>
      <c r="W458" t="str">
        <f t="shared" si="23"/>
        <v>Not Eligible</v>
      </c>
    </row>
    <row r="459" spans="1:23" x14ac:dyDescent="0.2">
      <c r="A459">
        <v>7607501594</v>
      </c>
      <c r="B459">
        <v>931</v>
      </c>
      <c r="C459" t="s">
        <v>242</v>
      </c>
      <c r="D459" t="s">
        <v>243</v>
      </c>
      <c r="E459" t="s">
        <v>226</v>
      </c>
      <c r="F459" t="s">
        <v>316</v>
      </c>
      <c r="G459" t="s">
        <v>315</v>
      </c>
      <c r="H459">
        <v>2</v>
      </c>
      <c r="I459" t="s">
        <v>596</v>
      </c>
      <c r="J459" s="39">
        <v>46097.393171296302</v>
      </c>
      <c r="K459" s="39">
        <v>46097</v>
      </c>
      <c r="L459" t="str">
        <f t="shared" si="21"/>
        <v>2026-03</v>
      </c>
      <c r="M459" t="s">
        <v>595</v>
      </c>
      <c r="N459">
        <v>0</v>
      </c>
      <c r="O459">
        <v>1.83</v>
      </c>
      <c r="P459">
        <v>1</v>
      </c>
      <c r="Q459">
        <v>1</v>
      </c>
      <c r="R459">
        <v>1</v>
      </c>
      <c r="S459" t="s">
        <v>94</v>
      </c>
      <c r="T459">
        <v>2</v>
      </c>
      <c r="U459">
        <v>1</v>
      </c>
      <c r="V459">
        <f t="shared" si="22"/>
        <v>1</v>
      </c>
      <c r="W459" t="str">
        <f t="shared" si="23"/>
        <v>Met</v>
      </c>
    </row>
    <row r="460" spans="1:23" x14ac:dyDescent="0.2">
      <c r="A460">
        <v>7618404331</v>
      </c>
      <c r="B460">
        <v>638</v>
      </c>
      <c r="C460" t="s">
        <v>194</v>
      </c>
      <c r="D460" t="s">
        <v>147</v>
      </c>
      <c r="E460" t="s">
        <v>181</v>
      </c>
      <c r="F460" t="s">
        <v>361</v>
      </c>
      <c r="G460" t="s">
        <v>360</v>
      </c>
      <c r="H460">
        <v>2</v>
      </c>
      <c r="I460" t="s">
        <v>596</v>
      </c>
      <c r="J460" s="39">
        <v>46206.6733564815</v>
      </c>
      <c r="K460" s="39">
        <v>46209</v>
      </c>
      <c r="L460" t="str">
        <f t="shared" si="21"/>
        <v>2026-07</v>
      </c>
      <c r="M460" t="s">
        <v>595</v>
      </c>
      <c r="N460">
        <v>16</v>
      </c>
      <c r="O460">
        <v>69.23</v>
      </c>
      <c r="P460">
        <v>0</v>
      </c>
      <c r="Q460">
        <v>0</v>
      </c>
      <c r="R460">
        <v>1</v>
      </c>
      <c r="S460" t="s">
        <v>94</v>
      </c>
      <c r="T460">
        <v>0</v>
      </c>
      <c r="U460">
        <v>0</v>
      </c>
      <c r="V460">
        <f t="shared" si="22"/>
        <v>0</v>
      </c>
      <c r="W460" t="str">
        <f t="shared" si="23"/>
        <v>Missed</v>
      </c>
    </row>
    <row r="461" spans="1:23" x14ac:dyDescent="0.2">
      <c r="A461">
        <v>7610301966</v>
      </c>
      <c r="B461">
        <v>522</v>
      </c>
      <c r="C461" t="s">
        <v>132</v>
      </c>
      <c r="D461" t="s">
        <v>133</v>
      </c>
      <c r="E461" t="s">
        <v>134</v>
      </c>
      <c r="F461" t="s">
        <v>345</v>
      </c>
      <c r="G461" t="s">
        <v>344</v>
      </c>
      <c r="H461">
        <v>2</v>
      </c>
      <c r="I461" t="s">
        <v>596</v>
      </c>
      <c r="J461" s="39">
        <v>46125.384270833303</v>
      </c>
      <c r="K461" s="39">
        <v>46125</v>
      </c>
      <c r="L461" t="str">
        <f t="shared" si="21"/>
        <v>2026-04</v>
      </c>
      <c r="M461" t="s">
        <v>595</v>
      </c>
      <c r="N461">
        <v>0</v>
      </c>
      <c r="O461">
        <v>2.67</v>
      </c>
      <c r="P461">
        <v>1</v>
      </c>
      <c r="Q461">
        <v>1</v>
      </c>
      <c r="R461">
        <v>1</v>
      </c>
      <c r="S461" t="s">
        <v>94</v>
      </c>
      <c r="T461">
        <v>2</v>
      </c>
      <c r="U461">
        <v>1</v>
      </c>
      <c r="V461">
        <f t="shared" si="22"/>
        <v>1</v>
      </c>
      <c r="W461" t="str">
        <f t="shared" si="23"/>
        <v>Met</v>
      </c>
    </row>
    <row r="462" spans="1:23" x14ac:dyDescent="0.2">
      <c r="A462">
        <v>7530704721</v>
      </c>
      <c r="B462">
        <v>645</v>
      </c>
      <c r="C462" t="s">
        <v>205</v>
      </c>
      <c r="D462" t="s">
        <v>206</v>
      </c>
      <c r="E462" t="s">
        <v>178</v>
      </c>
      <c r="F462" t="s">
        <v>426</v>
      </c>
      <c r="G462" t="s">
        <v>425</v>
      </c>
      <c r="H462">
        <v>2</v>
      </c>
      <c r="I462" t="s">
        <v>594</v>
      </c>
      <c r="J462" s="39">
        <v>45964.562569444497</v>
      </c>
      <c r="K462" s="39">
        <v>45964</v>
      </c>
      <c r="L462" t="str">
        <f t="shared" si="21"/>
        <v>2025-11</v>
      </c>
      <c r="M462" t="s">
        <v>595</v>
      </c>
      <c r="N462">
        <v>16</v>
      </c>
      <c r="O462">
        <v>1.57</v>
      </c>
      <c r="P462">
        <v>0</v>
      </c>
      <c r="Q462">
        <v>0</v>
      </c>
      <c r="R462">
        <v>0</v>
      </c>
      <c r="S462" t="s">
        <v>95</v>
      </c>
      <c r="T462">
        <v>0</v>
      </c>
      <c r="V462" t="str">
        <f t="shared" si="22"/>
        <v/>
      </c>
      <c r="W462" t="str">
        <f t="shared" si="23"/>
        <v>Not Eligible</v>
      </c>
    </row>
    <row r="463" spans="1:23" x14ac:dyDescent="0.2">
      <c r="A463">
        <v>7527002112</v>
      </c>
      <c r="B463">
        <v>522</v>
      </c>
      <c r="C463" t="s">
        <v>132</v>
      </c>
      <c r="D463" t="s">
        <v>133</v>
      </c>
      <c r="E463" t="s">
        <v>134</v>
      </c>
      <c r="F463" t="s">
        <v>296</v>
      </c>
      <c r="G463" t="s">
        <v>295</v>
      </c>
      <c r="H463">
        <v>2</v>
      </c>
      <c r="I463" t="s">
        <v>596</v>
      </c>
      <c r="J463" s="39">
        <v>45927.3671875</v>
      </c>
      <c r="K463" s="39">
        <v>45928</v>
      </c>
      <c r="L463" t="str">
        <f t="shared" si="21"/>
        <v>2025-09</v>
      </c>
      <c r="M463" t="s">
        <v>595</v>
      </c>
      <c r="N463">
        <v>16</v>
      </c>
      <c r="O463">
        <v>32.1</v>
      </c>
      <c r="P463">
        <v>0</v>
      </c>
      <c r="Q463">
        <v>0</v>
      </c>
      <c r="R463">
        <v>1</v>
      </c>
      <c r="S463" t="s">
        <v>94</v>
      </c>
      <c r="T463">
        <v>1</v>
      </c>
      <c r="V463">
        <f t="shared" si="22"/>
        <v>0</v>
      </c>
      <c r="W463" t="str">
        <f t="shared" si="23"/>
        <v>Missed</v>
      </c>
    </row>
    <row r="464" spans="1:23" x14ac:dyDescent="0.2">
      <c r="A464">
        <v>7536404230</v>
      </c>
      <c r="B464">
        <v>526</v>
      </c>
      <c r="C464" t="s">
        <v>140</v>
      </c>
      <c r="D464" t="s">
        <v>133</v>
      </c>
      <c r="E464" t="s">
        <v>134</v>
      </c>
      <c r="F464" t="s">
        <v>260</v>
      </c>
      <c r="G464" t="s">
        <v>259</v>
      </c>
      <c r="H464">
        <v>2</v>
      </c>
      <c r="I464" t="s">
        <v>594</v>
      </c>
      <c r="J464" s="39">
        <v>46021.6039467593</v>
      </c>
      <c r="K464" s="39">
        <v>46022</v>
      </c>
      <c r="L464" t="str">
        <f t="shared" si="21"/>
        <v>2025-12</v>
      </c>
      <c r="M464" t="s">
        <v>595</v>
      </c>
      <c r="N464">
        <v>16</v>
      </c>
      <c r="O464">
        <v>22.05</v>
      </c>
      <c r="P464">
        <v>0</v>
      </c>
      <c r="Q464">
        <v>0</v>
      </c>
      <c r="R464">
        <v>0</v>
      </c>
      <c r="S464" t="s">
        <v>94</v>
      </c>
      <c r="T464">
        <v>1</v>
      </c>
      <c r="V464" t="str">
        <f t="shared" si="22"/>
        <v/>
      </c>
      <c r="W464" t="str">
        <f t="shared" si="23"/>
        <v>Not Eligible</v>
      </c>
    </row>
    <row r="465" spans="1:23" x14ac:dyDescent="0.2">
      <c r="A465">
        <v>7526604225</v>
      </c>
      <c r="B465">
        <v>931</v>
      </c>
      <c r="C465" t="s">
        <v>242</v>
      </c>
      <c r="D465" t="s">
        <v>243</v>
      </c>
      <c r="E465" t="s">
        <v>226</v>
      </c>
      <c r="F465" t="s">
        <v>316</v>
      </c>
      <c r="G465" t="s">
        <v>315</v>
      </c>
      <c r="H465">
        <v>2</v>
      </c>
      <c r="I465" t="s">
        <v>596</v>
      </c>
      <c r="J465" s="39">
        <v>45923.428946759297</v>
      </c>
      <c r="K465" s="39">
        <v>45926</v>
      </c>
      <c r="L465" t="str">
        <f t="shared" si="21"/>
        <v>2025-09</v>
      </c>
      <c r="M465" t="s">
        <v>595</v>
      </c>
      <c r="N465">
        <v>16</v>
      </c>
      <c r="O465">
        <v>79.569999999999993</v>
      </c>
      <c r="P465">
        <v>0</v>
      </c>
      <c r="Q465">
        <v>0</v>
      </c>
      <c r="R465">
        <v>1</v>
      </c>
      <c r="S465" t="s">
        <v>94</v>
      </c>
      <c r="T465">
        <v>1</v>
      </c>
      <c r="V465">
        <f t="shared" si="22"/>
        <v>0</v>
      </c>
      <c r="W465" t="str">
        <f t="shared" si="23"/>
        <v>Missed</v>
      </c>
    </row>
    <row r="466" spans="1:23" x14ac:dyDescent="0.2">
      <c r="A466">
        <v>7533106486</v>
      </c>
      <c r="B466">
        <v>497</v>
      </c>
      <c r="C466" t="s">
        <v>125</v>
      </c>
      <c r="D466" t="s">
        <v>126</v>
      </c>
      <c r="E466" t="s">
        <v>124</v>
      </c>
      <c r="F466" t="s">
        <v>459</v>
      </c>
      <c r="G466" t="s">
        <v>458</v>
      </c>
      <c r="H466">
        <v>2</v>
      </c>
      <c r="I466" t="s">
        <v>596</v>
      </c>
      <c r="J466" s="39">
        <v>45988.519502314797</v>
      </c>
      <c r="K466" s="39">
        <v>45989</v>
      </c>
      <c r="L466" t="str">
        <f t="shared" si="21"/>
        <v>2025-11</v>
      </c>
      <c r="M466" t="s">
        <v>595</v>
      </c>
      <c r="N466">
        <v>16</v>
      </c>
      <c r="O466">
        <v>23.65</v>
      </c>
      <c r="P466">
        <v>1</v>
      </c>
      <c r="Q466">
        <v>1</v>
      </c>
      <c r="R466">
        <v>1</v>
      </c>
      <c r="S466" t="s">
        <v>95</v>
      </c>
      <c r="T466">
        <v>0</v>
      </c>
      <c r="V466">
        <f t="shared" si="22"/>
        <v>1</v>
      </c>
      <c r="W466" t="str">
        <f t="shared" si="23"/>
        <v>Met</v>
      </c>
    </row>
    <row r="467" spans="1:23" x14ac:dyDescent="0.2">
      <c r="A467">
        <v>7611909710</v>
      </c>
      <c r="B467">
        <v>923</v>
      </c>
      <c r="C467" t="s">
        <v>231</v>
      </c>
      <c r="D467" t="s">
        <v>232</v>
      </c>
      <c r="E467" t="s">
        <v>226</v>
      </c>
      <c r="F467" t="s">
        <v>475</v>
      </c>
      <c r="G467" t="s">
        <v>474</v>
      </c>
      <c r="H467">
        <v>2</v>
      </c>
      <c r="I467" t="s">
        <v>596</v>
      </c>
      <c r="J467" s="39">
        <v>46140.835960648197</v>
      </c>
      <c r="K467" s="39">
        <v>46144</v>
      </c>
      <c r="L467" t="str">
        <f t="shared" si="21"/>
        <v>2026-05</v>
      </c>
      <c r="M467" t="s">
        <v>595</v>
      </c>
      <c r="N467">
        <v>0</v>
      </c>
      <c r="O467">
        <v>92.23</v>
      </c>
      <c r="P467">
        <v>1</v>
      </c>
      <c r="Q467">
        <v>1</v>
      </c>
      <c r="R467">
        <v>1</v>
      </c>
      <c r="S467" t="s">
        <v>94</v>
      </c>
      <c r="T467">
        <v>1</v>
      </c>
      <c r="V467">
        <f t="shared" si="22"/>
        <v>1</v>
      </c>
      <c r="W467" t="str">
        <f t="shared" si="23"/>
        <v>Met</v>
      </c>
    </row>
    <row r="468" spans="1:23" x14ac:dyDescent="0.2">
      <c r="A468">
        <v>7526410598</v>
      </c>
      <c r="B468">
        <v>494</v>
      </c>
      <c r="C468" t="s">
        <v>118</v>
      </c>
      <c r="D468" t="s">
        <v>119</v>
      </c>
      <c r="E468" t="s">
        <v>111</v>
      </c>
      <c r="F468" t="s">
        <v>262</v>
      </c>
      <c r="G468" t="s">
        <v>261</v>
      </c>
      <c r="H468">
        <v>2</v>
      </c>
      <c r="I468" t="s">
        <v>594</v>
      </c>
      <c r="J468" s="39">
        <v>45921.552245370403</v>
      </c>
      <c r="K468" s="39">
        <v>45921</v>
      </c>
      <c r="L468" t="str">
        <f t="shared" si="21"/>
        <v>2025-09</v>
      </c>
      <c r="M468" t="s">
        <v>595</v>
      </c>
      <c r="N468">
        <v>16</v>
      </c>
      <c r="O468">
        <v>4.88</v>
      </c>
      <c r="P468">
        <v>0</v>
      </c>
      <c r="Q468">
        <v>0</v>
      </c>
      <c r="R468">
        <v>0</v>
      </c>
      <c r="S468" t="s">
        <v>95</v>
      </c>
      <c r="T468">
        <v>0</v>
      </c>
      <c r="V468" t="str">
        <f t="shared" si="22"/>
        <v/>
      </c>
      <c r="W468" t="str">
        <f t="shared" si="23"/>
        <v>Not Eligible</v>
      </c>
    </row>
    <row r="469" spans="1:23" x14ac:dyDescent="0.2">
      <c r="A469">
        <v>7529606427</v>
      </c>
      <c r="B469">
        <v>921</v>
      </c>
      <c r="C469" t="s">
        <v>229</v>
      </c>
      <c r="D469" t="s">
        <v>230</v>
      </c>
      <c r="E469" t="s">
        <v>226</v>
      </c>
      <c r="F469" t="s">
        <v>276</v>
      </c>
      <c r="G469" t="s">
        <v>275</v>
      </c>
      <c r="H469">
        <v>2</v>
      </c>
      <c r="I469" t="s">
        <v>596</v>
      </c>
      <c r="J469" s="39">
        <v>45953.396331018499</v>
      </c>
      <c r="K469" s="39">
        <v>45953</v>
      </c>
      <c r="L469" t="str">
        <f t="shared" si="21"/>
        <v>2025-10</v>
      </c>
      <c r="M469" t="s">
        <v>595</v>
      </c>
      <c r="N469">
        <v>16</v>
      </c>
      <c r="O469">
        <v>5.7</v>
      </c>
      <c r="P469">
        <v>1</v>
      </c>
      <c r="Q469">
        <v>1</v>
      </c>
      <c r="R469">
        <v>1</v>
      </c>
      <c r="S469" t="s">
        <v>95</v>
      </c>
      <c r="T469">
        <v>0</v>
      </c>
      <c r="V469">
        <f t="shared" si="22"/>
        <v>1</v>
      </c>
      <c r="W469" t="str">
        <f t="shared" si="23"/>
        <v>Met</v>
      </c>
    </row>
    <row r="470" spans="1:23" x14ac:dyDescent="0.2">
      <c r="A470">
        <v>7620603857</v>
      </c>
      <c r="B470">
        <v>921</v>
      </c>
      <c r="C470" t="s">
        <v>229</v>
      </c>
      <c r="D470" t="s">
        <v>230</v>
      </c>
      <c r="E470" t="s">
        <v>226</v>
      </c>
      <c r="F470" t="s">
        <v>370</v>
      </c>
      <c r="G470" t="s">
        <v>369</v>
      </c>
      <c r="H470">
        <v>1</v>
      </c>
      <c r="I470" t="s">
        <v>596</v>
      </c>
      <c r="J470" s="39">
        <v>46228.816689814797</v>
      </c>
      <c r="K470" s="39">
        <v>46229</v>
      </c>
      <c r="L470" t="str">
        <f t="shared" si="21"/>
        <v>2026-07</v>
      </c>
      <c r="M470" t="s">
        <v>595</v>
      </c>
      <c r="N470">
        <v>12</v>
      </c>
      <c r="O470">
        <v>18.8</v>
      </c>
      <c r="P470">
        <v>1</v>
      </c>
      <c r="Q470">
        <v>1</v>
      </c>
      <c r="R470">
        <v>1</v>
      </c>
      <c r="S470" t="s">
        <v>94</v>
      </c>
      <c r="T470">
        <v>2</v>
      </c>
      <c r="U470">
        <v>1</v>
      </c>
      <c r="V470">
        <f t="shared" si="22"/>
        <v>1</v>
      </c>
      <c r="W470" t="str">
        <f t="shared" si="23"/>
        <v>Met</v>
      </c>
    </row>
    <row r="471" spans="1:23" x14ac:dyDescent="0.2">
      <c r="A471">
        <v>7600800064</v>
      </c>
      <c r="B471">
        <v>522</v>
      </c>
      <c r="C471" t="s">
        <v>132</v>
      </c>
      <c r="D471" t="s">
        <v>133</v>
      </c>
      <c r="E471" t="s">
        <v>134</v>
      </c>
      <c r="F471" t="s">
        <v>264</v>
      </c>
      <c r="G471" t="s">
        <v>263</v>
      </c>
      <c r="H471">
        <v>2</v>
      </c>
      <c r="I471" t="s">
        <v>596</v>
      </c>
      <c r="J471" s="39">
        <v>46030.602500000001</v>
      </c>
      <c r="K471" s="39">
        <v>46036</v>
      </c>
      <c r="L471" t="str">
        <f t="shared" si="21"/>
        <v>2026-01</v>
      </c>
      <c r="M471" t="s">
        <v>595</v>
      </c>
      <c r="N471">
        <v>16</v>
      </c>
      <c r="O471">
        <v>142.25</v>
      </c>
      <c r="P471">
        <v>0</v>
      </c>
      <c r="Q471">
        <v>0</v>
      </c>
      <c r="R471">
        <v>1</v>
      </c>
      <c r="S471" t="s">
        <v>94</v>
      </c>
      <c r="T471">
        <v>1</v>
      </c>
      <c r="V471">
        <f t="shared" si="22"/>
        <v>0</v>
      </c>
      <c r="W471" t="str">
        <f t="shared" si="23"/>
        <v>Missed</v>
      </c>
    </row>
    <row r="472" spans="1:23" x14ac:dyDescent="0.2">
      <c r="A472">
        <v>7606106128</v>
      </c>
      <c r="B472">
        <v>527</v>
      </c>
      <c r="C472" t="s">
        <v>141</v>
      </c>
      <c r="D472" t="s">
        <v>142</v>
      </c>
      <c r="E472" t="s">
        <v>134</v>
      </c>
      <c r="F472" t="s">
        <v>318</v>
      </c>
      <c r="G472" t="s">
        <v>317</v>
      </c>
      <c r="H472">
        <v>2</v>
      </c>
      <c r="I472" t="s">
        <v>594</v>
      </c>
      <c r="J472" s="39">
        <v>46083.559907407398</v>
      </c>
      <c r="K472" s="39">
        <v>46084</v>
      </c>
      <c r="L472" t="str">
        <f t="shared" si="21"/>
        <v>2026-03</v>
      </c>
      <c r="M472" t="s">
        <v>595</v>
      </c>
      <c r="N472">
        <v>0</v>
      </c>
      <c r="O472">
        <v>27.12</v>
      </c>
      <c r="P472">
        <v>1</v>
      </c>
      <c r="Q472">
        <v>1</v>
      </c>
      <c r="R472">
        <v>1</v>
      </c>
      <c r="S472" t="s">
        <v>94</v>
      </c>
      <c r="T472">
        <v>1</v>
      </c>
      <c r="V472">
        <f t="shared" si="22"/>
        <v>1</v>
      </c>
      <c r="W472" t="str">
        <f t="shared" si="23"/>
        <v>Met</v>
      </c>
    </row>
    <row r="473" spans="1:23" x14ac:dyDescent="0.2">
      <c r="A473">
        <v>7609800384</v>
      </c>
      <c r="B473">
        <v>929</v>
      </c>
      <c r="C473" t="s">
        <v>240</v>
      </c>
      <c r="D473" t="s">
        <v>241</v>
      </c>
      <c r="E473" t="s">
        <v>226</v>
      </c>
      <c r="F473" t="s">
        <v>288</v>
      </c>
      <c r="G473" t="s">
        <v>287</v>
      </c>
      <c r="H473">
        <v>2</v>
      </c>
      <c r="I473" t="s">
        <v>599</v>
      </c>
      <c r="J473" s="39">
        <v>46120.723379629599</v>
      </c>
      <c r="K473" s="39">
        <v>46121</v>
      </c>
      <c r="L473" t="str">
        <f t="shared" si="21"/>
        <v>2026-04</v>
      </c>
      <c r="M473" t="s">
        <v>595</v>
      </c>
      <c r="N473">
        <v>0</v>
      </c>
      <c r="O473">
        <v>20.87</v>
      </c>
      <c r="P473">
        <v>1</v>
      </c>
      <c r="Q473">
        <v>1</v>
      </c>
      <c r="R473">
        <v>1</v>
      </c>
      <c r="S473" t="s">
        <v>94</v>
      </c>
      <c r="T473">
        <v>1</v>
      </c>
      <c r="V473">
        <f t="shared" si="22"/>
        <v>1</v>
      </c>
      <c r="W473" t="str">
        <f t="shared" si="23"/>
        <v>Met</v>
      </c>
    </row>
    <row r="474" spans="1:23" x14ac:dyDescent="0.2">
      <c r="A474">
        <v>7534410310</v>
      </c>
      <c r="B474">
        <v>562</v>
      </c>
      <c r="C474" t="s">
        <v>172</v>
      </c>
      <c r="D474" t="s">
        <v>173</v>
      </c>
      <c r="E474" t="s">
        <v>159</v>
      </c>
      <c r="F474" t="s">
        <v>306</v>
      </c>
      <c r="G474" t="s">
        <v>305</v>
      </c>
      <c r="H474">
        <v>2</v>
      </c>
      <c r="I474" t="s">
        <v>594</v>
      </c>
      <c r="J474" s="39">
        <v>46000.839976851901</v>
      </c>
      <c r="K474" s="39">
        <v>46002</v>
      </c>
      <c r="L474" t="str">
        <f t="shared" si="21"/>
        <v>2025-12</v>
      </c>
      <c r="M474" t="s">
        <v>595</v>
      </c>
      <c r="N474">
        <v>16</v>
      </c>
      <c r="O474">
        <v>39.82</v>
      </c>
      <c r="P474">
        <v>0</v>
      </c>
      <c r="Q474">
        <v>0</v>
      </c>
      <c r="R474">
        <v>0</v>
      </c>
      <c r="S474" t="s">
        <v>95</v>
      </c>
      <c r="T474">
        <v>0</v>
      </c>
      <c r="V474" t="str">
        <f t="shared" si="22"/>
        <v/>
      </c>
      <c r="W474" t="str">
        <f t="shared" si="23"/>
        <v>Not Eligible</v>
      </c>
    </row>
    <row r="475" spans="1:23" x14ac:dyDescent="0.2">
      <c r="A475">
        <v>7619007318</v>
      </c>
      <c r="B475">
        <v>542</v>
      </c>
      <c r="C475" t="s">
        <v>160</v>
      </c>
      <c r="D475" t="s">
        <v>161</v>
      </c>
      <c r="E475" t="s">
        <v>159</v>
      </c>
      <c r="F475" t="s">
        <v>254</v>
      </c>
      <c r="G475" t="s">
        <v>359</v>
      </c>
      <c r="H475">
        <v>2</v>
      </c>
      <c r="I475" t="s">
        <v>596</v>
      </c>
      <c r="J475" s="39">
        <v>46212.336770833303</v>
      </c>
      <c r="K475" s="39">
        <v>46217</v>
      </c>
      <c r="L475" t="str">
        <f t="shared" si="21"/>
        <v>2026-07</v>
      </c>
      <c r="M475" t="s">
        <v>595</v>
      </c>
      <c r="N475">
        <v>16</v>
      </c>
      <c r="O475">
        <v>128.12</v>
      </c>
      <c r="P475">
        <v>0</v>
      </c>
      <c r="Q475">
        <v>0</v>
      </c>
      <c r="R475">
        <v>1</v>
      </c>
      <c r="S475" t="s">
        <v>94</v>
      </c>
      <c r="T475">
        <v>0</v>
      </c>
      <c r="U475">
        <v>0</v>
      </c>
      <c r="V475">
        <f t="shared" si="22"/>
        <v>0</v>
      </c>
      <c r="W475" t="str">
        <f t="shared" si="23"/>
        <v>Missed</v>
      </c>
    </row>
    <row r="476" spans="1:23" x14ac:dyDescent="0.2">
      <c r="A476">
        <v>7527413991</v>
      </c>
      <c r="B476">
        <v>541</v>
      </c>
      <c r="C476" t="s">
        <v>158</v>
      </c>
      <c r="D476" t="s">
        <v>147</v>
      </c>
      <c r="E476" t="s">
        <v>159</v>
      </c>
      <c r="F476" t="s">
        <v>396</v>
      </c>
      <c r="G476" t="s">
        <v>395</v>
      </c>
      <c r="H476">
        <v>2</v>
      </c>
      <c r="I476" t="s">
        <v>596</v>
      </c>
      <c r="J476" s="39">
        <v>45931.356284722198</v>
      </c>
      <c r="K476" s="39">
        <v>45934</v>
      </c>
      <c r="L476" t="str">
        <f t="shared" si="21"/>
        <v>2025-10</v>
      </c>
      <c r="M476" t="s">
        <v>595</v>
      </c>
      <c r="N476">
        <v>16</v>
      </c>
      <c r="O476">
        <v>82.6</v>
      </c>
      <c r="P476">
        <v>0</v>
      </c>
      <c r="Q476">
        <v>0</v>
      </c>
      <c r="R476">
        <v>0</v>
      </c>
      <c r="S476" t="s">
        <v>94</v>
      </c>
      <c r="T476">
        <v>1</v>
      </c>
      <c r="V476" t="str">
        <f t="shared" si="22"/>
        <v/>
      </c>
      <c r="W476" t="str">
        <f t="shared" si="23"/>
        <v>Not Eligible</v>
      </c>
    </row>
    <row r="477" spans="1:23" x14ac:dyDescent="0.2">
      <c r="A477">
        <v>7525703209</v>
      </c>
      <c r="B477">
        <v>494</v>
      </c>
      <c r="C477" t="s">
        <v>118</v>
      </c>
      <c r="D477" t="s">
        <v>119</v>
      </c>
      <c r="E477" t="s">
        <v>111</v>
      </c>
      <c r="F477" t="s">
        <v>262</v>
      </c>
      <c r="G477" t="s">
        <v>261</v>
      </c>
      <c r="H477">
        <v>1</v>
      </c>
      <c r="I477" t="s">
        <v>596</v>
      </c>
      <c r="J477" s="39">
        <v>45914.542314814797</v>
      </c>
      <c r="K477" s="39">
        <v>45914</v>
      </c>
      <c r="L477" t="str">
        <f t="shared" si="21"/>
        <v>2025-09</v>
      </c>
      <c r="M477" t="s">
        <v>595</v>
      </c>
      <c r="N477">
        <v>12</v>
      </c>
      <c r="O477">
        <v>7.68</v>
      </c>
      <c r="P477">
        <v>1</v>
      </c>
      <c r="Q477">
        <v>1</v>
      </c>
      <c r="R477">
        <v>1</v>
      </c>
      <c r="S477" t="s">
        <v>95</v>
      </c>
      <c r="T477">
        <v>0</v>
      </c>
      <c r="V477">
        <f t="shared" si="22"/>
        <v>1</v>
      </c>
      <c r="W477" t="str">
        <f t="shared" si="23"/>
        <v>Met</v>
      </c>
    </row>
    <row r="478" spans="1:23" x14ac:dyDescent="0.2">
      <c r="A478">
        <v>7605703506</v>
      </c>
      <c r="B478">
        <v>541</v>
      </c>
      <c r="C478" t="s">
        <v>158</v>
      </c>
      <c r="D478" t="s">
        <v>147</v>
      </c>
      <c r="E478" t="s">
        <v>159</v>
      </c>
      <c r="F478" t="s">
        <v>286</v>
      </c>
      <c r="G478" t="s">
        <v>285</v>
      </c>
      <c r="H478">
        <v>2</v>
      </c>
      <c r="I478" t="s">
        <v>596</v>
      </c>
      <c r="J478" s="39">
        <v>46079.365740740701</v>
      </c>
      <c r="K478" s="39">
        <v>46083</v>
      </c>
      <c r="L478" t="str">
        <f t="shared" si="21"/>
        <v>2026-03</v>
      </c>
      <c r="M478" t="s">
        <v>595</v>
      </c>
      <c r="N478">
        <v>0</v>
      </c>
      <c r="O478">
        <v>96.52</v>
      </c>
      <c r="P478">
        <v>1</v>
      </c>
      <c r="Q478">
        <v>1</v>
      </c>
      <c r="R478">
        <v>1</v>
      </c>
      <c r="S478" t="s">
        <v>94</v>
      </c>
      <c r="T478">
        <v>0</v>
      </c>
      <c r="U478">
        <v>0</v>
      </c>
      <c r="V478">
        <f t="shared" si="22"/>
        <v>0</v>
      </c>
      <c r="W478" t="str">
        <f t="shared" si="23"/>
        <v>Missed</v>
      </c>
    </row>
    <row r="479" spans="1:23" x14ac:dyDescent="0.2">
      <c r="A479">
        <v>7615412287</v>
      </c>
      <c r="B479">
        <v>710</v>
      </c>
      <c r="C479" t="s">
        <v>220</v>
      </c>
      <c r="D479" t="s">
        <v>221</v>
      </c>
      <c r="E479" t="s">
        <v>215</v>
      </c>
      <c r="F479" t="s">
        <v>324</v>
      </c>
      <c r="G479" t="s">
        <v>356</v>
      </c>
      <c r="H479">
        <v>2</v>
      </c>
      <c r="I479" t="s">
        <v>596</v>
      </c>
      <c r="J479" s="39">
        <v>46176.402106481502</v>
      </c>
      <c r="K479" s="39">
        <v>46177</v>
      </c>
      <c r="L479" t="str">
        <f t="shared" si="21"/>
        <v>2026-06</v>
      </c>
      <c r="M479" t="s">
        <v>595</v>
      </c>
      <c r="N479">
        <v>16</v>
      </c>
      <c r="O479">
        <v>29.75</v>
      </c>
      <c r="P479">
        <v>0</v>
      </c>
      <c r="Q479">
        <v>0</v>
      </c>
      <c r="R479">
        <v>1</v>
      </c>
      <c r="S479" t="s">
        <v>94</v>
      </c>
      <c r="T479">
        <v>1</v>
      </c>
      <c r="V479">
        <f t="shared" si="22"/>
        <v>0</v>
      </c>
      <c r="W479" t="str">
        <f t="shared" si="23"/>
        <v>Missed</v>
      </c>
    </row>
    <row r="480" spans="1:23" x14ac:dyDescent="0.2">
      <c r="A480">
        <v>7525102423</v>
      </c>
      <c r="B480">
        <v>527</v>
      </c>
      <c r="C480" t="s">
        <v>141</v>
      </c>
      <c r="D480" t="s">
        <v>142</v>
      </c>
      <c r="E480" t="s">
        <v>134</v>
      </c>
      <c r="F480" t="s">
        <v>493</v>
      </c>
      <c r="G480" t="s">
        <v>492</v>
      </c>
      <c r="H480">
        <v>2</v>
      </c>
      <c r="I480" t="s">
        <v>596</v>
      </c>
      <c r="J480" s="39">
        <v>45908.395243055602</v>
      </c>
      <c r="K480" s="39">
        <v>45908</v>
      </c>
      <c r="L480" t="str">
        <f t="shared" si="21"/>
        <v>2025-09</v>
      </c>
      <c r="M480" t="s">
        <v>595</v>
      </c>
      <c r="N480">
        <v>16</v>
      </c>
      <c r="O480">
        <v>3.08</v>
      </c>
      <c r="P480">
        <v>0</v>
      </c>
      <c r="Q480">
        <v>0</v>
      </c>
      <c r="R480">
        <v>0</v>
      </c>
      <c r="S480" t="s">
        <v>95</v>
      </c>
      <c r="T480">
        <v>0</v>
      </c>
      <c r="V480" t="str">
        <f t="shared" si="22"/>
        <v/>
      </c>
      <c r="W480" t="str">
        <f t="shared" si="23"/>
        <v>Not Eligible</v>
      </c>
    </row>
    <row r="481" spans="1:23" x14ac:dyDescent="0.2">
      <c r="A481">
        <v>7600815079</v>
      </c>
      <c r="B481">
        <v>492</v>
      </c>
      <c r="C481" t="s">
        <v>114</v>
      </c>
      <c r="D481" t="s">
        <v>115</v>
      </c>
      <c r="E481" t="s">
        <v>111</v>
      </c>
      <c r="F481" t="s">
        <v>258</v>
      </c>
      <c r="G481" t="s">
        <v>257</v>
      </c>
      <c r="H481">
        <v>2</v>
      </c>
      <c r="I481" t="s">
        <v>594</v>
      </c>
      <c r="J481" s="39">
        <v>46030.328206018501</v>
      </c>
      <c r="K481" s="39">
        <v>46030</v>
      </c>
      <c r="L481" t="str">
        <f t="shared" si="21"/>
        <v>2026-01</v>
      </c>
      <c r="M481" t="s">
        <v>595</v>
      </c>
      <c r="N481">
        <v>16</v>
      </c>
      <c r="O481">
        <v>4.72</v>
      </c>
      <c r="P481">
        <v>0</v>
      </c>
      <c r="Q481">
        <v>0</v>
      </c>
      <c r="R481">
        <v>0</v>
      </c>
      <c r="S481" t="s">
        <v>94</v>
      </c>
      <c r="T481">
        <v>2</v>
      </c>
      <c r="U481">
        <v>1</v>
      </c>
      <c r="V481" t="str">
        <f t="shared" si="22"/>
        <v/>
      </c>
      <c r="W481" t="str">
        <f t="shared" si="23"/>
        <v>Not Eligible</v>
      </c>
    </row>
    <row r="482" spans="1:23" x14ac:dyDescent="0.2">
      <c r="A482">
        <v>7603700462</v>
      </c>
      <c r="B482">
        <v>448</v>
      </c>
      <c r="C482" t="s">
        <v>109</v>
      </c>
      <c r="D482" t="s">
        <v>110</v>
      </c>
      <c r="E482" t="s">
        <v>111</v>
      </c>
      <c r="F482" t="s">
        <v>262</v>
      </c>
      <c r="G482" t="s">
        <v>261</v>
      </c>
      <c r="H482">
        <v>2</v>
      </c>
      <c r="I482" t="s">
        <v>594</v>
      </c>
      <c r="J482" s="39">
        <v>46059.631099537</v>
      </c>
      <c r="K482" s="39">
        <v>46060</v>
      </c>
      <c r="L482" t="str">
        <f t="shared" si="21"/>
        <v>2026-02</v>
      </c>
      <c r="M482" t="s">
        <v>595</v>
      </c>
      <c r="N482">
        <v>0</v>
      </c>
      <c r="O482">
        <v>24.8</v>
      </c>
      <c r="P482">
        <v>1</v>
      </c>
      <c r="Q482">
        <v>1</v>
      </c>
      <c r="R482">
        <v>1</v>
      </c>
      <c r="S482" t="s">
        <v>94</v>
      </c>
      <c r="T482">
        <v>2</v>
      </c>
      <c r="U482">
        <v>1</v>
      </c>
      <c r="V482">
        <f t="shared" si="22"/>
        <v>1</v>
      </c>
      <c r="W482" t="str">
        <f t="shared" si="23"/>
        <v>Met</v>
      </c>
    </row>
    <row r="483" spans="1:23" x14ac:dyDescent="0.2">
      <c r="A483">
        <v>7613105738</v>
      </c>
      <c r="B483">
        <v>563</v>
      </c>
      <c r="C483" t="s">
        <v>174</v>
      </c>
      <c r="D483" t="s">
        <v>175</v>
      </c>
      <c r="E483" t="s">
        <v>159</v>
      </c>
      <c r="F483" t="s">
        <v>519</v>
      </c>
      <c r="G483" t="s">
        <v>518</v>
      </c>
      <c r="H483">
        <v>2</v>
      </c>
      <c r="I483" t="s">
        <v>596</v>
      </c>
      <c r="J483" s="39">
        <v>46153.374004629601</v>
      </c>
      <c r="K483" s="39">
        <v>46153</v>
      </c>
      <c r="L483" t="str">
        <f t="shared" si="21"/>
        <v>2026-05</v>
      </c>
      <c r="M483" t="s">
        <v>595</v>
      </c>
      <c r="N483">
        <v>0</v>
      </c>
      <c r="O483">
        <v>5.92</v>
      </c>
      <c r="P483">
        <v>1</v>
      </c>
      <c r="Q483">
        <v>1</v>
      </c>
      <c r="R483">
        <v>1</v>
      </c>
      <c r="S483" t="s">
        <v>94</v>
      </c>
      <c r="T483">
        <v>2</v>
      </c>
      <c r="U483">
        <v>1</v>
      </c>
      <c r="V483">
        <f t="shared" si="22"/>
        <v>1</v>
      </c>
      <c r="W483" t="str">
        <f t="shared" si="23"/>
        <v>Met</v>
      </c>
    </row>
    <row r="484" spans="1:23" x14ac:dyDescent="0.2">
      <c r="A484">
        <v>7600505568</v>
      </c>
      <c r="B484">
        <v>928</v>
      </c>
      <c r="C484" t="s">
        <v>238</v>
      </c>
      <c r="D484" t="s">
        <v>239</v>
      </c>
      <c r="E484" t="s">
        <v>226</v>
      </c>
      <c r="F484" t="s">
        <v>266</v>
      </c>
      <c r="G484" t="s">
        <v>265</v>
      </c>
      <c r="H484">
        <v>2</v>
      </c>
      <c r="I484" t="s">
        <v>596</v>
      </c>
      <c r="J484" s="39">
        <v>46027.388148148202</v>
      </c>
      <c r="K484" s="39">
        <v>46027</v>
      </c>
      <c r="L484" t="str">
        <f t="shared" si="21"/>
        <v>2026-01</v>
      </c>
      <c r="M484" t="s">
        <v>595</v>
      </c>
      <c r="N484">
        <v>16</v>
      </c>
      <c r="O484">
        <v>2.6</v>
      </c>
      <c r="P484">
        <v>1</v>
      </c>
      <c r="Q484">
        <v>1</v>
      </c>
      <c r="R484">
        <v>1</v>
      </c>
      <c r="S484" t="s">
        <v>94</v>
      </c>
      <c r="T484">
        <v>2</v>
      </c>
      <c r="U484">
        <v>1</v>
      </c>
      <c r="V484">
        <f t="shared" si="22"/>
        <v>1</v>
      </c>
      <c r="W484" t="str">
        <f t="shared" si="23"/>
        <v>Met</v>
      </c>
    </row>
    <row r="485" spans="1:23" x14ac:dyDescent="0.2">
      <c r="A485">
        <v>7530800137</v>
      </c>
      <c r="B485">
        <v>649</v>
      </c>
      <c r="C485" t="s">
        <v>211</v>
      </c>
      <c r="D485" t="s">
        <v>212</v>
      </c>
      <c r="E485" t="s">
        <v>178</v>
      </c>
      <c r="F485" t="s">
        <v>282</v>
      </c>
      <c r="G485" t="s">
        <v>281</v>
      </c>
      <c r="H485">
        <v>2</v>
      </c>
      <c r="I485" t="s">
        <v>596</v>
      </c>
      <c r="J485" s="39">
        <v>45965.621724536999</v>
      </c>
      <c r="K485" s="39">
        <v>45966</v>
      </c>
      <c r="L485" t="str">
        <f t="shared" si="21"/>
        <v>2025-11</v>
      </c>
      <c r="M485" t="s">
        <v>595</v>
      </c>
      <c r="N485">
        <v>16</v>
      </c>
      <c r="O485">
        <v>15.52</v>
      </c>
      <c r="P485">
        <v>1</v>
      </c>
      <c r="Q485">
        <v>1</v>
      </c>
      <c r="R485">
        <v>1</v>
      </c>
      <c r="S485" t="s">
        <v>95</v>
      </c>
      <c r="T485">
        <v>0</v>
      </c>
      <c r="V485">
        <f t="shared" si="22"/>
        <v>1</v>
      </c>
      <c r="W485" t="str">
        <f t="shared" si="23"/>
        <v>Met</v>
      </c>
    </row>
    <row r="486" spans="1:23" x14ac:dyDescent="0.2">
      <c r="A486">
        <v>7606605814</v>
      </c>
      <c r="B486">
        <v>497</v>
      </c>
      <c r="C486" t="s">
        <v>125</v>
      </c>
      <c r="D486" t="s">
        <v>126</v>
      </c>
      <c r="E486" t="s">
        <v>124</v>
      </c>
      <c r="F486" t="s">
        <v>364</v>
      </c>
      <c r="G486" t="s">
        <v>363</v>
      </c>
      <c r="H486">
        <v>2</v>
      </c>
      <c r="I486" t="s">
        <v>596</v>
      </c>
      <c r="J486" s="39">
        <v>46088.384826388901</v>
      </c>
      <c r="K486" s="39">
        <v>46088</v>
      </c>
      <c r="L486" t="str">
        <f t="shared" si="21"/>
        <v>2026-03</v>
      </c>
      <c r="M486" t="s">
        <v>595</v>
      </c>
      <c r="N486">
        <v>0</v>
      </c>
      <c r="O486">
        <v>2.78</v>
      </c>
      <c r="P486">
        <v>1</v>
      </c>
      <c r="Q486">
        <v>1</v>
      </c>
      <c r="R486">
        <v>1</v>
      </c>
      <c r="S486" t="s">
        <v>94</v>
      </c>
      <c r="T486">
        <v>2</v>
      </c>
      <c r="U486">
        <v>1</v>
      </c>
      <c r="V486">
        <f t="shared" si="22"/>
        <v>1</v>
      </c>
      <c r="W486" t="str">
        <f t="shared" si="23"/>
        <v>Met</v>
      </c>
    </row>
    <row r="487" spans="1:23" x14ac:dyDescent="0.2">
      <c r="A487">
        <v>7534402582</v>
      </c>
      <c r="B487">
        <v>923</v>
      </c>
      <c r="C487" t="s">
        <v>231</v>
      </c>
      <c r="D487" t="s">
        <v>232</v>
      </c>
      <c r="E487" t="s">
        <v>226</v>
      </c>
      <c r="F487" t="s">
        <v>368</v>
      </c>
      <c r="G487" t="s">
        <v>367</v>
      </c>
      <c r="H487">
        <v>2</v>
      </c>
      <c r="I487" t="s">
        <v>594</v>
      </c>
      <c r="J487" s="39">
        <v>46001.594895833303</v>
      </c>
      <c r="K487" s="39">
        <v>46001</v>
      </c>
      <c r="L487" t="str">
        <f t="shared" si="21"/>
        <v>2025-12</v>
      </c>
      <c r="M487" t="s">
        <v>595</v>
      </c>
      <c r="N487">
        <v>16</v>
      </c>
      <c r="O487">
        <v>2.52</v>
      </c>
      <c r="P487">
        <v>0</v>
      </c>
      <c r="Q487">
        <v>0</v>
      </c>
      <c r="R487">
        <v>0</v>
      </c>
      <c r="S487" t="s">
        <v>95</v>
      </c>
      <c r="T487">
        <v>0</v>
      </c>
      <c r="V487" t="str">
        <f t="shared" si="22"/>
        <v/>
      </c>
      <c r="W487" t="str">
        <f t="shared" si="23"/>
        <v>Not Eligible</v>
      </c>
    </row>
    <row r="488" spans="1:23" x14ac:dyDescent="0.2">
      <c r="A488">
        <v>7605805937</v>
      </c>
      <c r="B488">
        <v>928</v>
      </c>
      <c r="C488" t="s">
        <v>238</v>
      </c>
      <c r="D488" t="s">
        <v>239</v>
      </c>
      <c r="E488" t="s">
        <v>226</v>
      </c>
      <c r="F488" t="s">
        <v>278</v>
      </c>
      <c r="G488" t="s">
        <v>277</v>
      </c>
      <c r="H488">
        <v>1</v>
      </c>
      <c r="I488" t="s">
        <v>596</v>
      </c>
      <c r="J488" s="39">
        <v>46080.400312500002</v>
      </c>
      <c r="K488" s="39">
        <v>46080</v>
      </c>
      <c r="L488" t="str">
        <f t="shared" si="21"/>
        <v>2026-02</v>
      </c>
      <c r="M488" t="s">
        <v>595</v>
      </c>
      <c r="N488">
        <v>0</v>
      </c>
      <c r="O488">
        <v>1.82</v>
      </c>
      <c r="P488">
        <v>1</v>
      </c>
      <c r="Q488">
        <v>1</v>
      </c>
      <c r="R488">
        <v>1</v>
      </c>
      <c r="S488" t="s">
        <v>94</v>
      </c>
      <c r="T488">
        <v>2</v>
      </c>
      <c r="U488">
        <v>1</v>
      </c>
      <c r="V488">
        <f t="shared" si="22"/>
        <v>1</v>
      </c>
      <c r="W488" t="str">
        <f t="shared" si="23"/>
        <v>Met</v>
      </c>
    </row>
    <row r="489" spans="1:23" x14ac:dyDescent="0.2">
      <c r="A489">
        <v>7621902488</v>
      </c>
      <c r="B489">
        <v>524</v>
      </c>
      <c r="C489" t="s">
        <v>137</v>
      </c>
      <c r="D489" t="s">
        <v>138</v>
      </c>
      <c r="E489" t="s">
        <v>134</v>
      </c>
      <c r="F489" t="s">
        <v>422</v>
      </c>
      <c r="G489" t="s">
        <v>421</v>
      </c>
      <c r="H489">
        <v>2</v>
      </c>
      <c r="I489" t="s">
        <v>596</v>
      </c>
      <c r="J489" s="39">
        <v>46241.412638888898</v>
      </c>
      <c r="K489" s="39">
        <v>46241</v>
      </c>
      <c r="L489" t="str">
        <f t="shared" si="21"/>
        <v>2026-08</v>
      </c>
      <c r="M489" t="s">
        <v>595</v>
      </c>
      <c r="N489">
        <v>16</v>
      </c>
      <c r="O489">
        <v>5.62</v>
      </c>
      <c r="P489">
        <v>1</v>
      </c>
      <c r="Q489">
        <v>1</v>
      </c>
      <c r="R489">
        <v>1</v>
      </c>
      <c r="S489" t="s">
        <v>94</v>
      </c>
      <c r="T489">
        <v>2</v>
      </c>
      <c r="U489">
        <v>1</v>
      </c>
      <c r="V489">
        <f t="shared" si="22"/>
        <v>1</v>
      </c>
      <c r="W489" t="str">
        <f t="shared" si="23"/>
        <v>Met</v>
      </c>
    </row>
    <row r="490" spans="1:23" x14ac:dyDescent="0.2">
      <c r="A490">
        <v>7602703660</v>
      </c>
      <c r="B490">
        <v>715</v>
      </c>
      <c r="C490" t="s">
        <v>222</v>
      </c>
      <c r="D490" t="s">
        <v>223</v>
      </c>
      <c r="E490" t="s">
        <v>215</v>
      </c>
      <c r="F490" t="s">
        <v>256</v>
      </c>
      <c r="G490" t="s">
        <v>255</v>
      </c>
      <c r="H490">
        <v>2</v>
      </c>
      <c r="I490" t="s">
        <v>596</v>
      </c>
      <c r="J490" s="39">
        <v>46049.353194444499</v>
      </c>
      <c r="K490" s="39">
        <v>46051</v>
      </c>
      <c r="L490" t="str">
        <f t="shared" si="21"/>
        <v>2026-01</v>
      </c>
      <c r="M490" t="s">
        <v>595</v>
      </c>
      <c r="N490">
        <v>16</v>
      </c>
      <c r="O490">
        <v>53.18</v>
      </c>
      <c r="P490">
        <v>0</v>
      </c>
      <c r="Q490">
        <v>0</v>
      </c>
      <c r="R490">
        <v>1</v>
      </c>
      <c r="S490" t="s">
        <v>94</v>
      </c>
      <c r="T490">
        <v>1</v>
      </c>
      <c r="V490">
        <f t="shared" si="22"/>
        <v>0</v>
      </c>
      <c r="W490" t="str">
        <f t="shared" si="23"/>
        <v>Missed</v>
      </c>
    </row>
    <row r="491" spans="1:23" x14ac:dyDescent="0.2">
      <c r="A491">
        <v>7522102339</v>
      </c>
      <c r="B491">
        <v>525</v>
      </c>
      <c r="C491" t="s">
        <v>139</v>
      </c>
      <c r="D491" t="s">
        <v>133</v>
      </c>
      <c r="E491" t="s">
        <v>134</v>
      </c>
      <c r="F491" t="s">
        <v>260</v>
      </c>
      <c r="G491" t="s">
        <v>259</v>
      </c>
      <c r="H491">
        <v>1</v>
      </c>
      <c r="I491" t="s">
        <v>596</v>
      </c>
      <c r="J491" s="39">
        <v>45877.875011574099</v>
      </c>
      <c r="K491" s="39">
        <v>45878</v>
      </c>
      <c r="L491" t="str">
        <f t="shared" si="21"/>
        <v>2025-08</v>
      </c>
      <c r="M491" t="s">
        <v>595</v>
      </c>
      <c r="N491">
        <v>12</v>
      </c>
      <c r="O491">
        <v>11.6</v>
      </c>
      <c r="P491">
        <v>0</v>
      </c>
      <c r="Q491">
        <v>0</v>
      </c>
      <c r="R491">
        <v>0</v>
      </c>
      <c r="S491" t="s">
        <v>95</v>
      </c>
      <c r="T491">
        <v>0</v>
      </c>
      <c r="V491" t="str">
        <f t="shared" si="22"/>
        <v/>
      </c>
      <c r="W491" t="str">
        <f t="shared" si="23"/>
        <v>Not Eligible</v>
      </c>
    </row>
    <row r="492" spans="1:23" x14ac:dyDescent="0.2">
      <c r="A492">
        <v>7606104399</v>
      </c>
      <c r="B492">
        <v>522</v>
      </c>
      <c r="C492" t="s">
        <v>132</v>
      </c>
      <c r="D492" t="s">
        <v>133</v>
      </c>
      <c r="E492" t="s">
        <v>134</v>
      </c>
      <c r="F492" t="s">
        <v>264</v>
      </c>
      <c r="G492" t="s">
        <v>263</v>
      </c>
      <c r="H492">
        <v>2</v>
      </c>
      <c r="I492" t="s">
        <v>596</v>
      </c>
      <c r="J492" s="39">
        <v>46083.385578703703</v>
      </c>
      <c r="K492" s="39">
        <v>46086</v>
      </c>
      <c r="L492" t="str">
        <f t="shared" si="21"/>
        <v>2026-03</v>
      </c>
      <c r="M492" t="s">
        <v>595</v>
      </c>
      <c r="N492">
        <v>0</v>
      </c>
      <c r="O492">
        <v>83.57</v>
      </c>
      <c r="P492">
        <v>1</v>
      </c>
      <c r="Q492">
        <v>1</v>
      </c>
      <c r="R492">
        <v>1</v>
      </c>
      <c r="S492" t="s">
        <v>94</v>
      </c>
      <c r="T492">
        <v>1</v>
      </c>
      <c r="V492">
        <f t="shared" si="22"/>
        <v>1</v>
      </c>
      <c r="W492" t="str">
        <f t="shared" si="23"/>
        <v>Met</v>
      </c>
    </row>
    <row r="493" spans="1:23" x14ac:dyDescent="0.2">
      <c r="A493">
        <v>7613401531</v>
      </c>
      <c r="B493">
        <v>637</v>
      </c>
      <c r="C493" t="s">
        <v>192</v>
      </c>
      <c r="D493" t="s">
        <v>193</v>
      </c>
      <c r="E493" t="s">
        <v>181</v>
      </c>
      <c r="F493" t="s">
        <v>272</v>
      </c>
      <c r="G493" t="s">
        <v>271</v>
      </c>
      <c r="H493">
        <v>2</v>
      </c>
      <c r="I493" t="s">
        <v>596</v>
      </c>
      <c r="J493" s="39">
        <v>46156.7241319444</v>
      </c>
      <c r="K493" s="39">
        <v>46160</v>
      </c>
      <c r="L493" t="str">
        <f t="shared" si="21"/>
        <v>2026-05</v>
      </c>
      <c r="M493" t="s">
        <v>595</v>
      </c>
      <c r="N493">
        <v>16</v>
      </c>
      <c r="O493">
        <v>97.73</v>
      </c>
      <c r="P493">
        <v>0</v>
      </c>
      <c r="Q493">
        <v>0</v>
      </c>
      <c r="R493">
        <v>1</v>
      </c>
      <c r="S493" t="s">
        <v>94</v>
      </c>
      <c r="T493">
        <v>0</v>
      </c>
      <c r="U493">
        <v>0</v>
      </c>
      <c r="V493">
        <f t="shared" si="22"/>
        <v>0</v>
      </c>
      <c r="W493" t="str">
        <f t="shared" si="23"/>
        <v>Missed</v>
      </c>
    </row>
    <row r="494" spans="1:23" x14ac:dyDescent="0.2">
      <c r="A494">
        <v>7605300513</v>
      </c>
      <c r="B494">
        <v>634</v>
      </c>
      <c r="C494" t="s">
        <v>186</v>
      </c>
      <c r="D494" t="s">
        <v>187</v>
      </c>
      <c r="E494" t="s">
        <v>181</v>
      </c>
      <c r="F494" t="s">
        <v>256</v>
      </c>
      <c r="G494" t="s">
        <v>255</v>
      </c>
      <c r="H494">
        <v>2</v>
      </c>
      <c r="I494" t="s">
        <v>596</v>
      </c>
      <c r="J494" s="39">
        <v>46074.811307870397</v>
      </c>
      <c r="K494" s="39">
        <v>46075</v>
      </c>
      <c r="L494" t="str">
        <f t="shared" si="21"/>
        <v>2026-02</v>
      </c>
      <c r="M494" t="s">
        <v>595</v>
      </c>
      <c r="N494">
        <v>0</v>
      </c>
      <c r="O494">
        <v>17.8</v>
      </c>
      <c r="P494">
        <v>1</v>
      </c>
      <c r="Q494">
        <v>1</v>
      </c>
      <c r="R494">
        <v>1</v>
      </c>
      <c r="S494" t="s">
        <v>94</v>
      </c>
      <c r="T494">
        <v>2</v>
      </c>
      <c r="U494">
        <v>1</v>
      </c>
      <c r="V494">
        <f t="shared" si="22"/>
        <v>1</v>
      </c>
      <c r="W494" t="str">
        <f t="shared" si="23"/>
        <v>Met</v>
      </c>
    </row>
    <row r="495" spans="1:23" x14ac:dyDescent="0.2">
      <c r="A495">
        <v>7610000145</v>
      </c>
      <c r="B495">
        <v>635</v>
      </c>
      <c r="C495" t="s">
        <v>188</v>
      </c>
      <c r="D495" t="s">
        <v>189</v>
      </c>
      <c r="E495" t="s">
        <v>181</v>
      </c>
      <c r="F495" t="s">
        <v>322</v>
      </c>
      <c r="G495" t="s">
        <v>321</v>
      </c>
      <c r="H495">
        <v>2</v>
      </c>
      <c r="I495" t="s">
        <v>596</v>
      </c>
      <c r="J495" s="39">
        <v>46122.667337963001</v>
      </c>
      <c r="K495" s="39">
        <v>46123</v>
      </c>
      <c r="L495" t="str">
        <f t="shared" si="21"/>
        <v>2026-04</v>
      </c>
      <c r="M495" t="s">
        <v>595</v>
      </c>
      <c r="N495">
        <v>0</v>
      </c>
      <c r="O495">
        <v>19.38</v>
      </c>
      <c r="P495">
        <v>1</v>
      </c>
      <c r="Q495">
        <v>1</v>
      </c>
      <c r="R495">
        <v>1</v>
      </c>
      <c r="S495" t="s">
        <v>94</v>
      </c>
      <c r="T495">
        <v>2</v>
      </c>
      <c r="U495">
        <v>1</v>
      </c>
      <c r="V495">
        <f t="shared" si="22"/>
        <v>1</v>
      </c>
      <c r="W495" t="str">
        <f t="shared" si="23"/>
        <v>Met</v>
      </c>
    </row>
    <row r="496" spans="1:23" x14ac:dyDescent="0.2">
      <c r="A496">
        <v>7528101849</v>
      </c>
      <c r="B496">
        <v>636</v>
      </c>
      <c r="C496" t="s">
        <v>190</v>
      </c>
      <c r="D496" t="s">
        <v>191</v>
      </c>
      <c r="E496" t="s">
        <v>181</v>
      </c>
      <c r="F496" t="s">
        <v>353</v>
      </c>
      <c r="G496" t="s">
        <v>352</v>
      </c>
      <c r="H496">
        <v>2</v>
      </c>
      <c r="I496" t="s">
        <v>596</v>
      </c>
      <c r="J496" s="39">
        <v>45938.376747685201</v>
      </c>
      <c r="K496" s="39">
        <v>45938</v>
      </c>
      <c r="L496" t="str">
        <f t="shared" si="21"/>
        <v>2025-10</v>
      </c>
      <c r="M496" t="s">
        <v>595</v>
      </c>
      <c r="N496">
        <v>16</v>
      </c>
      <c r="O496">
        <v>6.78</v>
      </c>
      <c r="P496">
        <v>1</v>
      </c>
      <c r="Q496">
        <v>1</v>
      </c>
      <c r="R496">
        <v>1</v>
      </c>
      <c r="S496" t="s">
        <v>95</v>
      </c>
      <c r="T496">
        <v>0</v>
      </c>
      <c r="V496">
        <f t="shared" si="22"/>
        <v>1</v>
      </c>
      <c r="W496" t="str">
        <f t="shared" si="23"/>
        <v>Met</v>
      </c>
    </row>
    <row r="497" spans="1:23" x14ac:dyDescent="0.2">
      <c r="A497">
        <v>7604600160</v>
      </c>
      <c r="B497">
        <v>493</v>
      </c>
      <c r="C497" t="s">
        <v>116</v>
      </c>
      <c r="D497" t="s">
        <v>117</v>
      </c>
      <c r="E497" t="s">
        <v>111</v>
      </c>
      <c r="F497" t="s">
        <v>302</v>
      </c>
      <c r="G497" t="s">
        <v>301</v>
      </c>
      <c r="H497">
        <v>2</v>
      </c>
      <c r="I497" t="s">
        <v>594</v>
      </c>
      <c r="J497" s="39">
        <v>46068.620578703703</v>
      </c>
      <c r="K497" s="39">
        <v>46069</v>
      </c>
      <c r="L497" t="str">
        <f t="shared" si="21"/>
        <v>2026-02</v>
      </c>
      <c r="M497" t="s">
        <v>595</v>
      </c>
      <c r="N497">
        <v>0</v>
      </c>
      <c r="O497">
        <v>18.93</v>
      </c>
      <c r="P497">
        <v>1</v>
      </c>
      <c r="Q497">
        <v>1</v>
      </c>
      <c r="R497">
        <v>1</v>
      </c>
      <c r="S497" t="s">
        <v>94</v>
      </c>
      <c r="T497">
        <v>2</v>
      </c>
      <c r="U497">
        <v>1</v>
      </c>
      <c r="V497">
        <f t="shared" si="22"/>
        <v>1</v>
      </c>
      <c r="W497" t="str">
        <f t="shared" si="23"/>
        <v>Met</v>
      </c>
    </row>
    <row r="498" spans="1:23" x14ac:dyDescent="0.2">
      <c r="A498">
        <v>7533904928</v>
      </c>
      <c r="B498">
        <v>532</v>
      </c>
      <c r="C498" t="s">
        <v>148</v>
      </c>
      <c r="D498" t="s">
        <v>133</v>
      </c>
      <c r="E498" t="s">
        <v>134</v>
      </c>
      <c r="F498" t="s">
        <v>310</v>
      </c>
      <c r="G498" t="s">
        <v>309</v>
      </c>
      <c r="H498">
        <v>2</v>
      </c>
      <c r="I498" t="s">
        <v>596</v>
      </c>
      <c r="J498" s="39">
        <v>45996.450613425899</v>
      </c>
      <c r="K498" s="39">
        <v>45996</v>
      </c>
      <c r="L498" t="str">
        <f t="shared" si="21"/>
        <v>2025-12</v>
      </c>
      <c r="M498" t="s">
        <v>595</v>
      </c>
      <c r="N498">
        <v>16</v>
      </c>
      <c r="O498">
        <v>1.63</v>
      </c>
      <c r="P498">
        <v>1</v>
      </c>
      <c r="Q498">
        <v>1</v>
      </c>
      <c r="R498">
        <v>1</v>
      </c>
      <c r="S498" t="s">
        <v>95</v>
      </c>
      <c r="T498">
        <v>0</v>
      </c>
      <c r="V498">
        <f t="shared" si="22"/>
        <v>1</v>
      </c>
      <c r="W498" t="str">
        <f t="shared" si="23"/>
        <v>Met</v>
      </c>
    </row>
    <row r="499" spans="1:23" x14ac:dyDescent="0.2">
      <c r="A499">
        <v>7534008583</v>
      </c>
      <c r="B499">
        <v>537</v>
      </c>
      <c r="C499" t="s">
        <v>156</v>
      </c>
      <c r="D499" t="s">
        <v>157</v>
      </c>
      <c r="E499" t="s">
        <v>134</v>
      </c>
      <c r="F499" t="s">
        <v>355</v>
      </c>
      <c r="G499" t="s">
        <v>354</v>
      </c>
      <c r="H499">
        <v>2</v>
      </c>
      <c r="I499" t="s">
        <v>596</v>
      </c>
      <c r="J499" s="39">
        <v>45997.6823842593</v>
      </c>
      <c r="K499" s="39">
        <v>45998</v>
      </c>
      <c r="L499" t="str">
        <f t="shared" si="21"/>
        <v>2025-12</v>
      </c>
      <c r="M499" t="s">
        <v>595</v>
      </c>
      <c r="N499">
        <v>16</v>
      </c>
      <c r="O499">
        <v>21.43</v>
      </c>
      <c r="P499">
        <v>1</v>
      </c>
      <c r="Q499">
        <v>1</v>
      </c>
      <c r="R499">
        <v>1</v>
      </c>
      <c r="S499" t="s">
        <v>95</v>
      </c>
      <c r="T499">
        <v>0</v>
      </c>
      <c r="V499">
        <f t="shared" si="22"/>
        <v>1</v>
      </c>
      <c r="W499" t="str">
        <f t="shared" si="23"/>
        <v>Met</v>
      </c>
    </row>
    <row r="500" spans="1:23" x14ac:dyDescent="0.2">
      <c r="A500">
        <v>7615305033</v>
      </c>
      <c r="B500">
        <v>633</v>
      </c>
      <c r="C500" t="s">
        <v>184</v>
      </c>
      <c r="D500" t="s">
        <v>185</v>
      </c>
      <c r="E500" t="s">
        <v>181</v>
      </c>
      <c r="F500" t="s">
        <v>256</v>
      </c>
      <c r="G500" t="s">
        <v>255</v>
      </c>
      <c r="H500">
        <v>1</v>
      </c>
      <c r="I500" t="s">
        <v>596</v>
      </c>
      <c r="J500" s="39">
        <v>46174.862384259301</v>
      </c>
      <c r="K500" s="39">
        <v>46175</v>
      </c>
      <c r="L500" t="str">
        <f t="shared" si="21"/>
        <v>2026-06</v>
      </c>
      <c r="M500" t="s">
        <v>595</v>
      </c>
      <c r="N500">
        <v>12</v>
      </c>
      <c r="O500">
        <v>18.149999999999999</v>
      </c>
      <c r="P500">
        <v>1</v>
      </c>
      <c r="Q500">
        <v>1</v>
      </c>
      <c r="R500">
        <v>1</v>
      </c>
      <c r="S500" t="s">
        <v>94</v>
      </c>
      <c r="T500">
        <v>2</v>
      </c>
      <c r="U500">
        <v>1</v>
      </c>
      <c r="V500">
        <f t="shared" si="22"/>
        <v>1</v>
      </c>
      <c r="W500" t="str">
        <f t="shared" si="23"/>
        <v>Met</v>
      </c>
    </row>
    <row r="501" spans="1:23" x14ac:dyDescent="0.2">
      <c r="A501">
        <v>7534010112</v>
      </c>
      <c r="B501">
        <v>640</v>
      </c>
      <c r="C501" t="s">
        <v>197</v>
      </c>
      <c r="D501" t="s">
        <v>198</v>
      </c>
      <c r="E501" t="s">
        <v>178</v>
      </c>
      <c r="F501" t="s">
        <v>404</v>
      </c>
      <c r="G501" t="s">
        <v>403</v>
      </c>
      <c r="H501">
        <v>2</v>
      </c>
      <c r="I501" t="s">
        <v>596</v>
      </c>
      <c r="J501" s="39">
        <v>45997.791145833296</v>
      </c>
      <c r="K501" s="39">
        <v>45998</v>
      </c>
      <c r="L501" t="str">
        <f t="shared" si="21"/>
        <v>2025-12</v>
      </c>
      <c r="M501" t="s">
        <v>595</v>
      </c>
      <c r="N501">
        <v>16</v>
      </c>
      <c r="O501">
        <v>18.420000000000002</v>
      </c>
      <c r="P501">
        <v>1</v>
      </c>
      <c r="Q501">
        <v>1</v>
      </c>
      <c r="R501">
        <v>1</v>
      </c>
      <c r="S501" t="s">
        <v>95</v>
      </c>
      <c r="T501">
        <v>0</v>
      </c>
      <c r="V501">
        <f t="shared" si="22"/>
        <v>1</v>
      </c>
      <c r="W501" t="str">
        <f t="shared" si="23"/>
        <v>Met</v>
      </c>
    </row>
    <row r="502" spans="1:23" x14ac:dyDescent="0.2">
      <c r="A502">
        <v>7523807302</v>
      </c>
      <c r="B502">
        <v>926</v>
      </c>
      <c r="C502" t="s">
        <v>235</v>
      </c>
      <c r="D502" t="s">
        <v>225</v>
      </c>
      <c r="E502" t="s">
        <v>226</v>
      </c>
      <c r="F502" t="s">
        <v>335</v>
      </c>
      <c r="G502" t="s">
        <v>334</v>
      </c>
      <c r="H502">
        <v>2</v>
      </c>
      <c r="I502" t="s">
        <v>596</v>
      </c>
      <c r="J502" s="39">
        <v>45895.621342592603</v>
      </c>
      <c r="K502" s="39">
        <v>45896</v>
      </c>
      <c r="L502" t="str">
        <f t="shared" si="21"/>
        <v>2025-08</v>
      </c>
      <c r="M502" t="s">
        <v>595</v>
      </c>
      <c r="N502">
        <v>16</v>
      </c>
      <c r="O502">
        <v>27.03</v>
      </c>
      <c r="P502">
        <v>1</v>
      </c>
      <c r="Q502">
        <v>1</v>
      </c>
      <c r="R502">
        <v>1</v>
      </c>
      <c r="S502" t="s">
        <v>95</v>
      </c>
      <c r="T502">
        <v>0</v>
      </c>
      <c r="V502">
        <f t="shared" si="22"/>
        <v>1</v>
      </c>
      <c r="W502" t="str">
        <f t="shared" si="23"/>
        <v>Met</v>
      </c>
    </row>
    <row r="503" spans="1:23" x14ac:dyDescent="0.2">
      <c r="A503">
        <v>7525805238</v>
      </c>
      <c r="B503">
        <v>929</v>
      </c>
      <c r="C503" t="s">
        <v>240</v>
      </c>
      <c r="D503" t="s">
        <v>241</v>
      </c>
      <c r="E503" t="s">
        <v>226</v>
      </c>
      <c r="F503" t="s">
        <v>339</v>
      </c>
      <c r="G503" t="s">
        <v>338</v>
      </c>
      <c r="H503">
        <v>2</v>
      </c>
      <c r="I503" t="s">
        <v>594</v>
      </c>
      <c r="J503" s="39">
        <v>45915.557754629597</v>
      </c>
      <c r="K503" s="39">
        <v>45916</v>
      </c>
      <c r="L503" t="str">
        <f t="shared" si="21"/>
        <v>2025-09</v>
      </c>
      <c r="M503" t="s">
        <v>595</v>
      </c>
      <c r="N503">
        <v>16</v>
      </c>
      <c r="O503">
        <v>20.92</v>
      </c>
      <c r="P503">
        <v>0</v>
      </c>
      <c r="Q503">
        <v>0</v>
      </c>
      <c r="R503">
        <v>0</v>
      </c>
      <c r="S503" t="s">
        <v>95</v>
      </c>
      <c r="T503">
        <v>0</v>
      </c>
      <c r="V503" t="str">
        <f t="shared" si="22"/>
        <v/>
      </c>
      <c r="W503" t="str">
        <f t="shared" si="23"/>
        <v>Not Eligible</v>
      </c>
    </row>
    <row r="504" spans="1:23" x14ac:dyDescent="0.2">
      <c r="A504">
        <v>7535708952</v>
      </c>
      <c r="B504">
        <v>535</v>
      </c>
      <c r="C504" t="s">
        <v>153</v>
      </c>
      <c r="D504" t="s">
        <v>154</v>
      </c>
      <c r="E504" t="s">
        <v>134</v>
      </c>
      <c r="F504" t="s">
        <v>296</v>
      </c>
      <c r="G504" t="s">
        <v>295</v>
      </c>
      <c r="H504">
        <v>2</v>
      </c>
      <c r="I504" t="s">
        <v>596</v>
      </c>
      <c r="J504" s="39">
        <v>46014.674837963001</v>
      </c>
      <c r="K504" s="39">
        <v>46015</v>
      </c>
      <c r="L504" t="str">
        <f t="shared" si="21"/>
        <v>2025-12</v>
      </c>
      <c r="M504" t="s">
        <v>595</v>
      </c>
      <c r="N504">
        <v>16</v>
      </c>
      <c r="O504">
        <v>24.13</v>
      </c>
      <c r="P504">
        <v>1</v>
      </c>
      <c r="Q504">
        <v>1</v>
      </c>
      <c r="R504">
        <v>1</v>
      </c>
      <c r="S504" t="s">
        <v>95</v>
      </c>
      <c r="T504">
        <v>0</v>
      </c>
      <c r="V504">
        <f t="shared" si="22"/>
        <v>1</v>
      </c>
      <c r="W504" t="str">
        <f t="shared" si="23"/>
        <v>Met</v>
      </c>
    </row>
    <row r="505" spans="1:23" x14ac:dyDescent="0.2">
      <c r="A505">
        <v>7535201583</v>
      </c>
      <c r="B505">
        <v>643</v>
      </c>
      <c r="C505" t="s">
        <v>201</v>
      </c>
      <c r="D505" t="s">
        <v>202</v>
      </c>
      <c r="E505" t="s">
        <v>178</v>
      </c>
      <c r="F505" t="s">
        <v>284</v>
      </c>
      <c r="G505" t="s">
        <v>283</v>
      </c>
      <c r="H505">
        <v>2</v>
      </c>
      <c r="I505" t="s">
        <v>596</v>
      </c>
      <c r="J505" s="39">
        <v>46009.659571759301</v>
      </c>
      <c r="K505" s="39">
        <v>46009</v>
      </c>
      <c r="L505" t="str">
        <f t="shared" si="21"/>
        <v>2025-12</v>
      </c>
      <c r="M505" t="s">
        <v>595</v>
      </c>
      <c r="N505">
        <v>16</v>
      </c>
      <c r="O505">
        <v>1.5</v>
      </c>
      <c r="P505">
        <v>1</v>
      </c>
      <c r="Q505">
        <v>1</v>
      </c>
      <c r="R505">
        <v>1</v>
      </c>
      <c r="S505" t="s">
        <v>95</v>
      </c>
      <c r="T505">
        <v>0</v>
      </c>
      <c r="V505">
        <f t="shared" si="22"/>
        <v>1</v>
      </c>
      <c r="W505" t="str">
        <f t="shared" si="23"/>
        <v>Met</v>
      </c>
    </row>
    <row r="506" spans="1:23" x14ac:dyDescent="0.2">
      <c r="A506">
        <v>7619111818</v>
      </c>
      <c r="B506">
        <v>545</v>
      </c>
      <c r="C506" t="s">
        <v>166</v>
      </c>
      <c r="D506" t="s">
        <v>167</v>
      </c>
      <c r="E506" t="s">
        <v>159</v>
      </c>
      <c r="F506" t="s">
        <v>286</v>
      </c>
      <c r="G506" t="s">
        <v>521</v>
      </c>
      <c r="H506">
        <v>2</v>
      </c>
      <c r="I506" t="s">
        <v>596</v>
      </c>
      <c r="J506" s="39">
        <v>46213.340902777803</v>
      </c>
      <c r="K506" s="39">
        <v>46214</v>
      </c>
      <c r="L506" t="str">
        <f t="shared" si="21"/>
        <v>2026-07</v>
      </c>
      <c r="M506" t="s">
        <v>595</v>
      </c>
      <c r="N506">
        <v>16</v>
      </c>
      <c r="O506">
        <v>25.07</v>
      </c>
      <c r="P506">
        <v>1</v>
      </c>
      <c r="Q506">
        <v>1</v>
      </c>
      <c r="R506">
        <v>1</v>
      </c>
      <c r="S506" t="s">
        <v>94</v>
      </c>
      <c r="T506">
        <v>2</v>
      </c>
      <c r="U506">
        <v>1</v>
      </c>
      <c r="V506">
        <f t="shared" si="22"/>
        <v>1</v>
      </c>
      <c r="W506" t="str">
        <f t="shared" si="23"/>
        <v>Met</v>
      </c>
    </row>
    <row r="507" spans="1:23" x14ac:dyDescent="0.2">
      <c r="A507">
        <v>7619405444</v>
      </c>
      <c r="B507">
        <v>640</v>
      </c>
      <c r="C507" t="s">
        <v>197</v>
      </c>
      <c r="D507" t="s">
        <v>198</v>
      </c>
      <c r="E507" t="s">
        <v>178</v>
      </c>
      <c r="F507" t="s">
        <v>329</v>
      </c>
      <c r="G507" t="s">
        <v>328</v>
      </c>
      <c r="H507">
        <v>2</v>
      </c>
      <c r="I507" t="s">
        <v>596</v>
      </c>
      <c r="J507" s="39">
        <v>46216.392488425903</v>
      </c>
      <c r="K507" s="39">
        <v>46217</v>
      </c>
      <c r="L507" t="str">
        <f t="shared" si="21"/>
        <v>2026-07</v>
      </c>
      <c r="M507" t="s">
        <v>595</v>
      </c>
      <c r="N507">
        <v>16</v>
      </c>
      <c r="O507">
        <v>34.08</v>
      </c>
      <c r="P507">
        <v>0</v>
      </c>
      <c r="Q507">
        <v>0</v>
      </c>
      <c r="R507">
        <v>1</v>
      </c>
      <c r="S507" t="s">
        <v>94</v>
      </c>
      <c r="T507">
        <v>0</v>
      </c>
      <c r="U507">
        <v>0</v>
      </c>
      <c r="V507">
        <f t="shared" si="22"/>
        <v>0</v>
      </c>
      <c r="W507" t="str">
        <f t="shared" si="23"/>
        <v>Missed</v>
      </c>
    </row>
    <row r="508" spans="1:23" x14ac:dyDescent="0.2">
      <c r="A508">
        <v>7524608831</v>
      </c>
      <c r="B508">
        <v>962</v>
      </c>
      <c r="C508" t="s">
        <v>244</v>
      </c>
      <c r="D508" t="s">
        <v>245</v>
      </c>
      <c r="E508" t="s">
        <v>246</v>
      </c>
      <c r="F508" t="s">
        <v>530</v>
      </c>
      <c r="G508" t="s">
        <v>529</v>
      </c>
      <c r="H508">
        <v>2</v>
      </c>
      <c r="I508" t="s">
        <v>596</v>
      </c>
      <c r="J508" s="39">
        <v>45903.691296296303</v>
      </c>
      <c r="K508" s="39">
        <v>45904</v>
      </c>
      <c r="L508" t="str">
        <f t="shared" si="21"/>
        <v>2025-09</v>
      </c>
      <c r="M508" t="s">
        <v>595</v>
      </c>
      <c r="N508">
        <v>16</v>
      </c>
      <c r="O508">
        <v>24.52</v>
      </c>
      <c r="P508">
        <v>1</v>
      </c>
      <c r="Q508">
        <v>1</v>
      </c>
      <c r="R508">
        <v>1</v>
      </c>
      <c r="S508" t="s">
        <v>95</v>
      </c>
      <c r="T508">
        <v>0</v>
      </c>
      <c r="V508">
        <f t="shared" si="22"/>
        <v>1</v>
      </c>
      <c r="W508" t="str">
        <f t="shared" si="23"/>
        <v>Met</v>
      </c>
    </row>
    <row r="509" spans="1:23" x14ac:dyDescent="0.2">
      <c r="A509">
        <v>7526201850</v>
      </c>
      <c r="B509">
        <v>638</v>
      </c>
      <c r="C509" t="s">
        <v>194</v>
      </c>
      <c r="D509" t="s">
        <v>147</v>
      </c>
      <c r="E509" t="s">
        <v>181</v>
      </c>
      <c r="F509" t="s">
        <v>436</v>
      </c>
      <c r="G509" t="s">
        <v>435</v>
      </c>
      <c r="H509">
        <v>2</v>
      </c>
      <c r="I509" t="s">
        <v>594</v>
      </c>
      <c r="J509" s="39">
        <v>45918.912835648203</v>
      </c>
      <c r="K509" s="39">
        <v>45919</v>
      </c>
      <c r="L509" t="str">
        <f t="shared" si="21"/>
        <v>2025-09</v>
      </c>
      <c r="M509" t="s">
        <v>595</v>
      </c>
      <c r="N509">
        <v>16</v>
      </c>
      <c r="O509">
        <v>13.78</v>
      </c>
      <c r="P509">
        <v>0</v>
      </c>
      <c r="Q509">
        <v>0</v>
      </c>
      <c r="R509">
        <v>0</v>
      </c>
      <c r="S509" t="s">
        <v>95</v>
      </c>
      <c r="T509">
        <v>0</v>
      </c>
      <c r="V509" t="str">
        <f t="shared" si="22"/>
        <v/>
      </c>
      <c r="W509" t="str">
        <f t="shared" si="23"/>
        <v>Not Eligible</v>
      </c>
    </row>
    <row r="510" spans="1:23" x14ac:dyDescent="0.2">
      <c r="A510">
        <v>7526203398</v>
      </c>
      <c r="B510">
        <v>492</v>
      </c>
      <c r="C510" t="s">
        <v>114</v>
      </c>
      <c r="D510" t="s">
        <v>115</v>
      </c>
      <c r="E510" t="s">
        <v>111</v>
      </c>
      <c r="F510" t="s">
        <v>358</v>
      </c>
      <c r="G510" t="s">
        <v>357</v>
      </c>
      <c r="H510">
        <v>2</v>
      </c>
      <c r="I510" t="s">
        <v>594</v>
      </c>
      <c r="J510" s="39">
        <v>45919.3524652778</v>
      </c>
      <c r="K510" s="39">
        <v>45919</v>
      </c>
      <c r="L510" t="str">
        <f t="shared" si="21"/>
        <v>2025-09</v>
      </c>
      <c r="M510" t="s">
        <v>595</v>
      </c>
      <c r="N510">
        <v>16</v>
      </c>
      <c r="O510">
        <v>3.63</v>
      </c>
      <c r="P510">
        <v>0</v>
      </c>
      <c r="Q510">
        <v>0</v>
      </c>
      <c r="R510">
        <v>0</v>
      </c>
      <c r="S510" t="s">
        <v>95</v>
      </c>
      <c r="T510">
        <v>0</v>
      </c>
      <c r="V510" t="str">
        <f t="shared" si="22"/>
        <v/>
      </c>
      <c r="W510" t="str">
        <f t="shared" si="23"/>
        <v>Not Eligible</v>
      </c>
    </row>
    <row r="511" spans="1:23" x14ac:dyDescent="0.2">
      <c r="A511">
        <v>7617013554</v>
      </c>
      <c r="B511">
        <v>448</v>
      </c>
      <c r="C511" t="s">
        <v>109</v>
      </c>
      <c r="D511" t="s">
        <v>110</v>
      </c>
      <c r="E511" t="s">
        <v>111</v>
      </c>
      <c r="F511" t="s">
        <v>262</v>
      </c>
      <c r="G511" t="s">
        <v>261</v>
      </c>
      <c r="H511">
        <v>2</v>
      </c>
      <c r="I511" t="s">
        <v>596</v>
      </c>
      <c r="J511" s="39">
        <v>46192.536932870396</v>
      </c>
      <c r="K511" s="39">
        <v>46192</v>
      </c>
      <c r="L511" t="str">
        <f t="shared" si="21"/>
        <v>2026-06</v>
      </c>
      <c r="M511" t="s">
        <v>595</v>
      </c>
      <c r="N511">
        <v>16</v>
      </c>
      <c r="O511">
        <v>8.9</v>
      </c>
      <c r="P511">
        <v>1</v>
      </c>
      <c r="Q511">
        <v>1</v>
      </c>
      <c r="R511">
        <v>1</v>
      </c>
      <c r="S511" t="s">
        <v>94</v>
      </c>
      <c r="T511">
        <v>2</v>
      </c>
      <c r="U511">
        <v>1</v>
      </c>
      <c r="V511">
        <f t="shared" si="22"/>
        <v>1</v>
      </c>
      <c r="W511" t="str">
        <f t="shared" si="23"/>
        <v>Met</v>
      </c>
    </row>
    <row r="512" spans="1:23" x14ac:dyDescent="0.2">
      <c r="A512">
        <v>7522100025</v>
      </c>
      <c r="B512">
        <v>925</v>
      </c>
      <c r="C512" t="s">
        <v>233</v>
      </c>
      <c r="D512" t="s">
        <v>234</v>
      </c>
      <c r="E512" t="s">
        <v>226</v>
      </c>
      <c r="F512" t="s">
        <v>372</v>
      </c>
      <c r="G512" t="s">
        <v>371</v>
      </c>
      <c r="H512">
        <v>2</v>
      </c>
      <c r="I512" t="s">
        <v>596</v>
      </c>
      <c r="J512" s="39">
        <v>45878.631423611099</v>
      </c>
      <c r="K512" s="39">
        <v>45880</v>
      </c>
      <c r="L512" t="str">
        <f t="shared" si="21"/>
        <v>2025-08</v>
      </c>
      <c r="M512" t="s">
        <v>595</v>
      </c>
      <c r="N512">
        <v>16</v>
      </c>
      <c r="O512">
        <v>47.38</v>
      </c>
      <c r="P512">
        <v>0</v>
      </c>
      <c r="Q512">
        <v>0</v>
      </c>
      <c r="R512">
        <v>1</v>
      </c>
      <c r="S512" t="s">
        <v>95</v>
      </c>
      <c r="T512">
        <v>0</v>
      </c>
      <c r="V512">
        <f t="shared" si="22"/>
        <v>0</v>
      </c>
      <c r="W512" t="str">
        <f t="shared" si="23"/>
        <v>Missed</v>
      </c>
    </row>
    <row r="513" spans="1:23" x14ac:dyDescent="0.2">
      <c r="A513">
        <v>7609204410</v>
      </c>
      <c r="B513">
        <v>968</v>
      </c>
      <c r="C513" t="s">
        <v>247</v>
      </c>
      <c r="D513" t="s">
        <v>248</v>
      </c>
      <c r="E513" t="s">
        <v>246</v>
      </c>
      <c r="F513" t="s">
        <v>453</v>
      </c>
      <c r="G513" t="s">
        <v>523</v>
      </c>
      <c r="H513">
        <v>2</v>
      </c>
      <c r="I513" t="s">
        <v>594</v>
      </c>
      <c r="J513" s="39">
        <v>46114.340416666702</v>
      </c>
      <c r="K513" s="39">
        <v>46115</v>
      </c>
      <c r="L513" t="str">
        <f t="shared" si="21"/>
        <v>2026-04</v>
      </c>
      <c r="M513" t="s">
        <v>595</v>
      </c>
      <c r="N513">
        <v>0</v>
      </c>
      <c r="O513">
        <v>27.77</v>
      </c>
      <c r="P513">
        <v>1</v>
      </c>
      <c r="Q513">
        <v>1</v>
      </c>
      <c r="R513">
        <v>1</v>
      </c>
      <c r="S513" t="s">
        <v>94</v>
      </c>
      <c r="T513">
        <v>2</v>
      </c>
      <c r="U513">
        <v>1</v>
      </c>
      <c r="V513">
        <f t="shared" si="22"/>
        <v>1</v>
      </c>
      <c r="W513" t="str">
        <f t="shared" si="23"/>
        <v>Met</v>
      </c>
    </row>
    <row r="514" spans="1:23" x14ac:dyDescent="0.2">
      <c r="A514">
        <v>7606712789</v>
      </c>
      <c r="B514">
        <v>649</v>
      </c>
      <c r="C514" t="s">
        <v>211</v>
      </c>
      <c r="D514" t="s">
        <v>212</v>
      </c>
      <c r="E514" t="s">
        <v>178</v>
      </c>
      <c r="F514" t="s">
        <v>347</v>
      </c>
      <c r="G514" t="s">
        <v>346</v>
      </c>
      <c r="H514">
        <v>2</v>
      </c>
      <c r="I514" t="s">
        <v>594</v>
      </c>
      <c r="J514" s="39">
        <v>46089.426412036999</v>
      </c>
      <c r="K514" s="39">
        <v>46089</v>
      </c>
      <c r="L514" t="str">
        <f t="shared" ref="L514:L577" si="24">IF(K514="","",TEXT(K514,"YYYY-MM"))</f>
        <v>2026-03</v>
      </c>
      <c r="M514" t="s">
        <v>595</v>
      </c>
      <c r="N514">
        <v>0</v>
      </c>
      <c r="O514">
        <v>1.88</v>
      </c>
      <c r="P514">
        <v>1</v>
      </c>
      <c r="Q514">
        <v>1</v>
      </c>
      <c r="R514">
        <v>1</v>
      </c>
      <c r="S514" t="s">
        <v>94</v>
      </c>
      <c r="T514">
        <v>2</v>
      </c>
      <c r="U514">
        <v>1</v>
      </c>
      <c r="V514">
        <f t="shared" ref="V514:V577" si="25">IF(R514=0,"",IF(U514&lt;&gt;"",U514,Q514))</f>
        <v>1</v>
      </c>
      <c r="W514" t="str">
        <f t="shared" ref="W514:W577" si="26">IF(R514=0,"Not Eligible",IF(V514=1,"Met","Missed"))</f>
        <v>Met</v>
      </c>
    </row>
    <row r="515" spans="1:23" x14ac:dyDescent="0.2">
      <c r="A515">
        <v>7603605415</v>
      </c>
      <c r="B515">
        <v>526</v>
      </c>
      <c r="C515" t="s">
        <v>140</v>
      </c>
      <c r="D515" t="s">
        <v>133</v>
      </c>
      <c r="E515" t="s">
        <v>134</v>
      </c>
      <c r="F515" t="s">
        <v>260</v>
      </c>
      <c r="G515" t="s">
        <v>259</v>
      </c>
      <c r="H515">
        <v>2</v>
      </c>
      <c r="I515" t="s">
        <v>594</v>
      </c>
      <c r="J515" s="39">
        <v>46058.410150463002</v>
      </c>
      <c r="K515" s="39">
        <v>46059</v>
      </c>
      <c r="L515" t="str">
        <f t="shared" si="24"/>
        <v>2026-02</v>
      </c>
      <c r="M515" t="s">
        <v>595</v>
      </c>
      <c r="N515">
        <v>0</v>
      </c>
      <c r="O515">
        <v>33.520000000000003</v>
      </c>
      <c r="P515">
        <v>1</v>
      </c>
      <c r="Q515">
        <v>1</v>
      </c>
      <c r="R515">
        <v>1</v>
      </c>
      <c r="S515" t="s">
        <v>94</v>
      </c>
      <c r="T515">
        <v>1</v>
      </c>
      <c r="V515">
        <f t="shared" si="25"/>
        <v>1</v>
      </c>
      <c r="W515" t="str">
        <f t="shared" si="26"/>
        <v>Met</v>
      </c>
    </row>
    <row r="516" spans="1:23" x14ac:dyDescent="0.2">
      <c r="A516">
        <v>7603304905</v>
      </c>
      <c r="B516">
        <v>496</v>
      </c>
      <c r="C516" t="s">
        <v>122</v>
      </c>
      <c r="D516" t="s">
        <v>123</v>
      </c>
      <c r="E516" t="s">
        <v>124</v>
      </c>
      <c r="F516" t="s">
        <v>270</v>
      </c>
      <c r="G516" t="s">
        <v>269</v>
      </c>
      <c r="H516">
        <v>2</v>
      </c>
      <c r="I516" t="s">
        <v>596</v>
      </c>
      <c r="J516" s="39">
        <v>46055.789942129602</v>
      </c>
      <c r="K516" s="39">
        <v>46057</v>
      </c>
      <c r="L516" t="str">
        <f t="shared" si="24"/>
        <v>2026-02</v>
      </c>
      <c r="M516" t="s">
        <v>595</v>
      </c>
      <c r="N516">
        <v>0</v>
      </c>
      <c r="O516">
        <v>37.75</v>
      </c>
      <c r="P516">
        <v>1</v>
      </c>
      <c r="Q516">
        <v>1</v>
      </c>
      <c r="R516">
        <v>1</v>
      </c>
      <c r="S516" t="s">
        <v>94</v>
      </c>
      <c r="T516">
        <v>2</v>
      </c>
      <c r="U516">
        <v>1</v>
      </c>
      <c r="V516">
        <f t="shared" si="25"/>
        <v>1</v>
      </c>
      <c r="W516" t="str">
        <f t="shared" si="26"/>
        <v>Met</v>
      </c>
    </row>
    <row r="517" spans="1:23" x14ac:dyDescent="0.2">
      <c r="A517">
        <v>7609100449</v>
      </c>
      <c r="B517">
        <v>920</v>
      </c>
      <c r="C517" t="s">
        <v>227</v>
      </c>
      <c r="D517" t="s">
        <v>228</v>
      </c>
      <c r="E517" t="s">
        <v>226</v>
      </c>
      <c r="F517" t="s">
        <v>337</v>
      </c>
      <c r="G517" t="s">
        <v>336</v>
      </c>
      <c r="H517">
        <v>2</v>
      </c>
      <c r="I517" t="s">
        <v>596</v>
      </c>
      <c r="J517" s="39">
        <v>46112.883425925902</v>
      </c>
      <c r="K517" s="39">
        <v>46113</v>
      </c>
      <c r="L517" t="str">
        <f t="shared" si="24"/>
        <v>2026-04</v>
      </c>
      <c r="M517" t="s">
        <v>595</v>
      </c>
      <c r="N517">
        <v>0</v>
      </c>
      <c r="O517">
        <v>14.17</v>
      </c>
      <c r="P517">
        <v>1</v>
      </c>
      <c r="Q517">
        <v>1</v>
      </c>
      <c r="R517">
        <v>1</v>
      </c>
      <c r="S517" t="s">
        <v>94</v>
      </c>
      <c r="T517">
        <v>2</v>
      </c>
      <c r="U517">
        <v>1</v>
      </c>
      <c r="V517">
        <f t="shared" si="25"/>
        <v>1</v>
      </c>
      <c r="W517" t="str">
        <f t="shared" si="26"/>
        <v>Met</v>
      </c>
    </row>
    <row r="518" spans="1:23" x14ac:dyDescent="0.2">
      <c r="A518">
        <v>7602602003</v>
      </c>
      <c r="B518">
        <v>962</v>
      </c>
      <c r="C518" t="s">
        <v>244</v>
      </c>
      <c r="D518" t="s">
        <v>245</v>
      </c>
      <c r="E518" t="s">
        <v>246</v>
      </c>
      <c r="F518" t="s">
        <v>394</v>
      </c>
      <c r="G518" t="s">
        <v>393</v>
      </c>
      <c r="H518">
        <v>2</v>
      </c>
      <c r="I518" t="s">
        <v>596</v>
      </c>
      <c r="J518" s="39">
        <v>46048.365694444401</v>
      </c>
      <c r="K518" s="39">
        <v>46048</v>
      </c>
      <c r="L518" t="str">
        <f t="shared" si="24"/>
        <v>2026-01</v>
      </c>
      <c r="M518" t="s">
        <v>595</v>
      </c>
      <c r="N518">
        <v>16</v>
      </c>
      <c r="O518">
        <v>1.63</v>
      </c>
      <c r="P518">
        <v>1</v>
      </c>
      <c r="Q518">
        <v>1</v>
      </c>
      <c r="R518">
        <v>1</v>
      </c>
      <c r="S518" t="s">
        <v>94</v>
      </c>
      <c r="T518">
        <v>2</v>
      </c>
      <c r="U518">
        <v>1</v>
      </c>
      <c r="V518">
        <f t="shared" si="25"/>
        <v>1</v>
      </c>
      <c r="W518" t="str">
        <f t="shared" si="26"/>
        <v>Met</v>
      </c>
    </row>
    <row r="519" spans="1:23" x14ac:dyDescent="0.2">
      <c r="A519">
        <v>7533004779</v>
      </c>
      <c r="B519">
        <v>606</v>
      </c>
      <c r="C519" t="s">
        <v>176</v>
      </c>
      <c r="D519" t="s">
        <v>177</v>
      </c>
      <c r="E519" t="s">
        <v>178</v>
      </c>
      <c r="F519" t="s">
        <v>333</v>
      </c>
      <c r="G519" t="s">
        <v>332</v>
      </c>
      <c r="H519">
        <v>2</v>
      </c>
      <c r="I519" t="s">
        <v>594</v>
      </c>
      <c r="J519" s="39">
        <v>45987.5870138889</v>
      </c>
      <c r="K519" s="39">
        <v>45987</v>
      </c>
      <c r="L519" t="str">
        <f t="shared" si="24"/>
        <v>2025-11</v>
      </c>
      <c r="M519" t="s">
        <v>595</v>
      </c>
      <c r="N519">
        <v>16</v>
      </c>
      <c r="O519">
        <v>2.0299999999999998</v>
      </c>
      <c r="P519">
        <v>0</v>
      </c>
      <c r="Q519">
        <v>0</v>
      </c>
      <c r="R519">
        <v>0</v>
      </c>
      <c r="S519" t="s">
        <v>95</v>
      </c>
      <c r="T519">
        <v>0</v>
      </c>
      <c r="V519" t="str">
        <f t="shared" si="25"/>
        <v/>
      </c>
      <c r="W519" t="str">
        <f t="shared" si="26"/>
        <v>Not Eligible</v>
      </c>
    </row>
    <row r="520" spans="1:23" x14ac:dyDescent="0.2">
      <c r="A520">
        <v>7618413195</v>
      </c>
      <c r="B520">
        <v>526</v>
      </c>
      <c r="C520" t="s">
        <v>140</v>
      </c>
      <c r="D520" t="s">
        <v>133</v>
      </c>
      <c r="E520" t="s">
        <v>134</v>
      </c>
      <c r="F520" t="s">
        <v>308</v>
      </c>
      <c r="G520" t="s">
        <v>307</v>
      </c>
      <c r="H520">
        <v>2</v>
      </c>
      <c r="I520" t="s">
        <v>596</v>
      </c>
      <c r="J520" s="39">
        <v>46206.527233796303</v>
      </c>
      <c r="K520" s="39">
        <v>46207</v>
      </c>
      <c r="L520" t="str">
        <f t="shared" si="24"/>
        <v>2026-07</v>
      </c>
      <c r="M520" t="s">
        <v>595</v>
      </c>
      <c r="N520">
        <v>16</v>
      </c>
      <c r="O520">
        <v>21.43</v>
      </c>
      <c r="P520">
        <v>1</v>
      </c>
      <c r="Q520">
        <v>1</v>
      </c>
      <c r="R520">
        <v>1</v>
      </c>
      <c r="S520" t="s">
        <v>94</v>
      </c>
      <c r="T520">
        <v>2</v>
      </c>
      <c r="U520">
        <v>1</v>
      </c>
      <c r="V520">
        <f t="shared" si="25"/>
        <v>1</v>
      </c>
      <c r="W520" t="str">
        <f t="shared" si="26"/>
        <v>Met</v>
      </c>
    </row>
    <row r="521" spans="1:23" x14ac:dyDescent="0.2">
      <c r="A521">
        <v>7601515365</v>
      </c>
      <c r="B521">
        <v>637</v>
      </c>
      <c r="C521" t="s">
        <v>192</v>
      </c>
      <c r="D521" t="s">
        <v>193</v>
      </c>
      <c r="E521" t="s">
        <v>181</v>
      </c>
      <c r="F521" t="s">
        <v>272</v>
      </c>
      <c r="G521" t="s">
        <v>271</v>
      </c>
      <c r="H521">
        <v>2</v>
      </c>
      <c r="I521" t="s">
        <v>596</v>
      </c>
      <c r="J521" s="39">
        <v>46037.481620370403</v>
      </c>
      <c r="K521" s="39">
        <v>46038</v>
      </c>
      <c r="L521" t="str">
        <f t="shared" si="24"/>
        <v>2026-01</v>
      </c>
      <c r="M521" t="s">
        <v>595</v>
      </c>
      <c r="N521">
        <v>16</v>
      </c>
      <c r="O521">
        <v>27.25</v>
      </c>
      <c r="P521">
        <v>1</v>
      </c>
      <c r="Q521">
        <v>1</v>
      </c>
      <c r="R521">
        <v>1</v>
      </c>
      <c r="S521" t="s">
        <v>94</v>
      </c>
      <c r="T521">
        <v>2</v>
      </c>
      <c r="U521">
        <v>1</v>
      </c>
      <c r="V521">
        <f t="shared" si="25"/>
        <v>1</v>
      </c>
      <c r="W521" t="str">
        <f t="shared" si="26"/>
        <v>Met</v>
      </c>
    </row>
    <row r="522" spans="1:23" x14ac:dyDescent="0.2">
      <c r="A522">
        <v>7601802024</v>
      </c>
      <c r="B522">
        <v>526</v>
      </c>
      <c r="C522" t="s">
        <v>140</v>
      </c>
      <c r="D522" t="s">
        <v>133</v>
      </c>
      <c r="E522" t="s">
        <v>134</v>
      </c>
      <c r="F522" t="s">
        <v>280</v>
      </c>
      <c r="G522" t="s">
        <v>279</v>
      </c>
      <c r="H522">
        <v>2</v>
      </c>
      <c r="I522" t="s">
        <v>596</v>
      </c>
      <c r="J522" s="39">
        <v>46040.401469907403</v>
      </c>
      <c r="K522" s="39">
        <v>46040</v>
      </c>
      <c r="L522" t="str">
        <f t="shared" si="24"/>
        <v>2026-01</v>
      </c>
      <c r="M522" t="s">
        <v>595</v>
      </c>
      <c r="N522">
        <v>16</v>
      </c>
      <c r="O522">
        <v>3.6</v>
      </c>
      <c r="P522">
        <v>1</v>
      </c>
      <c r="Q522">
        <v>1</v>
      </c>
      <c r="R522">
        <v>1</v>
      </c>
      <c r="S522" t="s">
        <v>94</v>
      </c>
      <c r="T522">
        <v>2</v>
      </c>
      <c r="U522">
        <v>1</v>
      </c>
      <c r="V522">
        <f t="shared" si="25"/>
        <v>1</v>
      </c>
      <c r="W522" t="str">
        <f t="shared" si="26"/>
        <v>Met</v>
      </c>
    </row>
    <row r="523" spans="1:23" x14ac:dyDescent="0.2">
      <c r="A523">
        <v>7534402567</v>
      </c>
      <c r="B523">
        <v>647</v>
      </c>
      <c r="C523" t="s">
        <v>207</v>
      </c>
      <c r="D523" t="s">
        <v>208</v>
      </c>
      <c r="E523" t="s">
        <v>178</v>
      </c>
      <c r="F523" t="s">
        <v>333</v>
      </c>
      <c r="G523" t="s">
        <v>332</v>
      </c>
      <c r="H523">
        <v>2</v>
      </c>
      <c r="I523" t="s">
        <v>596</v>
      </c>
      <c r="J523" s="39">
        <v>46001.591539351903</v>
      </c>
      <c r="K523" s="39">
        <v>46004</v>
      </c>
      <c r="L523" t="str">
        <f t="shared" si="24"/>
        <v>2025-12</v>
      </c>
      <c r="M523" t="s">
        <v>595</v>
      </c>
      <c r="N523">
        <v>16</v>
      </c>
      <c r="O523">
        <v>72.12</v>
      </c>
      <c r="P523">
        <v>0</v>
      </c>
      <c r="Q523">
        <v>0</v>
      </c>
      <c r="R523">
        <v>1</v>
      </c>
      <c r="S523" t="s">
        <v>95</v>
      </c>
      <c r="T523">
        <v>0</v>
      </c>
      <c r="V523">
        <f t="shared" si="25"/>
        <v>0</v>
      </c>
      <c r="W523" t="str">
        <f t="shared" si="26"/>
        <v>Missed</v>
      </c>
    </row>
    <row r="524" spans="1:23" x14ac:dyDescent="0.2">
      <c r="A524">
        <v>7523901210</v>
      </c>
      <c r="B524">
        <v>921</v>
      </c>
      <c r="C524" t="s">
        <v>229</v>
      </c>
      <c r="D524" t="s">
        <v>230</v>
      </c>
      <c r="E524" t="s">
        <v>226</v>
      </c>
      <c r="F524" t="s">
        <v>276</v>
      </c>
      <c r="G524" t="s">
        <v>275</v>
      </c>
      <c r="H524">
        <v>2</v>
      </c>
      <c r="I524" t="s">
        <v>596</v>
      </c>
      <c r="J524" s="39">
        <v>45896.642928240697</v>
      </c>
      <c r="K524" s="39">
        <v>45896</v>
      </c>
      <c r="L524" t="str">
        <f t="shared" si="24"/>
        <v>2025-08</v>
      </c>
      <c r="M524" t="s">
        <v>595</v>
      </c>
      <c r="N524">
        <v>16</v>
      </c>
      <c r="O524">
        <v>1.17</v>
      </c>
      <c r="P524">
        <v>1</v>
      </c>
      <c r="Q524">
        <v>1</v>
      </c>
      <c r="R524">
        <v>1</v>
      </c>
      <c r="S524" t="s">
        <v>95</v>
      </c>
      <c r="T524">
        <v>0</v>
      </c>
      <c r="V524">
        <f t="shared" si="25"/>
        <v>1</v>
      </c>
      <c r="W524" t="str">
        <f t="shared" si="26"/>
        <v>Met</v>
      </c>
    </row>
    <row r="525" spans="1:23" x14ac:dyDescent="0.2">
      <c r="A525">
        <v>7620307067</v>
      </c>
      <c r="B525">
        <v>649</v>
      </c>
      <c r="C525" t="s">
        <v>211</v>
      </c>
      <c r="D525" t="s">
        <v>212</v>
      </c>
      <c r="E525" t="s">
        <v>178</v>
      </c>
      <c r="F525" t="s">
        <v>298</v>
      </c>
      <c r="G525" t="s">
        <v>297</v>
      </c>
      <c r="H525">
        <v>2</v>
      </c>
      <c r="I525" t="s">
        <v>596</v>
      </c>
      <c r="J525" s="39">
        <v>46225.607372685197</v>
      </c>
      <c r="K525" s="39">
        <v>46225</v>
      </c>
      <c r="L525" t="str">
        <f t="shared" si="24"/>
        <v>2026-07</v>
      </c>
      <c r="M525" t="s">
        <v>595</v>
      </c>
      <c r="N525">
        <v>16</v>
      </c>
      <c r="O525">
        <v>3.45</v>
      </c>
      <c r="P525">
        <v>1</v>
      </c>
      <c r="Q525">
        <v>1</v>
      </c>
      <c r="R525">
        <v>1</v>
      </c>
      <c r="S525" t="s">
        <v>94</v>
      </c>
      <c r="T525">
        <v>2</v>
      </c>
      <c r="U525">
        <v>1</v>
      </c>
      <c r="V525">
        <f t="shared" si="25"/>
        <v>1</v>
      </c>
      <c r="W525" t="str">
        <f t="shared" si="26"/>
        <v>Met</v>
      </c>
    </row>
    <row r="526" spans="1:23" x14ac:dyDescent="0.2">
      <c r="A526">
        <v>7603802462</v>
      </c>
      <c r="B526">
        <v>544</v>
      </c>
      <c r="C526" t="s">
        <v>164</v>
      </c>
      <c r="D526" t="s">
        <v>165</v>
      </c>
      <c r="E526" t="s">
        <v>159</v>
      </c>
      <c r="F526" t="s">
        <v>254</v>
      </c>
      <c r="G526" t="s">
        <v>253</v>
      </c>
      <c r="H526">
        <v>2</v>
      </c>
      <c r="I526" t="s">
        <v>596</v>
      </c>
      <c r="J526" s="39">
        <v>46060.404826388898</v>
      </c>
      <c r="K526" s="39">
        <v>46060</v>
      </c>
      <c r="L526" t="str">
        <f t="shared" si="24"/>
        <v>2026-02</v>
      </c>
      <c r="M526" t="s">
        <v>595</v>
      </c>
      <c r="N526">
        <v>0</v>
      </c>
      <c r="O526">
        <v>4.05</v>
      </c>
      <c r="P526">
        <v>1</v>
      </c>
      <c r="Q526">
        <v>1</v>
      </c>
      <c r="R526">
        <v>1</v>
      </c>
      <c r="S526" t="s">
        <v>94</v>
      </c>
      <c r="T526">
        <v>2</v>
      </c>
      <c r="U526">
        <v>1</v>
      </c>
      <c r="V526">
        <f t="shared" si="25"/>
        <v>1</v>
      </c>
      <c r="W526" t="str">
        <f t="shared" si="26"/>
        <v>Met</v>
      </c>
    </row>
    <row r="527" spans="1:23" x14ac:dyDescent="0.2">
      <c r="A527">
        <v>7604801108</v>
      </c>
      <c r="B527">
        <v>546</v>
      </c>
      <c r="C527" t="s">
        <v>168</v>
      </c>
      <c r="D527" t="s">
        <v>169</v>
      </c>
      <c r="E527" t="s">
        <v>159</v>
      </c>
      <c r="F527" t="s">
        <v>254</v>
      </c>
      <c r="G527" t="s">
        <v>253</v>
      </c>
      <c r="H527">
        <v>2</v>
      </c>
      <c r="I527" t="s">
        <v>596</v>
      </c>
      <c r="J527" s="39">
        <v>46070.562025462998</v>
      </c>
      <c r="K527" s="39">
        <v>46070</v>
      </c>
      <c r="L527" t="str">
        <f t="shared" si="24"/>
        <v>2026-02</v>
      </c>
      <c r="M527" t="s">
        <v>595</v>
      </c>
      <c r="N527">
        <v>0</v>
      </c>
      <c r="O527">
        <v>1.1000000000000001</v>
      </c>
      <c r="P527">
        <v>1</v>
      </c>
      <c r="Q527">
        <v>1</v>
      </c>
      <c r="R527">
        <v>1</v>
      </c>
      <c r="S527" t="s">
        <v>94</v>
      </c>
      <c r="T527">
        <v>2</v>
      </c>
      <c r="U527">
        <v>1</v>
      </c>
      <c r="V527">
        <f t="shared" si="25"/>
        <v>1</v>
      </c>
      <c r="W527" t="str">
        <f t="shared" si="26"/>
        <v>Met</v>
      </c>
    </row>
    <row r="528" spans="1:23" x14ac:dyDescent="0.2">
      <c r="A528">
        <v>7604005664</v>
      </c>
      <c r="B528">
        <v>923</v>
      </c>
      <c r="C528" t="s">
        <v>231</v>
      </c>
      <c r="D528" t="s">
        <v>232</v>
      </c>
      <c r="E528" t="s">
        <v>226</v>
      </c>
      <c r="F528" t="s">
        <v>471</v>
      </c>
      <c r="G528" t="s">
        <v>470</v>
      </c>
      <c r="H528">
        <v>2</v>
      </c>
      <c r="I528" t="s">
        <v>596</v>
      </c>
      <c r="J528" s="39">
        <v>46062.451527777797</v>
      </c>
      <c r="K528" s="39">
        <v>46062</v>
      </c>
      <c r="L528" t="str">
        <f t="shared" si="24"/>
        <v>2026-02</v>
      </c>
      <c r="M528" t="s">
        <v>595</v>
      </c>
      <c r="N528">
        <v>0</v>
      </c>
      <c r="O528">
        <v>6.15</v>
      </c>
      <c r="P528">
        <v>1</v>
      </c>
      <c r="Q528">
        <v>1</v>
      </c>
      <c r="R528">
        <v>1</v>
      </c>
      <c r="S528" t="s">
        <v>94</v>
      </c>
      <c r="T528">
        <v>2</v>
      </c>
      <c r="U528">
        <v>1</v>
      </c>
      <c r="V528">
        <f t="shared" si="25"/>
        <v>1</v>
      </c>
      <c r="W528" t="str">
        <f t="shared" si="26"/>
        <v>Met</v>
      </c>
    </row>
    <row r="529" spans="1:23" x14ac:dyDescent="0.2">
      <c r="A529">
        <v>7600505555</v>
      </c>
      <c r="B529">
        <v>928</v>
      </c>
      <c r="C529" t="s">
        <v>238</v>
      </c>
      <c r="D529" t="s">
        <v>239</v>
      </c>
      <c r="E529" t="s">
        <v>226</v>
      </c>
      <c r="F529" t="s">
        <v>266</v>
      </c>
      <c r="G529" t="s">
        <v>265</v>
      </c>
      <c r="H529">
        <v>2</v>
      </c>
      <c r="I529" t="s">
        <v>596</v>
      </c>
      <c r="J529" s="39">
        <v>46027.386597222197</v>
      </c>
      <c r="K529" s="39">
        <v>46027</v>
      </c>
      <c r="L529" t="str">
        <f t="shared" si="24"/>
        <v>2026-01</v>
      </c>
      <c r="M529" t="s">
        <v>595</v>
      </c>
      <c r="N529">
        <v>16</v>
      </c>
      <c r="O529">
        <v>4.13</v>
      </c>
      <c r="P529">
        <v>1</v>
      </c>
      <c r="Q529">
        <v>1</v>
      </c>
      <c r="R529">
        <v>1</v>
      </c>
      <c r="S529" t="s">
        <v>94</v>
      </c>
      <c r="T529">
        <v>2</v>
      </c>
      <c r="U529">
        <v>1</v>
      </c>
      <c r="V529">
        <f t="shared" si="25"/>
        <v>1</v>
      </c>
      <c r="W529" t="str">
        <f t="shared" si="26"/>
        <v>Met</v>
      </c>
    </row>
    <row r="530" spans="1:23" x14ac:dyDescent="0.2">
      <c r="A530">
        <v>7536201717</v>
      </c>
      <c r="B530">
        <v>495</v>
      </c>
      <c r="C530" t="s">
        <v>120</v>
      </c>
      <c r="D530" t="s">
        <v>121</v>
      </c>
      <c r="E530" t="s">
        <v>111</v>
      </c>
      <c r="F530" t="s">
        <v>442</v>
      </c>
      <c r="G530" t="s">
        <v>441</v>
      </c>
      <c r="H530">
        <v>2</v>
      </c>
      <c r="I530" t="s">
        <v>596</v>
      </c>
      <c r="J530" s="39">
        <v>46019.642407407402</v>
      </c>
      <c r="K530" s="39">
        <v>46019</v>
      </c>
      <c r="L530" t="str">
        <f t="shared" si="24"/>
        <v>2025-12</v>
      </c>
      <c r="M530" t="s">
        <v>595</v>
      </c>
      <c r="N530">
        <v>16</v>
      </c>
      <c r="O530">
        <v>2.12</v>
      </c>
      <c r="P530">
        <v>1</v>
      </c>
      <c r="Q530">
        <v>1</v>
      </c>
      <c r="R530">
        <v>1</v>
      </c>
      <c r="S530" t="s">
        <v>95</v>
      </c>
      <c r="T530">
        <v>0</v>
      </c>
      <c r="V530">
        <f t="shared" si="25"/>
        <v>1</v>
      </c>
      <c r="W530" t="str">
        <f t="shared" si="26"/>
        <v>Met</v>
      </c>
    </row>
    <row r="531" spans="1:23" x14ac:dyDescent="0.2">
      <c r="A531">
        <v>7620804965</v>
      </c>
      <c r="B531">
        <v>921</v>
      </c>
      <c r="C531" t="s">
        <v>229</v>
      </c>
      <c r="D531" t="s">
        <v>230</v>
      </c>
      <c r="E531" t="s">
        <v>226</v>
      </c>
      <c r="F531" t="s">
        <v>276</v>
      </c>
      <c r="G531" t="s">
        <v>275</v>
      </c>
      <c r="H531">
        <v>1</v>
      </c>
      <c r="I531" t="s">
        <v>594</v>
      </c>
      <c r="J531" s="39">
        <v>46230.455798611103</v>
      </c>
      <c r="K531" s="39">
        <v>46230</v>
      </c>
      <c r="L531" t="str">
        <f t="shared" si="24"/>
        <v>2026-07</v>
      </c>
      <c r="M531" t="s">
        <v>595</v>
      </c>
      <c r="N531">
        <v>12</v>
      </c>
      <c r="O531">
        <v>3.52</v>
      </c>
      <c r="P531">
        <v>0</v>
      </c>
      <c r="Q531">
        <v>0</v>
      </c>
      <c r="R531">
        <v>0</v>
      </c>
      <c r="S531" t="s">
        <v>94</v>
      </c>
      <c r="T531">
        <v>2</v>
      </c>
      <c r="U531">
        <v>1</v>
      </c>
      <c r="V531" t="str">
        <f t="shared" si="25"/>
        <v/>
      </c>
      <c r="W531" t="str">
        <f t="shared" si="26"/>
        <v>Not Eligible</v>
      </c>
    </row>
    <row r="532" spans="1:23" x14ac:dyDescent="0.2">
      <c r="A532">
        <v>7525600424</v>
      </c>
      <c r="B532">
        <v>648</v>
      </c>
      <c r="C532" t="s">
        <v>209</v>
      </c>
      <c r="D532" t="s">
        <v>210</v>
      </c>
      <c r="E532" t="s">
        <v>178</v>
      </c>
      <c r="F532" t="s">
        <v>282</v>
      </c>
      <c r="G532" t="s">
        <v>281</v>
      </c>
      <c r="H532">
        <v>2</v>
      </c>
      <c r="I532" t="s">
        <v>594</v>
      </c>
      <c r="J532" s="39">
        <v>45913.805335648198</v>
      </c>
      <c r="K532" s="39">
        <v>45914</v>
      </c>
      <c r="L532" t="str">
        <f t="shared" si="24"/>
        <v>2025-09</v>
      </c>
      <c r="M532" t="s">
        <v>595</v>
      </c>
      <c r="N532">
        <v>16</v>
      </c>
      <c r="O532">
        <v>11.95</v>
      </c>
      <c r="P532">
        <v>0</v>
      </c>
      <c r="Q532">
        <v>0</v>
      </c>
      <c r="R532">
        <v>0</v>
      </c>
      <c r="S532" t="s">
        <v>95</v>
      </c>
      <c r="T532">
        <v>0</v>
      </c>
      <c r="V532" t="str">
        <f t="shared" si="25"/>
        <v/>
      </c>
      <c r="W532" t="str">
        <f t="shared" si="26"/>
        <v>Not Eligible</v>
      </c>
    </row>
    <row r="533" spans="1:23" x14ac:dyDescent="0.2">
      <c r="A533">
        <v>7533406192</v>
      </c>
      <c r="B533">
        <v>493</v>
      </c>
      <c r="C533" t="s">
        <v>116</v>
      </c>
      <c r="D533" t="s">
        <v>117</v>
      </c>
      <c r="E533" t="s">
        <v>111</v>
      </c>
      <c r="F533" t="s">
        <v>258</v>
      </c>
      <c r="G533" t="s">
        <v>257</v>
      </c>
      <c r="H533">
        <v>1</v>
      </c>
      <c r="I533" t="s">
        <v>594</v>
      </c>
      <c r="J533" s="39">
        <v>45991.521064814799</v>
      </c>
      <c r="K533" s="39">
        <v>45991</v>
      </c>
      <c r="L533" t="str">
        <f t="shared" si="24"/>
        <v>2025-11</v>
      </c>
      <c r="M533" t="s">
        <v>595</v>
      </c>
      <c r="N533">
        <v>12</v>
      </c>
      <c r="O533">
        <v>1.6</v>
      </c>
      <c r="P533">
        <v>0</v>
      </c>
      <c r="Q533">
        <v>0</v>
      </c>
      <c r="R533">
        <v>0</v>
      </c>
      <c r="S533" t="s">
        <v>95</v>
      </c>
      <c r="T533">
        <v>0</v>
      </c>
      <c r="V533" t="str">
        <f t="shared" si="25"/>
        <v/>
      </c>
      <c r="W533" t="str">
        <f t="shared" si="26"/>
        <v>Not Eligible</v>
      </c>
    </row>
    <row r="534" spans="1:23" x14ac:dyDescent="0.2">
      <c r="A534">
        <v>7620312132</v>
      </c>
      <c r="B534">
        <v>710</v>
      </c>
      <c r="C534" t="s">
        <v>220</v>
      </c>
      <c r="D534" t="s">
        <v>221</v>
      </c>
      <c r="E534" t="s">
        <v>215</v>
      </c>
      <c r="F534" t="s">
        <v>324</v>
      </c>
      <c r="G534" t="s">
        <v>356</v>
      </c>
      <c r="H534">
        <v>2</v>
      </c>
      <c r="I534" t="s">
        <v>596</v>
      </c>
      <c r="J534" s="39">
        <v>46225.647407407399</v>
      </c>
      <c r="K534" s="39">
        <v>46225</v>
      </c>
      <c r="L534" t="str">
        <f t="shared" si="24"/>
        <v>2026-07</v>
      </c>
      <c r="M534" t="s">
        <v>595</v>
      </c>
      <c r="N534">
        <v>16</v>
      </c>
      <c r="O534">
        <v>2.7</v>
      </c>
      <c r="P534">
        <v>1</v>
      </c>
      <c r="Q534">
        <v>1</v>
      </c>
      <c r="R534">
        <v>1</v>
      </c>
      <c r="S534" t="s">
        <v>94</v>
      </c>
      <c r="T534">
        <v>2</v>
      </c>
      <c r="U534">
        <v>1</v>
      </c>
      <c r="V534">
        <f t="shared" si="25"/>
        <v>1</v>
      </c>
      <c r="W534" t="str">
        <f t="shared" si="26"/>
        <v>Met</v>
      </c>
    </row>
    <row r="535" spans="1:23" x14ac:dyDescent="0.2">
      <c r="A535">
        <v>7531703306</v>
      </c>
      <c r="B535">
        <v>921</v>
      </c>
      <c r="C535" t="s">
        <v>229</v>
      </c>
      <c r="D535" t="s">
        <v>230</v>
      </c>
      <c r="E535" t="s">
        <v>226</v>
      </c>
      <c r="F535" t="s">
        <v>483</v>
      </c>
      <c r="G535" t="s">
        <v>482</v>
      </c>
      <c r="H535">
        <v>2</v>
      </c>
      <c r="I535" t="s">
        <v>594</v>
      </c>
      <c r="J535" s="39">
        <v>45974.343692129602</v>
      </c>
      <c r="K535" s="39">
        <v>45974</v>
      </c>
      <c r="L535" t="str">
        <f t="shared" si="24"/>
        <v>2025-11</v>
      </c>
      <c r="M535" t="s">
        <v>595</v>
      </c>
      <c r="N535">
        <v>16</v>
      </c>
      <c r="O535">
        <v>8.93</v>
      </c>
      <c r="P535">
        <v>0</v>
      </c>
      <c r="Q535">
        <v>0</v>
      </c>
      <c r="R535">
        <v>0</v>
      </c>
      <c r="S535" t="s">
        <v>95</v>
      </c>
      <c r="T535">
        <v>0</v>
      </c>
      <c r="V535" t="str">
        <f t="shared" si="25"/>
        <v/>
      </c>
      <c r="W535" t="str">
        <f t="shared" si="26"/>
        <v>Not Eligible</v>
      </c>
    </row>
    <row r="536" spans="1:23" x14ac:dyDescent="0.2">
      <c r="A536">
        <v>7618403346</v>
      </c>
      <c r="B536">
        <v>638</v>
      </c>
      <c r="C536" t="s">
        <v>194</v>
      </c>
      <c r="D536" t="s">
        <v>147</v>
      </c>
      <c r="E536" t="s">
        <v>181</v>
      </c>
      <c r="F536" t="s">
        <v>361</v>
      </c>
      <c r="G536" t="s">
        <v>360</v>
      </c>
      <c r="H536">
        <v>2</v>
      </c>
      <c r="I536" t="s">
        <v>596</v>
      </c>
      <c r="J536" s="39">
        <v>46206.674629629597</v>
      </c>
      <c r="K536" s="39">
        <v>46209</v>
      </c>
      <c r="L536" t="str">
        <f t="shared" si="24"/>
        <v>2026-07</v>
      </c>
      <c r="M536" t="s">
        <v>595</v>
      </c>
      <c r="N536">
        <v>16</v>
      </c>
      <c r="O536">
        <v>68.13</v>
      </c>
      <c r="P536">
        <v>0</v>
      </c>
      <c r="Q536">
        <v>0</v>
      </c>
      <c r="R536">
        <v>1</v>
      </c>
      <c r="S536" t="s">
        <v>94</v>
      </c>
      <c r="T536">
        <v>0</v>
      </c>
      <c r="U536">
        <v>0</v>
      </c>
      <c r="V536">
        <f t="shared" si="25"/>
        <v>0</v>
      </c>
      <c r="W536" t="str">
        <f t="shared" si="26"/>
        <v>Missed</v>
      </c>
    </row>
    <row r="537" spans="1:23" x14ac:dyDescent="0.2">
      <c r="A537">
        <v>7528800528</v>
      </c>
      <c r="B537">
        <v>527</v>
      </c>
      <c r="C537" t="s">
        <v>141</v>
      </c>
      <c r="D537" t="s">
        <v>142</v>
      </c>
      <c r="E537" t="s">
        <v>134</v>
      </c>
      <c r="F537" t="s">
        <v>264</v>
      </c>
      <c r="G537" t="s">
        <v>263</v>
      </c>
      <c r="H537">
        <v>2</v>
      </c>
      <c r="I537" t="s">
        <v>596</v>
      </c>
      <c r="J537" s="39">
        <v>45944.847106481502</v>
      </c>
      <c r="K537" s="39">
        <v>45945</v>
      </c>
      <c r="L537" t="str">
        <f t="shared" si="24"/>
        <v>2025-10</v>
      </c>
      <c r="M537" t="s">
        <v>595</v>
      </c>
      <c r="N537">
        <v>16</v>
      </c>
      <c r="O537">
        <v>12.85</v>
      </c>
      <c r="P537">
        <v>1</v>
      </c>
      <c r="Q537">
        <v>1</v>
      </c>
      <c r="R537">
        <v>1</v>
      </c>
      <c r="S537" t="s">
        <v>95</v>
      </c>
      <c r="T537">
        <v>0</v>
      </c>
      <c r="V537">
        <f t="shared" si="25"/>
        <v>1</v>
      </c>
      <c r="W537" t="str">
        <f t="shared" si="26"/>
        <v>Met</v>
      </c>
    </row>
    <row r="538" spans="1:23" x14ac:dyDescent="0.2">
      <c r="A538">
        <v>7609301022</v>
      </c>
      <c r="B538">
        <v>492</v>
      </c>
      <c r="C538" t="s">
        <v>114</v>
      </c>
      <c r="D538" t="s">
        <v>115</v>
      </c>
      <c r="E538" t="s">
        <v>111</v>
      </c>
      <c r="F538" t="s">
        <v>290</v>
      </c>
      <c r="G538" t="s">
        <v>289</v>
      </c>
      <c r="H538">
        <v>1</v>
      </c>
      <c r="I538" t="s">
        <v>596</v>
      </c>
      <c r="J538" s="39">
        <v>46115.590555555602</v>
      </c>
      <c r="K538" s="39">
        <v>46115</v>
      </c>
      <c r="L538" t="str">
        <f t="shared" si="24"/>
        <v>2026-04</v>
      </c>
      <c r="M538" t="s">
        <v>595</v>
      </c>
      <c r="N538">
        <v>12</v>
      </c>
      <c r="O538">
        <v>5.2</v>
      </c>
      <c r="P538">
        <v>1</v>
      </c>
      <c r="Q538">
        <v>1</v>
      </c>
      <c r="R538">
        <v>1</v>
      </c>
      <c r="S538" t="s">
        <v>94</v>
      </c>
      <c r="T538">
        <v>2</v>
      </c>
      <c r="U538">
        <v>1</v>
      </c>
      <c r="V538">
        <f t="shared" si="25"/>
        <v>1</v>
      </c>
      <c r="W538" t="str">
        <f t="shared" si="26"/>
        <v>Met</v>
      </c>
    </row>
    <row r="539" spans="1:23" x14ac:dyDescent="0.2">
      <c r="A539">
        <v>7532701035</v>
      </c>
      <c r="B539">
        <v>634</v>
      </c>
      <c r="C539" t="s">
        <v>186</v>
      </c>
      <c r="D539" t="s">
        <v>187</v>
      </c>
      <c r="E539" t="s">
        <v>181</v>
      </c>
      <c r="F539" t="s">
        <v>503</v>
      </c>
      <c r="G539" t="s">
        <v>502</v>
      </c>
      <c r="H539">
        <v>1</v>
      </c>
      <c r="I539" t="s">
        <v>596</v>
      </c>
      <c r="J539" s="39">
        <v>45984.5681944444</v>
      </c>
      <c r="K539" s="39">
        <v>45985</v>
      </c>
      <c r="L539" t="str">
        <f t="shared" si="24"/>
        <v>2025-11</v>
      </c>
      <c r="M539" t="s">
        <v>595</v>
      </c>
      <c r="N539">
        <v>12</v>
      </c>
      <c r="O539">
        <v>24.32</v>
      </c>
      <c r="P539">
        <v>0</v>
      </c>
      <c r="Q539">
        <v>0</v>
      </c>
      <c r="R539">
        <v>1</v>
      </c>
      <c r="S539" t="s">
        <v>95</v>
      </c>
      <c r="T539">
        <v>0</v>
      </c>
      <c r="V539">
        <f t="shared" si="25"/>
        <v>0</v>
      </c>
      <c r="W539" t="str">
        <f t="shared" si="26"/>
        <v>Missed</v>
      </c>
    </row>
    <row r="540" spans="1:23" x14ac:dyDescent="0.2">
      <c r="A540">
        <v>7530204472</v>
      </c>
      <c r="B540">
        <v>523</v>
      </c>
      <c r="C540" t="s">
        <v>135</v>
      </c>
      <c r="D540" t="s">
        <v>136</v>
      </c>
      <c r="E540" t="s">
        <v>134</v>
      </c>
      <c r="F540" t="s">
        <v>355</v>
      </c>
      <c r="G540" t="s">
        <v>354</v>
      </c>
      <c r="H540">
        <v>1</v>
      </c>
      <c r="I540" t="s">
        <v>596</v>
      </c>
      <c r="J540" s="39">
        <v>45959.599768518499</v>
      </c>
      <c r="K540" s="39">
        <v>45960</v>
      </c>
      <c r="L540" t="str">
        <f t="shared" si="24"/>
        <v>2025-10</v>
      </c>
      <c r="M540" t="s">
        <v>595</v>
      </c>
      <c r="N540">
        <v>12</v>
      </c>
      <c r="O540">
        <v>25.9</v>
      </c>
      <c r="P540">
        <v>0</v>
      </c>
      <c r="Q540">
        <v>0</v>
      </c>
      <c r="R540">
        <v>1</v>
      </c>
      <c r="S540" t="s">
        <v>95</v>
      </c>
      <c r="T540">
        <v>0</v>
      </c>
      <c r="V540">
        <f t="shared" si="25"/>
        <v>0</v>
      </c>
      <c r="W540" t="str">
        <f t="shared" si="26"/>
        <v>Missed</v>
      </c>
    </row>
    <row r="541" spans="1:23" x14ac:dyDescent="0.2">
      <c r="A541">
        <v>7614100383</v>
      </c>
      <c r="B541">
        <v>635</v>
      </c>
      <c r="C541" t="s">
        <v>188</v>
      </c>
      <c r="D541" t="s">
        <v>189</v>
      </c>
      <c r="E541" t="s">
        <v>181</v>
      </c>
      <c r="F541" t="s">
        <v>505</v>
      </c>
      <c r="G541" t="s">
        <v>504</v>
      </c>
      <c r="H541">
        <v>2</v>
      </c>
      <c r="I541" t="s">
        <v>596</v>
      </c>
      <c r="J541" s="39">
        <v>46163.672106481499</v>
      </c>
      <c r="K541" s="39">
        <v>46164</v>
      </c>
      <c r="L541" t="str">
        <f t="shared" si="24"/>
        <v>2026-05</v>
      </c>
      <c r="M541" t="s">
        <v>595</v>
      </c>
      <c r="N541">
        <v>16</v>
      </c>
      <c r="O541">
        <v>18.829999999999998</v>
      </c>
      <c r="P541">
        <v>1</v>
      </c>
      <c r="Q541">
        <v>1</v>
      </c>
      <c r="R541">
        <v>1</v>
      </c>
      <c r="S541" t="s">
        <v>94</v>
      </c>
      <c r="T541">
        <v>2</v>
      </c>
      <c r="U541">
        <v>1</v>
      </c>
      <c r="V541">
        <f t="shared" si="25"/>
        <v>1</v>
      </c>
      <c r="W541" t="str">
        <f t="shared" si="26"/>
        <v>Met</v>
      </c>
    </row>
    <row r="542" spans="1:23" x14ac:dyDescent="0.2">
      <c r="A542">
        <v>7534202221</v>
      </c>
      <c r="B542">
        <v>635</v>
      </c>
      <c r="C542" t="s">
        <v>188</v>
      </c>
      <c r="D542" t="s">
        <v>189</v>
      </c>
      <c r="E542" t="s">
        <v>181</v>
      </c>
      <c r="F542" t="s">
        <v>386</v>
      </c>
      <c r="G542" t="s">
        <v>385</v>
      </c>
      <c r="H542">
        <v>2</v>
      </c>
      <c r="I542" t="s">
        <v>596</v>
      </c>
      <c r="J542" s="39">
        <v>45999.295428240701</v>
      </c>
      <c r="K542" s="39">
        <v>45999</v>
      </c>
      <c r="L542" t="str">
        <f t="shared" si="24"/>
        <v>2025-12</v>
      </c>
      <c r="M542" t="s">
        <v>595</v>
      </c>
      <c r="N542">
        <v>16</v>
      </c>
      <c r="O542">
        <v>4.42</v>
      </c>
      <c r="P542">
        <v>1</v>
      </c>
      <c r="Q542">
        <v>1</v>
      </c>
      <c r="R542">
        <v>1</v>
      </c>
      <c r="S542" t="s">
        <v>95</v>
      </c>
      <c r="T542">
        <v>0</v>
      </c>
      <c r="V542">
        <f t="shared" si="25"/>
        <v>1</v>
      </c>
      <c r="W542" t="str">
        <f t="shared" si="26"/>
        <v>Met</v>
      </c>
    </row>
    <row r="543" spans="1:23" x14ac:dyDescent="0.2">
      <c r="A543">
        <v>7531801670</v>
      </c>
      <c r="B543">
        <v>634</v>
      </c>
      <c r="C543" t="s">
        <v>186</v>
      </c>
      <c r="D543" t="s">
        <v>187</v>
      </c>
      <c r="E543" t="s">
        <v>181</v>
      </c>
      <c r="F543" t="s">
        <v>382</v>
      </c>
      <c r="G543" t="s">
        <v>381</v>
      </c>
      <c r="H543">
        <v>2</v>
      </c>
      <c r="I543" t="s">
        <v>596</v>
      </c>
      <c r="J543" s="39">
        <v>45975.703773148198</v>
      </c>
      <c r="K543" s="39">
        <v>45980</v>
      </c>
      <c r="L543" t="str">
        <f t="shared" si="24"/>
        <v>2025-11</v>
      </c>
      <c r="M543" t="s">
        <v>595</v>
      </c>
      <c r="N543">
        <v>16</v>
      </c>
      <c r="O543">
        <v>116.12</v>
      </c>
      <c r="P543">
        <v>0</v>
      </c>
      <c r="Q543">
        <v>0</v>
      </c>
      <c r="R543">
        <v>1</v>
      </c>
      <c r="S543" t="s">
        <v>95</v>
      </c>
      <c r="T543">
        <v>0</v>
      </c>
      <c r="V543">
        <f t="shared" si="25"/>
        <v>0</v>
      </c>
      <c r="W543" t="str">
        <f t="shared" si="26"/>
        <v>Missed</v>
      </c>
    </row>
    <row r="544" spans="1:23" x14ac:dyDescent="0.2">
      <c r="A544">
        <v>7524009848</v>
      </c>
      <c r="B544">
        <v>495</v>
      </c>
      <c r="C544" t="s">
        <v>120</v>
      </c>
      <c r="D544" t="s">
        <v>121</v>
      </c>
      <c r="E544" t="s">
        <v>111</v>
      </c>
      <c r="F544" t="s">
        <v>258</v>
      </c>
      <c r="G544" t="s">
        <v>257</v>
      </c>
      <c r="H544">
        <v>2</v>
      </c>
      <c r="I544" t="s">
        <v>596</v>
      </c>
      <c r="J544" s="39">
        <v>45897.760231481501</v>
      </c>
      <c r="K544" s="39">
        <v>45901</v>
      </c>
      <c r="L544" t="str">
        <f t="shared" si="24"/>
        <v>2025-09</v>
      </c>
      <c r="M544" t="s">
        <v>595</v>
      </c>
      <c r="N544">
        <v>16</v>
      </c>
      <c r="O544">
        <v>93.47</v>
      </c>
      <c r="P544">
        <v>0</v>
      </c>
      <c r="Q544">
        <v>0</v>
      </c>
      <c r="R544">
        <v>1</v>
      </c>
      <c r="S544" t="s">
        <v>95</v>
      </c>
      <c r="T544">
        <v>0</v>
      </c>
      <c r="V544">
        <f t="shared" si="25"/>
        <v>0</v>
      </c>
      <c r="W544" t="str">
        <f t="shared" si="26"/>
        <v>Missed</v>
      </c>
    </row>
    <row r="545" spans="1:23" x14ac:dyDescent="0.2">
      <c r="A545">
        <v>7620602902</v>
      </c>
      <c r="B545">
        <v>921</v>
      </c>
      <c r="C545" t="s">
        <v>229</v>
      </c>
      <c r="D545" t="s">
        <v>230</v>
      </c>
      <c r="E545" t="s">
        <v>226</v>
      </c>
      <c r="F545" t="s">
        <v>370</v>
      </c>
      <c r="G545" t="s">
        <v>369</v>
      </c>
      <c r="H545">
        <v>1</v>
      </c>
      <c r="I545" t="s">
        <v>596</v>
      </c>
      <c r="J545" s="39">
        <v>46228.8180671296</v>
      </c>
      <c r="K545" s="39">
        <v>46229</v>
      </c>
      <c r="L545" t="str">
        <f t="shared" si="24"/>
        <v>2026-07</v>
      </c>
      <c r="M545" t="s">
        <v>595</v>
      </c>
      <c r="N545">
        <v>12</v>
      </c>
      <c r="O545">
        <v>11.95</v>
      </c>
      <c r="P545">
        <v>1</v>
      </c>
      <c r="Q545">
        <v>1</v>
      </c>
      <c r="R545">
        <v>1</v>
      </c>
      <c r="S545" t="s">
        <v>94</v>
      </c>
      <c r="T545">
        <v>2</v>
      </c>
      <c r="U545">
        <v>1</v>
      </c>
      <c r="V545">
        <f t="shared" si="25"/>
        <v>1</v>
      </c>
      <c r="W545" t="str">
        <f t="shared" si="26"/>
        <v>Met</v>
      </c>
    </row>
    <row r="546" spans="1:23" x14ac:dyDescent="0.2">
      <c r="A546">
        <v>7605405437</v>
      </c>
      <c r="B546">
        <v>639</v>
      </c>
      <c r="C546" t="s">
        <v>195</v>
      </c>
      <c r="D546" t="s">
        <v>196</v>
      </c>
      <c r="E546" t="s">
        <v>181</v>
      </c>
      <c r="F546" t="s">
        <v>256</v>
      </c>
      <c r="G546" t="s">
        <v>255</v>
      </c>
      <c r="H546">
        <v>1</v>
      </c>
      <c r="I546" t="s">
        <v>596</v>
      </c>
      <c r="J546" s="39">
        <v>46076.354861111096</v>
      </c>
      <c r="K546" s="39">
        <v>46076</v>
      </c>
      <c r="L546" t="str">
        <f t="shared" si="24"/>
        <v>2026-02</v>
      </c>
      <c r="M546" t="s">
        <v>595</v>
      </c>
      <c r="N546">
        <v>0</v>
      </c>
      <c r="O546">
        <v>3.78</v>
      </c>
      <c r="P546">
        <v>1</v>
      </c>
      <c r="Q546">
        <v>1</v>
      </c>
      <c r="R546">
        <v>1</v>
      </c>
      <c r="S546" t="s">
        <v>94</v>
      </c>
      <c r="T546">
        <v>2</v>
      </c>
      <c r="U546">
        <v>1</v>
      </c>
      <c r="V546">
        <f t="shared" si="25"/>
        <v>1</v>
      </c>
      <c r="W546" t="str">
        <f t="shared" si="26"/>
        <v>Met</v>
      </c>
    </row>
    <row r="547" spans="1:23" x14ac:dyDescent="0.2">
      <c r="A547">
        <v>7600204725</v>
      </c>
      <c r="B547">
        <v>921</v>
      </c>
      <c r="C547" t="s">
        <v>229</v>
      </c>
      <c r="D547" t="s">
        <v>230</v>
      </c>
      <c r="E547" t="s">
        <v>226</v>
      </c>
      <c r="F547" t="s">
        <v>416</v>
      </c>
      <c r="G547" t="s">
        <v>415</v>
      </c>
      <c r="H547">
        <v>2</v>
      </c>
      <c r="I547" t="s">
        <v>594</v>
      </c>
      <c r="J547" s="39">
        <v>46024.551319444399</v>
      </c>
      <c r="K547" s="39">
        <v>46024</v>
      </c>
      <c r="L547" t="str">
        <f t="shared" si="24"/>
        <v>2026-01</v>
      </c>
      <c r="M547" t="s">
        <v>595</v>
      </c>
      <c r="N547">
        <v>16</v>
      </c>
      <c r="O547">
        <v>6.52</v>
      </c>
      <c r="P547">
        <v>0</v>
      </c>
      <c r="Q547">
        <v>0</v>
      </c>
      <c r="R547">
        <v>0</v>
      </c>
      <c r="S547" t="s">
        <v>94</v>
      </c>
      <c r="T547">
        <v>1</v>
      </c>
      <c r="V547" t="str">
        <f t="shared" si="25"/>
        <v/>
      </c>
      <c r="W547" t="str">
        <f t="shared" si="26"/>
        <v>Not Eligible</v>
      </c>
    </row>
    <row r="548" spans="1:23" x14ac:dyDescent="0.2">
      <c r="A548">
        <v>7604604555</v>
      </c>
      <c r="B548">
        <v>495</v>
      </c>
      <c r="C548" t="s">
        <v>120</v>
      </c>
      <c r="D548" t="s">
        <v>121</v>
      </c>
      <c r="E548" t="s">
        <v>111</v>
      </c>
      <c r="F548" t="s">
        <v>262</v>
      </c>
      <c r="G548" t="s">
        <v>261</v>
      </c>
      <c r="H548">
        <v>1</v>
      </c>
      <c r="I548" t="s">
        <v>594</v>
      </c>
      <c r="J548" s="39">
        <v>46067.843402777798</v>
      </c>
      <c r="K548" s="39">
        <v>46068</v>
      </c>
      <c r="L548" t="str">
        <f t="shared" si="24"/>
        <v>2026-02</v>
      </c>
      <c r="M548" t="s">
        <v>595</v>
      </c>
      <c r="N548">
        <v>0</v>
      </c>
      <c r="O548">
        <v>18.48</v>
      </c>
      <c r="P548">
        <v>1</v>
      </c>
      <c r="Q548">
        <v>1</v>
      </c>
      <c r="R548">
        <v>1</v>
      </c>
      <c r="S548" t="s">
        <v>94</v>
      </c>
      <c r="T548">
        <v>2</v>
      </c>
      <c r="U548">
        <v>1</v>
      </c>
      <c r="V548">
        <f t="shared" si="25"/>
        <v>1</v>
      </c>
      <c r="W548" t="str">
        <f t="shared" si="26"/>
        <v>Met</v>
      </c>
    </row>
    <row r="549" spans="1:23" x14ac:dyDescent="0.2">
      <c r="A549">
        <v>7527407469</v>
      </c>
      <c r="B549">
        <v>928</v>
      </c>
      <c r="C549" t="s">
        <v>238</v>
      </c>
      <c r="D549" t="s">
        <v>239</v>
      </c>
      <c r="E549" t="s">
        <v>226</v>
      </c>
      <c r="F549" t="s">
        <v>314</v>
      </c>
      <c r="G549" t="s">
        <v>313</v>
      </c>
      <c r="H549">
        <v>2</v>
      </c>
      <c r="I549" t="s">
        <v>594</v>
      </c>
      <c r="J549" s="39">
        <v>45931.603217592601</v>
      </c>
      <c r="K549" s="39">
        <v>45932</v>
      </c>
      <c r="L549" t="str">
        <f t="shared" si="24"/>
        <v>2025-10</v>
      </c>
      <c r="M549" t="s">
        <v>595</v>
      </c>
      <c r="N549">
        <v>16</v>
      </c>
      <c r="O549">
        <v>20.3</v>
      </c>
      <c r="P549">
        <v>0</v>
      </c>
      <c r="Q549">
        <v>0</v>
      </c>
      <c r="R549">
        <v>0</v>
      </c>
      <c r="S549" t="s">
        <v>95</v>
      </c>
      <c r="T549">
        <v>0</v>
      </c>
      <c r="V549" t="str">
        <f t="shared" si="25"/>
        <v/>
      </c>
      <c r="W549" t="str">
        <f t="shared" si="26"/>
        <v>Not Eligible</v>
      </c>
    </row>
    <row r="550" spans="1:23" x14ac:dyDescent="0.2">
      <c r="A550">
        <v>7521308950</v>
      </c>
      <c r="B550">
        <v>921</v>
      </c>
      <c r="C550" t="s">
        <v>229</v>
      </c>
      <c r="D550" t="s">
        <v>230</v>
      </c>
      <c r="E550" t="s">
        <v>226</v>
      </c>
      <c r="F550" t="s">
        <v>276</v>
      </c>
      <c r="G550" t="s">
        <v>275</v>
      </c>
      <c r="H550">
        <v>1</v>
      </c>
      <c r="I550" t="s">
        <v>596</v>
      </c>
      <c r="J550" s="39">
        <v>45870.426782407398</v>
      </c>
      <c r="K550" s="39">
        <v>45870</v>
      </c>
      <c r="L550" t="str">
        <f t="shared" si="24"/>
        <v>2025-08</v>
      </c>
      <c r="M550" t="s">
        <v>595</v>
      </c>
      <c r="N550">
        <v>12</v>
      </c>
      <c r="O550">
        <v>2.4500000000000002</v>
      </c>
      <c r="P550">
        <v>1</v>
      </c>
      <c r="Q550">
        <v>1</v>
      </c>
      <c r="R550">
        <v>1</v>
      </c>
      <c r="S550" t="s">
        <v>95</v>
      </c>
      <c r="T550">
        <v>0</v>
      </c>
      <c r="V550">
        <f t="shared" si="25"/>
        <v>1</v>
      </c>
      <c r="W550" t="str">
        <f t="shared" si="26"/>
        <v>Met</v>
      </c>
    </row>
    <row r="551" spans="1:23" x14ac:dyDescent="0.2">
      <c r="A551">
        <v>7613303072</v>
      </c>
      <c r="B551">
        <v>524</v>
      </c>
      <c r="C551" t="s">
        <v>137</v>
      </c>
      <c r="D551" t="s">
        <v>138</v>
      </c>
      <c r="E551" t="s">
        <v>134</v>
      </c>
      <c r="F551" t="s">
        <v>294</v>
      </c>
      <c r="G551" t="s">
        <v>293</v>
      </c>
      <c r="H551">
        <v>2</v>
      </c>
      <c r="I551" t="s">
        <v>596</v>
      </c>
      <c r="J551" s="39">
        <v>46155.393495370401</v>
      </c>
      <c r="K551" s="39">
        <v>46155</v>
      </c>
      <c r="L551" t="str">
        <f t="shared" si="24"/>
        <v>2026-05</v>
      </c>
      <c r="M551" t="s">
        <v>595</v>
      </c>
      <c r="N551">
        <v>0</v>
      </c>
      <c r="O551">
        <v>4.32</v>
      </c>
      <c r="P551">
        <v>1</v>
      </c>
      <c r="Q551">
        <v>1</v>
      </c>
      <c r="R551">
        <v>1</v>
      </c>
      <c r="S551" t="s">
        <v>94</v>
      </c>
      <c r="T551">
        <v>2</v>
      </c>
      <c r="U551">
        <v>1</v>
      </c>
      <c r="V551">
        <f t="shared" si="25"/>
        <v>1</v>
      </c>
      <c r="W551" t="str">
        <f t="shared" si="26"/>
        <v>Met</v>
      </c>
    </row>
    <row r="552" spans="1:23" x14ac:dyDescent="0.2">
      <c r="A552">
        <v>7604902425</v>
      </c>
      <c r="B552">
        <v>562</v>
      </c>
      <c r="C552" t="s">
        <v>172</v>
      </c>
      <c r="D552" t="s">
        <v>173</v>
      </c>
      <c r="E552" t="s">
        <v>159</v>
      </c>
      <c r="F552" t="s">
        <v>400</v>
      </c>
      <c r="G552" t="s">
        <v>399</v>
      </c>
      <c r="H552">
        <v>1</v>
      </c>
      <c r="I552" t="s">
        <v>596</v>
      </c>
      <c r="J552" s="39">
        <v>46071.3432986111</v>
      </c>
      <c r="K552" s="39">
        <v>46071</v>
      </c>
      <c r="L552" t="str">
        <f t="shared" si="24"/>
        <v>2026-02</v>
      </c>
      <c r="M552" t="s">
        <v>595</v>
      </c>
      <c r="N552">
        <v>0</v>
      </c>
      <c r="O552">
        <v>3.32</v>
      </c>
      <c r="P552">
        <v>1</v>
      </c>
      <c r="Q552">
        <v>1</v>
      </c>
      <c r="R552">
        <v>1</v>
      </c>
      <c r="S552" t="s">
        <v>94</v>
      </c>
      <c r="T552">
        <v>2</v>
      </c>
      <c r="U552">
        <v>1</v>
      </c>
      <c r="V552">
        <f t="shared" si="25"/>
        <v>1</v>
      </c>
      <c r="W552" t="str">
        <f t="shared" si="26"/>
        <v>Met</v>
      </c>
    </row>
    <row r="553" spans="1:23" x14ac:dyDescent="0.2">
      <c r="A553">
        <v>7607401018</v>
      </c>
      <c r="B553">
        <v>931</v>
      </c>
      <c r="C553" t="s">
        <v>242</v>
      </c>
      <c r="D553" t="s">
        <v>243</v>
      </c>
      <c r="E553" t="s">
        <v>226</v>
      </c>
      <c r="F553" t="s">
        <v>316</v>
      </c>
      <c r="G553" t="s">
        <v>315</v>
      </c>
      <c r="H553">
        <v>2</v>
      </c>
      <c r="I553" t="s">
        <v>596</v>
      </c>
      <c r="J553" s="39">
        <v>46096.650347222203</v>
      </c>
      <c r="K553" s="39">
        <v>46096</v>
      </c>
      <c r="L553" t="str">
        <f t="shared" si="24"/>
        <v>2026-03</v>
      </c>
      <c r="M553" t="s">
        <v>595</v>
      </c>
      <c r="N553">
        <v>0</v>
      </c>
      <c r="O553">
        <v>1.5</v>
      </c>
      <c r="P553">
        <v>1</v>
      </c>
      <c r="Q553">
        <v>1</v>
      </c>
      <c r="R553">
        <v>1</v>
      </c>
      <c r="S553" t="s">
        <v>94</v>
      </c>
      <c r="T553">
        <v>2</v>
      </c>
      <c r="U553">
        <v>1</v>
      </c>
      <c r="V553">
        <f t="shared" si="25"/>
        <v>1</v>
      </c>
      <c r="W553" t="str">
        <f t="shared" si="26"/>
        <v>Met</v>
      </c>
    </row>
    <row r="554" spans="1:23" x14ac:dyDescent="0.2">
      <c r="A554">
        <v>7522707014</v>
      </c>
      <c r="B554">
        <v>929</v>
      </c>
      <c r="C554" t="s">
        <v>240</v>
      </c>
      <c r="D554" t="s">
        <v>241</v>
      </c>
      <c r="E554" t="s">
        <v>226</v>
      </c>
      <c r="F554" t="s">
        <v>298</v>
      </c>
      <c r="G554" t="s">
        <v>297</v>
      </c>
      <c r="H554">
        <v>2</v>
      </c>
      <c r="I554" t="s">
        <v>594</v>
      </c>
      <c r="J554" s="39">
        <v>45884.441145833298</v>
      </c>
      <c r="K554" s="39">
        <v>45885</v>
      </c>
      <c r="L554" t="str">
        <f t="shared" si="24"/>
        <v>2025-08</v>
      </c>
      <c r="M554" t="s">
        <v>595</v>
      </c>
      <c r="N554">
        <v>16</v>
      </c>
      <c r="O554">
        <v>25.43</v>
      </c>
      <c r="P554">
        <v>0</v>
      </c>
      <c r="Q554">
        <v>0</v>
      </c>
      <c r="R554">
        <v>0</v>
      </c>
      <c r="S554" t="s">
        <v>95</v>
      </c>
      <c r="T554">
        <v>0</v>
      </c>
      <c r="V554" t="str">
        <f t="shared" si="25"/>
        <v/>
      </c>
      <c r="W554" t="str">
        <f t="shared" si="26"/>
        <v>Not Eligible</v>
      </c>
    </row>
    <row r="555" spans="1:23" x14ac:dyDescent="0.2">
      <c r="A555">
        <v>7616014191</v>
      </c>
      <c r="B555">
        <v>926</v>
      </c>
      <c r="C555" t="s">
        <v>235</v>
      </c>
      <c r="D555" t="s">
        <v>225</v>
      </c>
      <c r="E555" t="s">
        <v>226</v>
      </c>
      <c r="F555" t="s">
        <v>479</v>
      </c>
      <c r="G555" t="s">
        <v>478</v>
      </c>
      <c r="H555">
        <v>2</v>
      </c>
      <c r="I555" t="s">
        <v>596</v>
      </c>
      <c r="J555" s="39">
        <v>46182.4827083333</v>
      </c>
      <c r="K555" s="39">
        <v>46182</v>
      </c>
      <c r="L555" t="str">
        <f t="shared" si="24"/>
        <v>2026-06</v>
      </c>
      <c r="M555" t="s">
        <v>595</v>
      </c>
      <c r="N555">
        <v>16</v>
      </c>
      <c r="O555">
        <v>0.98</v>
      </c>
      <c r="P555">
        <v>1</v>
      </c>
      <c r="Q555">
        <v>1</v>
      </c>
      <c r="R555">
        <v>1</v>
      </c>
      <c r="S555" t="s">
        <v>94</v>
      </c>
      <c r="T555">
        <v>2</v>
      </c>
      <c r="U555">
        <v>1</v>
      </c>
      <c r="V555">
        <f t="shared" si="25"/>
        <v>1</v>
      </c>
      <c r="W555" t="str">
        <f t="shared" si="26"/>
        <v>Met</v>
      </c>
    </row>
    <row r="556" spans="1:23" x14ac:dyDescent="0.2">
      <c r="A556">
        <v>7528910433</v>
      </c>
      <c r="B556">
        <v>526</v>
      </c>
      <c r="C556" t="s">
        <v>140</v>
      </c>
      <c r="D556" t="s">
        <v>133</v>
      </c>
      <c r="E556" t="s">
        <v>134</v>
      </c>
      <c r="F556" t="s">
        <v>312</v>
      </c>
      <c r="G556" t="s">
        <v>311</v>
      </c>
      <c r="H556">
        <v>2</v>
      </c>
      <c r="I556" t="s">
        <v>596</v>
      </c>
      <c r="J556" s="39">
        <v>45946.383391203701</v>
      </c>
      <c r="K556" s="39">
        <v>45946</v>
      </c>
      <c r="L556" t="str">
        <f t="shared" si="24"/>
        <v>2025-10</v>
      </c>
      <c r="M556" t="s">
        <v>597</v>
      </c>
      <c r="N556">
        <v>16</v>
      </c>
      <c r="O556">
        <v>2.63</v>
      </c>
      <c r="P556">
        <v>0</v>
      </c>
      <c r="Q556">
        <v>0</v>
      </c>
      <c r="R556">
        <v>0</v>
      </c>
      <c r="S556" t="s">
        <v>95</v>
      </c>
      <c r="T556">
        <v>0</v>
      </c>
      <c r="V556" t="str">
        <f t="shared" si="25"/>
        <v/>
      </c>
      <c r="W556" t="str">
        <f t="shared" si="26"/>
        <v>Not Eligible</v>
      </c>
    </row>
    <row r="557" spans="1:23" x14ac:dyDescent="0.2">
      <c r="A557">
        <v>7606900369</v>
      </c>
      <c r="B557">
        <v>925</v>
      </c>
      <c r="C557" t="s">
        <v>233</v>
      </c>
      <c r="D557" t="s">
        <v>234</v>
      </c>
      <c r="E557" t="s">
        <v>226</v>
      </c>
      <c r="F557" t="s">
        <v>314</v>
      </c>
      <c r="G557" t="s">
        <v>313</v>
      </c>
      <c r="H557">
        <v>2</v>
      </c>
      <c r="I557" t="s">
        <v>594</v>
      </c>
      <c r="J557" s="39">
        <v>46091.761261574102</v>
      </c>
      <c r="K557" s="39">
        <v>46092</v>
      </c>
      <c r="L557" t="str">
        <f t="shared" si="24"/>
        <v>2026-03</v>
      </c>
      <c r="M557" t="s">
        <v>595</v>
      </c>
      <c r="N557">
        <v>0</v>
      </c>
      <c r="O557">
        <v>17.63</v>
      </c>
      <c r="P557">
        <v>1</v>
      </c>
      <c r="Q557">
        <v>1</v>
      </c>
      <c r="R557">
        <v>1</v>
      </c>
      <c r="S557" t="s">
        <v>94</v>
      </c>
      <c r="T557">
        <v>2</v>
      </c>
      <c r="U557">
        <v>1</v>
      </c>
      <c r="V557">
        <f t="shared" si="25"/>
        <v>1</v>
      </c>
      <c r="W557" t="str">
        <f t="shared" si="26"/>
        <v>Met</v>
      </c>
    </row>
    <row r="558" spans="1:23" x14ac:dyDescent="0.2">
      <c r="A558">
        <v>7620103255</v>
      </c>
      <c r="B558">
        <v>707</v>
      </c>
      <c r="C558" t="s">
        <v>216</v>
      </c>
      <c r="D558" t="s">
        <v>217</v>
      </c>
      <c r="E558" t="s">
        <v>215</v>
      </c>
      <c r="F558" t="s">
        <v>392</v>
      </c>
      <c r="G558" t="s">
        <v>511</v>
      </c>
      <c r="H558">
        <v>2</v>
      </c>
      <c r="I558" t="s">
        <v>596</v>
      </c>
      <c r="J558" s="39">
        <v>46223.358634259297</v>
      </c>
      <c r="K558" s="39">
        <v>46223</v>
      </c>
      <c r="L558" t="str">
        <f t="shared" si="24"/>
        <v>2026-07</v>
      </c>
      <c r="M558" t="s">
        <v>595</v>
      </c>
      <c r="N558">
        <v>16</v>
      </c>
      <c r="O558">
        <v>3.9</v>
      </c>
      <c r="P558">
        <v>1</v>
      </c>
      <c r="Q558">
        <v>1</v>
      </c>
      <c r="R558">
        <v>1</v>
      </c>
      <c r="S558" t="s">
        <v>94</v>
      </c>
      <c r="T558">
        <v>2</v>
      </c>
      <c r="U558">
        <v>1</v>
      </c>
      <c r="V558">
        <f t="shared" si="25"/>
        <v>1</v>
      </c>
      <c r="W558" t="str">
        <f t="shared" si="26"/>
        <v>Met</v>
      </c>
    </row>
    <row r="559" spans="1:23" x14ac:dyDescent="0.2">
      <c r="A559">
        <v>7536304939</v>
      </c>
      <c r="B559">
        <v>530</v>
      </c>
      <c r="C559" t="s">
        <v>146</v>
      </c>
      <c r="D559" t="s">
        <v>147</v>
      </c>
      <c r="E559" t="s">
        <v>134</v>
      </c>
      <c r="F559" t="s">
        <v>318</v>
      </c>
      <c r="G559" t="s">
        <v>317</v>
      </c>
      <c r="H559">
        <v>2</v>
      </c>
      <c r="I559" t="s">
        <v>596</v>
      </c>
      <c r="J559" s="39">
        <v>46020.342349537001</v>
      </c>
      <c r="K559" s="39">
        <v>46020</v>
      </c>
      <c r="L559" t="str">
        <f t="shared" si="24"/>
        <v>2025-12</v>
      </c>
      <c r="M559" t="s">
        <v>595</v>
      </c>
      <c r="N559">
        <v>16</v>
      </c>
      <c r="O559">
        <v>4.03</v>
      </c>
      <c r="P559">
        <v>1</v>
      </c>
      <c r="Q559">
        <v>1</v>
      </c>
      <c r="R559">
        <v>1</v>
      </c>
      <c r="S559" t="s">
        <v>95</v>
      </c>
      <c r="T559">
        <v>0</v>
      </c>
      <c r="V559">
        <f t="shared" si="25"/>
        <v>1</v>
      </c>
      <c r="W559" t="str">
        <f t="shared" si="26"/>
        <v>Met</v>
      </c>
    </row>
    <row r="560" spans="1:23" x14ac:dyDescent="0.2">
      <c r="A560">
        <v>7530703959</v>
      </c>
      <c r="B560">
        <v>522</v>
      </c>
      <c r="C560" t="s">
        <v>132</v>
      </c>
      <c r="D560" t="s">
        <v>133</v>
      </c>
      <c r="E560" t="s">
        <v>134</v>
      </c>
      <c r="F560" t="s">
        <v>260</v>
      </c>
      <c r="G560" t="s">
        <v>259</v>
      </c>
      <c r="H560">
        <v>2</v>
      </c>
      <c r="I560" t="s">
        <v>596</v>
      </c>
      <c r="J560" s="39">
        <v>45964.3894560185</v>
      </c>
      <c r="K560" s="39">
        <v>45968</v>
      </c>
      <c r="L560" t="str">
        <f t="shared" si="24"/>
        <v>2025-11</v>
      </c>
      <c r="M560" t="s">
        <v>595</v>
      </c>
      <c r="N560">
        <v>16</v>
      </c>
      <c r="O560">
        <v>104.08</v>
      </c>
      <c r="P560">
        <v>0</v>
      </c>
      <c r="Q560">
        <v>0</v>
      </c>
      <c r="R560">
        <v>0</v>
      </c>
      <c r="S560" t="s">
        <v>94</v>
      </c>
      <c r="T560">
        <v>1</v>
      </c>
      <c r="V560" t="str">
        <f t="shared" si="25"/>
        <v/>
      </c>
      <c r="W560" t="str">
        <f t="shared" si="26"/>
        <v>Not Eligible</v>
      </c>
    </row>
    <row r="561" spans="1:23" x14ac:dyDescent="0.2">
      <c r="A561">
        <v>7618905355</v>
      </c>
      <c r="B561">
        <v>526</v>
      </c>
      <c r="C561" t="s">
        <v>140</v>
      </c>
      <c r="D561" t="s">
        <v>133</v>
      </c>
      <c r="E561" t="s">
        <v>134</v>
      </c>
      <c r="F561" t="s">
        <v>264</v>
      </c>
      <c r="G561" t="s">
        <v>263</v>
      </c>
      <c r="H561">
        <v>2</v>
      </c>
      <c r="I561" t="s">
        <v>596</v>
      </c>
      <c r="J561" s="39">
        <v>46211.392662036997</v>
      </c>
      <c r="K561" s="39">
        <v>46212</v>
      </c>
      <c r="L561" t="str">
        <f t="shared" si="24"/>
        <v>2026-07</v>
      </c>
      <c r="M561" t="s">
        <v>595</v>
      </c>
      <c r="N561">
        <v>16</v>
      </c>
      <c r="O561">
        <v>27.45</v>
      </c>
      <c r="P561">
        <v>1</v>
      </c>
      <c r="Q561">
        <v>1</v>
      </c>
      <c r="R561">
        <v>1</v>
      </c>
      <c r="S561" t="s">
        <v>94</v>
      </c>
      <c r="T561">
        <v>2</v>
      </c>
      <c r="U561">
        <v>1</v>
      </c>
      <c r="V561">
        <f t="shared" si="25"/>
        <v>1</v>
      </c>
      <c r="W561" t="str">
        <f t="shared" si="26"/>
        <v>Met</v>
      </c>
    </row>
    <row r="562" spans="1:23" x14ac:dyDescent="0.2">
      <c r="A562">
        <v>7619009630</v>
      </c>
      <c r="B562">
        <v>923</v>
      </c>
      <c r="C562" t="s">
        <v>231</v>
      </c>
      <c r="D562" t="s">
        <v>232</v>
      </c>
      <c r="E562" t="s">
        <v>226</v>
      </c>
      <c r="F562" t="s">
        <v>481</v>
      </c>
      <c r="G562" t="s">
        <v>480</v>
      </c>
      <c r="H562">
        <v>2</v>
      </c>
      <c r="I562" t="s">
        <v>596</v>
      </c>
      <c r="J562" s="39">
        <v>46212.637361111098</v>
      </c>
      <c r="K562" s="39">
        <v>46213</v>
      </c>
      <c r="L562" t="str">
        <f t="shared" si="24"/>
        <v>2026-07</v>
      </c>
      <c r="M562" t="s">
        <v>595</v>
      </c>
      <c r="N562">
        <v>16</v>
      </c>
      <c r="O562">
        <v>18.27</v>
      </c>
      <c r="P562">
        <v>1</v>
      </c>
      <c r="Q562">
        <v>1</v>
      </c>
      <c r="R562">
        <v>1</v>
      </c>
      <c r="S562" t="s">
        <v>94</v>
      </c>
      <c r="T562">
        <v>2</v>
      </c>
      <c r="U562">
        <v>1</v>
      </c>
      <c r="V562">
        <f t="shared" si="25"/>
        <v>1</v>
      </c>
      <c r="W562" t="str">
        <f t="shared" si="26"/>
        <v>Met</v>
      </c>
    </row>
    <row r="563" spans="1:23" x14ac:dyDescent="0.2">
      <c r="A563">
        <v>7528603966</v>
      </c>
      <c r="B563">
        <v>648</v>
      </c>
      <c r="C563" t="s">
        <v>209</v>
      </c>
      <c r="D563" t="s">
        <v>210</v>
      </c>
      <c r="E563" t="s">
        <v>178</v>
      </c>
      <c r="F563" t="s">
        <v>284</v>
      </c>
      <c r="G563" t="s">
        <v>283</v>
      </c>
      <c r="H563">
        <v>2</v>
      </c>
      <c r="I563" t="s">
        <v>596</v>
      </c>
      <c r="J563" s="39">
        <v>45943.445706018501</v>
      </c>
      <c r="K563" s="39">
        <v>45943</v>
      </c>
      <c r="L563" t="str">
        <f t="shared" si="24"/>
        <v>2025-10</v>
      </c>
      <c r="M563" t="s">
        <v>595</v>
      </c>
      <c r="N563">
        <v>16</v>
      </c>
      <c r="O563">
        <v>7.88</v>
      </c>
      <c r="P563">
        <v>1</v>
      </c>
      <c r="Q563">
        <v>1</v>
      </c>
      <c r="R563">
        <v>1</v>
      </c>
      <c r="S563" t="s">
        <v>95</v>
      </c>
      <c r="T563">
        <v>0</v>
      </c>
      <c r="V563">
        <f t="shared" si="25"/>
        <v>1</v>
      </c>
      <c r="W563" t="str">
        <f t="shared" si="26"/>
        <v>Met</v>
      </c>
    </row>
    <row r="564" spans="1:23" x14ac:dyDescent="0.2">
      <c r="A564">
        <v>7533704753</v>
      </c>
      <c r="B564">
        <v>532</v>
      </c>
      <c r="C564" t="s">
        <v>148</v>
      </c>
      <c r="D564" t="s">
        <v>133</v>
      </c>
      <c r="E564" t="s">
        <v>134</v>
      </c>
      <c r="F564" t="s">
        <v>310</v>
      </c>
      <c r="G564" t="s">
        <v>309</v>
      </c>
      <c r="H564">
        <v>2</v>
      </c>
      <c r="I564" t="s">
        <v>596</v>
      </c>
      <c r="J564" s="39">
        <v>45994.575775463003</v>
      </c>
      <c r="K564" s="39">
        <v>45995</v>
      </c>
      <c r="L564" t="str">
        <f t="shared" si="24"/>
        <v>2025-12</v>
      </c>
      <c r="M564" t="s">
        <v>595</v>
      </c>
      <c r="N564">
        <v>16</v>
      </c>
      <c r="O564">
        <v>21.25</v>
      </c>
      <c r="P564">
        <v>1</v>
      </c>
      <c r="Q564">
        <v>1</v>
      </c>
      <c r="R564">
        <v>1</v>
      </c>
      <c r="S564" t="s">
        <v>95</v>
      </c>
      <c r="T564">
        <v>0</v>
      </c>
      <c r="V564">
        <f t="shared" si="25"/>
        <v>1</v>
      </c>
      <c r="W564" t="str">
        <f t="shared" si="26"/>
        <v>Met</v>
      </c>
    </row>
    <row r="565" spans="1:23" x14ac:dyDescent="0.2">
      <c r="A565">
        <v>7524711855</v>
      </c>
      <c r="B565">
        <v>528</v>
      </c>
      <c r="C565" t="s">
        <v>143</v>
      </c>
      <c r="D565" t="s">
        <v>144</v>
      </c>
      <c r="E565" t="s">
        <v>134</v>
      </c>
      <c r="F565" t="s">
        <v>310</v>
      </c>
      <c r="G565" t="s">
        <v>309</v>
      </c>
      <c r="H565">
        <v>1</v>
      </c>
      <c r="I565" t="s">
        <v>596</v>
      </c>
      <c r="J565" s="39">
        <v>45904.461261574099</v>
      </c>
      <c r="K565" s="39">
        <v>45904</v>
      </c>
      <c r="L565" t="str">
        <f t="shared" si="24"/>
        <v>2025-09</v>
      </c>
      <c r="M565" t="s">
        <v>595</v>
      </c>
      <c r="N565">
        <v>12</v>
      </c>
      <c r="O565">
        <v>2.6</v>
      </c>
      <c r="P565">
        <v>1</v>
      </c>
      <c r="Q565">
        <v>1</v>
      </c>
      <c r="R565">
        <v>1</v>
      </c>
      <c r="S565" t="s">
        <v>95</v>
      </c>
      <c r="T565">
        <v>0</v>
      </c>
      <c r="V565">
        <f t="shared" si="25"/>
        <v>1</v>
      </c>
      <c r="W565" t="str">
        <f t="shared" si="26"/>
        <v>Met</v>
      </c>
    </row>
    <row r="566" spans="1:23" x14ac:dyDescent="0.2">
      <c r="A566">
        <v>7530204538</v>
      </c>
      <c r="B566">
        <v>645</v>
      </c>
      <c r="C566" t="s">
        <v>205</v>
      </c>
      <c r="D566" t="s">
        <v>206</v>
      </c>
      <c r="E566" t="s">
        <v>178</v>
      </c>
      <c r="F566" t="s">
        <v>268</v>
      </c>
      <c r="G566" t="s">
        <v>267</v>
      </c>
      <c r="H566">
        <v>2</v>
      </c>
      <c r="I566" t="s">
        <v>596</v>
      </c>
      <c r="J566" s="39">
        <v>45959.613171296303</v>
      </c>
      <c r="K566" s="39">
        <v>45960</v>
      </c>
      <c r="L566" t="str">
        <f t="shared" si="24"/>
        <v>2025-10</v>
      </c>
      <c r="M566" t="s">
        <v>595</v>
      </c>
      <c r="N566">
        <v>16</v>
      </c>
      <c r="O566">
        <v>19.649999999999999</v>
      </c>
      <c r="P566">
        <v>1</v>
      </c>
      <c r="Q566">
        <v>1</v>
      </c>
      <c r="R566">
        <v>1</v>
      </c>
      <c r="S566" t="s">
        <v>95</v>
      </c>
      <c r="T566">
        <v>0</v>
      </c>
      <c r="V566">
        <f t="shared" si="25"/>
        <v>1</v>
      </c>
      <c r="W566" t="str">
        <f t="shared" si="26"/>
        <v>Met</v>
      </c>
    </row>
    <row r="567" spans="1:23" x14ac:dyDescent="0.2">
      <c r="A567">
        <v>7528700800</v>
      </c>
      <c r="B567">
        <v>606</v>
      </c>
      <c r="C567" t="s">
        <v>176</v>
      </c>
      <c r="D567" t="s">
        <v>177</v>
      </c>
      <c r="E567" t="s">
        <v>178</v>
      </c>
      <c r="F567" t="s">
        <v>331</v>
      </c>
      <c r="G567" t="s">
        <v>330</v>
      </c>
      <c r="H567">
        <v>2</v>
      </c>
      <c r="I567" t="s">
        <v>594</v>
      </c>
      <c r="J567" s="39">
        <v>45943.895578703698</v>
      </c>
      <c r="K567" s="39">
        <v>45944</v>
      </c>
      <c r="L567" t="str">
        <f t="shared" si="24"/>
        <v>2025-10</v>
      </c>
      <c r="M567" t="s">
        <v>595</v>
      </c>
      <c r="N567">
        <v>16</v>
      </c>
      <c r="O567">
        <v>13.93</v>
      </c>
      <c r="P567">
        <v>0</v>
      </c>
      <c r="Q567">
        <v>0</v>
      </c>
      <c r="R567">
        <v>0</v>
      </c>
      <c r="S567" t="s">
        <v>95</v>
      </c>
      <c r="T567">
        <v>0</v>
      </c>
      <c r="V567" t="str">
        <f t="shared" si="25"/>
        <v/>
      </c>
      <c r="W567" t="str">
        <f t="shared" si="26"/>
        <v>Not Eligible</v>
      </c>
    </row>
    <row r="568" spans="1:23" x14ac:dyDescent="0.2">
      <c r="A568">
        <v>7619101477</v>
      </c>
      <c r="B568">
        <v>631</v>
      </c>
      <c r="C568" t="s">
        <v>179</v>
      </c>
      <c r="D568" t="s">
        <v>180</v>
      </c>
      <c r="E568" t="s">
        <v>181</v>
      </c>
      <c r="F568" t="s">
        <v>444</v>
      </c>
      <c r="G568" t="s">
        <v>443</v>
      </c>
      <c r="H568">
        <v>2</v>
      </c>
      <c r="I568" t="s">
        <v>596</v>
      </c>
      <c r="J568" s="39">
        <v>46213.776701388902</v>
      </c>
      <c r="K568" s="39">
        <v>46214</v>
      </c>
      <c r="L568" t="str">
        <f t="shared" si="24"/>
        <v>2026-07</v>
      </c>
      <c r="M568" t="s">
        <v>595</v>
      </c>
      <c r="N568">
        <v>16</v>
      </c>
      <c r="O568">
        <v>16.55</v>
      </c>
      <c r="P568">
        <v>1</v>
      </c>
      <c r="Q568">
        <v>1</v>
      </c>
      <c r="R568">
        <v>1</v>
      </c>
      <c r="S568" t="s">
        <v>94</v>
      </c>
      <c r="T568">
        <v>2</v>
      </c>
      <c r="U568">
        <v>1</v>
      </c>
      <c r="V568">
        <f t="shared" si="25"/>
        <v>1</v>
      </c>
      <c r="W568" t="str">
        <f t="shared" si="26"/>
        <v>Met</v>
      </c>
    </row>
    <row r="569" spans="1:23" x14ac:dyDescent="0.2">
      <c r="A569">
        <v>7533201348</v>
      </c>
      <c r="B569">
        <v>544</v>
      </c>
      <c r="C569" t="s">
        <v>164</v>
      </c>
      <c r="D569" t="s">
        <v>165</v>
      </c>
      <c r="E569" t="s">
        <v>159</v>
      </c>
      <c r="F569" t="s">
        <v>432</v>
      </c>
      <c r="G569" t="s">
        <v>431</v>
      </c>
      <c r="H569">
        <v>2</v>
      </c>
      <c r="I569" t="s">
        <v>596</v>
      </c>
      <c r="J569" s="39">
        <v>45989.642569444499</v>
      </c>
      <c r="K569" s="39">
        <v>45993</v>
      </c>
      <c r="L569" t="str">
        <f t="shared" si="24"/>
        <v>2025-12</v>
      </c>
      <c r="M569" t="s">
        <v>595</v>
      </c>
      <c r="N569">
        <v>16</v>
      </c>
      <c r="O569">
        <v>92.72</v>
      </c>
      <c r="P569">
        <v>0</v>
      </c>
      <c r="Q569">
        <v>0</v>
      </c>
      <c r="R569">
        <v>1</v>
      </c>
      <c r="S569" t="s">
        <v>94</v>
      </c>
      <c r="T569">
        <v>1</v>
      </c>
      <c r="V569">
        <f t="shared" si="25"/>
        <v>0</v>
      </c>
      <c r="W569" t="str">
        <f t="shared" si="26"/>
        <v>Missed</v>
      </c>
    </row>
    <row r="570" spans="1:23" x14ac:dyDescent="0.2">
      <c r="A570">
        <v>7528000240</v>
      </c>
      <c r="B570">
        <v>701</v>
      </c>
      <c r="C570" t="s">
        <v>213</v>
      </c>
      <c r="D570" t="s">
        <v>214</v>
      </c>
      <c r="E570" t="s">
        <v>215</v>
      </c>
      <c r="F570" t="s">
        <v>448</v>
      </c>
      <c r="G570" t="s">
        <v>447</v>
      </c>
      <c r="H570">
        <v>1</v>
      </c>
      <c r="I570" t="s">
        <v>596</v>
      </c>
      <c r="J570" s="39">
        <v>45937.632835648197</v>
      </c>
      <c r="K570" s="39">
        <v>45938</v>
      </c>
      <c r="L570" t="str">
        <f t="shared" si="24"/>
        <v>2025-10</v>
      </c>
      <c r="M570" t="s">
        <v>595</v>
      </c>
      <c r="N570">
        <v>12</v>
      </c>
      <c r="O570">
        <v>24.23</v>
      </c>
      <c r="P570">
        <v>0</v>
      </c>
      <c r="Q570">
        <v>0</v>
      </c>
      <c r="R570">
        <v>1</v>
      </c>
      <c r="S570" t="s">
        <v>95</v>
      </c>
      <c r="T570">
        <v>0</v>
      </c>
      <c r="V570">
        <f t="shared" si="25"/>
        <v>0</v>
      </c>
      <c r="W570" t="str">
        <f t="shared" si="26"/>
        <v>Missed</v>
      </c>
    </row>
  </sheetData>
  <mergeCells count="1">
    <mergeCell ref="Y1:Y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U570"/>
  <sheetViews>
    <sheetView zoomScaleNormal="100" workbookViewId="0">
      <pane ySplit="1" topLeftCell="A2" activePane="bottomLeft" state="frozen"/>
      <selection pane="bottomLeft"/>
    </sheetView>
  </sheetViews>
  <sheetFormatPr baseColWidth="10" defaultColWidth="8.6640625" defaultRowHeight="15" x14ac:dyDescent="0.2"/>
  <cols>
    <col min="1" max="227" width="14" customWidth="1"/>
  </cols>
  <sheetData>
    <row r="1" spans="1:229" ht="30" customHeight="1" x14ac:dyDescent="0.2">
      <c r="A1" s="40" t="s">
        <v>602</v>
      </c>
      <c r="B1" s="40" t="s">
        <v>603</v>
      </c>
      <c r="C1" s="40" t="s">
        <v>604</v>
      </c>
      <c r="D1" s="40" t="s">
        <v>605</v>
      </c>
      <c r="E1" s="40" t="s">
        <v>606</v>
      </c>
      <c r="F1" s="40" t="s">
        <v>607</v>
      </c>
      <c r="G1" s="40" t="s">
        <v>608</v>
      </c>
      <c r="H1" s="40" t="s">
        <v>609</v>
      </c>
      <c r="I1" s="40" t="s">
        <v>610</v>
      </c>
      <c r="J1" s="40" t="s">
        <v>611</v>
      </c>
      <c r="K1" s="40" t="s">
        <v>612</v>
      </c>
      <c r="L1" s="40" t="s">
        <v>613</v>
      </c>
      <c r="M1" s="40" t="s">
        <v>614</v>
      </c>
      <c r="N1" s="40" t="s">
        <v>615</v>
      </c>
      <c r="O1" s="40" t="s">
        <v>616</v>
      </c>
      <c r="P1" s="40" t="s">
        <v>617</v>
      </c>
      <c r="Q1" s="40" t="s">
        <v>618</v>
      </c>
      <c r="R1" s="40" t="s">
        <v>619</v>
      </c>
      <c r="S1" s="40" t="s">
        <v>620</v>
      </c>
      <c r="T1" s="40" t="s">
        <v>621</v>
      </c>
      <c r="U1" s="40" t="s">
        <v>622</v>
      </c>
      <c r="V1" s="40" t="s">
        <v>623</v>
      </c>
      <c r="W1" s="40" t="s">
        <v>624</v>
      </c>
      <c r="X1" s="40" t="s">
        <v>625</v>
      </c>
      <c r="Y1" s="40" t="s">
        <v>626</v>
      </c>
      <c r="Z1" s="40" t="s">
        <v>627</v>
      </c>
      <c r="AA1" s="40" t="s">
        <v>628</v>
      </c>
      <c r="AB1" s="40" t="s">
        <v>629</v>
      </c>
      <c r="AC1" s="40" t="s">
        <v>630</v>
      </c>
      <c r="AD1" s="40" t="s">
        <v>631</v>
      </c>
      <c r="AE1" s="40" t="s">
        <v>632</v>
      </c>
      <c r="AF1" s="40" t="s">
        <v>633</v>
      </c>
      <c r="AG1" s="40" t="s">
        <v>634</v>
      </c>
      <c r="AH1" s="40" t="s">
        <v>635</v>
      </c>
      <c r="AI1" s="40" t="s">
        <v>636</v>
      </c>
      <c r="AJ1" s="40" t="s">
        <v>637</v>
      </c>
      <c r="AK1" s="40" t="s">
        <v>638</v>
      </c>
      <c r="AL1" s="40" t="s">
        <v>639</v>
      </c>
      <c r="AM1" s="40" t="s">
        <v>640</v>
      </c>
      <c r="AN1" s="40" t="s">
        <v>641</v>
      </c>
      <c r="AO1" s="40" t="s">
        <v>642</v>
      </c>
      <c r="AP1" s="40" t="s">
        <v>643</v>
      </c>
      <c r="AQ1" s="40" t="s">
        <v>644</v>
      </c>
      <c r="AR1" s="40" t="s">
        <v>645</v>
      </c>
      <c r="AS1" s="40" t="s">
        <v>646</v>
      </c>
      <c r="AT1" s="40" t="s">
        <v>647</v>
      </c>
      <c r="AU1" s="40" t="s">
        <v>648</v>
      </c>
      <c r="AV1" s="40" t="s">
        <v>649</v>
      </c>
      <c r="AW1" s="40" t="s">
        <v>650</v>
      </c>
      <c r="AX1" s="40" t="s">
        <v>651</v>
      </c>
      <c r="AY1" s="40" t="s">
        <v>652</v>
      </c>
      <c r="AZ1" s="40" t="s">
        <v>653</v>
      </c>
      <c r="BA1" s="40" t="s">
        <v>654</v>
      </c>
      <c r="BB1" s="40" t="s">
        <v>655</v>
      </c>
      <c r="BC1" s="40" t="s">
        <v>656</v>
      </c>
      <c r="BD1" s="40" t="s">
        <v>657</v>
      </c>
      <c r="BE1" s="40" t="s">
        <v>658</v>
      </c>
      <c r="BF1" s="40" t="s">
        <v>659</v>
      </c>
      <c r="BG1" s="40" t="s">
        <v>660</v>
      </c>
      <c r="BH1" s="40" t="s">
        <v>661</v>
      </c>
      <c r="BI1" s="40" t="s">
        <v>662</v>
      </c>
      <c r="BJ1" s="40" t="s">
        <v>663</v>
      </c>
      <c r="BK1" s="40" t="s">
        <v>664</v>
      </c>
      <c r="BL1" s="40" t="s">
        <v>665</v>
      </c>
      <c r="BM1" s="40" t="s">
        <v>666</v>
      </c>
      <c r="BN1" s="40" t="s">
        <v>667</v>
      </c>
      <c r="BO1" s="40" t="s">
        <v>668</v>
      </c>
      <c r="BP1" s="40" t="s">
        <v>669</v>
      </c>
      <c r="BQ1" s="40" t="s">
        <v>670</v>
      </c>
      <c r="BR1" s="40" t="s">
        <v>671</v>
      </c>
      <c r="BS1" s="40" t="s">
        <v>672</v>
      </c>
      <c r="BT1" s="40" t="s">
        <v>589</v>
      </c>
      <c r="BU1" s="40" t="s">
        <v>673</v>
      </c>
      <c r="BV1" s="40" t="s">
        <v>674</v>
      </c>
      <c r="BW1" s="40" t="s">
        <v>675</v>
      </c>
      <c r="BX1" s="40" t="s">
        <v>676</v>
      </c>
      <c r="BY1" s="40" t="s">
        <v>677</v>
      </c>
      <c r="BZ1" s="40" t="s">
        <v>678</v>
      </c>
      <c r="CA1" s="40" t="s">
        <v>679</v>
      </c>
      <c r="CB1" s="40" t="s">
        <v>680</v>
      </c>
      <c r="CC1" s="40" t="s">
        <v>681</v>
      </c>
      <c r="CD1" s="40" t="s">
        <v>682</v>
      </c>
      <c r="CE1" s="40" t="s">
        <v>683</v>
      </c>
      <c r="CF1" s="40" t="s">
        <v>684</v>
      </c>
      <c r="CG1" s="40" t="s">
        <v>685</v>
      </c>
      <c r="CH1" s="40" t="s">
        <v>686</v>
      </c>
      <c r="CI1" s="40" t="s">
        <v>687</v>
      </c>
      <c r="CJ1" s="40" t="s">
        <v>688</v>
      </c>
      <c r="CK1" s="40" t="s">
        <v>689</v>
      </c>
      <c r="CL1" s="40" t="s">
        <v>690</v>
      </c>
      <c r="CM1" s="40" t="s">
        <v>691</v>
      </c>
      <c r="CN1" s="40" t="s">
        <v>692</v>
      </c>
      <c r="CO1" s="40" t="s">
        <v>693</v>
      </c>
      <c r="CP1" s="40" t="s">
        <v>694</v>
      </c>
      <c r="CQ1" s="40" t="s">
        <v>695</v>
      </c>
      <c r="CR1" s="40" t="s">
        <v>696</v>
      </c>
      <c r="CS1" s="40" t="s">
        <v>697</v>
      </c>
      <c r="CT1" s="40" t="s">
        <v>698</v>
      </c>
      <c r="CU1" s="40" t="s">
        <v>699</v>
      </c>
      <c r="CV1" s="40" t="s">
        <v>700</v>
      </c>
      <c r="CW1" s="40" t="s">
        <v>701</v>
      </c>
      <c r="CX1" s="40" t="s">
        <v>702</v>
      </c>
      <c r="CY1" s="40" t="s">
        <v>703</v>
      </c>
      <c r="CZ1" s="40" t="s">
        <v>704</v>
      </c>
      <c r="DA1" s="40" t="s">
        <v>705</v>
      </c>
      <c r="DB1" s="40" t="s">
        <v>706</v>
      </c>
      <c r="DC1" s="40" t="s">
        <v>707</v>
      </c>
      <c r="DD1" s="40" t="s">
        <v>708</v>
      </c>
      <c r="DE1" s="40" t="s">
        <v>709</v>
      </c>
      <c r="DF1" s="40" t="s">
        <v>710</v>
      </c>
      <c r="DG1" s="40" t="s">
        <v>711</v>
      </c>
      <c r="DH1" s="40" t="s">
        <v>712</v>
      </c>
      <c r="DI1" s="40" t="s">
        <v>713</v>
      </c>
      <c r="DJ1" s="40" t="s">
        <v>714</v>
      </c>
      <c r="DK1" s="40" t="s">
        <v>715</v>
      </c>
      <c r="DL1" s="40" t="s">
        <v>716</v>
      </c>
      <c r="DM1" s="40" t="s">
        <v>717</v>
      </c>
      <c r="DN1" s="40" t="s">
        <v>718</v>
      </c>
      <c r="DO1" s="40" t="s">
        <v>719</v>
      </c>
      <c r="DP1" s="40" t="s">
        <v>720</v>
      </c>
      <c r="DQ1" s="40" t="s">
        <v>721</v>
      </c>
      <c r="DR1" s="40" t="s">
        <v>722</v>
      </c>
      <c r="DS1" s="40" t="s">
        <v>723</v>
      </c>
      <c r="DT1" s="40" t="s">
        <v>724</v>
      </c>
      <c r="DU1" s="40" t="s">
        <v>725</v>
      </c>
      <c r="DV1" s="40" t="s">
        <v>726</v>
      </c>
      <c r="DW1" s="40" t="s">
        <v>727</v>
      </c>
      <c r="DX1" s="40" t="s">
        <v>728</v>
      </c>
      <c r="DY1" s="40" t="s">
        <v>729</v>
      </c>
      <c r="DZ1" s="40" t="s">
        <v>730</v>
      </c>
      <c r="EA1" s="40" t="s">
        <v>731</v>
      </c>
      <c r="EB1" s="40" t="s">
        <v>732</v>
      </c>
      <c r="EC1" s="40" t="s">
        <v>733</v>
      </c>
      <c r="ED1" s="40" t="s">
        <v>734</v>
      </c>
      <c r="EE1" s="40" t="s">
        <v>735</v>
      </c>
      <c r="EF1" s="40" t="s">
        <v>736</v>
      </c>
      <c r="EG1" s="40" t="s">
        <v>737</v>
      </c>
      <c r="EH1" s="40" t="s">
        <v>738</v>
      </c>
      <c r="EI1" s="40" t="s">
        <v>739</v>
      </c>
      <c r="EJ1" s="40" t="s">
        <v>740</v>
      </c>
      <c r="EK1" s="40" t="s">
        <v>741</v>
      </c>
      <c r="EL1" s="40" t="s">
        <v>742</v>
      </c>
      <c r="EM1" s="40" t="s">
        <v>743</v>
      </c>
      <c r="EN1" s="40" t="s">
        <v>744</v>
      </c>
      <c r="EO1" s="40" t="s">
        <v>745</v>
      </c>
      <c r="EP1" s="40" t="s">
        <v>746</v>
      </c>
      <c r="EQ1" s="40" t="s">
        <v>747</v>
      </c>
      <c r="ER1" s="40" t="s">
        <v>748</v>
      </c>
      <c r="ES1" s="40" t="s">
        <v>749</v>
      </c>
      <c r="ET1" s="40" t="s">
        <v>750</v>
      </c>
      <c r="EU1" s="40" t="s">
        <v>751</v>
      </c>
      <c r="EV1" s="40" t="s">
        <v>752</v>
      </c>
      <c r="EW1" s="40" t="s">
        <v>753</v>
      </c>
      <c r="EX1" s="40" t="s">
        <v>754</v>
      </c>
      <c r="EY1" s="40" t="s">
        <v>755</v>
      </c>
      <c r="EZ1" s="40" t="s">
        <v>756</v>
      </c>
      <c r="FA1" s="40" t="s">
        <v>757</v>
      </c>
      <c r="FB1" s="40" t="s">
        <v>758</v>
      </c>
      <c r="FC1" s="40" t="s">
        <v>759</v>
      </c>
      <c r="FD1" s="40" t="s">
        <v>760</v>
      </c>
      <c r="FE1" s="40" t="s">
        <v>761</v>
      </c>
      <c r="FF1" s="40" t="s">
        <v>762</v>
      </c>
      <c r="FG1" s="40" t="s">
        <v>763</v>
      </c>
      <c r="FH1" s="40" t="s">
        <v>764</v>
      </c>
      <c r="FI1" s="40" t="s">
        <v>765</v>
      </c>
      <c r="FJ1" s="40" t="s">
        <v>766</v>
      </c>
      <c r="FK1" s="40" t="s">
        <v>767</v>
      </c>
      <c r="FL1" s="40" t="s">
        <v>768</v>
      </c>
      <c r="FM1" s="40" t="s">
        <v>769</v>
      </c>
      <c r="FN1" s="40" t="s">
        <v>770</v>
      </c>
      <c r="FO1" s="40" t="s">
        <v>771</v>
      </c>
      <c r="FP1" s="40" t="s">
        <v>772</v>
      </c>
      <c r="FQ1" s="40" t="s">
        <v>773</v>
      </c>
      <c r="FR1" s="40" t="s">
        <v>774</v>
      </c>
      <c r="FS1" s="40" t="s">
        <v>775</v>
      </c>
      <c r="FT1" s="40" t="s">
        <v>776</v>
      </c>
      <c r="FU1" s="40" t="s">
        <v>777</v>
      </c>
      <c r="FV1" s="40" t="s">
        <v>778</v>
      </c>
      <c r="FW1" s="40" t="s">
        <v>779</v>
      </c>
      <c r="FX1" s="40" t="s">
        <v>780</v>
      </c>
      <c r="FY1" s="40" t="s">
        <v>781</v>
      </c>
      <c r="FZ1" s="40" t="s">
        <v>782</v>
      </c>
      <c r="GA1" s="40" t="s">
        <v>783</v>
      </c>
      <c r="GB1" s="40" t="s">
        <v>784</v>
      </c>
      <c r="GC1" s="40" t="s">
        <v>785</v>
      </c>
      <c r="GD1" s="40" t="s">
        <v>786</v>
      </c>
      <c r="GE1" s="40" t="s">
        <v>787</v>
      </c>
      <c r="GF1" s="40" t="s">
        <v>788</v>
      </c>
      <c r="GG1" s="40" t="s">
        <v>789</v>
      </c>
      <c r="GH1" s="40" t="s">
        <v>790</v>
      </c>
      <c r="GI1" s="40" t="s">
        <v>791</v>
      </c>
      <c r="GJ1" s="40" t="s">
        <v>792</v>
      </c>
      <c r="GK1" s="40" t="s">
        <v>793</v>
      </c>
      <c r="GL1" s="40" t="s">
        <v>794</v>
      </c>
      <c r="GM1" s="40" t="s">
        <v>795</v>
      </c>
      <c r="GN1" s="40" t="s">
        <v>796</v>
      </c>
      <c r="GO1" s="40" t="s">
        <v>797</v>
      </c>
      <c r="GP1" s="40" t="s">
        <v>798</v>
      </c>
      <c r="GQ1" s="40" t="s">
        <v>799</v>
      </c>
      <c r="GR1" s="40" t="s">
        <v>800</v>
      </c>
      <c r="GS1" s="40" t="s">
        <v>801</v>
      </c>
      <c r="GT1" s="40" t="s">
        <v>802</v>
      </c>
      <c r="GU1" s="40" t="s">
        <v>803</v>
      </c>
      <c r="GV1" s="40" t="s">
        <v>804</v>
      </c>
      <c r="GW1" s="40" t="s">
        <v>805</v>
      </c>
      <c r="GX1" s="40" t="s">
        <v>806</v>
      </c>
      <c r="GY1" s="40" t="s">
        <v>807</v>
      </c>
      <c r="GZ1" s="40" t="s">
        <v>808</v>
      </c>
      <c r="HA1" s="40" t="s">
        <v>809</v>
      </c>
      <c r="HB1" s="40" t="s">
        <v>810</v>
      </c>
      <c r="HC1" s="40" t="s">
        <v>811</v>
      </c>
      <c r="HD1" s="40" t="s">
        <v>812</v>
      </c>
      <c r="HE1" s="40" t="s">
        <v>813</v>
      </c>
      <c r="HF1" s="40" t="s">
        <v>814</v>
      </c>
      <c r="HG1" s="40" t="s">
        <v>815</v>
      </c>
      <c r="HH1" s="40" t="s">
        <v>816</v>
      </c>
      <c r="HI1" s="40" t="s">
        <v>817</v>
      </c>
      <c r="HJ1" s="40" t="s">
        <v>818</v>
      </c>
      <c r="HK1" s="40" t="s">
        <v>819</v>
      </c>
      <c r="HL1" s="40" t="s">
        <v>820</v>
      </c>
      <c r="HM1" s="40" t="s">
        <v>821</v>
      </c>
      <c r="HN1" s="40" t="s">
        <v>822</v>
      </c>
      <c r="HO1" s="40" t="s">
        <v>823</v>
      </c>
      <c r="HP1" s="40" t="s">
        <v>824</v>
      </c>
      <c r="HQ1" s="40" t="s">
        <v>825</v>
      </c>
      <c r="HR1" s="40" t="s">
        <v>826</v>
      </c>
      <c r="HS1" s="40" t="s">
        <v>827</v>
      </c>
      <c r="HU1" s="31" t="s">
        <v>828</v>
      </c>
    </row>
    <row r="2" spans="1:229" x14ac:dyDescent="0.2">
      <c r="A2">
        <v>8702</v>
      </c>
      <c r="B2">
        <v>7526314205</v>
      </c>
      <c r="C2" t="s">
        <v>829</v>
      </c>
      <c r="D2" t="s">
        <v>830</v>
      </c>
      <c r="E2" t="s">
        <v>831</v>
      </c>
      <c r="F2">
        <v>1</v>
      </c>
      <c r="G2" t="s">
        <v>832</v>
      </c>
      <c r="H2" t="s">
        <v>832</v>
      </c>
      <c r="I2">
        <v>0</v>
      </c>
      <c r="J2" t="s">
        <v>833</v>
      </c>
      <c r="K2" t="s">
        <v>834</v>
      </c>
      <c r="L2">
        <v>152946661</v>
      </c>
      <c r="M2" t="s">
        <v>835</v>
      </c>
      <c r="N2" t="s">
        <v>836</v>
      </c>
      <c r="O2" t="s">
        <v>837</v>
      </c>
      <c r="P2" t="s">
        <v>838</v>
      </c>
      <c r="Q2" t="s">
        <v>839</v>
      </c>
      <c r="R2" t="s">
        <v>840</v>
      </c>
      <c r="S2" t="s">
        <v>841</v>
      </c>
      <c r="T2">
        <v>41477124076</v>
      </c>
      <c r="V2" t="s">
        <v>842</v>
      </c>
      <c r="W2" s="41">
        <v>45920</v>
      </c>
      <c r="X2" t="s">
        <v>843</v>
      </c>
      <c r="Y2" t="s">
        <v>844</v>
      </c>
      <c r="AA2">
        <v>0</v>
      </c>
      <c r="AB2" t="s">
        <v>845</v>
      </c>
      <c r="AC2" t="s">
        <v>846</v>
      </c>
      <c r="AD2" t="s">
        <v>847</v>
      </c>
      <c r="AE2" t="s">
        <v>848</v>
      </c>
      <c r="AF2">
        <v>1</v>
      </c>
      <c r="AG2">
        <v>452210</v>
      </c>
      <c r="AH2" t="s">
        <v>849</v>
      </c>
      <c r="AI2" t="s">
        <v>850</v>
      </c>
      <c r="AJ2" t="s">
        <v>851</v>
      </c>
      <c r="AK2" t="s">
        <v>528</v>
      </c>
      <c r="AL2" t="s">
        <v>852</v>
      </c>
      <c r="AM2" t="s">
        <v>853</v>
      </c>
      <c r="AN2" t="s">
        <v>854</v>
      </c>
      <c r="AO2">
        <v>36805</v>
      </c>
      <c r="AP2">
        <v>962</v>
      </c>
      <c r="AQ2" t="s">
        <v>855</v>
      </c>
      <c r="AR2">
        <v>66123023</v>
      </c>
      <c r="AS2" t="s">
        <v>856</v>
      </c>
      <c r="AU2" t="s">
        <v>857</v>
      </c>
      <c r="AV2" t="s">
        <v>858</v>
      </c>
      <c r="AW2" t="s">
        <v>859</v>
      </c>
      <c r="AX2" t="s">
        <v>860</v>
      </c>
      <c r="AY2" t="s">
        <v>861</v>
      </c>
      <c r="AZ2" t="s">
        <v>528</v>
      </c>
      <c r="BA2" t="s">
        <v>525</v>
      </c>
      <c r="BB2">
        <v>0</v>
      </c>
      <c r="BC2">
        <v>0</v>
      </c>
      <c r="BD2">
        <v>0</v>
      </c>
      <c r="BE2" t="s">
        <v>835</v>
      </c>
      <c r="BF2">
        <v>0</v>
      </c>
      <c r="BG2">
        <v>0</v>
      </c>
      <c r="BH2" t="s">
        <v>862</v>
      </c>
      <c r="BI2">
        <v>0</v>
      </c>
      <c r="BJ2" t="s">
        <v>862</v>
      </c>
      <c r="BK2">
        <v>1</v>
      </c>
      <c r="BL2">
        <v>0</v>
      </c>
      <c r="BM2">
        <v>0</v>
      </c>
      <c r="BN2" t="s">
        <v>596</v>
      </c>
      <c r="BO2">
        <v>152946661</v>
      </c>
      <c r="BP2" t="s">
        <v>832</v>
      </c>
      <c r="BR2">
        <v>42793657</v>
      </c>
      <c r="BT2">
        <v>0</v>
      </c>
      <c r="CM2">
        <v>4010</v>
      </c>
      <c r="CO2">
        <v>7360</v>
      </c>
      <c r="CP2">
        <v>1.2</v>
      </c>
      <c r="CQ2">
        <v>1.2</v>
      </c>
      <c r="CR2">
        <v>0.41670000000000001</v>
      </c>
      <c r="CS2">
        <v>4</v>
      </c>
      <c r="CT2" t="s">
        <v>863</v>
      </c>
      <c r="CU2" t="s">
        <v>864</v>
      </c>
      <c r="CV2" t="s">
        <v>833</v>
      </c>
      <c r="CW2" t="s">
        <v>834</v>
      </c>
      <c r="CX2" t="s">
        <v>835</v>
      </c>
      <c r="CY2">
        <v>0</v>
      </c>
      <c r="CZ2">
        <v>0</v>
      </c>
      <c r="DA2" t="s">
        <v>833</v>
      </c>
      <c r="DB2" t="s">
        <v>865</v>
      </c>
      <c r="DC2">
        <v>50266</v>
      </c>
      <c r="DD2">
        <v>5.8333000000000004</v>
      </c>
      <c r="DE2" t="s">
        <v>866</v>
      </c>
      <c r="DG2" t="s">
        <v>867</v>
      </c>
      <c r="DH2" t="s">
        <v>851</v>
      </c>
      <c r="DI2" t="s">
        <v>868</v>
      </c>
      <c r="DL2" t="s">
        <v>869</v>
      </c>
      <c r="DM2">
        <v>0</v>
      </c>
      <c r="DN2">
        <v>0</v>
      </c>
      <c r="DO2">
        <v>2</v>
      </c>
      <c r="DP2" t="s">
        <v>870</v>
      </c>
      <c r="DQ2">
        <v>16</v>
      </c>
      <c r="DR2">
        <v>350</v>
      </c>
      <c r="DS2">
        <v>350</v>
      </c>
      <c r="DT2">
        <v>4.6333000000000002</v>
      </c>
      <c r="DU2">
        <v>4</v>
      </c>
      <c r="DW2">
        <v>2</v>
      </c>
      <c r="DX2" t="s">
        <v>594</v>
      </c>
      <c r="DY2" t="s">
        <v>835</v>
      </c>
      <c r="DZ2">
        <v>0</v>
      </c>
      <c r="EA2">
        <v>0</v>
      </c>
      <c r="EB2">
        <v>0</v>
      </c>
      <c r="EC2">
        <v>0</v>
      </c>
      <c r="ED2">
        <v>0</v>
      </c>
      <c r="EE2">
        <v>0</v>
      </c>
      <c r="EF2" t="s">
        <v>871</v>
      </c>
      <c r="EG2" t="s">
        <v>595</v>
      </c>
      <c r="EH2" t="s">
        <v>872</v>
      </c>
      <c r="EI2" t="s">
        <v>872</v>
      </c>
      <c r="EJ2" t="s">
        <v>246</v>
      </c>
      <c r="EK2">
        <v>9090</v>
      </c>
      <c r="EL2">
        <v>0</v>
      </c>
      <c r="EM2" t="s">
        <v>873</v>
      </c>
      <c r="EN2">
        <v>0.41670000000000001</v>
      </c>
      <c r="EO2">
        <v>5.8333332999999996</v>
      </c>
      <c r="EP2">
        <v>99991120</v>
      </c>
      <c r="EQ2" t="s">
        <v>874</v>
      </c>
      <c r="ER2" t="s">
        <v>875</v>
      </c>
      <c r="ES2" t="s">
        <v>876</v>
      </c>
      <c r="ET2" t="s">
        <v>877</v>
      </c>
      <c r="EU2" t="s">
        <v>877</v>
      </c>
      <c r="EV2" t="s">
        <v>871</v>
      </c>
      <c r="EX2" t="s">
        <v>836</v>
      </c>
      <c r="EY2" t="s">
        <v>873</v>
      </c>
      <c r="EZ2" t="s">
        <v>878</v>
      </c>
      <c r="FA2" t="s">
        <v>879</v>
      </c>
      <c r="FB2">
        <v>1</v>
      </c>
      <c r="FC2">
        <v>1</v>
      </c>
      <c r="FD2" s="41">
        <v>45920</v>
      </c>
      <c r="FE2" t="s">
        <v>880</v>
      </c>
      <c r="FF2">
        <v>5</v>
      </c>
      <c r="FI2">
        <v>0</v>
      </c>
      <c r="FJ2" t="s">
        <v>881</v>
      </c>
      <c r="FK2" t="s">
        <v>882</v>
      </c>
      <c r="FL2">
        <v>1</v>
      </c>
      <c r="FM2" t="s">
        <v>883</v>
      </c>
      <c r="FN2" t="s">
        <v>884</v>
      </c>
      <c r="FO2">
        <v>1</v>
      </c>
      <c r="FP2" t="s">
        <v>885</v>
      </c>
      <c r="FQ2" t="s">
        <v>886</v>
      </c>
      <c r="FR2">
        <v>1</v>
      </c>
      <c r="FS2" t="s">
        <v>887</v>
      </c>
      <c r="FT2" t="s">
        <v>888</v>
      </c>
      <c r="FU2">
        <v>1</v>
      </c>
      <c r="FV2" t="s">
        <v>889</v>
      </c>
      <c r="FW2" t="s">
        <v>882</v>
      </c>
      <c r="FX2">
        <v>1</v>
      </c>
      <c r="FY2" t="s">
        <v>890</v>
      </c>
      <c r="FZ2" t="s">
        <v>891</v>
      </c>
      <c r="GA2" t="s">
        <v>881</v>
      </c>
      <c r="GB2">
        <v>1</v>
      </c>
      <c r="GD2">
        <v>0</v>
      </c>
      <c r="GF2">
        <v>0</v>
      </c>
      <c r="GG2">
        <v>1</v>
      </c>
      <c r="GH2" t="s">
        <v>892</v>
      </c>
      <c r="GI2" t="s">
        <v>893</v>
      </c>
      <c r="GJ2" t="s">
        <v>882</v>
      </c>
      <c r="GM2">
        <v>1</v>
      </c>
      <c r="GN2">
        <v>1</v>
      </c>
      <c r="GO2">
        <v>0</v>
      </c>
      <c r="GP2">
        <v>1</v>
      </c>
      <c r="GQ2">
        <v>1</v>
      </c>
      <c r="GR2">
        <v>0</v>
      </c>
      <c r="GS2">
        <v>1</v>
      </c>
      <c r="GT2">
        <v>0</v>
      </c>
      <c r="GU2">
        <v>1</v>
      </c>
      <c r="GV2">
        <v>0</v>
      </c>
      <c r="GW2">
        <v>1</v>
      </c>
      <c r="GX2">
        <v>0</v>
      </c>
      <c r="GY2">
        <v>1</v>
      </c>
      <c r="GZ2">
        <v>0</v>
      </c>
      <c r="HA2" t="s">
        <v>528</v>
      </c>
      <c r="HB2" t="s">
        <v>894</v>
      </c>
      <c r="HC2" t="s">
        <v>895</v>
      </c>
      <c r="HD2" t="s">
        <v>845</v>
      </c>
      <c r="HE2" t="s">
        <v>836</v>
      </c>
      <c r="HF2" t="s">
        <v>873</v>
      </c>
      <c r="HG2" t="s">
        <v>894</v>
      </c>
      <c r="HH2" t="s">
        <v>895</v>
      </c>
      <c r="HI2" t="s">
        <v>845</v>
      </c>
      <c r="HJ2" t="s">
        <v>836</v>
      </c>
      <c r="HK2" t="s">
        <v>873</v>
      </c>
      <c r="HL2" t="s">
        <v>842</v>
      </c>
      <c r="HM2" t="s">
        <v>854</v>
      </c>
      <c r="HN2">
        <v>36805</v>
      </c>
      <c r="HP2" t="s">
        <v>246</v>
      </c>
      <c r="HQ2" t="s">
        <v>896</v>
      </c>
      <c r="HR2" t="s">
        <v>896</v>
      </c>
      <c r="HS2" t="s">
        <v>896</v>
      </c>
    </row>
    <row r="3" spans="1:229" x14ac:dyDescent="0.2">
      <c r="A3">
        <v>8702</v>
      </c>
      <c r="B3">
        <v>7621502464</v>
      </c>
      <c r="C3" t="s">
        <v>829</v>
      </c>
      <c r="D3" t="s">
        <v>830</v>
      </c>
      <c r="E3" t="s">
        <v>897</v>
      </c>
      <c r="F3">
        <v>1</v>
      </c>
      <c r="G3" t="s">
        <v>898</v>
      </c>
      <c r="H3" t="s">
        <v>898</v>
      </c>
      <c r="I3">
        <v>0</v>
      </c>
      <c r="J3" t="s">
        <v>833</v>
      </c>
      <c r="K3" t="s">
        <v>834</v>
      </c>
      <c r="L3">
        <v>155403173</v>
      </c>
      <c r="M3" t="s">
        <v>899</v>
      </c>
      <c r="N3" t="s">
        <v>900</v>
      </c>
      <c r="O3" t="s">
        <v>837</v>
      </c>
      <c r="P3" t="s">
        <v>838</v>
      </c>
      <c r="Q3" t="s">
        <v>901</v>
      </c>
      <c r="R3" t="s">
        <v>902</v>
      </c>
      <c r="S3" t="s">
        <v>903</v>
      </c>
      <c r="T3">
        <v>41477095563</v>
      </c>
      <c r="V3" t="s">
        <v>904</v>
      </c>
      <c r="W3" s="41">
        <v>46237</v>
      </c>
      <c r="X3" t="s">
        <v>905</v>
      </c>
      <c r="Y3" t="s">
        <v>906</v>
      </c>
      <c r="AA3">
        <v>0</v>
      </c>
      <c r="AB3" t="s">
        <v>845</v>
      </c>
      <c r="AC3" t="s">
        <v>846</v>
      </c>
      <c r="AD3" t="s">
        <v>907</v>
      </c>
      <c r="AE3" t="s">
        <v>908</v>
      </c>
      <c r="AF3">
        <v>1</v>
      </c>
      <c r="AG3">
        <v>452210</v>
      </c>
      <c r="AH3" t="s">
        <v>849</v>
      </c>
      <c r="AI3" t="s">
        <v>850</v>
      </c>
      <c r="AJ3" t="s">
        <v>851</v>
      </c>
      <c r="AK3" t="s">
        <v>291</v>
      </c>
      <c r="AL3" t="s">
        <v>909</v>
      </c>
      <c r="AM3" t="s">
        <v>910</v>
      </c>
      <c r="AN3" t="s">
        <v>854</v>
      </c>
      <c r="AO3">
        <v>36805</v>
      </c>
      <c r="AP3">
        <v>606</v>
      </c>
      <c r="AQ3" t="s">
        <v>855</v>
      </c>
      <c r="AR3">
        <v>66578915</v>
      </c>
      <c r="AS3" t="s">
        <v>856</v>
      </c>
      <c r="AU3" t="s">
        <v>911</v>
      </c>
      <c r="AV3" t="s">
        <v>912</v>
      </c>
      <c r="AX3" t="s">
        <v>913</v>
      </c>
      <c r="AY3" t="s">
        <v>861</v>
      </c>
      <c r="AZ3" t="s">
        <v>291</v>
      </c>
      <c r="BA3" t="s">
        <v>292</v>
      </c>
      <c r="BB3">
        <v>0</v>
      </c>
      <c r="BC3">
        <v>0</v>
      </c>
      <c r="BD3">
        <v>0</v>
      </c>
      <c r="BE3" t="s">
        <v>899</v>
      </c>
      <c r="BF3">
        <v>0</v>
      </c>
      <c r="BG3">
        <v>0</v>
      </c>
      <c r="BH3" t="s">
        <v>862</v>
      </c>
      <c r="BI3">
        <v>0</v>
      </c>
      <c r="BJ3" t="s">
        <v>862</v>
      </c>
      <c r="BK3">
        <v>1</v>
      </c>
      <c r="BL3">
        <v>1</v>
      </c>
      <c r="BM3">
        <v>0</v>
      </c>
      <c r="BN3" t="s">
        <v>596</v>
      </c>
      <c r="BO3">
        <v>155403173</v>
      </c>
      <c r="BP3" t="s">
        <v>898</v>
      </c>
      <c r="BQ3">
        <v>42.926001999999997</v>
      </c>
      <c r="BR3">
        <v>42810759</v>
      </c>
      <c r="BS3">
        <v>-85.605986999999999</v>
      </c>
      <c r="BT3">
        <v>2</v>
      </c>
      <c r="BU3" t="s">
        <v>914</v>
      </c>
      <c r="BY3">
        <v>16</v>
      </c>
      <c r="CA3">
        <v>1</v>
      </c>
      <c r="CE3">
        <v>1</v>
      </c>
      <c r="CI3">
        <v>11</v>
      </c>
      <c r="CJ3" t="s">
        <v>94</v>
      </c>
      <c r="CM3">
        <v>4010</v>
      </c>
      <c r="CO3">
        <v>7360</v>
      </c>
      <c r="CP3">
        <v>0.81669999999999998</v>
      </c>
      <c r="CQ3">
        <v>0.81669999999999998</v>
      </c>
      <c r="CR3">
        <v>0.61670000000000003</v>
      </c>
      <c r="CS3">
        <v>45</v>
      </c>
      <c r="CT3" t="s">
        <v>915</v>
      </c>
      <c r="CU3" t="s">
        <v>916</v>
      </c>
      <c r="CV3" t="s">
        <v>833</v>
      </c>
      <c r="CW3" t="s">
        <v>834</v>
      </c>
      <c r="CX3" t="s">
        <v>899</v>
      </c>
      <c r="CY3">
        <v>0</v>
      </c>
      <c r="CZ3">
        <v>0</v>
      </c>
      <c r="DA3" t="s">
        <v>833</v>
      </c>
      <c r="DB3" t="s">
        <v>865</v>
      </c>
      <c r="DC3">
        <v>49546</v>
      </c>
      <c r="DD3">
        <v>1.4167000000000001</v>
      </c>
      <c r="DE3" t="s">
        <v>866</v>
      </c>
      <c r="DG3" t="s">
        <v>867</v>
      </c>
      <c r="DH3" t="s">
        <v>851</v>
      </c>
      <c r="DI3" t="s">
        <v>917</v>
      </c>
      <c r="DK3" t="s">
        <v>918</v>
      </c>
      <c r="DL3" t="s">
        <v>869</v>
      </c>
      <c r="DM3">
        <v>0</v>
      </c>
      <c r="DN3">
        <v>0</v>
      </c>
      <c r="DO3">
        <v>3</v>
      </c>
      <c r="DP3" t="s">
        <v>919</v>
      </c>
      <c r="DQ3">
        <v>16</v>
      </c>
      <c r="DR3">
        <v>85</v>
      </c>
      <c r="DS3">
        <v>685</v>
      </c>
      <c r="DT3">
        <v>0.6</v>
      </c>
      <c r="DU3">
        <v>4</v>
      </c>
      <c r="DV3">
        <v>1</v>
      </c>
      <c r="DW3">
        <v>2</v>
      </c>
      <c r="DX3" t="s">
        <v>596</v>
      </c>
      <c r="DY3" t="s">
        <v>899</v>
      </c>
      <c r="DZ3">
        <v>1</v>
      </c>
      <c r="EA3">
        <v>1</v>
      </c>
      <c r="EB3">
        <v>1</v>
      </c>
      <c r="EC3">
        <v>1</v>
      </c>
      <c r="ED3">
        <v>1</v>
      </c>
      <c r="EE3">
        <v>1</v>
      </c>
      <c r="EF3" t="s">
        <v>920</v>
      </c>
      <c r="EG3" t="s">
        <v>595</v>
      </c>
      <c r="EH3" t="s">
        <v>921</v>
      </c>
      <c r="EI3" t="s">
        <v>921</v>
      </c>
      <c r="EJ3" t="s">
        <v>178</v>
      </c>
      <c r="EK3">
        <v>9090</v>
      </c>
      <c r="EL3">
        <v>0</v>
      </c>
      <c r="EM3" t="s">
        <v>922</v>
      </c>
      <c r="EN3">
        <v>0.61670000000000003</v>
      </c>
      <c r="EO3">
        <v>11.4166667</v>
      </c>
      <c r="EP3">
        <v>99991120</v>
      </c>
      <c r="EQ3" t="s">
        <v>874</v>
      </c>
      <c r="ER3" t="s">
        <v>875</v>
      </c>
      <c r="ES3" t="s">
        <v>876</v>
      </c>
      <c r="ET3" t="s">
        <v>877</v>
      </c>
      <c r="EU3" t="s">
        <v>877</v>
      </c>
      <c r="EV3" t="s">
        <v>920</v>
      </c>
      <c r="EX3" t="s">
        <v>900</v>
      </c>
      <c r="EY3" t="s">
        <v>923</v>
      </c>
      <c r="EZ3" t="s">
        <v>924</v>
      </c>
      <c r="FA3" t="s">
        <v>925</v>
      </c>
      <c r="FB3">
        <v>1</v>
      </c>
      <c r="FC3">
        <v>1</v>
      </c>
      <c r="FD3" s="41">
        <v>46242</v>
      </c>
      <c r="FE3" t="s">
        <v>926</v>
      </c>
      <c r="FF3">
        <v>4</v>
      </c>
      <c r="FI3">
        <v>0</v>
      </c>
      <c r="FL3">
        <v>0</v>
      </c>
      <c r="FM3" t="s">
        <v>927</v>
      </c>
      <c r="FN3" t="s">
        <v>928</v>
      </c>
      <c r="FO3">
        <v>1</v>
      </c>
      <c r="FP3" t="s">
        <v>929</v>
      </c>
      <c r="FQ3" t="s">
        <v>916</v>
      </c>
      <c r="FR3">
        <v>1</v>
      </c>
      <c r="FS3" t="s">
        <v>930</v>
      </c>
      <c r="FT3" t="s">
        <v>931</v>
      </c>
      <c r="FU3">
        <v>1</v>
      </c>
      <c r="FV3" t="s">
        <v>932</v>
      </c>
      <c r="FW3" t="s">
        <v>933</v>
      </c>
      <c r="FX3">
        <v>1</v>
      </c>
      <c r="FY3" t="s">
        <v>890</v>
      </c>
      <c r="FZ3" t="s">
        <v>934</v>
      </c>
      <c r="GA3" t="s">
        <v>932</v>
      </c>
      <c r="GB3">
        <v>1</v>
      </c>
      <c r="GD3">
        <v>0</v>
      </c>
      <c r="GF3">
        <v>0</v>
      </c>
      <c r="GG3">
        <v>1</v>
      </c>
      <c r="GH3" t="s">
        <v>892</v>
      </c>
      <c r="GI3" t="s">
        <v>893</v>
      </c>
      <c r="GJ3" t="s">
        <v>933</v>
      </c>
      <c r="GM3">
        <v>1</v>
      </c>
      <c r="GN3">
        <v>1</v>
      </c>
      <c r="GO3">
        <v>0</v>
      </c>
      <c r="GP3">
        <v>1</v>
      </c>
      <c r="GQ3">
        <v>1</v>
      </c>
      <c r="GR3">
        <v>0</v>
      </c>
      <c r="GS3">
        <v>1</v>
      </c>
      <c r="GT3">
        <v>0</v>
      </c>
      <c r="GU3">
        <v>1</v>
      </c>
      <c r="GV3">
        <v>0</v>
      </c>
      <c r="GW3">
        <v>1</v>
      </c>
      <c r="GX3">
        <v>0</v>
      </c>
      <c r="GY3">
        <v>1</v>
      </c>
      <c r="GZ3">
        <v>0</v>
      </c>
      <c r="HA3" t="s">
        <v>291</v>
      </c>
      <c r="HB3" t="s">
        <v>894</v>
      </c>
      <c r="HC3" t="s">
        <v>935</v>
      </c>
      <c r="HD3" t="s">
        <v>845</v>
      </c>
      <c r="HE3" t="s">
        <v>900</v>
      </c>
      <c r="HF3" t="s">
        <v>923</v>
      </c>
      <c r="HG3" t="s">
        <v>894</v>
      </c>
      <c r="HH3" t="s">
        <v>935</v>
      </c>
      <c r="HI3" t="s">
        <v>845</v>
      </c>
      <c r="HJ3" t="s">
        <v>900</v>
      </c>
      <c r="HK3" t="s">
        <v>922</v>
      </c>
      <c r="HL3" t="s">
        <v>904</v>
      </c>
      <c r="HM3" t="s">
        <v>854</v>
      </c>
      <c r="HN3">
        <v>36805</v>
      </c>
      <c r="HP3" t="s">
        <v>178</v>
      </c>
      <c r="HQ3" t="s">
        <v>896</v>
      </c>
      <c r="HR3" t="s">
        <v>896</v>
      </c>
      <c r="HS3" t="s">
        <v>896</v>
      </c>
    </row>
    <row r="4" spans="1:229" x14ac:dyDescent="0.2">
      <c r="A4">
        <v>8702</v>
      </c>
      <c r="B4">
        <v>7534505738</v>
      </c>
      <c r="C4" t="s">
        <v>936</v>
      </c>
      <c r="D4" t="s">
        <v>937</v>
      </c>
      <c r="E4" t="s">
        <v>897</v>
      </c>
      <c r="F4">
        <v>0</v>
      </c>
      <c r="G4" t="s">
        <v>938</v>
      </c>
      <c r="H4" t="s">
        <v>938</v>
      </c>
      <c r="I4">
        <v>0</v>
      </c>
      <c r="J4" t="s">
        <v>833</v>
      </c>
      <c r="K4" t="s">
        <v>834</v>
      </c>
      <c r="L4">
        <v>153406439</v>
      </c>
      <c r="M4" t="s">
        <v>939</v>
      </c>
      <c r="N4" t="s">
        <v>900</v>
      </c>
      <c r="O4" t="s">
        <v>837</v>
      </c>
      <c r="P4" t="s">
        <v>940</v>
      </c>
      <c r="Q4" t="s">
        <v>941</v>
      </c>
      <c r="R4" t="s">
        <v>942</v>
      </c>
      <c r="S4" t="s">
        <v>943</v>
      </c>
      <c r="T4">
        <v>41477014545</v>
      </c>
      <c r="V4" t="s">
        <v>202</v>
      </c>
      <c r="W4" s="41">
        <v>46002</v>
      </c>
      <c r="X4" t="s">
        <v>944</v>
      </c>
      <c r="Y4" t="s">
        <v>945</v>
      </c>
      <c r="AA4">
        <v>0</v>
      </c>
      <c r="AB4" t="s">
        <v>845</v>
      </c>
      <c r="AC4" t="s">
        <v>846</v>
      </c>
      <c r="AD4" t="s">
        <v>847</v>
      </c>
      <c r="AE4" t="s">
        <v>848</v>
      </c>
      <c r="AF4">
        <v>1</v>
      </c>
      <c r="AG4">
        <v>452210</v>
      </c>
      <c r="AH4" t="s">
        <v>849</v>
      </c>
      <c r="AI4" t="s">
        <v>850</v>
      </c>
      <c r="AJ4" t="s">
        <v>851</v>
      </c>
      <c r="AK4" t="s">
        <v>319</v>
      </c>
      <c r="AL4" t="s">
        <v>946</v>
      </c>
      <c r="AM4" t="s">
        <v>947</v>
      </c>
      <c r="AN4" t="s">
        <v>854</v>
      </c>
      <c r="AO4">
        <v>36805</v>
      </c>
      <c r="AP4">
        <v>643</v>
      </c>
      <c r="AQ4" t="s">
        <v>855</v>
      </c>
      <c r="AR4">
        <v>66240792</v>
      </c>
      <c r="AS4" t="s">
        <v>856</v>
      </c>
      <c r="AU4" t="s">
        <v>948</v>
      </c>
      <c r="AV4" t="s">
        <v>949</v>
      </c>
      <c r="AW4" t="s">
        <v>950</v>
      </c>
      <c r="AX4" t="s">
        <v>951</v>
      </c>
      <c r="AY4" t="s">
        <v>861</v>
      </c>
      <c r="AZ4" t="s">
        <v>319</v>
      </c>
      <c r="BA4" t="s">
        <v>320</v>
      </c>
      <c r="BB4">
        <v>0</v>
      </c>
      <c r="BC4">
        <v>0</v>
      </c>
      <c r="BD4">
        <v>0</v>
      </c>
      <c r="BE4" t="s">
        <v>939</v>
      </c>
      <c r="BF4">
        <v>0</v>
      </c>
      <c r="BG4">
        <v>0</v>
      </c>
      <c r="BH4" t="s">
        <v>862</v>
      </c>
      <c r="BI4">
        <v>0</v>
      </c>
      <c r="BJ4" t="s">
        <v>862</v>
      </c>
      <c r="BK4">
        <v>1</v>
      </c>
      <c r="BL4">
        <v>0</v>
      </c>
      <c r="BM4">
        <v>0</v>
      </c>
      <c r="BN4" t="s">
        <v>596</v>
      </c>
      <c r="BO4">
        <v>153406439</v>
      </c>
      <c r="BP4" t="s">
        <v>938</v>
      </c>
      <c r="BQ4">
        <v>42.5640085</v>
      </c>
      <c r="BR4">
        <v>42791774</v>
      </c>
      <c r="BS4">
        <v>-83.130438999999996</v>
      </c>
      <c r="BT4">
        <v>0</v>
      </c>
      <c r="CM4">
        <v>4010</v>
      </c>
      <c r="CO4">
        <v>7360</v>
      </c>
      <c r="CP4">
        <v>0.5</v>
      </c>
      <c r="CQ4">
        <v>0.5</v>
      </c>
      <c r="CR4">
        <v>1.0667</v>
      </c>
      <c r="CS4">
        <v>8</v>
      </c>
      <c r="CT4" t="s">
        <v>949</v>
      </c>
      <c r="CU4" t="s">
        <v>948</v>
      </c>
      <c r="CV4" t="s">
        <v>833</v>
      </c>
      <c r="CW4" t="s">
        <v>834</v>
      </c>
      <c r="CX4" t="s">
        <v>939</v>
      </c>
      <c r="CY4">
        <v>0</v>
      </c>
      <c r="CZ4">
        <v>0</v>
      </c>
      <c r="DA4" t="s">
        <v>833</v>
      </c>
      <c r="DB4" t="s">
        <v>865</v>
      </c>
      <c r="DC4">
        <v>48083</v>
      </c>
      <c r="DD4">
        <v>1.8332999999999999</v>
      </c>
      <c r="DE4" t="s">
        <v>866</v>
      </c>
      <c r="DG4" t="s">
        <v>867</v>
      </c>
      <c r="DH4" t="s">
        <v>851</v>
      </c>
      <c r="DL4" t="s">
        <v>869</v>
      </c>
      <c r="DM4">
        <v>0</v>
      </c>
      <c r="DN4">
        <v>0</v>
      </c>
      <c r="DO4">
        <v>3</v>
      </c>
      <c r="DP4" t="s">
        <v>919</v>
      </c>
      <c r="DQ4">
        <v>16</v>
      </c>
      <c r="DR4">
        <v>110</v>
      </c>
      <c r="DS4">
        <v>110</v>
      </c>
      <c r="DT4">
        <v>1.3332999999999999</v>
      </c>
      <c r="DU4">
        <v>4</v>
      </c>
      <c r="DW4">
        <v>2</v>
      </c>
      <c r="DX4" t="s">
        <v>594</v>
      </c>
      <c r="DY4" t="s">
        <v>939</v>
      </c>
      <c r="DZ4">
        <v>0</v>
      </c>
      <c r="EA4">
        <v>0</v>
      </c>
      <c r="EB4">
        <v>0</v>
      </c>
      <c r="EC4">
        <v>0</v>
      </c>
      <c r="ED4">
        <v>0</v>
      </c>
      <c r="EE4">
        <v>0</v>
      </c>
      <c r="EF4" t="s">
        <v>920</v>
      </c>
      <c r="EG4" t="s">
        <v>595</v>
      </c>
      <c r="EH4" t="s">
        <v>872</v>
      </c>
      <c r="EI4" t="s">
        <v>872</v>
      </c>
      <c r="EJ4" t="s">
        <v>178</v>
      </c>
      <c r="EK4">
        <v>9090</v>
      </c>
      <c r="EL4">
        <v>0</v>
      </c>
      <c r="EM4" t="s">
        <v>952</v>
      </c>
      <c r="EN4">
        <v>1.0667</v>
      </c>
      <c r="EO4">
        <v>1.8333333000000001</v>
      </c>
      <c r="EP4">
        <v>99991120</v>
      </c>
      <c r="EQ4" t="s">
        <v>874</v>
      </c>
      <c r="ER4" t="s">
        <v>875</v>
      </c>
      <c r="ES4" t="s">
        <v>876</v>
      </c>
      <c r="ET4" t="s">
        <v>877</v>
      </c>
      <c r="EU4" t="s">
        <v>877</v>
      </c>
      <c r="EV4" t="s">
        <v>920</v>
      </c>
      <c r="EX4" t="s">
        <v>953</v>
      </c>
      <c r="EY4" t="s">
        <v>954</v>
      </c>
      <c r="EZ4" t="s">
        <v>955</v>
      </c>
      <c r="FA4" t="s">
        <v>956</v>
      </c>
      <c r="FB4">
        <v>1</v>
      </c>
      <c r="FC4">
        <v>1</v>
      </c>
      <c r="FD4" s="41">
        <v>46004</v>
      </c>
      <c r="FE4" t="s">
        <v>957</v>
      </c>
      <c r="FF4">
        <v>7</v>
      </c>
      <c r="FG4" t="s">
        <v>958</v>
      </c>
      <c r="FH4" t="s">
        <v>959</v>
      </c>
      <c r="FI4">
        <v>1</v>
      </c>
      <c r="FJ4" t="s">
        <v>958</v>
      </c>
      <c r="FK4" t="s">
        <v>959</v>
      </c>
      <c r="FL4">
        <v>1</v>
      </c>
      <c r="FM4" t="s">
        <v>960</v>
      </c>
      <c r="FN4" t="s">
        <v>961</v>
      </c>
      <c r="FO4">
        <v>1</v>
      </c>
      <c r="FP4" t="s">
        <v>962</v>
      </c>
      <c r="FQ4" t="s">
        <v>963</v>
      </c>
      <c r="FR4">
        <v>1</v>
      </c>
      <c r="FS4" t="s">
        <v>964</v>
      </c>
      <c r="FT4" t="s">
        <v>965</v>
      </c>
      <c r="FU4">
        <v>1</v>
      </c>
      <c r="FV4" t="s">
        <v>966</v>
      </c>
      <c r="FW4" t="s">
        <v>967</v>
      </c>
      <c r="FX4">
        <v>1</v>
      </c>
      <c r="FY4" t="s">
        <v>890</v>
      </c>
      <c r="FZ4" t="s">
        <v>968</v>
      </c>
      <c r="GA4" t="s">
        <v>958</v>
      </c>
      <c r="GB4">
        <v>1</v>
      </c>
      <c r="GD4">
        <v>0</v>
      </c>
      <c r="GF4">
        <v>0</v>
      </c>
      <c r="GG4">
        <v>1</v>
      </c>
      <c r="GH4" t="s">
        <v>892</v>
      </c>
      <c r="GI4" t="s">
        <v>893</v>
      </c>
      <c r="GJ4" t="s">
        <v>959</v>
      </c>
      <c r="GM4">
        <v>1</v>
      </c>
      <c r="GN4">
        <v>1</v>
      </c>
      <c r="GO4">
        <v>0</v>
      </c>
      <c r="GP4">
        <v>1</v>
      </c>
      <c r="GQ4">
        <v>1</v>
      </c>
      <c r="GR4">
        <v>0</v>
      </c>
      <c r="GS4">
        <v>1</v>
      </c>
      <c r="GT4">
        <v>0</v>
      </c>
      <c r="GU4">
        <v>1</v>
      </c>
      <c r="GV4">
        <v>0</v>
      </c>
      <c r="GW4">
        <v>1</v>
      </c>
      <c r="GX4">
        <v>0</v>
      </c>
      <c r="GY4">
        <v>1</v>
      </c>
      <c r="GZ4">
        <v>0</v>
      </c>
      <c r="HA4" t="s">
        <v>319</v>
      </c>
      <c r="HB4" t="s">
        <v>894</v>
      </c>
      <c r="HC4" t="s">
        <v>935</v>
      </c>
      <c r="HD4" t="s">
        <v>845</v>
      </c>
      <c r="HE4" t="s">
        <v>900</v>
      </c>
      <c r="HF4" t="s">
        <v>923</v>
      </c>
      <c r="HG4" t="s">
        <v>894</v>
      </c>
      <c r="HH4" t="s">
        <v>935</v>
      </c>
      <c r="HI4" t="s">
        <v>845</v>
      </c>
      <c r="HJ4" t="s">
        <v>900</v>
      </c>
      <c r="HK4" t="s">
        <v>952</v>
      </c>
      <c r="HL4" t="s">
        <v>202</v>
      </c>
      <c r="HM4" t="s">
        <v>854</v>
      </c>
      <c r="HN4">
        <v>36805</v>
      </c>
      <c r="HP4" t="s">
        <v>178</v>
      </c>
      <c r="HQ4" t="s">
        <v>896</v>
      </c>
      <c r="HR4" t="s">
        <v>896</v>
      </c>
      <c r="HS4" t="s">
        <v>896</v>
      </c>
    </row>
    <row r="5" spans="1:229" x14ac:dyDescent="0.2">
      <c r="A5">
        <v>8702</v>
      </c>
      <c r="B5">
        <v>7521807604</v>
      </c>
      <c r="C5">
        <v>82</v>
      </c>
      <c r="D5" t="s">
        <v>969</v>
      </c>
      <c r="E5" t="s">
        <v>897</v>
      </c>
      <c r="F5">
        <v>0</v>
      </c>
      <c r="G5" t="s">
        <v>970</v>
      </c>
      <c r="H5" t="s">
        <v>970</v>
      </c>
      <c r="I5">
        <v>0</v>
      </c>
      <c r="J5" t="s">
        <v>833</v>
      </c>
      <c r="K5" t="s">
        <v>834</v>
      </c>
      <c r="L5">
        <v>156046215</v>
      </c>
      <c r="M5" t="s">
        <v>971</v>
      </c>
      <c r="N5" t="s">
        <v>900</v>
      </c>
      <c r="O5" t="s">
        <v>837</v>
      </c>
      <c r="P5" t="s">
        <v>972</v>
      </c>
      <c r="Q5" t="s">
        <v>973</v>
      </c>
      <c r="R5" t="s">
        <v>974</v>
      </c>
      <c r="S5" t="s">
        <v>975</v>
      </c>
      <c r="T5">
        <v>41477119633</v>
      </c>
      <c r="V5" t="s">
        <v>208</v>
      </c>
      <c r="W5" s="41">
        <v>45875</v>
      </c>
      <c r="X5" t="s">
        <v>976</v>
      </c>
      <c r="Y5" t="s">
        <v>977</v>
      </c>
      <c r="AA5">
        <v>0</v>
      </c>
      <c r="AB5" t="s">
        <v>845</v>
      </c>
      <c r="AC5" t="s">
        <v>846</v>
      </c>
      <c r="AD5" t="s">
        <v>847</v>
      </c>
      <c r="AE5" t="s">
        <v>848</v>
      </c>
      <c r="AF5">
        <v>1</v>
      </c>
      <c r="AG5">
        <v>452210</v>
      </c>
      <c r="AH5" t="s">
        <v>849</v>
      </c>
      <c r="AI5" t="s">
        <v>850</v>
      </c>
      <c r="AJ5" t="s">
        <v>851</v>
      </c>
      <c r="AK5" t="s">
        <v>407</v>
      </c>
      <c r="AL5" t="s">
        <v>978</v>
      </c>
      <c r="AM5" t="s">
        <v>979</v>
      </c>
      <c r="AN5" t="s">
        <v>854</v>
      </c>
      <c r="AO5">
        <v>36805</v>
      </c>
      <c r="AP5">
        <v>647</v>
      </c>
      <c r="AQ5" t="s">
        <v>855</v>
      </c>
      <c r="AR5">
        <v>66058046</v>
      </c>
      <c r="AS5" t="s">
        <v>856</v>
      </c>
      <c r="AU5" t="s">
        <v>980</v>
      </c>
      <c r="AV5" t="s">
        <v>981</v>
      </c>
      <c r="AW5" t="s">
        <v>982</v>
      </c>
      <c r="AX5" t="s">
        <v>983</v>
      </c>
      <c r="AY5" t="s">
        <v>861</v>
      </c>
      <c r="AZ5" t="s">
        <v>407</v>
      </c>
      <c r="BA5" t="s">
        <v>408</v>
      </c>
      <c r="BB5">
        <v>0</v>
      </c>
      <c r="BC5">
        <v>0</v>
      </c>
      <c r="BD5">
        <v>0</v>
      </c>
      <c r="BE5" t="s">
        <v>971</v>
      </c>
      <c r="BF5">
        <v>0</v>
      </c>
      <c r="BG5">
        <v>0</v>
      </c>
      <c r="BH5" t="s">
        <v>862</v>
      </c>
      <c r="BI5">
        <v>0</v>
      </c>
      <c r="BJ5" t="s">
        <v>862</v>
      </c>
      <c r="BK5">
        <v>1</v>
      </c>
      <c r="BL5">
        <v>0</v>
      </c>
      <c r="BM5">
        <v>0</v>
      </c>
      <c r="BN5" t="s">
        <v>596</v>
      </c>
      <c r="BO5">
        <v>156046215</v>
      </c>
      <c r="BP5" t="s">
        <v>970</v>
      </c>
      <c r="BR5">
        <v>42791779</v>
      </c>
      <c r="BT5">
        <v>0</v>
      </c>
      <c r="CM5">
        <v>4010</v>
      </c>
      <c r="CO5">
        <v>7360</v>
      </c>
      <c r="CP5">
        <v>6.6699999999999995E-2</v>
      </c>
      <c r="CQ5">
        <v>6.6699999999999995E-2</v>
      </c>
      <c r="CR5">
        <v>0.66669999999999996</v>
      </c>
      <c r="CS5">
        <v>1</v>
      </c>
      <c r="CT5" t="s">
        <v>981</v>
      </c>
      <c r="CU5" t="s">
        <v>980</v>
      </c>
      <c r="CV5" t="s">
        <v>833</v>
      </c>
      <c r="CW5" t="s">
        <v>834</v>
      </c>
      <c r="CX5" t="s">
        <v>971</v>
      </c>
      <c r="CY5">
        <v>0</v>
      </c>
      <c r="CZ5">
        <v>0</v>
      </c>
      <c r="DA5" t="s">
        <v>833</v>
      </c>
      <c r="DB5" t="s">
        <v>865</v>
      </c>
      <c r="DC5">
        <v>49002</v>
      </c>
      <c r="DD5">
        <v>0.8</v>
      </c>
      <c r="DE5" t="s">
        <v>866</v>
      </c>
      <c r="DG5" t="s">
        <v>867</v>
      </c>
      <c r="DH5" t="s">
        <v>851</v>
      </c>
      <c r="DI5" t="s">
        <v>984</v>
      </c>
      <c r="DL5" t="s">
        <v>869</v>
      </c>
      <c r="DM5">
        <v>0</v>
      </c>
      <c r="DN5">
        <v>0</v>
      </c>
      <c r="DO5">
        <v>1</v>
      </c>
      <c r="DP5" t="s">
        <v>985</v>
      </c>
      <c r="DQ5">
        <v>16</v>
      </c>
      <c r="DR5">
        <v>48</v>
      </c>
      <c r="DS5">
        <v>48</v>
      </c>
      <c r="DT5">
        <v>0.73329999999999995</v>
      </c>
      <c r="DU5">
        <v>4</v>
      </c>
      <c r="DW5">
        <v>2</v>
      </c>
      <c r="DX5" t="s">
        <v>594</v>
      </c>
      <c r="DY5" t="s">
        <v>971</v>
      </c>
      <c r="DZ5">
        <v>0</v>
      </c>
      <c r="EA5">
        <v>0</v>
      </c>
      <c r="EB5">
        <v>0</v>
      </c>
      <c r="EC5">
        <v>0</v>
      </c>
      <c r="ED5">
        <v>0</v>
      </c>
      <c r="EE5">
        <v>0</v>
      </c>
      <c r="EF5" t="s">
        <v>871</v>
      </c>
      <c r="EG5" t="s">
        <v>595</v>
      </c>
      <c r="EH5" t="s">
        <v>872</v>
      </c>
      <c r="EI5" t="s">
        <v>872</v>
      </c>
      <c r="EJ5" t="s">
        <v>178</v>
      </c>
      <c r="EK5">
        <v>9090</v>
      </c>
      <c r="EL5">
        <v>0</v>
      </c>
      <c r="EM5" t="s">
        <v>922</v>
      </c>
      <c r="EN5">
        <v>0.66669999999999996</v>
      </c>
      <c r="EO5">
        <v>0.8</v>
      </c>
      <c r="EP5">
        <v>99991120</v>
      </c>
      <c r="EQ5" t="s">
        <v>874</v>
      </c>
      <c r="ER5" t="s">
        <v>875</v>
      </c>
      <c r="ES5" t="s">
        <v>876</v>
      </c>
      <c r="ET5" t="s">
        <v>877</v>
      </c>
      <c r="EU5" t="s">
        <v>877</v>
      </c>
      <c r="EV5" t="s">
        <v>871</v>
      </c>
      <c r="EX5" t="s">
        <v>953</v>
      </c>
      <c r="EY5" t="s">
        <v>986</v>
      </c>
      <c r="EZ5" t="s">
        <v>924</v>
      </c>
      <c r="FA5" t="s">
        <v>925</v>
      </c>
      <c r="FB5">
        <v>1</v>
      </c>
      <c r="FC5">
        <v>1</v>
      </c>
      <c r="FD5" s="41">
        <v>45878</v>
      </c>
      <c r="FE5" t="s">
        <v>987</v>
      </c>
      <c r="FF5">
        <v>5</v>
      </c>
      <c r="FI5">
        <v>0</v>
      </c>
      <c r="FJ5" t="s">
        <v>988</v>
      </c>
      <c r="FK5" t="s">
        <v>989</v>
      </c>
      <c r="FL5">
        <v>1</v>
      </c>
      <c r="FM5" t="s">
        <v>990</v>
      </c>
      <c r="FN5" t="s">
        <v>991</v>
      </c>
      <c r="FO5">
        <v>1</v>
      </c>
      <c r="FP5" t="s">
        <v>992</v>
      </c>
      <c r="FQ5" t="s">
        <v>980</v>
      </c>
      <c r="FR5">
        <v>1</v>
      </c>
      <c r="FS5" t="s">
        <v>993</v>
      </c>
      <c r="FT5" t="s">
        <v>994</v>
      </c>
      <c r="FU5">
        <v>1</v>
      </c>
      <c r="FV5" t="s">
        <v>988</v>
      </c>
      <c r="FW5" t="s">
        <v>989</v>
      </c>
      <c r="FX5">
        <v>1</v>
      </c>
      <c r="FY5" t="s">
        <v>890</v>
      </c>
      <c r="FZ5" t="s">
        <v>995</v>
      </c>
      <c r="GA5" t="s">
        <v>988</v>
      </c>
      <c r="GB5">
        <v>1</v>
      </c>
      <c r="GD5">
        <v>0</v>
      </c>
      <c r="GF5">
        <v>0</v>
      </c>
      <c r="GG5">
        <v>1</v>
      </c>
      <c r="GH5" t="s">
        <v>892</v>
      </c>
      <c r="GI5" t="s">
        <v>893</v>
      </c>
      <c r="GJ5" t="s">
        <v>989</v>
      </c>
      <c r="GM5">
        <v>1</v>
      </c>
      <c r="GN5">
        <v>1</v>
      </c>
      <c r="GO5">
        <v>0</v>
      </c>
      <c r="GP5">
        <v>1</v>
      </c>
      <c r="GQ5">
        <v>1</v>
      </c>
      <c r="GR5">
        <v>0</v>
      </c>
      <c r="GS5">
        <v>1</v>
      </c>
      <c r="GT5">
        <v>0</v>
      </c>
      <c r="GU5">
        <v>1</v>
      </c>
      <c r="GV5">
        <v>0</v>
      </c>
      <c r="GW5">
        <v>1</v>
      </c>
      <c r="GX5">
        <v>0</v>
      </c>
      <c r="GY5">
        <v>1</v>
      </c>
      <c r="GZ5">
        <v>0</v>
      </c>
      <c r="HA5" t="s">
        <v>407</v>
      </c>
      <c r="HB5" t="s">
        <v>894</v>
      </c>
      <c r="HC5" t="s">
        <v>935</v>
      </c>
      <c r="HD5" t="s">
        <v>845</v>
      </c>
      <c r="HE5" t="s">
        <v>900</v>
      </c>
      <c r="HF5" t="s">
        <v>923</v>
      </c>
      <c r="HG5" t="s">
        <v>894</v>
      </c>
      <c r="HH5" t="s">
        <v>935</v>
      </c>
      <c r="HI5" t="s">
        <v>845</v>
      </c>
      <c r="HJ5" t="s">
        <v>900</v>
      </c>
      <c r="HK5" t="s">
        <v>922</v>
      </c>
      <c r="HL5" t="s">
        <v>208</v>
      </c>
      <c r="HM5" t="s">
        <v>854</v>
      </c>
      <c r="HN5">
        <v>36805</v>
      </c>
      <c r="HP5" t="s">
        <v>178</v>
      </c>
      <c r="HQ5" t="s">
        <v>896</v>
      </c>
      <c r="HR5" t="s">
        <v>896</v>
      </c>
      <c r="HS5" t="s">
        <v>896</v>
      </c>
    </row>
    <row r="6" spans="1:229" x14ac:dyDescent="0.2">
      <c r="A6">
        <v>8702</v>
      </c>
      <c r="B6">
        <v>7621504463</v>
      </c>
      <c r="C6">
        <v>34</v>
      </c>
      <c r="D6" t="s">
        <v>996</v>
      </c>
      <c r="E6" t="s">
        <v>897</v>
      </c>
      <c r="F6">
        <v>1</v>
      </c>
      <c r="G6" t="s">
        <v>997</v>
      </c>
      <c r="H6" t="s">
        <v>997</v>
      </c>
      <c r="I6">
        <v>0</v>
      </c>
      <c r="J6" t="s">
        <v>833</v>
      </c>
      <c r="K6" t="s">
        <v>834</v>
      </c>
      <c r="L6">
        <v>156046174</v>
      </c>
      <c r="M6" t="s">
        <v>998</v>
      </c>
      <c r="N6" t="s">
        <v>900</v>
      </c>
      <c r="O6" t="s">
        <v>837</v>
      </c>
      <c r="P6" t="s">
        <v>999</v>
      </c>
      <c r="Q6" t="s">
        <v>1000</v>
      </c>
      <c r="R6" t="s">
        <v>1001</v>
      </c>
      <c r="S6" t="s">
        <v>1002</v>
      </c>
      <c r="T6">
        <v>41477121725</v>
      </c>
      <c r="V6" t="s">
        <v>1003</v>
      </c>
      <c r="W6" s="41">
        <v>46238</v>
      </c>
      <c r="X6" t="s">
        <v>1004</v>
      </c>
      <c r="Y6" t="s">
        <v>1005</v>
      </c>
      <c r="AA6">
        <v>0</v>
      </c>
      <c r="AB6" t="s">
        <v>845</v>
      </c>
      <c r="AC6" t="s">
        <v>846</v>
      </c>
      <c r="AD6" t="s">
        <v>907</v>
      </c>
      <c r="AE6" t="s">
        <v>908</v>
      </c>
      <c r="AF6">
        <v>1</v>
      </c>
      <c r="AG6">
        <v>452210</v>
      </c>
      <c r="AH6" t="s">
        <v>849</v>
      </c>
      <c r="AI6" t="s">
        <v>850</v>
      </c>
      <c r="AJ6" t="s">
        <v>851</v>
      </c>
      <c r="AK6" t="s">
        <v>342</v>
      </c>
      <c r="AL6" t="s">
        <v>1006</v>
      </c>
      <c r="AM6" t="s">
        <v>1007</v>
      </c>
      <c r="AN6" t="s">
        <v>854</v>
      </c>
      <c r="AO6">
        <v>36805</v>
      </c>
      <c r="AP6">
        <v>536</v>
      </c>
      <c r="AQ6" t="s">
        <v>855</v>
      </c>
      <c r="AR6">
        <v>66580479</v>
      </c>
      <c r="AS6" t="s">
        <v>856</v>
      </c>
      <c r="AU6" t="s">
        <v>1008</v>
      </c>
      <c r="AV6" t="s">
        <v>1009</v>
      </c>
      <c r="AX6" t="s">
        <v>913</v>
      </c>
      <c r="AY6" t="s">
        <v>861</v>
      </c>
      <c r="AZ6" t="s">
        <v>342</v>
      </c>
      <c r="BA6" t="s">
        <v>343</v>
      </c>
      <c r="BB6">
        <v>0</v>
      </c>
      <c r="BC6">
        <v>1</v>
      </c>
      <c r="BD6">
        <v>0</v>
      </c>
      <c r="BE6" t="s">
        <v>998</v>
      </c>
      <c r="BF6">
        <v>0</v>
      </c>
      <c r="BG6">
        <v>0</v>
      </c>
      <c r="BH6" t="s">
        <v>862</v>
      </c>
      <c r="BI6">
        <v>0</v>
      </c>
      <c r="BJ6" t="s">
        <v>862</v>
      </c>
      <c r="BK6">
        <v>1</v>
      </c>
      <c r="BL6">
        <v>1</v>
      </c>
      <c r="BM6">
        <v>0</v>
      </c>
      <c r="BN6" t="s">
        <v>596</v>
      </c>
      <c r="BO6">
        <v>156046174</v>
      </c>
      <c r="BP6" t="s">
        <v>997</v>
      </c>
      <c r="BR6">
        <v>42791478</v>
      </c>
      <c r="BT6">
        <v>2</v>
      </c>
      <c r="BU6" t="s">
        <v>914</v>
      </c>
      <c r="BY6">
        <v>16</v>
      </c>
      <c r="CA6">
        <v>14</v>
      </c>
      <c r="CE6">
        <v>1</v>
      </c>
      <c r="CI6">
        <v>11</v>
      </c>
      <c r="CJ6" t="s">
        <v>94</v>
      </c>
      <c r="CM6">
        <v>4010</v>
      </c>
      <c r="CO6">
        <v>7360</v>
      </c>
      <c r="CP6">
        <v>0.9667</v>
      </c>
      <c r="CQ6">
        <v>0.9667</v>
      </c>
      <c r="CR6">
        <v>1.7666999999999999</v>
      </c>
      <c r="CS6">
        <v>5</v>
      </c>
      <c r="CT6" t="s">
        <v>1009</v>
      </c>
      <c r="CU6" t="s">
        <v>1008</v>
      </c>
      <c r="CV6" t="s">
        <v>833</v>
      </c>
      <c r="CW6" t="s">
        <v>834</v>
      </c>
      <c r="CX6" t="s">
        <v>998</v>
      </c>
      <c r="CY6">
        <v>1</v>
      </c>
      <c r="CZ6">
        <v>1</v>
      </c>
      <c r="DA6" t="s">
        <v>833</v>
      </c>
      <c r="DB6" t="s">
        <v>865</v>
      </c>
      <c r="DC6">
        <v>47401</v>
      </c>
      <c r="DD6">
        <v>14.15</v>
      </c>
      <c r="DE6" t="s">
        <v>866</v>
      </c>
      <c r="DG6" t="s">
        <v>867</v>
      </c>
      <c r="DH6" t="s">
        <v>851</v>
      </c>
      <c r="DI6" t="s">
        <v>984</v>
      </c>
      <c r="DK6" t="s">
        <v>918</v>
      </c>
      <c r="DL6" t="s">
        <v>869</v>
      </c>
      <c r="DM6">
        <v>0</v>
      </c>
      <c r="DN6">
        <v>0</v>
      </c>
      <c r="DO6">
        <v>11</v>
      </c>
      <c r="DP6" t="s">
        <v>1010</v>
      </c>
      <c r="DQ6">
        <v>16</v>
      </c>
      <c r="DR6">
        <v>849</v>
      </c>
      <c r="DS6">
        <v>1569</v>
      </c>
      <c r="DT6">
        <v>13.183299999999999</v>
      </c>
      <c r="DU6">
        <v>4</v>
      </c>
      <c r="DV6">
        <v>1</v>
      </c>
      <c r="DW6">
        <v>2</v>
      </c>
      <c r="DX6" t="s">
        <v>596</v>
      </c>
      <c r="DY6" t="s">
        <v>998</v>
      </c>
      <c r="DZ6">
        <v>1</v>
      </c>
      <c r="EA6">
        <v>1</v>
      </c>
      <c r="EB6">
        <v>1</v>
      </c>
      <c r="EC6">
        <v>0</v>
      </c>
      <c r="ED6">
        <v>0</v>
      </c>
      <c r="EE6">
        <v>1</v>
      </c>
      <c r="EF6" t="s">
        <v>871</v>
      </c>
      <c r="EG6" t="s">
        <v>595</v>
      </c>
      <c r="EH6" t="s">
        <v>921</v>
      </c>
      <c r="EI6" t="s">
        <v>921</v>
      </c>
      <c r="EJ6" t="s">
        <v>134</v>
      </c>
      <c r="EK6">
        <v>9090</v>
      </c>
      <c r="EL6">
        <v>0</v>
      </c>
      <c r="EM6" t="s">
        <v>1011</v>
      </c>
      <c r="EN6">
        <v>1.7666999999999999</v>
      </c>
      <c r="EO6">
        <v>26.15</v>
      </c>
      <c r="EP6">
        <v>99991120</v>
      </c>
      <c r="EQ6" t="s">
        <v>874</v>
      </c>
      <c r="ER6" t="s">
        <v>875</v>
      </c>
      <c r="ES6" t="s">
        <v>876</v>
      </c>
      <c r="ET6" t="s">
        <v>877</v>
      </c>
      <c r="EU6" t="s">
        <v>877</v>
      </c>
      <c r="EV6" t="s">
        <v>871</v>
      </c>
      <c r="EX6" t="s">
        <v>900</v>
      </c>
      <c r="EY6" t="s">
        <v>1012</v>
      </c>
      <c r="EZ6" t="s">
        <v>1013</v>
      </c>
      <c r="FA6" t="s">
        <v>925</v>
      </c>
      <c r="FB6">
        <v>1</v>
      </c>
      <c r="FC6">
        <v>1</v>
      </c>
      <c r="FD6" s="41">
        <v>46242</v>
      </c>
      <c r="FE6" t="s">
        <v>926</v>
      </c>
      <c r="FF6">
        <v>11</v>
      </c>
      <c r="FG6" t="s">
        <v>1014</v>
      </c>
      <c r="FH6" t="s">
        <v>1015</v>
      </c>
      <c r="FI6">
        <v>1</v>
      </c>
      <c r="FJ6" t="s">
        <v>1016</v>
      </c>
      <c r="FK6" t="s">
        <v>1015</v>
      </c>
      <c r="FL6">
        <v>1</v>
      </c>
      <c r="FM6" t="s">
        <v>1017</v>
      </c>
      <c r="FN6" t="s">
        <v>1018</v>
      </c>
      <c r="FO6">
        <v>1</v>
      </c>
      <c r="FP6" t="s">
        <v>1019</v>
      </c>
      <c r="FQ6" t="s">
        <v>1008</v>
      </c>
      <c r="FR6">
        <v>1</v>
      </c>
      <c r="FS6" t="s">
        <v>1020</v>
      </c>
      <c r="FT6" t="s">
        <v>1021</v>
      </c>
      <c r="FU6">
        <v>1</v>
      </c>
      <c r="FV6" t="s">
        <v>1022</v>
      </c>
      <c r="FW6" t="s">
        <v>1023</v>
      </c>
      <c r="FX6">
        <v>1</v>
      </c>
      <c r="FY6" t="s">
        <v>890</v>
      </c>
      <c r="FZ6" t="s">
        <v>1024</v>
      </c>
      <c r="GA6" t="s">
        <v>1016</v>
      </c>
      <c r="GB6">
        <v>1</v>
      </c>
      <c r="GD6">
        <v>0</v>
      </c>
      <c r="GF6">
        <v>0</v>
      </c>
      <c r="GG6">
        <v>1</v>
      </c>
      <c r="GH6" t="s">
        <v>892</v>
      </c>
      <c r="GI6" t="s">
        <v>893</v>
      </c>
      <c r="GJ6" t="s">
        <v>1015</v>
      </c>
      <c r="GM6">
        <v>1</v>
      </c>
      <c r="GN6">
        <v>1</v>
      </c>
      <c r="GO6">
        <v>0</v>
      </c>
      <c r="GP6">
        <v>1</v>
      </c>
      <c r="GQ6">
        <v>1</v>
      </c>
      <c r="GR6">
        <v>0</v>
      </c>
      <c r="GS6">
        <v>1</v>
      </c>
      <c r="GT6">
        <v>0</v>
      </c>
      <c r="GU6">
        <v>1</v>
      </c>
      <c r="GV6">
        <v>0</v>
      </c>
      <c r="GW6">
        <v>1</v>
      </c>
      <c r="GX6">
        <v>0</v>
      </c>
      <c r="GY6">
        <v>1</v>
      </c>
      <c r="GZ6">
        <v>0</v>
      </c>
      <c r="HA6" t="s">
        <v>342</v>
      </c>
      <c r="HB6" t="s">
        <v>894</v>
      </c>
      <c r="HC6" t="s">
        <v>935</v>
      </c>
      <c r="HD6" t="s">
        <v>845</v>
      </c>
      <c r="HE6" t="s">
        <v>900</v>
      </c>
      <c r="HF6" t="s">
        <v>1012</v>
      </c>
      <c r="HG6" t="s">
        <v>894</v>
      </c>
      <c r="HH6" t="s">
        <v>935</v>
      </c>
      <c r="HI6" t="s">
        <v>845</v>
      </c>
      <c r="HJ6" t="s">
        <v>900</v>
      </c>
      <c r="HK6" t="s">
        <v>1011</v>
      </c>
      <c r="HL6" t="s">
        <v>1003</v>
      </c>
      <c r="HM6" t="s">
        <v>854</v>
      </c>
      <c r="HN6">
        <v>36805</v>
      </c>
      <c r="HP6" t="s">
        <v>134</v>
      </c>
      <c r="HQ6" t="s">
        <v>896</v>
      </c>
      <c r="HR6" t="s">
        <v>896</v>
      </c>
      <c r="HS6" t="s">
        <v>896</v>
      </c>
    </row>
    <row r="7" spans="1:229" x14ac:dyDescent="0.2">
      <c r="A7">
        <v>8702</v>
      </c>
      <c r="B7">
        <v>7527904317</v>
      </c>
      <c r="C7">
        <v>34</v>
      </c>
      <c r="D7" t="s">
        <v>996</v>
      </c>
      <c r="E7" t="s">
        <v>831</v>
      </c>
      <c r="F7">
        <v>0</v>
      </c>
      <c r="G7" t="s">
        <v>1025</v>
      </c>
      <c r="H7" t="s">
        <v>1025</v>
      </c>
      <c r="I7">
        <v>0</v>
      </c>
      <c r="J7" t="s">
        <v>833</v>
      </c>
      <c r="K7" t="s">
        <v>834</v>
      </c>
      <c r="L7">
        <v>153406533</v>
      </c>
      <c r="M7" t="s">
        <v>1026</v>
      </c>
      <c r="N7" t="s">
        <v>836</v>
      </c>
      <c r="O7" t="s">
        <v>837</v>
      </c>
      <c r="P7" t="s">
        <v>999</v>
      </c>
      <c r="Q7" t="s">
        <v>1027</v>
      </c>
      <c r="R7" t="s">
        <v>1028</v>
      </c>
      <c r="S7" t="s">
        <v>1029</v>
      </c>
      <c r="T7">
        <v>41477075518</v>
      </c>
      <c r="V7" t="s">
        <v>180</v>
      </c>
      <c r="W7" s="41">
        <v>45937</v>
      </c>
      <c r="X7" t="s">
        <v>1030</v>
      </c>
      <c r="Y7" t="s">
        <v>1031</v>
      </c>
      <c r="AA7">
        <v>0</v>
      </c>
      <c r="AB7" t="s">
        <v>845</v>
      </c>
      <c r="AC7" t="s">
        <v>846</v>
      </c>
      <c r="AD7" t="s">
        <v>847</v>
      </c>
      <c r="AE7" t="s">
        <v>848</v>
      </c>
      <c r="AF7">
        <v>1</v>
      </c>
      <c r="AG7">
        <v>452210</v>
      </c>
      <c r="AH7" t="s">
        <v>849</v>
      </c>
      <c r="AI7" t="s">
        <v>850</v>
      </c>
      <c r="AJ7" t="s">
        <v>851</v>
      </c>
      <c r="AK7" t="s">
        <v>439</v>
      </c>
      <c r="AL7" t="s">
        <v>1032</v>
      </c>
      <c r="AM7" t="s">
        <v>1033</v>
      </c>
      <c r="AN7" t="s">
        <v>854</v>
      </c>
      <c r="AO7">
        <v>36805</v>
      </c>
      <c r="AP7">
        <v>631</v>
      </c>
      <c r="AQ7" t="s">
        <v>855</v>
      </c>
      <c r="AR7">
        <v>66147130</v>
      </c>
      <c r="AS7" t="s">
        <v>856</v>
      </c>
      <c r="AU7" t="s">
        <v>1034</v>
      </c>
      <c r="AV7" t="s">
        <v>1035</v>
      </c>
      <c r="AX7" t="s">
        <v>913</v>
      </c>
      <c r="AY7" t="s">
        <v>861</v>
      </c>
      <c r="AZ7" t="s">
        <v>439</v>
      </c>
      <c r="BA7" t="s">
        <v>440</v>
      </c>
      <c r="BB7">
        <v>0</v>
      </c>
      <c r="BC7">
        <v>1</v>
      </c>
      <c r="BD7">
        <v>0</v>
      </c>
      <c r="BE7" t="s">
        <v>1026</v>
      </c>
      <c r="BF7">
        <v>0</v>
      </c>
      <c r="BG7">
        <v>0</v>
      </c>
      <c r="BH7" t="s">
        <v>862</v>
      </c>
      <c r="BI7">
        <v>0</v>
      </c>
      <c r="BJ7" t="s">
        <v>862</v>
      </c>
      <c r="BK7">
        <v>1</v>
      </c>
      <c r="BL7">
        <v>1</v>
      </c>
      <c r="BM7">
        <v>0</v>
      </c>
      <c r="BN7" t="s">
        <v>596</v>
      </c>
      <c r="BO7">
        <v>153406533</v>
      </c>
      <c r="BP7" t="s">
        <v>1025</v>
      </c>
      <c r="BR7">
        <v>42791743</v>
      </c>
      <c r="BT7">
        <v>0</v>
      </c>
      <c r="CM7">
        <v>4010</v>
      </c>
      <c r="CO7">
        <v>7360</v>
      </c>
      <c r="CP7">
        <v>0.7833</v>
      </c>
      <c r="CQ7">
        <v>0.7833</v>
      </c>
      <c r="CR7">
        <v>0.45</v>
      </c>
      <c r="CS7">
        <v>0</v>
      </c>
      <c r="CT7" t="s">
        <v>1035</v>
      </c>
      <c r="CU7" t="s">
        <v>1034</v>
      </c>
      <c r="CV7" t="s">
        <v>833</v>
      </c>
      <c r="CW7" t="s">
        <v>834</v>
      </c>
      <c r="CX7" t="s">
        <v>1026</v>
      </c>
      <c r="CY7">
        <v>1</v>
      </c>
      <c r="CZ7">
        <v>1</v>
      </c>
      <c r="DA7" t="s">
        <v>833</v>
      </c>
      <c r="DB7" t="s">
        <v>865</v>
      </c>
      <c r="DC7">
        <v>62208</v>
      </c>
      <c r="DD7">
        <v>14.533300000000001</v>
      </c>
      <c r="DE7" t="s">
        <v>866</v>
      </c>
      <c r="DG7" t="s">
        <v>867</v>
      </c>
      <c r="DH7" t="s">
        <v>851</v>
      </c>
      <c r="DL7" t="s">
        <v>869</v>
      </c>
      <c r="DM7">
        <v>0</v>
      </c>
      <c r="DN7">
        <v>0</v>
      </c>
      <c r="DO7">
        <v>11</v>
      </c>
      <c r="DP7" t="s">
        <v>1010</v>
      </c>
      <c r="DQ7">
        <v>12</v>
      </c>
      <c r="DR7">
        <v>872</v>
      </c>
      <c r="DS7">
        <v>1592</v>
      </c>
      <c r="DT7">
        <v>1.7</v>
      </c>
      <c r="DU7">
        <v>4</v>
      </c>
      <c r="DW7">
        <v>1</v>
      </c>
      <c r="DX7" t="s">
        <v>596</v>
      </c>
      <c r="DY7" t="s">
        <v>1026</v>
      </c>
      <c r="DZ7">
        <v>0</v>
      </c>
      <c r="EA7">
        <v>0</v>
      </c>
      <c r="EB7">
        <v>1</v>
      </c>
      <c r="EC7">
        <v>1</v>
      </c>
      <c r="ED7">
        <v>1</v>
      </c>
      <c r="EE7">
        <v>1</v>
      </c>
      <c r="EF7" t="s">
        <v>920</v>
      </c>
      <c r="EG7" t="s">
        <v>595</v>
      </c>
      <c r="EH7" t="s">
        <v>1036</v>
      </c>
      <c r="EI7" t="s">
        <v>1036</v>
      </c>
      <c r="EJ7" t="s">
        <v>181</v>
      </c>
      <c r="EK7">
        <v>9090</v>
      </c>
      <c r="EL7">
        <v>1</v>
      </c>
      <c r="EM7" t="s">
        <v>1037</v>
      </c>
      <c r="EN7">
        <v>0.45</v>
      </c>
      <c r="EO7">
        <v>26.533333299999999</v>
      </c>
      <c r="EP7">
        <v>99991120</v>
      </c>
      <c r="EQ7" t="s">
        <v>874</v>
      </c>
      <c r="ER7" t="s">
        <v>875</v>
      </c>
      <c r="ES7" t="s">
        <v>876</v>
      </c>
      <c r="ET7" t="s">
        <v>877</v>
      </c>
      <c r="EU7" t="s">
        <v>877</v>
      </c>
      <c r="EV7" t="s">
        <v>920</v>
      </c>
      <c r="EX7" t="s">
        <v>900</v>
      </c>
      <c r="EY7" t="s">
        <v>923</v>
      </c>
      <c r="EZ7" t="s">
        <v>1038</v>
      </c>
      <c r="FA7" t="s">
        <v>925</v>
      </c>
      <c r="FB7">
        <v>1</v>
      </c>
      <c r="FC7">
        <v>2</v>
      </c>
      <c r="FD7" s="41">
        <v>45941</v>
      </c>
      <c r="FE7" t="s">
        <v>1039</v>
      </c>
      <c r="FF7">
        <v>8</v>
      </c>
      <c r="FG7" t="s">
        <v>1040</v>
      </c>
      <c r="FH7" t="s">
        <v>1041</v>
      </c>
      <c r="FI7">
        <v>1</v>
      </c>
      <c r="FJ7" t="s">
        <v>1042</v>
      </c>
      <c r="FK7" t="s">
        <v>1041</v>
      </c>
      <c r="FL7">
        <v>1</v>
      </c>
      <c r="FM7" t="s">
        <v>1043</v>
      </c>
      <c r="FN7" t="s">
        <v>1044</v>
      </c>
      <c r="FO7">
        <v>1</v>
      </c>
      <c r="FP7" t="s">
        <v>1045</v>
      </c>
      <c r="FQ7" t="s">
        <v>1034</v>
      </c>
      <c r="FR7">
        <v>1</v>
      </c>
      <c r="FS7" t="s">
        <v>1046</v>
      </c>
      <c r="FT7" t="s">
        <v>1047</v>
      </c>
      <c r="FU7">
        <v>1</v>
      </c>
      <c r="FV7" t="s">
        <v>1048</v>
      </c>
      <c r="FW7" t="s">
        <v>1049</v>
      </c>
      <c r="FX7">
        <v>1</v>
      </c>
      <c r="FY7" t="s">
        <v>890</v>
      </c>
      <c r="FZ7" t="s">
        <v>1050</v>
      </c>
      <c r="GA7" t="s">
        <v>1042</v>
      </c>
      <c r="GB7">
        <v>1</v>
      </c>
      <c r="GD7">
        <v>0</v>
      </c>
      <c r="GF7">
        <v>0</v>
      </c>
      <c r="GG7">
        <v>1</v>
      </c>
      <c r="GH7" t="s">
        <v>892</v>
      </c>
      <c r="GI7" t="s">
        <v>893</v>
      </c>
      <c r="GJ7" t="s">
        <v>1041</v>
      </c>
      <c r="GM7">
        <v>1</v>
      </c>
      <c r="GN7">
        <v>0</v>
      </c>
      <c r="GO7">
        <v>0</v>
      </c>
      <c r="GP7">
        <v>1</v>
      </c>
      <c r="GQ7">
        <v>1</v>
      </c>
      <c r="GR7">
        <v>0</v>
      </c>
      <c r="GS7">
        <v>1</v>
      </c>
      <c r="GT7">
        <v>0</v>
      </c>
      <c r="GU7">
        <v>1</v>
      </c>
      <c r="GV7">
        <v>0</v>
      </c>
      <c r="GW7">
        <v>1</v>
      </c>
      <c r="GX7">
        <v>0</v>
      </c>
      <c r="GY7">
        <v>1</v>
      </c>
      <c r="GZ7">
        <v>0</v>
      </c>
      <c r="HA7" t="s">
        <v>439</v>
      </c>
      <c r="HB7" t="s">
        <v>894</v>
      </c>
      <c r="HC7" t="s">
        <v>895</v>
      </c>
      <c r="HD7" t="s">
        <v>845</v>
      </c>
      <c r="HE7" t="s">
        <v>836</v>
      </c>
      <c r="HF7" t="s">
        <v>1051</v>
      </c>
      <c r="HG7" t="s">
        <v>894</v>
      </c>
      <c r="HH7" t="s">
        <v>895</v>
      </c>
      <c r="HI7" t="s">
        <v>845</v>
      </c>
      <c r="HJ7" t="s">
        <v>836</v>
      </c>
      <c r="HK7" t="s">
        <v>1037</v>
      </c>
      <c r="HL7" t="s">
        <v>180</v>
      </c>
      <c r="HM7" t="s">
        <v>854</v>
      </c>
      <c r="HN7">
        <v>36805</v>
      </c>
      <c r="HP7" t="s">
        <v>181</v>
      </c>
      <c r="HQ7" t="s">
        <v>896</v>
      </c>
      <c r="HR7" t="s">
        <v>896</v>
      </c>
      <c r="HS7" t="s">
        <v>896</v>
      </c>
    </row>
    <row r="8" spans="1:229" x14ac:dyDescent="0.2">
      <c r="A8">
        <v>8702</v>
      </c>
      <c r="B8">
        <v>7618403340</v>
      </c>
      <c r="C8">
        <v>34</v>
      </c>
      <c r="D8" t="s">
        <v>996</v>
      </c>
      <c r="E8" t="s">
        <v>831</v>
      </c>
      <c r="F8">
        <v>0</v>
      </c>
      <c r="G8" t="s">
        <v>1052</v>
      </c>
      <c r="H8" t="s">
        <v>1052</v>
      </c>
      <c r="I8">
        <v>0</v>
      </c>
      <c r="J8" t="s">
        <v>833</v>
      </c>
      <c r="K8" t="s">
        <v>834</v>
      </c>
      <c r="L8">
        <v>156586345</v>
      </c>
      <c r="M8" t="s">
        <v>1053</v>
      </c>
      <c r="N8" t="s">
        <v>836</v>
      </c>
      <c r="O8" t="s">
        <v>837</v>
      </c>
      <c r="P8" t="s">
        <v>999</v>
      </c>
      <c r="Q8" t="s">
        <v>1027</v>
      </c>
      <c r="R8" t="s">
        <v>1054</v>
      </c>
      <c r="S8" t="s">
        <v>1055</v>
      </c>
      <c r="T8">
        <v>41477129116</v>
      </c>
      <c r="V8" t="s">
        <v>1003</v>
      </c>
      <c r="W8" s="41">
        <v>46209</v>
      </c>
      <c r="X8" t="s">
        <v>1056</v>
      </c>
      <c r="Y8" t="s">
        <v>1057</v>
      </c>
      <c r="AA8">
        <v>0</v>
      </c>
      <c r="AB8" t="s">
        <v>845</v>
      </c>
      <c r="AC8" t="s">
        <v>846</v>
      </c>
      <c r="AD8" t="s">
        <v>907</v>
      </c>
      <c r="AE8" t="s">
        <v>908</v>
      </c>
      <c r="AF8">
        <v>1</v>
      </c>
      <c r="AG8">
        <v>452210</v>
      </c>
      <c r="AH8" t="s">
        <v>849</v>
      </c>
      <c r="AI8" t="s">
        <v>850</v>
      </c>
      <c r="AJ8" t="s">
        <v>851</v>
      </c>
      <c r="AK8" t="s">
        <v>360</v>
      </c>
      <c r="AL8" t="s">
        <v>1058</v>
      </c>
      <c r="AM8" t="s">
        <v>1059</v>
      </c>
      <c r="AN8" t="s">
        <v>854</v>
      </c>
      <c r="AO8">
        <v>36805</v>
      </c>
      <c r="AP8">
        <v>638</v>
      </c>
      <c r="AQ8" t="s">
        <v>855</v>
      </c>
      <c r="AR8">
        <v>66538792</v>
      </c>
      <c r="AS8" t="s">
        <v>856</v>
      </c>
      <c r="AU8" t="s">
        <v>1060</v>
      </c>
      <c r="AV8" t="s">
        <v>1061</v>
      </c>
      <c r="AX8" t="s">
        <v>913</v>
      </c>
      <c r="AY8" t="s">
        <v>861</v>
      </c>
      <c r="AZ8" t="s">
        <v>360</v>
      </c>
      <c r="BA8" t="s">
        <v>361</v>
      </c>
      <c r="BB8">
        <v>1</v>
      </c>
      <c r="BC8">
        <v>0</v>
      </c>
      <c r="BD8">
        <v>0</v>
      </c>
      <c r="BE8" t="s">
        <v>1053</v>
      </c>
      <c r="BF8">
        <v>0</v>
      </c>
      <c r="BG8">
        <v>0</v>
      </c>
      <c r="BH8" t="s">
        <v>862</v>
      </c>
      <c r="BI8">
        <v>0</v>
      </c>
      <c r="BJ8" t="s">
        <v>862</v>
      </c>
      <c r="BK8">
        <v>1</v>
      </c>
      <c r="BL8">
        <v>1</v>
      </c>
      <c r="BM8">
        <v>0</v>
      </c>
      <c r="BN8" t="s">
        <v>596</v>
      </c>
      <c r="BO8">
        <v>156586345</v>
      </c>
      <c r="BP8" t="s">
        <v>1052</v>
      </c>
      <c r="BR8">
        <v>42791770</v>
      </c>
      <c r="BT8">
        <v>0</v>
      </c>
      <c r="BU8" t="s">
        <v>1062</v>
      </c>
      <c r="BY8">
        <v>16</v>
      </c>
      <c r="CA8">
        <v>32</v>
      </c>
      <c r="CE8">
        <v>0</v>
      </c>
      <c r="CI8">
        <v>11</v>
      </c>
      <c r="CJ8" t="s">
        <v>94</v>
      </c>
      <c r="CM8">
        <v>4010</v>
      </c>
      <c r="CO8">
        <v>7360</v>
      </c>
      <c r="CP8">
        <v>0.2833</v>
      </c>
      <c r="CQ8">
        <v>0.2833</v>
      </c>
      <c r="CR8">
        <v>2.8666999999999998</v>
      </c>
      <c r="CS8">
        <v>0</v>
      </c>
      <c r="CT8" t="s">
        <v>1063</v>
      </c>
      <c r="CU8" t="s">
        <v>1064</v>
      </c>
      <c r="CV8" t="s">
        <v>833</v>
      </c>
      <c r="CW8" t="s">
        <v>834</v>
      </c>
      <c r="CX8" t="s">
        <v>1053</v>
      </c>
      <c r="CY8">
        <v>1</v>
      </c>
      <c r="CZ8">
        <v>1</v>
      </c>
      <c r="DA8" t="s">
        <v>833</v>
      </c>
      <c r="DB8" t="s">
        <v>865</v>
      </c>
      <c r="DC8">
        <v>61704</v>
      </c>
      <c r="DD8">
        <v>32.049999999999997</v>
      </c>
      <c r="DE8" t="s">
        <v>866</v>
      </c>
      <c r="DG8" t="s">
        <v>867</v>
      </c>
      <c r="DH8" t="s">
        <v>851</v>
      </c>
      <c r="DK8" t="s">
        <v>918</v>
      </c>
      <c r="DL8" t="s">
        <v>869</v>
      </c>
      <c r="DM8">
        <v>0</v>
      </c>
      <c r="DN8">
        <v>0</v>
      </c>
      <c r="DO8">
        <v>11</v>
      </c>
      <c r="DP8" t="s">
        <v>1010</v>
      </c>
      <c r="DQ8">
        <v>16</v>
      </c>
      <c r="DR8">
        <v>1923</v>
      </c>
      <c r="DS8">
        <v>4083</v>
      </c>
      <c r="DT8">
        <v>0.65</v>
      </c>
      <c r="DU8">
        <v>4</v>
      </c>
      <c r="DV8">
        <v>1</v>
      </c>
      <c r="DW8">
        <v>2</v>
      </c>
      <c r="DX8" t="s">
        <v>596</v>
      </c>
      <c r="DY8" t="s">
        <v>1053</v>
      </c>
      <c r="DZ8">
        <v>0</v>
      </c>
      <c r="EA8">
        <v>0</v>
      </c>
      <c r="EB8">
        <v>1</v>
      </c>
      <c r="EC8">
        <v>1</v>
      </c>
      <c r="ED8">
        <v>1</v>
      </c>
      <c r="EE8">
        <v>1</v>
      </c>
      <c r="EF8" t="s">
        <v>920</v>
      </c>
      <c r="EG8" t="s">
        <v>595</v>
      </c>
      <c r="EH8" t="s">
        <v>921</v>
      </c>
      <c r="EI8" t="s">
        <v>921</v>
      </c>
      <c r="EJ8" t="s">
        <v>181</v>
      </c>
      <c r="EK8">
        <v>9090</v>
      </c>
      <c r="EL8">
        <v>1</v>
      </c>
      <c r="EM8" t="s">
        <v>873</v>
      </c>
      <c r="EN8">
        <v>2.8666999999999998</v>
      </c>
      <c r="EO8">
        <v>68.05</v>
      </c>
      <c r="EP8">
        <v>99991120</v>
      </c>
      <c r="EQ8" t="s">
        <v>874</v>
      </c>
      <c r="ER8" t="s">
        <v>875</v>
      </c>
      <c r="ES8" t="s">
        <v>876</v>
      </c>
      <c r="ET8" t="s">
        <v>877</v>
      </c>
      <c r="EU8" t="s">
        <v>877</v>
      </c>
      <c r="EV8" t="s">
        <v>920</v>
      </c>
      <c r="EX8" t="s">
        <v>836</v>
      </c>
      <c r="EY8" t="s">
        <v>873</v>
      </c>
      <c r="EZ8" t="s">
        <v>1065</v>
      </c>
      <c r="FA8" t="s">
        <v>879</v>
      </c>
      <c r="FB8">
        <v>1</v>
      </c>
      <c r="FC8">
        <v>2</v>
      </c>
      <c r="FD8" s="41">
        <v>46214</v>
      </c>
      <c r="FE8" t="s">
        <v>1066</v>
      </c>
      <c r="FF8">
        <v>11</v>
      </c>
      <c r="FG8" t="s">
        <v>1067</v>
      </c>
      <c r="FH8" t="s">
        <v>1068</v>
      </c>
      <c r="FI8">
        <v>1</v>
      </c>
      <c r="FJ8" t="s">
        <v>1069</v>
      </c>
      <c r="FK8" t="s">
        <v>1070</v>
      </c>
      <c r="FL8">
        <v>1</v>
      </c>
      <c r="FM8" t="s">
        <v>1071</v>
      </c>
      <c r="FN8" t="s">
        <v>1072</v>
      </c>
      <c r="FO8">
        <v>1</v>
      </c>
      <c r="FP8" t="s">
        <v>1073</v>
      </c>
      <c r="FQ8" t="s">
        <v>1064</v>
      </c>
      <c r="FR8">
        <v>1</v>
      </c>
      <c r="FS8" t="s">
        <v>1067</v>
      </c>
      <c r="FT8" t="s">
        <v>1074</v>
      </c>
      <c r="FU8">
        <v>1</v>
      </c>
      <c r="FV8" t="s">
        <v>1075</v>
      </c>
      <c r="FW8" t="s">
        <v>1076</v>
      </c>
      <c r="FX8">
        <v>1</v>
      </c>
      <c r="FY8" t="s">
        <v>890</v>
      </c>
      <c r="FZ8" t="s">
        <v>1077</v>
      </c>
      <c r="GA8" t="s">
        <v>1069</v>
      </c>
      <c r="GB8">
        <v>1</v>
      </c>
      <c r="GD8">
        <v>0</v>
      </c>
      <c r="GF8">
        <v>0</v>
      </c>
      <c r="GG8">
        <v>1</v>
      </c>
      <c r="GH8" t="s">
        <v>892</v>
      </c>
      <c r="GI8" t="s">
        <v>893</v>
      </c>
      <c r="GJ8" t="s">
        <v>1070</v>
      </c>
      <c r="GM8">
        <v>1</v>
      </c>
      <c r="GN8">
        <v>0</v>
      </c>
      <c r="GO8">
        <v>0</v>
      </c>
      <c r="GP8">
        <v>1</v>
      </c>
      <c r="GQ8">
        <v>1</v>
      </c>
      <c r="GR8">
        <v>0</v>
      </c>
      <c r="GS8">
        <v>1</v>
      </c>
      <c r="GT8">
        <v>0</v>
      </c>
      <c r="GU8">
        <v>1</v>
      </c>
      <c r="GV8">
        <v>0</v>
      </c>
      <c r="GW8">
        <v>1</v>
      </c>
      <c r="GX8">
        <v>0</v>
      </c>
      <c r="GY8">
        <v>1</v>
      </c>
      <c r="GZ8">
        <v>0</v>
      </c>
      <c r="HA8" t="s">
        <v>360</v>
      </c>
      <c r="HB8" t="s">
        <v>894</v>
      </c>
      <c r="HC8" t="s">
        <v>895</v>
      </c>
      <c r="HD8" t="s">
        <v>845</v>
      </c>
      <c r="HE8" t="s">
        <v>836</v>
      </c>
      <c r="HF8" t="s">
        <v>873</v>
      </c>
      <c r="HG8" t="s">
        <v>894</v>
      </c>
      <c r="HH8" t="s">
        <v>895</v>
      </c>
      <c r="HI8" t="s">
        <v>845</v>
      </c>
      <c r="HJ8" t="s">
        <v>836</v>
      </c>
      <c r="HK8" t="s">
        <v>873</v>
      </c>
      <c r="HL8" t="s">
        <v>1003</v>
      </c>
      <c r="HM8" t="s">
        <v>854</v>
      </c>
      <c r="HN8">
        <v>36805</v>
      </c>
      <c r="HP8" t="s">
        <v>181</v>
      </c>
      <c r="HQ8" t="s">
        <v>896</v>
      </c>
      <c r="HR8" t="s">
        <v>896</v>
      </c>
      <c r="HS8" t="s">
        <v>896</v>
      </c>
    </row>
    <row r="9" spans="1:229" x14ac:dyDescent="0.2">
      <c r="A9">
        <v>8702</v>
      </c>
      <c r="B9">
        <v>7530306800</v>
      </c>
      <c r="C9" t="s">
        <v>936</v>
      </c>
      <c r="D9" t="s">
        <v>937</v>
      </c>
      <c r="E9" t="s">
        <v>831</v>
      </c>
      <c r="F9">
        <v>0</v>
      </c>
      <c r="G9" t="s">
        <v>1078</v>
      </c>
      <c r="H9" t="s">
        <v>1078</v>
      </c>
      <c r="I9">
        <v>0</v>
      </c>
      <c r="J9" t="s">
        <v>833</v>
      </c>
      <c r="K9" t="s">
        <v>834</v>
      </c>
      <c r="L9">
        <v>142427776</v>
      </c>
      <c r="M9" t="s">
        <v>1079</v>
      </c>
      <c r="N9" t="s">
        <v>836</v>
      </c>
      <c r="O9" t="s">
        <v>837</v>
      </c>
      <c r="P9" t="s">
        <v>940</v>
      </c>
      <c r="Q9" t="s">
        <v>1080</v>
      </c>
      <c r="R9" t="s">
        <v>1081</v>
      </c>
      <c r="S9" t="s">
        <v>1082</v>
      </c>
      <c r="T9">
        <v>41477086390</v>
      </c>
      <c r="V9" t="s">
        <v>1083</v>
      </c>
      <c r="W9" s="41">
        <v>45960</v>
      </c>
      <c r="X9" t="s">
        <v>1084</v>
      </c>
      <c r="Y9" t="s">
        <v>1085</v>
      </c>
      <c r="AA9">
        <v>0</v>
      </c>
      <c r="AB9" t="s">
        <v>845</v>
      </c>
      <c r="AC9" t="s">
        <v>846</v>
      </c>
      <c r="AD9" t="s">
        <v>847</v>
      </c>
      <c r="AE9" t="s">
        <v>848</v>
      </c>
      <c r="AF9">
        <v>1</v>
      </c>
      <c r="AG9">
        <v>452210</v>
      </c>
      <c r="AH9" t="s">
        <v>849</v>
      </c>
      <c r="AI9" t="s">
        <v>850</v>
      </c>
      <c r="AJ9" t="s">
        <v>851</v>
      </c>
      <c r="AK9" t="s">
        <v>301</v>
      </c>
      <c r="AL9" t="s">
        <v>1086</v>
      </c>
      <c r="AM9" t="s">
        <v>1087</v>
      </c>
      <c r="AN9" t="s">
        <v>854</v>
      </c>
      <c r="AO9">
        <v>36805</v>
      </c>
      <c r="AP9">
        <v>448</v>
      </c>
      <c r="AQ9" t="s">
        <v>855</v>
      </c>
      <c r="AR9">
        <v>66180700</v>
      </c>
      <c r="AS9" t="s">
        <v>856</v>
      </c>
      <c r="AU9" t="s">
        <v>1088</v>
      </c>
      <c r="AV9" t="s">
        <v>1089</v>
      </c>
      <c r="AX9" t="s">
        <v>913</v>
      </c>
      <c r="AY9" t="s">
        <v>861</v>
      </c>
      <c r="AZ9" t="s">
        <v>301</v>
      </c>
      <c r="BA9" t="s">
        <v>302</v>
      </c>
      <c r="BB9">
        <v>0</v>
      </c>
      <c r="BC9">
        <v>0</v>
      </c>
      <c r="BD9">
        <v>1</v>
      </c>
      <c r="BE9" t="s">
        <v>1079</v>
      </c>
      <c r="BF9">
        <v>0</v>
      </c>
      <c r="BG9">
        <v>0</v>
      </c>
      <c r="BH9" t="s">
        <v>862</v>
      </c>
      <c r="BI9">
        <v>0</v>
      </c>
      <c r="BJ9" t="s">
        <v>862</v>
      </c>
      <c r="BK9">
        <v>1</v>
      </c>
      <c r="BL9">
        <v>1</v>
      </c>
      <c r="BM9">
        <v>0</v>
      </c>
      <c r="BN9" t="s">
        <v>596</v>
      </c>
      <c r="BO9">
        <v>142427776</v>
      </c>
      <c r="BP9" t="s">
        <v>1078</v>
      </c>
      <c r="BQ9">
        <v>38.633356999999997</v>
      </c>
      <c r="BR9">
        <v>42511030</v>
      </c>
      <c r="BS9">
        <v>-90.238447899999997</v>
      </c>
      <c r="BT9">
        <v>0</v>
      </c>
      <c r="CM9">
        <v>4010</v>
      </c>
      <c r="CO9">
        <v>7360</v>
      </c>
      <c r="CP9">
        <v>0.26669999999999999</v>
      </c>
      <c r="CQ9">
        <v>0.26669999999999999</v>
      </c>
      <c r="CR9">
        <v>0.26669999999999999</v>
      </c>
      <c r="CS9">
        <v>26</v>
      </c>
      <c r="CT9" t="s">
        <v>1090</v>
      </c>
      <c r="CU9" t="s">
        <v>1091</v>
      </c>
      <c r="CV9" t="s">
        <v>833</v>
      </c>
      <c r="CW9" t="s">
        <v>834</v>
      </c>
      <c r="CX9" t="s">
        <v>1079</v>
      </c>
      <c r="CY9">
        <v>1</v>
      </c>
      <c r="CZ9">
        <v>1</v>
      </c>
      <c r="DA9" t="s">
        <v>833</v>
      </c>
      <c r="DB9" t="s">
        <v>865</v>
      </c>
      <c r="DC9">
        <v>63110</v>
      </c>
      <c r="DD9">
        <v>6.8333000000000004</v>
      </c>
      <c r="DE9" t="s">
        <v>866</v>
      </c>
      <c r="DG9" t="s">
        <v>867</v>
      </c>
      <c r="DH9" t="s">
        <v>851</v>
      </c>
      <c r="DI9" t="s">
        <v>1092</v>
      </c>
      <c r="DL9" t="s">
        <v>869</v>
      </c>
      <c r="DM9">
        <v>0</v>
      </c>
      <c r="DN9">
        <v>0</v>
      </c>
      <c r="DO9">
        <v>11</v>
      </c>
      <c r="DP9" t="s">
        <v>1010</v>
      </c>
      <c r="DQ9">
        <v>16</v>
      </c>
      <c r="DR9">
        <v>410</v>
      </c>
      <c r="DS9">
        <v>410</v>
      </c>
      <c r="DT9">
        <v>6.5667</v>
      </c>
      <c r="DU9">
        <v>4</v>
      </c>
      <c r="DW9">
        <v>2</v>
      </c>
      <c r="DX9" t="s">
        <v>596</v>
      </c>
      <c r="DY9" t="s">
        <v>1079</v>
      </c>
      <c r="DZ9">
        <v>1</v>
      </c>
      <c r="EA9">
        <v>1</v>
      </c>
      <c r="EB9">
        <v>1</v>
      </c>
      <c r="EC9">
        <v>0</v>
      </c>
      <c r="ED9">
        <v>0</v>
      </c>
      <c r="EE9">
        <v>1</v>
      </c>
      <c r="EF9" t="s">
        <v>920</v>
      </c>
      <c r="EG9" t="s">
        <v>595</v>
      </c>
      <c r="EH9" t="s">
        <v>921</v>
      </c>
      <c r="EI9" t="s">
        <v>921</v>
      </c>
      <c r="EJ9" t="s">
        <v>111</v>
      </c>
      <c r="EK9">
        <v>9090</v>
      </c>
      <c r="EL9">
        <v>0</v>
      </c>
      <c r="EM9" t="s">
        <v>1037</v>
      </c>
      <c r="EN9">
        <v>0.26669999999999999</v>
      </c>
      <c r="EO9">
        <v>6.8333332999999996</v>
      </c>
      <c r="EP9">
        <v>99991120</v>
      </c>
      <c r="EQ9" t="s">
        <v>874</v>
      </c>
      <c r="ER9" t="s">
        <v>875</v>
      </c>
      <c r="ES9" t="s">
        <v>876</v>
      </c>
      <c r="ET9" t="s">
        <v>877</v>
      </c>
      <c r="EU9" t="s">
        <v>877</v>
      </c>
      <c r="EV9" t="s">
        <v>920</v>
      </c>
      <c r="EX9" t="s">
        <v>900</v>
      </c>
      <c r="EY9" t="s">
        <v>923</v>
      </c>
      <c r="EZ9" t="s">
        <v>1038</v>
      </c>
      <c r="FA9" t="s">
        <v>925</v>
      </c>
      <c r="FB9">
        <v>1</v>
      </c>
      <c r="FC9">
        <v>1</v>
      </c>
      <c r="FD9" s="41">
        <v>45962</v>
      </c>
      <c r="FE9" t="s">
        <v>1039</v>
      </c>
      <c r="FF9">
        <v>7</v>
      </c>
      <c r="FG9" t="s">
        <v>1093</v>
      </c>
      <c r="FH9" t="s">
        <v>1094</v>
      </c>
      <c r="FI9">
        <v>1</v>
      </c>
      <c r="FJ9" t="s">
        <v>1095</v>
      </c>
      <c r="FK9" t="s">
        <v>1096</v>
      </c>
      <c r="FL9">
        <v>1</v>
      </c>
      <c r="FM9" t="s">
        <v>1097</v>
      </c>
      <c r="FN9" t="s">
        <v>1098</v>
      </c>
      <c r="FO9">
        <v>1</v>
      </c>
      <c r="FP9" t="s">
        <v>1099</v>
      </c>
      <c r="FQ9" t="s">
        <v>1091</v>
      </c>
      <c r="FR9">
        <v>1</v>
      </c>
      <c r="FS9" t="s">
        <v>1100</v>
      </c>
      <c r="FT9" t="s">
        <v>1101</v>
      </c>
      <c r="FU9">
        <v>1</v>
      </c>
      <c r="FV9" t="s">
        <v>1102</v>
      </c>
      <c r="FW9" t="s">
        <v>1103</v>
      </c>
      <c r="FX9">
        <v>1</v>
      </c>
      <c r="FY9" t="s">
        <v>890</v>
      </c>
      <c r="FZ9" t="s">
        <v>1104</v>
      </c>
      <c r="GA9" t="s">
        <v>1095</v>
      </c>
      <c r="GB9">
        <v>1</v>
      </c>
      <c r="GD9">
        <v>0</v>
      </c>
      <c r="GF9">
        <v>0</v>
      </c>
      <c r="GG9">
        <v>1</v>
      </c>
      <c r="GH9" t="s">
        <v>892</v>
      </c>
      <c r="GI9" t="s">
        <v>893</v>
      </c>
      <c r="GJ9" t="s">
        <v>1096</v>
      </c>
      <c r="GM9">
        <v>1</v>
      </c>
      <c r="GN9">
        <v>1</v>
      </c>
      <c r="GO9">
        <v>0</v>
      </c>
      <c r="GP9">
        <v>1</v>
      </c>
      <c r="GQ9">
        <v>1</v>
      </c>
      <c r="GR9">
        <v>0</v>
      </c>
      <c r="GS9">
        <v>1</v>
      </c>
      <c r="GT9">
        <v>0</v>
      </c>
      <c r="GU9">
        <v>1</v>
      </c>
      <c r="GV9">
        <v>0</v>
      </c>
      <c r="GW9">
        <v>1</v>
      </c>
      <c r="GX9">
        <v>0</v>
      </c>
      <c r="GY9">
        <v>1</v>
      </c>
      <c r="GZ9">
        <v>0</v>
      </c>
      <c r="HA9" t="s">
        <v>301</v>
      </c>
      <c r="HB9" t="s">
        <v>894</v>
      </c>
      <c r="HC9" t="s">
        <v>895</v>
      </c>
      <c r="HD9" t="s">
        <v>845</v>
      </c>
      <c r="HE9" t="s">
        <v>836</v>
      </c>
      <c r="HF9" t="s">
        <v>1051</v>
      </c>
      <c r="HG9" t="s">
        <v>894</v>
      </c>
      <c r="HH9" t="s">
        <v>895</v>
      </c>
      <c r="HI9" t="s">
        <v>845</v>
      </c>
      <c r="HJ9" t="s">
        <v>836</v>
      </c>
      <c r="HK9" t="s">
        <v>1037</v>
      </c>
      <c r="HL9" t="s">
        <v>1083</v>
      </c>
      <c r="HM9" t="s">
        <v>854</v>
      </c>
      <c r="HN9">
        <v>36805</v>
      </c>
      <c r="HP9" t="s">
        <v>111</v>
      </c>
      <c r="HQ9" t="s">
        <v>896</v>
      </c>
      <c r="HR9" t="s">
        <v>896</v>
      </c>
      <c r="HS9" t="s">
        <v>896</v>
      </c>
    </row>
    <row r="10" spans="1:229" x14ac:dyDescent="0.2">
      <c r="A10">
        <v>8702</v>
      </c>
      <c r="B10">
        <v>7610001329</v>
      </c>
      <c r="C10" t="s">
        <v>829</v>
      </c>
      <c r="D10" t="s">
        <v>830</v>
      </c>
      <c r="E10" t="s">
        <v>831</v>
      </c>
      <c r="F10">
        <v>1</v>
      </c>
      <c r="G10" t="s">
        <v>1105</v>
      </c>
      <c r="H10" t="s">
        <v>1105</v>
      </c>
      <c r="I10">
        <v>0</v>
      </c>
      <c r="J10" t="s">
        <v>833</v>
      </c>
      <c r="K10" t="s">
        <v>834</v>
      </c>
      <c r="L10">
        <v>153406521</v>
      </c>
      <c r="M10" t="s">
        <v>1106</v>
      </c>
      <c r="N10" t="s">
        <v>836</v>
      </c>
      <c r="O10" t="s">
        <v>837</v>
      </c>
      <c r="P10" t="s">
        <v>838</v>
      </c>
      <c r="Q10" t="s">
        <v>839</v>
      </c>
      <c r="R10" t="s">
        <v>1107</v>
      </c>
      <c r="S10" t="s">
        <v>1108</v>
      </c>
      <c r="T10">
        <v>41477088992</v>
      </c>
      <c r="V10" t="s">
        <v>1109</v>
      </c>
      <c r="W10" s="41">
        <v>46129</v>
      </c>
      <c r="X10" t="s">
        <v>1110</v>
      </c>
      <c r="Y10" t="s">
        <v>1111</v>
      </c>
      <c r="Z10" t="s">
        <v>1112</v>
      </c>
      <c r="AA10">
        <v>0</v>
      </c>
      <c r="AB10" t="s">
        <v>845</v>
      </c>
      <c r="AC10" t="s">
        <v>846</v>
      </c>
      <c r="AD10" t="s">
        <v>1113</v>
      </c>
      <c r="AE10" t="s">
        <v>1114</v>
      </c>
      <c r="AF10">
        <v>1</v>
      </c>
      <c r="AG10">
        <v>452210</v>
      </c>
      <c r="AH10" t="s">
        <v>849</v>
      </c>
      <c r="AI10" t="s">
        <v>850</v>
      </c>
      <c r="AJ10" t="s">
        <v>851</v>
      </c>
      <c r="AK10" t="s">
        <v>522</v>
      </c>
      <c r="AL10" t="s">
        <v>1115</v>
      </c>
      <c r="AM10" t="s">
        <v>1116</v>
      </c>
      <c r="AN10" t="s">
        <v>854</v>
      </c>
      <c r="AO10">
        <v>36805</v>
      </c>
      <c r="AP10">
        <v>545</v>
      </c>
      <c r="AQ10" t="s">
        <v>855</v>
      </c>
      <c r="AR10">
        <v>66423633</v>
      </c>
      <c r="AS10" t="s">
        <v>856</v>
      </c>
      <c r="AU10" t="s">
        <v>1117</v>
      </c>
      <c r="AV10" t="s">
        <v>1118</v>
      </c>
      <c r="AX10" t="s">
        <v>913</v>
      </c>
      <c r="AY10" t="s">
        <v>861</v>
      </c>
      <c r="AZ10" t="s">
        <v>522</v>
      </c>
      <c r="BA10" t="s">
        <v>304</v>
      </c>
      <c r="BB10">
        <v>0</v>
      </c>
      <c r="BC10">
        <v>1</v>
      </c>
      <c r="BD10">
        <v>0</v>
      </c>
      <c r="BE10" t="s">
        <v>1106</v>
      </c>
      <c r="BF10">
        <v>0</v>
      </c>
      <c r="BG10">
        <v>0</v>
      </c>
      <c r="BH10" t="s">
        <v>862</v>
      </c>
      <c r="BI10">
        <v>0</v>
      </c>
      <c r="BJ10" t="s">
        <v>862</v>
      </c>
      <c r="BK10">
        <v>1</v>
      </c>
      <c r="BL10">
        <v>1</v>
      </c>
      <c r="BM10">
        <v>0</v>
      </c>
      <c r="BN10" t="s">
        <v>596</v>
      </c>
      <c r="BO10">
        <v>153406521</v>
      </c>
      <c r="BP10" t="s">
        <v>1105</v>
      </c>
      <c r="BR10">
        <v>42791461</v>
      </c>
      <c r="BT10">
        <v>1</v>
      </c>
      <c r="BU10" t="s">
        <v>1119</v>
      </c>
      <c r="BY10">
        <v>16</v>
      </c>
      <c r="CA10">
        <v>82</v>
      </c>
      <c r="CI10">
        <v>11</v>
      </c>
      <c r="CJ10" t="s">
        <v>94</v>
      </c>
      <c r="CM10">
        <v>4010</v>
      </c>
      <c r="CO10">
        <v>7360</v>
      </c>
      <c r="CP10">
        <v>5.55</v>
      </c>
      <c r="CQ10">
        <v>5.55</v>
      </c>
      <c r="CR10">
        <v>6.15</v>
      </c>
      <c r="CS10">
        <v>0</v>
      </c>
      <c r="CT10" t="s">
        <v>1118</v>
      </c>
      <c r="CU10" t="s">
        <v>1117</v>
      </c>
      <c r="CV10" t="s">
        <v>833</v>
      </c>
      <c r="CW10" t="s">
        <v>834</v>
      </c>
      <c r="CX10" t="s">
        <v>1106</v>
      </c>
      <c r="CY10">
        <v>1</v>
      </c>
      <c r="CZ10">
        <v>1</v>
      </c>
      <c r="DA10" t="s">
        <v>833</v>
      </c>
      <c r="DB10" t="s">
        <v>865</v>
      </c>
      <c r="DC10">
        <v>55127</v>
      </c>
      <c r="DD10">
        <v>82.066699999999997</v>
      </c>
      <c r="DE10" t="s">
        <v>866</v>
      </c>
      <c r="DG10" t="s">
        <v>867</v>
      </c>
      <c r="DH10" t="s">
        <v>851</v>
      </c>
      <c r="DJ10" t="s">
        <v>1120</v>
      </c>
      <c r="DK10" t="s">
        <v>918</v>
      </c>
      <c r="DL10" t="s">
        <v>869</v>
      </c>
      <c r="DM10">
        <v>0</v>
      </c>
      <c r="DN10">
        <v>0</v>
      </c>
      <c r="DO10">
        <v>11</v>
      </c>
      <c r="DP10" t="s">
        <v>1010</v>
      </c>
      <c r="DQ10">
        <v>0</v>
      </c>
      <c r="DR10">
        <v>4924</v>
      </c>
      <c r="DS10">
        <v>9964</v>
      </c>
      <c r="DT10">
        <v>1.65</v>
      </c>
      <c r="DU10">
        <v>0</v>
      </c>
      <c r="DV10">
        <v>1</v>
      </c>
      <c r="DW10">
        <v>2</v>
      </c>
      <c r="DX10" t="s">
        <v>596</v>
      </c>
      <c r="DY10" t="s">
        <v>1106</v>
      </c>
      <c r="DZ10">
        <v>1</v>
      </c>
      <c r="EA10">
        <v>1</v>
      </c>
      <c r="EB10">
        <v>1</v>
      </c>
      <c r="EC10">
        <v>1</v>
      </c>
      <c r="ED10">
        <v>1</v>
      </c>
      <c r="EE10">
        <v>1</v>
      </c>
      <c r="EF10" t="s">
        <v>871</v>
      </c>
      <c r="EG10" t="s">
        <v>595</v>
      </c>
      <c r="EH10" t="s">
        <v>921</v>
      </c>
      <c r="EI10" t="s">
        <v>921</v>
      </c>
      <c r="EJ10" t="s">
        <v>159</v>
      </c>
      <c r="EK10">
        <v>9090</v>
      </c>
      <c r="EL10">
        <v>1</v>
      </c>
      <c r="EM10" t="s">
        <v>873</v>
      </c>
      <c r="EN10">
        <v>6.15</v>
      </c>
      <c r="EO10">
        <v>166.06666670000001</v>
      </c>
      <c r="EP10">
        <v>99991120</v>
      </c>
      <c r="EQ10" t="s">
        <v>874</v>
      </c>
      <c r="ER10" t="s">
        <v>875</v>
      </c>
      <c r="ES10" t="s">
        <v>876</v>
      </c>
      <c r="ET10" t="s">
        <v>877</v>
      </c>
      <c r="EU10" t="s">
        <v>877</v>
      </c>
      <c r="EV10" t="s">
        <v>871</v>
      </c>
      <c r="EX10" t="s">
        <v>836</v>
      </c>
      <c r="EY10" t="s">
        <v>1121</v>
      </c>
      <c r="EZ10" t="s">
        <v>1122</v>
      </c>
      <c r="FA10" t="s">
        <v>956</v>
      </c>
      <c r="FB10">
        <v>1</v>
      </c>
      <c r="FC10">
        <v>4</v>
      </c>
      <c r="FD10" s="41">
        <v>46130</v>
      </c>
      <c r="FE10" t="s">
        <v>1123</v>
      </c>
      <c r="FF10">
        <v>18</v>
      </c>
      <c r="FG10" t="s">
        <v>1124</v>
      </c>
      <c r="FH10" t="s">
        <v>1125</v>
      </c>
      <c r="FI10">
        <v>1</v>
      </c>
      <c r="FJ10" t="s">
        <v>1126</v>
      </c>
      <c r="FK10" t="s">
        <v>1125</v>
      </c>
      <c r="FL10">
        <v>1</v>
      </c>
      <c r="FM10" t="s">
        <v>1127</v>
      </c>
      <c r="FN10" t="s">
        <v>1128</v>
      </c>
      <c r="FO10">
        <v>1</v>
      </c>
      <c r="FP10" t="s">
        <v>1129</v>
      </c>
      <c r="FQ10" t="s">
        <v>1117</v>
      </c>
      <c r="FR10">
        <v>1</v>
      </c>
      <c r="FS10" t="s">
        <v>1130</v>
      </c>
      <c r="FT10" t="s">
        <v>1131</v>
      </c>
      <c r="FU10">
        <v>1</v>
      </c>
      <c r="FV10" t="s">
        <v>1132</v>
      </c>
      <c r="FW10" t="s">
        <v>1133</v>
      </c>
      <c r="FX10">
        <v>1</v>
      </c>
      <c r="FY10" t="s">
        <v>890</v>
      </c>
      <c r="FZ10" t="s">
        <v>1134</v>
      </c>
      <c r="GA10" t="s">
        <v>1126</v>
      </c>
      <c r="GB10">
        <v>1</v>
      </c>
      <c r="GD10">
        <v>0</v>
      </c>
      <c r="GF10">
        <v>0</v>
      </c>
      <c r="GG10">
        <v>1</v>
      </c>
      <c r="GH10" t="s">
        <v>892</v>
      </c>
      <c r="GI10" t="s">
        <v>893</v>
      </c>
      <c r="GJ10" t="s">
        <v>1125</v>
      </c>
      <c r="GM10">
        <v>1</v>
      </c>
      <c r="GN10">
        <v>0</v>
      </c>
      <c r="GO10">
        <v>0</v>
      </c>
      <c r="GP10">
        <v>1</v>
      </c>
      <c r="GQ10">
        <v>1</v>
      </c>
      <c r="GR10">
        <v>0</v>
      </c>
      <c r="GS10">
        <v>1</v>
      </c>
      <c r="GT10">
        <v>0</v>
      </c>
      <c r="GU10">
        <v>1</v>
      </c>
      <c r="GV10">
        <v>0</v>
      </c>
      <c r="GW10">
        <v>1</v>
      </c>
      <c r="GX10">
        <v>0</v>
      </c>
      <c r="GY10">
        <v>1</v>
      </c>
      <c r="GZ10">
        <v>0</v>
      </c>
      <c r="HA10" t="s">
        <v>522</v>
      </c>
      <c r="HB10" t="s">
        <v>894</v>
      </c>
      <c r="HC10" t="s">
        <v>895</v>
      </c>
      <c r="HD10" t="s">
        <v>845</v>
      </c>
      <c r="HE10" t="s">
        <v>836</v>
      </c>
      <c r="HF10" t="s">
        <v>873</v>
      </c>
      <c r="HG10" t="s">
        <v>894</v>
      </c>
      <c r="HH10" t="s">
        <v>895</v>
      </c>
      <c r="HI10" t="s">
        <v>845</v>
      </c>
      <c r="HJ10" t="s">
        <v>836</v>
      </c>
      <c r="HK10" t="s">
        <v>873</v>
      </c>
      <c r="HL10" t="s">
        <v>1109</v>
      </c>
      <c r="HM10" t="s">
        <v>854</v>
      </c>
      <c r="HN10">
        <v>36805</v>
      </c>
      <c r="HO10">
        <v>1</v>
      </c>
      <c r="HP10" t="s">
        <v>159</v>
      </c>
      <c r="HQ10" t="s">
        <v>896</v>
      </c>
      <c r="HR10" t="s">
        <v>896</v>
      </c>
      <c r="HS10" t="s">
        <v>896</v>
      </c>
    </row>
    <row r="11" spans="1:229" x14ac:dyDescent="0.2">
      <c r="A11">
        <v>8702</v>
      </c>
      <c r="B11">
        <v>7526100324</v>
      </c>
      <c r="C11">
        <v>82</v>
      </c>
      <c r="D11" t="s">
        <v>969</v>
      </c>
      <c r="E11" t="s">
        <v>897</v>
      </c>
      <c r="F11">
        <v>0</v>
      </c>
      <c r="G11" t="s">
        <v>1135</v>
      </c>
      <c r="H11" t="s">
        <v>1135</v>
      </c>
      <c r="I11">
        <v>0</v>
      </c>
      <c r="J11" t="s">
        <v>833</v>
      </c>
      <c r="K11" t="s">
        <v>834</v>
      </c>
      <c r="L11">
        <v>153402680</v>
      </c>
      <c r="M11" t="s">
        <v>1136</v>
      </c>
      <c r="N11" t="s">
        <v>900</v>
      </c>
      <c r="O11" t="s">
        <v>837</v>
      </c>
      <c r="P11" t="s">
        <v>1137</v>
      </c>
      <c r="Q11" t="s">
        <v>1138</v>
      </c>
      <c r="R11" t="s">
        <v>1139</v>
      </c>
      <c r="S11" t="s">
        <v>1140</v>
      </c>
      <c r="T11">
        <v>41477125989</v>
      </c>
      <c r="V11" t="s">
        <v>1141</v>
      </c>
      <c r="W11" s="41">
        <v>45925</v>
      </c>
      <c r="X11" t="s">
        <v>1142</v>
      </c>
      <c r="Y11" t="s">
        <v>1143</v>
      </c>
      <c r="Z11" t="s">
        <v>1144</v>
      </c>
      <c r="AA11">
        <v>0</v>
      </c>
      <c r="AB11" t="s">
        <v>845</v>
      </c>
      <c r="AC11" t="s">
        <v>846</v>
      </c>
      <c r="AD11" t="s">
        <v>847</v>
      </c>
      <c r="AE11" t="s">
        <v>848</v>
      </c>
      <c r="AF11">
        <v>1</v>
      </c>
      <c r="AG11">
        <v>452210</v>
      </c>
      <c r="AH11" t="s">
        <v>849</v>
      </c>
      <c r="AI11" t="s">
        <v>850</v>
      </c>
      <c r="AJ11" t="s">
        <v>851</v>
      </c>
      <c r="AK11" t="s">
        <v>334</v>
      </c>
      <c r="AL11" t="s">
        <v>1145</v>
      </c>
      <c r="AM11" t="s">
        <v>1146</v>
      </c>
      <c r="AN11" t="s">
        <v>854</v>
      </c>
      <c r="AO11">
        <v>36805</v>
      </c>
      <c r="AP11">
        <v>926</v>
      </c>
      <c r="AQ11" t="s">
        <v>855</v>
      </c>
      <c r="AR11">
        <v>66129883</v>
      </c>
      <c r="AS11" t="s">
        <v>856</v>
      </c>
      <c r="AU11" t="s">
        <v>1147</v>
      </c>
      <c r="AV11" t="s">
        <v>1148</v>
      </c>
      <c r="AW11" t="s">
        <v>1149</v>
      </c>
      <c r="AX11" t="s">
        <v>1150</v>
      </c>
      <c r="AY11" t="s">
        <v>861</v>
      </c>
      <c r="AZ11" t="s">
        <v>334</v>
      </c>
      <c r="BA11" t="s">
        <v>335</v>
      </c>
      <c r="BB11">
        <v>0</v>
      </c>
      <c r="BC11">
        <v>0</v>
      </c>
      <c r="BD11">
        <v>0</v>
      </c>
      <c r="BE11" t="s">
        <v>1136</v>
      </c>
      <c r="BF11">
        <v>0</v>
      </c>
      <c r="BG11">
        <v>0</v>
      </c>
      <c r="BH11" t="s">
        <v>862</v>
      </c>
      <c r="BI11">
        <v>0</v>
      </c>
      <c r="BJ11" t="s">
        <v>862</v>
      </c>
      <c r="BK11">
        <v>1</v>
      </c>
      <c r="BL11">
        <v>0</v>
      </c>
      <c r="BM11">
        <v>0</v>
      </c>
      <c r="BN11" t="s">
        <v>596</v>
      </c>
      <c r="BO11">
        <v>153402680</v>
      </c>
      <c r="BP11" t="s">
        <v>1135</v>
      </c>
      <c r="BR11">
        <v>42793651</v>
      </c>
      <c r="BT11">
        <v>1</v>
      </c>
      <c r="BU11" t="s">
        <v>1151</v>
      </c>
      <c r="CI11">
        <v>11</v>
      </c>
      <c r="CJ11" t="s">
        <v>94</v>
      </c>
      <c r="CM11">
        <v>4010</v>
      </c>
      <c r="CO11">
        <v>7360</v>
      </c>
      <c r="CP11">
        <v>0.1</v>
      </c>
      <c r="CQ11">
        <v>0.1</v>
      </c>
      <c r="CR11">
        <v>0.26669999999999999</v>
      </c>
      <c r="CS11">
        <v>138</v>
      </c>
      <c r="CT11" t="s">
        <v>1152</v>
      </c>
      <c r="CU11" t="s">
        <v>1153</v>
      </c>
      <c r="CV11" t="s">
        <v>833</v>
      </c>
      <c r="CW11" t="s">
        <v>834</v>
      </c>
      <c r="CX11" t="s">
        <v>1136</v>
      </c>
      <c r="CY11">
        <v>0</v>
      </c>
      <c r="CZ11">
        <v>0</v>
      </c>
      <c r="DA11" t="s">
        <v>833</v>
      </c>
      <c r="DB11" t="s">
        <v>865</v>
      </c>
      <c r="DC11">
        <v>43240</v>
      </c>
      <c r="DD11">
        <v>79.933300000000003</v>
      </c>
      <c r="DE11" t="s">
        <v>866</v>
      </c>
      <c r="DG11" t="s">
        <v>867</v>
      </c>
      <c r="DH11" t="s">
        <v>851</v>
      </c>
      <c r="DI11" t="s">
        <v>1154</v>
      </c>
      <c r="DK11" t="s">
        <v>1155</v>
      </c>
      <c r="DL11" t="s">
        <v>869</v>
      </c>
      <c r="DM11">
        <v>0</v>
      </c>
      <c r="DN11">
        <v>0</v>
      </c>
      <c r="DO11">
        <v>53</v>
      </c>
      <c r="DP11" t="s">
        <v>1156</v>
      </c>
      <c r="DQ11">
        <v>16</v>
      </c>
      <c r="DR11">
        <v>4796</v>
      </c>
      <c r="DS11">
        <v>9836</v>
      </c>
      <c r="DT11">
        <v>79.833299999999994</v>
      </c>
      <c r="DU11">
        <v>4</v>
      </c>
      <c r="DV11">
        <v>1</v>
      </c>
      <c r="DW11">
        <v>2</v>
      </c>
      <c r="DX11" t="s">
        <v>594</v>
      </c>
      <c r="DY11" t="s">
        <v>1136</v>
      </c>
      <c r="DZ11">
        <v>0</v>
      </c>
      <c r="EA11">
        <v>0</v>
      </c>
      <c r="EB11">
        <v>0</v>
      </c>
      <c r="EC11">
        <v>0</v>
      </c>
      <c r="ED11">
        <v>0</v>
      </c>
      <c r="EE11">
        <v>0</v>
      </c>
      <c r="EF11" t="s">
        <v>871</v>
      </c>
      <c r="EG11" t="s">
        <v>595</v>
      </c>
      <c r="EH11" t="s">
        <v>872</v>
      </c>
      <c r="EI11" t="s">
        <v>872</v>
      </c>
      <c r="EJ11" t="s">
        <v>226</v>
      </c>
      <c r="EK11">
        <v>9090</v>
      </c>
      <c r="EL11">
        <v>0</v>
      </c>
      <c r="EM11" t="s">
        <v>1157</v>
      </c>
      <c r="EN11">
        <v>0.26669999999999999</v>
      </c>
      <c r="EO11">
        <v>163.93333329999999</v>
      </c>
      <c r="EP11">
        <v>99991120</v>
      </c>
      <c r="EQ11" t="s">
        <v>874</v>
      </c>
      <c r="ER11" t="s">
        <v>875</v>
      </c>
      <c r="ES11" t="s">
        <v>876</v>
      </c>
      <c r="ET11" t="s">
        <v>877</v>
      </c>
      <c r="EU11" t="s">
        <v>877</v>
      </c>
      <c r="EV11" t="s">
        <v>871</v>
      </c>
      <c r="EX11" t="s">
        <v>953</v>
      </c>
      <c r="EY11" t="s">
        <v>986</v>
      </c>
      <c r="EZ11" t="s">
        <v>1158</v>
      </c>
      <c r="FA11" t="s">
        <v>925</v>
      </c>
      <c r="FB11">
        <v>1</v>
      </c>
      <c r="FC11">
        <v>1</v>
      </c>
      <c r="FD11" s="41">
        <v>45927</v>
      </c>
      <c r="FE11" t="s">
        <v>880</v>
      </c>
      <c r="FF11">
        <v>10</v>
      </c>
      <c r="FG11" t="s">
        <v>1159</v>
      </c>
      <c r="FH11" t="s">
        <v>1160</v>
      </c>
      <c r="FI11">
        <v>1</v>
      </c>
      <c r="FJ11" t="s">
        <v>1161</v>
      </c>
      <c r="FK11" t="s">
        <v>1162</v>
      </c>
      <c r="FL11">
        <v>1</v>
      </c>
      <c r="FM11" t="s">
        <v>1163</v>
      </c>
      <c r="FN11" t="s">
        <v>1162</v>
      </c>
      <c r="FO11">
        <v>1</v>
      </c>
      <c r="FP11" t="s">
        <v>1164</v>
      </c>
      <c r="FQ11" t="s">
        <v>1165</v>
      </c>
      <c r="FR11">
        <v>1</v>
      </c>
      <c r="FS11" t="s">
        <v>1166</v>
      </c>
      <c r="FT11" t="s">
        <v>1167</v>
      </c>
      <c r="FU11">
        <v>1</v>
      </c>
      <c r="FV11" t="s">
        <v>1168</v>
      </c>
      <c r="FW11" t="s">
        <v>1169</v>
      </c>
      <c r="FX11">
        <v>1</v>
      </c>
      <c r="FY11" t="s">
        <v>890</v>
      </c>
      <c r="FZ11" t="s">
        <v>1170</v>
      </c>
      <c r="GA11" t="s">
        <v>1159</v>
      </c>
      <c r="GB11">
        <v>1</v>
      </c>
      <c r="GD11">
        <v>0</v>
      </c>
      <c r="GF11">
        <v>0</v>
      </c>
      <c r="GG11">
        <v>1</v>
      </c>
      <c r="GH11" t="s">
        <v>892</v>
      </c>
      <c r="GI11" t="s">
        <v>893</v>
      </c>
      <c r="GJ11" t="s">
        <v>1160</v>
      </c>
      <c r="GM11">
        <v>1</v>
      </c>
      <c r="GN11">
        <v>1</v>
      </c>
      <c r="GO11">
        <v>0</v>
      </c>
      <c r="GP11">
        <v>1</v>
      </c>
      <c r="GQ11">
        <v>1</v>
      </c>
      <c r="GR11">
        <v>0</v>
      </c>
      <c r="GS11">
        <v>1</v>
      </c>
      <c r="GT11">
        <v>0</v>
      </c>
      <c r="GU11">
        <v>1</v>
      </c>
      <c r="GV11">
        <v>0</v>
      </c>
      <c r="GW11">
        <v>1</v>
      </c>
      <c r="GX11">
        <v>0</v>
      </c>
      <c r="GY11">
        <v>1</v>
      </c>
      <c r="GZ11">
        <v>0</v>
      </c>
      <c r="HA11" t="s">
        <v>334</v>
      </c>
      <c r="HB11" t="s">
        <v>894</v>
      </c>
      <c r="HC11" t="s">
        <v>935</v>
      </c>
      <c r="HD11" t="s">
        <v>845</v>
      </c>
      <c r="HE11" t="s">
        <v>900</v>
      </c>
      <c r="HF11" t="s">
        <v>923</v>
      </c>
      <c r="HG11" t="s">
        <v>894</v>
      </c>
      <c r="HH11" t="s">
        <v>935</v>
      </c>
      <c r="HI11" t="s">
        <v>845</v>
      </c>
      <c r="HJ11" t="s">
        <v>900</v>
      </c>
      <c r="HK11" t="s">
        <v>922</v>
      </c>
      <c r="HL11" t="s">
        <v>1141</v>
      </c>
      <c r="HM11" t="s">
        <v>854</v>
      </c>
      <c r="HN11">
        <v>36805</v>
      </c>
      <c r="HO11">
        <v>1</v>
      </c>
      <c r="HP11" t="s">
        <v>226</v>
      </c>
      <c r="HQ11" t="s">
        <v>896</v>
      </c>
      <c r="HR11" t="s">
        <v>896</v>
      </c>
      <c r="HS11" t="s">
        <v>896</v>
      </c>
    </row>
    <row r="12" spans="1:229" x14ac:dyDescent="0.2">
      <c r="A12">
        <v>8702</v>
      </c>
      <c r="B12">
        <v>7621012398</v>
      </c>
      <c r="C12" t="s">
        <v>1171</v>
      </c>
      <c r="D12" t="s">
        <v>1172</v>
      </c>
      <c r="E12" t="s">
        <v>897</v>
      </c>
      <c r="F12">
        <v>0</v>
      </c>
      <c r="G12" t="s">
        <v>1173</v>
      </c>
      <c r="H12" t="s">
        <v>1173</v>
      </c>
      <c r="I12">
        <v>0</v>
      </c>
      <c r="J12" t="s">
        <v>833</v>
      </c>
      <c r="K12" t="s">
        <v>834</v>
      </c>
      <c r="L12">
        <v>153195484</v>
      </c>
      <c r="M12" t="s">
        <v>1174</v>
      </c>
      <c r="N12" t="s">
        <v>900</v>
      </c>
      <c r="O12" t="s">
        <v>837</v>
      </c>
      <c r="P12" t="s">
        <v>1175</v>
      </c>
      <c r="Q12" t="s">
        <v>1176</v>
      </c>
      <c r="R12" t="s">
        <v>1177</v>
      </c>
      <c r="S12" t="s">
        <v>1178</v>
      </c>
      <c r="T12">
        <v>41477056288</v>
      </c>
      <c r="V12" t="s">
        <v>133</v>
      </c>
      <c r="W12" s="41">
        <v>46232</v>
      </c>
      <c r="X12" t="s">
        <v>1179</v>
      </c>
      <c r="Y12" t="s">
        <v>1180</v>
      </c>
      <c r="AA12">
        <v>0</v>
      </c>
      <c r="AB12" t="s">
        <v>845</v>
      </c>
      <c r="AC12" t="s">
        <v>846</v>
      </c>
      <c r="AD12" t="s">
        <v>907</v>
      </c>
      <c r="AE12" t="s">
        <v>908</v>
      </c>
      <c r="AF12">
        <v>1</v>
      </c>
      <c r="AG12">
        <v>452210</v>
      </c>
      <c r="AH12" t="s">
        <v>849</v>
      </c>
      <c r="AI12" t="s">
        <v>850</v>
      </c>
      <c r="AJ12" t="s">
        <v>851</v>
      </c>
      <c r="AK12" t="s">
        <v>279</v>
      </c>
      <c r="AL12" t="s">
        <v>1181</v>
      </c>
      <c r="AM12" t="s">
        <v>1182</v>
      </c>
      <c r="AN12" t="s">
        <v>854</v>
      </c>
      <c r="AO12">
        <v>36805</v>
      </c>
      <c r="AP12">
        <v>526</v>
      </c>
      <c r="AQ12" t="s">
        <v>855</v>
      </c>
      <c r="AR12">
        <v>66572083</v>
      </c>
      <c r="AS12" t="s">
        <v>856</v>
      </c>
      <c r="AU12" t="s">
        <v>1183</v>
      </c>
      <c r="AV12" t="s">
        <v>1184</v>
      </c>
      <c r="AW12" t="s">
        <v>1185</v>
      </c>
      <c r="AX12" t="s">
        <v>1186</v>
      </c>
      <c r="AY12" t="s">
        <v>861</v>
      </c>
      <c r="AZ12" t="s">
        <v>279</v>
      </c>
      <c r="BA12" t="s">
        <v>280</v>
      </c>
      <c r="BB12">
        <v>0</v>
      </c>
      <c r="BC12">
        <v>0</v>
      </c>
      <c r="BD12">
        <v>0</v>
      </c>
      <c r="BE12" t="s">
        <v>1174</v>
      </c>
      <c r="BF12">
        <v>0</v>
      </c>
      <c r="BG12">
        <v>0</v>
      </c>
      <c r="BH12" t="s">
        <v>862</v>
      </c>
      <c r="BI12">
        <v>0</v>
      </c>
      <c r="BJ12" t="s">
        <v>862</v>
      </c>
      <c r="BK12">
        <v>1</v>
      </c>
      <c r="BL12">
        <v>0</v>
      </c>
      <c r="BM12">
        <v>0</v>
      </c>
      <c r="BN12" t="s">
        <v>596</v>
      </c>
      <c r="BO12">
        <v>153195484</v>
      </c>
      <c r="BP12" t="s">
        <v>1173</v>
      </c>
      <c r="BQ12">
        <v>39.9134934</v>
      </c>
      <c r="BR12">
        <v>42791437</v>
      </c>
      <c r="BS12">
        <v>-86.201988799999995</v>
      </c>
      <c r="BT12">
        <v>2</v>
      </c>
      <c r="BU12" t="s">
        <v>1062</v>
      </c>
      <c r="BY12">
        <v>16</v>
      </c>
      <c r="CA12">
        <v>1</v>
      </c>
      <c r="CE12">
        <v>1</v>
      </c>
      <c r="CI12">
        <v>11</v>
      </c>
      <c r="CJ12" t="s">
        <v>94</v>
      </c>
      <c r="CM12">
        <v>4010</v>
      </c>
      <c r="CO12">
        <v>7360</v>
      </c>
      <c r="CP12">
        <v>0.4</v>
      </c>
      <c r="CQ12">
        <v>0.4</v>
      </c>
      <c r="CR12">
        <v>0.75</v>
      </c>
      <c r="CS12">
        <v>3</v>
      </c>
      <c r="CT12" t="s">
        <v>1187</v>
      </c>
      <c r="CU12" t="s">
        <v>1188</v>
      </c>
      <c r="CV12" t="s">
        <v>833</v>
      </c>
      <c r="CW12" t="s">
        <v>834</v>
      </c>
      <c r="CX12" t="s">
        <v>1174</v>
      </c>
      <c r="CY12">
        <v>0</v>
      </c>
      <c r="CZ12">
        <v>0</v>
      </c>
      <c r="DA12" t="s">
        <v>833</v>
      </c>
      <c r="DB12" t="s">
        <v>865</v>
      </c>
      <c r="DC12">
        <v>46260</v>
      </c>
      <c r="DD12">
        <v>1.2833000000000001</v>
      </c>
      <c r="DE12" t="s">
        <v>866</v>
      </c>
      <c r="DG12" t="s">
        <v>867</v>
      </c>
      <c r="DH12" t="s">
        <v>851</v>
      </c>
      <c r="DI12" t="s">
        <v>1189</v>
      </c>
      <c r="DK12" t="s">
        <v>918</v>
      </c>
      <c r="DL12" t="s">
        <v>869</v>
      </c>
      <c r="DM12">
        <v>0</v>
      </c>
      <c r="DN12">
        <v>0</v>
      </c>
      <c r="DO12">
        <v>12</v>
      </c>
      <c r="DP12" t="s">
        <v>1190</v>
      </c>
      <c r="DQ12">
        <v>16</v>
      </c>
      <c r="DR12">
        <v>77</v>
      </c>
      <c r="DS12">
        <v>77</v>
      </c>
      <c r="DT12">
        <v>0.88329999999999997</v>
      </c>
      <c r="DU12">
        <v>4</v>
      </c>
      <c r="DV12">
        <v>1</v>
      </c>
      <c r="DW12">
        <v>2</v>
      </c>
      <c r="DX12" t="s">
        <v>594</v>
      </c>
      <c r="DY12" t="s">
        <v>1174</v>
      </c>
      <c r="DZ12">
        <v>0</v>
      </c>
      <c r="EA12">
        <v>0</v>
      </c>
      <c r="EB12">
        <v>0</v>
      </c>
      <c r="EC12">
        <v>0</v>
      </c>
      <c r="ED12">
        <v>0</v>
      </c>
      <c r="EE12">
        <v>0</v>
      </c>
      <c r="EF12" t="s">
        <v>920</v>
      </c>
      <c r="EG12" t="s">
        <v>595</v>
      </c>
      <c r="EH12" t="s">
        <v>872</v>
      </c>
      <c r="EI12" t="s">
        <v>872</v>
      </c>
      <c r="EJ12" t="s">
        <v>134</v>
      </c>
      <c r="EK12">
        <v>9090</v>
      </c>
      <c r="EL12">
        <v>0</v>
      </c>
      <c r="EM12" t="s">
        <v>1011</v>
      </c>
      <c r="EN12">
        <v>0.75</v>
      </c>
      <c r="EO12">
        <v>1.2833333</v>
      </c>
      <c r="EP12">
        <v>99991120</v>
      </c>
      <c r="EQ12" t="s">
        <v>874</v>
      </c>
      <c r="ER12" t="s">
        <v>875</v>
      </c>
      <c r="ES12" t="s">
        <v>876</v>
      </c>
      <c r="ET12" t="s">
        <v>877</v>
      </c>
      <c r="EU12" t="s">
        <v>877</v>
      </c>
      <c r="EV12" t="s">
        <v>920</v>
      </c>
      <c r="EX12" t="s">
        <v>900</v>
      </c>
      <c r="EY12" t="s">
        <v>1012</v>
      </c>
      <c r="EZ12" t="s">
        <v>1013</v>
      </c>
      <c r="FA12" t="s">
        <v>925</v>
      </c>
      <c r="FB12">
        <v>1</v>
      </c>
      <c r="FC12">
        <v>1</v>
      </c>
      <c r="FD12" s="41">
        <v>46235</v>
      </c>
      <c r="FE12" t="s">
        <v>1066</v>
      </c>
      <c r="FF12">
        <v>6</v>
      </c>
      <c r="FG12" t="s">
        <v>1191</v>
      </c>
      <c r="FH12" t="s">
        <v>1192</v>
      </c>
      <c r="FI12">
        <v>1</v>
      </c>
      <c r="FJ12" t="s">
        <v>1191</v>
      </c>
      <c r="FK12" t="s">
        <v>1192</v>
      </c>
      <c r="FL12">
        <v>1</v>
      </c>
      <c r="FM12" t="s">
        <v>1193</v>
      </c>
      <c r="FN12" t="s">
        <v>1194</v>
      </c>
      <c r="FO12">
        <v>1</v>
      </c>
      <c r="FP12" t="s">
        <v>1195</v>
      </c>
      <c r="FQ12" t="s">
        <v>1188</v>
      </c>
      <c r="FR12">
        <v>1</v>
      </c>
      <c r="FS12" t="s">
        <v>1196</v>
      </c>
      <c r="FT12" t="s">
        <v>1197</v>
      </c>
      <c r="FU12">
        <v>1</v>
      </c>
      <c r="FV12" t="s">
        <v>1198</v>
      </c>
      <c r="FW12" t="s">
        <v>1192</v>
      </c>
      <c r="FX12">
        <v>1</v>
      </c>
      <c r="FY12" t="s">
        <v>890</v>
      </c>
      <c r="FZ12" t="s">
        <v>1199</v>
      </c>
      <c r="GA12" t="s">
        <v>1191</v>
      </c>
      <c r="GB12">
        <v>1</v>
      </c>
      <c r="GD12">
        <v>0</v>
      </c>
      <c r="GF12">
        <v>0</v>
      </c>
      <c r="GG12">
        <v>1</v>
      </c>
      <c r="GH12" t="s">
        <v>892</v>
      </c>
      <c r="GI12" t="s">
        <v>893</v>
      </c>
      <c r="GJ12" t="s">
        <v>1192</v>
      </c>
      <c r="GM12">
        <v>1</v>
      </c>
      <c r="GN12">
        <v>1</v>
      </c>
      <c r="GO12">
        <v>0</v>
      </c>
      <c r="GP12">
        <v>1</v>
      </c>
      <c r="GQ12">
        <v>1</v>
      </c>
      <c r="GR12">
        <v>0</v>
      </c>
      <c r="GS12">
        <v>1</v>
      </c>
      <c r="GT12">
        <v>0</v>
      </c>
      <c r="GU12">
        <v>1</v>
      </c>
      <c r="GV12">
        <v>0</v>
      </c>
      <c r="GW12">
        <v>1</v>
      </c>
      <c r="GX12">
        <v>0</v>
      </c>
      <c r="GY12">
        <v>1</v>
      </c>
      <c r="GZ12">
        <v>0</v>
      </c>
      <c r="HA12" t="s">
        <v>279</v>
      </c>
      <c r="HB12" t="s">
        <v>894</v>
      </c>
      <c r="HC12" t="s">
        <v>935</v>
      </c>
      <c r="HD12" t="s">
        <v>845</v>
      </c>
      <c r="HE12" t="s">
        <v>900</v>
      </c>
      <c r="HF12" t="s">
        <v>1012</v>
      </c>
      <c r="HG12" t="s">
        <v>894</v>
      </c>
      <c r="HH12" t="s">
        <v>935</v>
      </c>
      <c r="HI12" t="s">
        <v>845</v>
      </c>
      <c r="HJ12" t="s">
        <v>900</v>
      </c>
      <c r="HK12" t="s">
        <v>1011</v>
      </c>
      <c r="HL12" t="s">
        <v>133</v>
      </c>
      <c r="HM12" t="s">
        <v>854</v>
      </c>
      <c r="HN12">
        <v>36805</v>
      </c>
      <c r="HP12" t="s">
        <v>134</v>
      </c>
      <c r="HQ12" t="s">
        <v>896</v>
      </c>
      <c r="HR12" t="s">
        <v>896</v>
      </c>
      <c r="HS12" t="s">
        <v>896</v>
      </c>
    </row>
    <row r="13" spans="1:229" x14ac:dyDescent="0.2">
      <c r="A13">
        <v>8702</v>
      </c>
      <c r="B13">
        <v>7619803959</v>
      </c>
      <c r="C13" t="s">
        <v>1171</v>
      </c>
      <c r="D13" t="s">
        <v>1172</v>
      </c>
      <c r="E13" t="s">
        <v>831</v>
      </c>
      <c r="F13">
        <v>0</v>
      </c>
      <c r="G13" t="s">
        <v>1200</v>
      </c>
      <c r="H13" t="s">
        <v>1200</v>
      </c>
      <c r="I13">
        <v>0</v>
      </c>
      <c r="J13" t="s">
        <v>833</v>
      </c>
      <c r="K13" t="s">
        <v>834</v>
      </c>
      <c r="L13">
        <v>153524539</v>
      </c>
      <c r="M13" t="s">
        <v>1201</v>
      </c>
      <c r="N13" t="s">
        <v>836</v>
      </c>
      <c r="O13" t="s">
        <v>837</v>
      </c>
      <c r="P13" t="s">
        <v>1175</v>
      </c>
      <c r="Q13" t="s">
        <v>1176</v>
      </c>
      <c r="R13" t="s">
        <v>1202</v>
      </c>
      <c r="S13" t="s">
        <v>1203</v>
      </c>
      <c r="T13">
        <v>41477094299</v>
      </c>
      <c r="V13" t="s">
        <v>136</v>
      </c>
      <c r="W13" s="41">
        <v>46221</v>
      </c>
      <c r="X13" t="s">
        <v>1204</v>
      </c>
      <c r="Y13" t="s">
        <v>1205</v>
      </c>
      <c r="AA13">
        <v>0</v>
      </c>
      <c r="AB13" t="s">
        <v>845</v>
      </c>
      <c r="AC13" t="s">
        <v>846</v>
      </c>
      <c r="AD13" t="s">
        <v>907</v>
      </c>
      <c r="AE13" t="s">
        <v>908</v>
      </c>
      <c r="AF13">
        <v>1</v>
      </c>
      <c r="AG13">
        <v>452210</v>
      </c>
      <c r="AH13" t="s">
        <v>849</v>
      </c>
      <c r="AI13" t="s">
        <v>850</v>
      </c>
      <c r="AJ13" t="s">
        <v>851</v>
      </c>
      <c r="AK13" t="s">
        <v>534</v>
      </c>
      <c r="AL13" t="s">
        <v>1206</v>
      </c>
      <c r="AM13" t="s">
        <v>1207</v>
      </c>
      <c r="AN13" t="s">
        <v>854</v>
      </c>
      <c r="AO13">
        <v>36805</v>
      </c>
      <c r="AP13">
        <v>523</v>
      </c>
      <c r="AQ13" t="s">
        <v>855</v>
      </c>
      <c r="AR13">
        <v>66556418</v>
      </c>
      <c r="AS13" t="s">
        <v>856</v>
      </c>
      <c r="AU13" t="s">
        <v>1208</v>
      </c>
      <c r="AV13" t="s">
        <v>1209</v>
      </c>
      <c r="AX13" t="s">
        <v>913</v>
      </c>
      <c r="AY13" t="s">
        <v>861</v>
      </c>
      <c r="AZ13" t="s">
        <v>534</v>
      </c>
      <c r="BA13" t="s">
        <v>355</v>
      </c>
      <c r="BB13">
        <v>0</v>
      </c>
      <c r="BC13">
        <v>0</v>
      </c>
      <c r="BD13">
        <v>0</v>
      </c>
      <c r="BE13" t="s">
        <v>1201</v>
      </c>
      <c r="BF13">
        <v>0</v>
      </c>
      <c r="BG13">
        <v>0</v>
      </c>
      <c r="BH13" t="s">
        <v>862</v>
      </c>
      <c r="BI13">
        <v>0</v>
      </c>
      <c r="BJ13" t="s">
        <v>862</v>
      </c>
      <c r="BK13">
        <v>1</v>
      </c>
      <c r="BL13">
        <v>1</v>
      </c>
      <c r="BM13">
        <v>0</v>
      </c>
      <c r="BN13" t="s">
        <v>596</v>
      </c>
      <c r="BO13">
        <v>153524539</v>
      </c>
      <c r="BP13" t="s">
        <v>1200</v>
      </c>
      <c r="BR13">
        <v>42791433</v>
      </c>
      <c r="BT13">
        <v>2</v>
      </c>
      <c r="BU13" t="s">
        <v>1062</v>
      </c>
      <c r="BY13">
        <v>16</v>
      </c>
      <c r="CA13">
        <v>15</v>
      </c>
      <c r="CE13">
        <v>1</v>
      </c>
      <c r="CI13">
        <v>11</v>
      </c>
      <c r="CJ13" t="s">
        <v>94</v>
      </c>
      <c r="CM13">
        <v>4010</v>
      </c>
      <c r="CO13">
        <v>7360</v>
      </c>
      <c r="CP13">
        <v>0.2167</v>
      </c>
      <c r="CQ13">
        <v>0.2167</v>
      </c>
      <c r="CR13">
        <v>1.7166999999999999</v>
      </c>
      <c r="CS13">
        <v>3</v>
      </c>
      <c r="CT13" t="s">
        <v>1209</v>
      </c>
      <c r="CU13" t="s">
        <v>1208</v>
      </c>
      <c r="CV13" t="s">
        <v>833</v>
      </c>
      <c r="CW13" t="s">
        <v>834</v>
      </c>
      <c r="CX13" t="s">
        <v>1201</v>
      </c>
      <c r="CY13">
        <v>0</v>
      </c>
      <c r="CZ13">
        <v>0</v>
      </c>
      <c r="DA13" t="s">
        <v>833</v>
      </c>
      <c r="DB13" t="s">
        <v>865</v>
      </c>
      <c r="DC13">
        <v>47905</v>
      </c>
      <c r="DD13">
        <v>15</v>
      </c>
      <c r="DE13" t="s">
        <v>866</v>
      </c>
      <c r="DG13" t="s">
        <v>867</v>
      </c>
      <c r="DH13" t="s">
        <v>851</v>
      </c>
      <c r="DI13" t="s">
        <v>1210</v>
      </c>
      <c r="DK13" t="s">
        <v>918</v>
      </c>
      <c r="DL13" t="s">
        <v>869</v>
      </c>
      <c r="DM13">
        <v>0</v>
      </c>
      <c r="DN13">
        <v>0</v>
      </c>
      <c r="DO13">
        <v>3</v>
      </c>
      <c r="DP13" t="s">
        <v>919</v>
      </c>
      <c r="DQ13">
        <v>16</v>
      </c>
      <c r="DR13">
        <v>900</v>
      </c>
      <c r="DS13">
        <v>1620</v>
      </c>
      <c r="DT13">
        <v>14.783300000000001</v>
      </c>
      <c r="DU13">
        <v>4</v>
      </c>
      <c r="DV13">
        <v>1</v>
      </c>
      <c r="DW13">
        <v>2</v>
      </c>
      <c r="DX13" t="s">
        <v>596</v>
      </c>
      <c r="DY13" t="s">
        <v>1201</v>
      </c>
      <c r="DZ13">
        <v>1</v>
      </c>
      <c r="EA13">
        <v>1</v>
      </c>
      <c r="EB13">
        <v>1</v>
      </c>
      <c r="EC13">
        <v>0</v>
      </c>
      <c r="ED13">
        <v>0</v>
      </c>
      <c r="EE13">
        <v>1</v>
      </c>
      <c r="EF13" t="s">
        <v>920</v>
      </c>
      <c r="EG13" t="s">
        <v>595</v>
      </c>
      <c r="EH13" t="s">
        <v>921</v>
      </c>
      <c r="EI13" t="s">
        <v>921</v>
      </c>
      <c r="EJ13" t="s">
        <v>134</v>
      </c>
      <c r="EK13">
        <v>9090</v>
      </c>
      <c r="EL13">
        <v>0</v>
      </c>
      <c r="EM13" t="s">
        <v>873</v>
      </c>
      <c r="EN13">
        <v>1.7166999999999999</v>
      </c>
      <c r="EO13">
        <v>27</v>
      </c>
      <c r="EP13">
        <v>99991120</v>
      </c>
      <c r="EQ13" t="s">
        <v>874</v>
      </c>
      <c r="ER13" t="s">
        <v>875</v>
      </c>
      <c r="ES13" t="s">
        <v>876</v>
      </c>
      <c r="ET13" t="s">
        <v>877</v>
      </c>
      <c r="EU13" t="s">
        <v>877</v>
      </c>
      <c r="EV13" t="s">
        <v>920</v>
      </c>
      <c r="EX13" t="s">
        <v>836</v>
      </c>
      <c r="EY13" t="s">
        <v>873</v>
      </c>
      <c r="EZ13" t="s">
        <v>1211</v>
      </c>
      <c r="FA13" t="s">
        <v>1212</v>
      </c>
      <c r="FB13">
        <v>1</v>
      </c>
      <c r="FC13">
        <v>1</v>
      </c>
      <c r="FD13" s="41">
        <v>46221</v>
      </c>
      <c r="FE13" t="s">
        <v>1066</v>
      </c>
      <c r="FF13">
        <v>4</v>
      </c>
      <c r="FI13">
        <v>0</v>
      </c>
      <c r="FL13">
        <v>0</v>
      </c>
      <c r="FM13" t="s">
        <v>1213</v>
      </c>
      <c r="FN13" t="s">
        <v>1214</v>
      </c>
      <c r="FO13">
        <v>1</v>
      </c>
      <c r="FP13" t="s">
        <v>1215</v>
      </c>
      <c r="FQ13" t="s">
        <v>1216</v>
      </c>
      <c r="FR13">
        <v>1</v>
      </c>
      <c r="FS13" t="s">
        <v>1217</v>
      </c>
      <c r="FT13" t="s">
        <v>1218</v>
      </c>
      <c r="FU13">
        <v>1</v>
      </c>
      <c r="FV13" t="s">
        <v>1219</v>
      </c>
      <c r="FW13" t="s">
        <v>1220</v>
      </c>
      <c r="FX13">
        <v>1</v>
      </c>
      <c r="FY13" t="s">
        <v>890</v>
      </c>
      <c r="FZ13" t="s">
        <v>1221</v>
      </c>
      <c r="GA13" t="s">
        <v>1219</v>
      </c>
      <c r="GB13">
        <v>1</v>
      </c>
      <c r="GD13">
        <v>0</v>
      </c>
      <c r="GF13">
        <v>0</v>
      </c>
      <c r="GG13">
        <v>1</v>
      </c>
      <c r="GH13" t="s">
        <v>892</v>
      </c>
      <c r="GI13" t="s">
        <v>893</v>
      </c>
      <c r="GJ13" t="s">
        <v>1220</v>
      </c>
      <c r="GM13">
        <v>1</v>
      </c>
      <c r="GN13">
        <v>1</v>
      </c>
      <c r="GO13">
        <v>0</v>
      </c>
      <c r="GP13">
        <v>1</v>
      </c>
      <c r="GQ13">
        <v>1</v>
      </c>
      <c r="GR13">
        <v>0</v>
      </c>
      <c r="GS13">
        <v>1</v>
      </c>
      <c r="GT13">
        <v>0</v>
      </c>
      <c r="GU13">
        <v>1</v>
      </c>
      <c r="GV13">
        <v>0</v>
      </c>
      <c r="GW13">
        <v>1</v>
      </c>
      <c r="GX13">
        <v>0</v>
      </c>
      <c r="GY13">
        <v>1</v>
      </c>
      <c r="GZ13">
        <v>0</v>
      </c>
      <c r="HA13" t="s">
        <v>534</v>
      </c>
      <c r="HB13" t="s">
        <v>894</v>
      </c>
      <c r="HC13" t="s">
        <v>895</v>
      </c>
      <c r="HD13" t="s">
        <v>845</v>
      </c>
      <c r="HE13" t="s">
        <v>836</v>
      </c>
      <c r="HF13" t="s">
        <v>873</v>
      </c>
      <c r="HG13" t="s">
        <v>894</v>
      </c>
      <c r="HH13" t="s">
        <v>895</v>
      </c>
      <c r="HI13" t="s">
        <v>845</v>
      </c>
      <c r="HJ13" t="s">
        <v>836</v>
      </c>
      <c r="HK13" t="s">
        <v>873</v>
      </c>
      <c r="HL13" t="s">
        <v>136</v>
      </c>
      <c r="HM13" t="s">
        <v>854</v>
      </c>
      <c r="HN13">
        <v>36805</v>
      </c>
      <c r="HP13" t="s">
        <v>134</v>
      </c>
      <c r="HQ13" t="s">
        <v>896</v>
      </c>
      <c r="HR13" t="s">
        <v>896</v>
      </c>
      <c r="HS13" t="s">
        <v>896</v>
      </c>
    </row>
    <row r="14" spans="1:229" x14ac:dyDescent="0.2">
      <c r="A14">
        <v>8702</v>
      </c>
      <c r="B14">
        <v>7526401175</v>
      </c>
      <c r="C14" t="s">
        <v>829</v>
      </c>
      <c r="D14" t="s">
        <v>830</v>
      </c>
      <c r="E14" t="s">
        <v>897</v>
      </c>
      <c r="F14">
        <v>1</v>
      </c>
      <c r="G14" t="s">
        <v>1222</v>
      </c>
      <c r="H14" t="s">
        <v>1222</v>
      </c>
      <c r="I14">
        <v>0</v>
      </c>
      <c r="J14" t="s">
        <v>833</v>
      </c>
      <c r="K14" t="s">
        <v>834</v>
      </c>
      <c r="L14">
        <v>152858781</v>
      </c>
      <c r="M14" t="s">
        <v>1223</v>
      </c>
      <c r="N14" t="s">
        <v>900</v>
      </c>
      <c r="O14" t="s">
        <v>837</v>
      </c>
      <c r="P14" t="s">
        <v>838</v>
      </c>
      <c r="Q14" t="s">
        <v>901</v>
      </c>
      <c r="R14" t="s">
        <v>1224</v>
      </c>
      <c r="S14" t="s">
        <v>1225</v>
      </c>
      <c r="T14">
        <v>41477095626</v>
      </c>
      <c r="V14" t="s">
        <v>1226</v>
      </c>
      <c r="W14" s="41">
        <v>45922</v>
      </c>
      <c r="X14" t="s">
        <v>1227</v>
      </c>
      <c r="Y14" t="s">
        <v>1228</v>
      </c>
      <c r="AA14">
        <v>0</v>
      </c>
      <c r="AB14" t="s">
        <v>845</v>
      </c>
      <c r="AC14" t="s">
        <v>846</v>
      </c>
      <c r="AD14" t="s">
        <v>847</v>
      </c>
      <c r="AE14" t="s">
        <v>848</v>
      </c>
      <c r="AF14">
        <v>1</v>
      </c>
      <c r="AG14">
        <v>452210</v>
      </c>
      <c r="AH14" t="s">
        <v>849</v>
      </c>
      <c r="AI14" t="s">
        <v>850</v>
      </c>
      <c r="AJ14" t="s">
        <v>851</v>
      </c>
      <c r="AK14" t="s">
        <v>277</v>
      </c>
      <c r="AL14" t="s">
        <v>1229</v>
      </c>
      <c r="AM14" t="s">
        <v>1230</v>
      </c>
      <c r="AN14" t="s">
        <v>854</v>
      </c>
      <c r="AO14">
        <v>36805</v>
      </c>
      <c r="AP14">
        <v>925</v>
      </c>
      <c r="AQ14" t="s">
        <v>855</v>
      </c>
      <c r="AR14">
        <v>66125696</v>
      </c>
      <c r="AS14" t="s">
        <v>856</v>
      </c>
      <c r="AU14" t="s">
        <v>1231</v>
      </c>
      <c r="AV14" t="s">
        <v>1232</v>
      </c>
      <c r="AX14" t="s">
        <v>913</v>
      </c>
      <c r="AY14" t="s">
        <v>861</v>
      </c>
      <c r="AZ14" t="s">
        <v>277</v>
      </c>
      <c r="BA14" t="s">
        <v>278</v>
      </c>
      <c r="BB14">
        <v>0</v>
      </c>
      <c r="BC14">
        <v>1</v>
      </c>
      <c r="BD14">
        <v>0</v>
      </c>
      <c r="BE14" t="s">
        <v>1223</v>
      </c>
      <c r="BF14">
        <v>0</v>
      </c>
      <c r="BG14">
        <v>0</v>
      </c>
      <c r="BH14" t="s">
        <v>862</v>
      </c>
      <c r="BI14">
        <v>0</v>
      </c>
      <c r="BJ14" t="s">
        <v>862</v>
      </c>
      <c r="BK14">
        <v>1</v>
      </c>
      <c r="BL14">
        <v>1</v>
      </c>
      <c r="BM14">
        <v>0</v>
      </c>
      <c r="BN14" t="s">
        <v>596</v>
      </c>
      <c r="BO14">
        <v>152858781</v>
      </c>
      <c r="BP14" t="s">
        <v>1222</v>
      </c>
      <c r="BQ14">
        <v>41.5183374</v>
      </c>
      <c r="BR14">
        <v>42793649</v>
      </c>
      <c r="BS14">
        <v>-81.449530899999999</v>
      </c>
      <c r="BT14">
        <v>0</v>
      </c>
      <c r="CM14">
        <v>4010</v>
      </c>
      <c r="CO14">
        <v>7360</v>
      </c>
      <c r="CP14">
        <v>1.0166999999999999</v>
      </c>
      <c r="CQ14">
        <v>1.0166999999999999</v>
      </c>
      <c r="CR14">
        <v>2.0167000000000002</v>
      </c>
      <c r="CS14">
        <v>0</v>
      </c>
      <c r="CT14" t="s">
        <v>1233</v>
      </c>
      <c r="CU14" t="s">
        <v>1234</v>
      </c>
      <c r="CV14" t="s">
        <v>833</v>
      </c>
      <c r="CW14" t="s">
        <v>834</v>
      </c>
      <c r="CX14" t="s">
        <v>1223</v>
      </c>
      <c r="CY14">
        <v>1</v>
      </c>
      <c r="CZ14">
        <v>1</v>
      </c>
      <c r="DA14" t="s">
        <v>833</v>
      </c>
      <c r="DB14" t="s">
        <v>865</v>
      </c>
      <c r="DC14">
        <v>44124</v>
      </c>
      <c r="DD14">
        <v>12.533300000000001</v>
      </c>
      <c r="DE14" t="s">
        <v>866</v>
      </c>
      <c r="DG14" t="s">
        <v>867</v>
      </c>
      <c r="DH14" t="s">
        <v>851</v>
      </c>
      <c r="DI14" t="s">
        <v>1235</v>
      </c>
      <c r="DL14" t="s">
        <v>869</v>
      </c>
      <c r="DM14">
        <v>0</v>
      </c>
      <c r="DN14">
        <v>0</v>
      </c>
      <c r="DO14">
        <v>11</v>
      </c>
      <c r="DP14" t="s">
        <v>1010</v>
      </c>
      <c r="DQ14">
        <v>16</v>
      </c>
      <c r="DR14">
        <v>752</v>
      </c>
      <c r="DS14">
        <v>1472</v>
      </c>
      <c r="DT14">
        <v>9.2667000000000002</v>
      </c>
      <c r="DU14">
        <v>4</v>
      </c>
      <c r="DW14">
        <v>2</v>
      </c>
      <c r="DX14" t="s">
        <v>596</v>
      </c>
      <c r="DY14" t="s">
        <v>1223</v>
      </c>
      <c r="DZ14">
        <v>1</v>
      </c>
      <c r="EA14">
        <v>1</v>
      </c>
      <c r="EB14">
        <v>1</v>
      </c>
      <c r="EC14">
        <v>0</v>
      </c>
      <c r="ED14">
        <v>0</v>
      </c>
      <c r="EE14">
        <v>1</v>
      </c>
      <c r="EF14" t="s">
        <v>920</v>
      </c>
      <c r="EG14" t="s">
        <v>595</v>
      </c>
      <c r="EH14" t="s">
        <v>921</v>
      </c>
      <c r="EI14" t="s">
        <v>921</v>
      </c>
      <c r="EJ14" t="s">
        <v>226</v>
      </c>
      <c r="EK14">
        <v>9090</v>
      </c>
      <c r="EL14">
        <v>1</v>
      </c>
      <c r="EM14" t="s">
        <v>1157</v>
      </c>
      <c r="EN14">
        <v>2.0167000000000002</v>
      </c>
      <c r="EO14">
        <v>24.533333299999999</v>
      </c>
      <c r="EP14">
        <v>99991120</v>
      </c>
      <c r="EQ14" t="s">
        <v>874</v>
      </c>
      <c r="ER14" t="s">
        <v>875</v>
      </c>
      <c r="ES14" t="s">
        <v>876</v>
      </c>
      <c r="ET14" t="s">
        <v>877</v>
      </c>
      <c r="EU14" t="s">
        <v>877</v>
      </c>
      <c r="EV14" t="s">
        <v>920</v>
      </c>
      <c r="EX14" t="s">
        <v>953</v>
      </c>
      <c r="EY14" t="s">
        <v>986</v>
      </c>
      <c r="EZ14" t="s">
        <v>1236</v>
      </c>
      <c r="FA14" t="s">
        <v>956</v>
      </c>
      <c r="FB14">
        <v>1</v>
      </c>
      <c r="FC14">
        <v>2</v>
      </c>
      <c r="FD14" s="41">
        <v>45927</v>
      </c>
      <c r="FE14" t="s">
        <v>880</v>
      </c>
      <c r="FF14">
        <v>11</v>
      </c>
      <c r="FG14" t="s">
        <v>1237</v>
      </c>
      <c r="FH14" t="s">
        <v>1238</v>
      </c>
      <c r="FI14">
        <v>1</v>
      </c>
      <c r="FJ14" t="s">
        <v>1239</v>
      </c>
      <c r="FK14" t="s">
        <v>1240</v>
      </c>
      <c r="FL14">
        <v>1</v>
      </c>
      <c r="FM14" t="s">
        <v>1241</v>
      </c>
      <c r="FN14" t="s">
        <v>1242</v>
      </c>
      <c r="FO14">
        <v>1</v>
      </c>
      <c r="FP14" t="s">
        <v>1243</v>
      </c>
      <c r="FQ14" t="s">
        <v>1234</v>
      </c>
      <c r="FR14">
        <v>1</v>
      </c>
      <c r="FS14" t="s">
        <v>1244</v>
      </c>
      <c r="FT14" t="s">
        <v>1245</v>
      </c>
      <c r="FU14">
        <v>1</v>
      </c>
      <c r="FV14" t="s">
        <v>1246</v>
      </c>
      <c r="FW14" t="s">
        <v>1247</v>
      </c>
      <c r="FX14">
        <v>1</v>
      </c>
      <c r="FY14" t="s">
        <v>890</v>
      </c>
      <c r="FZ14" t="s">
        <v>1248</v>
      </c>
      <c r="GA14" t="s">
        <v>1237</v>
      </c>
      <c r="GB14">
        <v>1</v>
      </c>
      <c r="GD14">
        <v>0</v>
      </c>
      <c r="GF14">
        <v>0</v>
      </c>
      <c r="GG14">
        <v>1</v>
      </c>
      <c r="GH14" t="s">
        <v>892</v>
      </c>
      <c r="GI14" t="s">
        <v>893</v>
      </c>
      <c r="GJ14" t="s">
        <v>1238</v>
      </c>
      <c r="GM14">
        <v>1</v>
      </c>
      <c r="GN14">
        <v>0</v>
      </c>
      <c r="GO14">
        <v>0</v>
      </c>
      <c r="GP14">
        <v>1</v>
      </c>
      <c r="GQ14">
        <v>1</v>
      </c>
      <c r="GR14">
        <v>0</v>
      </c>
      <c r="GS14">
        <v>1</v>
      </c>
      <c r="GT14">
        <v>0</v>
      </c>
      <c r="GU14">
        <v>1</v>
      </c>
      <c r="GV14">
        <v>0</v>
      </c>
      <c r="GW14">
        <v>1</v>
      </c>
      <c r="GX14">
        <v>0</v>
      </c>
      <c r="GY14">
        <v>1</v>
      </c>
      <c r="GZ14">
        <v>0</v>
      </c>
      <c r="HA14" t="s">
        <v>277</v>
      </c>
      <c r="HB14" t="s">
        <v>894</v>
      </c>
      <c r="HC14" t="s">
        <v>935</v>
      </c>
      <c r="HD14" t="s">
        <v>845</v>
      </c>
      <c r="HE14" t="s">
        <v>900</v>
      </c>
      <c r="HF14" t="s">
        <v>923</v>
      </c>
      <c r="HG14" t="s">
        <v>894</v>
      </c>
      <c r="HH14" t="s">
        <v>935</v>
      </c>
      <c r="HI14" t="s">
        <v>845</v>
      </c>
      <c r="HJ14" t="s">
        <v>900</v>
      </c>
      <c r="HK14" t="s">
        <v>922</v>
      </c>
      <c r="HL14" t="s">
        <v>1226</v>
      </c>
      <c r="HM14" t="s">
        <v>854</v>
      </c>
      <c r="HN14">
        <v>36805</v>
      </c>
      <c r="HP14" t="s">
        <v>226</v>
      </c>
      <c r="HQ14" t="s">
        <v>896</v>
      </c>
      <c r="HR14" t="s">
        <v>896</v>
      </c>
      <c r="HS14" t="s">
        <v>896</v>
      </c>
    </row>
    <row r="15" spans="1:229" x14ac:dyDescent="0.2">
      <c r="A15">
        <v>8702</v>
      </c>
      <c r="B15">
        <v>7603603855</v>
      </c>
      <c r="C15" t="s">
        <v>829</v>
      </c>
      <c r="D15" t="s">
        <v>830</v>
      </c>
      <c r="E15" t="s">
        <v>831</v>
      </c>
      <c r="F15">
        <v>0</v>
      </c>
      <c r="G15" t="s">
        <v>1249</v>
      </c>
      <c r="H15" t="s">
        <v>1249</v>
      </c>
      <c r="I15">
        <v>0</v>
      </c>
      <c r="J15" t="s">
        <v>833</v>
      </c>
      <c r="K15" t="s">
        <v>834</v>
      </c>
      <c r="L15">
        <v>153524606</v>
      </c>
      <c r="M15" t="s">
        <v>1250</v>
      </c>
      <c r="N15" t="s">
        <v>836</v>
      </c>
      <c r="O15" t="s">
        <v>837</v>
      </c>
      <c r="P15" t="s">
        <v>838</v>
      </c>
      <c r="Q15" t="s">
        <v>1251</v>
      </c>
      <c r="R15" t="s">
        <v>1252</v>
      </c>
      <c r="S15" t="s">
        <v>1253</v>
      </c>
      <c r="T15">
        <v>41477092613</v>
      </c>
      <c r="V15" t="s">
        <v>1254</v>
      </c>
      <c r="W15" s="41">
        <v>46058</v>
      </c>
      <c r="X15" t="s">
        <v>1255</v>
      </c>
      <c r="Y15" t="s">
        <v>1256</v>
      </c>
      <c r="AA15">
        <v>0</v>
      </c>
      <c r="AB15" t="s">
        <v>845</v>
      </c>
      <c r="AC15" t="s">
        <v>846</v>
      </c>
      <c r="AD15" t="s">
        <v>1113</v>
      </c>
      <c r="AE15" t="s">
        <v>1114</v>
      </c>
      <c r="AF15">
        <v>1</v>
      </c>
      <c r="AG15">
        <v>452210</v>
      </c>
      <c r="AH15" t="s">
        <v>849</v>
      </c>
      <c r="AI15" t="s">
        <v>850</v>
      </c>
      <c r="AJ15" t="s">
        <v>851</v>
      </c>
      <c r="AK15" t="s">
        <v>253</v>
      </c>
      <c r="AL15" t="s">
        <v>1257</v>
      </c>
      <c r="AM15" t="s">
        <v>1258</v>
      </c>
      <c r="AN15" t="s">
        <v>854</v>
      </c>
      <c r="AO15">
        <v>36805</v>
      </c>
      <c r="AP15">
        <v>546</v>
      </c>
      <c r="AQ15" t="s">
        <v>855</v>
      </c>
      <c r="AR15">
        <v>66321578</v>
      </c>
      <c r="AS15" t="s">
        <v>856</v>
      </c>
      <c r="AU15" t="s">
        <v>1259</v>
      </c>
      <c r="AV15" t="s">
        <v>1260</v>
      </c>
      <c r="AW15" t="s">
        <v>1261</v>
      </c>
      <c r="AX15" t="s">
        <v>1262</v>
      </c>
      <c r="AY15" t="s">
        <v>861</v>
      </c>
      <c r="AZ15" t="s">
        <v>253</v>
      </c>
      <c r="BA15" t="s">
        <v>254</v>
      </c>
      <c r="BB15">
        <v>0</v>
      </c>
      <c r="BC15">
        <v>0</v>
      </c>
      <c r="BD15">
        <v>0</v>
      </c>
      <c r="BE15" t="s">
        <v>1250</v>
      </c>
      <c r="BF15">
        <v>0</v>
      </c>
      <c r="BG15">
        <v>0</v>
      </c>
      <c r="BH15" t="s">
        <v>862</v>
      </c>
      <c r="BI15">
        <v>0</v>
      </c>
      <c r="BJ15" t="s">
        <v>862</v>
      </c>
      <c r="BK15">
        <v>1</v>
      </c>
      <c r="BL15">
        <v>0</v>
      </c>
      <c r="BM15">
        <v>0</v>
      </c>
      <c r="BN15" t="s">
        <v>596</v>
      </c>
      <c r="BO15">
        <v>153524606</v>
      </c>
      <c r="BP15" t="s">
        <v>1249</v>
      </c>
      <c r="BR15">
        <v>42791462</v>
      </c>
      <c r="BT15">
        <v>2</v>
      </c>
      <c r="BU15" t="s">
        <v>1263</v>
      </c>
      <c r="CE15">
        <v>1</v>
      </c>
      <c r="CI15">
        <v>11</v>
      </c>
      <c r="CJ15" t="s">
        <v>94</v>
      </c>
      <c r="CM15">
        <v>4010</v>
      </c>
      <c r="CO15">
        <v>7360</v>
      </c>
      <c r="CP15">
        <v>0.4</v>
      </c>
      <c r="CQ15">
        <v>0.4</v>
      </c>
      <c r="CR15">
        <v>0.2</v>
      </c>
      <c r="CS15">
        <v>2</v>
      </c>
      <c r="CT15" t="s">
        <v>1264</v>
      </c>
      <c r="CU15" t="s">
        <v>1265</v>
      </c>
      <c r="CV15" t="s">
        <v>833</v>
      </c>
      <c r="CW15" t="s">
        <v>834</v>
      </c>
      <c r="CX15" t="s">
        <v>1250</v>
      </c>
      <c r="CY15">
        <v>0</v>
      </c>
      <c r="CZ15">
        <v>0</v>
      </c>
      <c r="DA15" t="s">
        <v>833</v>
      </c>
      <c r="DB15" t="s">
        <v>865</v>
      </c>
      <c r="DC15">
        <v>55447</v>
      </c>
      <c r="DD15">
        <v>2.0333000000000001</v>
      </c>
      <c r="DE15" t="s">
        <v>866</v>
      </c>
      <c r="DG15" t="s">
        <v>867</v>
      </c>
      <c r="DH15" t="s">
        <v>851</v>
      </c>
      <c r="DI15" t="s">
        <v>1266</v>
      </c>
      <c r="DK15" t="s">
        <v>918</v>
      </c>
      <c r="DL15" t="s">
        <v>869</v>
      </c>
      <c r="DM15">
        <v>0</v>
      </c>
      <c r="DN15">
        <v>0</v>
      </c>
      <c r="DO15">
        <v>3</v>
      </c>
      <c r="DP15" t="s">
        <v>919</v>
      </c>
      <c r="DQ15">
        <v>0</v>
      </c>
      <c r="DR15">
        <v>122</v>
      </c>
      <c r="DS15">
        <v>122</v>
      </c>
      <c r="DT15">
        <v>1.6333</v>
      </c>
      <c r="DU15">
        <v>0</v>
      </c>
      <c r="DV15">
        <v>1</v>
      </c>
      <c r="DW15">
        <v>2</v>
      </c>
      <c r="DX15" t="s">
        <v>594</v>
      </c>
      <c r="DY15" t="s">
        <v>1250</v>
      </c>
      <c r="DZ15">
        <v>1</v>
      </c>
      <c r="EA15">
        <v>1</v>
      </c>
      <c r="EB15">
        <v>1</v>
      </c>
      <c r="EC15">
        <v>1</v>
      </c>
      <c r="ED15">
        <v>1</v>
      </c>
      <c r="EE15">
        <v>1</v>
      </c>
      <c r="EF15" t="s">
        <v>871</v>
      </c>
      <c r="EG15" t="s">
        <v>595</v>
      </c>
      <c r="EH15" t="s">
        <v>872</v>
      </c>
      <c r="EI15" t="s">
        <v>872</v>
      </c>
      <c r="EJ15" t="s">
        <v>159</v>
      </c>
      <c r="EK15">
        <v>9090</v>
      </c>
      <c r="EL15">
        <v>0</v>
      </c>
      <c r="EM15" t="s">
        <v>873</v>
      </c>
      <c r="EN15">
        <v>0.2</v>
      </c>
      <c r="EO15">
        <v>2.0333332999999998</v>
      </c>
      <c r="EP15">
        <v>99991120</v>
      </c>
      <c r="EQ15" t="s">
        <v>874</v>
      </c>
      <c r="ER15" t="s">
        <v>875</v>
      </c>
      <c r="ES15" t="s">
        <v>876</v>
      </c>
      <c r="ET15" t="s">
        <v>877</v>
      </c>
      <c r="EU15" t="s">
        <v>877</v>
      </c>
      <c r="EV15" t="s">
        <v>871</v>
      </c>
      <c r="EX15" t="s">
        <v>836</v>
      </c>
      <c r="EY15" t="s">
        <v>1121</v>
      </c>
      <c r="EZ15" t="s">
        <v>1122</v>
      </c>
      <c r="FA15" t="s">
        <v>956</v>
      </c>
      <c r="FB15">
        <v>1</v>
      </c>
      <c r="FC15">
        <v>1</v>
      </c>
      <c r="FD15" s="41">
        <v>46060</v>
      </c>
      <c r="FE15" t="s">
        <v>1267</v>
      </c>
      <c r="FF15">
        <v>5</v>
      </c>
      <c r="FI15">
        <v>0</v>
      </c>
      <c r="FJ15" t="s">
        <v>1268</v>
      </c>
      <c r="FK15" t="s">
        <v>1269</v>
      </c>
      <c r="FL15">
        <v>1</v>
      </c>
      <c r="FM15" t="s">
        <v>1270</v>
      </c>
      <c r="FN15" t="s">
        <v>1271</v>
      </c>
      <c r="FO15">
        <v>1</v>
      </c>
      <c r="FP15" t="s">
        <v>1272</v>
      </c>
      <c r="FQ15" t="s">
        <v>1265</v>
      </c>
      <c r="FR15">
        <v>1</v>
      </c>
      <c r="FS15" t="s">
        <v>1273</v>
      </c>
      <c r="FT15" t="s">
        <v>1274</v>
      </c>
      <c r="FU15">
        <v>1</v>
      </c>
      <c r="FV15" t="s">
        <v>1275</v>
      </c>
      <c r="FW15" t="s">
        <v>1269</v>
      </c>
      <c r="FX15">
        <v>1</v>
      </c>
      <c r="FY15" t="s">
        <v>890</v>
      </c>
      <c r="FZ15" t="s">
        <v>1276</v>
      </c>
      <c r="GA15" t="s">
        <v>1268</v>
      </c>
      <c r="GB15">
        <v>1</v>
      </c>
      <c r="GD15">
        <v>0</v>
      </c>
      <c r="GF15">
        <v>0</v>
      </c>
      <c r="GG15">
        <v>1</v>
      </c>
      <c r="GH15" t="s">
        <v>892</v>
      </c>
      <c r="GI15" t="s">
        <v>893</v>
      </c>
      <c r="GJ15" t="s">
        <v>1269</v>
      </c>
      <c r="GM15">
        <v>1</v>
      </c>
      <c r="GN15">
        <v>1</v>
      </c>
      <c r="GO15">
        <v>0</v>
      </c>
      <c r="GP15">
        <v>1</v>
      </c>
      <c r="GQ15">
        <v>1</v>
      </c>
      <c r="GR15">
        <v>0</v>
      </c>
      <c r="GS15">
        <v>1</v>
      </c>
      <c r="GT15">
        <v>0</v>
      </c>
      <c r="GU15">
        <v>1</v>
      </c>
      <c r="GV15">
        <v>0</v>
      </c>
      <c r="GW15">
        <v>1</v>
      </c>
      <c r="GX15">
        <v>0</v>
      </c>
      <c r="GY15">
        <v>1</v>
      </c>
      <c r="GZ15">
        <v>0</v>
      </c>
      <c r="HA15" t="s">
        <v>253</v>
      </c>
      <c r="HB15" t="s">
        <v>894</v>
      </c>
      <c r="HC15" t="s">
        <v>895</v>
      </c>
      <c r="HD15" t="s">
        <v>845</v>
      </c>
      <c r="HE15" t="s">
        <v>836</v>
      </c>
      <c r="HF15" t="s">
        <v>873</v>
      </c>
      <c r="HG15" t="s">
        <v>894</v>
      </c>
      <c r="HH15" t="s">
        <v>895</v>
      </c>
      <c r="HI15" t="s">
        <v>845</v>
      </c>
      <c r="HJ15" t="s">
        <v>836</v>
      </c>
      <c r="HK15" t="s">
        <v>873</v>
      </c>
      <c r="HL15" t="s">
        <v>1254</v>
      </c>
      <c r="HM15" t="s">
        <v>854</v>
      </c>
      <c r="HN15">
        <v>36805</v>
      </c>
      <c r="HP15" t="s">
        <v>159</v>
      </c>
      <c r="HQ15" t="s">
        <v>896</v>
      </c>
      <c r="HR15" t="s">
        <v>896</v>
      </c>
      <c r="HS15" t="s">
        <v>896</v>
      </c>
    </row>
    <row r="16" spans="1:229" x14ac:dyDescent="0.2">
      <c r="A16">
        <v>8702</v>
      </c>
      <c r="B16">
        <v>7610405508</v>
      </c>
      <c r="C16" t="s">
        <v>829</v>
      </c>
      <c r="D16" t="s">
        <v>830</v>
      </c>
      <c r="E16" t="s">
        <v>897</v>
      </c>
      <c r="F16">
        <v>0</v>
      </c>
      <c r="G16" t="s">
        <v>1277</v>
      </c>
      <c r="H16" t="s">
        <v>1277</v>
      </c>
      <c r="I16">
        <v>0</v>
      </c>
      <c r="J16" t="s">
        <v>833</v>
      </c>
      <c r="K16" t="s">
        <v>834</v>
      </c>
      <c r="L16">
        <v>153524555</v>
      </c>
      <c r="M16" t="s">
        <v>1278</v>
      </c>
      <c r="N16" t="s">
        <v>900</v>
      </c>
      <c r="O16" t="s">
        <v>837</v>
      </c>
      <c r="P16" t="s">
        <v>838</v>
      </c>
      <c r="Q16" t="s">
        <v>1279</v>
      </c>
      <c r="R16" t="s">
        <v>1280</v>
      </c>
      <c r="S16" t="s">
        <v>1281</v>
      </c>
      <c r="T16">
        <v>41477084573</v>
      </c>
      <c r="V16" t="s">
        <v>1282</v>
      </c>
      <c r="W16" s="41">
        <v>46126</v>
      </c>
      <c r="X16" t="s">
        <v>1283</v>
      </c>
      <c r="Y16" t="s">
        <v>1284</v>
      </c>
      <c r="AA16">
        <v>0</v>
      </c>
      <c r="AB16" t="s">
        <v>845</v>
      </c>
      <c r="AC16" t="s">
        <v>846</v>
      </c>
      <c r="AD16" t="s">
        <v>1113</v>
      </c>
      <c r="AE16" t="s">
        <v>1114</v>
      </c>
      <c r="AF16">
        <v>1</v>
      </c>
      <c r="AG16">
        <v>452210</v>
      </c>
      <c r="AH16" t="s">
        <v>849</v>
      </c>
      <c r="AI16" t="s">
        <v>850</v>
      </c>
      <c r="AJ16" t="s">
        <v>851</v>
      </c>
      <c r="AK16" t="s">
        <v>363</v>
      </c>
      <c r="AL16" t="s">
        <v>1285</v>
      </c>
      <c r="AM16" t="s">
        <v>1286</v>
      </c>
      <c r="AN16" t="s">
        <v>854</v>
      </c>
      <c r="AO16">
        <v>36805</v>
      </c>
      <c r="AP16">
        <v>497</v>
      </c>
      <c r="AQ16" t="s">
        <v>855</v>
      </c>
      <c r="AR16">
        <v>66419300</v>
      </c>
      <c r="AS16" t="s">
        <v>856</v>
      </c>
      <c r="AU16" t="s">
        <v>1287</v>
      </c>
      <c r="AV16" t="s">
        <v>1288</v>
      </c>
      <c r="AX16" t="s">
        <v>913</v>
      </c>
      <c r="AY16" t="s">
        <v>861</v>
      </c>
      <c r="AZ16" t="s">
        <v>363</v>
      </c>
      <c r="BA16" t="s">
        <v>364</v>
      </c>
      <c r="BB16">
        <v>0</v>
      </c>
      <c r="BC16">
        <v>0</v>
      </c>
      <c r="BD16">
        <v>0</v>
      </c>
      <c r="BE16" t="s">
        <v>1278</v>
      </c>
      <c r="BF16">
        <v>0</v>
      </c>
      <c r="BG16">
        <v>0</v>
      </c>
      <c r="BH16" t="s">
        <v>862</v>
      </c>
      <c r="BI16">
        <v>0</v>
      </c>
      <c r="BJ16" t="s">
        <v>862</v>
      </c>
      <c r="BK16">
        <v>1</v>
      </c>
      <c r="BL16">
        <v>1</v>
      </c>
      <c r="BM16">
        <v>0</v>
      </c>
      <c r="BN16" t="s">
        <v>596</v>
      </c>
      <c r="BO16">
        <v>153524555</v>
      </c>
      <c r="BP16" t="s">
        <v>1277</v>
      </c>
      <c r="BR16">
        <v>42791323</v>
      </c>
      <c r="BT16">
        <v>2</v>
      </c>
      <c r="BU16" t="s">
        <v>1119</v>
      </c>
      <c r="BY16">
        <v>12</v>
      </c>
      <c r="CA16">
        <v>2</v>
      </c>
      <c r="CE16">
        <v>1</v>
      </c>
      <c r="CI16">
        <v>11</v>
      </c>
      <c r="CJ16" t="s">
        <v>94</v>
      </c>
      <c r="CM16">
        <v>4010</v>
      </c>
      <c r="CO16">
        <v>7360</v>
      </c>
      <c r="CP16">
        <v>0.55000000000000004</v>
      </c>
      <c r="CQ16">
        <v>0.55000000000000004</v>
      </c>
      <c r="CR16">
        <v>0.86670000000000003</v>
      </c>
      <c r="CS16">
        <v>19</v>
      </c>
      <c r="CT16" t="s">
        <v>1289</v>
      </c>
      <c r="CU16" t="s">
        <v>1290</v>
      </c>
      <c r="CV16" t="s">
        <v>833</v>
      </c>
      <c r="CW16" t="s">
        <v>834</v>
      </c>
      <c r="CX16" t="s">
        <v>1278</v>
      </c>
      <c r="CY16">
        <v>0</v>
      </c>
      <c r="CZ16">
        <v>0</v>
      </c>
      <c r="DA16" t="s">
        <v>833</v>
      </c>
      <c r="DB16" t="s">
        <v>865</v>
      </c>
      <c r="DC16">
        <v>15236</v>
      </c>
      <c r="DD16">
        <v>1.7833000000000001</v>
      </c>
      <c r="DE16" t="s">
        <v>866</v>
      </c>
      <c r="DG16" t="s">
        <v>867</v>
      </c>
      <c r="DH16" t="s">
        <v>851</v>
      </c>
      <c r="DI16" t="s">
        <v>1291</v>
      </c>
      <c r="DK16" t="s">
        <v>918</v>
      </c>
      <c r="DL16" t="s">
        <v>869</v>
      </c>
      <c r="DM16">
        <v>0</v>
      </c>
      <c r="DN16">
        <v>0</v>
      </c>
      <c r="DO16">
        <v>3</v>
      </c>
      <c r="DP16" t="s">
        <v>919</v>
      </c>
      <c r="DQ16">
        <v>0</v>
      </c>
      <c r="DR16">
        <v>107</v>
      </c>
      <c r="DS16">
        <v>107</v>
      </c>
      <c r="DT16">
        <v>1.2333000000000001</v>
      </c>
      <c r="DU16">
        <v>0</v>
      </c>
      <c r="DV16">
        <v>1</v>
      </c>
      <c r="DW16">
        <v>1</v>
      </c>
      <c r="DX16" t="s">
        <v>596</v>
      </c>
      <c r="DY16" t="s">
        <v>1278</v>
      </c>
      <c r="DZ16">
        <v>1</v>
      </c>
      <c r="EA16">
        <v>1</v>
      </c>
      <c r="EB16">
        <v>1</v>
      </c>
      <c r="EC16">
        <v>1</v>
      </c>
      <c r="ED16">
        <v>1</v>
      </c>
      <c r="EE16">
        <v>1</v>
      </c>
      <c r="EF16" t="s">
        <v>920</v>
      </c>
      <c r="EG16" t="s">
        <v>595</v>
      </c>
      <c r="EH16" t="s">
        <v>1036</v>
      </c>
      <c r="EI16" t="s">
        <v>1036</v>
      </c>
      <c r="EJ16" t="s">
        <v>124</v>
      </c>
      <c r="EK16">
        <v>9090</v>
      </c>
      <c r="EL16">
        <v>0</v>
      </c>
      <c r="EM16" t="s">
        <v>923</v>
      </c>
      <c r="EN16">
        <v>0.86670000000000003</v>
      </c>
      <c r="EO16">
        <v>1.7833333</v>
      </c>
      <c r="EP16">
        <v>99991120</v>
      </c>
      <c r="EQ16" t="s">
        <v>874</v>
      </c>
      <c r="ER16" t="s">
        <v>875</v>
      </c>
      <c r="ES16" t="s">
        <v>876</v>
      </c>
      <c r="ET16" t="s">
        <v>877</v>
      </c>
      <c r="EU16" t="s">
        <v>877</v>
      </c>
      <c r="EV16" t="s">
        <v>920</v>
      </c>
      <c r="EX16" t="s">
        <v>953</v>
      </c>
      <c r="EY16" t="s">
        <v>1292</v>
      </c>
      <c r="EZ16" t="s">
        <v>1293</v>
      </c>
      <c r="FA16" t="s">
        <v>925</v>
      </c>
      <c r="FB16">
        <v>1</v>
      </c>
      <c r="FC16">
        <v>1</v>
      </c>
      <c r="FD16" s="41">
        <v>46130</v>
      </c>
      <c r="FE16" t="s">
        <v>1123</v>
      </c>
      <c r="FF16">
        <v>4</v>
      </c>
      <c r="FI16">
        <v>0</v>
      </c>
      <c r="FL16">
        <v>0</v>
      </c>
      <c r="FM16" t="s">
        <v>1294</v>
      </c>
      <c r="FN16" t="s">
        <v>1295</v>
      </c>
      <c r="FO16">
        <v>1</v>
      </c>
      <c r="FP16" t="s">
        <v>1296</v>
      </c>
      <c r="FQ16" t="s">
        <v>1290</v>
      </c>
      <c r="FR16">
        <v>1</v>
      </c>
      <c r="FS16" t="s">
        <v>1297</v>
      </c>
      <c r="FT16" t="s">
        <v>1298</v>
      </c>
      <c r="FU16">
        <v>1</v>
      </c>
      <c r="FV16" t="s">
        <v>1299</v>
      </c>
      <c r="FW16" t="s">
        <v>1300</v>
      </c>
      <c r="FX16">
        <v>1</v>
      </c>
      <c r="FY16" t="s">
        <v>890</v>
      </c>
      <c r="FZ16" t="s">
        <v>1301</v>
      </c>
      <c r="GA16" t="s">
        <v>1299</v>
      </c>
      <c r="GB16">
        <v>1</v>
      </c>
      <c r="GD16">
        <v>0</v>
      </c>
      <c r="GF16">
        <v>0</v>
      </c>
      <c r="GG16">
        <v>1</v>
      </c>
      <c r="GH16" t="s">
        <v>892</v>
      </c>
      <c r="GI16" t="s">
        <v>893</v>
      </c>
      <c r="GJ16" t="s">
        <v>1300</v>
      </c>
      <c r="GM16">
        <v>1</v>
      </c>
      <c r="GN16">
        <v>1</v>
      </c>
      <c r="GO16">
        <v>0</v>
      </c>
      <c r="GP16">
        <v>1</v>
      </c>
      <c r="GQ16">
        <v>1</v>
      </c>
      <c r="GR16">
        <v>0</v>
      </c>
      <c r="GS16">
        <v>1</v>
      </c>
      <c r="GT16">
        <v>0</v>
      </c>
      <c r="GU16">
        <v>1</v>
      </c>
      <c r="GV16">
        <v>0</v>
      </c>
      <c r="GW16">
        <v>1</v>
      </c>
      <c r="GX16">
        <v>0</v>
      </c>
      <c r="GY16">
        <v>1</v>
      </c>
      <c r="GZ16">
        <v>0</v>
      </c>
      <c r="HA16" t="s">
        <v>363</v>
      </c>
      <c r="HB16" t="s">
        <v>894</v>
      </c>
      <c r="HC16" t="s">
        <v>935</v>
      </c>
      <c r="HD16" t="s">
        <v>845</v>
      </c>
      <c r="HE16" t="s">
        <v>900</v>
      </c>
      <c r="HF16" t="s">
        <v>923</v>
      </c>
      <c r="HG16" t="s">
        <v>894</v>
      </c>
      <c r="HH16" t="s">
        <v>935</v>
      </c>
      <c r="HI16" t="s">
        <v>845</v>
      </c>
      <c r="HJ16" t="s">
        <v>900</v>
      </c>
      <c r="HK16" t="s">
        <v>923</v>
      </c>
      <c r="HL16" t="s">
        <v>1282</v>
      </c>
      <c r="HM16" t="s">
        <v>854</v>
      </c>
      <c r="HN16">
        <v>36805</v>
      </c>
      <c r="HP16" t="s">
        <v>124</v>
      </c>
      <c r="HQ16" t="s">
        <v>896</v>
      </c>
      <c r="HR16" t="s">
        <v>896</v>
      </c>
      <c r="HS16" t="s">
        <v>896</v>
      </c>
    </row>
    <row r="17" spans="1:227" x14ac:dyDescent="0.2">
      <c r="A17">
        <v>8702</v>
      </c>
      <c r="B17">
        <v>7617903140</v>
      </c>
      <c r="C17">
        <v>36</v>
      </c>
      <c r="D17" t="s">
        <v>1302</v>
      </c>
      <c r="E17" t="s">
        <v>831</v>
      </c>
      <c r="F17">
        <v>1</v>
      </c>
      <c r="G17" t="s">
        <v>1303</v>
      </c>
      <c r="H17" t="s">
        <v>1303</v>
      </c>
      <c r="I17">
        <v>0</v>
      </c>
      <c r="J17" t="s">
        <v>833</v>
      </c>
      <c r="K17" t="s">
        <v>834</v>
      </c>
      <c r="L17">
        <v>153524529</v>
      </c>
      <c r="M17" t="s">
        <v>1304</v>
      </c>
      <c r="N17" t="s">
        <v>836</v>
      </c>
      <c r="O17" t="s">
        <v>837</v>
      </c>
      <c r="P17" t="s">
        <v>1302</v>
      </c>
      <c r="Q17" t="s">
        <v>1305</v>
      </c>
      <c r="R17" t="s">
        <v>1306</v>
      </c>
      <c r="S17" t="s">
        <v>1307</v>
      </c>
      <c r="T17">
        <v>41477127062</v>
      </c>
      <c r="V17" t="s">
        <v>1003</v>
      </c>
      <c r="W17" s="41">
        <v>46201</v>
      </c>
      <c r="X17" t="s">
        <v>1308</v>
      </c>
      <c r="Y17" t="s">
        <v>1309</v>
      </c>
      <c r="AA17">
        <v>0</v>
      </c>
      <c r="AB17" t="s">
        <v>845</v>
      </c>
      <c r="AC17" t="s">
        <v>846</v>
      </c>
      <c r="AD17" t="s">
        <v>907</v>
      </c>
      <c r="AE17" t="s">
        <v>908</v>
      </c>
      <c r="AF17">
        <v>1</v>
      </c>
      <c r="AG17">
        <v>452210</v>
      </c>
      <c r="AH17" t="s">
        <v>849</v>
      </c>
      <c r="AI17" t="s">
        <v>850</v>
      </c>
      <c r="AJ17" t="s">
        <v>851</v>
      </c>
      <c r="AK17" t="s">
        <v>451</v>
      </c>
      <c r="AL17" t="s">
        <v>1310</v>
      </c>
      <c r="AM17" t="s">
        <v>1311</v>
      </c>
      <c r="AN17" t="s">
        <v>854</v>
      </c>
      <c r="AO17">
        <v>36805</v>
      </c>
      <c r="AP17">
        <v>541</v>
      </c>
      <c r="AQ17" t="s">
        <v>855</v>
      </c>
      <c r="AR17">
        <v>66527526</v>
      </c>
      <c r="AS17" t="s">
        <v>856</v>
      </c>
      <c r="AU17" t="s">
        <v>1312</v>
      </c>
      <c r="AV17" t="s">
        <v>1313</v>
      </c>
      <c r="AX17" t="s">
        <v>913</v>
      </c>
      <c r="AY17" t="s">
        <v>861</v>
      </c>
      <c r="AZ17" t="s">
        <v>451</v>
      </c>
      <c r="BA17" t="s">
        <v>398</v>
      </c>
      <c r="BB17">
        <v>0</v>
      </c>
      <c r="BC17">
        <v>0</v>
      </c>
      <c r="BD17">
        <v>0</v>
      </c>
      <c r="BE17" t="s">
        <v>1304</v>
      </c>
      <c r="BF17">
        <v>0</v>
      </c>
      <c r="BG17">
        <v>0</v>
      </c>
      <c r="BH17" t="s">
        <v>862</v>
      </c>
      <c r="BI17">
        <v>0</v>
      </c>
      <c r="BJ17" t="s">
        <v>862</v>
      </c>
      <c r="BK17">
        <v>1</v>
      </c>
      <c r="BL17">
        <v>1</v>
      </c>
      <c r="BM17">
        <v>0</v>
      </c>
      <c r="BN17" t="s">
        <v>596</v>
      </c>
      <c r="BO17">
        <v>153524529</v>
      </c>
      <c r="BP17" t="s">
        <v>1303</v>
      </c>
      <c r="BR17">
        <v>42791455</v>
      </c>
      <c r="BT17">
        <v>2</v>
      </c>
      <c r="BU17" t="s">
        <v>1314</v>
      </c>
      <c r="BY17">
        <v>16</v>
      </c>
      <c r="CA17">
        <v>7</v>
      </c>
      <c r="CE17">
        <v>1</v>
      </c>
      <c r="CI17">
        <v>11</v>
      </c>
      <c r="CJ17" t="s">
        <v>94</v>
      </c>
      <c r="CM17">
        <v>4010</v>
      </c>
      <c r="CO17">
        <v>7360</v>
      </c>
      <c r="CP17">
        <v>0.81669999999999998</v>
      </c>
      <c r="CQ17">
        <v>0.81669999999999998</v>
      </c>
      <c r="CR17">
        <v>1.9666999999999999</v>
      </c>
      <c r="CS17">
        <v>4</v>
      </c>
      <c r="CT17" t="s">
        <v>1313</v>
      </c>
      <c r="CU17" t="s">
        <v>1312</v>
      </c>
      <c r="CV17" t="s">
        <v>833</v>
      </c>
      <c r="CW17" t="s">
        <v>834</v>
      </c>
      <c r="CX17" t="s">
        <v>1304</v>
      </c>
      <c r="CY17">
        <v>0</v>
      </c>
      <c r="CZ17">
        <v>0</v>
      </c>
      <c r="DA17" t="s">
        <v>833</v>
      </c>
      <c r="DB17" t="s">
        <v>865</v>
      </c>
      <c r="DC17">
        <v>55431</v>
      </c>
      <c r="DD17">
        <v>7.1666999999999996</v>
      </c>
      <c r="DE17" t="s">
        <v>866</v>
      </c>
      <c r="DG17" t="s">
        <v>867</v>
      </c>
      <c r="DH17" t="s">
        <v>851</v>
      </c>
      <c r="DI17" t="s">
        <v>1291</v>
      </c>
      <c r="DK17" t="s">
        <v>918</v>
      </c>
      <c r="DL17" t="s">
        <v>869</v>
      </c>
      <c r="DM17">
        <v>0</v>
      </c>
      <c r="DN17">
        <v>0</v>
      </c>
      <c r="DO17">
        <v>2</v>
      </c>
      <c r="DP17" t="s">
        <v>870</v>
      </c>
      <c r="DQ17">
        <v>16</v>
      </c>
      <c r="DR17">
        <v>430</v>
      </c>
      <c r="DS17">
        <v>430</v>
      </c>
      <c r="DT17">
        <v>6.35</v>
      </c>
      <c r="DU17">
        <v>4</v>
      </c>
      <c r="DV17">
        <v>1</v>
      </c>
      <c r="DW17">
        <v>2</v>
      </c>
      <c r="DX17" t="s">
        <v>596</v>
      </c>
      <c r="DY17" t="s">
        <v>1304</v>
      </c>
      <c r="DZ17">
        <v>1</v>
      </c>
      <c r="EA17">
        <v>1</v>
      </c>
      <c r="EB17">
        <v>1</v>
      </c>
      <c r="EC17">
        <v>0</v>
      </c>
      <c r="ED17">
        <v>0</v>
      </c>
      <c r="EE17">
        <v>1</v>
      </c>
      <c r="EF17" t="s">
        <v>920</v>
      </c>
      <c r="EG17" t="s">
        <v>595</v>
      </c>
      <c r="EH17" t="s">
        <v>921</v>
      </c>
      <c r="EI17" t="s">
        <v>921</v>
      </c>
      <c r="EJ17" t="s">
        <v>159</v>
      </c>
      <c r="EK17">
        <v>9090</v>
      </c>
      <c r="EL17">
        <v>0</v>
      </c>
      <c r="EM17" t="s">
        <v>873</v>
      </c>
      <c r="EN17">
        <v>2.6833</v>
      </c>
      <c r="EO17">
        <v>7.1666667000000004</v>
      </c>
      <c r="EP17">
        <v>99991120</v>
      </c>
      <c r="EQ17" t="s">
        <v>874</v>
      </c>
      <c r="ER17" t="s">
        <v>875</v>
      </c>
      <c r="ES17" t="s">
        <v>876</v>
      </c>
      <c r="ET17" t="s">
        <v>877</v>
      </c>
      <c r="EU17" t="s">
        <v>877</v>
      </c>
      <c r="EV17" t="s">
        <v>920</v>
      </c>
      <c r="EX17" t="s">
        <v>836</v>
      </c>
      <c r="EY17" t="s">
        <v>873</v>
      </c>
      <c r="EZ17" t="s">
        <v>1122</v>
      </c>
      <c r="FA17" t="s">
        <v>956</v>
      </c>
      <c r="FB17">
        <v>1</v>
      </c>
      <c r="FC17">
        <v>1</v>
      </c>
      <c r="FD17" s="41">
        <v>46207</v>
      </c>
      <c r="FE17" t="s">
        <v>1315</v>
      </c>
      <c r="FF17">
        <v>6</v>
      </c>
      <c r="FG17" t="s">
        <v>1316</v>
      </c>
      <c r="FH17" t="s">
        <v>1317</v>
      </c>
      <c r="FI17">
        <v>1</v>
      </c>
      <c r="FJ17" t="s">
        <v>1318</v>
      </c>
      <c r="FK17" t="s">
        <v>1319</v>
      </c>
      <c r="FL17">
        <v>1</v>
      </c>
      <c r="FM17" t="s">
        <v>1320</v>
      </c>
      <c r="FN17" t="s">
        <v>1321</v>
      </c>
      <c r="FO17">
        <v>1</v>
      </c>
      <c r="FP17" t="s">
        <v>1322</v>
      </c>
      <c r="FQ17" t="s">
        <v>1312</v>
      </c>
      <c r="FR17">
        <v>1</v>
      </c>
      <c r="FS17" t="s">
        <v>1323</v>
      </c>
      <c r="FT17" t="s">
        <v>1324</v>
      </c>
      <c r="FU17">
        <v>1</v>
      </c>
      <c r="FV17" t="s">
        <v>1325</v>
      </c>
      <c r="FW17" t="s">
        <v>1326</v>
      </c>
      <c r="FX17">
        <v>1</v>
      </c>
      <c r="FY17" t="s">
        <v>890</v>
      </c>
      <c r="FZ17" t="s">
        <v>1327</v>
      </c>
      <c r="GA17" t="s">
        <v>1318</v>
      </c>
      <c r="GB17">
        <v>1</v>
      </c>
      <c r="GD17">
        <v>0</v>
      </c>
      <c r="GF17">
        <v>0</v>
      </c>
      <c r="GG17">
        <v>1</v>
      </c>
      <c r="GH17" t="s">
        <v>892</v>
      </c>
      <c r="GI17" t="s">
        <v>893</v>
      </c>
      <c r="GJ17" t="s">
        <v>1319</v>
      </c>
      <c r="GM17">
        <v>1</v>
      </c>
      <c r="GN17">
        <v>1</v>
      </c>
      <c r="GO17">
        <v>0</v>
      </c>
      <c r="GP17">
        <v>1</v>
      </c>
      <c r="GQ17">
        <v>1</v>
      </c>
      <c r="GR17">
        <v>0</v>
      </c>
      <c r="GS17">
        <v>1</v>
      </c>
      <c r="GT17">
        <v>0</v>
      </c>
      <c r="GU17">
        <v>1</v>
      </c>
      <c r="GV17">
        <v>0</v>
      </c>
      <c r="GW17">
        <v>1</v>
      </c>
      <c r="GX17">
        <v>0</v>
      </c>
      <c r="GY17">
        <v>1</v>
      </c>
      <c r="GZ17">
        <v>0</v>
      </c>
      <c r="HA17" t="s">
        <v>451</v>
      </c>
      <c r="HB17" t="s">
        <v>894</v>
      </c>
      <c r="HC17" t="s">
        <v>895</v>
      </c>
      <c r="HD17" t="s">
        <v>845</v>
      </c>
      <c r="HE17" t="s">
        <v>836</v>
      </c>
      <c r="HF17" t="s">
        <v>873</v>
      </c>
      <c r="HG17" t="s">
        <v>894</v>
      </c>
      <c r="HH17" t="s">
        <v>895</v>
      </c>
      <c r="HI17" t="s">
        <v>845</v>
      </c>
      <c r="HJ17" t="s">
        <v>836</v>
      </c>
      <c r="HK17" t="s">
        <v>873</v>
      </c>
      <c r="HL17" t="s">
        <v>1003</v>
      </c>
      <c r="HM17" t="s">
        <v>854</v>
      </c>
      <c r="HN17">
        <v>36805</v>
      </c>
      <c r="HP17" t="s">
        <v>159</v>
      </c>
      <c r="HQ17" t="s">
        <v>896</v>
      </c>
      <c r="HR17" t="s">
        <v>896</v>
      </c>
      <c r="HS17" t="s">
        <v>896</v>
      </c>
    </row>
    <row r="18" spans="1:227" x14ac:dyDescent="0.2">
      <c r="A18">
        <v>8702</v>
      </c>
      <c r="B18">
        <v>7612003885</v>
      </c>
      <c r="C18" t="s">
        <v>829</v>
      </c>
      <c r="D18" t="s">
        <v>830</v>
      </c>
      <c r="E18" t="s">
        <v>897</v>
      </c>
      <c r="F18">
        <v>1</v>
      </c>
      <c r="G18" t="s">
        <v>1328</v>
      </c>
      <c r="H18" t="s">
        <v>1328</v>
      </c>
      <c r="I18">
        <v>0</v>
      </c>
      <c r="J18" t="s">
        <v>833</v>
      </c>
      <c r="K18" t="s">
        <v>834</v>
      </c>
      <c r="L18">
        <v>149860718</v>
      </c>
      <c r="M18" t="s">
        <v>1329</v>
      </c>
      <c r="N18" t="s">
        <v>900</v>
      </c>
      <c r="O18" t="s">
        <v>837</v>
      </c>
      <c r="P18" t="s">
        <v>838</v>
      </c>
      <c r="Q18" t="s">
        <v>839</v>
      </c>
      <c r="R18" t="s">
        <v>1330</v>
      </c>
      <c r="S18" t="s">
        <v>1331</v>
      </c>
      <c r="T18">
        <v>41477128348</v>
      </c>
      <c r="V18" t="s">
        <v>1332</v>
      </c>
      <c r="W18" s="41">
        <v>46142</v>
      </c>
      <c r="X18" t="s">
        <v>1333</v>
      </c>
      <c r="Y18" t="s">
        <v>1334</v>
      </c>
      <c r="AA18">
        <v>0</v>
      </c>
      <c r="AB18" t="s">
        <v>845</v>
      </c>
      <c r="AC18" t="s">
        <v>846</v>
      </c>
      <c r="AD18" t="s">
        <v>1335</v>
      </c>
      <c r="AE18" t="s">
        <v>1336</v>
      </c>
      <c r="AF18">
        <v>1</v>
      </c>
      <c r="AG18">
        <v>452210</v>
      </c>
      <c r="AH18" t="s">
        <v>849</v>
      </c>
      <c r="AI18" t="s">
        <v>850</v>
      </c>
      <c r="AJ18" t="s">
        <v>851</v>
      </c>
      <c r="AK18" t="s">
        <v>338</v>
      </c>
      <c r="AL18" t="s">
        <v>1337</v>
      </c>
      <c r="AM18" t="s">
        <v>1338</v>
      </c>
      <c r="AN18" t="s">
        <v>854</v>
      </c>
      <c r="AO18">
        <v>36805</v>
      </c>
      <c r="AP18">
        <v>929</v>
      </c>
      <c r="AQ18" t="s">
        <v>855</v>
      </c>
      <c r="AR18">
        <v>66442276</v>
      </c>
      <c r="AS18" t="s">
        <v>856</v>
      </c>
      <c r="AU18" t="s">
        <v>1339</v>
      </c>
      <c r="AV18" t="s">
        <v>1340</v>
      </c>
      <c r="AX18" t="s">
        <v>913</v>
      </c>
      <c r="AY18" t="s">
        <v>861</v>
      </c>
      <c r="AZ18" t="s">
        <v>338</v>
      </c>
      <c r="BA18" t="s">
        <v>339</v>
      </c>
      <c r="BB18">
        <v>1</v>
      </c>
      <c r="BC18">
        <v>0</v>
      </c>
      <c r="BD18">
        <v>0</v>
      </c>
      <c r="BE18" t="s">
        <v>1329</v>
      </c>
      <c r="BF18">
        <v>0</v>
      </c>
      <c r="BG18">
        <v>0</v>
      </c>
      <c r="BH18" t="s">
        <v>862</v>
      </c>
      <c r="BI18">
        <v>0</v>
      </c>
      <c r="BJ18" t="s">
        <v>862</v>
      </c>
      <c r="BK18">
        <v>1</v>
      </c>
      <c r="BL18">
        <v>1</v>
      </c>
      <c r="BM18">
        <v>0</v>
      </c>
      <c r="BN18" t="s">
        <v>596</v>
      </c>
      <c r="BP18" t="s">
        <v>1328</v>
      </c>
      <c r="BR18">
        <v>42793654</v>
      </c>
      <c r="BT18">
        <v>2</v>
      </c>
      <c r="BU18" t="s">
        <v>1119</v>
      </c>
      <c r="BY18">
        <v>16</v>
      </c>
      <c r="CA18">
        <v>4</v>
      </c>
      <c r="CE18">
        <v>1</v>
      </c>
      <c r="CI18">
        <v>11</v>
      </c>
      <c r="CJ18" t="s">
        <v>94</v>
      </c>
      <c r="CM18">
        <v>4010</v>
      </c>
      <c r="CO18">
        <v>7360</v>
      </c>
      <c r="CP18">
        <v>0.86670000000000003</v>
      </c>
      <c r="CQ18">
        <v>0.86670000000000003</v>
      </c>
      <c r="CR18">
        <v>0.75</v>
      </c>
      <c r="CS18">
        <v>1</v>
      </c>
      <c r="CT18" t="s">
        <v>1340</v>
      </c>
      <c r="CU18" t="s">
        <v>1339</v>
      </c>
      <c r="CV18" t="s">
        <v>833</v>
      </c>
      <c r="CW18" t="s">
        <v>834</v>
      </c>
      <c r="CX18" t="s">
        <v>1341</v>
      </c>
      <c r="CY18">
        <v>1</v>
      </c>
      <c r="CZ18">
        <v>1</v>
      </c>
      <c r="DA18" t="s">
        <v>833</v>
      </c>
      <c r="DB18" t="s">
        <v>865</v>
      </c>
      <c r="DC18">
        <v>43623</v>
      </c>
      <c r="DD18">
        <v>4.1500000000000004</v>
      </c>
      <c r="DE18" t="s">
        <v>866</v>
      </c>
      <c r="DG18" t="s">
        <v>867</v>
      </c>
      <c r="DH18" t="s">
        <v>851</v>
      </c>
      <c r="DK18" t="s">
        <v>918</v>
      </c>
      <c r="DL18" t="s">
        <v>869</v>
      </c>
      <c r="DM18">
        <v>0</v>
      </c>
      <c r="DN18">
        <v>0</v>
      </c>
      <c r="DO18">
        <v>11</v>
      </c>
      <c r="DP18" t="s">
        <v>1010</v>
      </c>
      <c r="DQ18">
        <v>16</v>
      </c>
      <c r="DR18">
        <v>249</v>
      </c>
      <c r="DS18">
        <v>251</v>
      </c>
      <c r="DT18">
        <v>3.2833000000000001</v>
      </c>
      <c r="DU18">
        <v>4</v>
      </c>
      <c r="DV18">
        <v>1</v>
      </c>
      <c r="DW18">
        <v>2</v>
      </c>
      <c r="DX18" t="s">
        <v>596</v>
      </c>
      <c r="DY18" t="s">
        <v>1329</v>
      </c>
      <c r="DZ18">
        <v>1</v>
      </c>
      <c r="EA18">
        <v>1</v>
      </c>
      <c r="EB18">
        <v>1</v>
      </c>
      <c r="EC18">
        <v>1</v>
      </c>
      <c r="ED18">
        <v>1</v>
      </c>
      <c r="EE18">
        <v>1</v>
      </c>
      <c r="EF18" t="s">
        <v>920</v>
      </c>
      <c r="EG18" t="s">
        <v>595</v>
      </c>
      <c r="EH18" t="s">
        <v>921</v>
      </c>
      <c r="EI18" t="s">
        <v>921</v>
      </c>
      <c r="EJ18" t="s">
        <v>226</v>
      </c>
      <c r="EK18">
        <v>9090</v>
      </c>
      <c r="EL18">
        <v>0</v>
      </c>
      <c r="EM18" t="s">
        <v>1157</v>
      </c>
      <c r="EN18">
        <v>0.75</v>
      </c>
      <c r="EO18">
        <v>4.1833333000000001</v>
      </c>
      <c r="EP18">
        <v>99991120</v>
      </c>
      <c r="EQ18" t="s">
        <v>874</v>
      </c>
      <c r="ER18" t="s">
        <v>875</v>
      </c>
      <c r="ES18" t="s">
        <v>876</v>
      </c>
      <c r="ET18" t="s">
        <v>877</v>
      </c>
      <c r="EU18" t="s">
        <v>877</v>
      </c>
      <c r="EV18" t="s">
        <v>920</v>
      </c>
      <c r="EX18" t="s">
        <v>953</v>
      </c>
      <c r="EY18" t="s">
        <v>986</v>
      </c>
      <c r="EZ18" t="s">
        <v>1342</v>
      </c>
      <c r="FA18" t="s">
        <v>879</v>
      </c>
      <c r="FB18">
        <v>1</v>
      </c>
      <c r="FC18">
        <v>1</v>
      </c>
      <c r="FD18" s="41">
        <v>46144</v>
      </c>
      <c r="FE18" t="s">
        <v>1123</v>
      </c>
      <c r="FF18">
        <v>7</v>
      </c>
      <c r="FG18" t="s">
        <v>1343</v>
      </c>
      <c r="FH18" t="s">
        <v>1344</v>
      </c>
      <c r="FI18">
        <v>1</v>
      </c>
      <c r="FJ18" t="s">
        <v>1345</v>
      </c>
      <c r="FK18" t="s">
        <v>1346</v>
      </c>
      <c r="FL18">
        <v>1</v>
      </c>
      <c r="FM18" t="s">
        <v>1347</v>
      </c>
      <c r="FN18" t="s">
        <v>1348</v>
      </c>
      <c r="FO18">
        <v>1</v>
      </c>
      <c r="FP18" t="s">
        <v>1349</v>
      </c>
      <c r="FQ18" t="s">
        <v>1339</v>
      </c>
      <c r="FR18">
        <v>1</v>
      </c>
      <c r="FS18" t="s">
        <v>1350</v>
      </c>
      <c r="FT18" t="s">
        <v>1351</v>
      </c>
      <c r="FU18">
        <v>1</v>
      </c>
      <c r="FV18" t="s">
        <v>1352</v>
      </c>
      <c r="FW18" t="s">
        <v>1353</v>
      </c>
      <c r="FX18">
        <v>1</v>
      </c>
      <c r="FY18" t="s">
        <v>890</v>
      </c>
      <c r="FZ18" t="s">
        <v>1354</v>
      </c>
      <c r="GA18" t="s">
        <v>1355</v>
      </c>
      <c r="GB18">
        <v>1</v>
      </c>
      <c r="GD18">
        <v>0</v>
      </c>
      <c r="GF18">
        <v>0</v>
      </c>
      <c r="GG18">
        <v>1</v>
      </c>
      <c r="GH18" t="s">
        <v>892</v>
      </c>
      <c r="GI18" t="s">
        <v>893</v>
      </c>
      <c r="GJ18" t="s">
        <v>1356</v>
      </c>
      <c r="GM18">
        <v>1</v>
      </c>
      <c r="GN18">
        <v>1</v>
      </c>
      <c r="GO18">
        <v>0</v>
      </c>
      <c r="GP18">
        <v>1</v>
      </c>
      <c r="GQ18">
        <v>1</v>
      </c>
      <c r="GR18">
        <v>0</v>
      </c>
      <c r="GS18">
        <v>1</v>
      </c>
      <c r="GT18">
        <v>0</v>
      </c>
      <c r="GU18">
        <v>1</v>
      </c>
      <c r="GV18">
        <v>0</v>
      </c>
      <c r="GW18">
        <v>1</v>
      </c>
      <c r="GX18">
        <v>0</v>
      </c>
      <c r="GY18">
        <v>1</v>
      </c>
      <c r="GZ18">
        <v>0</v>
      </c>
      <c r="HA18" t="s">
        <v>338</v>
      </c>
      <c r="HB18" t="s">
        <v>894</v>
      </c>
      <c r="HC18" t="s">
        <v>935</v>
      </c>
      <c r="HD18" t="s">
        <v>845</v>
      </c>
      <c r="HE18" t="s">
        <v>900</v>
      </c>
      <c r="HF18" t="s">
        <v>923</v>
      </c>
      <c r="HG18" t="s">
        <v>894</v>
      </c>
      <c r="HH18" t="s">
        <v>935</v>
      </c>
      <c r="HI18" t="s">
        <v>845</v>
      </c>
      <c r="HJ18" t="s">
        <v>900</v>
      </c>
      <c r="HK18" t="s">
        <v>922</v>
      </c>
      <c r="HL18" t="s">
        <v>1332</v>
      </c>
      <c r="HM18" t="s">
        <v>854</v>
      </c>
      <c r="HN18">
        <v>36805</v>
      </c>
      <c r="HP18" t="s">
        <v>226</v>
      </c>
      <c r="HQ18" t="s">
        <v>896</v>
      </c>
      <c r="HR18" t="s">
        <v>896</v>
      </c>
      <c r="HS18" t="s">
        <v>896</v>
      </c>
    </row>
    <row r="19" spans="1:227" x14ac:dyDescent="0.2">
      <c r="A19">
        <v>8702</v>
      </c>
      <c r="B19">
        <v>7601102256</v>
      </c>
      <c r="C19" t="s">
        <v>829</v>
      </c>
      <c r="D19" t="s">
        <v>830</v>
      </c>
      <c r="E19" t="s">
        <v>831</v>
      </c>
      <c r="F19">
        <v>1</v>
      </c>
      <c r="G19" t="s">
        <v>1357</v>
      </c>
      <c r="H19" t="s">
        <v>1357</v>
      </c>
      <c r="I19">
        <v>0</v>
      </c>
      <c r="J19" t="s">
        <v>833</v>
      </c>
      <c r="K19" t="s">
        <v>834</v>
      </c>
      <c r="L19">
        <v>153406569</v>
      </c>
      <c r="M19" t="s">
        <v>1358</v>
      </c>
      <c r="N19" t="s">
        <v>836</v>
      </c>
      <c r="O19" t="s">
        <v>837</v>
      </c>
      <c r="P19" t="s">
        <v>838</v>
      </c>
      <c r="Q19" t="s">
        <v>839</v>
      </c>
      <c r="R19" t="s">
        <v>1359</v>
      </c>
      <c r="S19" t="s">
        <v>1360</v>
      </c>
      <c r="T19">
        <v>41477047363</v>
      </c>
      <c r="V19" t="s">
        <v>117</v>
      </c>
      <c r="W19" s="41">
        <v>46033</v>
      </c>
      <c r="X19" t="s">
        <v>1361</v>
      </c>
      <c r="Y19" t="s">
        <v>1362</v>
      </c>
      <c r="Z19">
        <v>1</v>
      </c>
      <c r="AA19">
        <v>0</v>
      </c>
      <c r="AB19" t="s">
        <v>845</v>
      </c>
      <c r="AC19" t="s">
        <v>846</v>
      </c>
      <c r="AD19" t="s">
        <v>847</v>
      </c>
      <c r="AE19" t="s">
        <v>848</v>
      </c>
      <c r="AF19">
        <v>1</v>
      </c>
      <c r="AG19">
        <v>452210</v>
      </c>
      <c r="AH19" t="s">
        <v>849</v>
      </c>
      <c r="AI19" t="s">
        <v>850</v>
      </c>
      <c r="AJ19" t="s">
        <v>851</v>
      </c>
      <c r="AK19" t="s">
        <v>261</v>
      </c>
      <c r="AL19" t="s">
        <v>1363</v>
      </c>
      <c r="AM19" t="s">
        <v>1364</v>
      </c>
      <c r="AN19" t="s">
        <v>854</v>
      </c>
      <c r="AO19">
        <v>36805</v>
      </c>
      <c r="AP19">
        <v>493</v>
      </c>
      <c r="AQ19" t="s">
        <v>855</v>
      </c>
      <c r="AR19">
        <v>66285560</v>
      </c>
      <c r="AS19" t="s">
        <v>856</v>
      </c>
      <c r="AU19" t="s">
        <v>1365</v>
      </c>
      <c r="AV19" t="s">
        <v>1366</v>
      </c>
      <c r="AW19" t="s">
        <v>859</v>
      </c>
      <c r="AX19" t="s">
        <v>860</v>
      </c>
      <c r="AY19" t="s">
        <v>861</v>
      </c>
      <c r="AZ19" t="s">
        <v>261</v>
      </c>
      <c r="BA19" t="s">
        <v>262</v>
      </c>
      <c r="BB19">
        <v>0</v>
      </c>
      <c r="BC19">
        <v>0</v>
      </c>
      <c r="BD19">
        <v>0</v>
      </c>
      <c r="BE19" t="s">
        <v>1358</v>
      </c>
      <c r="BF19">
        <v>0</v>
      </c>
      <c r="BG19">
        <v>0</v>
      </c>
      <c r="BH19" t="s">
        <v>862</v>
      </c>
      <c r="BI19">
        <v>0</v>
      </c>
      <c r="BJ19" t="s">
        <v>862</v>
      </c>
      <c r="BK19">
        <v>1</v>
      </c>
      <c r="BL19">
        <v>0</v>
      </c>
      <c r="BM19">
        <v>0</v>
      </c>
      <c r="BN19" t="s">
        <v>596</v>
      </c>
      <c r="BO19">
        <v>153406569</v>
      </c>
      <c r="BP19" t="s">
        <v>1357</v>
      </c>
      <c r="BR19">
        <v>42789054</v>
      </c>
      <c r="BT19">
        <v>2</v>
      </c>
      <c r="BU19" t="s">
        <v>1367</v>
      </c>
      <c r="CE19">
        <v>1</v>
      </c>
      <c r="CI19">
        <v>11</v>
      </c>
      <c r="CJ19" t="s">
        <v>94</v>
      </c>
      <c r="CM19">
        <v>4010</v>
      </c>
      <c r="CO19">
        <v>7360</v>
      </c>
      <c r="CP19">
        <v>0.8</v>
      </c>
      <c r="CQ19">
        <v>0.8</v>
      </c>
      <c r="CR19">
        <v>1.1167</v>
      </c>
      <c r="CS19">
        <v>3</v>
      </c>
      <c r="CT19" t="s">
        <v>1368</v>
      </c>
      <c r="CU19" t="s">
        <v>1369</v>
      </c>
      <c r="CV19" t="s">
        <v>833</v>
      </c>
      <c r="CW19" t="s">
        <v>834</v>
      </c>
      <c r="CX19" t="s">
        <v>1358</v>
      </c>
      <c r="CY19">
        <v>0</v>
      </c>
      <c r="CZ19">
        <v>0</v>
      </c>
      <c r="DA19" t="s">
        <v>833</v>
      </c>
      <c r="DB19" t="s">
        <v>865</v>
      </c>
      <c r="DC19">
        <v>63368</v>
      </c>
      <c r="DD19">
        <v>2.5167000000000002</v>
      </c>
      <c r="DE19" t="s">
        <v>866</v>
      </c>
      <c r="DG19" t="s">
        <v>867</v>
      </c>
      <c r="DH19" t="s">
        <v>851</v>
      </c>
      <c r="DK19" t="s">
        <v>918</v>
      </c>
      <c r="DL19" t="s">
        <v>869</v>
      </c>
      <c r="DM19">
        <v>0</v>
      </c>
      <c r="DN19">
        <v>0</v>
      </c>
      <c r="DO19">
        <v>53</v>
      </c>
      <c r="DP19" t="s">
        <v>1156</v>
      </c>
      <c r="DQ19">
        <v>16</v>
      </c>
      <c r="DR19">
        <v>151</v>
      </c>
      <c r="DS19">
        <v>151</v>
      </c>
      <c r="DT19">
        <v>1.7166999999999999</v>
      </c>
      <c r="DU19">
        <v>4</v>
      </c>
      <c r="DV19">
        <v>1</v>
      </c>
      <c r="DW19">
        <v>2</v>
      </c>
      <c r="DX19" t="s">
        <v>594</v>
      </c>
      <c r="DY19" t="s">
        <v>1358</v>
      </c>
      <c r="DZ19">
        <v>0</v>
      </c>
      <c r="EA19">
        <v>0</v>
      </c>
      <c r="EB19">
        <v>0</v>
      </c>
      <c r="EC19">
        <v>0</v>
      </c>
      <c r="ED19">
        <v>0</v>
      </c>
      <c r="EE19">
        <v>0</v>
      </c>
      <c r="EF19" t="s">
        <v>920</v>
      </c>
      <c r="EG19" t="s">
        <v>595</v>
      </c>
      <c r="EH19" t="s">
        <v>872</v>
      </c>
      <c r="EI19" t="s">
        <v>872</v>
      </c>
      <c r="EJ19" t="s">
        <v>111</v>
      </c>
      <c r="EK19">
        <v>9090</v>
      </c>
      <c r="EL19">
        <v>0</v>
      </c>
      <c r="EM19" t="s">
        <v>1037</v>
      </c>
      <c r="EN19">
        <v>1.1167</v>
      </c>
      <c r="EO19">
        <v>2.5166666000000002</v>
      </c>
      <c r="EP19">
        <v>99991120</v>
      </c>
      <c r="EQ19" t="s">
        <v>874</v>
      </c>
      <c r="ER19" t="s">
        <v>875</v>
      </c>
      <c r="ES19" t="s">
        <v>876</v>
      </c>
      <c r="ET19" t="s">
        <v>877</v>
      </c>
      <c r="EU19" t="s">
        <v>877</v>
      </c>
      <c r="EV19" t="s">
        <v>920</v>
      </c>
      <c r="EX19" t="s">
        <v>900</v>
      </c>
      <c r="EY19" t="s">
        <v>923</v>
      </c>
      <c r="EZ19" t="s">
        <v>1038</v>
      </c>
      <c r="FA19" t="s">
        <v>925</v>
      </c>
      <c r="FB19">
        <v>1</v>
      </c>
      <c r="FC19">
        <v>1</v>
      </c>
      <c r="FD19" s="41">
        <v>46039</v>
      </c>
      <c r="FE19" t="s">
        <v>1370</v>
      </c>
      <c r="FF19">
        <v>5</v>
      </c>
      <c r="FI19">
        <v>0</v>
      </c>
      <c r="FJ19" t="s">
        <v>1371</v>
      </c>
      <c r="FK19" t="s">
        <v>1372</v>
      </c>
      <c r="FL19">
        <v>1</v>
      </c>
      <c r="FM19" t="s">
        <v>1373</v>
      </c>
      <c r="FN19" t="s">
        <v>1374</v>
      </c>
      <c r="FO19">
        <v>1</v>
      </c>
      <c r="FP19" t="s">
        <v>1375</v>
      </c>
      <c r="FQ19" t="s">
        <v>1369</v>
      </c>
      <c r="FR19">
        <v>1</v>
      </c>
      <c r="FS19" t="s">
        <v>1376</v>
      </c>
      <c r="FT19" t="s">
        <v>1377</v>
      </c>
      <c r="FU19">
        <v>1</v>
      </c>
      <c r="FV19" t="s">
        <v>1378</v>
      </c>
      <c r="FW19" t="s">
        <v>1372</v>
      </c>
      <c r="FX19">
        <v>1</v>
      </c>
      <c r="FY19" t="s">
        <v>890</v>
      </c>
      <c r="FZ19" t="s">
        <v>1379</v>
      </c>
      <c r="GA19" t="s">
        <v>1371</v>
      </c>
      <c r="GB19">
        <v>1</v>
      </c>
      <c r="GD19">
        <v>0</v>
      </c>
      <c r="GF19">
        <v>0</v>
      </c>
      <c r="GG19">
        <v>1</v>
      </c>
      <c r="GH19" t="s">
        <v>892</v>
      </c>
      <c r="GI19" t="s">
        <v>893</v>
      </c>
      <c r="GJ19" t="s">
        <v>1372</v>
      </c>
      <c r="GM19">
        <v>1</v>
      </c>
      <c r="GN19">
        <v>1</v>
      </c>
      <c r="GO19">
        <v>0</v>
      </c>
      <c r="GP19">
        <v>1</v>
      </c>
      <c r="GQ19">
        <v>1</v>
      </c>
      <c r="GR19">
        <v>0</v>
      </c>
      <c r="GS19">
        <v>1</v>
      </c>
      <c r="GT19">
        <v>0</v>
      </c>
      <c r="GU19">
        <v>1</v>
      </c>
      <c r="GV19">
        <v>0</v>
      </c>
      <c r="GW19">
        <v>1</v>
      </c>
      <c r="GX19">
        <v>0</v>
      </c>
      <c r="GY19">
        <v>1</v>
      </c>
      <c r="GZ19">
        <v>0</v>
      </c>
      <c r="HA19" t="s">
        <v>261</v>
      </c>
      <c r="HB19" t="s">
        <v>894</v>
      </c>
      <c r="HC19" t="s">
        <v>895</v>
      </c>
      <c r="HD19" t="s">
        <v>845</v>
      </c>
      <c r="HE19" t="s">
        <v>836</v>
      </c>
      <c r="HF19" t="s">
        <v>1051</v>
      </c>
      <c r="HG19" t="s">
        <v>894</v>
      </c>
      <c r="HH19" t="s">
        <v>895</v>
      </c>
      <c r="HI19" t="s">
        <v>845</v>
      </c>
      <c r="HJ19" t="s">
        <v>836</v>
      </c>
      <c r="HK19" t="s">
        <v>1037</v>
      </c>
      <c r="HL19" t="s">
        <v>117</v>
      </c>
      <c r="HM19" t="s">
        <v>854</v>
      </c>
      <c r="HN19">
        <v>36805</v>
      </c>
      <c r="HP19" t="s">
        <v>111</v>
      </c>
      <c r="HQ19" t="s">
        <v>896</v>
      </c>
      <c r="HR19" t="s">
        <v>896</v>
      </c>
      <c r="HS19" t="s">
        <v>896</v>
      </c>
    </row>
    <row r="20" spans="1:227" x14ac:dyDescent="0.2">
      <c r="A20">
        <v>8702</v>
      </c>
      <c r="B20">
        <v>7601501624</v>
      </c>
      <c r="C20">
        <v>82</v>
      </c>
      <c r="D20" t="s">
        <v>969</v>
      </c>
      <c r="E20" t="s">
        <v>831</v>
      </c>
      <c r="F20">
        <v>0</v>
      </c>
      <c r="G20" t="s">
        <v>1380</v>
      </c>
      <c r="H20" t="s">
        <v>1380</v>
      </c>
      <c r="I20">
        <v>0</v>
      </c>
      <c r="J20" t="s">
        <v>833</v>
      </c>
      <c r="K20" t="s">
        <v>834</v>
      </c>
      <c r="L20">
        <v>153008261</v>
      </c>
      <c r="M20" t="s">
        <v>1381</v>
      </c>
      <c r="N20" t="s">
        <v>836</v>
      </c>
      <c r="O20" t="s">
        <v>837</v>
      </c>
      <c r="P20" t="s">
        <v>972</v>
      </c>
      <c r="Q20" t="s">
        <v>973</v>
      </c>
      <c r="R20" t="s">
        <v>1382</v>
      </c>
      <c r="S20" t="s">
        <v>1383</v>
      </c>
      <c r="T20">
        <v>41477127062</v>
      </c>
      <c r="V20" t="s">
        <v>1384</v>
      </c>
      <c r="W20" s="41">
        <v>46037</v>
      </c>
      <c r="X20" t="s">
        <v>1385</v>
      </c>
      <c r="Y20" t="s">
        <v>1386</v>
      </c>
      <c r="Z20">
        <v>1</v>
      </c>
      <c r="AA20">
        <v>0</v>
      </c>
      <c r="AB20" t="s">
        <v>845</v>
      </c>
      <c r="AC20" t="s">
        <v>846</v>
      </c>
      <c r="AD20" t="s">
        <v>847</v>
      </c>
      <c r="AE20" t="s">
        <v>848</v>
      </c>
      <c r="AF20">
        <v>1</v>
      </c>
      <c r="AG20">
        <v>452210</v>
      </c>
      <c r="AH20" t="s">
        <v>849</v>
      </c>
      <c r="AI20" t="s">
        <v>850</v>
      </c>
      <c r="AJ20" t="s">
        <v>851</v>
      </c>
      <c r="AK20" t="s">
        <v>397</v>
      </c>
      <c r="AL20" t="s">
        <v>1310</v>
      </c>
      <c r="AM20" t="s">
        <v>1387</v>
      </c>
      <c r="AN20" t="s">
        <v>854</v>
      </c>
      <c r="AO20">
        <v>36805</v>
      </c>
      <c r="AP20">
        <v>542</v>
      </c>
      <c r="AQ20" t="s">
        <v>855</v>
      </c>
      <c r="AR20">
        <v>66291495</v>
      </c>
      <c r="AS20" t="s">
        <v>856</v>
      </c>
      <c r="AU20" t="s">
        <v>1388</v>
      </c>
      <c r="AV20" t="s">
        <v>1389</v>
      </c>
      <c r="AX20" t="s">
        <v>913</v>
      </c>
      <c r="AY20" t="s">
        <v>861</v>
      </c>
      <c r="AZ20" t="s">
        <v>397</v>
      </c>
      <c r="BA20" t="s">
        <v>398</v>
      </c>
      <c r="BB20">
        <v>0</v>
      </c>
      <c r="BC20">
        <v>0</v>
      </c>
      <c r="BD20">
        <v>0</v>
      </c>
      <c r="BE20" t="s">
        <v>1381</v>
      </c>
      <c r="BF20">
        <v>0</v>
      </c>
      <c r="BG20">
        <v>0</v>
      </c>
      <c r="BH20" t="s">
        <v>862</v>
      </c>
      <c r="BI20">
        <v>0</v>
      </c>
      <c r="BJ20" t="s">
        <v>862</v>
      </c>
      <c r="BK20">
        <v>1</v>
      </c>
      <c r="BL20">
        <v>1</v>
      </c>
      <c r="BM20">
        <v>0</v>
      </c>
      <c r="BN20" t="s">
        <v>596</v>
      </c>
      <c r="BO20">
        <v>153008261</v>
      </c>
      <c r="BP20" t="s">
        <v>1380</v>
      </c>
      <c r="BR20">
        <v>42791456</v>
      </c>
      <c r="BT20">
        <v>2</v>
      </c>
      <c r="BU20" t="s">
        <v>1367</v>
      </c>
      <c r="CE20">
        <v>1</v>
      </c>
      <c r="CI20">
        <v>11</v>
      </c>
      <c r="CJ20" t="s">
        <v>94</v>
      </c>
      <c r="CM20">
        <v>4010</v>
      </c>
      <c r="CO20">
        <v>7360</v>
      </c>
      <c r="CP20">
        <v>0.4667</v>
      </c>
      <c r="CQ20">
        <v>0.4667</v>
      </c>
      <c r="CR20">
        <v>0.5</v>
      </c>
      <c r="CS20">
        <v>22</v>
      </c>
      <c r="CT20" t="s">
        <v>1390</v>
      </c>
      <c r="CU20" t="s">
        <v>1391</v>
      </c>
      <c r="CV20" t="s">
        <v>833</v>
      </c>
      <c r="CW20" t="s">
        <v>834</v>
      </c>
      <c r="CX20" t="s">
        <v>1381</v>
      </c>
      <c r="CY20">
        <v>0</v>
      </c>
      <c r="CZ20">
        <v>0</v>
      </c>
      <c r="DA20" t="s">
        <v>833</v>
      </c>
      <c r="DB20" t="s">
        <v>865</v>
      </c>
      <c r="DC20">
        <v>55124</v>
      </c>
      <c r="DD20">
        <v>1.7166999999999999</v>
      </c>
      <c r="DE20" t="s">
        <v>866</v>
      </c>
      <c r="DG20" t="s">
        <v>867</v>
      </c>
      <c r="DH20" t="s">
        <v>851</v>
      </c>
      <c r="DI20" t="s">
        <v>1392</v>
      </c>
      <c r="DK20" t="s">
        <v>918</v>
      </c>
      <c r="DL20" t="s">
        <v>869</v>
      </c>
      <c r="DM20">
        <v>0</v>
      </c>
      <c r="DN20">
        <v>0</v>
      </c>
      <c r="DO20">
        <v>12</v>
      </c>
      <c r="DP20" t="s">
        <v>1190</v>
      </c>
      <c r="DQ20">
        <v>16</v>
      </c>
      <c r="DR20">
        <v>103</v>
      </c>
      <c r="DS20">
        <v>103</v>
      </c>
      <c r="DT20">
        <v>1.25</v>
      </c>
      <c r="DU20">
        <v>4</v>
      </c>
      <c r="DV20">
        <v>1</v>
      </c>
      <c r="DW20">
        <v>2</v>
      </c>
      <c r="DX20" t="s">
        <v>596</v>
      </c>
      <c r="DY20" t="s">
        <v>1381</v>
      </c>
      <c r="DZ20">
        <v>1</v>
      </c>
      <c r="EA20">
        <v>1</v>
      </c>
      <c r="EB20">
        <v>1</v>
      </c>
      <c r="EC20">
        <v>1</v>
      </c>
      <c r="ED20">
        <v>1</v>
      </c>
      <c r="EE20">
        <v>1</v>
      </c>
      <c r="EF20" t="s">
        <v>920</v>
      </c>
      <c r="EG20" t="s">
        <v>595</v>
      </c>
      <c r="EH20" t="s">
        <v>921</v>
      </c>
      <c r="EI20" t="s">
        <v>921</v>
      </c>
      <c r="EJ20" t="s">
        <v>159</v>
      </c>
      <c r="EK20">
        <v>9090</v>
      </c>
      <c r="EL20">
        <v>0</v>
      </c>
      <c r="EM20" t="s">
        <v>873</v>
      </c>
      <c r="EN20">
        <v>0.5</v>
      </c>
      <c r="EO20">
        <v>1.7166665999999999</v>
      </c>
      <c r="EP20">
        <v>99991120</v>
      </c>
      <c r="EQ20" t="s">
        <v>874</v>
      </c>
      <c r="ER20" t="s">
        <v>875</v>
      </c>
      <c r="ES20" t="s">
        <v>876</v>
      </c>
      <c r="ET20" t="s">
        <v>877</v>
      </c>
      <c r="EU20" t="s">
        <v>877</v>
      </c>
      <c r="EV20" t="s">
        <v>920</v>
      </c>
      <c r="EX20" t="s">
        <v>836</v>
      </c>
      <c r="EY20" t="s">
        <v>1121</v>
      </c>
      <c r="EZ20" t="s">
        <v>1122</v>
      </c>
      <c r="FA20" t="s">
        <v>956</v>
      </c>
      <c r="FB20">
        <v>1</v>
      </c>
      <c r="FC20">
        <v>1</v>
      </c>
      <c r="FD20" s="41">
        <v>46039</v>
      </c>
      <c r="FE20" t="s">
        <v>1370</v>
      </c>
      <c r="FF20">
        <v>4</v>
      </c>
      <c r="FI20">
        <v>0</v>
      </c>
      <c r="FL20">
        <v>0</v>
      </c>
      <c r="FM20" t="s">
        <v>1393</v>
      </c>
      <c r="FN20" t="s">
        <v>1394</v>
      </c>
      <c r="FO20">
        <v>1</v>
      </c>
      <c r="FP20" t="s">
        <v>1395</v>
      </c>
      <c r="FQ20" t="s">
        <v>1391</v>
      </c>
      <c r="FR20">
        <v>1</v>
      </c>
      <c r="FS20" t="s">
        <v>1396</v>
      </c>
      <c r="FT20" t="s">
        <v>1397</v>
      </c>
      <c r="FU20">
        <v>1</v>
      </c>
      <c r="FV20" t="s">
        <v>1398</v>
      </c>
      <c r="FW20" t="s">
        <v>1399</v>
      </c>
      <c r="FX20">
        <v>1</v>
      </c>
      <c r="FY20" t="s">
        <v>890</v>
      </c>
      <c r="FZ20" t="s">
        <v>1400</v>
      </c>
      <c r="GA20" t="s">
        <v>1398</v>
      </c>
      <c r="GB20">
        <v>1</v>
      </c>
      <c r="GD20">
        <v>0</v>
      </c>
      <c r="GF20">
        <v>0</v>
      </c>
      <c r="GG20">
        <v>1</v>
      </c>
      <c r="GH20" t="s">
        <v>892</v>
      </c>
      <c r="GI20" t="s">
        <v>893</v>
      </c>
      <c r="GJ20" t="s">
        <v>1399</v>
      </c>
      <c r="GM20">
        <v>1</v>
      </c>
      <c r="GN20">
        <v>1</v>
      </c>
      <c r="GO20">
        <v>0</v>
      </c>
      <c r="GP20">
        <v>1</v>
      </c>
      <c r="GQ20">
        <v>1</v>
      </c>
      <c r="GR20">
        <v>0</v>
      </c>
      <c r="GS20">
        <v>1</v>
      </c>
      <c r="GT20">
        <v>0</v>
      </c>
      <c r="GU20">
        <v>1</v>
      </c>
      <c r="GV20">
        <v>0</v>
      </c>
      <c r="GW20">
        <v>1</v>
      </c>
      <c r="GX20">
        <v>0</v>
      </c>
      <c r="GY20">
        <v>1</v>
      </c>
      <c r="GZ20">
        <v>0</v>
      </c>
      <c r="HA20" t="s">
        <v>397</v>
      </c>
      <c r="HB20" t="s">
        <v>894</v>
      </c>
      <c r="HC20" t="s">
        <v>895</v>
      </c>
      <c r="HD20" t="s">
        <v>845</v>
      </c>
      <c r="HE20" t="s">
        <v>836</v>
      </c>
      <c r="HF20" t="s">
        <v>873</v>
      </c>
      <c r="HG20" t="s">
        <v>894</v>
      </c>
      <c r="HH20" t="s">
        <v>895</v>
      </c>
      <c r="HI20" t="s">
        <v>845</v>
      </c>
      <c r="HJ20" t="s">
        <v>836</v>
      </c>
      <c r="HK20" t="s">
        <v>873</v>
      </c>
      <c r="HL20" t="s">
        <v>1384</v>
      </c>
      <c r="HM20" t="s">
        <v>854</v>
      </c>
      <c r="HN20">
        <v>36805</v>
      </c>
      <c r="HP20" t="s">
        <v>159</v>
      </c>
      <c r="HQ20" t="s">
        <v>896</v>
      </c>
      <c r="HR20" t="s">
        <v>896</v>
      </c>
      <c r="HS20" t="s">
        <v>896</v>
      </c>
    </row>
    <row r="21" spans="1:227" x14ac:dyDescent="0.2">
      <c r="A21">
        <v>8702</v>
      </c>
      <c r="B21">
        <v>7525901406</v>
      </c>
      <c r="C21">
        <v>36</v>
      </c>
      <c r="D21" t="s">
        <v>1302</v>
      </c>
      <c r="E21" t="s">
        <v>897</v>
      </c>
      <c r="F21">
        <v>0</v>
      </c>
      <c r="G21" t="s">
        <v>1401</v>
      </c>
      <c r="H21" t="s">
        <v>1401</v>
      </c>
      <c r="I21">
        <v>0</v>
      </c>
      <c r="J21" t="s">
        <v>833</v>
      </c>
      <c r="K21" t="s">
        <v>834</v>
      </c>
      <c r="L21">
        <v>153517086</v>
      </c>
      <c r="M21" t="s">
        <v>1402</v>
      </c>
      <c r="N21" t="s">
        <v>900</v>
      </c>
      <c r="O21" t="s">
        <v>837</v>
      </c>
      <c r="P21" t="s">
        <v>1302</v>
      </c>
      <c r="Q21" t="s">
        <v>1305</v>
      </c>
      <c r="R21" t="s">
        <v>1403</v>
      </c>
      <c r="S21" t="s">
        <v>1404</v>
      </c>
      <c r="T21">
        <v>41477085454</v>
      </c>
      <c r="V21" t="s">
        <v>210</v>
      </c>
      <c r="W21" s="41">
        <v>45917</v>
      </c>
      <c r="X21" t="s">
        <v>1405</v>
      </c>
      <c r="Y21" t="s">
        <v>1406</v>
      </c>
      <c r="AA21">
        <v>0</v>
      </c>
      <c r="AB21" t="s">
        <v>845</v>
      </c>
      <c r="AC21" t="s">
        <v>846</v>
      </c>
      <c r="AD21" t="s">
        <v>847</v>
      </c>
      <c r="AE21" t="s">
        <v>848</v>
      </c>
      <c r="AF21">
        <v>1</v>
      </c>
      <c r="AG21">
        <v>452210</v>
      </c>
      <c r="AH21" t="s">
        <v>849</v>
      </c>
      <c r="AI21" t="s">
        <v>850</v>
      </c>
      <c r="AJ21" t="s">
        <v>851</v>
      </c>
      <c r="AK21" t="s">
        <v>281</v>
      </c>
      <c r="AL21" t="s">
        <v>1407</v>
      </c>
      <c r="AM21" t="s">
        <v>1408</v>
      </c>
      <c r="AN21" t="s">
        <v>854</v>
      </c>
      <c r="AO21">
        <v>36805</v>
      </c>
      <c r="AP21">
        <v>648</v>
      </c>
      <c r="AQ21" t="s">
        <v>855</v>
      </c>
      <c r="AR21">
        <v>66118285</v>
      </c>
      <c r="AS21" t="s">
        <v>856</v>
      </c>
      <c r="AU21" t="s">
        <v>1409</v>
      </c>
      <c r="AV21" t="s">
        <v>1410</v>
      </c>
      <c r="AX21" t="s">
        <v>913</v>
      </c>
      <c r="AY21" t="s">
        <v>861</v>
      </c>
      <c r="AZ21" t="s">
        <v>281</v>
      </c>
      <c r="BA21" t="s">
        <v>282</v>
      </c>
      <c r="BB21">
        <v>0</v>
      </c>
      <c r="BC21">
        <v>0</v>
      </c>
      <c r="BD21">
        <v>0</v>
      </c>
      <c r="BE21" t="s">
        <v>1402</v>
      </c>
      <c r="BF21">
        <v>0</v>
      </c>
      <c r="BG21">
        <v>0</v>
      </c>
      <c r="BH21" t="s">
        <v>862</v>
      </c>
      <c r="BI21">
        <v>0</v>
      </c>
      <c r="BJ21" t="s">
        <v>862</v>
      </c>
      <c r="BK21">
        <v>1</v>
      </c>
      <c r="BL21">
        <v>1</v>
      </c>
      <c r="BM21">
        <v>0</v>
      </c>
      <c r="BN21" t="s">
        <v>596</v>
      </c>
      <c r="BO21">
        <v>153517086</v>
      </c>
      <c r="BP21" t="s">
        <v>1401</v>
      </c>
      <c r="BQ21">
        <v>42.233161299999999</v>
      </c>
      <c r="BR21">
        <v>42791781</v>
      </c>
      <c r="BS21">
        <v>-83.677690600000005</v>
      </c>
      <c r="BT21">
        <v>0</v>
      </c>
      <c r="CM21">
        <v>4010</v>
      </c>
      <c r="CO21">
        <v>7360</v>
      </c>
      <c r="CP21">
        <v>1.67E-2</v>
      </c>
      <c r="CQ21">
        <v>1.67E-2</v>
      </c>
      <c r="CR21">
        <v>0</v>
      </c>
      <c r="CS21">
        <v>17</v>
      </c>
      <c r="CT21" t="s">
        <v>1411</v>
      </c>
      <c r="CU21" t="s">
        <v>1412</v>
      </c>
      <c r="CV21" t="s">
        <v>833</v>
      </c>
      <c r="CW21" t="s">
        <v>834</v>
      </c>
      <c r="CX21" t="s">
        <v>1402</v>
      </c>
      <c r="CY21">
        <v>0</v>
      </c>
      <c r="CZ21">
        <v>0</v>
      </c>
      <c r="DA21" t="s">
        <v>833</v>
      </c>
      <c r="DB21" t="s">
        <v>865</v>
      </c>
      <c r="DC21">
        <v>48197</v>
      </c>
      <c r="DD21">
        <v>5.5667</v>
      </c>
      <c r="DE21" t="s">
        <v>866</v>
      </c>
      <c r="DG21" t="s">
        <v>867</v>
      </c>
      <c r="DH21" t="s">
        <v>851</v>
      </c>
      <c r="DI21" t="s">
        <v>1154</v>
      </c>
      <c r="DL21" t="s">
        <v>869</v>
      </c>
      <c r="DM21">
        <v>0</v>
      </c>
      <c r="DN21">
        <v>0</v>
      </c>
      <c r="DO21">
        <v>2</v>
      </c>
      <c r="DP21" t="s">
        <v>870</v>
      </c>
      <c r="DQ21">
        <v>16</v>
      </c>
      <c r="DR21">
        <v>334</v>
      </c>
      <c r="DS21">
        <v>1054</v>
      </c>
      <c r="DT21">
        <v>5.55</v>
      </c>
      <c r="DU21">
        <v>4</v>
      </c>
      <c r="DW21">
        <v>2</v>
      </c>
      <c r="DX21" t="s">
        <v>596</v>
      </c>
      <c r="DY21" t="s">
        <v>1402</v>
      </c>
      <c r="DZ21">
        <v>1</v>
      </c>
      <c r="EA21">
        <v>1</v>
      </c>
      <c r="EB21">
        <v>1</v>
      </c>
      <c r="EC21">
        <v>0</v>
      </c>
      <c r="ED21">
        <v>0</v>
      </c>
      <c r="EE21">
        <v>1</v>
      </c>
      <c r="EF21" t="s">
        <v>920</v>
      </c>
      <c r="EG21" t="s">
        <v>595</v>
      </c>
      <c r="EH21" t="s">
        <v>921</v>
      </c>
      <c r="EI21" t="s">
        <v>921</v>
      </c>
      <c r="EJ21" t="s">
        <v>178</v>
      </c>
      <c r="EK21">
        <v>9090</v>
      </c>
      <c r="EL21">
        <v>0</v>
      </c>
      <c r="EM21" t="s">
        <v>952</v>
      </c>
      <c r="EN21">
        <v>0</v>
      </c>
      <c r="EO21">
        <v>17.566666600000001</v>
      </c>
      <c r="EP21">
        <v>99991120</v>
      </c>
      <c r="EQ21" t="s">
        <v>874</v>
      </c>
      <c r="ER21" t="s">
        <v>875</v>
      </c>
      <c r="ES21" t="s">
        <v>876</v>
      </c>
      <c r="ET21" t="s">
        <v>877</v>
      </c>
      <c r="EU21" t="s">
        <v>877</v>
      </c>
      <c r="EV21" t="s">
        <v>920</v>
      </c>
      <c r="EX21" t="s">
        <v>953</v>
      </c>
      <c r="EY21" t="s">
        <v>954</v>
      </c>
      <c r="EZ21" t="s">
        <v>955</v>
      </c>
      <c r="FA21" t="s">
        <v>956</v>
      </c>
      <c r="FB21">
        <v>1</v>
      </c>
      <c r="FC21">
        <v>1</v>
      </c>
      <c r="FD21" s="41">
        <v>45920</v>
      </c>
      <c r="FE21" t="s">
        <v>880</v>
      </c>
      <c r="FF21">
        <v>4</v>
      </c>
      <c r="FI21">
        <v>0</v>
      </c>
      <c r="FL21">
        <v>0</v>
      </c>
      <c r="FM21" t="s">
        <v>1413</v>
      </c>
      <c r="FN21" t="s">
        <v>1414</v>
      </c>
      <c r="FO21">
        <v>1</v>
      </c>
      <c r="FP21" t="s">
        <v>1415</v>
      </c>
      <c r="FQ21" t="s">
        <v>1416</v>
      </c>
      <c r="FR21">
        <v>1</v>
      </c>
      <c r="FS21" t="s">
        <v>1417</v>
      </c>
      <c r="FT21" t="s">
        <v>1418</v>
      </c>
      <c r="FU21">
        <v>1</v>
      </c>
      <c r="FV21" t="s">
        <v>1419</v>
      </c>
      <c r="FW21" t="s">
        <v>1420</v>
      </c>
      <c r="FX21">
        <v>1</v>
      </c>
      <c r="FY21" t="s">
        <v>890</v>
      </c>
      <c r="FZ21" t="s">
        <v>1421</v>
      </c>
      <c r="GA21" t="s">
        <v>1419</v>
      </c>
      <c r="GB21">
        <v>1</v>
      </c>
      <c r="GD21">
        <v>0</v>
      </c>
      <c r="GF21">
        <v>0</v>
      </c>
      <c r="GG21">
        <v>1</v>
      </c>
      <c r="GH21" t="s">
        <v>892</v>
      </c>
      <c r="GI21" t="s">
        <v>893</v>
      </c>
      <c r="GJ21" t="s">
        <v>1420</v>
      </c>
      <c r="GM21">
        <v>1</v>
      </c>
      <c r="GN21">
        <v>1</v>
      </c>
      <c r="GO21">
        <v>0</v>
      </c>
      <c r="GP21">
        <v>1</v>
      </c>
      <c r="GQ21">
        <v>1</v>
      </c>
      <c r="GR21">
        <v>0</v>
      </c>
      <c r="GS21">
        <v>1</v>
      </c>
      <c r="GT21">
        <v>0</v>
      </c>
      <c r="GU21">
        <v>1</v>
      </c>
      <c r="GV21">
        <v>0</v>
      </c>
      <c r="GW21">
        <v>1</v>
      </c>
      <c r="GX21">
        <v>0</v>
      </c>
      <c r="GY21">
        <v>1</v>
      </c>
      <c r="GZ21">
        <v>0</v>
      </c>
      <c r="HA21" t="s">
        <v>281</v>
      </c>
      <c r="HB21" t="s">
        <v>894</v>
      </c>
      <c r="HC21" t="s">
        <v>935</v>
      </c>
      <c r="HD21" t="s">
        <v>845</v>
      </c>
      <c r="HE21" t="s">
        <v>900</v>
      </c>
      <c r="HF21" t="s">
        <v>923</v>
      </c>
      <c r="HG21" t="s">
        <v>894</v>
      </c>
      <c r="HH21" t="s">
        <v>935</v>
      </c>
      <c r="HI21" t="s">
        <v>845</v>
      </c>
      <c r="HJ21" t="s">
        <v>900</v>
      </c>
      <c r="HK21" t="s">
        <v>952</v>
      </c>
      <c r="HL21" t="s">
        <v>210</v>
      </c>
      <c r="HM21" t="s">
        <v>854</v>
      </c>
      <c r="HN21">
        <v>36805</v>
      </c>
      <c r="HP21" t="s">
        <v>178</v>
      </c>
      <c r="HQ21" t="s">
        <v>896</v>
      </c>
      <c r="HR21" t="s">
        <v>896</v>
      </c>
      <c r="HS21" t="s">
        <v>896</v>
      </c>
    </row>
    <row r="22" spans="1:227" x14ac:dyDescent="0.2">
      <c r="A22">
        <v>8702</v>
      </c>
      <c r="B22">
        <v>7531506970</v>
      </c>
      <c r="C22" t="s">
        <v>1171</v>
      </c>
      <c r="D22" t="s">
        <v>1172</v>
      </c>
      <c r="E22" t="s">
        <v>831</v>
      </c>
      <c r="F22">
        <v>2</v>
      </c>
      <c r="G22" t="s">
        <v>1422</v>
      </c>
      <c r="H22" t="s">
        <v>1422</v>
      </c>
      <c r="I22">
        <v>0</v>
      </c>
      <c r="J22" t="s">
        <v>833</v>
      </c>
      <c r="K22" t="s">
        <v>834</v>
      </c>
      <c r="L22">
        <v>153008257</v>
      </c>
      <c r="M22" t="s">
        <v>1423</v>
      </c>
      <c r="N22" t="s">
        <v>836</v>
      </c>
      <c r="O22" t="s">
        <v>837</v>
      </c>
      <c r="P22" t="s">
        <v>1175</v>
      </c>
      <c r="Q22" t="s">
        <v>1176</v>
      </c>
      <c r="R22" t="s">
        <v>1424</v>
      </c>
      <c r="S22" t="s">
        <v>1425</v>
      </c>
      <c r="T22">
        <v>41477010333</v>
      </c>
      <c r="V22" t="s">
        <v>183</v>
      </c>
      <c r="W22" s="41">
        <v>45973</v>
      </c>
      <c r="X22" t="s">
        <v>1426</v>
      </c>
      <c r="Y22" t="s">
        <v>1427</v>
      </c>
      <c r="AA22">
        <v>0</v>
      </c>
      <c r="AB22" t="s">
        <v>845</v>
      </c>
      <c r="AC22" t="s">
        <v>846</v>
      </c>
      <c r="AD22" t="s">
        <v>847</v>
      </c>
      <c r="AE22" t="s">
        <v>848</v>
      </c>
      <c r="AF22">
        <v>1</v>
      </c>
      <c r="AG22">
        <v>452210</v>
      </c>
      <c r="AH22" t="s">
        <v>849</v>
      </c>
      <c r="AI22" t="s">
        <v>850</v>
      </c>
      <c r="AJ22" t="s">
        <v>851</v>
      </c>
      <c r="AK22" t="s">
        <v>381</v>
      </c>
      <c r="AL22" t="s">
        <v>1428</v>
      </c>
      <c r="AM22" t="s">
        <v>1429</v>
      </c>
      <c r="AN22" t="s">
        <v>854</v>
      </c>
      <c r="AO22">
        <v>36805</v>
      </c>
      <c r="AP22">
        <v>632</v>
      </c>
      <c r="AQ22" t="s">
        <v>855</v>
      </c>
      <c r="AR22">
        <v>66199156</v>
      </c>
      <c r="AS22" t="s">
        <v>856</v>
      </c>
      <c r="AU22" t="s">
        <v>1430</v>
      </c>
      <c r="AV22" t="s">
        <v>1431</v>
      </c>
      <c r="AX22" t="s">
        <v>913</v>
      </c>
      <c r="AY22" t="s">
        <v>861</v>
      </c>
      <c r="AZ22" t="s">
        <v>381</v>
      </c>
      <c r="BA22" t="s">
        <v>382</v>
      </c>
      <c r="BB22">
        <v>0</v>
      </c>
      <c r="BC22">
        <v>0</v>
      </c>
      <c r="BD22">
        <v>1</v>
      </c>
      <c r="BE22" t="s">
        <v>1423</v>
      </c>
      <c r="BF22">
        <v>0</v>
      </c>
      <c r="BG22">
        <v>0</v>
      </c>
      <c r="BH22" t="s">
        <v>862</v>
      </c>
      <c r="BI22">
        <v>0</v>
      </c>
      <c r="BJ22" t="s">
        <v>862</v>
      </c>
      <c r="BK22">
        <v>1</v>
      </c>
      <c r="BL22">
        <v>1</v>
      </c>
      <c r="BM22">
        <v>0</v>
      </c>
      <c r="BN22" t="s">
        <v>596</v>
      </c>
      <c r="BO22">
        <v>153008257</v>
      </c>
      <c r="BP22" t="s">
        <v>1422</v>
      </c>
      <c r="BR22">
        <v>42791748</v>
      </c>
      <c r="BT22">
        <v>0</v>
      </c>
      <c r="CM22">
        <v>4010</v>
      </c>
      <c r="CO22">
        <v>7360</v>
      </c>
      <c r="CP22">
        <v>2.7166999999999999</v>
      </c>
      <c r="CQ22">
        <v>2.7166999999999999</v>
      </c>
      <c r="CR22">
        <v>0.7167</v>
      </c>
      <c r="CS22">
        <v>0</v>
      </c>
      <c r="CT22" t="s">
        <v>1432</v>
      </c>
      <c r="CU22" t="s">
        <v>1433</v>
      </c>
      <c r="CV22" t="s">
        <v>833</v>
      </c>
      <c r="CW22" t="s">
        <v>834</v>
      </c>
      <c r="CX22" t="s">
        <v>1423</v>
      </c>
      <c r="CY22">
        <v>1</v>
      </c>
      <c r="CZ22">
        <v>1</v>
      </c>
      <c r="DA22" t="s">
        <v>833</v>
      </c>
      <c r="DB22" t="s">
        <v>865</v>
      </c>
      <c r="DC22">
        <v>60515</v>
      </c>
      <c r="DD22">
        <v>16.5</v>
      </c>
      <c r="DE22" t="s">
        <v>866</v>
      </c>
      <c r="DG22" t="s">
        <v>867</v>
      </c>
      <c r="DH22" t="s">
        <v>851</v>
      </c>
      <c r="DI22" t="s">
        <v>1434</v>
      </c>
      <c r="DJ22" t="s">
        <v>1435</v>
      </c>
      <c r="DL22" t="s">
        <v>869</v>
      </c>
      <c r="DM22">
        <v>0</v>
      </c>
      <c r="DN22">
        <v>0</v>
      </c>
      <c r="DO22">
        <v>11</v>
      </c>
      <c r="DP22" t="s">
        <v>1010</v>
      </c>
      <c r="DQ22">
        <v>16</v>
      </c>
      <c r="DR22">
        <v>990</v>
      </c>
      <c r="DS22">
        <v>1710</v>
      </c>
      <c r="DT22">
        <v>1.2333000000000001</v>
      </c>
      <c r="DU22">
        <v>4</v>
      </c>
      <c r="DW22">
        <v>2</v>
      </c>
      <c r="DX22" t="s">
        <v>596</v>
      </c>
      <c r="DY22" t="s">
        <v>1423</v>
      </c>
      <c r="DZ22">
        <v>0</v>
      </c>
      <c r="EA22">
        <v>0</v>
      </c>
      <c r="EB22">
        <v>1</v>
      </c>
      <c r="EC22">
        <v>1</v>
      </c>
      <c r="ED22">
        <v>1</v>
      </c>
      <c r="EE22">
        <v>1</v>
      </c>
      <c r="EF22" t="s">
        <v>871</v>
      </c>
      <c r="EG22" t="s">
        <v>595</v>
      </c>
      <c r="EH22" t="s">
        <v>921</v>
      </c>
      <c r="EI22" t="s">
        <v>921</v>
      </c>
      <c r="EJ22" t="s">
        <v>181</v>
      </c>
      <c r="EK22">
        <v>9090</v>
      </c>
      <c r="EL22">
        <v>1</v>
      </c>
      <c r="EM22" t="s">
        <v>1436</v>
      </c>
      <c r="EN22">
        <v>0.7167</v>
      </c>
      <c r="EO22">
        <v>28.5</v>
      </c>
      <c r="EP22">
        <v>99991120</v>
      </c>
      <c r="EQ22" t="s">
        <v>874</v>
      </c>
      <c r="ER22" t="s">
        <v>875</v>
      </c>
      <c r="ES22" t="s">
        <v>876</v>
      </c>
      <c r="ET22" t="s">
        <v>877</v>
      </c>
      <c r="EU22" t="s">
        <v>877</v>
      </c>
      <c r="EV22" t="s">
        <v>871</v>
      </c>
      <c r="EX22" t="s">
        <v>836</v>
      </c>
      <c r="EY22" t="s">
        <v>873</v>
      </c>
      <c r="EZ22" t="s">
        <v>1437</v>
      </c>
      <c r="FA22" t="s">
        <v>956</v>
      </c>
      <c r="FB22">
        <v>1</v>
      </c>
      <c r="FC22">
        <v>2</v>
      </c>
      <c r="FD22" s="41">
        <v>45976</v>
      </c>
      <c r="FE22" t="s">
        <v>1438</v>
      </c>
      <c r="FF22">
        <v>9</v>
      </c>
      <c r="FG22" t="s">
        <v>1439</v>
      </c>
      <c r="FH22" t="s">
        <v>1440</v>
      </c>
      <c r="FI22">
        <v>1</v>
      </c>
      <c r="FJ22" t="s">
        <v>1441</v>
      </c>
      <c r="FK22" t="s">
        <v>1440</v>
      </c>
      <c r="FL22">
        <v>1</v>
      </c>
      <c r="FM22" t="s">
        <v>1442</v>
      </c>
      <c r="FN22" t="s">
        <v>1443</v>
      </c>
      <c r="FO22">
        <v>1</v>
      </c>
      <c r="FP22" t="s">
        <v>1444</v>
      </c>
      <c r="FQ22" t="s">
        <v>1433</v>
      </c>
      <c r="FR22">
        <v>1</v>
      </c>
      <c r="FS22" t="s">
        <v>1445</v>
      </c>
      <c r="FT22" t="s">
        <v>1446</v>
      </c>
      <c r="FU22">
        <v>1</v>
      </c>
      <c r="FV22" t="s">
        <v>1447</v>
      </c>
      <c r="FW22" t="s">
        <v>1448</v>
      </c>
      <c r="FX22">
        <v>1</v>
      </c>
      <c r="FY22" t="s">
        <v>890</v>
      </c>
      <c r="FZ22" t="s">
        <v>1449</v>
      </c>
      <c r="GA22" t="s">
        <v>1441</v>
      </c>
      <c r="GB22">
        <v>1</v>
      </c>
      <c r="GD22">
        <v>0</v>
      </c>
      <c r="GF22">
        <v>0</v>
      </c>
      <c r="GG22">
        <v>1</v>
      </c>
      <c r="GH22" t="s">
        <v>892</v>
      </c>
      <c r="GI22" t="s">
        <v>893</v>
      </c>
      <c r="GJ22" t="s">
        <v>1440</v>
      </c>
      <c r="GM22">
        <v>1</v>
      </c>
      <c r="GN22">
        <v>0</v>
      </c>
      <c r="GO22">
        <v>0</v>
      </c>
      <c r="GP22">
        <v>1</v>
      </c>
      <c r="GQ22">
        <v>1</v>
      </c>
      <c r="GR22">
        <v>0</v>
      </c>
      <c r="GS22">
        <v>1</v>
      </c>
      <c r="GT22">
        <v>0</v>
      </c>
      <c r="GU22">
        <v>1</v>
      </c>
      <c r="GV22">
        <v>0</v>
      </c>
      <c r="GW22">
        <v>1</v>
      </c>
      <c r="GX22">
        <v>0</v>
      </c>
      <c r="GY22">
        <v>1</v>
      </c>
      <c r="GZ22">
        <v>0</v>
      </c>
      <c r="HA22" t="s">
        <v>381</v>
      </c>
      <c r="HB22" t="s">
        <v>894</v>
      </c>
      <c r="HC22" t="s">
        <v>895</v>
      </c>
      <c r="HD22" t="s">
        <v>845</v>
      </c>
      <c r="HE22" t="s">
        <v>836</v>
      </c>
      <c r="HF22" t="s">
        <v>873</v>
      </c>
      <c r="HG22" t="s">
        <v>894</v>
      </c>
      <c r="HH22" t="s">
        <v>895</v>
      </c>
      <c r="HI22" t="s">
        <v>845</v>
      </c>
      <c r="HJ22" t="s">
        <v>836</v>
      </c>
      <c r="HK22" t="s">
        <v>1436</v>
      </c>
      <c r="HL22" t="s">
        <v>183</v>
      </c>
      <c r="HM22" t="s">
        <v>854</v>
      </c>
      <c r="HN22">
        <v>36805</v>
      </c>
      <c r="HP22" t="s">
        <v>181</v>
      </c>
      <c r="HQ22" t="s">
        <v>896</v>
      </c>
      <c r="HR22" t="s">
        <v>896</v>
      </c>
      <c r="HS22" t="s">
        <v>896</v>
      </c>
    </row>
    <row r="23" spans="1:227" x14ac:dyDescent="0.2">
      <c r="A23">
        <v>8702</v>
      </c>
      <c r="B23">
        <v>7523303294</v>
      </c>
      <c r="D23" t="s">
        <v>913</v>
      </c>
      <c r="E23" t="s">
        <v>897</v>
      </c>
      <c r="F23">
        <v>0</v>
      </c>
      <c r="G23" t="s">
        <v>1450</v>
      </c>
      <c r="H23" t="s">
        <v>1450</v>
      </c>
      <c r="I23">
        <v>0</v>
      </c>
      <c r="J23" t="s">
        <v>833</v>
      </c>
      <c r="K23" t="s">
        <v>834</v>
      </c>
      <c r="L23">
        <v>156046221</v>
      </c>
      <c r="M23" t="s">
        <v>1451</v>
      </c>
      <c r="N23" t="s">
        <v>900</v>
      </c>
      <c r="O23" t="s">
        <v>837</v>
      </c>
      <c r="P23" t="s">
        <v>913</v>
      </c>
      <c r="T23">
        <v>41477102132</v>
      </c>
      <c r="V23" t="s">
        <v>208</v>
      </c>
      <c r="W23" s="41">
        <v>45892</v>
      </c>
      <c r="X23" t="s">
        <v>1452</v>
      </c>
      <c r="Y23" t="s">
        <v>1450</v>
      </c>
      <c r="AA23">
        <v>0</v>
      </c>
      <c r="AB23" t="s">
        <v>845</v>
      </c>
      <c r="AC23" t="s">
        <v>846</v>
      </c>
      <c r="AD23" t="s">
        <v>847</v>
      </c>
      <c r="AE23" t="s">
        <v>848</v>
      </c>
      <c r="AF23">
        <v>1</v>
      </c>
      <c r="AG23">
        <v>452210</v>
      </c>
      <c r="AH23" t="s">
        <v>849</v>
      </c>
      <c r="AI23" t="s">
        <v>850</v>
      </c>
      <c r="AJ23" t="s">
        <v>851</v>
      </c>
      <c r="AK23" t="s">
        <v>466</v>
      </c>
      <c r="AL23" t="s">
        <v>1453</v>
      </c>
      <c r="AM23" t="s">
        <v>979</v>
      </c>
      <c r="AN23" t="s">
        <v>854</v>
      </c>
      <c r="AO23">
        <v>36805</v>
      </c>
      <c r="AP23">
        <v>647</v>
      </c>
      <c r="AQ23" t="s">
        <v>855</v>
      </c>
      <c r="AR23">
        <v>0</v>
      </c>
      <c r="AS23" t="s">
        <v>856</v>
      </c>
      <c r="AU23" t="s">
        <v>1454</v>
      </c>
      <c r="AV23" t="s">
        <v>1455</v>
      </c>
      <c r="AX23" t="s">
        <v>913</v>
      </c>
      <c r="AY23" t="s">
        <v>861</v>
      </c>
      <c r="AZ23" t="s">
        <v>466</v>
      </c>
      <c r="BA23" t="s">
        <v>467</v>
      </c>
      <c r="BB23">
        <v>0</v>
      </c>
      <c r="BC23">
        <v>0</v>
      </c>
      <c r="BD23">
        <v>0</v>
      </c>
      <c r="BE23" t="s">
        <v>1451</v>
      </c>
      <c r="BF23">
        <v>0</v>
      </c>
      <c r="BG23">
        <v>0</v>
      </c>
      <c r="BH23" t="s">
        <v>862</v>
      </c>
      <c r="BI23">
        <v>0</v>
      </c>
      <c r="BJ23" t="s">
        <v>862</v>
      </c>
      <c r="BK23">
        <v>0</v>
      </c>
      <c r="BL23">
        <v>1</v>
      </c>
      <c r="BM23">
        <v>0</v>
      </c>
      <c r="BN23" t="s">
        <v>596</v>
      </c>
      <c r="BO23">
        <v>156046221</v>
      </c>
      <c r="BP23" t="s">
        <v>1450</v>
      </c>
      <c r="BR23">
        <v>42791779</v>
      </c>
      <c r="BT23">
        <v>0</v>
      </c>
      <c r="CM23">
        <v>4010</v>
      </c>
      <c r="CO23">
        <v>7360</v>
      </c>
      <c r="CP23">
        <v>0</v>
      </c>
      <c r="CQ23">
        <v>0</v>
      </c>
      <c r="CR23">
        <v>0</v>
      </c>
      <c r="CS23">
        <v>0</v>
      </c>
      <c r="CT23" t="s">
        <v>1456</v>
      </c>
      <c r="CU23" t="s">
        <v>1457</v>
      </c>
      <c r="CV23" t="s">
        <v>833</v>
      </c>
      <c r="CW23" t="s">
        <v>834</v>
      </c>
      <c r="CX23" t="s">
        <v>1451</v>
      </c>
      <c r="CY23">
        <v>0</v>
      </c>
      <c r="CZ23">
        <v>0</v>
      </c>
      <c r="DA23" t="s">
        <v>833</v>
      </c>
      <c r="DB23" t="s">
        <v>865</v>
      </c>
      <c r="DC23">
        <v>49002</v>
      </c>
      <c r="DD23">
        <v>35.35</v>
      </c>
      <c r="DE23" t="s">
        <v>866</v>
      </c>
      <c r="DG23" t="s">
        <v>867</v>
      </c>
      <c r="DH23" t="s">
        <v>851</v>
      </c>
      <c r="DI23" t="s">
        <v>984</v>
      </c>
      <c r="DL23" t="s">
        <v>869</v>
      </c>
      <c r="DM23">
        <v>1</v>
      </c>
      <c r="DN23">
        <v>0</v>
      </c>
      <c r="DP23" t="s">
        <v>913</v>
      </c>
      <c r="DQ23">
        <v>16</v>
      </c>
      <c r="DR23">
        <v>2121</v>
      </c>
      <c r="DS23">
        <v>3592</v>
      </c>
      <c r="DT23">
        <v>0</v>
      </c>
      <c r="DU23">
        <v>4</v>
      </c>
      <c r="DW23">
        <v>2</v>
      </c>
      <c r="DX23" t="s">
        <v>596</v>
      </c>
      <c r="DY23" t="s">
        <v>1451</v>
      </c>
      <c r="DZ23">
        <v>0</v>
      </c>
      <c r="EA23">
        <v>0</v>
      </c>
      <c r="EB23">
        <v>0</v>
      </c>
      <c r="EC23">
        <v>0</v>
      </c>
      <c r="ED23">
        <v>0</v>
      </c>
      <c r="EE23">
        <v>0</v>
      </c>
      <c r="EF23" t="s">
        <v>871</v>
      </c>
      <c r="EG23" t="s">
        <v>597</v>
      </c>
      <c r="EH23" t="s">
        <v>921</v>
      </c>
      <c r="EI23" t="s">
        <v>921</v>
      </c>
      <c r="EJ23" t="s">
        <v>178</v>
      </c>
      <c r="EK23">
        <v>9090</v>
      </c>
      <c r="EL23">
        <v>0</v>
      </c>
      <c r="EM23" t="s">
        <v>922</v>
      </c>
      <c r="EN23">
        <v>0</v>
      </c>
      <c r="EO23">
        <v>59.866666600000002</v>
      </c>
      <c r="EP23">
        <v>99991120</v>
      </c>
      <c r="EQ23" t="s">
        <v>874</v>
      </c>
      <c r="ER23" t="s">
        <v>875</v>
      </c>
      <c r="ES23" t="s">
        <v>876</v>
      </c>
      <c r="ET23" t="s">
        <v>877</v>
      </c>
      <c r="EU23" t="s">
        <v>877</v>
      </c>
      <c r="EV23" t="s">
        <v>871</v>
      </c>
      <c r="EX23" t="s">
        <v>953</v>
      </c>
      <c r="EY23" t="s">
        <v>986</v>
      </c>
      <c r="EZ23" t="s">
        <v>924</v>
      </c>
      <c r="FA23" t="s">
        <v>925</v>
      </c>
      <c r="FB23">
        <v>1</v>
      </c>
      <c r="FC23">
        <v>0</v>
      </c>
      <c r="FD23" s="41">
        <v>45892</v>
      </c>
      <c r="FE23" t="s">
        <v>987</v>
      </c>
      <c r="FF23">
        <v>8</v>
      </c>
      <c r="FG23" t="s">
        <v>1458</v>
      </c>
      <c r="FH23" t="s">
        <v>1459</v>
      </c>
      <c r="FI23">
        <v>1</v>
      </c>
      <c r="FJ23" t="s">
        <v>1460</v>
      </c>
      <c r="FK23" t="s">
        <v>1461</v>
      </c>
      <c r="FL23">
        <v>1</v>
      </c>
      <c r="FM23" t="s">
        <v>1462</v>
      </c>
      <c r="FN23" t="s">
        <v>1461</v>
      </c>
      <c r="FO23">
        <v>1</v>
      </c>
      <c r="FP23" t="s">
        <v>1463</v>
      </c>
      <c r="FQ23" t="s">
        <v>1457</v>
      </c>
      <c r="FR23">
        <v>1</v>
      </c>
      <c r="FS23" t="s">
        <v>1464</v>
      </c>
      <c r="FT23" t="s">
        <v>1465</v>
      </c>
      <c r="FU23">
        <v>1</v>
      </c>
      <c r="FV23" t="s">
        <v>1466</v>
      </c>
      <c r="FW23" t="s">
        <v>1467</v>
      </c>
      <c r="FX23">
        <v>1</v>
      </c>
      <c r="FY23" t="s">
        <v>890</v>
      </c>
      <c r="FZ23" t="s">
        <v>1468</v>
      </c>
      <c r="GA23" t="s">
        <v>1458</v>
      </c>
      <c r="GB23">
        <v>1</v>
      </c>
      <c r="GC23" t="s">
        <v>1469</v>
      </c>
      <c r="GD23">
        <v>1</v>
      </c>
      <c r="GF23">
        <v>0</v>
      </c>
      <c r="GG23">
        <v>1</v>
      </c>
      <c r="GH23" t="s">
        <v>892</v>
      </c>
      <c r="GI23" t="s">
        <v>893</v>
      </c>
      <c r="GJ23" t="s">
        <v>1459</v>
      </c>
      <c r="GK23" t="s">
        <v>1470</v>
      </c>
      <c r="GM23">
        <v>0</v>
      </c>
      <c r="GN23">
        <v>0</v>
      </c>
      <c r="GO23">
        <v>0</v>
      </c>
      <c r="GP23">
        <v>0</v>
      </c>
      <c r="GQ23">
        <v>0</v>
      </c>
      <c r="GR23">
        <v>0</v>
      </c>
      <c r="GS23">
        <v>0</v>
      </c>
      <c r="GT23">
        <v>0</v>
      </c>
      <c r="GU23">
        <v>0</v>
      </c>
      <c r="GV23">
        <v>0</v>
      </c>
      <c r="GW23">
        <v>0</v>
      </c>
      <c r="GX23">
        <v>0</v>
      </c>
      <c r="GY23">
        <v>0</v>
      </c>
      <c r="GZ23">
        <v>0</v>
      </c>
      <c r="HA23" t="s">
        <v>466</v>
      </c>
      <c r="HB23" t="s">
        <v>894</v>
      </c>
      <c r="HC23" t="s">
        <v>935</v>
      </c>
      <c r="HD23" t="s">
        <v>845</v>
      </c>
      <c r="HE23" t="s">
        <v>900</v>
      </c>
      <c r="HF23" t="s">
        <v>923</v>
      </c>
      <c r="HG23" t="s">
        <v>894</v>
      </c>
      <c r="HH23" t="s">
        <v>935</v>
      </c>
      <c r="HI23" t="s">
        <v>845</v>
      </c>
      <c r="HJ23" t="s">
        <v>900</v>
      </c>
      <c r="HK23" t="s">
        <v>922</v>
      </c>
      <c r="HL23" t="s">
        <v>208</v>
      </c>
      <c r="HM23" t="s">
        <v>854</v>
      </c>
      <c r="HN23">
        <v>36805</v>
      </c>
      <c r="HP23" t="s">
        <v>178</v>
      </c>
      <c r="HQ23" t="s">
        <v>896</v>
      </c>
      <c r="HR23" t="s">
        <v>896</v>
      </c>
      <c r="HS23" t="s">
        <v>896</v>
      </c>
    </row>
    <row r="24" spans="1:227" x14ac:dyDescent="0.2">
      <c r="A24">
        <v>8702</v>
      </c>
      <c r="B24">
        <v>7620602557</v>
      </c>
      <c r="C24" t="s">
        <v>936</v>
      </c>
      <c r="D24" t="s">
        <v>937</v>
      </c>
      <c r="E24" t="s">
        <v>897</v>
      </c>
      <c r="F24">
        <v>0</v>
      </c>
      <c r="G24" t="s">
        <v>1471</v>
      </c>
      <c r="H24" t="s">
        <v>1471</v>
      </c>
      <c r="I24">
        <v>0</v>
      </c>
      <c r="J24" t="s">
        <v>833</v>
      </c>
      <c r="K24" t="s">
        <v>834</v>
      </c>
      <c r="L24">
        <v>153008359</v>
      </c>
      <c r="M24" t="s">
        <v>1472</v>
      </c>
      <c r="N24" t="s">
        <v>900</v>
      </c>
      <c r="O24" t="s">
        <v>837</v>
      </c>
      <c r="P24" t="s">
        <v>940</v>
      </c>
      <c r="Q24" t="s">
        <v>1473</v>
      </c>
      <c r="R24" t="s">
        <v>1474</v>
      </c>
      <c r="S24" t="s">
        <v>1475</v>
      </c>
      <c r="T24">
        <v>41477080581</v>
      </c>
      <c r="V24" t="s">
        <v>1476</v>
      </c>
      <c r="W24" s="41">
        <v>46228</v>
      </c>
      <c r="X24" t="s">
        <v>1477</v>
      </c>
      <c r="Y24" t="s">
        <v>1478</v>
      </c>
      <c r="AA24">
        <v>0</v>
      </c>
      <c r="AB24" t="s">
        <v>845</v>
      </c>
      <c r="AC24" t="s">
        <v>846</v>
      </c>
      <c r="AD24" t="s">
        <v>907</v>
      </c>
      <c r="AE24" t="s">
        <v>908</v>
      </c>
      <c r="AF24">
        <v>1</v>
      </c>
      <c r="AG24">
        <v>452210</v>
      </c>
      <c r="AH24" t="s">
        <v>849</v>
      </c>
      <c r="AI24" t="s">
        <v>850</v>
      </c>
      <c r="AJ24" t="s">
        <v>851</v>
      </c>
      <c r="AK24" t="s">
        <v>413</v>
      </c>
      <c r="AL24" t="s">
        <v>1479</v>
      </c>
      <c r="AM24" t="s">
        <v>1480</v>
      </c>
      <c r="AN24" t="s">
        <v>854</v>
      </c>
      <c r="AO24">
        <v>36805</v>
      </c>
      <c r="AP24">
        <v>931</v>
      </c>
      <c r="AQ24" t="s">
        <v>855</v>
      </c>
      <c r="AR24">
        <v>66566420</v>
      </c>
      <c r="AS24" t="s">
        <v>856</v>
      </c>
      <c r="AU24" t="s">
        <v>1481</v>
      </c>
      <c r="AV24" t="s">
        <v>1482</v>
      </c>
      <c r="AX24" t="s">
        <v>913</v>
      </c>
      <c r="AY24" t="s">
        <v>861</v>
      </c>
      <c r="AZ24" t="s">
        <v>413</v>
      </c>
      <c r="BA24" t="s">
        <v>414</v>
      </c>
      <c r="BB24">
        <v>0</v>
      </c>
      <c r="BC24">
        <v>0</v>
      </c>
      <c r="BD24">
        <v>0</v>
      </c>
      <c r="BE24" t="s">
        <v>1472</v>
      </c>
      <c r="BF24">
        <v>0</v>
      </c>
      <c r="BG24">
        <v>0</v>
      </c>
      <c r="BH24" t="s">
        <v>862</v>
      </c>
      <c r="BI24">
        <v>0</v>
      </c>
      <c r="BJ24" t="s">
        <v>862</v>
      </c>
      <c r="BK24">
        <v>1</v>
      </c>
      <c r="BL24">
        <v>1</v>
      </c>
      <c r="BM24">
        <v>0</v>
      </c>
      <c r="BN24" t="s">
        <v>596</v>
      </c>
      <c r="BO24">
        <v>153008359</v>
      </c>
      <c r="BP24" t="s">
        <v>1471</v>
      </c>
      <c r="BQ24">
        <v>40.8614192</v>
      </c>
      <c r="BR24">
        <v>42793655</v>
      </c>
      <c r="BS24">
        <v>-81.434368699999993</v>
      </c>
      <c r="BT24">
        <v>2</v>
      </c>
      <c r="BU24" t="s">
        <v>1062</v>
      </c>
      <c r="BY24">
        <v>12</v>
      </c>
      <c r="CA24">
        <v>2</v>
      </c>
      <c r="CE24">
        <v>1</v>
      </c>
      <c r="CI24">
        <v>11</v>
      </c>
      <c r="CJ24" t="s">
        <v>94</v>
      </c>
      <c r="CM24">
        <v>4010</v>
      </c>
      <c r="CO24">
        <v>7360</v>
      </c>
      <c r="CP24">
        <v>0.4</v>
      </c>
      <c r="CQ24">
        <v>0.4</v>
      </c>
      <c r="CR24">
        <v>0.31669999999999998</v>
      </c>
      <c r="CS24">
        <v>6</v>
      </c>
      <c r="CT24" t="s">
        <v>1482</v>
      </c>
      <c r="CU24" t="s">
        <v>1481</v>
      </c>
      <c r="CV24" t="s">
        <v>833</v>
      </c>
      <c r="CW24" t="s">
        <v>834</v>
      </c>
      <c r="CX24" t="s">
        <v>1472</v>
      </c>
      <c r="CY24">
        <v>0</v>
      </c>
      <c r="CZ24">
        <v>0</v>
      </c>
      <c r="DA24" t="s">
        <v>833</v>
      </c>
      <c r="DB24" t="s">
        <v>865</v>
      </c>
      <c r="DC24">
        <v>44720</v>
      </c>
      <c r="DD24">
        <v>1.9</v>
      </c>
      <c r="DE24" t="s">
        <v>866</v>
      </c>
      <c r="DG24" t="s">
        <v>867</v>
      </c>
      <c r="DH24" t="s">
        <v>851</v>
      </c>
      <c r="DI24" t="s">
        <v>1483</v>
      </c>
      <c r="DK24" t="s">
        <v>918</v>
      </c>
      <c r="DL24" t="s">
        <v>869</v>
      </c>
      <c r="DM24">
        <v>0</v>
      </c>
      <c r="DN24">
        <v>0</v>
      </c>
      <c r="DO24">
        <v>53</v>
      </c>
      <c r="DP24" t="s">
        <v>1156</v>
      </c>
      <c r="DQ24">
        <v>12</v>
      </c>
      <c r="DR24">
        <v>114</v>
      </c>
      <c r="DS24">
        <v>114</v>
      </c>
      <c r="DT24">
        <v>1.5</v>
      </c>
      <c r="DU24">
        <v>4</v>
      </c>
      <c r="DV24">
        <v>1</v>
      </c>
      <c r="DW24">
        <v>1</v>
      </c>
      <c r="DX24" t="s">
        <v>596</v>
      </c>
      <c r="DY24" t="s">
        <v>1472</v>
      </c>
      <c r="DZ24">
        <v>1</v>
      </c>
      <c r="EA24">
        <v>1</v>
      </c>
      <c r="EB24">
        <v>1</v>
      </c>
      <c r="EC24">
        <v>1</v>
      </c>
      <c r="ED24">
        <v>1</v>
      </c>
      <c r="EE24">
        <v>1</v>
      </c>
      <c r="EF24" t="s">
        <v>920</v>
      </c>
      <c r="EG24" t="s">
        <v>595</v>
      </c>
      <c r="EH24" t="s">
        <v>1036</v>
      </c>
      <c r="EI24" t="s">
        <v>1036</v>
      </c>
      <c r="EJ24" t="s">
        <v>226</v>
      </c>
      <c r="EK24">
        <v>9090</v>
      </c>
      <c r="EL24">
        <v>0</v>
      </c>
      <c r="EM24" t="s">
        <v>1157</v>
      </c>
      <c r="EN24">
        <v>0.31669999999999998</v>
      </c>
      <c r="EO24">
        <v>1.9</v>
      </c>
      <c r="EP24">
        <v>99991120</v>
      </c>
      <c r="EQ24" t="s">
        <v>874</v>
      </c>
      <c r="ER24" t="s">
        <v>875</v>
      </c>
      <c r="ES24" t="s">
        <v>876</v>
      </c>
      <c r="ET24" t="s">
        <v>877</v>
      </c>
      <c r="EU24" t="s">
        <v>877</v>
      </c>
      <c r="EV24" t="s">
        <v>920</v>
      </c>
      <c r="EX24" t="s">
        <v>900</v>
      </c>
      <c r="EY24" t="s">
        <v>923</v>
      </c>
      <c r="EZ24" t="s">
        <v>1236</v>
      </c>
      <c r="FA24" t="s">
        <v>956</v>
      </c>
      <c r="FB24">
        <v>1</v>
      </c>
      <c r="FC24">
        <v>1</v>
      </c>
      <c r="FD24" s="41">
        <v>46228</v>
      </c>
      <c r="FE24" t="s">
        <v>1066</v>
      </c>
      <c r="FF24">
        <v>4</v>
      </c>
      <c r="FI24">
        <v>0</v>
      </c>
      <c r="FL24">
        <v>0</v>
      </c>
      <c r="FM24" t="s">
        <v>1484</v>
      </c>
      <c r="FN24" t="s">
        <v>1485</v>
      </c>
      <c r="FO24">
        <v>1</v>
      </c>
      <c r="FP24" t="s">
        <v>1486</v>
      </c>
      <c r="FQ24" t="s">
        <v>1481</v>
      </c>
      <c r="FR24">
        <v>1</v>
      </c>
      <c r="FS24" t="s">
        <v>1487</v>
      </c>
      <c r="FT24" t="s">
        <v>1488</v>
      </c>
      <c r="FU24">
        <v>1</v>
      </c>
      <c r="FV24" t="s">
        <v>1489</v>
      </c>
      <c r="FW24" t="s">
        <v>1490</v>
      </c>
      <c r="FX24">
        <v>1</v>
      </c>
      <c r="FY24" t="s">
        <v>890</v>
      </c>
      <c r="FZ24" t="s">
        <v>1491</v>
      </c>
      <c r="GA24" t="s">
        <v>1489</v>
      </c>
      <c r="GB24">
        <v>1</v>
      </c>
      <c r="GD24">
        <v>0</v>
      </c>
      <c r="GF24">
        <v>0</v>
      </c>
      <c r="GG24">
        <v>1</v>
      </c>
      <c r="GH24" t="s">
        <v>892</v>
      </c>
      <c r="GI24" t="s">
        <v>893</v>
      </c>
      <c r="GJ24" t="s">
        <v>1490</v>
      </c>
      <c r="GM24">
        <v>1</v>
      </c>
      <c r="GN24">
        <v>1</v>
      </c>
      <c r="GO24">
        <v>0</v>
      </c>
      <c r="GP24">
        <v>1</v>
      </c>
      <c r="GQ24">
        <v>1</v>
      </c>
      <c r="GR24">
        <v>0</v>
      </c>
      <c r="GS24">
        <v>1</v>
      </c>
      <c r="GT24">
        <v>0</v>
      </c>
      <c r="GU24">
        <v>1</v>
      </c>
      <c r="GV24">
        <v>0</v>
      </c>
      <c r="GW24">
        <v>1</v>
      </c>
      <c r="GX24">
        <v>0</v>
      </c>
      <c r="GY24">
        <v>1</v>
      </c>
      <c r="GZ24">
        <v>0</v>
      </c>
      <c r="HA24" t="s">
        <v>413</v>
      </c>
      <c r="HB24" t="s">
        <v>894</v>
      </c>
      <c r="HC24" t="s">
        <v>935</v>
      </c>
      <c r="HD24" t="s">
        <v>845</v>
      </c>
      <c r="HE24" t="s">
        <v>900</v>
      </c>
      <c r="HF24" t="s">
        <v>923</v>
      </c>
      <c r="HG24" t="s">
        <v>894</v>
      </c>
      <c r="HH24" t="s">
        <v>935</v>
      </c>
      <c r="HI24" t="s">
        <v>845</v>
      </c>
      <c r="HJ24" t="s">
        <v>900</v>
      </c>
      <c r="HK24" t="s">
        <v>922</v>
      </c>
      <c r="HL24" t="s">
        <v>1476</v>
      </c>
      <c r="HM24" t="s">
        <v>854</v>
      </c>
      <c r="HN24">
        <v>36805</v>
      </c>
      <c r="HP24" t="s">
        <v>226</v>
      </c>
      <c r="HQ24" t="s">
        <v>896</v>
      </c>
      <c r="HR24" t="s">
        <v>896</v>
      </c>
      <c r="HS24" t="s">
        <v>896</v>
      </c>
    </row>
    <row r="25" spans="1:227" ht="320" x14ac:dyDescent="0.2">
      <c r="A25">
        <v>8702</v>
      </c>
      <c r="B25">
        <v>7524404738</v>
      </c>
      <c r="C25">
        <v>34</v>
      </c>
      <c r="D25" t="s">
        <v>996</v>
      </c>
      <c r="E25" t="s">
        <v>831</v>
      </c>
      <c r="F25">
        <v>1</v>
      </c>
      <c r="G25" t="s">
        <v>1492</v>
      </c>
      <c r="H25" t="s">
        <v>1492</v>
      </c>
      <c r="I25">
        <v>0</v>
      </c>
      <c r="J25" t="s">
        <v>833</v>
      </c>
      <c r="K25" t="s">
        <v>834</v>
      </c>
      <c r="L25">
        <v>153524610</v>
      </c>
      <c r="M25" t="s">
        <v>1493</v>
      </c>
      <c r="N25" t="s">
        <v>836</v>
      </c>
      <c r="O25" t="s">
        <v>837</v>
      </c>
      <c r="P25" t="s">
        <v>999</v>
      </c>
      <c r="Q25" t="s">
        <v>1027</v>
      </c>
      <c r="R25" t="s">
        <v>1494</v>
      </c>
      <c r="S25" t="s">
        <v>1495</v>
      </c>
      <c r="T25">
        <v>41477088992</v>
      </c>
      <c r="V25" t="s">
        <v>165</v>
      </c>
      <c r="W25" s="41">
        <v>45902</v>
      </c>
      <c r="X25" t="s">
        <v>1496</v>
      </c>
      <c r="Y25" t="s">
        <v>1497</v>
      </c>
      <c r="Z25" t="s">
        <v>1498</v>
      </c>
      <c r="AA25">
        <v>0</v>
      </c>
      <c r="AB25" t="s">
        <v>845</v>
      </c>
      <c r="AC25" t="s">
        <v>846</v>
      </c>
      <c r="AD25" t="s">
        <v>847</v>
      </c>
      <c r="AE25" t="s">
        <v>848</v>
      </c>
      <c r="AF25">
        <v>1</v>
      </c>
      <c r="AG25">
        <v>452210</v>
      </c>
      <c r="AH25" t="s">
        <v>849</v>
      </c>
      <c r="AI25" t="s">
        <v>850</v>
      </c>
      <c r="AJ25" t="s">
        <v>851</v>
      </c>
      <c r="AK25" t="s">
        <v>303</v>
      </c>
      <c r="AL25" t="s">
        <v>1115</v>
      </c>
      <c r="AM25" t="s">
        <v>1499</v>
      </c>
      <c r="AN25" t="s">
        <v>854</v>
      </c>
      <c r="AO25">
        <v>36805</v>
      </c>
      <c r="AP25">
        <v>544</v>
      </c>
      <c r="AQ25" t="s">
        <v>855</v>
      </c>
      <c r="AR25">
        <v>66097070</v>
      </c>
      <c r="AS25" t="s">
        <v>856</v>
      </c>
      <c r="AU25" t="s">
        <v>1500</v>
      </c>
      <c r="AV25" t="s">
        <v>1501</v>
      </c>
      <c r="AX25" t="s">
        <v>913</v>
      </c>
      <c r="AY25" t="s">
        <v>861</v>
      </c>
      <c r="AZ25" t="s">
        <v>303</v>
      </c>
      <c r="BA25" t="s">
        <v>304</v>
      </c>
      <c r="BB25">
        <v>1</v>
      </c>
      <c r="BC25">
        <v>0</v>
      </c>
      <c r="BD25">
        <v>0</v>
      </c>
      <c r="BE25" t="s">
        <v>1493</v>
      </c>
      <c r="BF25">
        <v>0</v>
      </c>
      <c r="BG25">
        <v>0</v>
      </c>
      <c r="BH25" t="s">
        <v>862</v>
      </c>
      <c r="BI25">
        <v>0</v>
      </c>
      <c r="BJ25" t="s">
        <v>862</v>
      </c>
      <c r="BK25">
        <v>1</v>
      </c>
      <c r="BL25">
        <v>1</v>
      </c>
      <c r="BM25">
        <v>0</v>
      </c>
      <c r="BN25" t="s">
        <v>596</v>
      </c>
      <c r="BO25">
        <v>153524610</v>
      </c>
      <c r="BP25" t="s">
        <v>1492</v>
      </c>
      <c r="BQ25">
        <v>44.748254099999997</v>
      </c>
      <c r="BR25">
        <v>42791459</v>
      </c>
      <c r="BS25">
        <v>-93.382519299999998</v>
      </c>
      <c r="BT25">
        <v>1</v>
      </c>
      <c r="BU25" t="s">
        <v>1151</v>
      </c>
      <c r="CI25">
        <v>11</v>
      </c>
      <c r="CJ25" t="s">
        <v>94</v>
      </c>
      <c r="CM25">
        <v>4010</v>
      </c>
      <c r="CO25">
        <v>7360</v>
      </c>
      <c r="CP25">
        <v>1.5166999999999999</v>
      </c>
      <c r="CQ25">
        <v>1.5166999999999999</v>
      </c>
      <c r="CR25">
        <v>2.65</v>
      </c>
      <c r="CS25">
        <v>0</v>
      </c>
      <c r="CT25" t="s">
        <v>1501</v>
      </c>
      <c r="CU25" t="s">
        <v>1500</v>
      </c>
      <c r="CV25" t="s">
        <v>833</v>
      </c>
      <c r="CW25" t="s">
        <v>834</v>
      </c>
      <c r="CX25" t="s">
        <v>1493</v>
      </c>
      <c r="CY25">
        <v>1</v>
      </c>
      <c r="CZ25">
        <v>1</v>
      </c>
      <c r="DA25" t="s">
        <v>833</v>
      </c>
      <c r="DB25" t="s">
        <v>865</v>
      </c>
      <c r="DC25">
        <v>55378</v>
      </c>
      <c r="DD25">
        <v>23.15</v>
      </c>
      <c r="DE25" t="s">
        <v>866</v>
      </c>
      <c r="DG25" t="s">
        <v>867</v>
      </c>
      <c r="DH25" t="s">
        <v>851</v>
      </c>
      <c r="DI25" t="s">
        <v>1266</v>
      </c>
      <c r="DK25" t="s">
        <v>1155</v>
      </c>
      <c r="DL25" t="s">
        <v>869</v>
      </c>
      <c r="DM25">
        <v>0</v>
      </c>
      <c r="DN25">
        <v>0</v>
      </c>
      <c r="DO25">
        <v>2</v>
      </c>
      <c r="DP25" t="s">
        <v>870</v>
      </c>
      <c r="DQ25">
        <v>16</v>
      </c>
      <c r="DR25">
        <v>1389</v>
      </c>
      <c r="DS25">
        <v>2136</v>
      </c>
      <c r="DT25">
        <v>12</v>
      </c>
      <c r="DU25">
        <v>4</v>
      </c>
      <c r="DV25">
        <v>1</v>
      </c>
      <c r="DW25">
        <v>2</v>
      </c>
      <c r="DX25" t="s">
        <v>596</v>
      </c>
      <c r="DY25" t="s">
        <v>1493</v>
      </c>
      <c r="DZ25">
        <v>0</v>
      </c>
      <c r="EA25">
        <v>0</v>
      </c>
      <c r="EB25">
        <v>1</v>
      </c>
      <c r="EC25">
        <v>0</v>
      </c>
      <c r="ED25">
        <v>0</v>
      </c>
      <c r="EE25">
        <v>1</v>
      </c>
      <c r="EF25" t="s">
        <v>871</v>
      </c>
      <c r="EG25" t="s">
        <v>595</v>
      </c>
      <c r="EH25" t="s">
        <v>921</v>
      </c>
      <c r="EI25" t="s">
        <v>921</v>
      </c>
      <c r="EJ25" t="s">
        <v>159</v>
      </c>
      <c r="EK25">
        <v>9090</v>
      </c>
      <c r="EL25">
        <v>1</v>
      </c>
      <c r="EM25" t="s">
        <v>873</v>
      </c>
      <c r="EN25">
        <v>2.65</v>
      </c>
      <c r="EO25">
        <v>35.6</v>
      </c>
      <c r="EP25">
        <v>99991120</v>
      </c>
      <c r="EQ25" t="s">
        <v>874</v>
      </c>
      <c r="ER25" t="s">
        <v>875</v>
      </c>
      <c r="ES25" t="s">
        <v>876</v>
      </c>
      <c r="ET25" t="s">
        <v>877</v>
      </c>
      <c r="EU25" t="s">
        <v>877</v>
      </c>
      <c r="EV25" t="s">
        <v>871</v>
      </c>
      <c r="EX25" t="s">
        <v>836</v>
      </c>
      <c r="EY25" t="s">
        <v>1121</v>
      </c>
      <c r="EZ25" t="s">
        <v>1122</v>
      </c>
      <c r="FA25" t="s">
        <v>956</v>
      </c>
      <c r="FB25">
        <v>1</v>
      </c>
      <c r="FC25">
        <v>2</v>
      </c>
      <c r="FD25" s="41">
        <v>45906</v>
      </c>
      <c r="FE25" t="s">
        <v>880</v>
      </c>
      <c r="FF25">
        <v>9</v>
      </c>
      <c r="FG25" t="s">
        <v>1502</v>
      </c>
      <c r="FH25" t="s">
        <v>1503</v>
      </c>
      <c r="FI25">
        <v>1</v>
      </c>
      <c r="FJ25" t="s">
        <v>1504</v>
      </c>
      <c r="FK25" t="s">
        <v>1505</v>
      </c>
      <c r="FL25">
        <v>1</v>
      </c>
      <c r="FM25" t="s">
        <v>1506</v>
      </c>
      <c r="FN25" t="s">
        <v>1507</v>
      </c>
      <c r="FO25">
        <v>1</v>
      </c>
      <c r="FP25" t="s">
        <v>1508</v>
      </c>
      <c r="FQ25" t="s">
        <v>1500</v>
      </c>
      <c r="FR25">
        <v>1</v>
      </c>
      <c r="FS25" t="s">
        <v>1396</v>
      </c>
      <c r="FT25" t="s">
        <v>1509</v>
      </c>
      <c r="FU25">
        <v>1</v>
      </c>
      <c r="FV25" t="s">
        <v>1510</v>
      </c>
      <c r="FW25" t="s">
        <v>1511</v>
      </c>
      <c r="FX25">
        <v>1</v>
      </c>
      <c r="FY25" t="s">
        <v>890</v>
      </c>
      <c r="FZ25" t="s">
        <v>1512</v>
      </c>
      <c r="GA25" t="s">
        <v>1504</v>
      </c>
      <c r="GB25">
        <v>1</v>
      </c>
      <c r="GC25" s="42" t="s">
        <v>1513</v>
      </c>
      <c r="GD25">
        <v>1</v>
      </c>
      <c r="GE25" t="s">
        <v>1510</v>
      </c>
      <c r="GF25">
        <v>1</v>
      </c>
      <c r="GG25">
        <v>1</v>
      </c>
      <c r="GH25" t="s">
        <v>892</v>
      </c>
      <c r="GI25" t="s">
        <v>893</v>
      </c>
      <c r="GJ25" t="s">
        <v>1505</v>
      </c>
      <c r="GK25" t="s">
        <v>1514</v>
      </c>
      <c r="GL25" t="s">
        <v>1511</v>
      </c>
      <c r="GM25">
        <v>1</v>
      </c>
      <c r="GN25">
        <v>0</v>
      </c>
      <c r="GO25">
        <v>0</v>
      </c>
      <c r="GP25">
        <v>1</v>
      </c>
      <c r="GQ25">
        <v>1</v>
      </c>
      <c r="GR25">
        <v>0</v>
      </c>
      <c r="GS25">
        <v>1</v>
      </c>
      <c r="GT25">
        <v>0</v>
      </c>
      <c r="GU25">
        <v>1</v>
      </c>
      <c r="GV25">
        <v>0</v>
      </c>
      <c r="GW25">
        <v>1</v>
      </c>
      <c r="GX25">
        <v>0</v>
      </c>
      <c r="GY25">
        <v>1</v>
      </c>
      <c r="GZ25">
        <v>0</v>
      </c>
      <c r="HA25" t="s">
        <v>303</v>
      </c>
      <c r="HB25" t="s">
        <v>894</v>
      </c>
      <c r="HC25" t="s">
        <v>895</v>
      </c>
      <c r="HD25" t="s">
        <v>845</v>
      </c>
      <c r="HE25" t="s">
        <v>836</v>
      </c>
      <c r="HF25" t="s">
        <v>873</v>
      </c>
      <c r="HG25" t="s">
        <v>894</v>
      </c>
      <c r="HH25" t="s">
        <v>895</v>
      </c>
      <c r="HI25" t="s">
        <v>845</v>
      </c>
      <c r="HJ25" t="s">
        <v>836</v>
      </c>
      <c r="HK25" t="s">
        <v>873</v>
      </c>
      <c r="HL25" t="s">
        <v>165</v>
      </c>
      <c r="HM25" t="s">
        <v>854</v>
      </c>
      <c r="HN25">
        <v>36805</v>
      </c>
      <c r="HO25">
        <v>1</v>
      </c>
      <c r="HP25" t="s">
        <v>159</v>
      </c>
      <c r="HQ25" t="s">
        <v>896</v>
      </c>
      <c r="HR25" t="s">
        <v>896</v>
      </c>
      <c r="HS25" t="s">
        <v>896</v>
      </c>
    </row>
    <row r="26" spans="1:227" x14ac:dyDescent="0.2">
      <c r="A26">
        <v>8702</v>
      </c>
      <c r="B26">
        <v>7611409193</v>
      </c>
      <c r="C26">
        <v>36</v>
      </c>
      <c r="D26" t="s">
        <v>1302</v>
      </c>
      <c r="E26" t="s">
        <v>831</v>
      </c>
      <c r="F26">
        <v>1</v>
      </c>
      <c r="G26" t="s">
        <v>1515</v>
      </c>
      <c r="H26" t="s">
        <v>1515</v>
      </c>
      <c r="I26">
        <v>0</v>
      </c>
      <c r="J26" t="s">
        <v>833</v>
      </c>
      <c r="K26" t="s">
        <v>834</v>
      </c>
      <c r="L26">
        <v>152858771</v>
      </c>
      <c r="M26" t="s">
        <v>1516</v>
      </c>
      <c r="N26" t="s">
        <v>836</v>
      </c>
      <c r="O26" t="s">
        <v>837</v>
      </c>
      <c r="P26" t="s">
        <v>1302</v>
      </c>
      <c r="Q26" t="s">
        <v>1517</v>
      </c>
      <c r="R26" t="s">
        <v>1518</v>
      </c>
      <c r="S26" t="s">
        <v>1519</v>
      </c>
      <c r="T26">
        <v>41477010333</v>
      </c>
      <c r="V26" t="s">
        <v>185</v>
      </c>
      <c r="W26" s="41">
        <v>46137</v>
      </c>
      <c r="X26" t="s">
        <v>1520</v>
      </c>
      <c r="Y26" t="s">
        <v>1521</v>
      </c>
      <c r="AA26">
        <v>0</v>
      </c>
      <c r="AB26" t="s">
        <v>845</v>
      </c>
      <c r="AC26" t="s">
        <v>846</v>
      </c>
      <c r="AD26" t="s">
        <v>1113</v>
      </c>
      <c r="AE26" t="s">
        <v>1114</v>
      </c>
      <c r="AF26">
        <v>1</v>
      </c>
      <c r="AG26">
        <v>452210</v>
      </c>
      <c r="AH26" t="s">
        <v>849</v>
      </c>
      <c r="AI26" t="s">
        <v>850</v>
      </c>
      <c r="AJ26" t="s">
        <v>851</v>
      </c>
      <c r="AK26" t="s">
        <v>381</v>
      </c>
      <c r="AL26" t="s">
        <v>1428</v>
      </c>
      <c r="AM26" t="s">
        <v>1522</v>
      </c>
      <c r="AN26" t="s">
        <v>854</v>
      </c>
      <c r="AO26">
        <v>36805</v>
      </c>
      <c r="AP26">
        <v>633</v>
      </c>
      <c r="AQ26" t="s">
        <v>855</v>
      </c>
      <c r="AR26">
        <v>66435298</v>
      </c>
      <c r="AS26" t="s">
        <v>856</v>
      </c>
      <c r="AU26" t="s">
        <v>1523</v>
      </c>
      <c r="AV26" t="s">
        <v>1524</v>
      </c>
      <c r="AX26" t="s">
        <v>913</v>
      </c>
      <c r="AY26" t="s">
        <v>861</v>
      </c>
      <c r="AZ26" t="s">
        <v>381</v>
      </c>
      <c r="BA26" t="s">
        <v>382</v>
      </c>
      <c r="BB26">
        <v>0</v>
      </c>
      <c r="BC26">
        <v>0</v>
      </c>
      <c r="BD26">
        <v>0</v>
      </c>
      <c r="BE26" t="s">
        <v>1516</v>
      </c>
      <c r="BF26">
        <v>0</v>
      </c>
      <c r="BG26">
        <v>0</v>
      </c>
      <c r="BH26" t="s">
        <v>862</v>
      </c>
      <c r="BI26">
        <v>0</v>
      </c>
      <c r="BJ26" t="s">
        <v>862</v>
      </c>
      <c r="BK26">
        <v>1</v>
      </c>
      <c r="BL26">
        <v>1</v>
      </c>
      <c r="BM26">
        <v>0</v>
      </c>
      <c r="BN26" t="s">
        <v>596</v>
      </c>
      <c r="BO26">
        <v>152858771</v>
      </c>
      <c r="BP26" t="s">
        <v>1515</v>
      </c>
      <c r="BR26">
        <v>42791751</v>
      </c>
      <c r="BT26">
        <v>2</v>
      </c>
      <c r="BU26" t="s">
        <v>1119</v>
      </c>
      <c r="BY26">
        <v>16</v>
      </c>
      <c r="CA26">
        <v>13</v>
      </c>
      <c r="CE26">
        <v>1</v>
      </c>
      <c r="CI26">
        <v>11</v>
      </c>
      <c r="CJ26" t="s">
        <v>94</v>
      </c>
      <c r="CM26">
        <v>4010</v>
      </c>
      <c r="CO26">
        <v>7360</v>
      </c>
      <c r="CP26">
        <v>1.0166999999999999</v>
      </c>
      <c r="CQ26">
        <v>1.0166999999999999</v>
      </c>
      <c r="CR26">
        <v>1.2666999999999999</v>
      </c>
      <c r="CS26">
        <v>3</v>
      </c>
      <c r="CT26" t="s">
        <v>1524</v>
      </c>
      <c r="CU26" t="s">
        <v>1523</v>
      </c>
      <c r="CV26" t="s">
        <v>833</v>
      </c>
      <c r="CW26" t="s">
        <v>834</v>
      </c>
      <c r="CX26" t="s">
        <v>1516</v>
      </c>
      <c r="CY26">
        <v>0</v>
      </c>
      <c r="CZ26">
        <v>0</v>
      </c>
      <c r="DA26" t="s">
        <v>833</v>
      </c>
      <c r="DB26" t="s">
        <v>865</v>
      </c>
      <c r="DC26">
        <v>60563</v>
      </c>
      <c r="DD26">
        <v>12.5167</v>
      </c>
      <c r="DE26" t="s">
        <v>866</v>
      </c>
      <c r="DG26" t="s">
        <v>867</v>
      </c>
      <c r="DH26" t="s">
        <v>851</v>
      </c>
      <c r="DI26" t="s">
        <v>1525</v>
      </c>
      <c r="DK26" t="s">
        <v>918</v>
      </c>
      <c r="DL26" t="s">
        <v>869</v>
      </c>
      <c r="DM26">
        <v>0</v>
      </c>
      <c r="DN26">
        <v>0</v>
      </c>
      <c r="DO26">
        <v>2</v>
      </c>
      <c r="DP26" t="s">
        <v>870</v>
      </c>
      <c r="DQ26">
        <v>0</v>
      </c>
      <c r="DR26">
        <v>751</v>
      </c>
      <c r="DS26">
        <v>1471</v>
      </c>
      <c r="DT26">
        <v>11.5</v>
      </c>
      <c r="DU26">
        <v>0</v>
      </c>
      <c r="DV26">
        <v>1</v>
      </c>
      <c r="DW26">
        <v>2</v>
      </c>
      <c r="DX26" t="s">
        <v>596</v>
      </c>
      <c r="DY26" t="s">
        <v>1516</v>
      </c>
      <c r="DZ26">
        <v>1</v>
      </c>
      <c r="EA26">
        <v>1</v>
      </c>
      <c r="EB26">
        <v>1</v>
      </c>
      <c r="EC26">
        <v>1</v>
      </c>
      <c r="ED26">
        <v>1</v>
      </c>
      <c r="EE26">
        <v>1</v>
      </c>
      <c r="EF26" t="s">
        <v>1526</v>
      </c>
      <c r="EG26" t="s">
        <v>595</v>
      </c>
      <c r="EH26" t="s">
        <v>921</v>
      </c>
      <c r="EI26" t="s">
        <v>921</v>
      </c>
      <c r="EJ26" t="s">
        <v>181</v>
      </c>
      <c r="EK26">
        <v>9090</v>
      </c>
      <c r="EL26">
        <v>0</v>
      </c>
      <c r="EM26" t="s">
        <v>1436</v>
      </c>
      <c r="EN26">
        <v>1.2666999999999999</v>
      </c>
      <c r="EO26">
        <v>24.516666699999998</v>
      </c>
      <c r="EP26">
        <v>99991120</v>
      </c>
      <c r="EQ26" t="s">
        <v>874</v>
      </c>
      <c r="ER26" t="s">
        <v>875</v>
      </c>
      <c r="ES26" t="s">
        <v>876</v>
      </c>
      <c r="ET26" t="s">
        <v>877</v>
      </c>
      <c r="EU26" t="s">
        <v>877</v>
      </c>
      <c r="EV26" t="s">
        <v>1526</v>
      </c>
      <c r="EX26" t="s">
        <v>836</v>
      </c>
      <c r="EY26" t="s">
        <v>873</v>
      </c>
      <c r="EZ26" t="s">
        <v>1437</v>
      </c>
      <c r="FA26" t="s">
        <v>956</v>
      </c>
      <c r="FB26">
        <v>1</v>
      </c>
      <c r="FC26">
        <v>1</v>
      </c>
      <c r="FD26" s="41">
        <v>46137</v>
      </c>
      <c r="FE26" t="s">
        <v>1123</v>
      </c>
      <c r="FF26">
        <v>6</v>
      </c>
      <c r="FG26" t="s">
        <v>1527</v>
      </c>
      <c r="FH26" t="s">
        <v>1528</v>
      </c>
      <c r="FI26">
        <v>1</v>
      </c>
      <c r="FJ26" t="s">
        <v>1529</v>
      </c>
      <c r="FK26" t="s">
        <v>1530</v>
      </c>
      <c r="FL26">
        <v>1</v>
      </c>
      <c r="FM26" t="s">
        <v>1531</v>
      </c>
      <c r="FN26" t="s">
        <v>1532</v>
      </c>
      <c r="FO26">
        <v>1</v>
      </c>
      <c r="FP26" t="s">
        <v>1533</v>
      </c>
      <c r="FQ26" t="s">
        <v>1523</v>
      </c>
      <c r="FR26">
        <v>1</v>
      </c>
      <c r="FS26" t="s">
        <v>1534</v>
      </c>
      <c r="FT26" t="s">
        <v>1535</v>
      </c>
      <c r="FU26">
        <v>1</v>
      </c>
      <c r="FV26" t="s">
        <v>1536</v>
      </c>
      <c r="FW26" t="s">
        <v>1537</v>
      </c>
      <c r="FX26">
        <v>1</v>
      </c>
      <c r="FY26" t="s">
        <v>890</v>
      </c>
      <c r="FZ26" t="s">
        <v>1538</v>
      </c>
      <c r="GA26" t="s">
        <v>1529</v>
      </c>
      <c r="GB26">
        <v>1</v>
      </c>
      <c r="GD26">
        <v>0</v>
      </c>
      <c r="GF26">
        <v>0</v>
      </c>
      <c r="GG26">
        <v>1</v>
      </c>
      <c r="GH26" t="s">
        <v>892</v>
      </c>
      <c r="GI26" t="s">
        <v>893</v>
      </c>
      <c r="GJ26" t="s">
        <v>1530</v>
      </c>
      <c r="GM26">
        <v>1</v>
      </c>
      <c r="GN26">
        <v>1</v>
      </c>
      <c r="GO26">
        <v>0</v>
      </c>
      <c r="GP26">
        <v>1</v>
      </c>
      <c r="GQ26">
        <v>1</v>
      </c>
      <c r="GR26">
        <v>0</v>
      </c>
      <c r="GS26">
        <v>1</v>
      </c>
      <c r="GT26">
        <v>0</v>
      </c>
      <c r="GU26">
        <v>1</v>
      </c>
      <c r="GV26">
        <v>0</v>
      </c>
      <c r="GW26">
        <v>1</v>
      </c>
      <c r="GX26">
        <v>0</v>
      </c>
      <c r="GY26">
        <v>1</v>
      </c>
      <c r="GZ26">
        <v>0</v>
      </c>
      <c r="HA26" t="s">
        <v>381</v>
      </c>
      <c r="HB26" t="s">
        <v>894</v>
      </c>
      <c r="HC26" t="s">
        <v>895</v>
      </c>
      <c r="HD26" t="s">
        <v>845</v>
      </c>
      <c r="HE26" t="s">
        <v>836</v>
      </c>
      <c r="HF26" t="s">
        <v>873</v>
      </c>
      <c r="HG26" t="s">
        <v>894</v>
      </c>
      <c r="HH26" t="s">
        <v>895</v>
      </c>
      <c r="HI26" t="s">
        <v>845</v>
      </c>
      <c r="HJ26" t="s">
        <v>836</v>
      </c>
      <c r="HK26" t="s">
        <v>1436</v>
      </c>
      <c r="HL26" t="s">
        <v>185</v>
      </c>
      <c r="HM26" t="s">
        <v>854</v>
      </c>
      <c r="HN26">
        <v>36805</v>
      </c>
      <c r="HP26" t="s">
        <v>181</v>
      </c>
      <c r="HQ26" t="s">
        <v>896</v>
      </c>
      <c r="HR26" t="s">
        <v>896</v>
      </c>
      <c r="HS26" t="s">
        <v>896</v>
      </c>
    </row>
    <row r="27" spans="1:227" x14ac:dyDescent="0.2">
      <c r="A27">
        <v>8702</v>
      </c>
      <c r="B27">
        <v>7531403109</v>
      </c>
      <c r="C27">
        <v>34</v>
      </c>
      <c r="D27" t="s">
        <v>996</v>
      </c>
      <c r="E27" t="s">
        <v>897</v>
      </c>
      <c r="F27">
        <v>0</v>
      </c>
      <c r="G27" t="s">
        <v>1539</v>
      </c>
      <c r="H27" t="s">
        <v>1539</v>
      </c>
      <c r="I27">
        <v>0</v>
      </c>
      <c r="J27" t="s">
        <v>833</v>
      </c>
      <c r="K27" t="s">
        <v>834</v>
      </c>
      <c r="L27">
        <v>153195474</v>
      </c>
      <c r="M27" t="s">
        <v>1540</v>
      </c>
      <c r="N27" t="s">
        <v>900</v>
      </c>
      <c r="O27" t="s">
        <v>837</v>
      </c>
      <c r="P27" t="s">
        <v>999</v>
      </c>
      <c r="Q27" t="s">
        <v>1000</v>
      </c>
      <c r="R27" t="s">
        <v>1541</v>
      </c>
      <c r="S27" t="s">
        <v>1542</v>
      </c>
      <c r="T27">
        <v>41477122910</v>
      </c>
      <c r="V27" t="s">
        <v>1543</v>
      </c>
      <c r="W27" s="41">
        <v>45981</v>
      </c>
      <c r="X27" t="s">
        <v>1544</v>
      </c>
      <c r="Y27" t="s">
        <v>1545</v>
      </c>
      <c r="Z27" t="s">
        <v>1546</v>
      </c>
      <c r="AA27">
        <v>0</v>
      </c>
      <c r="AB27" t="s">
        <v>845</v>
      </c>
      <c r="AC27" t="s">
        <v>846</v>
      </c>
      <c r="AD27" t="s">
        <v>847</v>
      </c>
      <c r="AE27" t="s">
        <v>848</v>
      </c>
      <c r="AF27">
        <v>1</v>
      </c>
      <c r="AG27">
        <v>452210</v>
      </c>
      <c r="AH27" t="s">
        <v>849</v>
      </c>
      <c r="AI27" t="s">
        <v>850</v>
      </c>
      <c r="AJ27" t="s">
        <v>851</v>
      </c>
      <c r="AK27" t="s">
        <v>259</v>
      </c>
      <c r="AL27" t="s">
        <v>1547</v>
      </c>
      <c r="AM27" t="s">
        <v>1548</v>
      </c>
      <c r="AN27" t="s">
        <v>854</v>
      </c>
      <c r="AO27">
        <v>36805</v>
      </c>
      <c r="AP27">
        <v>522</v>
      </c>
      <c r="AQ27" t="s">
        <v>855</v>
      </c>
      <c r="AR27">
        <v>66210550</v>
      </c>
      <c r="AS27" t="s">
        <v>856</v>
      </c>
      <c r="AU27" t="s">
        <v>1549</v>
      </c>
      <c r="AV27" t="s">
        <v>1550</v>
      </c>
      <c r="AX27" t="s">
        <v>913</v>
      </c>
      <c r="AY27" t="s">
        <v>861</v>
      </c>
      <c r="AZ27" t="s">
        <v>259</v>
      </c>
      <c r="BA27" t="s">
        <v>260</v>
      </c>
      <c r="BB27">
        <v>1</v>
      </c>
      <c r="BC27">
        <v>0</v>
      </c>
      <c r="BD27">
        <v>0</v>
      </c>
      <c r="BE27" t="s">
        <v>1540</v>
      </c>
      <c r="BF27">
        <v>0</v>
      </c>
      <c r="BG27">
        <v>0</v>
      </c>
      <c r="BH27" t="s">
        <v>862</v>
      </c>
      <c r="BI27">
        <v>0</v>
      </c>
      <c r="BJ27" t="s">
        <v>862</v>
      </c>
      <c r="BK27">
        <v>1</v>
      </c>
      <c r="BL27">
        <v>1</v>
      </c>
      <c r="BM27">
        <v>0</v>
      </c>
      <c r="BN27" t="s">
        <v>596</v>
      </c>
      <c r="BO27">
        <v>153195474</v>
      </c>
      <c r="BP27" t="s">
        <v>1539</v>
      </c>
      <c r="BR27">
        <v>42791431</v>
      </c>
      <c r="BT27">
        <v>1</v>
      </c>
      <c r="BU27" t="s">
        <v>1551</v>
      </c>
      <c r="CI27">
        <v>11</v>
      </c>
      <c r="CJ27" t="s">
        <v>94</v>
      </c>
      <c r="CM27">
        <v>4010</v>
      </c>
      <c r="CO27">
        <v>7360</v>
      </c>
      <c r="CP27">
        <v>1.9833000000000001</v>
      </c>
      <c r="CQ27">
        <v>1.9833000000000001</v>
      </c>
      <c r="CR27">
        <v>1.65</v>
      </c>
      <c r="CS27">
        <v>0</v>
      </c>
      <c r="CT27" t="s">
        <v>1552</v>
      </c>
      <c r="CU27" t="s">
        <v>1553</v>
      </c>
      <c r="CV27" t="s">
        <v>833</v>
      </c>
      <c r="CW27" t="s">
        <v>834</v>
      </c>
      <c r="CX27" t="s">
        <v>1540</v>
      </c>
      <c r="CY27">
        <v>1</v>
      </c>
      <c r="CZ27">
        <v>1</v>
      </c>
      <c r="DA27" t="s">
        <v>833</v>
      </c>
      <c r="DB27" t="s">
        <v>865</v>
      </c>
      <c r="DC27">
        <v>46227</v>
      </c>
      <c r="DD27">
        <v>124.8</v>
      </c>
      <c r="DE27" t="s">
        <v>866</v>
      </c>
      <c r="DG27" t="s">
        <v>867</v>
      </c>
      <c r="DH27" t="s">
        <v>851</v>
      </c>
      <c r="DI27" t="s">
        <v>1554</v>
      </c>
      <c r="DK27" t="s">
        <v>1155</v>
      </c>
      <c r="DL27" t="s">
        <v>869</v>
      </c>
      <c r="DM27">
        <v>0</v>
      </c>
      <c r="DN27">
        <v>0</v>
      </c>
      <c r="DO27">
        <v>11</v>
      </c>
      <c r="DP27" t="s">
        <v>1010</v>
      </c>
      <c r="DQ27">
        <v>12</v>
      </c>
      <c r="DR27">
        <v>7488</v>
      </c>
      <c r="DS27">
        <v>14688</v>
      </c>
      <c r="DT27">
        <v>1.9167000000000001</v>
      </c>
      <c r="DU27">
        <v>4</v>
      </c>
      <c r="DV27">
        <v>1</v>
      </c>
      <c r="DW27">
        <v>1</v>
      </c>
      <c r="DX27" t="s">
        <v>596</v>
      </c>
      <c r="DY27" t="s">
        <v>1540</v>
      </c>
      <c r="DZ27">
        <v>0</v>
      </c>
      <c r="EA27">
        <v>0</v>
      </c>
      <c r="EB27">
        <v>1</v>
      </c>
      <c r="EC27">
        <v>1</v>
      </c>
      <c r="ED27">
        <v>1</v>
      </c>
      <c r="EE27">
        <v>1</v>
      </c>
      <c r="EF27" t="s">
        <v>920</v>
      </c>
      <c r="EG27" t="s">
        <v>595</v>
      </c>
      <c r="EH27" t="s">
        <v>1036</v>
      </c>
      <c r="EI27" t="s">
        <v>1036</v>
      </c>
      <c r="EJ27" t="s">
        <v>134</v>
      </c>
      <c r="EK27">
        <v>9090</v>
      </c>
      <c r="EL27">
        <v>1</v>
      </c>
      <c r="EM27" t="s">
        <v>1011</v>
      </c>
      <c r="EN27">
        <v>1.65</v>
      </c>
      <c r="EO27">
        <v>244.8</v>
      </c>
      <c r="EP27">
        <v>99991120</v>
      </c>
      <c r="EQ27" t="s">
        <v>874</v>
      </c>
      <c r="ER27" t="s">
        <v>875</v>
      </c>
      <c r="ES27" t="s">
        <v>876</v>
      </c>
      <c r="ET27" t="s">
        <v>877</v>
      </c>
      <c r="EU27" t="s">
        <v>877</v>
      </c>
      <c r="EV27" t="s">
        <v>920</v>
      </c>
      <c r="EX27" t="s">
        <v>953</v>
      </c>
      <c r="EY27" t="s">
        <v>1555</v>
      </c>
      <c r="EZ27" t="s">
        <v>1013</v>
      </c>
      <c r="FA27" t="s">
        <v>925</v>
      </c>
      <c r="FB27">
        <v>1</v>
      </c>
      <c r="FC27">
        <v>3</v>
      </c>
      <c r="FD27" s="41">
        <v>45983</v>
      </c>
      <c r="FE27" t="s">
        <v>1438</v>
      </c>
      <c r="FF27">
        <v>12</v>
      </c>
      <c r="FG27" t="s">
        <v>1556</v>
      </c>
      <c r="FH27" t="s">
        <v>1557</v>
      </c>
      <c r="FI27">
        <v>1</v>
      </c>
      <c r="FJ27" t="s">
        <v>1558</v>
      </c>
      <c r="FK27" t="s">
        <v>1557</v>
      </c>
      <c r="FL27">
        <v>1</v>
      </c>
      <c r="FM27" t="s">
        <v>1559</v>
      </c>
      <c r="FN27" t="s">
        <v>1560</v>
      </c>
      <c r="FO27">
        <v>1</v>
      </c>
      <c r="FP27" t="s">
        <v>1561</v>
      </c>
      <c r="FQ27" t="s">
        <v>1562</v>
      </c>
      <c r="FR27">
        <v>1</v>
      </c>
      <c r="FS27" t="s">
        <v>1563</v>
      </c>
      <c r="FT27" t="s">
        <v>1564</v>
      </c>
      <c r="FU27">
        <v>1</v>
      </c>
      <c r="FV27" t="s">
        <v>1565</v>
      </c>
      <c r="FW27" t="s">
        <v>1566</v>
      </c>
      <c r="FX27">
        <v>1</v>
      </c>
      <c r="FY27" t="s">
        <v>890</v>
      </c>
      <c r="FZ27" t="s">
        <v>1567</v>
      </c>
      <c r="GA27" t="s">
        <v>1558</v>
      </c>
      <c r="GB27">
        <v>1</v>
      </c>
      <c r="GD27">
        <v>0</v>
      </c>
      <c r="GF27">
        <v>0</v>
      </c>
      <c r="GG27">
        <v>1</v>
      </c>
      <c r="GH27" t="s">
        <v>892</v>
      </c>
      <c r="GI27" t="s">
        <v>893</v>
      </c>
      <c r="GJ27" t="s">
        <v>1557</v>
      </c>
      <c r="GM27">
        <v>1</v>
      </c>
      <c r="GN27">
        <v>0</v>
      </c>
      <c r="GO27">
        <v>0</v>
      </c>
      <c r="GP27">
        <v>1</v>
      </c>
      <c r="GQ27">
        <v>1</v>
      </c>
      <c r="GR27">
        <v>0</v>
      </c>
      <c r="GS27">
        <v>1</v>
      </c>
      <c r="GT27">
        <v>0</v>
      </c>
      <c r="GU27">
        <v>1</v>
      </c>
      <c r="GV27">
        <v>0</v>
      </c>
      <c r="GW27">
        <v>1</v>
      </c>
      <c r="GX27">
        <v>0</v>
      </c>
      <c r="GY27">
        <v>1</v>
      </c>
      <c r="GZ27">
        <v>0</v>
      </c>
      <c r="HA27" t="s">
        <v>259</v>
      </c>
      <c r="HB27" t="s">
        <v>894</v>
      </c>
      <c r="HC27" t="s">
        <v>935</v>
      </c>
      <c r="HD27" t="s">
        <v>845</v>
      </c>
      <c r="HE27" t="s">
        <v>900</v>
      </c>
      <c r="HF27" t="s">
        <v>1012</v>
      </c>
      <c r="HG27" t="s">
        <v>894</v>
      </c>
      <c r="HH27" t="s">
        <v>935</v>
      </c>
      <c r="HI27" t="s">
        <v>845</v>
      </c>
      <c r="HJ27" t="s">
        <v>900</v>
      </c>
      <c r="HK27" t="s">
        <v>1011</v>
      </c>
      <c r="HL27" t="s">
        <v>1543</v>
      </c>
      <c r="HM27" t="s">
        <v>854</v>
      </c>
      <c r="HN27">
        <v>36805</v>
      </c>
      <c r="HO27">
        <v>1</v>
      </c>
      <c r="HP27" t="s">
        <v>134</v>
      </c>
      <c r="HQ27" t="s">
        <v>896</v>
      </c>
      <c r="HR27" t="s">
        <v>896</v>
      </c>
      <c r="HS27" t="s">
        <v>896</v>
      </c>
    </row>
    <row r="28" spans="1:227" x14ac:dyDescent="0.2">
      <c r="A28">
        <v>8702</v>
      </c>
      <c r="B28">
        <v>7620100963</v>
      </c>
      <c r="C28">
        <v>34</v>
      </c>
      <c r="D28" t="s">
        <v>996</v>
      </c>
      <c r="E28" t="s">
        <v>897</v>
      </c>
      <c r="F28">
        <v>0</v>
      </c>
      <c r="G28" t="s">
        <v>1568</v>
      </c>
      <c r="H28" t="s">
        <v>1568</v>
      </c>
      <c r="I28">
        <v>0</v>
      </c>
      <c r="J28" t="s">
        <v>833</v>
      </c>
      <c r="K28" t="s">
        <v>834</v>
      </c>
      <c r="L28">
        <v>153524584</v>
      </c>
      <c r="M28" t="s">
        <v>1569</v>
      </c>
      <c r="N28" t="s">
        <v>900</v>
      </c>
      <c r="O28" t="s">
        <v>837</v>
      </c>
      <c r="P28" t="s">
        <v>999</v>
      </c>
      <c r="Q28" t="s">
        <v>1027</v>
      </c>
      <c r="R28" t="s">
        <v>1570</v>
      </c>
      <c r="S28" t="s">
        <v>1571</v>
      </c>
      <c r="T28">
        <v>41477061773</v>
      </c>
      <c r="V28" t="s">
        <v>138</v>
      </c>
      <c r="W28" s="41">
        <v>46223</v>
      </c>
      <c r="X28" t="s">
        <v>1572</v>
      </c>
      <c r="Y28" t="s">
        <v>1573</v>
      </c>
      <c r="AA28">
        <v>0</v>
      </c>
      <c r="AB28" t="s">
        <v>845</v>
      </c>
      <c r="AC28" t="s">
        <v>846</v>
      </c>
      <c r="AD28" t="s">
        <v>907</v>
      </c>
      <c r="AE28" t="s">
        <v>908</v>
      </c>
      <c r="AF28">
        <v>1</v>
      </c>
      <c r="AG28">
        <v>452210</v>
      </c>
      <c r="AH28" t="s">
        <v>849</v>
      </c>
      <c r="AI28" t="s">
        <v>850</v>
      </c>
      <c r="AJ28" t="s">
        <v>851</v>
      </c>
      <c r="AK28" t="s">
        <v>293</v>
      </c>
      <c r="AL28" t="s">
        <v>1574</v>
      </c>
      <c r="AM28" t="s">
        <v>1575</v>
      </c>
      <c r="AN28" t="s">
        <v>854</v>
      </c>
      <c r="AO28">
        <v>36805</v>
      </c>
      <c r="AP28">
        <v>524</v>
      </c>
      <c r="AQ28" t="s">
        <v>855</v>
      </c>
      <c r="AR28">
        <v>66559252</v>
      </c>
      <c r="AS28" t="s">
        <v>856</v>
      </c>
      <c r="AU28" t="s">
        <v>1576</v>
      </c>
      <c r="AV28" t="s">
        <v>1577</v>
      </c>
      <c r="AX28" t="s">
        <v>913</v>
      </c>
      <c r="AY28" t="s">
        <v>861</v>
      </c>
      <c r="AZ28" t="s">
        <v>293</v>
      </c>
      <c r="BA28" t="s">
        <v>294</v>
      </c>
      <c r="BB28">
        <v>0</v>
      </c>
      <c r="BC28">
        <v>0</v>
      </c>
      <c r="BD28">
        <v>1</v>
      </c>
      <c r="BE28" t="s">
        <v>1569</v>
      </c>
      <c r="BF28">
        <v>0</v>
      </c>
      <c r="BG28">
        <v>0</v>
      </c>
      <c r="BH28" t="s">
        <v>862</v>
      </c>
      <c r="BI28">
        <v>0</v>
      </c>
      <c r="BJ28" t="s">
        <v>862</v>
      </c>
      <c r="BK28">
        <v>1</v>
      </c>
      <c r="BL28">
        <v>1</v>
      </c>
      <c r="BM28">
        <v>0</v>
      </c>
      <c r="BN28" t="s">
        <v>596</v>
      </c>
      <c r="BO28">
        <v>153524584</v>
      </c>
      <c r="BP28" t="s">
        <v>1568</v>
      </c>
      <c r="BR28">
        <v>42791434</v>
      </c>
      <c r="BT28">
        <v>2</v>
      </c>
      <c r="BU28" t="s">
        <v>1062</v>
      </c>
      <c r="BY28">
        <v>16</v>
      </c>
      <c r="CA28">
        <v>8</v>
      </c>
      <c r="CE28">
        <v>1</v>
      </c>
      <c r="CI28">
        <v>11</v>
      </c>
      <c r="CJ28" t="s">
        <v>94</v>
      </c>
      <c r="CM28">
        <v>4010</v>
      </c>
      <c r="CO28">
        <v>7360</v>
      </c>
      <c r="CP28">
        <v>0.51670000000000005</v>
      </c>
      <c r="CQ28">
        <v>0.51670000000000005</v>
      </c>
      <c r="CR28">
        <v>0.3</v>
      </c>
      <c r="CS28">
        <v>11</v>
      </c>
      <c r="CT28" t="s">
        <v>1577</v>
      </c>
      <c r="CU28" t="s">
        <v>1576</v>
      </c>
      <c r="CV28" t="s">
        <v>833</v>
      </c>
      <c r="CW28" t="s">
        <v>834</v>
      </c>
      <c r="CX28" t="s">
        <v>1569</v>
      </c>
      <c r="CY28">
        <v>1</v>
      </c>
      <c r="CZ28">
        <v>1</v>
      </c>
      <c r="DA28" t="s">
        <v>833</v>
      </c>
      <c r="DB28" t="s">
        <v>865</v>
      </c>
      <c r="DC28">
        <v>46805</v>
      </c>
      <c r="DD28">
        <v>7.9832999999999998</v>
      </c>
      <c r="DE28" t="s">
        <v>866</v>
      </c>
      <c r="DG28" t="s">
        <v>867</v>
      </c>
      <c r="DH28" t="s">
        <v>851</v>
      </c>
      <c r="DI28" t="s">
        <v>1291</v>
      </c>
      <c r="DK28" t="s">
        <v>918</v>
      </c>
      <c r="DL28" t="s">
        <v>869</v>
      </c>
      <c r="DM28">
        <v>0</v>
      </c>
      <c r="DN28">
        <v>0</v>
      </c>
      <c r="DO28">
        <v>11</v>
      </c>
      <c r="DP28" t="s">
        <v>1010</v>
      </c>
      <c r="DQ28">
        <v>16</v>
      </c>
      <c r="DR28">
        <v>479</v>
      </c>
      <c r="DS28">
        <v>479</v>
      </c>
      <c r="DT28">
        <v>7.4667000000000003</v>
      </c>
      <c r="DU28">
        <v>4</v>
      </c>
      <c r="DV28">
        <v>1</v>
      </c>
      <c r="DW28">
        <v>2</v>
      </c>
      <c r="DX28" t="s">
        <v>596</v>
      </c>
      <c r="DY28" t="s">
        <v>1569</v>
      </c>
      <c r="DZ28">
        <v>1</v>
      </c>
      <c r="EA28">
        <v>1</v>
      </c>
      <c r="EB28">
        <v>1</v>
      </c>
      <c r="EC28">
        <v>0</v>
      </c>
      <c r="ED28">
        <v>0</v>
      </c>
      <c r="EE28">
        <v>1</v>
      </c>
      <c r="EF28" t="s">
        <v>920</v>
      </c>
      <c r="EG28" t="s">
        <v>595</v>
      </c>
      <c r="EH28" t="s">
        <v>921</v>
      </c>
      <c r="EI28" t="s">
        <v>921</v>
      </c>
      <c r="EJ28" t="s">
        <v>134</v>
      </c>
      <c r="EK28">
        <v>9090</v>
      </c>
      <c r="EL28">
        <v>0</v>
      </c>
      <c r="EM28" t="s">
        <v>1011</v>
      </c>
      <c r="EN28">
        <v>0.3</v>
      </c>
      <c r="EO28">
        <v>7.9833333</v>
      </c>
      <c r="EP28">
        <v>99991120</v>
      </c>
      <c r="EQ28" t="s">
        <v>874</v>
      </c>
      <c r="ER28" t="s">
        <v>875</v>
      </c>
      <c r="ES28" t="s">
        <v>876</v>
      </c>
      <c r="ET28" t="s">
        <v>877</v>
      </c>
      <c r="EU28" t="s">
        <v>877</v>
      </c>
      <c r="EV28" t="s">
        <v>920</v>
      </c>
      <c r="EX28" t="s">
        <v>900</v>
      </c>
      <c r="EY28" t="s">
        <v>1012</v>
      </c>
      <c r="EZ28" t="s">
        <v>1578</v>
      </c>
      <c r="FA28" t="s">
        <v>879</v>
      </c>
      <c r="FB28">
        <v>1</v>
      </c>
      <c r="FC28">
        <v>1</v>
      </c>
      <c r="FD28" s="41">
        <v>46228</v>
      </c>
      <c r="FE28" t="s">
        <v>1066</v>
      </c>
      <c r="FF28">
        <v>7</v>
      </c>
      <c r="FG28" t="s">
        <v>1579</v>
      </c>
      <c r="FH28" t="s">
        <v>1580</v>
      </c>
      <c r="FI28">
        <v>1</v>
      </c>
      <c r="FJ28" t="s">
        <v>1581</v>
      </c>
      <c r="FK28" t="s">
        <v>1582</v>
      </c>
      <c r="FL28">
        <v>1</v>
      </c>
      <c r="FM28" t="s">
        <v>1583</v>
      </c>
      <c r="FN28" t="s">
        <v>1584</v>
      </c>
      <c r="FO28">
        <v>1</v>
      </c>
      <c r="FP28" t="s">
        <v>1585</v>
      </c>
      <c r="FQ28" t="s">
        <v>1576</v>
      </c>
      <c r="FR28">
        <v>1</v>
      </c>
      <c r="FS28" t="s">
        <v>1586</v>
      </c>
      <c r="FT28" t="s">
        <v>1587</v>
      </c>
      <c r="FU28">
        <v>1</v>
      </c>
      <c r="FV28" t="s">
        <v>1588</v>
      </c>
      <c r="FW28" t="s">
        <v>1589</v>
      </c>
      <c r="FX28">
        <v>1</v>
      </c>
      <c r="FY28" t="s">
        <v>890</v>
      </c>
      <c r="FZ28" t="s">
        <v>1590</v>
      </c>
      <c r="GA28" t="s">
        <v>1581</v>
      </c>
      <c r="GB28">
        <v>1</v>
      </c>
      <c r="GD28">
        <v>0</v>
      </c>
      <c r="GF28">
        <v>0</v>
      </c>
      <c r="GG28">
        <v>1</v>
      </c>
      <c r="GH28" t="s">
        <v>892</v>
      </c>
      <c r="GI28" t="s">
        <v>893</v>
      </c>
      <c r="GJ28" t="s">
        <v>1582</v>
      </c>
      <c r="GM28">
        <v>1</v>
      </c>
      <c r="GN28">
        <v>1</v>
      </c>
      <c r="GO28">
        <v>0</v>
      </c>
      <c r="GP28">
        <v>1</v>
      </c>
      <c r="GQ28">
        <v>1</v>
      </c>
      <c r="GR28">
        <v>0</v>
      </c>
      <c r="GS28">
        <v>1</v>
      </c>
      <c r="GT28">
        <v>0</v>
      </c>
      <c r="GU28">
        <v>1</v>
      </c>
      <c r="GV28">
        <v>0</v>
      </c>
      <c r="GW28">
        <v>1</v>
      </c>
      <c r="GX28">
        <v>0</v>
      </c>
      <c r="GY28">
        <v>1</v>
      </c>
      <c r="GZ28">
        <v>0</v>
      </c>
      <c r="HA28" t="s">
        <v>293</v>
      </c>
      <c r="HB28" t="s">
        <v>894</v>
      </c>
      <c r="HC28" t="s">
        <v>935</v>
      </c>
      <c r="HD28" t="s">
        <v>845</v>
      </c>
      <c r="HE28" t="s">
        <v>900</v>
      </c>
      <c r="HF28" t="s">
        <v>1012</v>
      </c>
      <c r="HG28" t="s">
        <v>894</v>
      </c>
      <c r="HH28" t="s">
        <v>935</v>
      </c>
      <c r="HI28" t="s">
        <v>845</v>
      </c>
      <c r="HJ28" t="s">
        <v>900</v>
      </c>
      <c r="HK28" t="s">
        <v>1011</v>
      </c>
      <c r="HL28" t="s">
        <v>138</v>
      </c>
      <c r="HM28" t="s">
        <v>854</v>
      </c>
      <c r="HN28">
        <v>36805</v>
      </c>
      <c r="HP28" t="s">
        <v>134</v>
      </c>
      <c r="HQ28" t="s">
        <v>896</v>
      </c>
      <c r="HR28" t="s">
        <v>896</v>
      </c>
      <c r="HS28" t="s">
        <v>896</v>
      </c>
    </row>
    <row r="29" spans="1:227" x14ac:dyDescent="0.2">
      <c r="A29">
        <v>8702</v>
      </c>
      <c r="B29">
        <v>7535501543</v>
      </c>
      <c r="C29" t="s">
        <v>829</v>
      </c>
      <c r="D29" t="s">
        <v>830</v>
      </c>
      <c r="E29" t="s">
        <v>897</v>
      </c>
      <c r="F29">
        <v>4</v>
      </c>
      <c r="G29" t="s">
        <v>1591</v>
      </c>
      <c r="H29" t="s">
        <v>1591</v>
      </c>
      <c r="I29">
        <v>0</v>
      </c>
      <c r="J29" t="s">
        <v>833</v>
      </c>
      <c r="K29" t="s">
        <v>834</v>
      </c>
      <c r="L29">
        <v>156046205</v>
      </c>
      <c r="M29" t="s">
        <v>1592</v>
      </c>
      <c r="N29" t="s">
        <v>900</v>
      </c>
      <c r="O29" t="s">
        <v>837</v>
      </c>
      <c r="P29" t="s">
        <v>838</v>
      </c>
      <c r="Q29" t="s">
        <v>1593</v>
      </c>
      <c r="R29" t="s">
        <v>1594</v>
      </c>
      <c r="S29" t="s">
        <v>1595</v>
      </c>
      <c r="T29">
        <v>41477095563</v>
      </c>
      <c r="V29" t="s">
        <v>208</v>
      </c>
      <c r="W29" s="41">
        <v>46024</v>
      </c>
      <c r="X29" t="s">
        <v>1596</v>
      </c>
      <c r="Y29" t="s">
        <v>1597</v>
      </c>
      <c r="Z29" t="s">
        <v>1598</v>
      </c>
      <c r="AA29">
        <v>0</v>
      </c>
      <c r="AB29" t="s">
        <v>845</v>
      </c>
      <c r="AC29" t="s">
        <v>846</v>
      </c>
      <c r="AD29" t="s">
        <v>847</v>
      </c>
      <c r="AE29" t="s">
        <v>848</v>
      </c>
      <c r="AF29">
        <v>1</v>
      </c>
      <c r="AG29">
        <v>452210</v>
      </c>
      <c r="AH29" t="s">
        <v>849</v>
      </c>
      <c r="AI29" t="s">
        <v>850</v>
      </c>
      <c r="AJ29" t="s">
        <v>851</v>
      </c>
      <c r="AK29" t="s">
        <v>291</v>
      </c>
      <c r="AL29" t="s">
        <v>909</v>
      </c>
      <c r="AM29" t="s">
        <v>979</v>
      </c>
      <c r="AN29" t="s">
        <v>854</v>
      </c>
      <c r="AO29">
        <v>36805</v>
      </c>
      <c r="AP29">
        <v>647</v>
      </c>
      <c r="AQ29" t="s">
        <v>855</v>
      </c>
      <c r="AR29">
        <v>66272616</v>
      </c>
      <c r="AS29" t="s">
        <v>856</v>
      </c>
      <c r="AU29" t="s">
        <v>1599</v>
      </c>
      <c r="AV29" t="s">
        <v>1600</v>
      </c>
      <c r="AX29" t="s">
        <v>913</v>
      </c>
      <c r="AY29" t="s">
        <v>861</v>
      </c>
      <c r="AZ29" t="s">
        <v>291</v>
      </c>
      <c r="BA29" t="s">
        <v>292</v>
      </c>
      <c r="BB29">
        <v>0</v>
      </c>
      <c r="BC29">
        <v>1</v>
      </c>
      <c r="BD29">
        <v>0</v>
      </c>
      <c r="BE29" t="s">
        <v>1592</v>
      </c>
      <c r="BF29">
        <v>0</v>
      </c>
      <c r="BG29">
        <v>0</v>
      </c>
      <c r="BH29" t="s">
        <v>862</v>
      </c>
      <c r="BI29">
        <v>0</v>
      </c>
      <c r="BJ29" t="s">
        <v>862</v>
      </c>
      <c r="BK29">
        <v>1</v>
      </c>
      <c r="BL29">
        <v>1</v>
      </c>
      <c r="BM29">
        <v>0</v>
      </c>
      <c r="BN29" t="s">
        <v>596</v>
      </c>
      <c r="BO29">
        <v>156046205</v>
      </c>
      <c r="BP29" t="s">
        <v>1591</v>
      </c>
      <c r="BQ29">
        <v>42.226729499999998</v>
      </c>
      <c r="BR29">
        <v>42791779</v>
      </c>
      <c r="BS29">
        <v>-85.591595499999997</v>
      </c>
      <c r="BT29">
        <v>1</v>
      </c>
      <c r="BU29" t="s">
        <v>1367</v>
      </c>
      <c r="CI29">
        <v>11</v>
      </c>
      <c r="CJ29" t="s">
        <v>94</v>
      </c>
      <c r="CM29">
        <v>4010</v>
      </c>
      <c r="CO29">
        <v>7360</v>
      </c>
      <c r="CP29">
        <v>2.6833</v>
      </c>
      <c r="CQ29">
        <v>2.6833</v>
      </c>
      <c r="CR29">
        <v>2.25</v>
      </c>
      <c r="CS29">
        <v>0</v>
      </c>
      <c r="CT29" t="s">
        <v>1600</v>
      </c>
      <c r="CU29" t="s">
        <v>1599</v>
      </c>
      <c r="CV29" t="s">
        <v>833</v>
      </c>
      <c r="CW29" t="s">
        <v>834</v>
      </c>
      <c r="CX29" t="s">
        <v>1592</v>
      </c>
      <c r="CY29">
        <v>1</v>
      </c>
      <c r="CZ29">
        <v>1</v>
      </c>
      <c r="DA29" t="s">
        <v>833</v>
      </c>
      <c r="DB29" t="s">
        <v>865</v>
      </c>
      <c r="DC29">
        <v>49002</v>
      </c>
      <c r="DD29">
        <v>152.61670000000001</v>
      </c>
      <c r="DE29" t="s">
        <v>866</v>
      </c>
      <c r="DG29" t="s">
        <v>867</v>
      </c>
      <c r="DH29" t="s">
        <v>851</v>
      </c>
      <c r="DI29" t="s">
        <v>984</v>
      </c>
      <c r="DK29" t="s">
        <v>918</v>
      </c>
      <c r="DL29" t="s">
        <v>869</v>
      </c>
      <c r="DM29">
        <v>0</v>
      </c>
      <c r="DN29">
        <v>0</v>
      </c>
      <c r="DO29">
        <v>11</v>
      </c>
      <c r="DP29" t="s">
        <v>1010</v>
      </c>
      <c r="DQ29">
        <v>16</v>
      </c>
      <c r="DR29">
        <v>9157</v>
      </c>
      <c r="DS29">
        <v>18472</v>
      </c>
      <c r="DT29">
        <v>10.6167</v>
      </c>
      <c r="DU29">
        <v>4</v>
      </c>
      <c r="DV29">
        <v>1</v>
      </c>
      <c r="DW29">
        <v>2</v>
      </c>
      <c r="DX29" t="s">
        <v>596</v>
      </c>
      <c r="DY29" t="s">
        <v>1592</v>
      </c>
      <c r="DZ29">
        <v>0</v>
      </c>
      <c r="EA29">
        <v>0</v>
      </c>
      <c r="EB29">
        <v>1</v>
      </c>
      <c r="EC29">
        <v>0</v>
      </c>
      <c r="ED29">
        <v>0</v>
      </c>
      <c r="EE29">
        <v>1</v>
      </c>
      <c r="EF29" t="s">
        <v>871</v>
      </c>
      <c r="EG29" t="s">
        <v>595</v>
      </c>
      <c r="EH29" t="s">
        <v>921</v>
      </c>
      <c r="EI29" t="s">
        <v>921</v>
      </c>
      <c r="EJ29" t="s">
        <v>178</v>
      </c>
      <c r="EK29">
        <v>9090</v>
      </c>
      <c r="EL29">
        <v>1</v>
      </c>
      <c r="EM29" t="s">
        <v>922</v>
      </c>
      <c r="EN29">
        <v>2.25</v>
      </c>
      <c r="EO29">
        <v>307.86666659999997</v>
      </c>
      <c r="EP29">
        <v>99991120</v>
      </c>
      <c r="EQ29" t="s">
        <v>874</v>
      </c>
      <c r="ER29" t="s">
        <v>875</v>
      </c>
      <c r="ES29" t="s">
        <v>876</v>
      </c>
      <c r="ET29" t="s">
        <v>877</v>
      </c>
      <c r="EU29" t="s">
        <v>877</v>
      </c>
      <c r="EV29" t="s">
        <v>871</v>
      </c>
      <c r="EX29" t="s">
        <v>953</v>
      </c>
      <c r="EY29" t="s">
        <v>986</v>
      </c>
      <c r="EZ29" t="s">
        <v>924</v>
      </c>
      <c r="FA29" t="s">
        <v>925</v>
      </c>
      <c r="FB29">
        <v>1</v>
      </c>
      <c r="FC29">
        <v>3</v>
      </c>
      <c r="FD29" s="41">
        <v>46025</v>
      </c>
      <c r="FE29" t="s">
        <v>1370</v>
      </c>
      <c r="FF29">
        <v>17</v>
      </c>
      <c r="FG29" t="s">
        <v>1601</v>
      </c>
      <c r="FH29" t="s">
        <v>1602</v>
      </c>
      <c r="FI29">
        <v>1</v>
      </c>
      <c r="FJ29" t="s">
        <v>1603</v>
      </c>
      <c r="FK29" t="s">
        <v>1602</v>
      </c>
      <c r="FL29">
        <v>1</v>
      </c>
      <c r="FM29" t="s">
        <v>1604</v>
      </c>
      <c r="FN29" t="s">
        <v>1605</v>
      </c>
      <c r="FO29">
        <v>1</v>
      </c>
      <c r="FP29" t="s">
        <v>1606</v>
      </c>
      <c r="FQ29" t="s">
        <v>1599</v>
      </c>
      <c r="FR29">
        <v>1</v>
      </c>
      <c r="FS29" t="s">
        <v>1607</v>
      </c>
      <c r="FT29" t="s">
        <v>1608</v>
      </c>
      <c r="FU29">
        <v>1</v>
      </c>
      <c r="FV29" t="s">
        <v>1609</v>
      </c>
      <c r="FW29" t="s">
        <v>1610</v>
      </c>
      <c r="FX29">
        <v>1</v>
      </c>
      <c r="FY29" t="s">
        <v>890</v>
      </c>
      <c r="FZ29" t="s">
        <v>1611</v>
      </c>
      <c r="GA29" t="s">
        <v>1603</v>
      </c>
      <c r="GB29">
        <v>1</v>
      </c>
      <c r="GD29">
        <v>0</v>
      </c>
      <c r="GF29">
        <v>0</v>
      </c>
      <c r="GG29">
        <v>1</v>
      </c>
      <c r="GH29" t="s">
        <v>892</v>
      </c>
      <c r="GI29" t="s">
        <v>893</v>
      </c>
      <c r="GJ29" t="s">
        <v>1602</v>
      </c>
      <c r="GM29">
        <v>1</v>
      </c>
      <c r="GN29">
        <v>0</v>
      </c>
      <c r="GO29">
        <v>0</v>
      </c>
      <c r="GP29">
        <v>1</v>
      </c>
      <c r="GQ29">
        <v>1</v>
      </c>
      <c r="GR29">
        <v>0</v>
      </c>
      <c r="GS29">
        <v>1</v>
      </c>
      <c r="GT29">
        <v>0</v>
      </c>
      <c r="GU29">
        <v>1</v>
      </c>
      <c r="GV29">
        <v>0</v>
      </c>
      <c r="GW29">
        <v>1</v>
      </c>
      <c r="GX29">
        <v>0</v>
      </c>
      <c r="GY29">
        <v>1</v>
      </c>
      <c r="GZ29">
        <v>0</v>
      </c>
      <c r="HA29" t="s">
        <v>291</v>
      </c>
      <c r="HB29" t="s">
        <v>894</v>
      </c>
      <c r="HC29" t="s">
        <v>935</v>
      </c>
      <c r="HD29" t="s">
        <v>845</v>
      </c>
      <c r="HE29" t="s">
        <v>900</v>
      </c>
      <c r="HF29" t="s">
        <v>923</v>
      </c>
      <c r="HG29" t="s">
        <v>894</v>
      </c>
      <c r="HH29" t="s">
        <v>935</v>
      </c>
      <c r="HI29" t="s">
        <v>845</v>
      </c>
      <c r="HJ29" t="s">
        <v>900</v>
      </c>
      <c r="HK29" t="s">
        <v>922</v>
      </c>
      <c r="HL29" t="s">
        <v>208</v>
      </c>
      <c r="HM29" t="s">
        <v>854</v>
      </c>
      <c r="HN29">
        <v>36805</v>
      </c>
      <c r="HO29">
        <v>1</v>
      </c>
      <c r="HP29" t="s">
        <v>178</v>
      </c>
      <c r="HQ29" t="s">
        <v>896</v>
      </c>
      <c r="HR29" t="s">
        <v>896</v>
      </c>
      <c r="HS29" t="s">
        <v>896</v>
      </c>
    </row>
    <row r="30" spans="1:227" x14ac:dyDescent="0.2">
      <c r="A30">
        <v>8702</v>
      </c>
      <c r="B30">
        <v>7530106514</v>
      </c>
      <c r="C30" t="s">
        <v>829</v>
      </c>
      <c r="D30" t="s">
        <v>830</v>
      </c>
      <c r="E30" t="s">
        <v>897</v>
      </c>
      <c r="F30">
        <v>0</v>
      </c>
      <c r="G30" t="s">
        <v>1612</v>
      </c>
      <c r="H30" t="s">
        <v>1612</v>
      </c>
      <c r="I30">
        <v>0</v>
      </c>
      <c r="J30" t="s">
        <v>833</v>
      </c>
      <c r="K30" t="s">
        <v>834</v>
      </c>
      <c r="L30">
        <v>152949062</v>
      </c>
      <c r="M30" t="s">
        <v>1613</v>
      </c>
      <c r="N30" t="s">
        <v>900</v>
      </c>
      <c r="O30" t="s">
        <v>837</v>
      </c>
      <c r="P30" t="s">
        <v>838</v>
      </c>
      <c r="Q30" t="s">
        <v>1279</v>
      </c>
      <c r="R30" t="s">
        <v>1614</v>
      </c>
      <c r="S30" t="s">
        <v>1615</v>
      </c>
      <c r="T30">
        <v>41477124561</v>
      </c>
      <c r="V30" t="s">
        <v>198</v>
      </c>
      <c r="W30" s="41">
        <v>45959</v>
      </c>
      <c r="X30" t="s">
        <v>1616</v>
      </c>
      <c r="Y30" t="s">
        <v>1617</v>
      </c>
      <c r="AA30">
        <v>0</v>
      </c>
      <c r="AB30" t="s">
        <v>845</v>
      </c>
      <c r="AC30" t="s">
        <v>846</v>
      </c>
      <c r="AD30" t="s">
        <v>847</v>
      </c>
      <c r="AE30" t="s">
        <v>848</v>
      </c>
      <c r="AF30">
        <v>1</v>
      </c>
      <c r="AG30">
        <v>452210</v>
      </c>
      <c r="AH30" t="s">
        <v>849</v>
      </c>
      <c r="AI30" t="s">
        <v>850</v>
      </c>
      <c r="AJ30" t="s">
        <v>851</v>
      </c>
      <c r="AK30" t="s">
        <v>462</v>
      </c>
      <c r="AL30" t="s">
        <v>1618</v>
      </c>
      <c r="AM30" t="s">
        <v>1619</v>
      </c>
      <c r="AN30" t="s">
        <v>854</v>
      </c>
      <c r="AO30">
        <v>36805</v>
      </c>
      <c r="AP30">
        <v>640</v>
      </c>
      <c r="AQ30" t="s">
        <v>855</v>
      </c>
      <c r="AR30">
        <v>66178773</v>
      </c>
      <c r="AS30" t="s">
        <v>856</v>
      </c>
      <c r="AU30" t="s">
        <v>1620</v>
      </c>
      <c r="AV30" t="s">
        <v>1621</v>
      </c>
      <c r="AX30" t="s">
        <v>913</v>
      </c>
      <c r="AY30" t="s">
        <v>861</v>
      </c>
      <c r="AZ30" t="s">
        <v>462</v>
      </c>
      <c r="BA30" t="s">
        <v>463</v>
      </c>
      <c r="BB30">
        <v>0</v>
      </c>
      <c r="BC30">
        <v>0</v>
      </c>
      <c r="BD30">
        <v>0</v>
      </c>
      <c r="BE30" t="s">
        <v>1613</v>
      </c>
      <c r="BF30">
        <v>0</v>
      </c>
      <c r="BG30">
        <v>0</v>
      </c>
      <c r="BH30" t="s">
        <v>862</v>
      </c>
      <c r="BI30">
        <v>0</v>
      </c>
      <c r="BJ30" t="s">
        <v>862</v>
      </c>
      <c r="BK30">
        <v>1</v>
      </c>
      <c r="BL30">
        <v>1</v>
      </c>
      <c r="BM30">
        <v>0</v>
      </c>
      <c r="BN30" t="s">
        <v>596</v>
      </c>
      <c r="BO30">
        <v>152949062</v>
      </c>
      <c r="BP30" t="s">
        <v>1612</v>
      </c>
      <c r="BR30">
        <v>42791772</v>
      </c>
      <c r="BT30">
        <v>0</v>
      </c>
      <c r="CM30">
        <v>4010</v>
      </c>
      <c r="CO30">
        <v>7360</v>
      </c>
      <c r="CP30">
        <v>0.35</v>
      </c>
      <c r="CQ30">
        <v>0.35</v>
      </c>
      <c r="CR30">
        <v>0.36670000000000003</v>
      </c>
      <c r="CS30">
        <v>2</v>
      </c>
      <c r="CT30" t="s">
        <v>1622</v>
      </c>
      <c r="CU30" t="s">
        <v>1623</v>
      </c>
      <c r="CV30" t="s">
        <v>833</v>
      </c>
      <c r="CW30" t="s">
        <v>834</v>
      </c>
      <c r="CX30" t="s">
        <v>1613</v>
      </c>
      <c r="CY30">
        <v>0</v>
      </c>
      <c r="CZ30">
        <v>0</v>
      </c>
      <c r="DA30" t="s">
        <v>833</v>
      </c>
      <c r="DB30" t="s">
        <v>865</v>
      </c>
      <c r="DC30">
        <v>48823</v>
      </c>
      <c r="DD30">
        <v>9.4499999999999993</v>
      </c>
      <c r="DE30" t="s">
        <v>866</v>
      </c>
      <c r="DG30" t="s">
        <v>867</v>
      </c>
      <c r="DH30" t="s">
        <v>851</v>
      </c>
      <c r="DI30" t="s">
        <v>1624</v>
      </c>
      <c r="DL30" t="s">
        <v>869</v>
      </c>
      <c r="DM30">
        <v>0</v>
      </c>
      <c r="DN30">
        <v>0</v>
      </c>
      <c r="DO30">
        <v>3</v>
      </c>
      <c r="DP30" t="s">
        <v>919</v>
      </c>
      <c r="DQ30">
        <v>12</v>
      </c>
      <c r="DR30">
        <v>567</v>
      </c>
      <c r="DS30">
        <v>1287</v>
      </c>
      <c r="DT30">
        <v>9.1</v>
      </c>
      <c r="DU30">
        <v>4</v>
      </c>
      <c r="DW30">
        <v>1</v>
      </c>
      <c r="DX30" t="s">
        <v>596</v>
      </c>
      <c r="DY30" t="s">
        <v>1613</v>
      </c>
      <c r="DZ30">
        <v>1</v>
      </c>
      <c r="EA30">
        <v>1</v>
      </c>
      <c r="EB30">
        <v>1</v>
      </c>
      <c r="EC30">
        <v>0</v>
      </c>
      <c r="ED30">
        <v>0</v>
      </c>
      <c r="EE30">
        <v>1</v>
      </c>
      <c r="EF30" t="s">
        <v>871</v>
      </c>
      <c r="EG30" t="s">
        <v>595</v>
      </c>
      <c r="EH30" t="s">
        <v>1036</v>
      </c>
      <c r="EI30" t="s">
        <v>1036</v>
      </c>
      <c r="EJ30" t="s">
        <v>178</v>
      </c>
      <c r="EK30">
        <v>9090</v>
      </c>
      <c r="EL30">
        <v>0</v>
      </c>
      <c r="EM30" t="s">
        <v>922</v>
      </c>
      <c r="EN30">
        <v>0.36670000000000003</v>
      </c>
      <c r="EO30">
        <v>21.45</v>
      </c>
      <c r="EP30">
        <v>99991120</v>
      </c>
      <c r="EQ30" t="s">
        <v>874</v>
      </c>
      <c r="ER30" t="s">
        <v>875</v>
      </c>
      <c r="ES30" t="s">
        <v>876</v>
      </c>
      <c r="ET30" t="s">
        <v>877</v>
      </c>
      <c r="EU30" t="s">
        <v>877</v>
      </c>
      <c r="EV30" t="s">
        <v>871</v>
      </c>
      <c r="EX30" t="s">
        <v>953</v>
      </c>
      <c r="EY30" t="s">
        <v>986</v>
      </c>
      <c r="EZ30" t="s">
        <v>1625</v>
      </c>
      <c r="FA30" t="s">
        <v>879</v>
      </c>
      <c r="FB30">
        <v>1</v>
      </c>
      <c r="FC30">
        <v>1</v>
      </c>
      <c r="FD30" s="41">
        <v>45962</v>
      </c>
      <c r="FE30" t="s">
        <v>1039</v>
      </c>
      <c r="FF30">
        <v>6</v>
      </c>
      <c r="FG30" t="s">
        <v>1626</v>
      </c>
      <c r="FH30" t="s">
        <v>1627</v>
      </c>
      <c r="FI30">
        <v>1</v>
      </c>
      <c r="FJ30" t="s">
        <v>1628</v>
      </c>
      <c r="FK30" t="s">
        <v>1629</v>
      </c>
      <c r="FL30">
        <v>1</v>
      </c>
      <c r="FM30" t="s">
        <v>1630</v>
      </c>
      <c r="FN30" t="s">
        <v>1631</v>
      </c>
      <c r="FO30">
        <v>1</v>
      </c>
      <c r="FP30" t="s">
        <v>1632</v>
      </c>
      <c r="FQ30" t="s">
        <v>1623</v>
      </c>
      <c r="FR30">
        <v>1</v>
      </c>
      <c r="FS30" t="s">
        <v>1633</v>
      </c>
      <c r="FT30" t="s">
        <v>1634</v>
      </c>
      <c r="FU30">
        <v>1</v>
      </c>
      <c r="FV30" t="s">
        <v>1635</v>
      </c>
      <c r="FW30" t="s">
        <v>1636</v>
      </c>
      <c r="FX30">
        <v>1</v>
      </c>
      <c r="FY30" t="s">
        <v>890</v>
      </c>
      <c r="FZ30" t="s">
        <v>1637</v>
      </c>
      <c r="GA30" t="s">
        <v>1628</v>
      </c>
      <c r="GB30">
        <v>1</v>
      </c>
      <c r="GD30">
        <v>0</v>
      </c>
      <c r="GF30">
        <v>0</v>
      </c>
      <c r="GG30">
        <v>1</v>
      </c>
      <c r="GH30" t="s">
        <v>892</v>
      </c>
      <c r="GI30" t="s">
        <v>893</v>
      </c>
      <c r="GJ30" t="s">
        <v>1629</v>
      </c>
      <c r="GM30">
        <v>1</v>
      </c>
      <c r="GN30">
        <v>1</v>
      </c>
      <c r="GO30">
        <v>0</v>
      </c>
      <c r="GP30">
        <v>1</v>
      </c>
      <c r="GQ30">
        <v>1</v>
      </c>
      <c r="GR30">
        <v>0</v>
      </c>
      <c r="GS30">
        <v>1</v>
      </c>
      <c r="GT30">
        <v>0</v>
      </c>
      <c r="GU30">
        <v>1</v>
      </c>
      <c r="GV30">
        <v>0</v>
      </c>
      <c r="GW30">
        <v>1</v>
      </c>
      <c r="GX30">
        <v>0</v>
      </c>
      <c r="GY30">
        <v>1</v>
      </c>
      <c r="GZ30">
        <v>0</v>
      </c>
      <c r="HA30" t="s">
        <v>462</v>
      </c>
      <c r="HB30" t="s">
        <v>894</v>
      </c>
      <c r="HC30" t="s">
        <v>935</v>
      </c>
      <c r="HD30" t="s">
        <v>845</v>
      </c>
      <c r="HE30" t="s">
        <v>900</v>
      </c>
      <c r="HF30" t="s">
        <v>923</v>
      </c>
      <c r="HG30" t="s">
        <v>894</v>
      </c>
      <c r="HH30" t="s">
        <v>935</v>
      </c>
      <c r="HI30" t="s">
        <v>845</v>
      </c>
      <c r="HJ30" t="s">
        <v>900</v>
      </c>
      <c r="HK30" t="s">
        <v>922</v>
      </c>
      <c r="HL30" t="s">
        <v>198</v>
      </c>
      <c r="HM30" t="s">
        <v>854</v>
      </c>
      <c r="HN30">
        <v>36805</v>
      </c>
      <c r="HP30" t="s">
        <v>178</v>
      </c>
      <c r="HQ30" t="s">
        <v>896</v>
      </c>
      <c r="HR30" t="s">
        <v>896</v>
      </c>
      <c r="HS30" t="s">
        <v>896</v>
      </c>
    </row>
    <row r="31" spans="1:227" x14ac:dyDescent="0.2">
      <c r="A31">
        <v>8702</v>
      </c>
      <c r="B31">
        <v>7600504723</v>
      </c>
      <c r="C31" t="s">
        <v>936</v>
      </c>
      <c r="D31" t="s">
        <v>937</v>
      </c>
      <c r="E31" t="s">
        <v>897</v>
      </c>
      <c r="F31">
        <v>0</v>
      </c>
      <c r="G31" t="s">
        <v>1638</v>
      </c>
      <c r="H31" t="s">
        <v>1638</v>
      </c>
      <c r="I31">
        <v>0</v>
      </c>
      <c r="J31" t="s">
        <v>833</v>
      </c>
      <c r="K31" t="s">
        <v>834</v>
      </c>
      <c r="L31">
        <v>148723036</v>
      </c>
      <c r="M31" t="s">
        <v>1639</v>
      </c>
      <c r="N31" t="s">
        <v>900</v>
      </c>
      <c r="O31" t="s">
        <v>837</v>
      </c>
      <c r="P31" t="s">
        <v>940</v>
      </c>
      <c r="Q31" t="s">
        <v>1080</v>
      </c>
      <c r="R31" t="s">
        <v>1640</v>
      </c>
      <c r="S31" t="s">
        <v>1641</v>
      </c>
      <c r="T31">
        <v>41477130640</v>
      </c>
      <c r="V31" t="s">
        <v>239</v>
      </c>
      <c r="W31" s="41">
        <v>46027</v>
      </c>
      <c r="X31" t="s">
        <v>1642</v>
      </c>
      <c r="Y31" t="s">
        <v>1643</v>
      </c>
      <c r="Z31">
        <v>1</v>
      </c>
      <c r="AA31">
        <v>0</v>
      </c>
      <c r="AB31" t="s">
        <v>845</v>
      </c>
      <c r="AC31" t="s">
        <v>846</v>
      </c>
      <c r="AD31" t="s">
        <v>1335</v>
      </c>
      <c r="AE31" t="s">
        <v>1336</v>
      </c>
      <c r="AF31">
        <v>1</v>
      </c>
      <c r="AG31">
        <v>452210</v>
      </c>
      <c r="AH31" t="s">
        <v>849</v>
      </c>
      <c r="AI31" t="s">
        <v>850</v>
      </c>
      <c r="AJ31" t="s">
        <v>851</v>
      </c>
      <c r="AK31" t="s">
        <v>265</v>
      </c>
      <c r="AL31" t="s">
        <v>1644</v>
      </c>
      <c r="AM31" t="s">
        <v>1645</v>
      </c>
      <c r="AN31" t="s">
        <v>854</v>
      </c>
      <c r="AO31">
        <v>36805</v>
      </c>
      <c r="AP31">
        <v>928</v>
      </c>
      <c r="AQ31" t="s">
        <v>855</v>
      </c>
      <c r="AR31">
        <v>66276786</v>
      </c>
      <c r="AS31" t="s">
        <v>856</v>
      </c>
      <c r="AU31" t="s">
        <v>1646</v>
      </c>
      <c r="AV31" t="s">
        <v>1647</v>
      </c>
      <c r="AX31" t="s">
        <v>913</v>
      </c>
      <c r="AY31" t="s">
        <v>861</v>
      </c>
      <c r="AZ31" t="s">
        <v>265</v>
      </c>
      <c r="BA31" t="s">
        <v>266</v>
      </c>
      <c r="BB31">
        <v>0</v>
      </c>
      <c r="BC31">
        <v>0</v>
      </c>
      <c r="BD31">
        <v>0</v>
      </c>
      <c r="BE31" t="s">
        <v>1639</v>
      </c>
      <c r="BF31">
        <v>0</v>
      </c>
      <c r="BG31">
        <v>0</v>
      </c>
      <c r="BH31" t="s">
        <v>862</v>
      </c>
      <c r="BI31">
        <v>0</v>
      </c>
      <c r="BJ31" t="s">
        <v>862</v>
      </c>
      <c r="BK31">
        <v>1</v>
      </c>
      <c r="BL31">
        <v>1</v>
      </c>
      <c r="BM31">
        <v>0</v>
      </c>
      <c r="BN31" t="s">
        <v>596</v>
      </c>
      <c r="BP31" t="s">
        <v>1638</v>
      </c>
      <c r="BR31">
        <v>42793653</v>
      </c>
      <c r="BT31">
        <v>2</v>
      </c>
      <c r="BU31" t="s">
        <v>1367</v>
      </c>
      <c r="CE31">
        <v>1</v>
      </c>
      <c r="CI31">
        <v>11</v>
      </c>
      <c r="CJ31" t="s">
        <v>94</v>
      </c>
      <c r="CM31">
        <v>4010</v>
      </c>
      <c r="CO31">
        <v>7360</v>
      </c>
      <c r="CP31">
        <v>6.6699999999999995E-2</v>
      </c>
      <c r="CQ31">
        <v>6.6699999999999995E-2</v>
      </c>
      <c r="CR31">
        <v>3.3300000000000003E-2</v>
      </c>
      <c r="CS31">
        <v>0</v>
      </c>
      <c r="CT31" t="s">
        <v>1647</v>
      </c>
      <c r="CU31" t="s">
        <v>1646</v>
      </c>
      <c r="CV31" t="s">
        <v>833</v>
      </c>
      <c r="CW31" t="s">
        <v>834</v>
      </c>
      <c r="CX31" t="s">
        <v>1648</v>
      </c>
      <c r="CY31">
        <v>0</v>
      </c>
      <c r="CZ31">
        <v>0</v>
      </c>
      <c r="DA31" t="s">
        <v>833</v>
      </c>
      <c r="DB31" t="s">
        <v>865</v>
      </c>
      <c r="DC31">
        <v>44145</v>
      </c>
      <c r="DD31">
        <v>3.6166999999999998</v>
      </c>
      <c r="DE31" t="s">
        <v>866</v>
      </c>
      <c r="DG31" t="s">
        <v>867</v>
      </c>
      <c r="DH31" t="s">
        <v>851</v>
      </c>
      <c r="DK31" t="s">
        <v>918</v>
      </c>
      <c r="DL31" t="s">
        <v>869</v>
      </c>
      <c r="DM31">
        <v>0</v>
      </c>
      <c r="DN31">
        <v>0</v>
      </c>
      <c r="DO31">
        <v>1</v>
      </c>
      <c r="DP31" t="s">
        <v>985</v>
      </c>
      <c r="DQ31">
        <v>16</v>
      </c>
      <c r="DR31">
        <v>217</v>
      </c>
      <c r="DS31">
        <v>217</v>
      </c>
      <c r="DT31">
        <v>3.55</v>
      </c>
      <c r="DU31">
        <v>4</v>
      </c>
      <c r="DV31">
        <v>1</v>
      </c>
      <c r="DW31">
        <v>2</v>
      </c>
      <c r="DX31" t="s">
        <v>596</v>
      </c>
      <c r="DY31" t="s">
        <v>1639</v>
      </c>
      <c r="DZ31">
        <v>1</v>
      </c>
      <c r="EA31">
        <v>1</v>
      </c>
      <c r="EB31">
        <v>1</v>
      </c>
      <c r="EC31">
        <v>1</v>
      </c>
      <c r="ED31">
        <v>1</v>
      </c>
      <c r="EE31">
        <v>1</v>
      </c>
      <c r="EF31" t="s">
        <v>920</v>
      </c>
      <c r="EG31" t="s">
        <v>595</v>
      </c>
      <c r="EH31" t="s">
        <v>921</v>
      </c>
      <c r="EI31" t="s">
        <v>921</v>
      </c>
      <c r="EJ31" t="s">
        <v>226</v>
      </c>
      <c r="EK31">
        <v>9090</v>
      </c>
      <c r="EL31">
        <v>0</v>
      </c>
      <c r="EM31" t="s">
        <v>1157</v>
      </c>
      <c r="EN31">
        <v>3.3300000000000003E-2</v>
      </c>
      <c r="EO31">
        <v>3.6166665999999998</v>
      </c>
      <c r="EP31">
        <v>99991120</v>
      </c>
      <c r="EQ31" t="s">
        <v>874</v>
      </c>
      <c r="ER31" t="s">
        <v>875</v>
      </c>
      <c r="ES31" t="s">
        <v>876</v>
      </c>
      <c r="ET31" t="s">
        <v>877</v>
      </c>
      <c r="EU31" t="s">
        <v>877</v>
      </c>
      <c r="EV31" t="s">
        <v>920</v>
      </c>
      <c r="EX31" t="s">
        <v>953</v>
      </c>
      <c r="EY31" t="s">
        <v>986</v>
      </c>
      <c r="EZ31" t="s">
        <v>1236</v>
      </c>
      <c r="FA31" t="s">
        <v>956</v>
      </c>
      <c r="FB31">
        <v>1</v>
      </c>
      <c r="FC31">
        <v>1</v>
      </c>
      <c r="FD31" s="41">
        <v>46032</v>
      </c>
      <c r="FE31" t="s">
        <v>1370</v>
      </c>
      <c r="FF31">
        <v>7</v>
      </c>
      <c r="FG31" t="s">
        <v>1649</v>
      </c>
      <c r="FH31" t="s">
        <v>1650</v>
      </c>
      <c r="FI31">
        <v>1</v>
      </c>
      <c r="FJ31" t="s">
        <v>1651</v>
      </c>
      <c r="FK31" t="s">
        <v>1652</v>
      </c>
      <c r="FL31">
        <v>1</v>
      </c>
      <c r="FM31" t="s">
        <v>1653</v>
      </c>
      <c r="FN31" t="s">
        <v>1654</v>
      </c>
      <c r="FO31">
        <v>1</v>
      </c>
      <c r="FP31" t="s">
        <v>1655</v>
      </c>
      <c r="FQ31" t="s">
        <v>1646</v>
      </c>
      <c r="FR31">
        <v>1</v>
      </c>
      <c r="FS31" t="s">
        <v>1656</v>
      </c>
      <c r="FT31" t="s">
        <v>1657</v>
      </c>
      <c r="FU31">
        <v>1</v>
      </c>
      <c r="FV31" t="s">
        <v>1658</v>
      </c>
      <c r="FW31" t="s">
        <v>1659</v>
      </c>
      <c r="FX31">
        <v>1</v>
      </c>
      <c r="FY31" t="s">
        <v>890</v>
      </c>
      <c r="FZ31" t="s">
        <v>1660</v>
      </c>
      <c r="GA31" t="s">
        <v>1651</v>
      </c>
      <c r="GB31">
        <v>1</v>
      </c>
      <c r="GD31">
        <v>0</v>
      </c>
      <c r="GF31">
        <v>0</v>
      </c>
      <c r="GG31">
        <v>1</v>
      </c>
      <c r="GH31" t="s">
        <v>892</v>
      </c>
      <c r="GI31" t="s">
        <v>893</v>
      </c>
      <c r="GJ31" t="s">
        <v>1652</v>
      </c>
      <c r="GM31">
        <v>1</v>
      </c>
      <c r="GN31">
        <v>1</v>
      </c>
      <c r="GO31">
        <v>0</v>
      </c>
      <c r="GP31">
        <v>1</v>
      </c>
      <c r="GQ31">
        <v>1</v>
      </c>
      <c r="GR31">
        <v>0</v>
      </c>
      <c r="GS31">
        <v>1</v>
      </c>
      <c r="GT31">
        <v>0</v>
      </c>
      <c r="GU31">
        <v>1</v>
      </c>
      <c r="GV31">
        <v>0</v>
      </c>
      <c r="GW31">
        <v>1</v>
      </c>
      <c r="GX31">
        <v>0</v>
      </c>
      <c r="GY31">
        <v>1</v>
      </c>
      <c r="GZ31">
        <v>0</v>
      </c>
      <c r="HA31" t="s">
        <v>265</v>
      </c>
      <c r="HB31" t="s">
        <v>894</v>
      </c>
      <c r="HC31" t="s">
        <v>935</v>
      </c>
      <c r="HD31" t="s">
        <v>845</v>
      </c>
      <c r="HE31" t="s">
        <v>900</v>
      </c>
      <c r="HF31" t="s">
        <v>923</v>
      </c>
      <c r="HG31" t="s">
        <v>894</v>
      </c>
      <c r="HH31" t="s">
        <v>935</v>
      </c>
      <c r="HI31" t="s">
        <v>845</v>
      </c>
      <c r="HJ31" t="s">
        <v>900</v>
      </c>
      <c r="HK31" t="s">
        <v>922</v>
      </c>
      <c r="HL31" t="s">
        <v>239</v>
      </c>
      <c r="HM31" t="s">
        <v>854</v>
      </c>
      <c r="HN31">
        <v>36805</v>
      </c>
      <c r="HP31" t="s">
        <v>226</v>
      </c>
      <c r="HQ31" t="s">
        <v>896</v>
      </c>
      <c r="HR31" t="s">
        <v>896</v>
      </c>
      <c r="HS31" t="s">
        <v>896</v>
      </c>
    </row>
    <row r="32" spans="1:227" x14ac:dyDescent="0.2">
      <c r="A32">
        <v>8702</v>
      </c>
      <c r="B32">
        <v>7524606956</v>
      </c>
      <c r="C32">
        <v>34</v>
      </c>
      <c r="D32" t="s">
        <v>996</v>
      </c>
      <c r="E32" t="s">
        <v>831</v>
      </c>
      <c r="F32">
        <v>1</v>
      </c>
      <c r="G32" t="s">
        <v>1661</v>
      </c>
      <c r="H32" t="s">
        <v>1661</v>
      </c>
      <c r="I32">
        <v>0</v>
      </c>
      <c r="J32" t="s">
        <v>833</v>
      </c>
      <c r="K32" t="s">
        <v>834</v>
      </c>
      <c r="L32">
        <v>153406558</v>
      </c>
      <c r="M32" t="s">
        <v>1662</v>
      </c>
      <c r="N32" t="s">
        <v>836</v>
      </c>
      <c r="O32" t="s">
        <v>837</v>
      </c>
      <c r="P32" t="s">
        <v>999</v>
      </c>
      <c r="Q32" t="s">
        <v>1027</v>
      </c>
      <c r="R32" t="s">
        <v>1663</v>
      </c>
      <c r="S32" t="s">
        <v>1664</v>
      </c>
      <c r="T32">
        <v>30300134878</v>
      </c>
      <c r="V32" t="s">
        <v>165</v>
      </c>
      <c r="W32" s="41">
        <v>45903</v>
      </c>
      <c r="X32" t="s">
        <v>1665</v>
      </c>
      <c r="Y32" t="s">
        <v>1666</v>
      </c>
      <c r="AA32">
        <v>0</v>
      </c>
      <c r="AB32" t="s">
        <v>845</v>
      </c>
      <c r="AC32" t="s">
        <v>846</v>
      </c>
      <c r="AD32" t="s">
        <v>847</v>
      </c>
      <c r="AE32" t="s">
        <v>848</v>
      </c>
      <c r="AF32">
        <v>1</v>
      </c>
      <c r="AG32">
        <v>452210</v>
      </c>
      <c r="AH32" t="s">
        <v>849</v>
      </c>
      <c r="AI32" t="s">
        <v>850</v>
      </c>
      <c r="AJ32" t="s">
        <v>851</v>
      </c>
      <c r="AK32" t="s">
        <v>285</v>
      </c>
      <c r="AL32" t="s">
        <v>1667</v>
      </c>
      <c r="AM32" t="s">
        <v>1499</v>
      </c>
      <c r="AN32" t="s">
        <v>854</v>
      </c>
      <c r="AO32">
        <v>36805</v>
      </c>
      <c r="AP32">
        <v>544</v>
      </c>
      <c r="AQ32" t="s">
        <v>855</v>
      </c>
      <c r="AR32">
        <v>66098236</v>
      </c>
      <c r="AS32" t="s">
        <v>856</v>
      </c>
      <c r="AU32" t="s">
        <v>1668</v>
      </c>
      <c r="AV32" t="s">
        <v>1669</v>
      </c>
      <c r="AX32" t="s">
        <v>913</v>
      </c>
      <c r="AY32" t="s">
        <v>861</v>
      </c>
      <c r="AZ32" t="s">
        <v>285</v>
      </c>
      <c r="BA32" t="s">
        <v>286</v>
      </c>
      <c r="BB32">
        <v>0</v>
      </c>
      <c r="BC32">
        <v>0</v>
      </c>
      <c r="BD32">
        <v>0</v>
      </c>
      <c r="BE32" t="s">
        <v>1662</v>
      </c>
      <c r="BF32">
        <v>0</v>
      </c>
      <c r="BG32">
        <v>0</v>
      </c>
      <c r="BH32" t="s">
        <v>862</v>
      </c>
      <c r="BI32">
        <v>0</v>
      </c>
      <c r="BJ32" t="s">
        <v>862</v>
      </c>
      <c r="BK32">
        <v>1</v>
      </c>
      <c r="BL32">
        <v>1</v>
      </c>
      <c r="BM32">
        <v>0</v>
      </c>
      <c r="BN32" t="s">
        <v>596</v>
      </c>
      <c r="BO32">
        <v>153406558</v>
      </c>
      <c r="BP32" t="s">
        <v>1661</v>
      </c>
      <c r="BR32">
        <v>42791459</v>
      </c>
      <c r="BT32">
        <v>0</v>
      </c>
      <c r="CM32">
        <v>4010</v>
      </c>
      <c r="CO32">
        <v>7360</v>
      </c>
      <c r="CP32">
        <v>0.1</v>
      </c>
      <c r="CQ32">
        <v>0.1</v>
      </c>
      <c r="CR32">
        <v>1.1667000000000001</v>
      </c>
      <c r="CS32">
        <v>1</v>
      </c>
      <c r="CT32" t="s">
        <v>1670</v>
      </c>
      <c r="CU32" t="s">
        <v>1671</v>
      </c>
      <c r="CV32" t="s">
        <v>833</v>
      </c>
      <c r="CW32" t="s">
        <v>834</v>
      </c>
      <c r="CX32" t="s">
        <v>1662</v>
      </c>
      <c r="CY32">
        <v>0</v>
      </c>
      <c r="CZ32">
        <v>0</v>
      </c>
      <c r="DA32" t="s">
        <v>833</v>
      </c>
      <c r="DB32" t="s">
        <v>865</v>
      </c>
      <c r="DC32">
        <v>55378</v>
      </c>
      <c r="DD32">
        <v>2.9666999999999999</v>
      </c>
      <c r="DE32" t="s">
        <v>866</v>
      </c>
      <c r="DG32" t="s">
        <v>867</v>
      </c>
      <c r="DH32" t="s">
        <v>851</v>
      </c>
      <c r="DL32" t="s">
        <v>869</v>
      </c>
      <c r="DM32">
        <v>0</v>
      </c>
      <c r="DN32">
        <v>0</v>
      </c>
      <c r="DO32">
        <v>2</v>
      </c>
      <c r="DP32" t="s">
        <v>870</v>
      </c>
      <c r="DQ32">
        <v>12</v>
      </c>
      <c r="DR32">
        <v>178</v>
      </c>
      <c r="DS32">
        <v>178</v>
      </c>
      <c r="DT32">
        <v>2.8666999999999998</v>
      </c>
      <c r="DU32">
        <v>4</v>
      </c>
      <c r="DW32">
        <v>1</v>
      </c>
      <c r="DX32" t="s">
        <v>596</v>
      </c>
      <c r="DY32" t="s">
        <v>1662</v>
      </c>
      <c r="DZ32">
        <v>1</v>
      </c>
      <c r="EA32">
        <v>1</v>
      </c>
      <c r="EB32">
        <v>1</v>
      </c>
      <c r="EC32">
        <v>1</v>
      </c>
      <c r="ED32">
        <v>1</v>
      </c>
      <c r="EE32">
        <v>1</v>
      </c>
      <c r="EF32" t="s">
        <v>871</v>
      </c>
      <c r="EG32" t="s">
        <v>595</v>
      </c>
      <c r="EH32" t="s">
        <v>1036</v>
      </c>
      <c r="EI32" t="s">
        <v>1036</v>
      </c>
      <c r="EJ32" t="s">
        <v>159</v>
      </c>
      <c r="EK32">
        <v>9090</v>
      </c>
      <c r="EL32">
        <v>0</v>
      </c>
      <c r="EM32" t="s">
        <v>873</v>
      </c>
      <c r="EN32">
        <v>1.1667000000000001</v>
      </c>
      <c r="EO32">
        <v>2.9666665999999999</v>
      </c>
      <c r="EP32">
        <v>99991120</v>
      </c>
      <c r="EQ32" t="s">
        <v>874</v>
      </c>
      <c r="ER32" t="s">
        <v>875</v>
      </c>
      <c r="ES32" t="s">
        <v>876</v>
      </c>
      <c r="ET32" t="s">
        <v>877</v>
      </c>
      <c r="EU32" t="s">
        <v>877</v>
      </c>
      <c r="EV32" t="s">
        <v>871</v>
      </c>
      <c r="EX32" t="s">
        <v>836</v>
      </c>
      <c r="EY32" t="s">
        <v>1121</v>
      </c>
      <c r="EZ32" t="s">
        <v>1122</v>
      </c>
      <c r="FA32" t="s">
        <v>956</v>
      </c>
      <c r="FB32">
        <v>1</v>
      </c>
      <c r="FC32">
        <v>1</v>
      </c>
      <c r="FD32" s="41">
        <v>45906</v>
      </c>
      <c r="FE32" t="s">
        <v>880</v>
      </c>
      <c r="FF32">
        <v>6</v>
      </c>
      <c r="FG32" t="s">
        <v>1672</v>
      </c>
      <c r="FH32" t="s">
        <v>1673</v>
      </c>
      <c r="FI32">
        <v>1</v>
      </c>
      <c r="FJ32" t="s">
        <v>1674</v>
      </c>
      <c r="FK32" t="s">
        <v>1675</v>
      </c>
      <c r="FL32">
        <v>1</v>
      </c>
      <c r="FM32" t="s">
        <v>1676</v>
      </c>
      <c r="FN32" t="s">
        <v>1677</v>
      </c>
      <c r="FO32">
        <v>1</v>
      </c>
      <c r="FP32" t="s">
        <v>1678</v>
      </c>
      <c r="FQ32" t="s">
        <v>1671</v>
      </c>
      <c r="FR32">
        <v>1</v>
      </c>
      <c r="FS32" t="s">
        <v>1679</v>
      </c>
      <c r="FT32" t="s">
        <v>1680</v>
      </c>
      <c r="FU32">
        <v>1</v>
      </c>
      <c r="FV32" t="s">
        <v>1681</v>
      </c>
      <c r="FW32" t="s">
        <v>1682</v>
      </c>
      <c r="FX32">
        <v>1</v>
      </c>
      <c r="FY32" t="s">
        <v>890</v>
      </c>
      <c r="FZ32" t="s">
        <v>1683</v>
      </c>
      <c r="GA32" t="s">
        <v>1674</v>
      </c>
      <c r="GB32">
        <v>1</v>
      </c>
      <c r="GD32">
        <v>0</v>
      </c>
      <c r="GF32">
        <v>0</v>
      </c>
      <c r="GG32">
        <v>1</v>
      </c>
      <c r="GH32" t="s">
        <v>892</v>
      </c>
      <c r="GI32" t="s">
        <v>893</v>
      </c>
      <c r="GJ32" t="s">
        <v>1675</v>
      </c>
      <c r="GM32">
        <v>1</v>
      </c>
      <c r="GN32">
        <v>1</v>
      </c>
      <c r="GO32">
        <v>0</v>
      </c>
      <c r="GP32">
        <v>1</v>
      </c>
      <c r="GQ32">
        <v>1</v>
      </c>
      <c r="GR32">
        <v>0</v>
      </c>
      <c r="GS32">
        <v>1</v>
      </c>
      <c r="GT32">
        <v>0</v>
      </c>
      <c r="GU32">
        <v>1</v>
      </c>
      <c r="GV32">
        <v>0</v>
      </c>
      <c r="GW32">
        <v>1</v>
      </c>
      <c r="GX32">
        <v>0</v>
      </c>
      <c r="GY32">
        <v>1</v>
      </c>
      <c r="GZ32">
        <v>0</v>
      </c>
      <c r="HA32" t="s">
        <v>285</v>
      </c>
      <c r="HB32" t="s">
        <v>894</v>
      </c>
      <c r="HC32" t="s">
        <v>895</v>
      </c>
      <c r="HD32" t="s">
        <v>845</v>
      </c>
      <c r="HE32" t="s">
        <v>836</v>
      </c>
      <c r="HF32" t="s">
        <v>873</v>
      </c>
      <c r="HG32" t="s">
        <v>894</v>
      </c>
      <c r="HH32" t="s">
        <v>895</v>
      </c>
      <c r="HI32" t="s">
        <v>845</v>
      </c>
      <c r="HJ32" t="s">
        <v>836</v>
      </c>
      <c r="HK32" t="s">
        <v>873</v>
      </c>
      <c r="HL32" t="s">
        <v>165</v>
      </c>
      <c r="HM32" t="s">
        <v>854</v>
      </c>
      <c r="HN32">
        <v>36805</v>
      </c>
      <c r="HP32" t="s">
        <v>159</v>
      </c>
      <c r="HQ32" t="s">
        <v>896</v>
      </c>
      <c r="HR32" t="s">
        <v>896</v>
      </c>
      <c r="HS32" t="s">
        <v>896</v>
      </c>
    </row>
    <row r="33" spans="1:227" x14ac:dyDescent="0.2">
      <c r="A33">
        <v>8702</v>
      </c>
      <c r="B33">
        <v>7618000492</v>
      </c>
      <c r="C33">
        <v>36</v>
      </c>
      <c r="D33" t="s">
        <v>1302</v>
      </c>
      <c r="E33" t="s">
        <v>831</v>
      </c>
      <c r="F33">
        <v>0</v>
      </c>
      <c r="G33" t="s">
        <v>1684</v>
      </c>
      <c r="H33" t="s">
        <v>1684</v>
      </c>
      <c r="I33">
        <v>0</v>
      </c>
      <c r="J33" t="s">
        <v>833</v>
      </c>
      <c r="K33" t="s">
        <v>834</v>
      </c>
      <c r="L33">
        <v>153008212</v>
      </c>
      <c r="M33" t="s">
        <v>1685</v>
      </c>
      <c r="N33" t="s">
        <v>836</v>
      </c>
      <c r="O33" t="s">
        <v>837</v>
      </c>
      <c r="P33" t="s">
        <v>1302</v>
      </c>
      <c r="Q33" t="s">
        <v>1517</v>
      </c>
      <c r="R33" t="s">
        <v>1686</v>
      </c>
      <c r="S33" t="s">
        <v>1687</v>
      </c>
      <c r="T33">
        <v>41477044060</v>
      </c>
      <c r="V33" t="s">
        <v>117</v>
      </c>
      <c r="W33" s="41">
        <v>46203</v>
      </c>
      <c r="X33" t="s">
        <v>1688</v>
      </c>
      <c r="Y33" t="s">
        <v>1689</v>
      </c>
      <c r="Z33" t="s">
        <v>1690</v>
      </c>
      <c r="AA33">
        <v>0</v>
      </c>
      <c r="AB33" t="s">
        <v>845</v>
      </c>
      <c r="AC33" t="s">
        <v>846</v>
      </c>
      <c r="AD33" t="s">
        <v>907</v>
      </c>
      <c r="AE33" t="s">
        <v>908</v>
      </c>
      <c r="AF33">
        <v>1</v>
      </c>
      <c r="AG33">
        <v>452210</v>
      </c>
      <c r="AH33" t="s">
        <v>849</v>
      </c>
      <c r="AI33" t="s">
        <v>850</v>
      </c>
      <c r="AJ33" t="s">
        <v>851</v>
      </c>
      <c r="AK33" t="s">
        <v>443</v>
      </c>
      <c r="AL33" t="s">
        <v>1691</v>
      </c>
      <c r="AM33" t="s">
        <v>1364</v>
      </c>
      <c r="AN33" t="s">
        <v>854</v>
      </c>
      <c r="AO33">
        <v>36805</v>
      </c>
      <c r="AP33">
        <v>493</v>
      </c>
      <c r="AQ33" t="s">
        <v>855</v>
      </c>
      <c r="AR33">
        <v>66530317</v>
      </c>
      <c r="AS33" t="s">
        <v>856</v>
      </c>
      <c r="AU33" t="s">
        <v>1692</v>
      </c>
      <c r="AV33" t="s">
        <v>1693</v>
      </c>
      <c r="AW33" t="s">
        <v>1185</v>
      </c>
      <c r="AX33" t="s">
        <v>1186</v>
      </c>
      <c r="AY33" t="s">
        <v>861</v>
      </c>
      <c r="AZ33" t="s">
        <v>443</v>
      </c>
      <c r="BA33" t="s">
        <v>444</v>
      </c>
      <c r="BB33">
        <v>1</v>
      </c>
      <c r="BC33">
        <v>0</v>
      </c>
      <c r="BD33">
        <v>0</v>
      </c>
      <c r="BE33" t="s">
        <v>1685</v>
      </c>
      <c r="BF33">
        <v>0</v>
      </c>
      <c r="BG33">
        <v>0</v>
      </c>
      <c r="BH33" t="s">
        <v>862</v>
      </c>
      <c r="BI33">
        <v>0</v>
      </c>
      <c r="BJ33" t="s">
        <v>862</v>
      </c>
      <c r="BK33">
        <v>1</v>
      </c>
      <c r="BL33">
        <v>0</v>
      </c>
      <c r="BM33">
        <v>0</v>
      </c>
      <c r="BN33" t="s">
        <v>596</v>
      </c>
      <c r="BO33">
        <v>153008212</v>
      </c>
      <c r="BP33" t="s">
        <v>1684</v>
      </c>
      <c r="BR33">
        <v>42789054</v>
      </c>
      <c r="BT33">
        <v>1</v>
      </c>
      <c r="BU33" t="s">
        <v>1314</v>
      </c>
      <c r="BY33">
        <v>12</v>
      </c>
      <c r="CA33">
        <v>19</v>
      </c>
      <c r="CI33">
        <v>11</v>
      </c>
      <c r="CJ33" t="s">
        <v>94</v>
      </c>
      <c r="CM33">
        <v>4010</v>
      </c>
      <c r="CO33">
        <v>7360</v>
      </c>
      <c r="CP33">
        <v>1.2166999999999999</v>
      </c>
      <c r="CQ33">
        <v>1.2166999999999999</v>
      </c>
      <c r="CR33">
        <v>2.6333000000000002</v>
      </c>
      <c r="CS33">
        <v>2096</v>
      </c>
      <c r="CT33" t="s">
        <v>1693</v>
      </c>
      <c r="CU33" t="s">
        <v>1692</v>
      </c>
      <c r="CV33" t="s">
        <v>833</v>
      </c>
      <c r="CW33" t="s">
        <v>834</v>
      </c>
      <c r="CX33" t="s">
        <v>1685</v>
      </c>
      <c r="CY33">
        <v>1</v>
      </c>
      <c r="CZ33">
        <v>1</v>
      </c>
      <c r="DA33" t="s">
        <v>833</v>
      </c>
      <c r="DB33" t="s">
        <v>865</v>
      </c>
      <c r="DC33">
        <v>63368</v>
      </c>
      <c r="DD33">
        <v>19</v>
      </c>
      <c r="DE33" t="s">
        <v>866</v>
      </c>
      <c r="DG33" t="s">
        <v>867</v>
      </c>
      <c r="DH33" t="s">
        <v>851</v>
      </c>
      <c r="DJ33" t="s">
        <v>1694</v>
      </c>
      <c r="DK33" t="s">
        <v>918</v>
      </c>
      <c r="DL33" t="s">
        <v>869</v>
      </c>
      <c r="DM33">
        <v>0</v>
      </c>
      <c r="DN33">
        <v>0</v>
      </c>
      <c r="DO33">
        <v>11</v>
      </c>
      <c r="DP33" t="s">
        <v>1010</v>
      </c>
      <c r="DQ33">
        <v>12</v>
      </c>
      <c r="DR33">
        <v>1140</v>
      </c>
      <c r="DS33">
        <v>2569</v>
      </c>
      <c r="DT33">
        <v>4.6500000000000004</v>
      </c>
      <c r="DU33">
        <v>4</v>
      </c>
      <c r="DV33">
        <v>1</v>
      </c>
      <c r="DW33">
        <v>1</v>
      </c>
      <c r="DX33" t="s">
        <v>594</v>
      </c>
      <c r="DY33" t="s">
        <v>1685</v>
      </c>
      <c r="DZ33">
        <v>0</v>
      </c>
      <c r="EA33">
        <v>0</v>
      </c>
      <c r="EB33">
        <v>0</v>
      </c>
      <c r="EC33">
        <v>0</v>
      </c>
      <c r="ED33">
        <v>0</v>
      </c>
      <c r="EE33">
        <v>0</v>
      </c>
      <c r="EF33" t="s">
        <v>920</v>
      </c>
      <c r="EG33" t="s">
        <v>595</v>
      </c>
      <c r="EH33" t="s">
        <v>1695</v>
      </c>
      <c r="EI33" t="s">
        <v>1695</v>
      </c>
      <c r="EJ33" t="s">
        <v>111</v>
      </c>
      <c r="EK33">
        <v>9090</v>
      </c>
      <c r="EL33">
        <v>1</v>
      </c>
      <c r="EM33" t="s">
        <v>1037</v>
      </c>
      <c r="EN33">
        <v>2.6333000000000002</v>
      </c>
      <c r="EO33">
        <v>42.816666699999999</v>
      </c>
      <c r="EP33">
        <v>99991120</v>
      </c>
      <c r="EQ33" t="s">
        <v>874</v>
      </c>
      <c r="ER33" t="s">
        <v>875</v>
      </c>
      <c r="ES33" t="s">
        <v>876</v>
      </c>
      <c r="ET33" t="s">
        <v>877</v>
      </c>
      <c r="EU33" t="s">
        <v>877</v>
      </c>
      <c r="EV33" t="s">
        <v>920</v>
      </c>
      <c r="EX33" t="s">
        <v>836</v>
      </c>
      <c r="EY33" t="s">
        <v>1051</v>
      </c>
      <c r="EZ33" t="s">
        <v>1038</v>
      </c>
      <c r="FA33" t="s">
        <v>925</v>
      </c>
      <c r="FB33">
        <v>1</v>
      </c>
      <c r="FC33">
        <v>2</v>
      </c>
      <c r="FD33" s="41">
        <v>46207</v>
      </c>
      <c r="FE33" t="s">
        <v>1315</v>
      </c>
      <c r="FF33">
        <v>14</v>
      </c>
      <c r="FG33" t="s">
        <v>1696</v>
      </c>
      <c r="FH33" t="s">
        <v>1697</v>
      </c>
      <c r="FI33">
        <v>1</v>
      </c>
      <c r="FJ33" t="s">
        <v>1696</v>
      </c>
      <c r="FK33" t="s">
        <v>1697</v>
      </c>
      <c r="FL33">
        <v>1</v>
      </c>
      <c r="FM33" t="s">
        <v>1698</v>
      </c>
      <c r="FN33" t="s">
        <v>1699</v>
      </c>
      <c r="FO33">
        <v>1</v>
      </c>
      <c r="FP33" t="s">
        <v>1700</v>
      </c>
      <c r="FQ33" t="s">
        <v>1692</v>
      </c>
      <c r="FR33">
        <v>1</v>
      </c>
      <c r="FS33" t="s">
        <v>1100</v>
      </c>
      <c r="FT33" t="s">
        <v>1701</v>
      </c>
      <c r="FU33">
        <v>1</v>
      </c>
      <c r="FV33" t="s">
        <v>1702</v>
      </c>
      <c r="FW33" t="s">
        <v>1703</v>
      </c>
      <c r="FX33">
        <v>1</v>
      </c>
      <c r="FY33" t="s">
        <v>890</v>
      </c>
      <c r="FZ33" t="s">
        <v>1704</v>
      </c>
      <c r="GA33" t="s">
        <v>1696</v>
      </c>
      <c r="GB33">
        <v>1</v>
      </c>
      <c r="GD33">
        <v>0</v>
      </c>
      <c r="GF33">
        <v>0</v>
      </c>
      <c r="GG33">
        <v>1</v>
      </c>
      <c r="GH33" t="s">
        <v>892</v>
      </c>
      <c r="GI33" t="s">
        <v>893</v>
      </c>
      <c r="GJ33" t="s">
        <v>1697</v>
      </c>
      <c r="GM33">
        <v>1</v>
      </c>
      <c r="GN33">
        <v>0</v>
      </c>
      <c r="GO33">
        <v>0</v>
      </c>
      <c r="GP33">
        <v>1</v>
      </c>
      <c r="GQ33">
        <v>1</v>
      </c>
      <c r="GR33">
        <v>0</v>
      </c>
      <c r="GS33">
        <v>1</v>
      </c>
      <c r="GT33">
        <v>0</v>
      </c>
      <c r="GU33">
        <v>1</v>
      </c>
      <c r="GV33">
        <v>0</v>
      </c>
      <c r="GW33">
        <v>1</v>
      </c>
      <c r="GX33">
        <v>0</v>
      </c>
      <c r="GY33">
        <v>1</v>
      </c>
      <c r="GZ33">
        <v>0</v>
      </c>
      <c r="HA33" t="s">
        <v>443</v>
      </c>
      <c r="HB33" t="s">
        <v>894</v>
      </c>
      <c r="HC33" t="s">
        <v>895</v>
      </c>
      <c r="HD33" t="s">
        <v>845</v>
      </c>
      <c r="HE33" t="s">
        <v>836</v>
      </c>
      <c r="HF33" t="s">
        <v>1051</v>
      </c>
      <c r="HG33" t="s">
        <v>894</v>
      </c>
      <c r="HH33" t="s">
        <v>895</v>
      </c>
      <c r="HI33" t="s">
        <v>845</v>
      </c>
      <c r="HJ33" t="s">
        <v>836</v>
      </c>
      <c r="HK33" t="s">
        <v>1037</v>
      </c>
      <c r="HL33" t="s">
        <v>117</v>
      </c>
      <c r="HM33" t="s">
        <v>854</v>
      </c>
      <c r="HN33">
        <v>36805</v>
      </c>
      <c r="HO33">
        <v>1</v>
      </c>
      <c r="HP33" t="s">
        <v>111</v>
      </c>
      <c r="HQ33" t="s">
        <v>896</v>
      </c>
      <c r="HR33" t="s">
        <v>896</v>
      </c>
      <c r="HS33" t="s">
        <v>896</v>
      </c>
    </row>
    <row r="34" spans="1:227" x14ac:dyDescent="0.2">
      <c r="A34">
        <v>8702</v>
      </c>
      <c r="B34">
        <v>7606002257</v>
      </c>
      <c r="C34" t="s">
        <v>829</v>
      </c>
      <c r="D34" t="s">
        <v>830</v>
      </c>
      <c r="E34" t="s">
        <v>831</v>
      </c>
      <c r="F34">
        <v>1</v>
      </c>
      <c r="G34" t="s">
        <v>1705</v>
      </c>
      <c r="H34" t="s">
        <v>1705</v>
      </c>
      <c r="I34">
        <v>0</v>
      </c>
      <c r="J34" t="s">
        <v>833</v>
      </c>
      <c r="K34" t="s">
        <v>834</v>
      </c>
      <c r="L34">
        <v>156586319</v>
      </c>
      <c r="M34" t="s">
        <v>1706</v>
      </c>
      <c r="N34" t="s">
        <v>836</v>
      </c>
      <c r="O34" t="s">
        <v>837</v>
      </c>
      <c r="P34" t="s">
        <v>838</v>
      </c>
      <c r="Q34" t="s">
        <v>839</v>
      </c>
      <c r="R34" t="s">
        <v>1707</v>
      </c>
      <c r="S34" t="s">
        <v>1708</v>
      </c>
      <c r="T34">
        <v>41477093528</v>
      </c>
      <c r="V34" t="s">
        <v>196</v>
      </c>
      <c r="W34" s="41">
        <v>46082</v>
      </c>
      <c r="X34" t="s">
        <v>1709</v>
      </c>
      <c r="Y34" t="s">
        <v>1710</v>
      </c>
      <c r="AA34">
        <v>0</v>
      </c>
      <c r="AB34" t="s">
        <v>845</v>
      </c>
      <c r="AC34" t="s">
        <v>846</v>
      </c>
      <c r="AD34" t="s">
        <v>1113</v>
      </c>
      <c r="AE34" t="s">
        <v>1114</v>
      </c>
      <c r="AF34">
        <v>1</v>
      </c>
      <c r="AG34">
        <v>452210</v>
      </c>
      <c r="AH34" t="s">
        <v>849</v>
      </c>
      <c r="AI34" t="s">
        <v>850</v>
      </c>
      <c r="AJ34" t="s">
        <v>851</v>
      </c>
      <c r="AK34" t="s">
        <v>429</v>
      </c>
      <c r="AL34" t="s">
        <v>1711</v>
      </c>
      <c r="AM34" t="s">
        <v>1712</v>
      </c>
      <c r="AN34" t="s">
        <v>854</v>
      </c>
      <c r="AO34">
        <v>36805</v>
      </c>
      <c r="AP34">
        <v>639</v>
      </c>
      <c r="AQ34" t="s">
        <v>855</v>
      </c>
      <c r="AR34">
        <v>66355899</v>
      </c>
      <c r="AS34" t="s">
        <v>856</v>
      </c>
      <c r="AU34" t="s">
        <v>1713</v>
      </c>
      <c r="AV34" t="s">
        <v>1714</v>
      </c>
      <c r="AX34" t="s">
        <v>913</v>
      </c>
      <c r="AY34" t="s">
        <v>861</v>
      </c>
      <c r="AZ34" t="s">
        <v>429</v>
      </c>
      <c r="BA34" t="s">
        <v>430</v>
      </c>
      <c r="BB34">
        <v>0</v>
      </c>
      <c r="BC34">
        <v>0</v>
      </c>
      <c r="BD34">
        <v>0</v>
      </c>
      <c r="BE34" t="s">
        <v>1706</v>
      </c>
      <c r="BF34">
        <v>0</v>
      </c>
      <c r="BG34">
        <v>0</v>
      </c>
      <c r="BH34" t="s">
        <v>862</v>
      </c>
      <c r="BI34">
        <v>0</v>
      </c>
      <c r="BJ34" t="s">
        <v>862</v>
      </c>
      <c r="BK34">
        <v>1</v>
      </c>
      <c r="BL34">
        <v>1</v>
      </c>
      <c r="BM34">
        <v>0</v>
      </c>
      <c r="BN34" t="s">
        <v>596</v>
      </c>
      <c r="BO34">
        <v>156586319</v>
      </c>
      <c r="BP34" t="s">
        <v>1705</v>
      </c>
      <c r="BR34">
        <v>42791771</v>
      </c>
      <c r="BT34">
        <v>2</v>
      </c>
      <c r="BU34" t="s">
        <v>1715</v>
      </c>
      <c r="CE34">
        <v>1</v>
      </c>
      <c r="CI34">
        <v>11</v>
      </c>
      <c r="CJ34" t="s">
        <v>94</v>
      </c>
      <c r="CM34">
        <v>4010</v>
      </c>
      <c r="CO34">
        <v>7360</v>
      </c>
      <c r="CP34">
        <v>0.81669999999999998</v>
      </c>
      <c r="CQ34">
        <v>0.81669999999999998</v>
      </c>
      <c r="CR34">
        <v>1.05</v>
      </c>
      <c r="CS34">
        <v>3</v>
      </c>
      <c r="CT34" t="s">
        <v>1716</v>
      </c>
      <c r="CU34" t="s">
        <v>1717</v>
      </c>
      <c r="CV34" t="s">
        <v>833</v>
      </c>
      <c r="CW34" t="s">
        <v>834</v>
      </c>
      <c r="CX34" t="s">
        <v>1706</v>
      </c>
      <c r="CY34">
        <v>0</v>
      </c>
      <c r="CZ34">
        <v>0</v>
      </c>
      <c r="DA34" t="s">
        <v>833</v>
      </c>
      <c r="DB34" t="s">
        <v>865</v>
      </c>
      <c r="DC34">
        <v>60134</v>
      </c>
      <c r="DD34">
        <v>3.0667</v>
      </c>
      <c r="DE34" t="s">
        <v>866</v>
      </c>
      <c r="DG34" t="s">
        <v>867</v>
      </c>
      <c r="DH34" t="s">
        <v>851</v>
      </c>
      <c r="DJ34" t="s">
        <v>1718</v>
      </c>
      <c r="DK34" t="s">
        <v>918</v>
      </c>
      <c r="DL34" t="s">
        <v>869</v>
      </c>
      <c r="DM34">
        <v>0</v>
      </c>
      <c r="DN34">
        <v>0</v>
      </c>
      <c r="DO34">
        <v>1</v>
      </c>
      <c r="DP34" t="s">
        <v>985</v>
      </c>
      <c r="DQ34">
        <v>0</v>
      </c>
      <c r="DR34">
        <v>184</v>
      </c>
      <c r="DS34">
        <v>184</v>
      </c>
      <c r="DT34">
        <v>2.25</v>
      </c>
      <c r="DU34">
        <v>0</v>
      </c>
      <c r="DV34">
        <v>1</v>
      </c>
      <c r="DW34">
        <v>1</v>
      </c>
      <c r="DX34" t="s">
        <v>596</v>
      </c>
      <c r="DY34" t="s">
        <v>1706</v>
      </c>
      <c r="DZ34">
        <v>1</v>
      </c>
      <c r="EA34">
        <v>1</v>
      </c>
      <c r="EB34">
        <v>1</v>
      </c>
      <c r="EC34">
        <v>1</v>
      </c>
      <c r="ED34">
        <v>1</v>
      </c>
      <c r="EE34">
        <v>1</v>
      </c>
      <c r="EF34" t="s">
        <v>871</v>
      </c>
      <c r="EG34" t="s">
        <v>595</v>
      </c>
      <c r="EH34" t="s">
        <v>1036</v>
      </c>
      <c r="EI34" t="s">
        <v>1036</v>
      </c>
      <c r="EJ34" t="s">
        <v>181</v>
      </c>
      <c r="EK34">
        <v>9090</v>
      </c>
      <c r="EL34">
        <v>0</v>
      </c>
      <c r="EM34" t="s">
        <v>1436</v>
      </c>
      <c r="EN34">
        <v>1.05</v>
      </c>
      <c r="EO34">
        <v>3.0666666999999999</v>
      </c>
      <c r="EP34">
        <v>99991120</v>
      </c>
      <c r="EQ34" t="s">
        <v>874</v>
      </c>
      <c r="ER34" t="s">
        <v>875</v>
      </c>
      <c r="ES34" t="s">
        <v>876</v>
      </c>
      <c r="ET34" t="s">
        <v>877</v>
      </c>
      <c r="EU34" t="s">
        <v>877</v>
      </c>
      <c r="EV34" t="s">
        <v>871</v>
      </c>
      <c r="EX34" t="s">
        <v>836</v>
      </c>
      <c r="EY34" t="s">
        <v>873</v>
      </c>
      <c r="EZ34" t="s">
        <v>1437</v>
      </c>
      <c r="FA34" t="s">
        <v>956</v>
      </c>
      <c r="FB34">
        <v>1</v>
      </c>
      <c r="FC34">
        <v>1</v>
      </c>
      <c r="FD34" s="41">
        <v>46088</v>
      </c>
      <c r="FE34" t="s">
        <v>1719</v>
      </c>
      <c r="FF34">
        <v>4</v>
      </c>
      <c r="FI34">
        <v>0</v>
      </c>
      <c r="FL34">
        <v>0</v>
      </c>
      <c r="FM34" t="s">
        <v>1720</v>
      </c>
      <c r="FN34" t="s">
        <v>1721</v>
      </c>
      <c r="FO34">
        <v>1</v>
      </c>
      <c r="FP34" t="s">
        <v>1722</v>
      </c>
      <c r="FQ34" t="s">
        <v>1717</v>
      </c>
      <c r="FR34">
        <v>1</v>
      </c>
      <c r="FS34" t="s">
        <v>1723</v>
      </c>
      <c r="FT34" t="s">
        <v>1724</v>
      </c>
      <c r="FU34">
        <v>1</v>
      </c>
      <c r="FV34" t="s">
        <v>1725</v>
      </c>
      <c r="FW34" t="s">
        <v>1726</v>
      </c>
      <c r="FX34">
        <v>1</v>
      </c>
      <c r="FY34" t="s">
        <v>890</v>
      </c>
      <c r="FZ34" t="s">
        <v>1727</v>
      </c>
      <c r="GA34" t="s">
        <v>1725</v>
      </c>
      <c r="GB34">
        <v>1</v>
      </c>
      <c r="GD34">
        <v>0</v>
      </c>
      <c r="GF34">
        <v>0</v>
      </c>
      <c r="GG34">
        <v>1</v>
      </c>
      <c r="GH34" t="s">
        <v>892</v>
      </c>
      <c r="GI34" t="s">
        <v>893</v>
      </c>
      <c r="GJ34" t="s">
        <v>1726</v>
      </c>
      <c r="GM34">
        <v>1</v>
      </c>
      <c r="GN34">
        <v>1</v>
      </c>
      <c r="GO34">
        <v>0</v>
      </c>
      <c r="GP34">
        <v>1</v>
      </c>
      <c r="GQ34">
        <v>1</v>
      </c>
      <c r="GR34">
        <v>0</v>
      </c>
      <c r="GS34">
        <v>1</v>
      </c>
      <c r="GT34">
        <v>0</v>
      </c>
      <c r="GU34">
        <v>1</v>
      </c>
      <c r="GV34">
        <v>0</v>
      </c>
      <c r="GW34">
        <v>1</v>
      </c>
      <c r="GX34">
        <v>0</v>
      </c>
      <c r="GY34">
        <v>1</v>
      </c>
      <c r="GZ34">
        <v>0</v>
      </c>
      <c r="HA34" t="s">
        <v>429</v>
      </c>
      <c r="HB34" t="s">
        <v>894</v>
      </c>
      <c r="HC34" t="s">
        <v>895</v>
      </c>
      <c r="HD34" t="s">
        <v>845</v>
      </c>
      <c r="HE34" t="s">
        <v>836</v>
      </c>
      <c r="HF34" t="s">
        <v>873</v>
      </c>
      <c r="HG34" t="s">
        <v>894</v>
      </c>
      <c r="HH34" t="s">
        <v>895</v>
      </c>
      <c r="HI34" t="s">
        <v>845</v>
      </c>
      <c r="HJ34" t="s">
        <v>836</v>
      </c>
      <c r="HK34" t="s">
        <v>1436</v>
      </c>
      <c r="HL34" t="s">
        <v>196</v>
      </c>
      <c r="HM34" t="s">
        <v>854</v>
      </c>
      <c r="HN34">
        <v>36805</v>
      </c>
      <c r="HP34" t="s">
        <v>181</v>
      </c>
      <c r="HQ34" t="s">
        <v>896</v>
      </c>
      <c r="HR34" t="s">
        <v>896</v>
      </c>
      <c r="HS34" t="s">
        <v>896</v>
      </c>
    </row>
    <row r="35" spans="1:227" x14ac:dyDescent="0.2">
      <c r="A35">
        <v>8702</v>
      </c>
      <c r="B35">
        <v>7525201332</v>
      </c>
      <c r="C35" t="s">
        <v>829</v>
      </c>
      <c r="D35" t="s">
        <v>830</v>
      </c>
      <c r="E35" t="s">
        <v>831</v>
      </c>
      <c r="F35">
        <v>0</v>
      </c>
      <c r="G35" t="s">
        <v>1728</v>
      </c>
      <c r="H35" t="s">
        <v>1728</v>
      </c>
      <c r="I35">
        <v>0</v>
      </c>
      <c r="J35" t="s">
        <v>833</v>
      </c>
      <c r="K35" t="s">
        <v>834</v>
      </c>
      <c r="L35">
        <v>156046177</v>
      </c>
      <c r="M35" t="s">
        <v>1729</v>
      </c>
      <c r="N35" t="s">
        <v>836</v>
      </c>
      <c r="O35" t="s">
        <v>837</v>
      </c>
      <c r="P35" t="s">
        <v>838</v>
      </c>
      <c r="Q35" t="s">
        <v>1279</v>
      </c>
      <c r="R35" t="s">
        <v>1730</v>
      </c>
      <c r="S35" t="s">
        <v>1731</v>
      </c>
      <c r="T35">
        <v>41477009164</v>
      </c>
      <c r="V35" t="s">
        <v>1732</v>
      </c>
      <c r="W35" s="41">
        <v>45909</v>
      </c>
      <c r="X35" t="s">
        <v>1733</v>
      </c>
      <c r="Y35" t="s">
        <v>1734</v>
      </c>
      <c r="AA35">
        <v>0</v>
      </c>
      <c r="AB35" t="s">
        <v>845</v>
      </c>
      <c r="AC35" t="s">
        <v>846</v>
      </c>
      <c r="AD35" t="s">
        <v>847</v>
      </c>
      <c r="AE35" t="s">
        <v>848</v>
      </c>
      <c r="AF35">
        <v>1</v>
      </c>
      <c r="AG35">
        <v>452210</v>
      </c>
      <c r="AH35" t="s">
        <v>849</v>
      </c>
      <c r="AI35" t="s">
        <v>850</v>
      </c>
      <c r="AJ35" t="s">
        <v>851</v>
      </c>
      <c r="AK35" t="s">
        <v>357</v>
      </c>
      <c r="AL35" t="s">
        <v>1735</v>
      </c>
      <c r="AM35" t="s">
        <v>1736</v>
      </c>
      <c r="AN35" t="s">
        <v>854</v>
      </c>
      <c r="AO35">
        <v>36805</v>
      </c>
      <c r="AP35">
        <v>494</v>
      </c>
      <c r="AQ35" t="s">
        <v>855</v>
      </c>
      <c r="AR35">
        <v>66107148</v>
      </c>
      <c r="AS35" t="s">
        <v>856</v>
      </c>
      <c r="AU35" t="s">
        <v>1737</v>
      </c>
      <c r="AV35" t="s">
        <v>1738</v>
      </c>
      <c r="AW35" t="s">
        <v>1261</v>
      </c>
      <c r="AX35" t="s">
        <v>1262</v>
      </c>
      <c r="AY35" t="s">
        <v>861</v>
      </c>
      <c r="AZ35" t="s">
        <v>357</v>
      </c>
      <c r="BA35" t="s">
        <v>358</v>
      </c>
      <c r="BB35">
        <v>0</v>
      </c>
      <c r="BC35">
        <v>0</v>
      </c>
      <c r="BD35">
        <v>0</v>
      </c>
      <c r="BE35" t="s">
        <v>1729</v>
      </c>
      <c r="BF35">
        <v>0</v>
      </c>
      <c r="BG35">
        <v>0</v>
      </c>
      <c r="BH35" t="s">
        <v>862</v>
      </c>
      <c r="BI35">
        <v>0</v>
      </c>
      <c r="BJ35" t="s">
        <v>862</v>
      </c>
      <c r="BK35">
        <v>1</v>
      </c>
      <c r="BL35">
        <v>0</v>
      </c>
      <c r="BM35">
        <v>0</v>
      </c>
      <c r="BN35" t="s">
        <v>596</v>
      </c>
      <c r="BO35">
        <v>156046177</v>
      </c>
      <c r="BP35" t="s">
        <v>1728</v>
      </c>
      <c r="BR35">
        <v>42789059</v>
      </c>
      <c r="BT35">
        <v>0</v>
      </c>
      <c r="CM35">
        <v>4010</v>
      </c>
      <c r="CO35">
        <v>7360</v>
      </c>
      <c r="CP35">
        <v>0.51670000000000005</v>
      </c>
      <c r="CQ35">
        <v>0.51670000000000005</v>
      </c>
      <c r="CR35">
        <v>1.2</v>
      </c>
      <c r="CS35">
        <v>5</v>
      </c>
      <c r="CT35" t="s">
        <v>1739</v>
      </c>
      <c r="CU35" t="s">
        <v>1740</v>
      </c>
      <c r="CV35" t="s">
        <v>833</v>
      </c>
      <c r="CW35" t="s">
        <v>834</v>
      </c>
      <c r="CX35" t="s">
        <v>1729</v>
      </c>
      <c r="CY35">
        <v>0</v>
      </c>
      <c r="CZ35">
        <v>0</v>
      </c>
      <c r="DA35" t="s">
        <v>833</v>
      </c>
      <c r="DB35" t="s">
        <v>865</v>
      </c>
      <c r="DC35">
        <v>63123</v>
      </c>
      <c r="DD35">
        <v>2.3666999999999998</v>
      </c>
      <c r="DE35" t="s">
        <v>866</v>
      </c>
      <c r="DG35" t="s">
        <v>867</v>
      </c>
      <c r="DH35" t="s">
        <v>851</v>
      </c>
      <c r="DI35" t="s">
        <v>984</v>
      </c>
      <c r="DL35" t="s">
        <v>869</v>
      </c>
      <c r="DM35">
        <v>0</v>
      </c>
      <c r="DN35">
        <v>0</v>
      </c>
      <c r="DO35">
        <v>3</v>
      </c>
      <c r="DP35" t="s">
        <v>919</v>
      </c>
      <c r="DQ35">
        <v>16</v>
      </c>
      <c r="DR35">
        <v>142</v>
      </c>
      <c r="DS35">
        <v>142</v>
      </c>
      <c r="DT35">
        <v>1.85</v>
      </c>
      <c r="DU35">
        <v>4</v>
      </c>
      <c r="DW35">
        <v>2</v>
      </c>
      <c r="DX35" t="s">
        <v>594</v>
      </c>
      <c r="DY35" t="s">
        <v>1729</v>
      </c>
      <c r="DZ35">
        <v>0</v>
      </c>
      <c r="EA35">
        <v>0</v>
      </c>
      <c r="EB35">
        <v>0</v>
      </c>
      <c r="EC35">
        <v>0</v>
      </c>
      <c r="ED35">
        <v>0</v>
      </c>
      <c r="EE35">
        <v>0</v>
      </c>
      <c r="EF35" t="s">
        <v>920</v>
      </c>
      <c r="EG35" t="s">
        <v>595</v>
      </c>
      <c r="EH35" t="s">
        <v>872</v>
      </c>
      <c r="EI35" t="s">
        <v>872</v>
      </c>
      <c r="EJ35" t="s">
        <v>111</v>
      </c>
      <c r="EK35">
        <v>9090</v>
      </c>
      <c r="EL35">
        <v>0</v>
      </c>
      <c r="EM35" t="s">
        <v>1037</v>
      </c>
      <c r="EN35">
        <v>1.2</v>
      </c>
      <c r="EO35">
        <v>2.3666665999999998</v>
      </c>
      <c r="EP35">
        <v>99991120</v>
      </c>
      <c r="EQ35" t="s">
        <v>874</v>
      </c>
      <c r="ER35" t="s">
        <v>875</v>
      </c>
      <c r="ES35" t="s">
        <v>876</v>
      </c>
      <c r="ET35" t="s">
        <v>877</v>
      </c>
      <c r="EU35" t="s">
        <v>877</v>
      </c>
      <c r="EV35" t="s">
        <v>920</v>
      </c>
      <c r="EX35" t="s">
        <v>900</v>
      </c>
      <c r="EY35" t="s">
        <v>923</v>
      </c>
      <c r="EZ35" t="s">
        <v>1038</v>
      </c>
      <c r="FA35" t="s">
        <v>925</v>
      </c>
      <c r="FB35">
        <v>1</v>
      </c>
      <c r="FC35">
        <v>1</v>
      </c>
      <c r="FD35" s="41">
        <v>45913</v>
      </c>
      <c r="FE35" t="s">
        <v>880</v>
      </c>
      <c r="FF35">
        <v>7</v>
      </c>
      <c r="FG35" t="s">
        <v>1741</v>
      </c>
      <c r="FH35" t="s">
        <v>1742</v>
      </c>
      <c r="FI35">
        <v>1</v>
      </c>
      <c r="FJ35" t="s">
        <v>1741</v>
      </c>
      <c r="FK35" t="s">
        <v>1742</v>
      </c>
      <c r="FL35">
        <v>1</v>
      </c>
      <c r="FM35" t="s">
        <v>1743</v>
      </c>
      <c r="FN35" t="s">
        <v>1744</v>
      </c>
      <c r="FO35">
        <v>1</v>
      </c>
      <c r="FP35" t="s">
        <v>1745</v>
      </c>
      <c r="FQ35" t="s">
        <v>1740</v>
      </c>
      <c r="FR35">
        <v>1</v>
      </c>
      <c r="FS35" t="s">
        <v>1100</v>
      </c>
      <c r="FT35" t="s">
        <v>1746</v>
      </c>
      <c r="FU35">
        <v>1</v>
      </c>
      <c r="FV35" t="s">
        <v>1102</v>
      </c>
      <c r="FW35" t="s">
        <v>1747</v>
      </c>
      <c r="FX35">
        <v>1</v>
      </c>
      <c r="FY35" t="s">
        <v>890</v>
      </c>
      <c r="FZ35" t="s">
        <v>1748</v>
      </c>
      <c r="GA35" t="s">
        <v>1741</v>
      </c>
      <c r="GB35">
        <v>1</v>
      </c>
      <c r="GD35">
        <v>0</v>
      </c>
      <c r="GF35">
        <v>0</v>
      </c>
      <c r="GG35">
        <v>1</v>
      </c>
      <c r="GH35" t="s">
        <v>892</v>
      </c>
      <c r="GI35" t="s">
        <v>893</v>
      </c>
      <c r="GJ35" t="s">
        <v>1742</v>
      </c>
      <c r="GM35">
        <v>1</v>
      </c>
      <c r="GN35">
        <v>1</v>
      </c>
      <c r="GO35">
        <v>0</v>
      </c>
      <c r="GP35">
        <v>1</v>
      </c>
      <c r="GQ35">
        <v>1</v>
      </c>
      <c r="GR35">
        <v>0</v>
      </c>
      <c r="GS35">
        <v>1</v>
      </c>
      <c r="GT35">
        <v>0</v>
      </c>
      <c r="GU35">
        <v>1</v>
      </c>
      <c r="GV35">
        <v>0</v>
      </c>
      <c r="GW35">
        <v>1</v>
      </c>
      <c r="GX35">
        <v>0</v>
      </c>
      <c r="GY35">
        <v>1</v>
      </c>
      <c r="GZ35">
        <v>0</v>
      </c>
      <c r="HA35" t="s">
        <v>357</v>
      </c>
      <c r="HB35" t="s">
        <v>894</v>
      </c>
      <c r="HC35" t="s">
        <v>895</v>
      </c>
      <c r="HD35" t="s">
        <v>845</v>
      </c>
      <c r="HE35" t="s">
        <v>836</v>
      </c>
      <c r="HF35" t="s">
        <v>1051</v>
      </c>
      <c r="HG35" t="s">
        <v>894</v>
      </c>
      <c r="HH35" t="s">
        <v>895</v>
      </c>
      <c r="HI35" t="s">
        <v>845</v>
      </c>
      <c r="HJ35" t="s">
        <v>836</v>
      </c>
      <c r="HK35" t="s">
        <v>1037</v>
      </c>
      <c r="HL35" t="s">
        <v>1732</v>
      </c>
      <c r="HM35" t="s">
        <v>854</v>
      </c>
      <c r="HN35">
        <v>36805</v>
      </c>
      <c r="HP35" t="s">
        <v>111</v>
      </c>
      <c r="HQ35" t="s">
        <v>896</v>
      </c>
      <c r="HR35" t="s">
        <v>896</v>
      </c>
      <c r="HS35" t="s">
        <v>896</v>
      </c>
    </row>
    <row r="36" spans="1:227" x14ac:dyDescent="0.2">
      <c r="A36">
        <v>8702</v>
      </c>
      <c r="B36">
        <v>7600205143</v>
      </c>
      <c r="C36" t="s">
        <v>829</v>
      </c>
      <c r="D36" t="s">
        <v>830</v>
      </c>
      <c r="E36" t="s">
        <v>897</v>
      </c>
      <c r="F36">
        <v>0</v>
      </c>
      <c r="G36" t="s">
        <v>1749</v>
      </c>
      <c r="H36" t="s">
        <v>1749</v>
      </c>
      <c r="I36">
        <v>0</v>
      </c>
      <c r="J36" t="s">
        <v>833</v>
      </c>
      <c r="K36" t="s">
        <v>834</v>
      </c>
      <c r="L36">
        <v>153008255</v>
      </c>
      <c r="M36" t="s">
        <v>1750</v>
      </c>
      <c r="N36" t="s">
        <v>900</v>
      </c>
      <c r="O36" t="s">
        <v>837</v>
      </c>
      <c r="P36" t="s">
        <v>838</v>
      </c>
      <c r="Q36" t="s">
        <v>1251</v>
      </c>
      <c r="R36" t="s">
        <v>1751</v>
      </c>
      <c r="S36" t="s">
        <v>1752</v>
      </c>
      <c r="T36">
        <v>30300136030</v>
      </c>
      <c r="V36" t="s">
        <v>1476</v>
      </c>
      <c r="W36" s="41">
        <v>46025</v>
      </c>
      <c r="X36" t="s">
        <v>1753</v>
      </c>
      <c r="Y36" t="s">
        <v>1754</v>
      </c>
      <c r="Z36" t="s">
        <v>1144</v>
      </c>
      <c r="AA36">
        <v>0</v>
      </c>
      <c r="AB36" t="s">
        <v>845</v>
      </c>
      <c r="AC36" t="s">
        <v>846</v>
      </c>
      <c r="AD36" t="s">
        <v>847</v>
      </c>
      <c r="AE36" t="s">
        <v>848</v>
      </c>
      <c r="AF36">
        <v>1</v>
      </c>
      <c r="AG36">
        <v>452210</v>
      </c>
      <c r="AH36" t="s">
        <v>849</v>
      </c>
      <c r="AI36" t="s">
        <v>850</v>
      </c>
      <c r="AJ36" t="s">
        <v>851</v>
      </c>
      <c r="AK36" t="s">
        <v>315</v>
      </c>
      <c r="AL36" t="s">
        <v>1755</v>
      </c>
      <c r="AM36" t="s">
        <v>1480</v>
      </c>
      <c r="AN36" t="s">
        <v>854</v>
      </c>
      <c r="AO36">
        <v>36805</v>
      </c>
      <c r="AP36">
        <v>931</v>
      </c>
      <c r="AQ36" t="s">
        <v>855</v>
      </c>
      <c r="AR36">
        <v>66273957</v>
      </c>
      <c r="AS36" t="s">
        <v>856</v>
      </c>
      <c r="AU36" t="s">
        <v>1756</v>
      </c>
      <c r="AV36" t="s">
        <v>1757</v>
      </c>
      <c r="AW36" t="s">
        <v>1758</v>
      </c>
      <c r="AX36" t="s">
        <v>1759</v>
      </c>
      <c r="AY36" t="s">
        <v>861</v>
      </c>
      <c r="AZ36" t="s">
        <v>315</v>
      </c>
      <c r="BA36" t="s">
        <v>316</v>
      </c>
      <c r="BB36">
        <v>0</v>
      </c>
      <c r="BC36">
        <v>0</v>
      </c>
      <c r="BD36">
        <v>0</v>
      </c>
      <c r="BE36" t="s">
        <v>1750</v>
      </c>
      <c r="BF36">
        <v>0</v>
      </c>
      <c r="BG36">
        <v>0</v>
      </c>
      <c r="BH36" t="s">
        <v>862</v>
      </c>
      <c r="BI36">
        <v>0</v>
      </c>
      <c r="BJ36" t="s">
        <v>862</v>
      </c>
      <c r="BK36">
        <v>1</v>
      </c>
      <c r="BL36">
        <v>0</v>
      </c>
      <c r="BM36">
        <v>0</v>
      </c>
      <c r="BN36" t="s">
        <v>596</v>
      </c>
      <c r="BO36">
        <v>153008255</v>
      </c>
      <c r="BP36" t="s">
        <v>1749</v>
      </c>
      <c r="BR36">
        <v>42793655</v>
      </c>
      <c r="BT36">
        <v>1</v>
      </c>
      <c r="BU36" t="s">
        <v>1367</v>
      </c>
      <c r="CI36">
        <v>11</v>
      </c>
      <c r="CJ36" t="s">
        <v>94</v>
      </c>
      <c r="CM36">
        <v>4010</v>
      </c>
      <c r="CO36">
        <v>7360</v>
      </c>
      <c r="CP36">
        <v>0.41670000000000001</v>
      </c>
      <c r="CQ36">
        <v>0.41670000000000001</v>
      </c>
      <c r="CR36">
        <v>1.1000000000000001</v>
      </c>
      <c r="CS36">
        <v>743</v>
      </c>
      <c r="CT36" t="s">
        <v>1757</v>
      </c>
      <c r="CU36" t="s">
        <v>1756</v>
      </c>
      <c r="CV36" t="s">
        <v>833</v>
      </c>
      <c r="CW36" t="s">
        <v>834</v>
      </c>
      <c r="CX36" t="s">
        <v>1750</v>
      </c>
      <c r="CY36">
        <v>0</v>
      </c>
      <c r="CZ36">
        <v>0</v>
      </c>
      <c r="DA36" t="s">
        <v>833</v>
      </c>
      <c r="DB36" t="s">
        <v>865</v>
      </c>
      <c r="DC36">
        <v>44720</v>
      </c>
      <c r="DD36">
        <v>7.7</v>
      </c>
      <c r="DE36" t="s">
        <v>866</v>
      </c>
      <c r="DG36" t="s">
        <v>867</v>
      </c>
      <c r="DH36" t="s">
        <v>851</v>
      </c>
      <c r="DI36" t="s">
        <v>1434</v>
      </c>
      <c r="DK36" t="s">
        <v>918</v>
      </c>
      <c r="DL36" t="s">
        <v>869</v>
      </c>
      <c r="DM36">
        <v>0</v>
      </c>
      <c r="DN36">
        <v>0</v>
      </c>
      <c r="DO36">
        <v>3</v>
      </c>
      <c r="DP36" t="s">
        <v>919</v>
      </c>
      <c r="DQ36">
        <v>16</v>
      </c>
      <c r="DR36">
        <v>462</v>
      </c>
      <c r="DS36">
        <v>1182</v>
      </c>
      <c r="DT36">
        <v>7.2832999999999997</v>
      </c>
      <c r="DU36">
        <v>4</v>
      </c>
      <c r="DV36">
        <v>1</v>
      </c>
      <c r="DW36">
        <v>2</v>
      </c>
      <c r="DX36" t="s">
        <v>594</v>
      </c>
      <c r="DY36" t="s">
        <v>1750</v>
      </c>
      <c r="DZ36">
        <v>0</v>
      </c>
      <c r="EA36">
        <v>0</v>
      </c>
      <c r="EB36">
        <v>0</v>
      </c>
      <c r="EC36">
        <v>0</v>
      </c>
      <c r="ED36">
        <v>0</v>
      </c>
      <c r="EE36">
        <v>0</v>
      </c>
      <c r="EF36" t="s">
        <v>920</v>
      </c>
      <c r="EG36" t="s">
        <v>595</v>
      </c>
      <c r="EH36" t="s">
        <v>872</v>
      </c>
      <c r="EI36" t="s">
        <v>872</v>
      </c>
      <c r="EJ36" t="s">
        <v>226</v>
      </c>
      <c r="EK36">
        <v>9090</v>
      </c>
      <c r="EL36">
        <v>0</v>
      </c>
      <c r="EM36" t="s">
        <v>1157</v>
      </c>
      <c r="EN36">
        <v>1.1000000000000001</v>
      </c>
      <c r="EO36">
        <v>19.7</v>
      </c>
      <c r="EP36">
        <v>99991120</v>
      </c>
      <c r="EQ36" t="s">
        <v>874</v>
      </c>
      <c r="ER36" t="s">
        <v>875</v>
      </c>
      <c r="ES36" t="s">
        <v>876</v>
      </c>
      <c r="ET36" t="s">
        <v>877</v>
      </c>
      <c r="EU36" t="s">
        <v>877</v>
      </c>
      <c r="EV36" t="s">
        <v>920</v>
      </c>
      <c r="EX36" t="s">
        <v>953</v>
      </c>
      <c r="EY36" t="s">
        <v>986</v>
      </c>
      <c r="EZ36" t="s">
        <v>1236</v>
      </c>
      <c r="FA36" t="s">
        <v>956</v>
      </c>
      <c r="FB36">
        <v>1</v>
      </c>
      <c r="FC36">
        <v>1</v>
      </c>
      <c r="FD36" s="41">
        <v>46025</v>
      </c>
      <c r="FE36" t="s">
        <v>1370</v>
      </c>
      <c r="FF36">
        <v>5</v>
      </c>
      <c r="FI36">
        <v>0</v>
      </c>
      <c r="FJ36" t="s">
        <v>1760</v>
      </c>
      <c r="FK36" t="s">
        <v>1761</v>
      </c>
      <c r="FL36">
        <v>1</v>
      </c>
      <c r="FM36" t="s">
        <v>1762</v>
      </c>
      <c r="FN36" t="s">
        <v>1763</v>
      </c>
      <c r="FO36">
        <v>1</v>
      </c>
      <c r="FP36" t="s">
        <v>1764</v>
      </c>
      <c r="FQ36" t="s">
        <v>1765</v>
      </c>
      <c r="FR36">
        <v>1</v>
      </c>
      <c r="FS36" t="s">
        <v>1766</v>
      </c>
      <c r="FT36" t="s">
        <v>1767</v>
      </c>
      <c r="FU36">
        <v>1</v>
      </c>
      <c r="FV36" t="s">
        <v>1768</v>
      </c>
      <c r="FW36" t="s">
        <v>1761</v>
      </c>
      <c r="FX36">
        <v>1</v>
      </c>
      <c r="FY36" t="s">
        <v>890</v>
      </c>
      <c r="FZ36" t="s">
        <v>1769</v>
      </c>
      <c r="GA36" t="s">
        <v>1760</v>
      </c>
      <c r="GB36">
        <v>1</v>
      </c>
      <c r="GD36">
        <v>0</v>
      </c>
      <c r="GF36">
        <v>0</v>
      </c>
      <c r="GG36">
        <v>1</v>
      </c>
      <c r="GH36" t="s">
        <v>892</v>
      </c>
      <c r="GI36" t="s">
        <v>893</v>
      </c>
      <c r="GJ36" t="s">
        <v>1761</v>
      </c>
      <c r="GM36">
        <v>1</v>
      </c>
      <c r="GN36">
        <v>1</v>
      </c>
      <c r="GO36">
        <v>0</v>
      </c>
      <c r="GP36">
        <v>1</v>
      </c>
      <c r="GQ36">
        <v>1</v>
      </c>
      <c r="GR36">
        <v>0</v>
      </c>
      <c r="GS36">
        <v>1</v>
      </c>
      <c r="GT36">
        <v>0</v>
      </c>
      <c r="GU36">
        <v>1</v>
      </c>
      <c r="GV36">
        <v>0</v>
      </c>
      <c r="GW36">
        <v>1</v>
      </c>
      <c r="GX36">
        <v>0</v>
      </c>
      <c r="GY36">
        <v>1</v>
      </c>
      <c r="GZ36">
        <v>0</v>
      </c>
      <c r="HA36" t="s">
        <v>315</v>
      </c>
      <c r="HB36" t="s">
        <v>894</v>
      </c>
      <c r="HC36" t="s">
        <v>935</v>
      </c>
      <c r="HD36" t="s">
        <v>845</v>
      </c>
      <c r="HE36" t="s">
        <v>900</v>
      </c>
      <c r="HF36" t="s">
        <v>923</v>
      </c>
      <c r="HG36" t="s">
        <v>894</v>
      </c>
      <c r="HH36" t="s">
        <v>935</v>
      </c>
      <c r="HI36" t="s">
        <v>845</v>
      </c>
      <c r="HJ36" t="s">
        <v>900</v>
      </c>
      <c r="HK36" t="s">
        <v>922</v>
      </c>
      <c r="HL36" t="s">
        <v>1476</v>
      </c>
      <c r="HM36" t="s">
        <v>854</v>
      </c>
      <c r="HN36">
        <v>36805</v>
      </c>
      <c r="HO36">
        <v>1</v>
      </c>
      <c r="HP36" t="s">
        <v>226</v>
      </c>
      <c r="HQ36" t="s">
        <v>896</v>
      </c>
      <c r="HR36" t="s">
        <v>896</v>
      </c>
      <c r="HS36" t="s">
        <v>896</v>
      </c>
    </row>
    <row r="37" spans="1:227" x14ac:dyDescent="0.2">
      <c r="A37">
        <v>8702</v>
      </c>
      <c r="B37">
        <v>7604100360</v>
      </c>
      <c r="C37">
        <v>34</v>
      </c>
      <c r="D37" t="s">
        <v>996</v>
      </c>
      <c r="E37" t="s">
        <v>897</v>
      </c>
      <c r="F37">
        <v>1</v>
      </c>
      <c r="G37" t="s">
        <v>1770</v>
      </c>
      <c r="H37" t="s">
        <v>1770</v>
      </c>
      <c r="I37">
        <v>0</v>
      </c>
      <c r="J37" t="s">
        <v>833</v>
      </c>
      <c r="K37" t="s">
        <v>834</v>
      </c>
      <c r="L37">
        <v>153406491</v>
      </c>
      <c r="M37" t="s">
        <v>1771</v>
      </c>
      <c r="N37" t="s">
        <v>900</v>
      </c>
      <c r="O37" t="s">
        <v>837</v>
      </c>
      <c r="P37" t="s">
        <v>999</v>
      </c>
      <c r="Q37" t="s">
        <v>1000</v>
      </c>
      <c r="R37" t="s">
        <v>1772</v>
      </c>
      <c r="S37" t="s">
        <v>1773</v>
      </c>
      <c r="T37">
        <v>41477123089</v>
      </c>
      <c r="V37" t="s">
        <v>198</v>
      </c>
      <c r="W37" s="41">
        <v>46067</v>
      </c>
      <c r="X37" t="s">
        <v>1774</v>
      </c>
      <c r="Y37" t="s">
        <v>1775</v>
      </c>
      <c r="Z37" t="s">
        <v>1776</v>
      </c>
      <c r="AA37">
        <v>0</v>
      </c>
      <c r="AB37" t="s">
        <v>845</v>
      </c>
      <c r="AC37" t="s">
        <v>846</v>
      </c>
      <c r="AD37" t="s">
        <v>1113</v>
      </c>
      <c r="AE37" t="s">
        <v>1114</v>
      </c>
      <c r="AF37">
        <v>1</v>
      </c>
      <c r="AG37">
        <v>452210</v>
      </c>
      <c r="AH37" t="s">
        <v>849</v>
      </c>
      <c r="AI37" t="s">
        <v>850</v>
      </c>
      <c r="AJ37" t="s">
        <v>851</v>
      </c>
      <c r="AK37" t="s">
        <v>365</v>
      </c>
      <c r="AL37" t="s">
        <v>1777</v>
      </c>
      <c r="AM37" t="s">
        <v>1619</v>
      </c>
      <c r="AN37" t="s">
        <v>854</v>
      </c>
      <c r="AO37">
        <v>36805</v>
      </c>
      <c r="AP37">
        <v>640</v>
      </c>
      <c r="AQ37" t="s">
        <v>855</v>
      </c>
      <c r="AR37">
        <v>66334217</v>
      </c>
      <c r="AS37" t="s">
        <v>856</v>
      </c>
      <c r="AU37" t="s">
        <v>1778</v>
      </c>
      <c r="AV37" t="s">
        <v>1779</v>
      </c>
      <c r="AX37" t="s">
        <v>913</v>
      </c>
      <c r="AY37" t="s">
        <v>861</v>
      </c>
      <c r="AZ37" t="s">
        <v>365</v>
      </c>
      <c r="BA37" t="s">
        <v>366</v>
      </c>
      <c r="BB37">
        <v>0</v>
      </c>
      <c r="BC37">
        <v>1</v>
      </c>
      <c r="BD37">
        <v>0</v>
      </c>
      <c r="BE37" t="s">
        <v>1771</v>
      </c>
      <c r="BF37">
        <v>0</v>
      </c>
      <c r="BG37">
        <v>0</v>
      </c>
      <c r="BH37" t="s">
        <v>862</v>
      </c>
      <c r="BI37">
        <v>0</v>
      </c>
      <c r="BJ37" t="s">
        <v>862</v>
      </c>
      <c r="BK37">
        <v>1</v>
      </c>
      <c r="BL37">
        <v>1</v>
      </c>
      <c r="BM37">
        <v>0</v>
      </c>
      <c r="BN37" t="s">
        <v>596</v>
      </c>
      <c r="BO37">
        <v>153406491</v>
      </c>
      <c r="BP37" t="s">
        <v>1770</v>
      </c>
      <c r="BR37">
        <v>42791772</v>
      </c>
      <c r="BT37">
        <v>1</v>
      </c>
      <c r="BU37" t="s">
        <v>1780</v>
      </c>
      <c r="CI37">
        <v>11</v>
      </c>
      <c r="CJ37" t="s">
        <v>94</v>
      </c>
      <c r="CM37">
        <v>4010</v>
      </c>
      <c r="CO37">
        <v>7360</v>
      </c>
      <c r="CP37">
        <v>2.6333000000000002</v>
      </c>
      <c r="CQ37">
        <v>2.6333000000000002</v>
      </c>
      <c r="CR37">
        <v>4.3</v>
      </c>
      <c r="CS37">
        <v>0</v>
      </c>
      <c r="CT37" t="s">
        <v>1781</v>
      </c>
      <c r="CU37" t="s">
        <v>1782</v>
      </c>
      <c r="CV37" t="s">
        <v>833</v>
      </c>
      <c r="CW37" t="s">
        <v>834</v>
      </c>
      <c r="CX37" t="s">
        <v>1771</v>
      </c>
      <c r="CY37">
        <v>1</v>
      </c>
      <c r="CZ37">
        <v>1</v>
      </c>
      <c r="DA37" t="s">
        <v>833</v>
      </c>
      <c r="DB37" t="s">
        <v>865</v>
      </c>
      <c r="DC37">
        <v>48823</v>
      </c>
      <c r="DD37">
        <v>43.7333</v>
      </c>
      <c r="DE37" t="s">
        <v>866</v>
      </c>
      <c r="DG37" t="s">
        <v>867</v>
      </c>
      <c r="DH37" t="s">
        <v>851</v>
      </c>
      <c r="DK37" t="s">
        <v>918</v>
      </c>
      <c r="DL37" t="s">
        <v>869</v>
      </c>
      <c r="DM37">
        <v>0</v>
      </c>
      <c r="DN37">
        <v>0.51670000000000005</v>
      </c>
      <c r="DO37">
        <v>11</v>
      </c>
      <c r="DP37" t="s">
        <v>1010</v>
      </c>
      <c r="DQ37">
        <v>0</v>
      </c>
      <c r="DR37">
        <v>326</v>
      </c>
      <c r="DS37">
        <v>5504</v>
      </c>
      <c r="DT37">
        <v>4.1666999999999996</v>
      </c>
      <c r="DU37">
        <v>0</v>
      </c>
      <c r="DV37">
        <v>1</v>
      </c>
      <c r="DW37">
        <v>2</v>
      </c>
      <c r="DX37" t="s">
        <v>596</v>
      </c>
      <c r="DY37" t="s">
        <v>1771</v>
      </c>
      <c r="DZ37">
        <v>1</v>
      </c>
      <c r="EA37">
        <v>1</v>
      </c>
      <c r="EB37">
        <v>1</v>
      </c>
      <c r="EC37">
        <v>1</v>
      </c>
      <c r="ED37">
        <v>1</v>
      </c>
      <c r="EE37">
        <v>1</v>
      </c>
      <c r="EF37" t="s">
        <v>920</v>
      </c>
      <c r="EG37" t="s">
        <v>595</v>
      </c>
      <c r="EH37" t="s">
        <v>921</v>
      </c>
      <c r="EI37" t="s">
        <v>921</v>
      </c>
      <c r="EJ37" t="s">
        <v>178</v>
      </c>
      <c r="EK37">
        <v>9090</v>
      </c>
      <c r="EL37">
        <v>0</v>
      </c>
      <c r="EM37" t="s">
        <v>922</v>
      </c>
      <c r="EN37">
        <v>4.3</v>
      </c>
      <c r="EO37">
        <v>91.733333299999998</v>
      </c>
      <c r="EP37">
        <v>99991120</v>
      </c>
      <c r="EQ37" t="s">
        <v>874</v>
      </c>
      <c r="ER37" t="s">
        <v>875</v>
      </c>
      <c r="ES37" t="s">
        <v>876</v>
      </c>
      <c r="ET37" t="s">
        <v>877</v>
      </c>
      <c r="EU37" t="s">
        <v>877</v>
      </c>
      <c r="EV37" t="s">
        <v>920</v>
      </c>
      <c r="EX37" t="s">
        <v>953</v>
      </c>
      <c r="EY37" t="s">
        <v>986</v>
      </c>
      <c r="EZ37" t="s">
        <v>1625</v>
      </c>
      <c r="FA37" t="s">
        <v>879</v>
      </c>
      <c r="FB37">
        <v>1</v>
      </c>
      <c r="FC37">
        <v>2</v>
      </c>
      <c r="FD37" s="41">
        <v>46067</v>
      </c>
      <c r="FE37" t="s">
        <v>1267</v>
      </c>
      <c r="FF37">
        <v>15</v>
      </c>
      <c r="FG37" t="s">
        <v>1783</v>
      </c>
      <c r="FH37" t="s">
        <v>1784</v>
      </c>
      <c r="FI37">
        <v>1</v>
      </c>
      <c r="FJ37" t="s">
        <v>1785</v>
      </c>
      <c r="FK37" t="s">
        <v>1784</v>
      </c>
      <c r="FL37">
        <v>1</v>
      </c>
      <c r="FM37" t="s">
        <v>1786</v>
      </c>
      <c r="FN37" t="s">
        <v>1787</v>
      </c>
      <c r="FO37">
        <v>1</v>
      </c>
      <c r="FP37" t="s">
        <v>1788</v>
      </c>
      <c r="FQ37" t="s">
        <v>1782</v>
      </c>
      <c r="FR37">
        <v>1</v>
      </c>
      <c r="FS37" t="s">
        <v>1633</v>
      </c>
      <c r="FT37" t="s">
        <v>1789</v>
      </c>
      <c r="FU37">
        <v>1</v>
      </c>
      <c r="FV37" t="s">
        <v>1635</v>
      </c>
      <c r="FW37" t="s">
        <v>1790</v>
      </c>
      <c r="FX37">
        <v>1</v>
      </c>
      <c r="FY37" t="s">
        <v>890</v>
      </c>
      <c r="FZ37" t="s">
        <v>1791</v>
      </c>
      <c r="GA37" t="s">
        <v>1785</v>
      </c>
      <c r="GB37">
        <v>1</v>
      </c>
      <c r="GD37">
        <v>0</v>
      </c>
      <c r="GF37">
        <v>0</v>
      </c>
      <c r="GG37">
        <v>1</v>
      </c>
      <c r="GH37" t="s">
        <v>892</v>
      </c>
      <c r="GI37" t="s">
        <v>893</v>
      </c>
      <c r="GJ37" t="s">
        <v>1784</v>
      </c>
      <c r="GM37">
        <v>1</v>
      </c>
      <c r="GN37">
        <v>0</v>
      </c>
      <c r="GO37">
        <v>0</v>
      </c>
      <c r="GP37">
        <v>1</v>
      </c>
      <c r="GQ37">
        <v>1</v>
      </c>
      <c r="GR37">
        <v>0</v>
      </c>
      <c r="GS37">
        <v>1</v>
      </c>
      <c r="GT37">
        <v>0</v>
      </c>
      <c r="GU37">
        <v>1</v>
      </c>
      <c r="GV37">
        <v>0</v>
      </c>
      <c r="GW37">
        <v>1</v>
      </c>
      <c r="GX37">
        <v>0</v>
      </c>
      <c r="GY37">
        <v>1</v>
      </c>
      <c r="GZ37">
        <v>0</v>
      </c>
      <c r="HA37" t="s">
        <v>365</v>
      </c>
      <c r="HB37" t="s">
        <v>894</v>
      </c>
      <c r="HC37" t="s">
        <v>935</v>
      </c>
      <c r="HD37" t="s">
        <v>845</v>
      </c>
      <c r="HE37" t="s">
        <v>900</v>
      </c>
      <c r="HF37" t="s">
        <v>923</v>
      </c>
      <c r="HG37" t="s">
        <v>894</v>
      </c>
      <c r="HH37" t="s">
        <v>935</v>
      </c>
      <c r="HI37" t="s">
        <v>845</v>
      </c>
      <c r="HJ37" t="s">
        <v>900</v>
      </c>
      <c r="HK37" t="s">
        <v>922</v>
      </c>
      <c r="HL37" t="s">
        <v>198</v>
      </c>
      <c r="HM37" t="s">
        <v>854</v>
      </c>
      <c r="HN37">
        <v>36805</v>
      </c>
      <c r="HO37">
        <v>1</v>
      </c>
      <c r="HP37" t="s">
        <v>178</v>
      </c>
      <c r="HQ37" t="s">
        <v>896</v>
      </c>
      <c r="HR37" t="s">
        <v>896</v>
      </c>
      <c r="HS37" t="s">
        <v>896</v>
      </c>
    </row>
    <row r="38" spans="1:227" x14ac:dyDescent="0.2">
      <c r="A38">
        <v>8702</v>
      </c>
      <c r="B38">
        <v>7612213351</v>
      </c>
      <c r="C38" t="s">
        <v>829</v>
      </c>
      <c r="D38" t="s">
        <v>830</v>
      </c>
      <c r="E38" t="s">
        <v>831</v>
      </c>
      <c r="F38">
        <v>1</v>
      </c>
      <c r="G38" t="s">
        <v>1792</v>
      </c>
      <c r="H38" t="s">
        <v>1792</v>
      </c>
      <c r="I38">
        <v>0</v>
      </c>
      <c r="J38" t="s">
        <v>833</v>
      </c>
      <c r="K38" t="s">
        <v>834</v>
      </c>
      <c r="L38">
        <v>152949076</v>
      </c>
      <c r="M38" t="s">
        <v>1793</v>
      </c>
      <c r="N38" t="s">
        <v>836</v>
      </c>
      <c r="O38" t="s">
        <v>837</v>
      </c>
      <c r="P38" t="s">
        <v>838</v>
      </c>
      <c r="Q38" t="s">
        <v>1279</v>
      </c>
      <c r="R38" t="s">
        <v>1794</v>
      </c>
      <c r="S38" t="s">
        <v>1795</v>
      </c>
      <c r="T38">
        <v>30300105423</v>
      </c>
      <c r="V38" t="s">
        <v>1796</v>
      </c>
      <c r="W38" s="41">
        <v>46144</v>
      </c>
      <c r="X38" t="s">
        <v>1797</v>
      </c>
      <c r="Y38" t="s">
        <v>1798</v>
      </c>
      <c r="AA38">
        <v>0</v>
      </c>
      <c r="AB38" t="s">
        <v>845</v>
      </c>
      <c r="AC38" t="s">
        <v>846</v>
      </c>
      <c r="AD38" t="s">
        <v>1113</v>
      </c>
      <c r="AE38" t="s">
        <v>1114</v>
      </c>
      <c r="AF38">
        <v>1</v>
      </c>
      <c r="AG38">
        <v>452210</v>
      </c>
      <c r="AH38" t="s">
        <v>849</v>
      </c>
      <c r="AI38" t="s">
        <v>850</v>
      </c>
      <c r="AJ38" t="s">
        <v>851</v>
      </c>
      <c r="AK38" t="s">
        <v>356</v>
      </c>
      <c r="AL38" t="s">
        <v>1799</v>
      </c>
      <c r="AM38" t="s">
        <v>1800</v>
      </c>
      <c r="AN38" t="s">
        <v>854</v>
      </c>
      <c r="AO38">
        <v>36805</v>
      </c>
      <c r="AP38">
        <v>710</v>
      </c>
      <c r="AQ38" t="s">
        <v>855</v>
      </c>
      <c r="AR38">
        <v>66445307</v>
      </c>
      <c r="AS38" t="s">
        <v>856</v>
      </c>
      <c r="AU38" t="s">
        <v>1801</v>
      </c>
      <c r="AV38" t="s">
        <v>1802</v>
      </c>
      <c r="AX38" t="s">
        <v>913</v>
      </c>
      <c r="AY38" t="s">
        <v>861</v>
      </c>
      <c r="AZ38" t="s">
        <v>356</v>
      </c>
      <c r="BA38" t="s">
        <v>324</v>
      </c>
      <c r="BB38">
        <v>0</v>
      </c>
      <c r="BC38">
        <v>0</v>
      </c>
      <c r="BD38">
        <v>0</v>
      </c>
      <c r="BE38" t="s">
        <v>1793</v>
      </c>
      <c r="BF38">
        <v>0</v>
      </c>
      <c r="BG38">
        <v>0</v>
      </c>
      <c r="BH38" t="s">
        <v>862</v>
      </c>
      <c r="BI38">
        <v>0</v>
      </c>
      <c r="BJ38" t="s">
        <v>862</v>
      </c>
      <c r="BK38">
        <v>1</v>
      </c>
      <c r="BL38">
        <v>1</v>
      </c>
      <c r="BM38">
        <v>0</v>
      </c>
      <c r="BN38" t="s">
        <v>596</v>
      </c>
      <c r="BO38">
        <v>152949076</v>
      </c>
      <c r="BP38" t="s">
        <v>1792</v>
      </c>
      <c r="BQ38">
        <v>42.9610664</v>
      </c>
      <c r="BR38">
        <v>42791788</v>
      </c>
      <c r="BS38">
        <v>-88.021139199999993</v>
      </c>
      <c r="BT38">
        <v>2</v>
      </c>
      <c r="BU38" t="s">
        <v>1803</v>
      </c>
      <c r="BY38">
        <v>16</v>
      </c>
      <c r="CA38">
        <v>2</v>
      </c>
      <c r="CE38">
        <v>1</v>
      </c>
      <c r="CI38">
        <v>11</v>
      </c>
      <c r="CJ38" t="s">
        <v>94</v>
      </c>
      <c r="CM38">
        <v>4010</v>
      </c>
      <c r="CO38">
        <v>7360</v>
      </c>
      <c r="CP38">
        <v>1.2</v>
      </c>
      <c r="CQ38">
        <v>1.2</v>
      </c>
      <c r="CR38">
        <v>0.6</v>
      </c>
      <c r="CS38">
        <v>3</v>
      </c>
      <c r="CT38" t="s">
        <v>1804</v>
      </c>
      <c r="CU38" t="s">
        <v>1805</v>
      </c>
      <c r="CV38" t="s">
        <v>833</v>
      </c>
      <c r="CW38" t="s">
        <v>834</v>
      </c>
      <c r="CX38" t="s">
        <v>1793</v>
      </c>
      <c r="CY38">
        <v>0</v>
      </c>
      <c r="CZ38">
        <v>0</v>
      </c>
      <c r="DA38" t="s">
        <v>833</v>
      </c>
      <c r="DB38" t="s">
        <v>865</v>
      </c>
      <c r="DC38">
        <v>53228</v>
      </c>
      <c r="DD38">
        <v>2.3167</v>
      </c>
      <c r="DE38" t="s">
        <v>866</v>
      </c>
      <c r="DG38" t="s">
        <v>867</v>
      </c>
      <c r="DH38" t="s">
        <v>851</v>
      </c>
      <c r="DI38" t="s">
        <v>1806</v>
      </c>
      <c r="DK38" t="s">
        <v>918</v>
      </c>
      <c r="DL38" t="s">
        <v>869</v>
      </c>
      <c r="DM38">
        <v>0</v>
      </c>
      <c r="DN38">
        <v>0</v>
      </c>
      <c r="DO38">
        <v>3</v>
      </c>
      <c r="DP38" t="s">
        <v>919</v>
      </c>
      <c r="DQ38">
        <v>0</v>
      </c>
      <c r="DR38">
        <v>139</v>
      </c>
      <c r="DS38">
        <v>139</v>
      </c>
      <c r="DT38">
        <v>1.1167</v>
      </c>
      <c r="DU38">
        <v>0</v>
      </c>
      <c r="DV38">
        <v>1</v>
      </c>
      <c r="DW38">
        <v>2</v>
      </c>
      <c r="DX38" t="s">
        <v>596</v>
      </c>
      <c r="DY38" t="s">
        <v>1793</v>
      </c>
      <c r="DZ38">
        <v>1</v>
      </c>
      <c r="EA38">
        <v>1</v>
      </c>
      <c r="EB38">
        <v>1</v>
      </c>
      <c r="EC38">
        <v>1</v>
      </c>
      <c r="ED38">
        <v>1</v>
      </c>
      <c r="EE38">
        <v>1</v>
      </c>
      <c r="EF38" t="s">
        <v>920</v>
      </c>
      <c r="EG38" t="s">
        <v>595</v>
      </c>
      <c r="EH38" t="s">
        <v>921</v>
      </c>
      <c r="EI38" t="s">
        <v>921</v>
      </c>
      <c r="EJ38" t="s">
        <v>215</v>
      </c>
      <c r="EK38">
        <v>9090</v>
      </c>
      <c r="EL38">
        <v>0</v>
      </c>
      <c r="EM38" t="s">
        <v>1436</v>
      </c>
      <c r="EN38">
        <v>0.6</v>
      </c>
      <c r="EO38">
        <v>2.3166666999999999</v>
      </c>
      <c r="EP38">
        <v>99991120</v>
      </c>
      <c r="EQ38" t="s">
        <v>874</v>
      </c>
      <c r="ER38" t="s">
        <v>875</v>
      </c>
      <c r="ES38" t="s">
        <v>876</v>
      </c>
      <c r="ET38" t="s">
        <v>877</v>
      </c>
      <c r="EU38" t="s">
        <v>877</v>
      </c>
      <c r="EV38" t="s">
        <v>920</v>
      </c>
      <c r="EX38" t="s">
        <v>836</v>
      </c>
      <c r="EY38" t="s">
        <v>873</v>
      </c>
      <c r="EZ38" t="s">
        <v>1807</v>
      </c>
      <c r="FA38" t="s">
        <v>925</v>
      </c>
      <c r="FB38">
        <v>1</v>
      </c>
      <c r="FC38">
        <v>1</v>
      </c>
      <c r="FD38" s="41">
        <v>46144</v>
      </c>
      <c r="FE38" t="s">
        <v>1808</v>
      </c>
      <c r="FF38">
        <v>4</v>
      </c>
      <c r="FI38">
        <v>0</v>
      </c>
      <c r="FL38">
        <v>0</v>
      </c>
      <c r="FM38" t="s">
        <v>1809</v>
      </c>
      <c r="FN38" t="s">
        <v>1810</v>
      </c>
      <c r="FO38">
        <v>1</v>
      </c>
      <c r="FP38" t="s">
        <v>1811</v>
      </c>
      <c r="FQ38" t="s">
        <v>1805</v>
      </c>
      <c r="FR38">
        <v>1</v>
      </c>
      <c r="FS38" t="s">
        <v>1812</v>
      </c>
      <c r="FT38" t="s">
        <v>1813</v>
      </c>
      <c r="FU38">
        <v>1</v>
      </c>
      <c r="FV38" t="s">
        <v>1814</v>
      </c>
      <c r="FW38" t="s">
        <v>1815</v>
      </c>
      <c r="FX38">
        <v>1</v>
      </c>
      <c r="FY38" t="s">
        <v>890</v>
      </c>
      <c r="FZ38" t="s">
        <v>1816</v>
      </c>
      <c r="GA38" t="s">
        <v>1814</v>
      </c>
      <c r="GB38">
        <v>1</v>
      </c>
      <c r="GD38">
        <v>0</v>
      </c>
      <c r="GF38">
        <v>0</v>
      </c>
      <c r="GG38">
        <v>1</v>
      </c>
      <c r="GH38" t="s">
        <v>892</v>
      </c>
      <c r="GI38" t="s">
        <v>893</v>
      </c>
      <c r="GJ38" t="s">
        <v>1815</v>
      </c>
      <c r="GM38">
        <v>1</v>
      </c>
      <c r="GN38">
        <v>1</v>
      </c>
      <c r="GO38">
        <v>0</v>
      </c>
      <c r="GP38">
        <v>1</v>
      </c>
      <c r="GQ38">
        <v>1</v>
      </c>
      <c r="GR38">
        <v>0</v>
      </c>
      <c r="GS38">
        <v>1</v>
      </c>
      <c r="GT38">
        <v>0</v>
      </c>
      <c r="GU38">
        <v>1</v>
      </c>
      <c r="GV38">
        <v>0</v>
      </c>
      <c r="GW38">
        <v>1</v>
      </c>
      <c r="GX38">
        <v>0</v>
      </c>
      <c r="GY38">
        <v>1</v>
      </c>
      <c r="GZ38">
        <v>0</v>
      </c>
      <c r="HA38" t="s">
        <v>356</v>
      </c>
      <c r="HB38" t="s">
        <v>894</v>
      </c>
      <c r="HC38" t="s">
        <v>895</v>
      </c>
      <c r="HD38" t="s">
        <v>845</v>
      </c>
      <c r="HE38" t="s">
        <v>836</v>
      </c>
      <c r="HF38" t="s">
        <v>873</v>
      </c>
      <c r="HG38" t="s">
        <v>894</v>
      </c>
      <c r="HH38" t="s">
        <v>895</v>
      </c>
      <c r="HI38" t="s">
        <v>845</v>
      </c>
      <c r="HJ38" t="s">
        <v>836</v>
      </c>
      <c r="HK38" t="s">
        <v>1436</v>
      </c>
      <c r="HL38" t="s">
        <v>1796</v>
      </c>
      <c r="HM38" t="s">
        <v>854</v>
      </c>
      <c r="HN38">
        <v>36805</v>
      </c>
      <c r="HP38" t="s">
        <v>215</v>
      </c>
      <c r="HQ38" t="s">
        <v>896</v>
      </c>
      <c r="HR38" t="s">
        <v>896</v>
      </c>
      <c r="HS38" t="s">
        <v>896</v>
      </c>
    </row>
    <row r="39" spans="1:227" x14ac:dyDescent="0.2">
      <c r="A39">
        <v>8702</v>
      </c>
      <c r="B39">
        <v>7521704609</v>
      </c>
      <c r="C39" t="s">
        <v>829</v>
      </c>
      <c r="D39" t="s">
        <v>830</v>
      </c>
      <c r="E39" t="s">
        <v>831</v>
      </c>
      <c r="F39">
        <v>1</v>
      </c>
      <c r="G39" t="s">
        <v>1817</v>
      </c>
      <c r="H39" t="s">
        <v>1817</v>
      </c>
      <c r="I39">
        <v>0</v>
      </c>
      <c r="J39" t="s">
        <v>833</v>
      </c>
      <c r="K39" t="s">
        <v>834</v>
      </c>
      <c r="L39">
        <v>153406451</v>
      </c>
      <c r="M39" t="s">
        <v>1818</v>
      </c>
      <c r="N39" t="s">
        <v>836</v>
      </c>
      <c r="O39" t="s">
        <v>837</v>
      </c>
      <c r="P39" t="s">
        <v>838</v>
      </c>
      <c r="Q39" t="s">
        <v>839</v>
      </c>
      <c r="R39" t="s">
        <v>1819</v>
      </c>
      <c r="S39" t="s">
        <v>1820</v>
      </c>
      <c r="T39">
        <v>41477092613</v>
      </c>
      <c r="V39" t="s">
        <v>1254</v>
      </c>
      <c r="W39" s="41">
        <v>45876</v>
      </c>
      <c r="X39" t="s">
        <v>1821</v>
      </c>
      <c r="Y39" t="s">
        <v>1822</v>
      </c>
      <c r="AA39">
        <v>0</v>
      </c>
      <c r="AB39" t="s">
        <v>845</v>
      </c>
      <c r="AC39" t="s">
        <v>846</v>
      </c>
      <c r="AD39" t="s">
        <v>847</v>
      </c>
      <c r="AE39" t="s">
        <v>848</v>
      </c>
      <c r="AF39">
        <v>1</v>
      </c>
      <c r="AG39">
        <v>452210</v>
      </c>
      <c r="AH39" t="s">
        <v>849</v>
      </c>
      <c r="AI39" t="s">
        <v>850</v>
      </c>
      <c r="AJ39" t="s">
        <v>851</v>
      </c>
      <c r="AK39" t="s">
        <v>253</v>
      </c>
      <c r="AL39" t="s">
        <v>1257</v>
      </c>
      <c r="AM39" t="s">
        <v>1258</v>
      </c>
      <c r="AN39" t="s">
        <v>854</v>
      </c>
      <c r="AO39">
        <v>36805</v>
      </c>
      <c r="AP39">
        <v>546</v>
      </c>
      <c r="AQ39" t="s">
        <v>855</v>
      </c>
      <c r="AR39">
        <v>66059049</v>
      </c>
      <c r="AS39" t="s">
        <v>856</v>
      </c>
      <c r="AU39" t="s">
        <v>1823</v>
      </c>
      <c r="AV39" t="s">
        <v>1824</v>
      </c>
      <c r="AW39" t="s">
        <v>1261</v>
      </c>
      <c r="AX39" t="s">
        <v>1262</v>
      </c>
      <c r="AY39" t="s">
        <v>861</v>
      </c>
      <c r="AZ39" t="s">
        <v>253</v>
      </c>
      <c r="BA39" t="s">
        <v>254</v>
      </c>
      <c r="BB39">
        <v>0</v>
      </c>
      <c r="BC39">
        <v>0</v>
      </c>
      <c r="BD39">
        <v>0</v>
      </c>
      <c r="BE39" t="s">
        <v>1818</v>
      </c>
      <c r="BF39">
        <v>0</v>
      </c>
      <c r="BG39">
        <v>0</v>
      </c>
      <c r="BH39" t="s">
        <v>862</v>
      </c>
      <c r="BI39">
        <v>0</v>
      </c>
      <c r="BJ39" t="s">
        <v>862</v>
      </c>
      <c r="BK39">
        <v>1</v>
      </c>
      <c r="BL39">
        <v>0</v>
      </c>
      <c r="BM39">
        <v>0</v>
      </c>
      <c r="BN39" t="s">
        <v>596</v>
      </c>
      <c r="BO39">
        <v>153406451</v>
      </c>
      <c r="BP39" t="s">
        <v>1817</v>
      </c>
      <c r="BR39">
        <v>42791462</v>
      </c>
      <c r="BT39">
        <v>0</v>
      </c>
      <c r="CM39">
        <v>4010</v>
      </c>
      <c r="CO39">
        <v>7360</v>
      </c>
      <c r="CP39">
        <v>0.76670000000000005</v>
      </c>
      <c r="CQ39">
        <v>0.76670000000000005</v>
      </c>
      <c r="CR39">
        <v>0.4667</v>
      </c>
      <c r="CS39">
        <v>4</v>
      </c>
      <c r="CT39" t="s">
        <v>1825</v>
      </c>
      <c r="CU39" t="s">
        <v>1826</v>
      </c>
      <c r="CV39" t="s">
        <v>833</v>
      </c>
      <c r="CW39" t="s">
        <v>834</v>
      </c>
      <c r="CX39" t="s">
        <v>1818</v>
      </c>
      <c r="CY39">
        <v>0</v>
      </c>
      <c r="CZ39">
        <v>0</v>
      </c>
      <c r="DA39" t="s">
        <v>833</v>
      </c>
      <c r="DB39" t="s">
        <v>865</v>
      </c>
      <c r="DC39">
        <v>55447</v>
      </c>
      <c r="DD39">
        <v>19.2</v>
      </c>
      <c r="DE39" t="s">
        <v>866</v>
      </c>
      <c r="DG39" t="s">
        <v>867</v>
      </c>
      <c r="DH39" t="s">
        <v>851</v>
      </c>
      <c r="DL39" t="s">
        <v>869</v>
      </c>
      <c r="DM39">
        <v>0</v>
      </c>
      <c r="DN39">
        <v>0</v>
      </c>
      <c r="DO39">
        <v>3</v>
      </c>
      <c r="DP39" t="s">
        <v>919</v>
      </c>
      <c r="DQ39">
        <v>16</v>
      </c>
      <c r="DR39">
        <v>1152</v>
      </c>
      <c r="DS39">
        <v>2592</v>
      </c>
      <c r="DT39">
        <v>18.433299999999999</v>
      </c>
      <c r="DU39">
        <v>4</v>
      </c>
      <c r="DW39">
        <v>2</v>
      </c>
      <c r="DX39" t="s">
        <v>594</v>
      </c>
      <c r="DY39" t="s">
        <v>1818</v>
      </c>
      <c r="DZ39">
        <v>0</v>
      </c>
      <c r="EA39">
        <v>0</v>
      </c>
      <c r="EB39">
        <v>0</v>
      </c>
      <c r="EC39">
        <v>0</v>
      </c>
      <c r="ED39">
        <v>0</v>
      </c>
      <c r="EE39">
        <v>0</v>
      </c>
      <c r="EF39" t="s">
        <v>871</v>
      </c>
      <c r="EG39" t="s">
        <v>595</v>
      </c>
      <c r="EH39" t="s">
        <v>872</v>
      </c>
      <c r="EI39" t="s">
        <v>872</v>
      </c>
      <c r="EJ39" t="s">
        <v>159</v>
      </c>
      <c r="EK39">
        <v>9090</v>
      </c>
      <c r="EL39">
        <v>0</v>
      </c>
      <c r="EM39" t="s">
        <v>873</v>
      </c>
      <c r="EN39">
        <v>0.4667</v>
      </c>
      <c r="EO39">
        <v>43.2</v>
      </c>
      <c r="EP39">
        <v>99991120</v>
      </c>
      <c r="EQ39" t="s">
        <v>874</v>
      </c>
      <c r="ER39" t="s">
        <v>875</v>
      </c>
      <c r="ES39" t="s">
        <v>876</v>
      </c>
      <c r="ET39" t="s">
        <v>877</v>
      </c>
      <c r="EU39" t="s">
        <v>877</v>
      </c>
      <c r="EV39" t="s">
        <v>871</v>
      </c>
      <c r="EX39" t="s">
        <v>836</v>
      </c>
      <c r="EY39" t="s">
        <v>1121</v>
      </c>
      <c r="EZ39" t="s">
        <v>1122</v>
      </c>
      <c r="FA39" t="s">
        <v>956</v>
      </c>
      <c r="FB39">
        <v>1</v>
      </c>
      <c r="FC39">
        <v>1</v>
      </c>
      <c r="FD39" s="41">
        <v>45878</v>
      </c>
      <c r="FE39" t="s">
        <v>987</v>
      </c>
      <c r="FF39">
        <v>10</v>
      </c>
      <c r="FG39" t="s">
        <v>1827</v>
      </c>
      <c r="FH39" t="s">
        <v>1828</v>
      </c>
      <c r="FI39">
        <v>1</v>
      </c>
      <c r="FJ39" t="s">
        <v>1829</v>
      </c>
      <c r="FK39" t="s">
        <v>1828</v>
      </c>
      <c r="FL39">
        <v>1</v>
      </c>
      <c r="FM39" t="s">
        <v>1830</v>
      </c>
      <c r="FN39" t="s">
        <v>1831</v>
      </c>
      <c r="FO39">
        <v>1</v>
      </c>
      <c r="FP39" t="s">
        <v>1832</v>
      </c>
      <c r="FQ39" t="s">
        <v>1833</v>
      </c>
      <c r="FR39">
        <v>1</v>
      </c>
      <c r="FS39" t="s">
        <v>1273</v>
      </c>
      <c r="FT39" t="s">
        <v>1834</v>
      </c>
      <c r="FU39">
        <v>1</v>
      </c>
      <c r="FV39" t="s">
        <v>1835</v>
      </c>
      <c r="FW39" t="s">
        <v>1836</v>
      </c>
      <c r="FX39">
        <v>1</v>
      </c>
      <c r="FY39" t="s">
        <v>890</v>
      </c>
      <c r="FZ39" t="s">
        <v>1837</v>
      </c>
      <c r="GA39" t="s">
        <v>1829</v>
      </c>
      <c r="GB39">
        <v>1</v>
      </c>
      <c r="GD39">
        <v>0</v>
      </c>
      <c r="GF39">
        <v>0</v>
      </c>
      <c r="GG39">
        <v>1</v>
      </c>
      <c r="GH39" t="s">
        <v>892</v>
      </c>
      <c r="GI39" t="s">
        <v>893</v>
      </c>
      <c r="GJ39" t="s">
        <v>1828</v>
      </c>
      <c r="GM39">
        <v>1</v>
      </c>
      <c r="GN39">
        <v>1</v>
      </c>
      <c r="GO39">
        <v>0</v>
      </c>
      <c r="GP39">
        <v>1</v>
      </c>
      <c r="GQ39">
        <v>1</v>
      </c>
      <c r="GR39">
        <v>0</v>
      </c>
      <c r="GS39">
        <v>1</v>
      </c>
      <c r="GT39">
        <v>0</v>
      </c>
      <c r="GU39">
        <v>1</v>
      </c>
      <c r="GV39">
        <v>0</v>
      </c>
      <c r="GW39">
        <v>1</v>
      </c>
      <c r="GX39">
        <v>0</v>
      </c>
      <c r="GY39">
        <v>1</v>
      </c>
      <c r="GZ39">
        <v>0</v>
      </c>
      <c r="HA39" t="s">
        <v>253</v>
      </c>
      <c r="HB39" t="s">
        <v>894</v>
      </c>
      <c r="HC39" t="s">
        <v>895</v>
      </c>
      <c r="HD39" t="s">
        <v>845</v>
      </c>
      <c r="HE39" t="s">
        <v>836</v>
      </c>
      <c r="HF39" t="s">
        <v>873</v>
      </c>
      <c r="HG39" t="s">
        <v>894</v>
      </c>
      <c r="HH39" t="s">
        <v>895</v>
      </c>
      <c r="HI39" t="s">
        <v>845</v>
      </c>
      <c r="HJ39" t="s">
        <v>836</v>
      </c>
      <c r="HK39" t="s">
        <v>873</v>
      </c>
      <c r="HL39" t="s">
        <v>1254</v>
      </c>
      <c r="HM39" t="s">
        <v>854</v>
      </c>
      <c r="HN39">
        <v>36805</v>
      </c>
      <c r="HP39" t="s">
        <v>159</v>
      </c>
      <c r="HQ39" t="s">
        <v>896</v>
      </c>
      <c r="HR39" t="s">
        <v>896</v>
      </c>
      <c r="HS39" t="s">
        <v>896</v>
      </c>
    </row>
    <row r="40" spans="1:227" x14ac:dyDescent="0.2">
      <c r="A40">
        <v>8702</v>
      </c>
      <c r="B40">
        <v>7532709357</v>
      </c>
      <c r="C40" t="s">
        <v>936</v>
      </c>
      <c r="D40" t="s">
        <v>937</v>
      </c>
      <c r="E40" t="s">
        <v>897</v>
      </c>
      <c r="F40">
        <v>1</v>
      </c>
      <c r="G40" t="s">
        <v>1838</v>
      </c>
      <c r="H40" t="s">
        <v>1838</v>
      </c>
      <c r="I40">
        <v>0</v>
      </c>
      <c r="J40" t="s">
        <v>833</v>
      </c>
      <c r="K40" t="s">
        <v>834</v>
      </c>
      <c r="L40">
        <v>152858787</v>
      </c>
      <c r="M40" t="s">
        <v>1839</v>
      </c>
      <c r="N40" t="s">
        <v>900</v>
      </c>
      <c r="O40" t="s">
        <v>837</v>
      </c>
      <c r="P40" t="s">
        <v>940</v>
      </c>
      <c r="Q40" t="s">
        <v>1080</v>
      </c>
      <c r="R40" t="s">
        <v>1840</v>
      </c>
      <c r="S40" t="s">
        <v>1841</v>
      </c>
      <c r="T40">
        <v>41477085454</v>
      </c>
      <c r="V40" t="s">
        <v>210</v>
      </c>
      <c r="W40" s="41">
        <v>45984</v>
      </c>
      <c r="X40" t="s">
        <v>1842</v>
      </c>
      <c r="Y40" t="s">
        <v>1843</v>
      </c>
      <c r="AA40">
        <v>0</v>
      </c>
      <c r="AB40" t="s">
        <v>845</v>
      </c>
      <c r="AC40" t="s">
        <v>846</v>
      </c>
      <c r="AD40" t="s">
        <v>847</v>
      </c>
      <c r="AE40" t="s">
        <v>848</v>
      </c>
      <c r="AF40">
        <v>1</v>
      </c>
      <c r="AG40">
        <v>452210</v>
      </c>
      <c r="AH40" t="s">
        <v>849</v>
      </c>
      <c r="AI40" t="s">
        <v>850</v>
      </c>
      <c r="AJ40" t="s">
        <v>851</v>
      </c>
      <c r="AK40" t="s">
        <v>281</v>
      </c>
      <c r="AL40" t="s">
        <v>1407</v>
      </c>
      <c r="AM40" t="s">
        <v>1408</v>
      </c>
      <c r="AN40" t="s">
        <v>854</v>
      </c>
      <c r="AO40">
        <v>36805</v>
      </c>
      <c r="AP40">
        <v>648</v>
      </c>
      <c r="AQ40" t="s">
        <v>855</v>
      </c>
      <c r="AR40">
        <v>66214444</v>
      </c>
      <c r="AS40" t="s">
        <v>856</v>
      </c>
      <c r="AU40" t="s">
        <v>1844</v>
      </c>
      <c r="AV40" t="s">
        <v>1845</v>
      </c>
      <c r="AW40" t="s">
        <v>859</v>
      </c>
      <c r="AX40" t="s">
        <v>860</v>
      </c>
      <c r="AY40" t="s">
        <v>861</v>
      </c>
      <c r="AZ40" t="s">
        <v>281</v>
      </c>
      <c r="BA40" t="s">
        <v>282</v>
      </c>
      <c r="BB40">
        <v>0</v>
      </c>
      <c r="BC40">
        <v>0</v>
      </c>
      <c r="BD40">
        <v>0</v>
      </c>
      <c r="BE40" t="s">
        <v>1839</v>
      </c>
      <c r="BF40">
        <v>0</v>
      </c>
      <c r="BG40">
        <v>0</v>
      </c>
      <c r="BH40" t="s">
        <v>862</v>
      </c>
      <c r="BI40">
        <v>0</v>
      </c>
      <c r="BJ40" t="s">
        <v>862</v>
      </c>
      <c r="BK40">
        <v>1</v>
      </c>
      <c r="BL40">
        <v>0</v>
      </c>
      <c r="BM40">
        <v>0</v>
      </c>
      <c r="BN40" t="s">
        <v>596</v>
      </c>
      <c r="BO40">
        <v>152858787</v>
      </c>
      <c r="BP40" t="s">
        <v>1838</v>
      </c>
      <c r="BQ40">
        <v>42.249564999999997</v>
      </c>
      <c r="BR40">
        <v>42791781</v>
      </c>
      <c r="BS40">
        <v>-83.660089200000002</v>
      </c>
      <c r="BT40">
        <v>0</v>
      </c>
      <c r="CM40">
        <v>4010</v>
      </c>
      <c r="CO40">
        <v>7360</v>
      </c>
      <c r="CP40">
        <v>1.2166999999999999</v>
      </c>
      <c r="CQ40">
        <v>1.2166999999999999</v>
      </c>
      <c r="CR40">
        <v>0.66669999999999996</v>
      </c>
      <c r="CS40">
        <v>11</v>
      </c>
      <c r="CT40" t="s">
        <v>1845</v>
      </c>
      <c r="CU40" t="s">
        <v>1844</v>
      </c>
      <c r="CV40" t="s">
        <v>833</v>
      </c>
      <c r="CW40" t="s">
        <v>834</v>
      </c>
      <c r="CX40" t="s">
        <v>1839</v>
      </c>
      <c r="CY40">
        <v>0</v>
      </c>
      <c r="CZ40">
        <v>0</v>
      </c>
      <c r="DA40" t="s">
        <v>833</v>
      </c>
      <c r="DB40" t="s">
        <v>865</v>
      </c>
      <c r="DC40">
        <v>48197</v>
      </c>
      <c r="DD40">
        <v>0</v>
      </c>
      <c r="DE40" t="s">
        <v>866</v>
      </c>
      <c r="DG40" t="s">
        <v>867</v>
      </c>
      <c r="DH40" t="s">
        <v>851</v>
      </c>
      <c r="DI40" t="s">
        <v>1846</v>
      </c>
      <c r="DL40" t="s">
        <v>869</v>
      </c>
      <c r="DM40">
        <v>0</v>
      </c>
      <c r="DN40">
        <v>0</v>
      </c>
      <c r="DO40">
        <v>53</v>
      </c>
      <c r="DP40" t="s">
        <v>1156</v>
      </c>
      <c r="DQ40">
        <v>16</v>
      </c>
      <c r="DR40">
        <v>0</v>
      </c>
      <c r="DS40">
        <v>592</v>
      </c>
      <c r="DT40">
        <v>0</v>
      </c>
      <c r="DU40">
        <v>4</v>
      </c>
      <c r="DW40">
        <v>2</v>
      </c>
      <c r="DX40" t="s">
        <v>594</v>
      </c>
      <c r="DY40" t="s">
        <v>1839</v>
      </c>
      <c r="DZ40">
        <v>0</v>
      </c>
      <c r="EA40">
        <v>0</v>
      </c>
      <c r="EB40">
        <v>0</v>
      </c>
      <c r="EC40">
        <v>0</v>
      </c>
      <c r="ED40">
        <v>0</v>
      </c>
      <c r="EE40">
        <v>0</v>
      </c>
      <c r="EF40" t="s">
        <v>920</v>
      </c>
      <c r="EG40" t="s">
        <v>595</v>
      </c>
      <c r="EH40" t="s">
        <v>872</v>
      </c>
      <c r="EI40" t="s">
        <v>872</v>
      </c>
      <c r="EJ40" t="s">
        <v>178</v>
      </c>
      <c r="EK40">
        <v>9090</v>
      </c>
      <c r="EL40">
        <v>0</v>
      </c>
      <c r="EM40" t="s">
        <v>952</v>
      </c>
      <c r="EN40">
        <v>0.66669999999999996</v>
      </c>
      <c r="EO40">
        <v>9.8666666000000003</v>
      </c>
      <c r="EP40">
        <v>99991120</v>
      </c>
      <c r="EQ40" t="s">
        <v>874</v>
      </c>
      <c r="ER40" t="s">
        <v>875</v>
      </c>
      <c r="ES40" t="s">
        <v>876</v>
      </c>
      <c r="ET40" t="s">
        <v>877</v>
      </c>
      <c r="EU40" t="s">
        <v>877</v>
      </c>
      <c r="EV40" t="s">
        <v>920</v>
      </c>
      <c r="EX40" t="s">
        <v>953</v>
      </c>
      <c r="EY40" t="s">
        <v>954</v>
      </c>
      <c r="EZ40" t="s">
        <v>955</v>
      </c>
      <c r="FA40" t="s">
        <v>956</v>
      </c>
      <c r="FB40">
        <v>1</v>
      </c>
      <c r="FC40">
        <v>1</v>
      </c>
      <c r="FD40" s="41">
        <v>45990</v>
      </c>
      <c r="FE40" t="s">
        <v>1438</v>
      </c>
      <c r="FF40">
        <v>5</v>
      </c>
      <c r="FI40">
        <v>0</v>
      </c>
      <c r="FJ40" t="s">
        <v>1847</v>
      </c>
      <c r="FK40" t="s">
        <v>1848</v>
      </c>
      <c r="FL40">
        <v>1</v>
      </c>
      <c r="FM40" t="s">
        <v>1849</v>
      </c>
      <c r="FN40" t="s">
        <v>1850</v>
      </c>
      <c r="FO40">
        <v>1</v>
      </c>
      <c r="FP40" t="s">
        <v>1851</v>
      </c>
      <c r="FQ40" t="s">
        <v>1844</v>
      </c>
      <c r="FR40">
        <v>1</v>
      </c>
      <c r="FS40" t="s">
        <v>1417</v>
      </c>
      <c r="FT40" t="s">
        <v>1852</v>
      </c>
      <c r="FU40">
        <v>1</v>
      </c>
      <c r="FV40" t="s">
        <v>1853</v>
      </c>
      <c r="FW40" t="s">
        <v>1854</v>
      </c>
      <c r="FX40">
        <v>1</v>
      </c>
      <c r="FY40" t="s">
        <v>890</v>
      </c>
      <c r="FZ40" t="s">
        <v>1855</v>
      </c>
      <c r="GA40" t="s">
        <v>1847</v>
      </c>
      <c r="GB40">
        <v>1</v>
      </c>
      <c r="GD40">
        <v>0</v>
      </c>
      <c r="GF40">
        <v>0</v>
      </c>
      <c r="GG40">
        <v>1</v>
      </c>
      <c r="GH40" t="s">
        <v>892</v>
      </c>
      <c r="GI40" t="s">
        <v>893</v>
      </c>
      <c r="GJ40" t="s">
        <v>1848</v>
      </c>
      <c r="GM40">
        <v>1</v>
      </c>
      <c r="GN40">
        <v>1</v>
      </c>
      <c r="GO40">
        <v>0</v>
      </c>
      <c r="GP40">
        <v>1</v>
      </c>
      <c r="GQ40">
        <v>1</v>
      </c>
      <c r="GR40">
        <v>0</v>
      </c>
      <c r="GS40">
        <v>1</v>
      </c>
      <c r="GT40">
        <v>0</v>
      </c>
      <c r="GU40">
        <v>1</v>
      </c>
      <c r="GV40">
        <v>0</v>
      </c>
      <c r="GW40">
        <v>1</v>
      </c>
      <c r="GX40">
        <v>0</v>
      </c>
      <c r="GY40">
        <v>1</v>
      </c>
      <c r="GZ40">
        <v>0</v>
      </c>
      <c r="HA40" t="s">
        <v>281</v>
      </c>
      <c r="HB40" t="s">
        <v>894</v>
      </c>
      <c r="HC40" t="s">
        <v>935</v>
      </c>
      <c r="HD40" t="s">
        <v>845</v>
      </c>
      <c r="HE40" t="s">
        <v>900</v>
      </c>
      <c r="HF40" t="s">
        <v>923</v>
      </c>
      <c r="HG40" t="s">
        <v>894</v>
      </c>
      <c r="HH40" t="s">
        <v>935</v>
      </c>
      <c r="HI40" t="s">
        <v>845</v>
      </c>
      <c r="HJ40" t="s">
        <v>900</v>
      </c>
      <c r="HK40" t="s">
        <v>952</v>
      </c>
      <c r="HL40" t="s">
        <v>210</v>
      </c>
      <c r="HM40" t="s">
        <v>854</v>
      </c>
      <c r="HN40">
        <v>36805</v>
      </c>
      <c r="HP40" t="s">
        <v>178</v>
      </c>
      <c r="HQ40" t="s">
        <v>896</v>
      </c>
      <c r="HR40" t="s">
        <v>896</v>
      </c>
      <c r="HS40" t="s">
        <v>896</v>
      </c>
    </row>
    <row r="41" spans="1:227" x14ac:dyDescent="0.2">
      <c r="A41">
        <v>8702</v>
      </c>
      <c r="B41">
        <v>7601201077</v>
      </c>
      <c r="C41">
        <v>34</v>
      </c>
      <c r="D41" t="s">
        <v>996</v>
      </c>
      <c r="E41" t="s">
        <v>831</v>
      </c>
      <c r="F41">
        <v>0</v>
      </c>
      <c r="G41" t="s">
        <v>1856</v>
      </c>
      <c r="H41" t="s">
        <v>1856</v>
      </c>
      <c r="I41">
        <v>0</v>
      </c>
      <c r="J41" t="s">
        <v>833</v>
      </c>
      <c r="K41" t="s">
        <v>834</v>
      </c>
      <c r="L41">
        <v>153406451</v>
      </c>
      <c r="M41" t="s">
        <v>1818</v>
      </c>
      <c r="N41" t="s">
        <v>836</v>
      </c>
      <c r="O41" t="s">
        <v>837</v>
      </c>
      <c r="P41" t="s">
        <v>999</v>
      </c>
      <c r="Q41" t="s">
        <v>1857</v>
      </c>
      <c r="R41" t="s">
        <v>1858</v>
      </c>
      <c r="S41" t="s">
        <v>1859</v>
      </c>
      <c r="T41">
        <v>41477127062</v>
      </c>
      <c r="V41" t="s">
        <v>1254</v>
      </c>
      <c r="W41" s="41">
        <v>46034</v>
      </c>
      <c r="X41" t="s">
        <v>1860</v>
      </c>
      <c r="Y41" t="s">
        <v>1861</v>
      </c>
      <c r="Z41">
        <v>1</v>
      </c>
      <c r="AA41">
        <v>0</v>
      </c>
      <c r="AB41" t="s">
        <v>845</v>
      </c>
      <c r="AC41" t="s">
        <v>846</v>
      </c>
      <c r="AD41" t="s">
        <v>847</v>
      </c>
      <c r="AE41" t="s">
        <v>848</v>
      </c>
      <c r="AF41">
        <v>1</v>
      </c>
      <c r="AG41">
        <v>452210</v>
      </c>
      <c r="AH41" t="s">
        <v>849</v>
      </c>
      <c r="AI41" t="s">
        <v>850</v>
      </c>
      <c r="AJ41" t="s">
        <v>851</v>
      </c>
      <c r="AK41" t="s">
        <v>397</v>
      </c>
      <c r="AL41" t="s">
        <v>1310</v>
      </c>
      <c r="AM41" t="s">
        <v>1258</v>
      </c>
      <c r="AN41" t="s">
        <v>854</v>
      </c>
      <c r="AO41">
        <v>36805</v>
      </c>
      <c r="AP41">
        <v>546</v>
      </c>
      <c r="AQ41" t="s">
        <v>855</v>
      </c>
      <c r="AR41">
        <v>66287281</v>
      </c>
      <c r="AS41" t="s">
        <v>856</v>
      </c>
      <c r="AU41" t="s">
        <v>1862</v>
      </c>
      <c r="AV41" t="s">
        <v>1863</v>
      </c>
      <c r="AX41" t="s">
        <v>913</v>
      </c>
      <c r="AY41" t="s">
        <v>861</v>
      </c>
      <c r="AZ41" t="s">
        <v>397</v>
      </c>
      <c r="BA41" t="s">
        <v>398</v>
      </c>
      <c r="BB41">
        <v>0</v>
      </c>
      <c r="BC41">
        <v>0</v>
      </c>
      <c r="BD41">
        <v>1</v>
      </c>
      <c r="BE41" t="s">
        <v>1818</v>
      </c>
      <c r="BF41">
        <v>0</v>
      </c>
      <c r="BG41">
        <v>0</v>
      </c>
      <c r="BH41" t="s">
        <v>862</v>
      </c>
      <c r="BI41">
        <v>0</v>
      </c>
      <c r="BJ41" t="s">
        <v>862</v>
      </c>
      <c r="BK41">
        <v>1</v>
      </c>
      <c r="BL41">
        <v>1</v>
      </c>
      <c r="BM41">
        <v>0</v>
      </c>
      <c r="BN41" t="s">
        <v>596</v>
      </c>
      <c r="BO41">
        <v>153406451</v>
      </c>
      <c r="BP41" t="s">
        <v>1856</v>
      </c>
      <c r="BR41">
        <v>42791462</v>
      </c>
      <c r="BT41">
        <v>2</v>
      </c>
      <c r="BU41" t="s">
        <v>1367</v>
      </c>
      <c r="CE41">
        <v>1</v>
      </c>
      <c r="CI41">
        <v>11</v>
      </c>
      <c r="CJ41" t="s">
        <v>94</v>
      </c>
      <c r="CM41">
        <v>4010</v>
      </c>
      <c r="CO41">
        <v>7360</v>
      </c>
      <c r="CP41">
        <v>1.3833</v>
      </c>
      <c r="CQ41">
        <v>1.3833</v>
      </c>
      <c r="CR41">
        <v>0.61670000000000003</v>
      </c>
      <c r="CS41">
        <v>0</v>
      </c>
      <c r="CT41" t="s">
        <v>1864</v>
      </c>
      <c r="CU41" t="s">
        <v>1865</v>
      </c>
      <c r="CV41" t="s">
        <v>833</v>
      </c>
      <c r="CW41" t="s">
        <v>834</v>
      </c>
      <c r="CX41" t="s">
        <v>1818</v>
      </c>
      <c r="CY41">
        <v>1</v>
      </c>
      <c r="CZ41">
        <v>1</v>
      </c>
      <c r="DA41" t="s">
        <v>833</v>
      </c>
      <c r="DB41" t="s">
        <v>865</v>
      </c>
      <c r="DC41">
        <v>55447</v>
      </c>
      <c r="DD41">
        <v>6.6166999999999998</v>
      </c>
      <c r="DE41" t="s">
        <v>866</v>
      </c>
      <c r="DG41" t="s">
        <v>867</v>
      </c>
      <c r="DH41" t="s">
        <v>851</v>
      </c>
      <c r="DK41" t="s">
        <v>918</v>
      </c>
      <c r="DL41" t="s">
        <v>869</v>
      </c>
      <c r="DM41">
        <v>0</v>
      </c>
      <c r="DN41">
        <v>0</v>
      </c>
      <c r="DO41">
        <v>11</v>
      </c>
      <c r="DP41" t="s">
        <v>1010</v>
      </c>
      <c r="DQ41">
        <v>16</v>
      </c>
      <c r="DR41">
        <v>397</v>
      </c>
      <c r="DS41">
        <v>411</v>
      </c>
      <c r="DT41">
        <v>3.2667000000000002</v>
      </c>
      <c r="DU41">
        <v>4</v>
      </c>
      <c r="DV41">
        <v>1</v>
      </c>
      <c r="DW41">
        <v>2</v>
      </c>
      <c r="DX41" t="s">
        <v>596</v>
      </c>
      <c r="DY41" t="s">
        <v>1818</v>
      </c>
      <c r="DZ41">
        <v>1</v>
      </c>
      <c r="EA41">
        <v>1</v>
      </c>
      <c r="EB41">
        <v>1</v>
      </c>
      <c r="EC41">
        <v>1</v>
      </c>
      <c r="ED41">
        <v>1</v>
      </c>
      <c r="EE41">
        <v>1</v>
      </c>
      <c r="EF41" t="s">
        <v>920</v>
      </c>
      <c r="EG41" t="s">
        <v>595</v>
      </c>
      <c r="EH41" t="s">
        <v>921</v>
      </c>
      <c r="EI41" t="s">
        <v>921</v>
      </c>
      <c r="EJ41" t="s">
        <v>159</v>
      </c>
      <c r="EK41">
        <v>9090</v>
      </c>
      <c r="EL41">
        <v>1</v>
      </c>
      <c r="EM41" t="s">
        <v>873</v>
      </c>
      <c r="EN41">
        <v>0.61670000000000003</v>
      </c>
      <c r="EO41">
        <v>6.85</v>
      </c>
      <c r="EP41">
        <v>99991120</v>
      </c>
      <c r="EQ41" t="s">
        <v>874</v>
      </c>
      <c r="ER41" t="s">
        <v>875</v>
      </c>
      <c r="ES41" t="s">
        <v>876</v>
      </c>
      <c r="ET41" t="s">
        <v>877</v>
      </c>
      <c r="EU41" t="s">
        <v>877</v>
      </c>
      <c r="EV41" t="s">
        <v>920</v>
      </c>
      <c r="EX41" t="s">
        <v>836</v>
      </c>
      <c r="EY41" t="s">
        <v>1121</v>
      </c>
      <c r="EZ41" t="s">
        <v>1122</v>
      </c>
      <c r="FA41" t="s">
        <v>956</v>
      </c>
      <c r="FB41">
        <v>1</v>
      </c>
      <c r="FC41">
        <v>2</v>
      </c>
      <c r="FD41" s="41">
        <v>46039</v>
      </c>
      <c r="FE41" t="s">
        <v>1370</v>
      </c>
      <c r="FF41">
        <v>5</v>
      </c>
      <c r="FI41">
        <v>0</v>
      </c>
      <c r="FJ41" t="s">
        <v>1866</v>
      </c>
      <c r="FK41" t="s">
        <v>1867</v>
      </c>
      <c r="FL41">
        <v>1</v>
      </c>
      <c r="FM41" t="s">
        <v>1868</v>
      </c>
      <c r="FN41" t="s">
        <v>1869</v>
      </c>
      <c r="FO41">
        <v>1</v>
      </c>
      <c r="FP41" t="s">
        <v>1870</v>
      </c>
      <c r="FQ41" t="s">
        <v>1871</v>
      </c>
      <c r="FR41">
        <v>1</v>
      </c>
      <c r="FS41" t="s">
        <v>1396</v>
      </c>
      <c r="FT41" t="s">
        <v>1872</v>
      </c>
      <c r="FU41">
        <v>1</v>
      </c>
      <c r="FV41" t="s">
        <v>1873</v>
      </c>
      <c r="FW41" t="s">
        <v>1874</v>
      </c>
      <c r="FX41">
        <v>1</v>
      </c>
      <c r="FY41" t="s">
        <v>890</v>
      </c>
      <c r="FZ41" t="s">
        <v>1875</v>
      </c>
      <c r="GA41" t="s">
        <v>1866</v>
      </c>
      <c r="GB41">
        <v>1</v>
      </c>
      <c r="GD41">
        <v>0</v>
      </c>
      <c r="GF41">
        <v>0</v>
      </c>
      <c r="GG41">
        <v>1</v>
      </c>
      <c r="GH41" t="s">
        <v>892</v>
      </c>
      <c r="GI41" t="s">
        <v>893</v>
      </c>
      <c r="GJ41" t="s">
        <v>1867</v>
      </c>
      <c r="GM41">
        <v>1</v>
      </c>
      <c r="GN41">
        <v>0</v>
      </c>
      <c r="GO41">
        <v>0</v>
      </c>
      <c r="GP41">
        <v>1</v>
      </c>
      <c r="GQ41">
        <v>1</v>
      </c>
      <c r="GR41">
        <v>0</v>
      </c>
      <c r="GS41">
        <v>1</v>
      </c>
      <c r="GT41">
        <v>1</v>
      </c>
      <c r="GU41">
        <v>1</v>
      </c>
      <c r="GV41">
        <v>0</v>
      </c>
      <c r="GW41">
        <v>1</v>
      </c>
      <c r="GX41">
        <v>0</v>
      </c>
      <c r="GY41">
        <v>1</v>
      </c>
      <c r="GZ41">
        <v>0</v>
      </c>
      <c r="HA41" t="s">
        <v>397</v>
      </c>
      <c r="HB41" t="s">
        <v>894</v>
      </c>
      <c r="HC41" t="s">
        <v>895</v>
      </c>
      <c r="HD41" t="s">
        <v>845</v>
      </c>
      <c r="HE41" t="s">
        <v>836</v>
      </c>
      <c r="HF41" t="s">
        <v>873</v>
      </c>
      <c r="HG41" t="s">
        <v>894</v>
      </c>
      <c r="HH41" t="s">
        <v>895</v>
      </c>
      <c r="HI41" t="s">
        <v>845</v>
      </c>
      <c r="HJ41" t="s">
        <v>836</v>
      </c>
      <c r="HK41" t="s">
        <v>873</v>
      </c>
      <c r="HL41" t="s">
        <v>1254</v>
      </c>
      <c r="HM41" t="s">
        <v>854</v>
      </c>
      <c r="HN41">
        <v>36805</v>
      </c>
      <c r="HP41" t="s">
        <v>159</v>
      </c>
      <c r="HQ41" t="s">
        <v>896</v>
      </c>
      <c r="HR41" t="s">
        <v>896</v>
      </c>
      <c r="HS41" t="s">
        <v>896</v>
      </c>
    </row>
    <row r="42" spans="1:227" x14ac:dyDescent="0.2">
      <c r="A42">
        <v>8702</v>
      </c>
      <c r="B42">
        <v>7523105395</v>
      </c>
      <c r="C42" t="s">
        <v>829</v>
      </c>
      <c r="D42" t="s">
        <v>830</v>
      </c>
      <c r="E42" t="s">
        <v>897</v>
      </c>
      <c r="F42">
        <v>1</v>
      </c>
      <c r="G42" t="s">
        <v>1876</v>
      </c>
      <c r="H42" t="s">
        <v>1876</v>
      </c>
      <c r="I42">
        <v>0</v>
      </c>
      <c r="J42" t="s">
        <v>833</v>
      </c>
      <c r="K42" t="s">
        <v>834</v>
      </c>
      <c r="L42">
        <v>156046205</v>
      </c>
      <c r="M42" t="s">
        <v>1592</v>
      </c>
      <c r="N42" t="s">
        <v>900</v>
      </c>
      <c r="O42" t="s">
        <v>837</v>
      </c>
      <c r="P42" t="s">
        <v>838</v>
      </c>
      <c r="Q42" t="s">
        <v>1877</v>
      </c>
      <c r="R42" t="s">
        <v>1878</v>
      </c>
      <c r="S42" t="s">
        <v>1879</v>
      </c>
      <c r="T42">
        <v>41477124276</v>
      </c>
      <c r="V42" t="s">
        <v>208</v>
      </c>
      <c r="W42" s="41">
        <v>45896</v>
      </c>
      <c r="X42" t="s">
        <v>1880</v>
      </c>
      <c r="Y42" t="s">
        <v>1881</v>
      </c>
      <c r="AA42">
        <v>0</v>
      </c>
      <c r="AB42" t="s">
        <v>845</v>
      </c>
      <c r="AC42" t="s">
        <v>846</v>
      </c>
      <c r="AD42" t="s">
        <v>847</v>
      </c>
      <c r="AE42" t="s">
        <v>848</v>
      </c>
      <c r="AF42">
        <v>1</v>
      </c>
      <c r="AG42">
        <v>452210</v>
      </c>
      <c r="AH42" t="s">
        <v>849</v>
      </c>
      <c r="AI42" t="s">
        <v>850</v>
      </c>
      <c r="AJ42" t="s">
        <v>851</v>
      </c>
      <c r="AK42" t="s">
        <v>409</v>
      </c>
      <c r="AL42" t="s">
        <v>1882</v>
      </c>
      <c r="AM42" t="s">
        <v>979</v>
      </c>
      <c r="AN42" t="s">
        <v>854</v>
      </c>
      <c r="AO42">
        <v>36805</v>
      </c>
      <c r="AP42">
        <v>647</v>
      </c>
      <c r="AQ42" t="s">
        <v>855</v>
      </c>
      <c r="AR42">
        <v>66088396</v>
      </c>
      <c r="AS42" t="s">
        <v>856</v>
      </c>
      <c r="AU42" t="s">
        <v>1883</v>
      </c>
      <c r="AV42" t="s">
        <v>1884</v>
      </c>
      <c r="AX42" t="s">
        <v>913</v>
      </c>
      <c r="AY42" t="s">
        <v>861</v>
      </c>
      <c r="AZ42" t="s">
        <v>409</v>
      </c>
      <c r="BA42" t="s">
        <v>410</v>
      </c>
      <c r="BB42">
        <v>0</v>
      </c>
      <c r="BC42">
        <v>1</v>
      </c>
      <c r="BD42">
        <v>0</v>
      </c>
      <c r="BE42" t="s">
        <v>1592</v>
      </c>
      <c r="BF42">
        <v>0</v>
      </c>
      <c r="BG42">
        <v>0</v>
      </c>
      <c r="BH42" t="s">
        <v>862</v>
      </c>
      <c r="BI42">
        <v>0</v>
      </c>
      <c r="BJ42" t="s">
        <v>862</v>
      </c>
      <c r="BK42">
        <v>1</v>
      </c>
      <c r="BL42">
        <v>1</v>
      </c>
      <c r="BM42">
        <v>0</v>
      </c>
      <c r="BN42" t="s">
        <v>596</v>
      </c>
      <c r="BO42">
        <v>156046205</v>
      </c>
      <c r="BP42" t="s">
        <v>1876</v>
      </c>
      <c r="BQ42">
        <v>42.2268106</v>
      </c>
      <c r="BR42">
        <v>42791779</v>
      </c>
      <c r="BS42">
        <v>-85.591033400000001</v>
      </c>
      <c r="BT42">
        <v>0</v>
      </c>
      <c r="CM42">
        <v>4010</v>
      </c>
      <c r="CO42">
        <v>7360</v>
      </c>
      <c r="CP42">
        <v>1.6667000000000001</v>
      </c>
      <c r="CQ42">
        <v>1.6667000000000001</v>
      </c>
      <c r="CR42">
        <v>1.8167</v>
      </c>
      <c r="CS42">
        <v>0</v>
      </c>
      <c r="CT42" t="s">
        <v>1885</v>
      </c>
      <c r="CU42" t="s">
        <v>1886</v>
      </c>
      <c r="CV42" t="s">
        <v>833</v>
      </c>
      <c r="CW42" t="s">
        <v>834</v>
      </c>
      <c r="CX42" t="s">
        <v>1592</v>
      </c>
      <c r="CY42">
        <v>1</v>
      </c>
      <c r="CZ42">
        <v>1</v>
      </c>
      <c r="DA42" t="s">
        <v>833</v>
      </c>
      <c r="DB42" t="s">
        <v>865</v>
      </c>
      <c r="DC42">
        <v>49002</v>
      </c>
      <c r="DD42">
        <v>97.7</v>
      </c>
      <c r="DE42" t="s">
        <v>866</v>
      </c>
      <c r="DG42" t="s">
        <v>867</v>
      </c>
      <c r="DH42" t="s">
        <v>851</v>
      </c>
      <c r="DI42" t="s">
        <v>984</v>
      </c>
      <c r="DL42" t="s">
        <v>869</v>
      </c>
      <c r="DM42">
        <v>0</v>
      </c>
      <c r="DN42">
        <v>0</v>
      </c>
      <c r="DO42">
        <v>11</v>
      </c>
      <c r="DP42" t="s">
        <v>1010</v>
      </c>
      <c r="DQ42">
        <v>16</v>
      </c>
      <c r="DR42">
        <v>5862</v>
      </c>
      <c r="DS42">
        <v>11622</v>
      </c>
      <c r="DT42">
        <v>47.333300000000001</v>
      </c>
      <c r="DU42">
        <v>4</v>
      </c>
      <c r="DW42">
        <v>2</v>
      </c>
      <c r="DX42" t="s">
        <v>596</v>
      </c>
      <c r="DY42" t="s">
        <v>1592</v>
      </c>
      <c r="DZ42">
        <v>0</v>
      </c>
      <c r="EA42">
        <v>0</v>
      </c>
      <c r="EB42">
        <v>1</v>
      </c>
      <c r="EC42">
        <v>0</v>
      </c>
      <c r="ED42">
        <v>0</v>
      </c>
      <c r="EE42">
        <v>1</v>
      </c>
      <c r="EF42" t="s">
        <v>920</v>
      </c>
      <c r="EG42" t="s">
        <v>595</v>
      </c>
      <c r="EH42" t="s">
        <v>921</v>
      </c>
      <c r="EI42" t="s">
        <v>921</v>
      </c>
      <c r="EJ42" t="s">
        <v>178</v>
      </c>
      <c r="EK42">
        <v>9090</v>
      </c>
      <c r="EL42">
        <v>1</v>
      </c>
      <c r="EM42" t="s">
        <v>922</v>
      </c>
      <c r="EN42">
        <v>1.8167</v>
      </c>
      <c r="EO42">
        <v>193.7</v>
      </c>
      <c r="EP42">
        <v>99991120</v>
      </c>
      <c r="EQ42" t="s">
        <v>874</v>
      </c>
      <c r="ER42" t="s">
        <v>875</v>
      </c>
      <c r="ES42" t="s">
        <v>876</v>
      </c>
      <c r="ET42" t="s">
        <v>877</v>
      </c>
      <c r="EU42" t="s">
        <v>877</v>
      </c>
      <c r="EV42" t="s">
        <v>920</v>
      </c>
      <c r="EX42" t="s">
        <v>953</v>
      </c>
      <c r="EY42" t="s">
        <v>986</v>
      </c>
      <c r="EZ42" t="s">
        <v>924</v>
      </c>
      <c r="FA42" t="s">
        <v>925</v>
      </c>
      <c r="FB42">
        <v>1</v>
      </c>
      <c r="FC42">
        <v>2</v>
      </c>
      <c r="FD42" s="41">
        <v>45899</v>
      </c>
      <c r="FE42" t="s">
        <v>987</v>
      </c>
      <c r="FF42">
        <v>15</v>
      </c>
      <c r="FG42" t="s">
        <v>1887</v>
      </c>
      <c r="FH42" t="s">
        <v>1888</v>
      </c>
      <c r="FI42">
        <v>1</v>
      </c>
      <c r="FJ42" t="s">
        <v>1889</v>
      </c>
      <c r="FK42" t="s">
        <v>1888</v>
      </c>
      <c r="FL42">
        <v>1</v>
      </c>
      <c r="FM42" t="s">
        <v>1890</v>
      </c>
      <c r="FN42" t="s">
        <v>1891</v>
      </c>
      <c r="FO42">
        <v>1</v>
      </c>
      <c r="FP42" t="s">
        <v>1892</v>
      </c>
      <c r="FQ42" t="s">
        <v>1886</v>
      </c>
      <c r="FR42">
        <v>1</v>
      </c>
      <c r="FS42" t="s">
        <v>1607</v>
      </c>
      <c r="FT42" t="s">
        <v>1893</v>
      </c>
      <c r="FU42">
        <v>1</v>
      </c>
      <c r="FV42" t="s">
        <v>1609</v>
      </c>
      <c r="FW42" t="s">
        <v>1894</v>
      </c>
      <c r="FX42">
        <v>1</v>
      </c>
      <c r="FY42" t="s">
        <v>890</v>
      </c>
      <c r="FZ42" t="s">
        <v>1895</v>
      </c>
      <c r="GA42" t="s">
        <v>1889</v>
      </c>
      <c r="GB42">
        <v>1</v>
      </c>
      <c r="GD42">
        <v>0</v>
      </c>
      <c r="GF42">
        <v>0</v>
      </c>
      <c r="GG42">
        <v>1</v>
      </c>
      <c r="GH42" t="s">
        <v>892</v>
      </c>
      <c r="GI42" t="s">
        <v>893</v>
      </c>
      <c r="GJ42" t="s">
        <v>1888</v>
      </c>
      <c r="GM42">
        <v>1</v>
      </c>
      <c r="GN42">
        <v>0</v>
      </c>
      <c r="GO42">
        <v>0</v>
      </c>
      <c r="GP42">
        <v>1</v>
      </c>
      <c r="GQ42">
        <v>1</v>
      </c>
      <c r="GR42">
        <v>0</v>
      </c>
      <c r="GS42">
        <v>1</v>
      </c>
      <c r="GT42">
        <v>0</v>
      </c>
      <c r="GU42">
        <v>1</v>
      </c>
      <c r="GV42">
        <v>0</v>
      </c>
      <c r="GW42">
        <v>1</v>
      </c>
      <c r="GX42">
        <v>0</v>
      </c>
      <c r="GY42">
        <v>1</v>
      </c>
      <c r="GZ42">
        <v>0</v>
      </c>
      <c r="HA42" t="s">
        <v>409</v>
      </c>
      <c r="HB42" t="s">
        <v>894</v>
      </c>
      <c r="HC42" t="s">
        <v>935</v>
      </c>
      <c r="HD42" t="s">
        <v>845</v>
      </c>
      <c r="HE42" t="s">
        <v>900</v>
      </c>
      <c r="HF42" t="s">
        <v>923</v>
      </c>
      <c r="HG42" t="s">
        <v>894</v>
      </c>
      <c r="HH42" t="s">
        <v>935</v>
      </c>
      <c r="HI42" t="s">
        <v>845</v>
      </c>
      <c r="HJ42" t="s">
        <v>900</v>
      </c>
      <c r="HK42" t="s">
        <v>922</v>
      </c>
      <c r="HL42" t="s">
        <v>208</v>
      </c>
      <c r="HM42" t="s">
        <v>854</v>
      </c>
      <c r="HN42">
        <v>36805</v>
      </c>
      <c r="HP42" t="s">
        <v>178</v>
      </c>
      <c r="HQ42" t="s">
        <v>896</v>
      </c>
      <c r="HR42" t="s">
        <v>896</v>
      </c>
      <c r="HS42" t="s">
        <v>896</v>
      </c>
    </row>
    <row r="43" spans="1:227" x14ac:dyDescent="0.2">
      <c r="A43">
        <v>8702</v>
      </c>
      <c r="B43">
        <v>7525513317</v>
      </c>
      <c r="C43">
        <v>34</v>
      </c>
      <c r="D43" t="s">
        <v>996</v>
      </c>
      <c r="E43" t="s">
        <v>831</v>
      </c>
      <c r="F43">
        <v>0</v>
      </c>
      <c r="G43" t="s">
        <v>1896</v>
      </c>
      <c r="H43" t="s">
        <v>1896</v>
      </c>
      <c r="I43">
        <v>0</v>
      </c>
      <c r="J43" t="s">
        <v>833</v>
      </c>
      <c r="K43" t="s">
        <v>834</v>
      </c>
      <c r="L43">
        <v>159073802</v>
      </c>
      <c r="M43" t="s">
        <v>1897</v>
      </c>
      <c r="N43" t="s">
        <v>836</v>
      </c>
      <c r="O43" t="s">
        <v>837</v>
      </c>
      <c r="P43" t="s">
        <v>999</v>
      </c>
      <c r="Q43" t="s">
        <v>1027</v>
      </c>
      <c r="R43" t="s">
        <v>1898</v>
      </c>
      <c r="S43" t="s">
        <v>1899</v>
      </c>
      <c r="T43">
        <v>30300105423</v>
      </c>
      <c r="V43" t="s">
        <v>214</v>
      </c>
      <c r="W43" s="41">
        <v>45912</v>
      </c>
      <c r="X43" t="s">
        <v>1900</v>
      </c>
      <c r="Y43" t="s">
        <v>1901</v>
      </c>
      <c r="AA43">
        <v>0</v>
      </c>
      <c r="AB43" t="s">
        <v>845</v>
      </c>
      <c r="AC43" t="s">
        <v>846</v>
      </c>
      <c r="AD43" t="s">
        <v>847</v>
      </c>
      <c r="AE43" t="s">
        <v>848</v>
      </c>
      <c r="AF43">
        <v>1</v>
      </c>
      <c r="AG43">
        <v>452210</v>
      </c>
      <c r="AH43" t="s">
        <v>849</v>
      </c>
      <c r="AI43" t="s">
        <v>850</v>
      </c>
      <c r="AJ43" t="s">
        <v>851</v>
      </c>
      <c r="AK43" t="s">
        <v>323</v>
      </c>
      <c r="AL43" t="s">
        <v>1799</v>
      </c>
      <c r="AM43" t="s">
        <v>1902</v>
      </c>
      <c r="AN43" t="s">
        <v>854</v>
      </c>
      <c r="AO43">
        <v>36805</v>
      </c>
      <c r="AP43">
        <v>701</v>
      </c>
      <c r="AQ43" t="s">
        <v>855</v>
      </c>
      <c r="AR43">
        <v>66111584</v>
      </c>
      <c r="AS43" t="s">
        <v>856</v>
      </c>
      <c r="AU43" t="s">
        <v>1903</v>
      </c>
      <c r="AV43" t="s">
        <v>1904</v>
      </c>
      <c r="AX43" t="s">
        <v>913</v>
      </c>
      <c r="AY43" t="s">
        <v>861</v>
      </c>
      <c r="AZ43" t="s">
        <v>323</v>
      </c>
      <c r="BA43" t="s">
        <v>324</v>
      </c>
      <c r="BB43">
        <v>0</v>
      </c>
      <c r="BC43">
        <v>0</v>
      </c>
      <c r="BD43">
        <v>1</v>
      </c>
      <c r="BE43" t="s">
        <v>1897</v>
      </c>
      <c r="BF43">
        <v>0</v>
      </c>
      <c r="BG43">
        <v>0</v>
      </c>
      <c r="BH43" t="s">
        <v>862</v>
      </c>
      <c r="BI43">
        <v>0</v>
      </c>
      <c r="BJ43" t="s">
        <v>862</v>
      </c>
      <c r="BK43">
        <v>1</v>
      </c>
      <c r="BL43">
        <v>1</v>
      </c>
      <c r="BM43">
        <v>0</v>
      </c>
      <c r="BN43" t="s">
        <v>596</v>
      </c>
      <c r="BO43">
        <v>159073802</v>
      </c>
      <c r="BP43" t="s">
        <v>1896</v>
      </c>
      <c r="BQ43">
        <v>43.051279100000002</v>
      </c>
      <c r="BR43">
        <v>42791783</v>
      </c>
      <c r="BS43">
        <v>-87.906362200000004</v>
      </c>
      <c r="BT43">
        <v>0</v>
      </c>
      <c r="CM43">
        <v>4010</v>
      </c>
      <c r="CO43">
        <v>7360</v>
      </c>
      <c r="CP43">
        <v>0.56669999999999998</v>
      </c>
      <c r="CQ43">
        <v>0.56669999999999998</v>
      </c>
      <c r="CR43">
        <v>0.55000000000000004</v>
      </c>
      <c r="CS43">
        <v>6</v>
      </c>
      <c r="CT43" t="s">
        <v>1905</v>
      </c>
      <c r="CU43" t="s">
        <v>1906</v>
      </c>
      <c r="CV43" t="s">
        <v>833</v>
      </c>
      <c r="CW43" t="s">
        <v>834</v>
      </c>
      <c r="CX43" t="s">
        <v>1897</v>
      </c>
      <c r="CY43">
        <v>1</v>
      </c>
      <c r="CZ43">
        <v>1</v>
      </c>
      <c r="DA43" t="s">
        <v>833</v>
      </c>
      <c r="DB43" t="s">
        <v>865</v>
      </c>
      <c r="DC43">
        <v>53202</v>
      </c>
      <c r="DD43">
        <v>1.6167</v>
      </c>
      <c r="DE43" t="s">
        <v>866</v>
      </c>
      <c r="DG43" t="s">
        <v>867</v>
      </c>
      <c r="DH43" t="s">
        <v>851</v>
      </c>
      <c r="DI43" t="s">
        <v>1907</v>
      </c>
      <c r="DL43" t="s">
        <v>869</v>
      </c>
      <c r="DM43">
        <v>0</v>
      </c>
      <c r="DN43">
        <v>0</v>
      </c>
      <c r="DO43">
        <v>11</v>
      </c>
      <c r="DP43" t="s">
        <v>1010</v>
      </c>
      <c r="DQ43">
        <v>12</v>
      </c>
      <c r="DR43">
        <v>97</v>
      </c>
      <c r="DS43">
        <v>116</v>
      </c>
      <c r="DT43">
        <v>1.3667</v>
      </c>
      <c r="DU43">
        <v>4</v>
      </c>
      <c r="DW43">
        <v>1</v>
      </c>
      <c r="DX43" t="s">
        <v>596</v>
      </c>
      <c r="DY43" t="s">
        <v>1897</v>
      </c>
      <c r="DZ43">
        <v>1</v>
      </c>
      <c r="EA43">
        <v>1</v>
      </c>
      <c r="EB43">
        <v>1</v>
      </c>
      <c r="EC43">
        <v>1</v>
      </c>
      <c r="ED43">
        <v>1</v>
      </c>
      <c r="EE43">
        <v>1</v>
      </c>
      <c r="EF43" t="s">
        <v>920</v>
      </c>
      <c r="EG43" t="s">
        <v>595</v>
      </c>
      <c r="EH43" t="s">
        <v>1036</v>
      </c>
      <c r="EI43" t="s">
        <v>1036</v>
      </c>
      <c r="EJ43" t="s">
        <v>215</v>
      </c>
      <c r="EK43">
        <v>9090</v>
      </c>
      <c r="EL43">
        <v>0</v>
      </c>
      <c r="EM43" t="s">
        <v>873</v>
      </c>
      <c r="EN43">
        <v>0.55000000000000004</v>
      </c>
      <c r="EO43">
        <v>1.9333332999999999</v>
      </c>
      <c r="EP43">
        <v>99991120</v>
      </c>
      <c r="EQ43" t="s">
        <v>874</v>
      </c>
      <c r="ER43" t="s">
        <v>875</v>
      </c>
      <c r="ES43" t="s">
        <v>876</v>
      </c>
      <c r="ET43" t="s">
        <v>877</v>
      </c>
      <c r="EU43" t="s">
        <v>877</v>
      </c>
      <c r="EV43" t="s">
        <v>920</v>
      </c>
      <c r="EX43" t="s">
        <v>836</v>
      </c>
      <c r="EY43" t="s">
        <v>873</v>
      </c>
      <c r="EZ43" t="s">
        <v>1807</v>
      </c>
      <c r="FA43" t="s">
        <v>925</v>
      </c>
      <c r="FB43">
        <v>1</v>
      </c>
      <c r="FC43">
        <v>1</v>
      </c>
      <c r="FD43" s="41">
        <v>45913</v>
      </c>
      <c r="FE43" t="s">
        <v>880</v>
      </c>
      <c r="FF43">
        <v>4</v>
      </c>
      <c r="FI43">
        <v>0</v>
      </c>
      <c r="FL43">
        <v>0</v>
      </c>
      <c r="FM43" t="s">
        <v>1908</v>
      </c>
      <c r="FN43" t="s">
        <v>1909</v>
      </c>
      <c r="FO43">
        <v>1</v>
      </c>
      <c r="FP43" t="s">
        <v>1910</v>
      </c>
      <c r="FQ43" t="s">
        <v>1906</v>
      </c>
      <c r="FR43">
        <v>1</v>
      </c>
      <c r="FS43" t="s">
        <v>1911</v>
      </c>
      <c r="FT43" t="s">
        <v>1912</v>
      </c>
      <c r="FU43">
        <v>1</v>
      </c>
      <c r="FV43" t="s">
        <v>1913</v>
      </c>
      <c r="FW43" t="s">
        <v>1914</v>
      </c>
      <c r="FX43">
        <v>1</v>
      </c>
      <c r="FY43" t="s">
        <v>890</v>
      </c>
      <c r="FZ43" t="s">
        <v>1915</v>
      </c>
      <c r="GA43" t="s">
        <v>1913</v>
      </c>
      <c r="GB43">
        <v>1</v>
      </c>
      <c r="GD43">
        <v>0</v>
      </c>
      <c r="GF43">
        <v>0</v>
      </c>
      <c r="GG43">
        <v>1</v>
      </c>
      <c r="GH43" t="s">
        <v>892</v>
      </c>
      <c r="GI43" t="s">
        <v>893</v>
      </c>
      <c r="GJ43" t="s">
        <v>1914</v>
      </c>
      <c r="GM43">
        <v>1</v>
      </c>
      <c r="GN43">
        <v>1</v>
      </c>
      <c r="GO43">
        <v>0</v>
      </c>
      <c r="GP43">
        <v>1</v>
      </c>
      <c r="GQ43">
        <v>1</v>
      </c>
      <c r="GR43">
        <v>0</v>
      </c>
      <c r="GS43">
        <v>1</v>
      </c>
      <c r="GT43">
        <v>1</v>
      </c>
      <c r="GU43">
        <v>1</v>
      </c>
      <c r="GV43">
        <v>0</v>
      </c>
      <c r="GW43">
        <v>1</v>
      </c>
      <c r="GX43">
        <v>1</v>
      </c>
      <c r="GY43">
        <v>1</v>
      </c>
      <c r="GZ43">
        <v>0</v>
      </c>
      <c r="HA43" t="s">
        <v>323</v>
      </c>
      <c r="HB43" t="s">
        <v>894</v>
      </c>
      <c r="HC43" t="s">
        <v>895</v>
      </c>
      <c r="HD43" t="s">
        <v>845</v>
      </c>
      <c r="HE43" t="s">
        <v>836</v>
      </c>
      <c r="HF43" t="s">
        <v>873</v>
      </c>
      <c r="HG43" t="s">
        <v>894</v>
      </c>
      <c r="HH43" t="s">
        <v>895</v>
      </c>
      <c r="HI43" t="s">
        <v>845</v>
      </c>
      <c r="HJ43" t="s">
        <v>836</v>
      </c>
      <c r="HK43" t="s">
        <v>873</v>
      </c>
      <c r="HL43" t="s">
        <v>214</v>
      </c>
      <c r="HM43" t="s">
        <v>854</v>
      </c>
      <c r="HN43">
        <v>36805</v>
      </c>
      <c r="HP43" t="s">
        <v>215</v>
      </c>
      <c r="HQ43" t="s">
        <v>896</v>
      </c>
      <c r="HR43" t="s">
        <v>896</v>
      </c>
      <c r="HS43" t="s">
        <v>896</v>
      </c>
    </row>
    <row r="44" spans="1:227" ht="409.6" x14ac:dyDescent="0.2">
      <c r="A44">
        <v>8702</v>
      </c>
      <c r="B44">
        <v>7614112943</v>
      </c>
      <c r="C44" t="s">
        <v>1916</v>
      </c>
      <c r="D44" t="s">
        <v>1917</v>
      </c>
      <c r="E44" t="s">
        <v>897</v>
      </c>
      <c r="F44">
        <v>0</v>
      </c>
      <c r="G44" t="s">
        <v>1918</v>
      </c>
      <c r="H44" t="s">
        <v>1918</v>
      </c>
      <c r="I44">
        <v>0</v>
      </c>
      <c r="J44" t="s">
        <v>833</v>
      </c>
      <c r="K44" t="s">
        <v>834</v>
      </c>
      <c r="L44">
        <v>153406476</v>
      </c>
      <c r="M44" t="s">
        <v>1919</v>
      </c>
      <c r="N44" t="s">
        <v>900</v>
      </c>
      <c r="O44" t="s">
        <v>837</v>
      </c>
      <c r="P44" t="s">
        <v>1920</v>
      </c>
      <c r="Q44" t="s">
        <v>1921</v>
      </c>
      <c r="R44" t="s">
        <v>1922</v>
      </c>
      <c r="S44" t="s">
        <v>1923</v>
      </c>
      <c r="T44">
        <v>41477122910</v>
      </c>
      <c r="V44" t="s">
        <v>144</v>
      </c>
      <c r="W44" s="41">
        <v>46163</v>
      </c>
      <c r="X44" t="s">
        <v>1924</v>
      </c>
      <c r="Y44" t="s">
        <v>1925</v>
      </c>
      <c r="AA44">
        <v>0</v>
      </c>
      <c r="AB44" t="s">
        <v>845</v>
      </c>
      <c r="AC44" t="s">
        <v>846</v>
      </c>
      <c r="AD44" t="s">
        <v>907</v>
      </c>
      <c r="AE44" t="s">
        <v>908</v>
      </c>
      <c r="AF44">
        <v>1</v>
      </c>
      <c r="AG44">
        <v>452210</v>
      </c>
      <c r="AH44" t="s">
        <v>849</v>
      </c>
      <c r="AI44" t="s">
        <v>850</v>
      </c>
      <c r="AJ44" t="s">
        <v>851</v>
      </c>
      <c r="AK44" t="s">
        <v>259</v>
      </c>
      <c r="AL44" t="s">
        <v>1547</v>
      </c>
      <c r="AM44" t="s">
        <v>1926</v>
      </c>
      <c r="AN44" t="s">
        <v>854</v>
      </c>
      <c r="AO44">
        <v>36805</v>
      </c>
      <c r="AP44">
        <v>528</v>
      </c>
      <c r="AQ44" t="s">
        <v>855</v>
      </c>
      <c r="AR44">
        <v>66472682</v>
      </c>
      <c r="AS44" t="s">
        <v>856</v>
      </c>
      <c r="AU44" t="s">
        <v>1927</v>
      </c>
      <c r="AV44" t="s">
        <v>1928</v>
      </c>
      <c r="AW44" t="s">
        <v>859</v>
      </c>
      <c r="AX44" t="s">
        <v>860</v>
      </c>
      <c r="AY44" t="s">
        <v>861</v>
      </c>
      <c r="AZ44" t="s">
        <v>259</v>
      </c>
      <c r="BA44" t="s">
        <v>260</v>
      </c>
      <c r="BB44">
        <v>0</v>
      </c>
      <c r="BC44">
        <v>0</v>
      </c>
      <c r="BD44">
        <v>0</v>
      </c>
      <c r="BE44" t="s">
        <v>1919</v>
      </c>
      <c r="BF44">
        <v>0</v>
      </c>
      <c r="BG44">
        <v>0</v>
      </c>
      <c r="BH44" t="s">
        <v>862</v>
      </c>
      <c r="BI44">
        <v>0</v>
      </c>
      <c r="BJ44" t="s">
        <v>862</v>
      </c>
      <c r="BK44">
        <v>1</v>
      </c>
      <c r="BL44">
        <v>0</v>
      </c>
      <c r="BM44">
        <v>0</v>
      </c>
      <c r="BN44" t="s">
        <v>596</v>
      </c>
      <c r="BO44">
        <v>153406476</v>
      </c>
      <c r="BP44" t="s">
        <v>1918</v>
      </c>
      <c r="BR44">
        <v>42791441</v>
      </c>
      <c r="BT44">
        <v>2</v>
      </c>
      <c r="BU44" t="s">
        <v>1803</v>
      </c>
      <c r="BY44">
        <v>16</v>
      </c>
      <c r="CA44">
        <v>2</v>
      </c>
      <c r="CE44">
        <v>1</v>
      </c>
      <c r="CI44">
        <v>11</v>
      </c>
      <c r="CJ44" t="s">
        <v>94</v>
      </c>
      <c r="CM44">
        <v>4010</v>
      </c>
      <c r="CO44">
        <v>7360</v>
      </c>
      <c r="CP44">
        <v>0.36670000000000003</v>
      </c>
      <c r="CQ44">
        <v>0.36670000000000003</v>
      </c>
      <c r="CR44">
        <v>0.7</v>
      </c>
      <c r="CS44">
        <v>4</v>
      </c>
      <c r="CT44" t="s">
        <v>1928</v>
      </c>
      <c r="CU44" t="s">
        <v>1927</v>
      </c>
      <c r="CV44" t="s">
        <v>833</v>
      </c>
      <c r="CW44" t="s">
        <v>834</v>
      </c>
      <c r="CX44" t="s">
        <v>1919</v>
      </c>
      <c r="CY44">
        <v>0</v>
      </c>
      <c r="CZ44">
        <v>0</v>
      </c>
      <c r="DA44" t="s">
        <v>833</v>
      </c>
      <c r="DB44" t="s">
        <v>865</v>
      </c>
      <c r="DC44">
        <v>46033</v>
      </c>
      <c r="DD44">
        <v>1.95</v>
      </c>
      <c r="DE44" t="s">
        <v>866</v>
      </c>
      <c r="DG44" t="s">
        <v>867</v>
      </c>
      <c r="DH44" t="s">
        <v>851</v>
      </c>
      <c r="DK44" t="s">
        <v>918</v>
      </c>
      <c r="DL44" t="s">
        <v>869</v>
      </c>
      <c r="DM44">
        <v>0</v>
      </c>
      <c r="DN44">
        <v>0</v>
      </c>
      <c r="DO44">
        <v>53</v>
      </c>
      <c r="DP44" t="s">
        <v>1156</v>
      </c>
      <c r="DQ44">
        <v>16</v>
      </c>
      <c r="DR44">
        <v>117</v>
      </c>
      <c r="DS44">
        <v>117</v>
      </c>
      <c r="DT44">
        <v>1.5832999999999999</v>
      </c>
      <c r="DU44">
        <v>4</v>
      </c>
      <c r="DV44">
        <v>1</v>
      </c>
      <c r="DW44">
        <v>2</v>
      </c>
      <c r="DX44" t="s">
        <v>594</v>
      </c>
      <c r="DY44" t="s">
        <v>1919</v>
      </c>
      <c r="DZ44">
        <v>0</v>
      </c>
      <c r="EA44">
        <v>0</v>
      </c>
      <c r="EB44">
        <v>0</v>
      </c>
      <c r="EC44">
        <v>0</v>
      </c>
      <c r="ED44">
        <v>0</v>
      </c>
      <c r="EE44">
        <v>0</v>
      </c>
      <c r="EF44" t="s">
        <v>871</v>
      </c>
      <c r="EG44" t="s">
        <v>595</v>
      </c>
      <c r="EH44" t="s">
        <v>872</v>
      </c>
      <c r="EI44" t="s">
        <v>872</v>
      </c>
      <c r="EJ44" t="s">
        <v>134</v>
      </c>
      <c r="EK44">
        <v>9090</v>
      </c>
      <c r="EL44">
        <v>0</v>
      </c>
      <c r="EM44" t="s">
        <v>1011</v>
      </c>
      <c r="EN44">
        <v>0.7</v>
      </c>
      <c r="EO44">
        <v>1.95</v>
      </c>
      <c r="EP44">
        <v>99991120</v>
      </c>
      <c r="EQ44" t="s">
        <v>874</v>
      </c>
      <c r="ER44" t="s">
        <v>875</v>
      </c>
      <c r="ES44" t="s">
        <v>876</v>
      </c>
      <c r="ET44" t="s">
        <v>877</v>
      </c>
      <c r="EU44" t="s">
        <v>877</v>
      </c>
      <c r="EV44" t="s">
        <v>871</v>
      </c>
      <c r="EX44" t="s">
        <v>953</v>
      </c>
      <c r="EY44" t="s">
        <v>1555</v>
      </c>
      <c r="EZ44" t="s">
        <v>1013</v>
      </c>
      <c r="FA44" t="s">
        <v>925</v>
      </c>
      <c r="FB44">
        <v>1</v>
      </c>
      <c r="FC44">
        <v>1</v>
      </c>
      <c r="FD44" s="41">
        <v>46165</v>
      </c>
      <c r="FE44" t="s">
        <v>1808</v>
      </c>
      <c r="FF44">
        <v>5</v>
      </c>
      <c r="FI44">
        <v>0</v>
      </c>
      <c r="FJ44" t="s">
        <v>1929</v>
      </c>
      <c r="FK44" t="s">
        <v>1930</v>
      </c>
      <c r="FL44">
        <v>1</v>
      </c>
      <c r="FM44" t="s">
        <v>1931</v>
      </c>
      <c r="FN44" t="s">
        <v>1932</v>
      </c>
      <c r="FO44">
        <v>1</v>
      </c>
      <c r="FP44" s="42" t="s">
        <v>1933</v>
      </c>
      <c r="FQ44" t="s">
        <v>1927</v>
      </c>
      <c r="FR44">
        <v>1</v>
      </c>
      <c r="FS44" t="s">
        <v>1934</v>
      </c>
      <c r="FT44" t="s">
        <v>1935</v>
      </c>
      <c r="FU44">
        <v>1</v>
      </c>
      <c r="FV44" t="s">
        <v>1936</v>
      </c>
      <c r="FW44" t="s">
        <v>1937</v>
      </c>
      <c r="FX44">
        <v>1</v>
      </c>
      <c r="FY44" t="s">
        <v>890</v>
      </c>
      <c r="FZ44" s="42" t="s">
        <v>1938</v>
      </c>
      <c r="GA44" t="s">
        <v>1929</v>
      </c>
      <c r="GB44">
        <v>1</v>
      </c>
      <c r="GD44">
        <v>0</v>
      </c>
      <c r="GF44">
        <v>0</v>
      </c>
      <c r="GG44">
        <v>1</v>
      </c>
      <c r="GH44" t="s">
        <v>892</v>
      </c>
      <c r="GI44" t="s">
        <v>893</v>
      </c>
      <c r="GJ44" t="s">
        <v>1930</v>
      </c>
      <c r="GM44">
        <v>1</v>
      </c>
      <c r="GN44">
        <v>1</v>
      </c>
      <c r="GO44">
        <v>0</v>
      </c>
      <c r="GP44">
        <v>1</v>
      </c>
      <c r="GQ44">
        <v>1</v>
      </c>
      <c r="GR44">
        <v>0</v>
      </c>
      <c r="GS44">
        <v>1</v>
      </c>
      <c r="GT44">
        <v>0</v>
      </c>
      <c r="GU44">
        <v>1</v>
      </c>
      <c r="GV44">
        <v>0</v>
      </c>
      <c r="GW44">
        <v>1</v>
      </c>
      <c r="GX44">
        <v>0</v>
      </c>
      <c r="GY44">
        <v>1</v>
      </c>
      <c r="GZ44">
        <v>0</v>
      </c>
      <c r="HA44" t="s">
        <v>259</v>
      </c>
      <c r="HB44" t="s">
        <v>894</v>
      </c>
      <c r="HC44" t="s">
        <v>935</v>
      </c>
      <c r="HD44" t="s">
        <v>845</v>
      </c>
      <c r="HE44" t="s">
        <v>900</v>
      </c>
      <c r="HF44" t="s">
        <v>1012</v>
      </c>
      <c r="HG44" t="s">
        <v>894</v>
      </c>
      <c r="HH44" t="s">
        <v>935</v>
      </c>
      <c r="HI44" t="s">
        <v>845</v>
      </c>
      <c r="HJ44" t="s">
        <v>900</v>
      </c>
      <c r="HK44" t="s">
        <v>1011</v>
      </c>
      <c r="HL44" t="s">
        <v>144</v>
      </c>
      <c r="HM44" t="s">
        <v>854</v>
      </c>
      <c r="HN44">
        <v>36805</v>
      </c>
      <c r="HP44" t="s">
        <v>134</v>
      </c>
      <c r="HQ44" t="s">
        <v>896</v>
      </c>
      <c r="HR44" t="s">
        <v>896</v>
      </c>
      <c r="HS44" t="s">
        <v>896</v>
      </c>
    </row>
    <row r="45" spans="1:227" x14ac:dyDescent="0.2">
      <c r="A45">
        <v>8702</v>
      </c>
      <c r="B45">
        <v>7614109881</v>
      </c>
      <c r="C45" t="s">
        <v>829</v>
      </c>
      <c r="D45" t="s">
        <v>830</v>
      </c>
      <c r="E45" t="s">
        <v>831</v>
      </c>
      <c r="F45">
        <v>0</v>
      </c>
      <c r="G45" t="s">
        <v>1939</v>
      </c>
      <c r="H45" t="s">
        <v>1939</v>
      </c>
      <c r="I45">
        <v>0</v>
      </c>
      <c r="J45" t="s">
        <v>833</v>
      </c>
      <c r="K45" t="s">
        <v>834</v>
      </c>
      <c r="L45">
        <v>153406480</v>
      </c>
      <c r="M45" t="s">
        <v>1940</v>
      </c>
      <c r="N45" t="s">
        <v>836</v>
      </c>
      <c r="O45" t="s">
        <v>837</v>
      </c>
      <c r="P45" t="s">
        <v>838</v>
      </c>
      <c r="Q45" t="s">
        <v>839</v>
      </c>
      <c r="R45" t="s">
        <v>1941</v>
      </c>
      <c r="S45" t="s">
        <v>1942</v>
      </c>
      <c r="T45">
        <v>30300131301</v>
      </c>
      <c r="V45" t="s">
        <v>1943</v>
      </c>
      <c r="W45" s="41">
        <v>46163</v>
      </c>
      <c r="X45" t="s">
        <v>1944</v>
      </c>
      <c r="Y45" t="s">
        <v>1945</v>
      </c>
      <c r="AA45">
        <v>0</v>
      </c>
      <c r="AB45" t="s">
        <v>845</v>
      </c>
      <c r="AC45" t="s">
        <v>846</v>
      </c>
      <c r="AD45" t="s">
        <v>907</v>
      </c>
      <c r="AE45" t="s">
        <v>908</v>
      </c>
      <c r="AF45">
        <v>1</v>
      </c>
      <c r="AG45">
        <v>452210</v>
      </c>
      <c r="AH45" t="s">
        <v>849</v>
      </c>
      <c r="AI45" t="s">
        <v>850</v>
      </c>
      <c r="AJ45" t="s">
        <v>851</v>
      </c>
      <c r="AK45" t="s">
        <v>325</v>
      </c>
      <c r="AL45" t="s">
        <v>1946</v>
      </c>
      <c r="AM45" t="s">
        <v>1947</v>
      </c>
      <c r="AN45" t="s">
        <v>854</v>
      </c>
      <c r="AO45">
        <v>36805</v>
      </c>
      <c r="AP45">
        <v>562</v>
      </c>
      <c r="AQ45" t="s">
        <v>855</v>
      </c>
      <c r="AR45">
        <v>66472464</v>
      </c>
      <c r="AS45" t="s">
        <v>856</v>
      </c>
      <c r="AU45" t="s">
        <v>1948</v>
      </c>
      <c r="AV45" t="s">
        <v>1949</v>
      </c>
      <c r="AX45" t="s">
        <v>913</v>
      </c>
      <c r="AY45" t="s">
        <v>861</v>
      </c>
      <c r="AZ45" t="s">
        <v>325</v>
      </c>
      <c r="BA45" t="s">
        <v>306</v>
      </c>
      <c r="BB45">
        <v>0</v>
      </c>
      <c r="BC45">
        <v>0</v>
      </c>
      <c r="BD45">
        <v>1</v>
      </c>
      <c r="BE45" t="s">
        <v>1940</v>
      </c>
      <c r="BF45">
        <v>0</v>
      </c>
      <c r="BG45">
        <v>0</v>
      </c>
      <c r="BH45" t="s">
        <v>862</v>
      </c>
      <c r="BI45">
        <v>0</v>
      </c>
      <c r="BJ45" t="s">
        <v>862</v>
      </c>
      <c r="BK45">
        <v>1</v>
      </c>
      <c r="BL45">
        <v>1</v>
      </c>
      <c r="BM45">
        <v>0</v>
      </c>
      <c r="BN45" t="s">
        <v>596</v>
      </c>
      <c r="BO45">
        <v>153406480</v>
      </c>
      <c r="BP45" t="s">
        <v>1939</v>
      </c>
      <c r="BR45">
        <v>42791464</v>
      </c>
      <c r="BT45">
        <v>2</v>
      </c>
      <c r="BU45" t="s">
        <v>1803</v>
      </c>
      <c r="BY45">
        <v>16</v>
      </c>
      <c r="CA45">
        <v>3</v>
      </c>
      <c r="CE45">
        <v>1</v>
      </c>
      <c r="CI45">
        <v>11</v>
      </c>
      <c r="CJ45" t="s">
        <v>94</v>
      </c>
      <c r="CM45">
        <v>4010</v>
      </c>
      <c r="CO45">
        <v>7360</v>
      </c>
      <c r="CP45">
        <v>0.2167</v>
      </c>
      <c r="CQ45">
        <v>0.2167</v>
      </c>
      <c r="CR45">
        <v>0.41670000000000001</v>
      </c>
      <c r="CS45">
        <v>5</v>
      </c>
      <c r="CT45" t="s">
        <v>1950</v>
      </c>
      <c r="CU45" t="s">
        <v>1951</v>
      </c>
      <c r="CV45" t="s">
        <v>833</v>
      </c>
      <c r="CW45" t="s">
        <v>834</v>
      </c>
      <c r="CX45" t="s">
        <v>1940</v>
      </c>
      <c r="CY45">
        <v>1</v>
      </c>
      <c r="CZ45">
        <v>1</v>
      </c>
      <c r="DA45" t="s">
        <v>833</v>
      </c>
      <c r="DB45" t="s">
        <v>865</v>
      </c>
      <c r="DC45">
        <v>56387</v>
      </c>
      <c r="DD45">
        <v>2.6333000000000002</v>
      </c>
      <c r="DE45" t="s">
        <v>866</v>
      </c>
      <c r="DG45" t="s">
        <v>867</v>
      </c>
      <c r="DH45" t="s">
        <v>851</v>
      </c>
      <c r="DK45" t="s">
        <v>918</v>
      </c>
      <c r="DL45" t="s">
        <v>869</v>
      </c>
      <c r="DM45">
        <v>0</v>
      </c>
      <c r="DN45">
        <v>0</v>
      </c>
      <c r="DO45">
        <v>11</v>
      </c>
      <c r="DP45" t="s">
        <v>1010</v>
      </c>
      <c r="DQ45">
        <v>16</v>
      </c>
      <c r="DR45">
        <v>158</v>
      </c>
      <c r="DS45">
        <v>849</v>
      </c>
      <c r="DT45">
        <v>2.4167000000000001</v>
      </c>
      <c r="DU45">
        <v>4</v>
      </c>
      <c r="DV45">
        <v>1</v>
      </c>
      <c r="DW45">
        <v>2</v>
      </c>
      <c r="DX45" t="s">
        <v>596</v>
      </c>
      <c r="DY45" t="s">
        <v>1940</v>
      </c>
      <c r="DZ45">
        <v>1</v>
      </c>
      <c r="EA45">
        <v>1</v>
      </c>
      <c r="EB45">
        <v>1</v>
      </c>
      <c r="EC45">
        <v>1</v>
      </c>
      <c r="ED45">
        <v>1</v>
      </c>
      <c r="EE45">
        <v>1</v>
      </c>
      <c r="EF45" t="s">
        <v>920</v>
      </c>
      <c r="EG45" t="s">
        <v>595</v>
      </c>
      <c r="EH45" t="s">
        <v>921</v>
      </c>
      <c r="EI45" t="s">
        <v>921</v>
      </c>
      <c r="EJ45" t="s">
        <v>159</v>
      </c>
      <c r="EK45">
        <v>9090</v>
      </c>
      <c r="EL45">
        <v>0</v>
      </c>
      <c r="EM45" t="s">
        <v>873</v>
      </c>
      <c r="EN45">
        <v>0.41670000000000001</v>
      </c>
      <c r="EO45">
        <v>14.15</v>
      </c>
      <c r="EP45">
        <v>99991120</v>
      </c>
      <c r="EQ45" t="s">
        <v>874</v>
      </c>
      <c r="ER45" t="s">
        <v>875</v>
      </c>
      <c r="ES45" t="s">
        <v>876</v>
      </c>
      <c r="ET45" t="s">
        <v>877</v>
      </c>
      <c r="EU45" t="s">
        <v>877</v>
      </c>
      <c r="EV45" t="s">
        <v>920</v>
      </c>
      <c r="EX45" t="s">
        <v>836</v>
      </c>
      <c r="EY45" t="s">
        <v>1121</v>
      </c>
      <c r="EZ45" t="s">
        <v>1122</v>
      </c>
      <c r="FA45" t="s">
        <v>956</v>
      </c>
      <c r="FB45">
        <v>1</v>
      </c>
      <c r="FC45">
        <v>1</v>
      </c>
      <c r="FD45" s="41">
        <v>46165</v>
      </c>
      <c r="FE45" t="s">
        <v>1808</v>
      </c>
      <c r="FF45">
        <v>5</v>
      </c>
      <c r="FI45">
        <v>0</v>
      </c>
      <c r="FJ45" t="s">
        <v>1952</v>
      </c>
      <c r="FK45" t="s">
        <v>1953</v>
      </c>
      <c r="FL45">
        <v>1</v>
      </c>
      <c r="FM45" t="s">
        <v>1954</v>
      </c>
      <c r="FN45" t="s">
        <v>1955</v>
      </c>
      <c r="FO45">
        <v>1</v>
      </c>
      <c r="FP45" t="s">
        <v>1956</v>
      </c>
      <c r="FQ45" t="s">
        <v>1957</v>
      </c>
      <c r="FR45">
        <v>1</v>
      </c>
      <c r="FS45" t="s">
        <v>1958</v>
      </c>
      <c r="FT45" t="s">
        <v>1959</v>
      </c>
      <c r="FU45">
        <v>1</v>
      </c>
      <c r="FV45" t="s">
        <v>1960</v>
      </c>
      <c r="FW45" t="s">
        <v>1961</v>
      </c>
      <c r="FX45">
        <v>1</v>
      </c>
      <c r="FY45" t="s">
        <v>890</v>
      </c>
      <c r="FZ45" t="s">
        <v>1962</v>
      </c>
      <c r="GA45" t="s">
        <v>1952</v>
      </c>
      <c r="GB45">
        <v>1</v>
      </c>
      <c r="GD45">
        <v>0</v>
      </c>
      <c r="GF45">
        <v>0</v>
      </c>
      <c r="GG45">
        <v>1</v>
      </c>
      <c r="GH45" t="s">
        <v>892</v>
      </c>
      <c r="GI45" t="s">
        <v>893</v>
      </c>
      <c r="GJ45" t="s">
        <v>1953</v>
      </c>
      <c r="GM45">
        <v>1</v>
      </c>
      <c r="GN45">
        <v>1</v>
      </c>
      <c r="GO45">
        <v>0</v>
      </c>
      <c r="GP45">
        <v>1</v>
      </c>
      <c r="GQ45">
        <v>1</v>
      </c>
      <c r="GR45">
        <v>0</v>
      </c>
      <c r="GS45">
        <v>1</v>
      </c>
      <c r="GT45">
        <v>0</v>
      </c>
      <c r="GU45">
        <v>1</v>
      </c>
      <c r="GV45">
        <v>0</v>
      </c>
      <c r="GW45">
        <v>1</v>
      </c>
      <c r="GX45">
        <v>0</v>
      </c>
      <c r="GY45">
        <v>1</v>
      </c>
      <c r="GZ45">
        <v>0</v>
      </c>
      <c r="HA45" t="s">
        <v>325</v>
      </c>
      <c r="HB45" t="s">
        <v>894</v>
      </c>
      <c r="HC45" t="s">
        <v>895</v>
      </c>
      <c r="HD45" t="s">
        <v>845</v>
      </c>
      <c r="HE45" t="s">
        <v>836</v>
      </c>
      <c r="HF45" t="s">
        <v>873</v>
      </c>
      <c r="HG45" t="s">
        <v>894</v>
      </c>
      <c r="HH45" t="s">
        <v>895</v>
      </c>
      <c r="HI45" t="s">
        <v>845</v>
      </c>
      <c r="HJ45" t="s">
        <v>836</v>
      </c>
      <c r="HK45" t="s">
        <v>873</v>
      </c>
      <c r="HL45" t="s">
        <v>1943</v>
      </c>
      <c r="HM45" t="s">
        <v>854</v>
      </c>
      <c r="HN45">
        <v>36805</v>
      </c>
      <c r="HP45" t="s">
        <v>159</v>
      </c>
      <c r="HQ45" t="s">
        <v>896</v>
      </c>
      <c r="HR45" t="s">
        <v>896</v>
      </c>
      <c r="HS45" t="s">
        <v>896</v>
      </c>
    </row>
    <row r="46" spans="1:227" x14ac:dyDescent="0.2">
      <c r="A46">
        <v>8702</v>
      </c>
      <c r="B46">
        <v>7606605823</v>
      </c>
      <c r="C46">
        <v>34</v>
      </c>
      <c r="D46" t="s">
        <v>996</v>
      </c>
      <c r="E46" t="s">
        <v>897</v>
      </c>
      <c r="F46">
        <v>0</v>
      </c>
      <c r="G46" t="s">
        <v>1963</v>
      </c>
      <c r="H46" t="s">
        <v>1963</v>
      </c>
      <c r="I46">
        <v>0</v>
      </c>
      <c r="J46" t="s">
        <v>833</v>
      </c>
      <c r="K46" t="s">
        <v>834</v>
      </c>
      <c r="L46">
        <v>153406467</v>
      </c>
      <c r="M46" t="s">
        <v>1964</v>
      </c>
      <c r="N46" t="s">
        <v>900</v>
      </c>
      <c r="O46" t="s">
        <v>837</v>
      </c>
      <c r="P46" t="s">
        <v>999</v>
      </c>
      <c r="Q46" t="s">
        <v>1027</v>
      </c>
      <c r="R46" t="s">
        <v>1965</v>
      </c>
      <c r="S46" t="s">
        <v>1966</v>
      </c>
      <c r="V46" t="s">
        <v>133</v>
      </c>
      <c r="W46" s="41">
        <v>46091</v>
      </c>
      <c r="X46" t="s">
        <v>1967</v>
      </c>
      <c r="Y46" t="s">
        <v>1968</v>
      </c>
      <c r="Z46" t="s">
        <v>1969</v>
      </c>
      <c r="AA46">
        <v>0</v>
      </c>
      <c r="AB46" t="s">
        <v>845</v>
      </c>
      <c r="AC46" t="s">
        <v>846</v>
      </c>
      <c r="AD46" t="s">
        <v>1113</v>
      </c>
      <c r="AE46" t="s">
        <v>1114</v>
      </c>
      <c r="AF46">
        <v>1</v>
      </c>
      <c r="AG46">
        <v>452210</v>
      </c>
      <c r="AH46" t="s">
        <v>849</v>
      </c>
      <c r="AI46" t="s">
        <v>850</v>
      </c>
      <c r="AJ46" t="s">
        <v>851</v>
      </c>
      <c r="AK46" t="s">
        <v>295</v>
      </c>
      <c r="AM46" t="s">
        <v>1970</v>
      </c>
      <c r="AN46" t="s">
        <v>854</v>
      </c>
      <c r="AO46">
        <v>36805</v>
      </c>
      <c r="AP46">
        <v>532</v>
      </c>
      <c r="AQ46" t="s">
        <v>855</v>
      </c>
      <c r="AR46">
        <v>66369224</v>
      </c>
      <c r="AS46" t="s">
        <v>856</v>
      </c>
      <c r="AU46" t="s">
        <v>1971</v>
      </c>
      <c r="AV46" t="s">
        <v>1972</v>
      </c>
      <c r="AX46" t="s">
        <v>913</v>
      </c>
      <c r="AY46" t="s">
        <v>861</v>
      </c>
      <c r="AZ46" t="s">
        <v>295</v>
      </c>
      <c r="BA46" t="s">
        <v>296</v>
      </c>
      <c r="BB46">
        <v>0</v>
      </c>
      <c r="BC46">
        <v>0</v>
      </c>
      <c r="BD46">
        <v>0</v>
      </c>
      <c r="BE46" t="s">
        <v>1964</v>
      </c>
      <c r="BF46">
        <v>0</v>
      </c>
      <c r="BG46">
        <v>0</v>
      </c>
      <c r="BH46" t="s">
        <v>862</v>
      </c>
      <c r="BI46">
        <v>0</v>
      </c>
      <c r="BJ46" t="s">
        <v>862</v>
      </c>
      <c r="BK46">
        <v>1</v>
      </c>
      <c r="BL46">
        <v>1</v>
      </c>
      <c r="BM46">
        <v>0</v>
      </c>
      <c r="BN46" t="s">
        <v>596</v>
      </c>
      <c r="BO46">
        <v>153406467</v>
      </c>
      <c r="BP46" t="s">
        <v>1963</v>
      </c>
      <c r="BR46">
        <v>42791447</v>
      </c>
      <c r="BT46">
        <v>1</v>
      </c>
      <c r="BU46" t="s">
        <v>1715</v>
      </c>
      <c r="CA46">
        <v>44</v>
      </c>
      <c r="CI46">
        <v>11</v>
      </c>
      <c r="CJ46" t="s">
        <v>94</v>
      </c>
      <c r="CM46">
        <v>4010</v>
      </c>
      <c r="CO46">
        <v>7360</v>
      </c>
      <c r="CP46">
        <v>1.67E-2</v>
      </c>
      <c r="CQ46">
        <v>1.67E-2</v>
      </c>
      <c r="CR46">
        <v>0</v>
      </c>
      <c r="CS46">
        <v>0</v>
      </c>
      <c r="CT46" t="s">
        <v>1973</v>
      </c>
      <c r="CU46" t="s">
        <v>1974</v>
      </c>
      <c r="CV46" t="s">
        <v>833</v>
      </c>
      <c r="CW46" t="s">
        <v>834</v>
      </c>
      <c r="CX46" t="s">
        <v>1964</v>
      </c>
      <c r="CY46">
        <v>0</v>
      </c>
      <c r="CZ46">
        <v>0</v>
      </c>
      <c r="DA46" t="s">
        <v>833</v>
      </c>
      <c r="DB46" t="s">
        <v>865</v>
      </c>
      <c r="DC46">
        <v>46234</v>
      </c>
      <c r="DD46">
        <v>44.366700000000002</v>
      </c>
      <c r="DE46" t="s">
        <v>866</v>
      </c>
      <c r="DG46" t="s">
        <v>867</v>
      </c>
      <c r="DH46" t="s">
        <v>851</v>
      </c>
      <c r="DJ46">
        <v>532</v>
      </c>
      <c r="DK46" t="s">
        <v>918</v>
      </c>
      <c r="DL46" t="s">
        <v>869</v>
      </c>
      <c r="DM46">
        <v>0</v>
      </c>
      <c r="DN46">
        <v>0</v>
      </c>
      <c r="DO46">
        <v>58</v>
      </c>
      <c r="DP46" t="s">
        <v>1975</v>
      </c>
      <c r="DQ46">
        <v>0</v>
      </c>
      <c r="DR46">
        <v>2662</v>
      </c>
      <c r="DS46">
        <v>4822</v>
      </c>
      <c r="DT46">
        <v>44.35</v>
      </c>
      <c r="DU46">
        <v>0</v>
      </c>
      <c r="DV46">
        <v>1</v>
      </c>
      <c r="DW46">
        <v>2</v>
      </c>
      <c r="DX46" t="s">
        <v>596</v>
      </c>
      <c r="DY46" t="s">
        <v>1964</v>
      </c>
      <c r="DZ46">
        <v>1</v>
      </c>
      <c r="EA46">
        <v>1</v>
      </c>
      <c r="EB46">
        <v>1</v>
      </c>
      <c r="EC46">
        <v>1</v>
      </c>
      <c r="ED46">
        <v>1</v>
      </c>
      <c r="EE46">
        <v>1</v>
      </c>
      <c r="EF46" t="s">
        <v>871</v>
      </c>
      <c r="EG46" t="s">
        <v>595</v>
      </c>
      <c r="EH46" t="s">
        <v>921</v>
      </c>
      <c r="EI46" t="s">
        <v>921</v>
      </c>
      <c r="EJ46" t="s">
        <v>134</v>
      </c>
      <c r="EK46">
        <v>9090</v>
      </c>
      <c r="EL46">
        <v>0</v>
      </c>
      <c r="EM46" t="s">
        <v>1011</v>
      </c>
      <c r="EN46">
        <v>0</v>
      </c>
      <c r="EO46">
        <v>80.366666699999996</v>
      </c>
      <c r="EP46">
        <v>99991120</v>
      </c>
      <c r="EQ46" t="s">
        <v>874</v>
      </c>
      <c r="ER46" t="s">
        <v>875</v>
      </c>
      <c r="ES46" t="s">
        <v>876</v>
      </c>
      <c r="ET46" t="s">
        <v>877</v>
      </c>
      <c r="EU46" t="s">
        <v>877</v>
      </c>
      <c r="EV46" t="s">
        <v>871</v>
      </c>
      <c r="EX46" t="s">
        <v>953</v>
      </c>
      <c r="EY46" t="s">
        <v>1555</v>
      </c>
      <c r="EZ46" t="s">
        <v>1013</v>
      </c>
      <c r="FA46" t="s">
        <v>925</v>
      </c>
      <c r="FB46">
        <v>1</v>
      </c>
      <c r="FC46">
        <v>1</v>
      </c>
      <c r="FD46" s="41">
        <v>46095</v>
      </c>
      <c r="FE46" t="s">
        <v>1719</v>
      </c>
      <c r="FF46">
        <v>6</v>
      </c>
      <c r="FG46" t="s">
        <v>1976</v>
      </c>
      <c r="FH46" t="s">
        <v>1977</v>
      </c>
      <c r="FI46">
        <v>1</v>
      </c>
      <c r="FJ46" t="s">
        <v>1978</v>
      </c>
      <c r="FK46" t="s">
        <v>1979</v>
      </c>
      <c r="FL46">
        <v>1</v>
      </c>
      <c r="FM46" t="s">
        <v>1980</v>
      </c>
      <c r="FN46" t="s">
        <v>1981</v>
      </c>
      <c r="FO46">
        <v>1</v>
      </c>
      <c r="FP46" t="s">
        <v>1982</v>
      </c>
      <c r="FQ46" t="s">
        <v>1983</v>
      </c>
      <c r="FR46">
        <v>1</v>
      </c>
      <c r="FS46" t="s">
        <v>1984</v>
      </c>
      <c r="FT46" t="s">
        <v>1985</v>
      </c>
      <c r="FU46">
        <v>1</v>
      </c>
      <c r="FV46" t="s">
        <v>1986</v>
      </c>
      <c r="FW46" t="s">
        <v>1987</v>
      </c>
      <c r="FX46">
        <v>1</v>
      </c>
      <c r="FY46" t="s">
        <v>890</v>
      </c>
      <c r="FZ46" t="s">
        <v>1988</v>
      </c>
      <c r="GA46" t="s">
        <v>1978</v>
      </c>
      <c r="GB46">
        <v>1</v>
      </c>
      <c r="GD46">
        <v>0</v>
      </c>
      <c r="GF46">
        <v>0</v>
      </c>
      <c r="GG46">
        <v>1</v>
      </c>
      <c r="GH46" t="s">
        <v>892</v>
      </c>
      <c r="GI46" t="s">
        <v>893</v>
      </c>
      <c r="GJ46" t="s">
        <v>1979</v>
      </c>
      <c r="GM46">
        <v>1</v>
      </c>
      <c r="GN46">
        <v>1</v>
      </c>
      <c r="GO46">
        <v>0</v>
      </c>
      <c r="GP46">
        <v>1</v>
      </c>
      <c r="GQ46">
        <v>1</v>
      </c>
      <c r="GR46">
        <v>0</v>
      </c>
      <c r="GS46">
        <v>1</v>
      </c>
      <c r="GT46">
        <v>0</v>
      </c>
      <c r="GU46">
        <v>1</v>
      </c>
      <c r="GV46">
        <v>0</v>
      </c>
      <c r="GW46">
        <v>1</v>
      </c>
      <c r="GX46">
        <v>0</v>
      </c>
      <c r="GY46">
        <v>1</v>
      </c>
      <c r="GZ46">
        <v>0</v>
      </c>
      <c r="HA46" t="s">
        <v>295</v>
      </c>
      <c r="HB46" t="s">
        <v>894</v>
      </c>
      <c r="HC46" t="s">
        <v>935</v>
      </c>
      <c r="HD46" t="s">
        <v>845</v>
      </c>
      <c r="HE46" t="s">
        <v>900</v>
      </c>
      <c r="HF46" t="s">
        <v>1012</v>
      </c>
      <c r="HG46" t="s">
        <v>894</v>
      </c>
      <c r="HH46" t="s">
        <v>935</v>
      </c>
      <c r="HI46" t="s">
        <v>845</v>
      </c>
      <c r="HJ46" t="s">
        <v>900</v>
      </c>
      <c r="HK46" t="s">
        <v>1011</v>
      </c>
      <c r="HL46" t="s">
        <v>133</v>
      </c>
      <c r="HM46" t="s">
        <v>854</v>
      </c>
      <c r="HN46">
        <v>36805</v>
      </c>
      <c r="HO46">
        <v>1</v>
      </c>
      <c r="HP46" t="s">
        <v>134</v>
      </c>
      <c r="HQ46" t="s">
        <v>896</v>
      </c>
      <c r="HR46" t="s">
        <v>896</v>
      </c>
      <c r="HS46" t="s">
        <v>896</v>
      </c>
    </row>
    <row r="47" spans="1:227" x14ac:dyDescent="0.2">
      <c r="A47">
        <v>8702</v>
      </c>
      <c r="B47">
        <v>7528302118</v>
      </c>
      <c r="C47" t="s">
        <v>829</v>
      </c>
      <c r="D47" t="s">
        <v>830</v>
      </c>
      <c r="E47" t="s">
        <v>831</v>
      </c>
      <c r="F47">
        <v>0</v>
      </c>
      <c r="G47" t="s">
        <v>1989</v>
      </c>
      <c r="H47" t="s">
        <v>1989</v>
      </c>
      <c r="I47">
        <v>0</v>
      </c>
      <c r="J47" t="s">
        <v>833</v>
      </c>
      <c r="K47" t="s">
        <v>834</v>
      </c>
      <c r="L47">
        <v>153524602</v>
      </c>
      <c r="M47" t="s">
        <v>1990</v>
      </c>
      <c r="N47" t="s">
        <v>836</v>
      </c>
      <c r="O47" t="s">
        <v>837</v>
      </c>
      <c r="P47" t="s">
        <v>838</v>
      </c>
      <c r="Q47" t="s">
        <v>901</v>
      </c>
      <c r="R47" t="s">
        <v>1991</v>
      </c>
      <c r="S47" t="s">
        <v>1992</v>
      </c>
      <c r="T47">
        <v>41477092613</v>
      </c>
      <c r="V47" t="s">
        <v>1254</v>
      </c>
      <c r="W47" s="41">
        <v>45941</v>
      </c>
      <c r="X47" t="s">
        <v>1993</v>
      </c>
      <c r="Y47" t="s">
        <v>1994</v>
      </c>
      <c r="AA47">
        <v>0</v>
      </c>
      <c r="AB47" t="s">
        <v>845</v>
      </c>
      <c r="AC47" t="s">
        <v>846</v>
      </c>
      <c r="AD47" t="s">
        <v>847</v>
      </c>
      <c r="AE47" t="s">
        <v>848</v>
      </c>
      <c r="AF47">
        <v>1</v>
      </c>
      <c r="AG47">
        <v>452210</v>
      </c>
      <c r="AH47" t="s">
        <v>849</v>
      </c>
      <c r="AI47" t="s">
        <v>850</v>
      </c>
      <c r="AJ47" t="s">
        <v>851</v>
      </c>
      <c r="AK47" t="s">
        <v>253</v>
      </c>
      <c r="AL47" t="s">
        <v>1257</v>
      </c>
      <c r="AM47" t="s">
        <v>1258</v>
      </c>
      <c r="AN47" t="s">
        <v>854</v>
      </c>
      <c r="AO47">
        <v>36805</v>
      </c>
      <c r="AP47">
        <v>546</v>
      </c>
      <c r="AQ47" t="s">
        <v>855</v>
      </c>
      <c r="AR47">
        <v>66152640</v>
      </c>
      <c r="AS47" t="s">
        <v>856</v>
      </c>
      <c r="AU47" t="s">
        <v>1995</v>
      </c>
      <c r="AV47" t="s">
        <v>1996</v>
      </c>
      <c r="AW47" t="s">
        <v>1261</v>
      </c>
      <c r="AX47" t="s">
        <v>1262</v>
      </c>
      <c r="AY47" t="s">
        <v>861</v>
      </c>
      <c r="AZ47" t="s">
        <v>253</v>
      </c>
      <c r="BA47" t="s">
        <v>254</v>
      </c>
      <c r="BB47">
        <v>0</v>
      </c>
      <c r="BC47">
        <v>0</v>
      </c>
      <c r="BD47">
        <v>0</v>
      </c>
      <c r="BE47" t="s">
        <v>1990</v>
      </c>
      <c r="BF47">
        <v>0</v>
      </c>
      <c r="BG47">
        <v>0</v>
      </c>
      <c r="BH47" t="s">
        <v>862</v>
      </c>
      <c r="BI47">
        <v>0</v>
      </c>
      <c r="BJ47" t="s">
        <v>862</v>
      </c>
      <c r="BK47">
        <v>1</v>
      </c>
      <c r="BL47">
        <v>0</v>
      </c>
      <c r="BM47">
        <v>0</v>
      </c>
      <c r="BN47" t="s">
        <v>596</v>
      </c>
      <c r="BO47">
        <v>153524602</v>
      </c>
      <c r="BP47" t="s">
        <v>1989</v>
      </c>
      <c r="BR47">
        <v>42791462</v>
      </c>
      <c r="BT47">
        <v>0</v>
      </c>
      <c r="CM47">
        <v>4010</v>
      </c>
      <c r="CO47">
        <v>7360</v>
      </c>
      <c r="CP47">
        <v>0.56669999999999998</v>
      </c>
      <c r="CQ47">
        <v>0.56669999999999998</v>
      </c>
      <c r="CR47">
        <v>0.2167</v>
      </c>
      <c r="CS47">
        <v>2</v>
      </c>
      <c r="CT47" t="s">
        <v>1996</v>
      </c>
      <c r="CU47" t="s">
        <v>1995</v>
      </c>
      <c r="CV47" t="s">
        <v>833</v>
      </c>
      <c r="CW47" t="s">
        <v>834</v>
      </c>
      <c r="CX47" t="s">
        <v>1990</v>
      </c>
      <c r="CY47">
        <v>0</v>
      </c>
      <c r="CZ47">
        <v>0</v>
      </c>
      <c r="DA47" t="s">
        <v>833</v>
      </c>
      <c r="DB47" t="s">
        <v>865</v>
      </c>
      <c r="DC47">
        <v>55447</v>
      </c>
      <c r="DD47">
        <v>4.9667000000000003</v>
      </c>
      <c r="DE47" t="s">
        <v>866</v>
      </c>
      <c r="DG47" t="s">
        <v>867</v>
      </c>
      <c r="DH47" t="s">
        <v>851</v>
      </c>
      <c r="DI47" t="s">
        <v>1266</v>
      </c>
      <c r="DL47" t="s">
        <v>869</v>
      </c>
      <c r="DM47">
        <v>0</v>
      </c>
      <c r="DN47">
        <v>0</v>
      </c>
      <c r="DO47">
        <v>3</v>
      </c>
      <c r="DP47" t="s">
        <v>919</v>
      </c>
      <c r="DQ47">
        <v>16</v>
      </c>
      <c r="DR47">
        <v>298</v>
      </c>
      <c r="DS47">
        <v>1018</v>
      </c>
      <c r="DT47">
        <v>4.4000000000000004</v>
      </c>
      <c r="DU47">
        <v>4</v>
      </c>
      <c r="DW47">
        <v>2</v>
      </c>
      <c r="DX47" t="s">
        <v>594</v>
      </c>
      <c r="DY47" t="s">
        <v>1990</v>
      </c>
      <c r="DZ47">
        <v>0</v>
      </c>
      <c r="EA47">
        <v>0</v>
      </c>
      <c r="EB47">
        <v>0</v>
      </c>
      <c r="EC47">
        <v>0</v>
      </c>
      <c r="ED47">
        <v>0</v>
      </c>
      <c r="EE47">
        <v>0</v>
      </c>
      <c r="EF47" t="s">
        <v>871</v>
      </c>
      <c r="EG47" t="s">
        <v>595</v>
      </c>
      <c r="EH47" t="s">
        <v>872</v>
      </c>
      <c r="EI47" t="s">
        <v>872</v>
      </c>
      <c r="EJ47" t="s">
        <v>159</v>
      </c>
      <c r="EK47">
        <v>9090</v>
      </c>
      <c r="EL47">
        <v>0</v>
      </c>
      <c r="EM47" t="s">
        <v>873</v>
      </c>
      <c r="EN47">
        <v>0.2167</v>
      </c>
      <c r="EO47">
        <v>16.9666666</v>
      </c>
      <c r="EP47">
        <v>99991120</v>
      </c>
      <c r="EQ47" t="s">
        <v>874</v>
      </c>
      <c r="ER47" t="s">
        <v>875</v>
      </c>
      <c r="ES47" t="s">
        <v>876</v>
      </c>
      <c r="ET47" t="s">
        <v>877</v>
      </c>
      <c r="EU47" t="s">
        <v>877</v>
      </c>
      <c r="EV47" t="s">
        <v>871</v>
      </c>
      <c r="EX47" t="s">
        <v>836</v>
      </c>
      <c r="EY47" t="s">
        <v>1121</v>
      </c>
      <c r="EZ47" t="s">
        <v>1122</v>
      </c>
      <c r="FA47" t="s">
        <v>956</v>
      </c>
      <c r="FB47">
        <v>1</v>
      </c>
      <c r="FC47">
        <v>1</v>
      </c>
      <c r="FD47" s="41">
        <v>45941</v>
      </c>
      <c r="FE47" t="s">
        <v>1039</v>
      </c>
      <c r="FF47">
        <v>5</v>
      </c>
      <c r="FI47">
        <v>0</v>
      </c>
      <c r="FJ47" t="s">
        <v>1997</v>
      </c>
      <c r="FK47" t="s">
        <v>1998</v>
      </c>
      <c r="FL47">
        <v>1</v>
      </c>
      <c r="FM47" t="s">
        <v>1999</v>
      </c>
      <c r="FN47" t="s">
        <v>2000</v>
      </c>
      <c r="FO47">
        <v>1</v>
      </c>
      <c r="FP47" t="s">
        <v>2001</v>
      </c>
      <c r="FQ47" t="s">
        <v>2002</v>
      </c>
      <c r="FR47">
        <v>1</v>
      </c>
      <c r="FS47" t="s">
        <v>1273</v>
      </c>
      <c r="FT47" t="s">
        <v>2003</v>
      </c>
      <c r="FU47">
        <v>1</v>
      </c>
      <c r="FV47" t="s">
        <v>2004</v>
      </c>
      <c r="FW47" t="s">
        <v>1998</v>
      </c>
      <c r="FX47">
        <v>1</v>
      </c>
      <c r="FY47" t="s">
        <v>890</v>
      </c>
      <c r="FZ47" t="s">
        <v>2005</v>
      </c>
      <c r="GA47" t="s">
        <v>1997</v>
      </c>
      <c r="GB47">
        <v>1</v>
      </c>
      <c r="GD47">
        <v>0</v>
      </c>
      <c r="GF47">
        <v>0</v>
      </c>
      <c r="GG47">
        <v>1</v>
      </c>
      <c r="GH47" t="s">
        <v>892</v>
      </c>
      <c r="GI47" t="s">
        <v>893</v>
      </c>
      <c r="GJ47" t="s">
        <v>1998</v>
      </c>
      <c r="GM47">
        <v>1</v>
      </c>
      <c r="GN47">
        <v>1</v>
      </c>
      <c r="GO47">
        <v>0</v>
      </c>
      <c r="GP47">
        <v>1</v>
      </c>
      <c r="GQ47">
        <v>1</v>
      </c>
      <c r="GR47">
        <v>0</v>
      </c>
      <c r="GS47">
        <v>1</v>
      </c>
      <c r="GT47">
        <v>0</v>
      </c>
      <c r="GU47">
        <v>1</v>
      </c>
      <c r="GV47">
        <v>0</v>
      </c>
      <c r="GW47">
        <v>1</v>
      </c>
      <c r="GX47">
        <v>0</v>
      </c>
      <c r="GY47">
        <v>1</v>
      </c>
      <c r="GZ47">
        <v>0</v>
      </c>
      <c r="HA47" t="s">
        <v>253</v>
      </c>
      <c r="HB47" t="s">
        <v>894</v>
      </c>
      <c r="HC47" t="s">
        <v>895</v>
      </c>
      <c r="HD47" t="s">
        <v>845</v>
      </c>
      <c r="HE47" t="s">
        <v>836</v>
      </c>
      <c r="HF47" t="s">
        <v>873</v>
      </c>
      <c r="HG47" t="s">
        <v>894</v>
      </c>
      <c r="HH47" t="s">
        <v>895</v>
      </c>
      <c r="HI47" t="s">
        <v>845</v>
      </c>
      <c r="HJ47" t="s">
        <v>836</v>
      </c>
      <c r="HK47" t="s">
        <v>873</v>
      </c>
      <c r="HL47" t="s">
        <v>1254</v>
      </c>
      <c r="HM47" t="s">
        <v>854</v>
      </c>
      <c r="HN47">
        <v>36805</v>
      </c>
      <c r="HP47" t="s">
        <v>159</v>
      </c>
      <c r="HQ47" t="s">
        <v>896</v>
      </c>
      <c r="HR47" t="s">
        <v>896</v>
      </c>
      <c r="HS47" t="s">
        <v>896</v>
      </c>
    </row>
    <row r="48" spans="1:227" x14ac:dyDescent="0.2">
      <c r="A48">
        <v>8702</v>
      </c>
      <c r="B48">
        <v>7613405652</v>
      </c>
      <c r="C48">
        <v>34</v>
      </c>
      <c r="D48" t="s">
        <v>996</v>
      </c>
      <c r="E48" t="s">
        <v>831</v>
      </c>
      <c r="F48">
        <v>0</v>
      </c>
      <c r="G48" t="s">
        <v>2006</v>
      </c>
      <c r="H48" t="s">
        <v>2006</v>
      </c>
      <c r="I48">
        <v>0</v>
      </c>
      <c r="J48" t="s">
        <v>833</v>
      </c>
      <c r="K48" t="s">
        <v>834</v>
      </c>
      <c r="L48">
        <v>156046178</v>
      </c>
      <c r="M48" t="s">
        <v>2007</v>
      </c>
      <c r="N48" t="s">
        <v>836</v>
      </c>
      <c r="O48" t="s">
        <v>837</v>
      </c>
      <c r="P48" t="s">
        <v>999</v>
      </c>
      <c r="Q48" t="s">
        <v>1027</v>
      </c>
      <c r="R48" t="s">
        <v>2008</v>
      </c>
      <c r="S48" t="s">
        <v>2009</v>
      </c>
      <c r="T48">
        <v>41477009259</v>
      </c>
      <c r="V48" t="s">
        <v>1732</v>
      </c>
      <c r="W48" s="41">
        <v>46156</v>
      </c>
      <c r="X48" t="s">
        <v>2010</v>
      </c>
      <c r="Y48" t="s">
        <v>2011</v>
      </c>
      <c r="AA48">
        <v>0</v>
      </c>
      <c r="AB48" t="s">
        <v>845</v>
      </c>
      <c r="AC48" t="s">
        <v>846</v>
      </c>
      <c r="AD48" t="s">
        <v>1113</v>
      </c>
      <c r="AE48" t="s">
        <v>1114</v>
      </c>
      <c r="AF48">
        <v>1</v>
      </c>
      <c r="AG48">
        <v>452210</v>
      </c>
      <c r="AH48" t="s">
        <v>849</v>
      </c>
      <c r="AI48" t="s">
        <v>850</v>
      </c>
      <c r="AJ48" t="s">
        <v>851</v>
      </c>
      <c r="AK48" t="s">
        <v>257</v>
      </c>
      <c r="AL48" t="s">
        <v>2012</v>
      </c>
      <c r="AM48" t="s">
        <v>1736</v>
      </c>
      <c r="AN48" t="s">
        <v>854</v>
      </c>
      <c r="AO48">
        <v>36805</v>
      </c>
      <c r="AP48">
        <v>494</v>
      </c>
      <c r="AQ48" t="s">
        <v>855</v>
      </c>
      <c r="AR48">
        <v>66462733</v>
      </c>
      <c r="AS48" t="s">
        <v>856</v>
      </c>
      <c r="AU48" t="s">
        <v>2013</v>
      </c>
      <c r="AV48" t="s">
        <v>2014</v>
      </c>
      <c r="AX48" t="s">
        <v>913</v>
      </c>
      <c r="AY48" t="s">
        <v>861</v>
      </c>
      <c r="AZ48" t="s">
        <v>257</v>
      </c>
      <c r="BA48" t="s">
        <v>258</v>
      </c>
      <c r="BB48">
        <v>1</v>
      </c>
      <c r="BC48">
        <v>0</v>
      </c>
      <c r="BD48">
        <v>0</v>
      </c>
      <c r="BE48" t="s">
        <v>2007</v>
      </c>
      <c r="BF48">
        <v>0</v>
      </c>
      <c r="BG48">
        <v>0</v>
      </c>
      <c r="BH48" t="s">
        <v>862</v>
      </c>
      <c r="BI48">
        <v>0</v>
      </c>
      <c r="BJ48" t="s">
        <v>862</v>
      </c>
      <c r="BK48">
        <v>1</v>
      </c>
      <c r="BL48">
        <v>1</v>
      </c>
      <c r="BM48">
        <v>0</v>
      </c>
      <c r="BN48" t="s">
        <v>596</v>
      </c>
      <c r="BO48">
        <v>156046178</v>
      </c>
      <c r="BP48" t="s">
        <v>2006</v>
      </c>
      <c r="BQ48">
        <v>38.5238874</v>
      </c>
      <c r="BR48">
        <v>42789059</v>
      </c>
      <c r="BS48">
        <v>-90.352497999999997</v>
      </c>
      <c r="BT48">
        <v>2</v>
      </c>
      <c r="BU48" t="s">
        <v>1803</v>
      </c>
      <c r="BY48">
        <v>12</v>
      </c>
      <c r="CA48">
        <v>4</v>
      </c>
      <c r="CE48">
        <v>1</v>
      </c>
      <c r="CI48">
        <v>11</v>
      </c>
      <c r="CJ48" t="s">
        <v>94</v>
      </c>
      <c r="CM48">
        <v>4010</v>
      </c>
      <c r="CO48">
        <v>7360</v>
      </c>
      <c r="CP48">
        <v>0.41670000000000001</v>
      </c>
      <c r="CQ48">
        <v>0.41670000000000001</v>
      </c>
      <c r="CR48">
        <v>1.1000000000000001</v>
      </c>
      <c r="CS48">
        <v>6</v>
      </c>
      <c r="CT48" t="s">
        <v>2015</v>
      </c>
      <c r="CU48" t="s">
        <v>2016</v>
      </c>
      <c r="CV48" t="s">
        <v>833</v>
      </c>
      <c r="CW48" t="s">
        <v>834</v>
      </c>
      <c r="CX48" t="s">
        <v>2007</v>
      </c>
      <c r="CY48">
        <v>1</v>
      </c>
      <c r="CZ48">
        <v>1</v>
      </c>
      <c r="DA48" t="s">
        <v>833</v>
      </c>
      <c r="DB48" t="s">
        <v>865</v>
      </c>
      <c r="DC48">
        <v>63123</v>
      </c>
      <c r="DD48">
        <v>4.3833000000000002</v>
      </c>
      <c r="DE48" t="s">
        <v>866</v>
      </c>
      <c r="DG48" t="s">
        <v>867</v>
      </c>
      <c r="DH48" t="s">
        <v>851</v>
      </c>
      <c r="DI48" t="s">
        <v>984</v>
      </c>
      <c r="DK48" t="s">
        <v>918</v>
      </c>
      <c r="DL48" t="s">
        <v>869</v>
      </c>
      <c r="DM48">
        <v>0</v>
      </c>
      <c r="DN48">
        <v>0</v>
      </c>
      <c r="DO48">
        <v>11</v>
      </c>
      <c r="DP48" t="s">
        <v>1010</v>
      </c>
      <c r="DQ48">
        <v>0</v>
      </c>
      <c r="DR48">
        <v>263</v>
      </c>
      <c r="DS48">
        <v>263</v>
      </c>
      <c r="DT48">
        <v>3.9666999999999999</v>
      </c>
      <c r="DU48">
        <v>0</v>
      </c>
      <c r="DV48">
        <v>1</v>
      </c>
      <c r="DW48">
        <v>1</v>
      </c>
      <c r="DX48" t="s">
        <v>596</v>
      </c>
      <c r="DY48" t="s">
        <v>2007</v>
      </c>
      <c r="DZ48">
        <v>1</v>
      </c>
      <c r="EA48">
        <v>1</v>
      </c>
      <c r="EB48">
        <v>1</v>
      </c>
      <c r="EC48">
        <v>1</v>
      </c>
      <c r="ED48">
        <v>1</v>
      </c>
      <c r="EE48">
        <v>1</v>
      </c>
      <c r="EF48" t="s">
        <v>920</v>
      </c>
      <c r="EG48" t="s">
        <v>595</v>
      </c>
      <c r="EH48" t="s">
        <v>1036</v>
      </c>
      <c r="EI48" t="s">
        <v>1036</v>
      </c>
      <c r="EJ48" t="s">
        <v>111</v>
      </c>
      <c r="EK48">
        <v>9090</v>
      </c>
      <c r="EL48">
        <v>0</v>
      </c>
      <c r="EM48" t="s">
        <v>1037</v>
      </c>
      <c r="EN48">
        <v>1.1000000000000001</v>
      </c>
      <c r="EO48">
        <v>4.3833333000000003</v>
      </c>
      <c r="EP48">
        <v>99991120</v>
      </c>
      <c r="EQ48" t="s">
        <v>874</v>
      </c>
      <c r="ER48" t="s">
        <v>875</v>
      </c>
      <c r="ES48" t="s">
        <v>876</v>
      </c>
      <c r="ET48" t="s">
        <v>877</v>
      </c>
      <c r="EU48" t="s">
        <v>877</v>
      </c>
      <c r="EV48" t="s">
        <v>920</v>
      </c>
      <c r="EX48" t="s">
        <v>900</v>
      </c>
      <c r="EY48" t="s">
        <v>923</v>
      </c>
      <c r="EZ48" t="s">
        <v>1038</v>
      </c>
      <c r="FA48" t="s">
        <v>925</v>
      </c>
      <c r="FB48">
        <v>1</v>
      </c>
      <c r="FC48">
        <v>1</v>
      </c>
      <c r="FD48" s="41">
        <v>46158</v>
      </c>
      <c r="FE48" t="s">
        <v>1808</v>
      </c>
      <c r="FF48">
        <v>6</v>
      </c>
      <c r="FG48" t="s">
        <v>2017</v>
      </c>
      <c r="FH48" t="s">
        <v>2018</v>
      </c>
      <c r="FI48">
        <v>1</v>
      </c>
      <c r="FJ48" t="s">
        <v>2019</v>
      </c>
      <c r="FK48" t="s">
        <v>2020</v>
      </c>
      <c r="FL48">
        <v>1</v>
      </c>
      <c r="FM48" t="s">
        <v>2021</v>
      </c>
      <c r="FN48" t="s">
        <v>2022</v>
      </c>
      <c r="FO48">
        <v>1</v>
      </c>
      <c r="FP48" t="s">
        <v>2023</v>
      </c>
      <c r="FQ48" t="s">
        <v>2016</v>
      </c>
      <c r="FR48">
        <v>1</v>
      </c>
      <c r="FS48" t="s">
        <v>1100</v>
      </c>
      <c r="FT48" t="s">
        <v>2024</v>
      </c>
      <c r="FU48">
        <v>1</v>
      </c>
      <c r="FV48" t="s">
        <v>2025</v>
      </c>
      <c r="FW48" t="s">
        <v>2026</v>
      </c>
      <c r="FX48">
        <v>1</v>
      </c>
      <c r="FY48" t="s">
        <v>890</v>
      </c>
      <c r="FZ48" t="s">
        <v>2027</v>
      </c>
      <c r="GA48" t="s">
        <v>2019</v>
      </c>
      <c r="GB48">
        <v>1</v>
      </c>
      <c r="GD48">
        <v>0</v>
      </c>
      <c r="GF48">
        <v>0</v>
      </c>
      <c r="GG48">
        <v>1</v>
      </c>
      <c r="GH48" t="s">
        <v>892</v>
      </c>
      <c r="GI48" t="s">
        <v>893</v>
      </c>
      <c r="GJ48" t="s">
        <v>2020</v>
      </c>
      <c r="GM48">
        <v>1</v>
      </c>
      <c r="GN48">
        <v>1</v>
      </c>
      <c r="GO48">
        <v>0</v>
      </c>
      <c r="GP48">
        <v>1</v>
      </c>
      <c r="GQ48">
        <v>1</v>
      </c>
      <c r="GR48">
        <v>0</v>
      </c>
      <c r="GS48">
        <v>1</v>
      </c>
      <c r="GT48">
        <v>0</v>
      </c>
      <c r="GU48">
        <v>1</v>
      </c>
      <c r="GV48">
        <v>0</v>
      </c>
      <c r="GW48">
        <v>1</v>
      </c>
      <c r="GX48">
        <v>0</v>
      </c>
      <c r="GY48">
        <v>1</v>
      </c>
      <c r="GZ48">
        <v>0</v>
      </c>
      <c r="HA48" t="s">
        <v>257</v>
      </c>
      <c r="HB48" t="s">
        <v>894</v>
      </c>
      <c r="HC48" t="s">
        <v>895</v>
      </c>
      <c r="HD48" t="s">
        <v>845</v>
      </c>
      <c r="HE48" t="s">
        <v>836</v>
      </c>
      <c r="HF48" t="s">
        <v>1051</v>
      </c>
      <c r="HG48" t="s">
        <v>894</v>
      </c>
      <c r="HH48" t="s">
        <v>895</v>
      </c>
      <c r="HI48" t="s">
        <v>845</v>
      </c>
      <c r="HJ48" t="s">
        <v>836</v>
      </c>
      <c r="HK48" t="s">
        <v>1037</v>
      </c>
      <c r="HL48" t="s">
        <v>1732</v>
      </c>
      <c r="HM48" t="s">
        <v>854</v>
      </c>
      <c r="HN48">
        <v>36805</v>
      </c>
      <c r="HP48" t="s">
        <v>111</v>
      </c>
      <c r="HQ48" t="s">
        <v>896</v>
      </c>
      <c r="HR48" t="s">
        <v>896</v>
      </c>
      <c r="HS48" t="s">
        <v>896</v>
      </c>
    </row>
    <row r="49" spans="1:227" x14ac:dyDescent="0.2">
      <c r="A49">
        <v>8702</v>
      </c>
      <c r="B49">
        <v>7534506026</v>
      </c>
      <c r="C49" t="s">
        <v>936</v>
      </c>
      <c r="D49" t="s">
        <v>937</v>
      </c>
      <c r="E49" t="s">
        <v>831</v>
      </c>
      <c r="F49">
        <v>1</v>
      </c>
      <c r="G49" t="s">
        <v>2028</v>
      </c>
      <c r="H49" t="s">
        <v>2028</v>
      </c>
      <c r="I49">
        <v>0</v>
      </c>
      <c r="J49" t="s">
        <v>833</v>
      </c>
      <c r="K49" t="s">
        <v>834</v>
      </c>
      <c r="L49">
        <v>153294184</v>
      </c>
      <c r="M49" t="s">
        <v>2029</v>
      </c>
      <c r="N49" t="s">
        <v>836</v>
      </c>
      <c r="O49" t="s">
        <v>837</v>
      </c>
      <c r="P49" t="s">
        <v>940</v>
      </c>
      <c r="Q49" t="s">
        <v>1080</v>
      </c>
      <c r="R49" t="s">
        <v>2030</v>
      </c>
      <c r="S49" t="s">
        <v>2031</v>
      </c>
      <c r="T49">
        <v>41477059751</v>
      </c>
      <c r="V49" t="s">
        <v>2032</v>
      </c>
      <c r="W49" s="41">
        <v>46002</v>
      </c>
      <c r="X49" t="s">
        <v>2033</v>
      </c>
      <c r="Y49" t="s">
        <v>2034</v>
      </c>
      <c r="AA49">
        <v>0</v>
      </c>
      <c r="AB49" t="s">
        <v>845</v>
      </c>
      <c r="AC49" t="s">
        <v>846</v>
      </c>
      <c r="AD49" t="s">
        <v>847</v>
      </c>
      <c r="AE49" t="s">
        <v>848</v>
      </c>
      <c r="AF49">
        <v>1</v>
      </c>
      <c r="AG49">
        <v>452210</v>
      </c>
      <c r="AH49" t="s">
        <v>849</v>
      </c>
      <c r="AI49" t="s">
        <v>850</v>
      </c>
      <c r="AJ49" t="s">
        <v>851</v>
      </c>
      <c r="AK49" t="s">
        <v>299</v>
      </c>
      <c r="AL49" t="s">
        <v>2035</v>
      </c>
      <c r="AM49" t="s">
        <v>2036</v>
      </c>
      <c r="AN49" t="s">
        <v>854</v>
      </c>
      <c r="AO49">
        <v>36805</v>
      </c>
      <c r="AP49">
        <v>537</v>
      </c>
      <c r="AQ49" t="s">
        <v>855</v>
      </c>
      <c r="AR49">
        <v>66240889</v>
      </c>
      <c r="AS49" t="s">
        <v>856</v>
      </c>
      <c r="AU49" t="s">
        <v>2037</v>
      </c>
      <c r="AV49" t="s">
        <v>2038</v>
      </c>
      <c r="AX49" t="s">
        <v>913</v>
      </c>
      <c r="AY49" t="s">
        <v>861</v>
      </c>
      <c r="AZ49" t="s">
        <v>299</v>
      </c>
      <c r="BA49" t="s">
        <v>300</v>
      </c>
      <c r="BB49">
        <v>0</v>
      </c>
      <c r="BC49">
        <v>0</v>
      </c>
      <c r="BD49">
        <v>1</v>
      </c>
      <c r="BE49" t="s">
        <v>2029</v>
      </c>
      <c r="BF49">
        <v>0</v>
      </c>
      <c r="BG49">
        <v>0</v>
      </c>
      <c r="BH49" t="s">
        <v>862</v>
      </c>
      <c r="BI49">
        <v>0</v>
      </c>
      <c r="BJ49" t="s">
        <v>862</v>
      </c>
      <c r="BK49">
        <v>1</v>
      </c>
      <c r="BL49">
        <v>1</v>
      </c>
      <c r="BM49">
        <v>0</v>
      </c>
      <c r="BN49" t="s">
        <v>596</v>
      </c>
      <c r="BO49">
        <v>153294184</v>
      </c>
      <c r="BP49" t="s">
        <v>2028</v>
      </c>
      <c r="BQ49">
        <v>40.452017400000003</v>
      </c>
      <c r="BR49">
        <v>42791480</v>
      </c>
      <c r="BS49">
        <v>-86.914243099999993</v>
      </c>
      <c r="BT49">
        <v>0</v>
      </c>
      <c r="CM49">
        <v>4010</v>
      </c>
      <c r="CO49">
        <v>7360</v>
      </c>
      <c r="CP49">
        <v>1</v>
      </c>
      <c r="CQ49">
        <v>1</v>
      </c>
      <c r="CR49">
        <v>1.3667</v>
      </c>
      <c r="CS49">
        <v>1</v>
      </c>
      <c r="CT49" t="s">
        <v>2039</v>
      </c>
      <c r="CU49" t="s">
        <v>2040</v>
      </c>
      <c r="CV49" t="s">
        <v>833</v>
      </c>
      <c r="CW49" t="s">
        <v>834</v>
      </c>
      <c r="CX49" t="s">
        <v>2029</v>
      </c>
      <c r="CY49">
        <v>1</v>
      </c>
      <c r="CZ49">
        <v>1</v>
      </c>
      <c r="DA49" t="s">
        <v>833</v>
      </c>
      <c r="DB49" t="s">
        <v>865</v>
      </c>
      <c r="DC49">
        <v>47906</v>
      </c>
      <c r="DD49">
        <v>2.5167000000000002</v>
      </c>
      <c r="DE49" t="s">
        <v>866</v>
      </c>
      <c r="DG49" t="s">
        <v>867</v>
      </c>
      <c r="DH49" t="s">
        <v>851</v>
      </c>
      <c r="DI49" t="s">
        <v>2041</v>
      </c>
      <c r="DL49" t="s">
        <v>869</v>
      </c>
      <c r="DM49">
        <v>0</v>
      </c>
      <c r="DN49">
        <v>0</v>
      </c>
      <c r="DO49">
        <v>11</v>
      </c>
      <c r="DP49" t="s">
        <v>1010</v>
      </c>
      <c r="DQ49">
        <v>12</v>
      </c>
      <c r="DR49">
        <v>151</v>
      </c>
      <c r="DS49">
        <v>151</v>
      </c>
      <c r="DT49">
        <v>1.5166999999999999</v>
      </c>
      <c r="DU49">
        <v>4</v>
      </c>
      <c r="DW49">
        <v>1</v>
      </c>
      <c r="DX49" t="s">
        <v>596</v>
      </c>
      <c r="DY49" t="s">
        <v>2029</v>
      </c>
      <c r="DZ49">
        <v>1</v>
      </c>
      <c r="EA49">
        <v>1</v>
      </c>
      <c r="EB49">
        <v>1</v>
      </c>
      <c r="EC49">
        <v>1</v>
      </c>
      <c r="ED49">
        <v>1</v>
      </c>
      <c r="EE49">
        <v>1</v>
      </c>
      <c r="EF49" t="s">
        <v>920</v>
      </c>
      <c r="EG49" t="s">
        <v>595</v>
      </c>
      <c r="EH49" t="s">
        <v>1036</v>
      </c>
      <c r="EI49" t="s">
        <v>1036</v>
      </c>
      <c r="EJ49" t="s">
        <v>134</v>
      </c>
      <c r="EK49">
        <v>9090</v>
      </c>
      <c r="EL49">
        <v>0</v>
      </c>
      <c r="EM49" t="s">
        <v>1436</v>
      </c>
      <c r="EN49">
        <v>1.3667</v>
      </c>
      <c r="EO49">
        <v>2.5166666000000002</v>
      </c>
      <c r="EP49">
        <v>99991120</v>
      </c>
      <c r="EQ49" t="s">
        <v>874</v>
      </c>
      <c r="ER49" t="s">
        <v>875</v>
      </c>
      <c r="ES49" t="s">
        <v>876</v>
      </c>
      <c r="ET49" t="s">
        <v>877</v>
      </c>
      <c r="EU49" t="s">
        <v>877</v>
      </c>
      <c r="EV49" t="s">
        <v>920</v>
      </c>
      <c r="EX49" t="s">
        <v>953</v>
      </c>
      <c r="EY49" t="s">
        <v>1555</v>
      </c>
      <c r="EZ49" t="s">
        <v>1211</v>
      </c>
      <c r="FA49" t="s">
        <v>1212</v>
      </c>
      <c r="FB49">
        <v>1</v>
      </c>
      <c r="FC49">
        <v>1</v>
      </c>
      <c r="FD49" s="41">
        <v>46004</v>
      </c>
      <c r="FE49" t="s">
        <v>957</v>
      </c>
      <c r="FF49">
        <v>6</v>
      </c>
      <c r="FG49" t="s">
        <v>2042</v>
      </c>
      <c r="FH49" t="s">
        <v>2043</v>
      </c>
      <c r="FI49">
        <v>1</v>
      </c>
      <c r="FJ49" t="s">
        <v>2044</v>
      </c>
      <c r="FK49" t="s">
        <v>2043</v>
      </c>
      <c r="FL49">
        <v>1</v>
      </c>
      <c r="FM49" t="s">
        <v>2045</v>
      </c>
      <c r="FN49" t="s">
        <v>2046</v>
      </c>
      <c r="FO49">
        <v>1</v>
      </c>
      <c r="FP49" t="s">
        <v>2047</v>
      </c>
      <c r="FQ49" t="s">
        <v>2040</v>
      </c>
      <c r="FR49">
        <v>1</v>
      </c>
      <c r="FS49" t="s">
        <v>2048</v>
      </c>
      <c r="FT49" t="s">
        <v>2049</v>
      </c>
      <c r="FU49">
        <v>1</v>
      </c>
      <c r="FV49" t="s">
        <v>2029</v>
      </c>
      <c r="FW49" t="s">
        <v>2050</v>
      </c>
      <c r="FX49">
        <v>1</v>
      </c>
      <c r="FY49" t="s">
        <v>890</v>
      </c>
      <c r="FZ49" t="s">
        <v>2051</v>
      </c>
      <c r="GA49" t="s">
        <v>2044</v>
      </c>
      <c r="GB49">
        <v>1</v>
      </c>
      <c r="GD49">
        <v>0</v>
      </c>
      <c r="GF49">
        <v>0</v>
      </c>
      <c r="GG49">
        <v>1</v>
      </c>
      <c r="GH49" t="s">
        <v>892</v>
      </c>
      <c r="GI49" t="s">
        <v>893</v>
      </c>
      <c r="GJ49" t="s">
        <v>2043</v>
      </c>
      <c r="GM49">
        <v>1</v>
      </c>
      <c r="GN49">
        <v>1</v>
      </c>
      <c r="GO49">
        <v>0</v>
      </c>
      <c r="GP49">
        <v>1</v>
      </c>
      <c r="GQ49">
        <v>1</v>
      </c>
      <c r="GR49">
        <v>0</v>
      </c>
      <c r="GS49">
        <v>1</v>
      </c>
      <c r="GT49">
        <v>0</v>
      </c>
      <c r="GU49">
        <v>1</v>
      </c>
      <c r="GV49">
        <v>0</v>
      </c>
      <c r="GW49">
        <v>1</v>
      </c>
      <c r="GX49">
        <v>0</v>
      </c>
      <c r="GY49">
        <v>1</v>
      </c>
      <c r="GZ49">
        <v>0</v>
      </c>
      <c r="HA49" t="s">
        <v>299</v>
      </c>
      <c r="HB49" t="s">
        <v>894</v>
      </c>
      <c r="HC49" t="s">
        <v>895</v>
      </c>
      <c r="HD49" t="s">
        <v>845</v>
      </c>
      <c r="HE49" t="s">
        <v>836</v>
      </c>
      <c r="HF49" t="s">
        <v>873</v>
      </c>
      <c r="HG49" t="s">
        <v>894</v>
      </c>
      <c r="HH49" t="s">
        <v>895</v>
      </c>
      <c r="HI49" t="s">
        <v>845</v>
      </c>
      <c r="HJ49" t="s">
        <v>836</v>
      </c>
      <c r="HK49" t="s">
        <v>1436</v>
      </c>
      <c r="HL49" t="s">
        <v>2032</v>
      </c>
      <c r="HM49" t="s">
        <v>854</v>
      </c>
      <c r="HN49">
        <v>36805</v>
      </c>
      <c r="HP49" t="s">
        <v>134</v>
      </c>
      <c r="HQ49" t="s">
        <v>896</v>
      </c>
      <c r="HR49" t="s">
        <v>896</v>
      </c>
      <c r="HS49" t="s">
        <v>896</v>
      </c>
    </row>
    <row r="50" spans="1:227" x14ac:dyDescent="0.2">
      <c r="A50">
        <v>8702</v>
      </c>
      <c r="B50">
        <v>7608203087</v>
      </c>
      <c r="C50">
        <v>50</v>
      </c>
      <c r="D50" t="s">
        <v>2052</v>
      </c>
      <c r="E50" t="s">
        <v>897</v>
      </c>
      <c r="F50">
        <v>1</v>
      </c>
      <c r="G50" t="s">
        <v>2053</v>
      </c>
      <c r="H50" t="s">
        <v>2053</v>
      </c>
      <c r="I50">
        <v>0</v>
      </c>
      <c r="J50" t="s">
        <v>833</v>
      </c>
      <c r="K50" t="s">
        <v>834</v>
      </c>
      <c r="L50">
        <v>153524553</v>
      </c>
      <c r="M50" t="s">
        <v>2054</v>
      </c>
      <c r="N50" t="s">
        <v>900</v>
      </c>
      <c r="O50" t="s">
        <v>837</v>
      </c>
      <c r="P50" t="s">
        <v>2052</v>
      </c>
      <c r="Q50" t="s">
        <v>2055</v>
      </c>
      <c r="R50" t="s">
        <v>2056</v>
      </c>
      <c r="S50" t="s">
        <v>2057</v>
      </c>
      <c r="T50">
        <v>41477011711</v>
      </c>
      <c r="V50" t="s">
        <v>150</v>
      </c>
      <c r="W50" s="41">
        <v>46104</v>
      </c>
      <c r="X50" t="s">
        <v>2058</v>
      </c>
      <c r="Y50" t="s">
        <v>2059</v>
      </c>
      <c r="AA50">
        <v>0</v>
      </c>
      <c r="AB50" t="s">
        <v>845</v>
      </c>
      <c r="AC50" t="s">
        <v>846</v>
      </c>
      <c r="AD50" t="s">
        <v>1113</v>
      </c>
      <c r="AE50" t="s">
        <v>1114</v>
      </c>
      <c r="AF50">
        <v>1</v>
      </c>
      <c r="AG50">
        <v>452210</v>
      </c>
      <c r="AH50" t="s">
        <v>849</v>
      </c>
      <c r="AI50" t="s">
        <v>850</v>
      </c>
      <c r="AJ50" t="s">
        <v>851</v>
      </c>
      <c r="AK50" t="s">
        <v>375</v>
      </c>
      <c r="AL50" t="s">
        <v>2060</v>
      </c>
      <c r="AM50" t="s">
        <v>2061</v>
      </c>
      <c r="AN50" t="s">
        <v>854</v>
      </c>
      <c r="AO50">
        <v>36805</v>
      </c>
      <c r="AP50">
        <v>533</v>
      </c>
      <c r="AQ50" t="s">
        <v>855</v>
      </c>
      <c r="AR50">
        <v>66387823</v>
      </c>
      <c r="AS50" t="s">
        <v>856</v>
      </c>
      <c r="AU50" t="s">
        <v>2062</v>
      </c>
      <c r="AV50" t="s">
        <v>2063</v>
      </c>
      <c r="AX50" t="s">
        <v>913</v>
      </c>
      <c r="AY50" t="s">
        <v>861</v>
      </c>
      <c r="AZ50" t="s">
        <v>375</v>
      </c>
      <c r="BA50" t="s">
        <v>376</v>
      </c>
      <c r="BB50">
        <v>0</v>
      </c>
      <c r="BC50">
        <v>0</v>
      </c>
      <c r="BD50">
        <v>0</v>
      </c>
      <c r="BE50" t="s">
        <v>2054</v>
      </c>
      <c r="BF50">
        <v>0</v>
      </c>
      <c r="BG50">
        <v>0</v>
      </c>
      <c r="BH50" t="s">
        <v>862</v>
      </c>
      <c r="BI50">
        <v>0</v>
      </c>
      <c r="BJ50" t="s">
        <v>862</v>
      </c>
      <c r="BK50">
        <v>1</v>
      </c>
      <c r="BL50">
        <v>1</v>
      </c>
      <c r="BM50">
        <v>0</v>
      </c>
      <c r="BN50" t="s">
        <v>596</v>
      </c>
      <c r="BO50">
        <v>153524553</v>
      </c>
      <c r="BP50" t="s">
        <v>2053</v>
      </c>
      <c r="BQ50">
        <v>39.414121000000002</v>
      </c>
      <c r="BR50">
        <v>42791448</v>
      </c>
      <c r="BS50">
        <v>-87.412537200000003</v>
      </c>
      <c r="BT50">
        <v>2</v>
      </c>
      <c r="BU50" t="s">
        <v>1715</v>
      </c>
      <c r="BY50">
        <v>16</v>
      </c>
      <c r="CA50">
        <v>9</v>
      </c>
      <c r="CE50">
        <v>1</v>
      </c>
      <c r="CI50">
        <v>11</v>
      </c>
      <c r="CJ50" t="s">
        <v>94</v>
      </c>
      <c r="CM50">
        <v>4010</v>
      </c>
      <c r="CO50">
        <v>7360</v>
      </c>
      <c r="CP50">
        <v>0.91669999999999996</v>
      </c>
      <c r="CQ50">
        <v>0.91669999999999996</v>
      </c>
      <c r="CR50">
        <v>0.95</v>
      </c>
      <c r="CS50">
        <v>140</v>
      </c>
      <c r="CT50" t="s">
        <v>2063</v>
      </c>
      <c r="CU50" t="s">
        <v>2062</v>
      </c>
      <c r="CV50" t="s">
        <v>833</v>
      </c>
      <c r="CW50" t="s">
        <v>834</v>
      </c>
      <c r="CX50" t="s">
        <v>2054</v>
      </c>
      <c r="CY50">
        <v>0</v>
      </c>
      <c r="CZ50">
        <v>0</v>
      </c>
      <c r="DA50" t="s">
        <v>833</v>
      </c>
      <c r="DB50" t="s">
        <v>865</v>
      </c>
      <c r="DC50">
        <v>47802</v>
      </c>
      <c r="DD50">
        <v>8.65</v>
      </c>
      <c r="DE50" t="s">
        <v>866</v>
      </c>
      <c r="DG50" t="s">
        <v>867</v>
      </c>
      <c r="DH50" t="s">
        <v>851</v>
      </c>
      <c r="DI50" t="s">
        <v>1291</v>
      </c>
      <c r="DK50" t="s">
        <v>918</v>
      </c>
      <c r="DL50" t="s">
        <v>869</v>
      </c>
      <c r="DM50">
        <v>0</v>
      </c>
      <c r="DN50">
        <v>0</v>
      </c>
      <c r="DO50">
        <v>30</v>
      </c>
      <c r="DP50" t="s">
        <v>2064</v>
      </c>
      <c r="DQ50">
        <v>0</v>
      </c>
      <c r="DR50">
        <v>519</v>
      </c>
      <c r="DS50">
        <v>587</v>
      </c>
      <c r="DT50">
        <v>7.7332999999999998</v>
      </c>
      <c r="DU50">
        <v>0</v>
      </c>
      <c r="DV50">
        <v>1</v>
      </c>
      <c r="DW50">
        <v>2</v>
      </c>
      <c r="DX50" t="s">
        <v>596</v>
      </c>
      <c r="DY50" t="s">
        <v>2054</v>
      </c>
      <c r="DZ50">
        <v>1</v>
      </c>
      <c r="EA50">
        <v>1</v>
      </c>
      <c r="EB50">
        <v>1</v>
      </c>
      <c r="EC50">
        <v>1</v>
      </c>
      <c r="ED50">
        <v>1</v>
      </c>
      <c r="EE50">
        <v>1</v>
      </c>
      <c r="EF50" t="s">
        <v>920</v>
      </c>
      <c r="EG50" t="s">
        <v>595</v>
      </c>
      <c r="EH50" t="s">
        <v>921</v>
      </c>
      <c r="EI50" t="s">
        <v>921</v>
      </c>
      <c r="EJ50" t="s">
        <v>134</v>
      </c>
      <c r="EK50">
        <v>9090</v>
      </c>
      <c r="EL50">
        <v>0</v>
      </c>
      <c r="EM50" t="s">
        <v>1011</v>
      </c>
      <c r="EN50">
        <v>0.95</v>
      </c>
      <c r="EO50">
        <v>9.7833333000000007</v>
      </c>
      <c r="EP50">
        <v>99991120</v>
      </c>
      <c r="EQ50" t="s">
        <v>874</v>
      </c>
      <c r="ER50" t="s">
        <v>875</v>
      </c>
      <c r="ES50" t="s">
        <v>876</v>
      </c>
      <c r="ET50" t="s">
        <v>877</v>
      </c>
      <c r="EU50" t="s">
        <v>877</v>
      </c>
      <c r="EV50" t="s">
        <v>920</v>
      </c>
      <c r="EX50" t="s">
        <v>953</v>
      </c>
      <c r="EY50" t="s">
        <v>1555</v>
      </c>
      <c r="EZ50" t="s">
        <v>2065</v>
      </c>
      <c r="FA50" t="s">
        <v>1212</v>
      </c>
      <c r="FB50">
        <v>1</v>
      </c>
      <c r="FC50">
        <v>1</v>
      </c>
      <c r="FD50" s="41">
        <v>46109</v>
      </c>
      <c r="FE50" t="s">
        <v>1719</v>
      </c>
      <c r="FF50">
        <v>4</v>
      </c>
      <c r="FI50">
        <v>0</v>
      </c>
      <c r="FL50">
        <v>0</v>
      </c>
      <c r="FM50" t="s">
        <v>2066</v>
      </c>
      <c r="FN50" t="s">
        <v>2067</v>
      </c>
      <c r="FO50">
        <v>1</v>
      </c>
      <c r="FP50" t="s">
        <v>2068</v>
      </c>
      <c r="FQ50" t="s">
        <v>2069</v>
      </c>
      <c r="FR50">
        <v>1</v>
      </c>
      <c r="FS50" t="s">
        <v>2070</v>
      </c>
      <c r="FT50" t="s">
        <v>2071</v>
      </c>
      <c r="FU50">
        <v>1</v>
      </c>
      <c r="FV50" t="s">
        <v>2072</v>
      </c>
      <c r="FW50" t="s">
        <v>2073</v>
      </c>
      <c r="FX50">
        <v>1</v>
      </c>
      <c r="FY50" t="s">
        <v>890</v>
      </c>
      <c r="FZ50" t="s">
        <v>2074</v>
      </c>
      <c r="GA50" t="s">
        <v>2072</v>
      </c>
      <c r="GB50">
        <v>1</v>
      </c>
      <c r="GD50">
        <v>0</v>
      </c>
      <c r="GF50">
        <v>0</v>
      </c>
      <c r="GG50">
        <v>1</v>
      </c>
      <c r="GH50" t="s">
        <v>892</v>
      </c>
      <c r="GI50" t="s">
        <v>893</v>
      </c>
      <c r="GJ50" t="s">
        <v>2073</v>
      </c>
      <c r="GM50">
        <v>1</v>
      </c>
      <c r="GN50">
        <v>1</v>
      </c>
      <c r="GO50">
        <v>0</v>
      </c>
      <c r="GP50">
        <v>1</v>
      </c>
      <c r="GQ50">
        <v>1</v>
      </c>
      <c r="GR50">
        <v>0</v>
      </c>
      <c r="GS50">
        <v>1</v>
      </c>
      <c r="GT50">
        <v>0</v>
      </c>
      <c r="GU50">
        <v>1</v>
      </c>
      <c r="GV50">
        <v>0</v>
      </c>
      <c r="GW50">
        <v>1</v>
      </c>
      <c r="GX50">
        <v>0</v>
      </c>
      <c r="GY50">
        <v>1</v>
      </c>
      <c r="GZ50">
        <v>0</v>
      </c>
      <c r="HA50" t="s">
        <v>375</v>
      </c>
      <c r="HB50" t="s">
        <v>894</v>
      </c>
      <c r="HC50" t="s">
        <v>935</v>
      </c>
      <c r="HD50" t="s">
        <v>845</v>
      </c>
      <c r="HE50" t="s">
        <v>900</v>
      </c>
      <c r="HF50" t="s">
        <v>1012</v>
      </c>
      <c r="HG50" t="s">
        <v>894</v>
      </c>
      <c r="HH50" t="s">
        <v>935</v>
      </c>
      <c r="HI50" t="s">
        <v>845</v>
      </c>
      <c r="HJ50" t="s">
        <v>900</v>
      </c>
      <c r="HK50" t="s">
        <v>1011</v>
      </c>
      <c r="HL50" t="s">
        <v>150</v>
      </c>
      <c r="HM50" t="s">
        <v>854</v>
      </c>
      <c r="HN50">
        <v>36805</v>
      </c>
      <c r="HP50" t="s">
        <v>134</v>
      </c>
      <c r="HQ50" t="s">
        <v>896</v>
      </c>
      <c r="HR50" t="s">
        <v>896</v>
      </c>
      <c r="HS50" t="s">
        <v>896</v>
      </c>
    </row>
    <row r="51" spans="1:227" x14ac:dyDescent="0.2">
      <c r="A51">
        <v>8702</v>
      </c>
      <c r="B51">
        <v>7619303079</v>
      </c>
      <c r="C51" t="s">
        <v>829</v>
      </c>
      <c r="D51" t="s">
        <v>830</v>
      </c>
      <c r="E51" t="s">
        <v>831</v>
      </c>
      <c r="F51">
        <v>1</v>
      </c>
      <c r="G51" t="s">
        <v>2075</v>
      </c>
      <c r="H51" t="s">
        <v>2075</v>
      </c>
      <c r="I51">
        <v>0</v>
      </c>
      <c r="J51" t="s">
        <v>833</v>
      </c>
      <c r="K51" t="s">
        <v>834</v>
      </c>
      <c r="L51">
        <v>153008251</v>
      </c>
      <c r="M51" t="s">
        <v>2076</v>
      </c>
      <c r="N51" t="s">
        <v>836</v>
      </c>
      <c r="O51" t="s">
        <v>837</v>
      </c>
      <c r="P51" t="s">
        <v>838</v>
      </c>
      <c r="Q51" t="s">
        <v>1593</v>
      </c>
      <c r="R51" t="s">
        <v>2077</v>
      </c>
      <c r="S51" t="s">
        <v>2078</v>
      </c>
      <c r="T51">
        <v>41477009259</v>
      </c>
      <c r="V51" t="s">
        <v>117</v>
      </c>
      <c r="W51" s="41">
        <v>46215</v>
      </c>
      <c r="X51" t="s">
        <v>2079</v>
      </c>
      <c r="Y51" t="s">
        <v>2080</v>
      </c>
      <c r="AA51">
        <v>0</v>
      </c>
      <c r="AB51" t="s">
        <v>845</v>
      </c>
      <c r="AC51" t="s">
        <v>846</v>
      </c>
      <c r="AD51" t="s">
        <v>907</v>
      </c>
      <c r="AE51" t="s">
        <v>908</v>
      </c>
      <c r="AF51">
        <v>1</v>
      </c>
      <c r="AG51">
        <v>452210</v>
      </c>
      <c r="AH51" t="s">
        <v>849</v>
      </c>
      <c r="AI51" t="s">
        <v>850</v>
      </c>
      <c r="AJ51" t="s">
        <v>851</v>
      </c>
      <c r="AK51" t="s">
        <v>257</v>
      </c>
      <c r="AL51" t="s">
        <v>2012</v>
      </c>
      <c r="AM51" t="s">
        <v>1364</v>
      </c>
      <c r="AN51" t="s">
        <v>854</v>
      </c>
      <c r="AO51">
        <v>36805</v>
      </c>
      <c r="AP51">
        <v>493</v>
      </c>
      <c r="AQ51" t="s">
        <v>855</v>
      </c>
      <c r="AR51">
        <v>66547652</v>
      </c>
      <c r="AS51" t="s">
        <v>856</v>
      </c>
      <c r="AU51" t="s">
        <v>2081</v>
      </c>
      <c r="AV51" t="s">
        <v>2082</v>
      </c>
      <c r="AW51" t="s">
        <v>2083</v>
      </c>
      <c r="AX51" t="s">
        <v>2084</v>
      </c>
      <c r="AY51" t="s">
        <v>861</v>
      </c>
      <c r="AZ51" t="s">
        <v>257</v>
      </c>
      <c r="BA51" t="s">
        <v>258</v>
      </c>
      <c r="BB51">
        <v>0</v>
      </c>
      <c r="BC51">
        <v>0</v>
      </c>
      <c r="BD51">
        <v>0</v>
      </c>
      <c r="BE51" t="s">
        <v>2076</v>
      </c>
      <c r="BF51">
        <v>0</v>
      </c>
      <c r="BG51">
        <v>0</v>
      </c>
      <c r="BH51" t="s">
        <v>862</v>
      </c>
      <c r="BI51">
        <v>0</v>
      </c>
      <c r="BJ51" t="s">
        <v>862</v>
      </c>
      <c r="BK51">
        <v>1</v>
      </c>
      <c r="BL51">
        <v>0</v>
      </c>
      <c r="BM51">
        <v>0</v>
      </c>
      <c r="BN51" t="s">
        <v>596</v>
      </c>
      <c r="BO51">
        <v>153008251</v>
      </c>
      <c r="BP51" t="s">
        <v>2075</v>
      </c>
      <c r="BR51">
        <v>42789054</v>
      </c>
      <c r="BT51">
        <v>2</v>
      </c>
      <c r="BU51" t="s">
        <v>1062</v>
      </c>
      <c r="BY51">
        <v>16</v>
      </c>
      <c r="CA51">
        <v>4</v>
      </c>
      <c r="CE51">
        <v>1</v>
      </c>
      <c r="CI51">
        <v>11</v>
      </c>
      <c r="CJ51" t="s">
        <v>94</v>
      </c>
      <c r="CM51">
        <v>4010</v>
      </c>
      <c r="CO51">
        <v>7360</v>
      </c>
      <c r="CP51">
        <v>1.2166999999999999</v>
      </c>
      <c r="CQ51">
        <v>1.2166999999999999</v>
      </c>
      <c r="CR51">
        <v>0.31669999999999998</v>
      </c>
      <c r="CS51">
        <v>1</v>
      </c>
      <c r="CT51" t="s">
        <v>2082</v>
      </c>
      <c r="CU51" t="s">
        <v>2081</v>
      </c>
      <c r="CV51" t="s">
        <v>833</v>
      </c>
      <c r="CW51" t="s">
        <v>834</v>
      </c>
      <c r="CX51" t="s">
        <v>2076</v>
      </c>
      <c r="CY51">
        <v>0</v>
      </c>
      <c r="CZ51">
        <v>0</v>
      </c>
      <c r="DA51" t="s">
        <v>833</v>
      </c>
      <c r="DB51" t="s">
        <v>865</v>
      </c>
      <c r="DC51">
        <v>63368</v>
      </c>
      <c r="DD51">
        <v>3.9666999999999999</v>
      </c>
      <c r="DE51" t="s">
        <v>866</v>
      </c>
      <c r="DG51" t="s">
        <v>867</v>
      </c>
      <c r="DH51" t="s">
        <v>851</v>
      </c>
      <c r="DI51" t="s">
        <v>2085</v>
      </c>
      <c r="DK51" t="s">
        <v>918</v>
      </c>
      <c r="DL51" t="s">
        <v>869</v>
      </c>
      <c r="DM51">
        <v>0</v>
      </c>
      <c r="DN51">
        <v>0</v>
      </c>
      <c r="DO51">
        <v>5</v>
      </c>
      <c r="DP51" t="s">
        <v>2086</v>
      </c>
      <c r="DQ51">
        <v>16</v>
      </c>
      <c r="DR51">
        <v>238</v>
      </c>
      <c r="DS51">
        <v>238</v>
      </c>
      <c r="DT51">
        <v>2.75</v>
      </c>
      <c r="DU51">
        <v>4</v>
      </c>
      <c r="DV51">
        <v>1</v>
      </c>
      <c r="DW51">
        <v>2</v>
      </c>
      <c r="DX51" t="s">
        <v>594</v>
      </c>
      <c r="DY51" t="s">
        <v>2076</v>
      </c>
      <c r="DZ51">
        <v>0</v>
      </c>
      <c r="EA51">
        <v>0</v>
      </c>
      <c r="EB51">
        <v>0</v>
      </c>
      <c r="EC51">
        <v>0</v>
      </c>
      <c r="ED51">
        <v>0</v>
      </c>
      <c r="EE51">
        <v>0</v>
      </c>
      <c r="EF51" t="s">
        <v>920</v>
      </c>
      <c r="EG51" t="s">
        <v>595</v>
      </c>
      <c r="EH51" t="s">
        <v>872</v>
      </c>
      <c r="EI51" t="s">
        <v>872</v>
      </c>
      <c r="EJ51" t="s">
        <v>111</v>
      </c>
      <c r="EK51">
        <v>9090</v>
      </c>
      <c r="EL51">
        <v>0</v>
      </c>
      <c r="EM51" t="s">
        <v>1037</v>
      </c>
      <c r="EN51">
        <v>0.31669999999999998</v>
      </c>
      <c r="EO51">
        <v>3.9666667000000002</v>
      </c>
      <c r="EP51">
        <v>99991120</v>
      </c>
      <c r="EQ51" t="s">
        <v>874</v>
      </c>
      <c r="ER51" t="s">
        <v>875</v>
      </c>
      <c r="ES51" t="s">
        <v>876</v>
      </c>
      <c r="ET51" t="s">
        <v>877</v>
      </c>
      <c r="EU51" t="s">
        <v>877</v>
      </c>
      <c r="EV51" t="s">
        <v>920</v>
      </c>
      <c r="EX51" t="s">
        <v>836</v>
      </c>
      <c r="EY51" t="s">
        <v>1051</v>
      </c>
      <c r="EZ51" t="s">
        <v>1038</v>
      </c>
      <c r="FA51" t="s">
        <v>925</v>
      </c>
      <c r="FB51">
        <v>1</v>
      </c>
      <c r="FC51">
        <v>1</v>
      </c>
      <c r="FD51" s="41">
        <v>46221</v>
      </c>
      <c r="FE51" t="s">
        <v>1066</v>
      </c>
      <c r="FF51">
        <v>5</v>
      </c>
      <c r="FI51">
        <v>0</v>
      </c>
      <c r="FJ51" t="s">
        <v>2087</v>
      </c>
      <c r="FK51" t="s">
        <v>2088</v>
      </c>
      <c r="FL51">
        <v>1</v>
      </c>
      <c r="FM51" t="s">
        <v>2089</v>
      </c>
      <c r="FN51" t="s">
        <v>2090</v>
      </c>
      <c r="FO51">
        <v>1</v>
      </c>
      <c r="FP51" t="s">
        <v>2091</v>
      </c>
      <c r="FQ51" t="s">
        <v>2092</v>
      </c>
      <c r="FR51">
        <v>1</v>
      </c>
      <c r="FS51" t="s">
        <v>1100</v>
      </c>
      <c r="FT51" t="s">
        <v>2093</v>
      </c>
      <c r="FU51">
        <v>1</v>
      </c>
      <c r="FV51" t="s">
        <v>2094</v>
      </c>
      <c r="FW51" t="s">
        <v>2088</v>
      </c>
      <c r="FX51">
        <v>1</v>
      </c>
      <c r="FY51" t="s">
        <v>890</v>
      </c>
      <c r="FZ51" t="s">
        <v>2095</v>
      </c>
      <c r="GA51" t="s">
        <v>2087</v>
      </c>
      <c r="GB51">
        <v>1</v>
      </c>
      <c r="GD51">
        <v>0</v>
      </c>
      <c r="GF51">
        <v>0</v>
      </c>
      <c r="GG51">
        <v>1</v>
      </c>
      <c r="GH51" t="s">
        <v>892</v>
      </c>
      <c r="GI51" t="s">
        <v>893</v>
      </c>
      <c r="GJ51" t="s">
        <v>2088</v>
      </c>
      <c r="GM51">
        <v>1</v>
      </c>
      <c r="GN51">
        <v>1</v>
      </c>
      <c r="GO51">
        <v>0</v>
      </c>
      <c r="GP51">
        <v>1</v>
      </c>
      <c r="GQ51">
        <v>1</v>
      </c>
      <c r="GR51">
        <v>0</v>
      </c>
      <c r="GS51">
        <v>1</v>
      </c>
      <c r="GT51">
        <v>0</v>
      </c>
      <c r="GU51">
        <v>1</v>
      </c>
      <c r="GV51">
        <v>0</v>
      </c>
      <c r="GW51">
        <v>1</v>
      </c>
      <c r="GX51">
        <v>0</v>
      </c>
      <c r="GY51">
        <v>1</v>
      </c>
      <c r="GZ51">
        <v>0</v>
      </c>
      <c r="HA51" t="s">
        <v>257</v>
      </c>
      <c r="HB51" t="s">
        <v>894</v>
      </c>
      <c r="HC51" t="s">
        <v>895</v>
      </c>
      <c r="HD51" t="s">
        <v>845</v>
      </c>
      <c r="HE51" t="s">
        <v>836</v>
      </c>
      <c r="HF51" t="s">
        <v>1051</v>
      </c>
      <c r="HG51" t="s">
        <v>894</v>
      </c>
      <c r="HH51" t="s">
        <v>895</v>
      </c>
      <c r="HI51" t="s">
        <v>845</v>
      </c>
      <c r="HJ51" t="s">
        <v>836</v>
      </c>
      <c r="HK51" t="s">
        <v>1037</v>
      </c>
      <c r="HL51" t="s">
        <v>117</v>
      </c>
      <c r="HM51" t="s">
        <v>854</v>
      </c>
      <c r="HN51">
        <v>36805</v>
      </c>
      <c r="HP51" t="s">
        <v>111</v>
      </c>
      <c r="HQ51" t="s">
        <v>896</v>
      </c>
      <c r="HR51" t="s">
        <v>896</v>
      </c>
      <c r="HS51" t="s">
        <v>896</v>
      </c>
    </row>
    <row r="52" spans="1:227" x14ac:dyDescent="0.2">
      <c r="A52">
        <v>8702</v>
      </c>
      <c r="B52">
        <v>7617502553</v>
      </c>
      <c r="C52" t="s">
        <v>829</v>
      </c>
      <c r="D52" t="s">
        <v>830</v>
      </c>
      <c r="E52" t="s">
        <v>897</v>
      </c>
      <c r="F52">
        <v>4</v>
      </c>
      <c r="G52" t="s">
        <v>2096</v>
      </c>
      <c r="H52" t="s">
        <v>2096</v>
      </c>
      <c r="I52">
        <v>0</v>
      </c>
      <c r="J52" t="s">
        <v>833</v>
      </c>
      <c r="K52" t="s">
        <v>834</v>
      </c>
      <c r="L52">
        <v>152832692</v>
      </c>
      <c r="M52" t="s">
        <v>2097</v>
      </c>
      <c r="N52" t="s">
        <v>900</v>
      </c>
      <c r="O52" t="s">
        <v>837</v>
      </c>
      <c r="P52" t="s">
        <v>838</v>
      </c>
      <c r="Q52" t="s">
        <v>839</v>
      </c>
      <c r="R52" t="s">
        <v>2098</v>
      </c>
      <c r="S52" t="s">
        <v>2099</v>
      </c>
      <c r="T52">
        <v>41477130640</v>
      </c>
      <c r="V52" t="s">
        <v>239</v>
      </c>
      <c r="W52" s="41">
        <v>46199</v>
      </c>
      <c r="X52" t="s">
        <v>2100</v>
      </c>
      <c r="Y52" t="s">
        <v>2101</v>
      </c>
      <c r="Z52" t="s">
        <v>2102</v>
      </c>
      <c r="AA52">
        <v>0</v>
      </c>
      <c r="AB52" t="s">
        <v>845</v>
      </c>
      <c r="AC52" t="s">
        <v>846</v>
      </c>
      <c r="AD52" t="s">
        <v>907</v>
      </c>
      <c r="AE52" t="s">
        <v>908</v>
      </c>
      <c r="AF52">
        <v>1</v>
      </c>
      <c r="AG52">
        <v>452210</v>
      </c>
      <c r="AH52" t="s">
        <v>849</v>
      </c>
      <c r="AI52" t="s">
        <v>850</v>
      </c>
      <c r="AJ52" t="s">
        <v>851</v>
      </c>
      <c r="AK52" t="s">
        <v>265</v>
      </c>
      <c r="AL52" t="s">
        <v>1644</v>
      </c>
      <c r="AM52" t="s">
        <v>1645</v>
      </c>
      <c r="AN52" t="s">
        <v>854</v>
      </c>
      <c r="AO52">
        <v>36805</v>
      </c>
      <c r="AP52">
        <v>928</v>
      </c>
      <c r="AQ52" t="s">
        <v>855</v>
      </c>
      <c r="AR52">
        <v>66524566</v>
      </c>
      <c r="AS52" t="s">
        <v>856</v>
      </c>
      <c r="AU52" t="s">
        <v>2103</v>
      </c>
      <c r="AV52" t="s">
        <v>2104</v>
      </c>
      <c r="AX52" t="s">
        <v>913</v>
      </c>
      <c r="AY52" t="s">
        <v>861</v>
      </c>
      <c r="AZ52" t="s">
        <v>265</v>
      </c>
      <c r="BA52" t="s">
        <v>266</v>
      </c>
      <c r="BB52">
        <v>0</v>
      </c>
      <c r="BC52">
        <v>0</v>
      </c>
      <c r="BD52">
        <v>1</v>
      </c>
      <c r="BE52" t="s">
        <v>2097</v>
      </c>
      <c r="BF52">
        <v>0</v>
      </c>
      <c r="BG52">
        <v>0</v>
      </c>
      <c r="BH52" t="s">
        <v>862</v>
      </c>
      <c r="BI52">
        <v>0</v>
      </c>
      <c r="BJ52" t="s">
        <v>862</v>
      </c>
      <c r="BK52">
        <v>1</v>
      </c>
      <c r="BL52">
        <v>1</v>
      </c>
      <c r="BM52">
        <v>0</v>
      </c>
      <c r="BN52" t="s">
        <v>596</v>
      </c>
      <c r="BO52">
        <v>152832692</v>
      </c>
      <c r="BP52" t="s">
        <v>2096</v>
      </c>
      <c r="BR52">
        <v>42793653</v>
      </c>
      <c r="BT52">
        <v>1</v>
      </c>
      <c r="BU52" t="s">
        <v>1314</v>
      </c>
      <c r="BY52">
        <v>16</v>
      </c>
      <c r="CA52">
        <v>33</v>
      </c>
      <c r="CI52">
        <v>11</v>
      </c>
      <c r="CJ52" t="s">
        <v>94</v>
      </c>
      <c r="CM52">
        <v>4010</v>
      </c>
      <c r="CO52">
        <v>7360</v>
      </c>
      <c r="CP52">
        <v>1.25</v>
      </c>
      <c r="CQ52">
        <v>1.25</v>
      </c>
      <c r="CR52">
        <v>0.56669999999999998</v>
      </c>
      <c r="CS52">
        <v>49</v>
      </c>
      <c r="CT52" t="s">
        <v>2104</v>
      </c>
      <c r="CU52" t="s">
        <v>2103</v>
      </c>
      <c r="CV52" t="s">
        <v>833</v>
      </c>
      <c r="CW52" t="s">
        <v>834</v>
      </c>
      <c r="CX52" t="s">
        <v>2097</v>
      </c>
      <c r="CY52">
        <v>1</v>
      </c>
      <c r="CZ52">
        <v>1</v>
      </c>
      <c r="DA52" t="s">
        <v>833</v>
      </c>
      <c r="DB52" t="s">
        <v>865</v>
      </c>
      <c r="DC52">
        <v>44145</v>
      </c>
      <c r="DD52">
        <v>33.433300000000003</v>
      </c>
      <c r="DE52" t="s">
        <v>866</v>
      </c>
      <c r="DG52" t="s">
        <v>867</v>
      </c>
      <c r="DH52" t="s">
        <v>851</v>
      </c>
      <c r="DI52" t="s">
        <v>2105</v>
      </c>
      <c r="DK52" t="s">
        <v>918</v>
      </c>
      <c r="DL52" t="s">
        <v>869</v>
      </c>
      <c r="DM52">
        <v>0</v>
      </c>
      <c r="DN52">
        <v>0</v>
      </c>
      <c r="DO52">
        <v>11</v>
      </c>
      <c r="DP52" t="s">
        <v>1010</v>
      </c>
      <c r="DQ52">
        <v>16</v>
      </c>
      <c r="DR52">
        <v>2006</v>
      </c>
      <c r="DS52">
        <v>3446</v>
      </c>
      <c r="DT52">
        <v>32.183300000000003</v>
      </c>
      <c r="DU52">
        <v>4</v>
      </c>
      <c r="DV52">
        <v>1</v>
      </c>
      <c r="DW52">
        <v>2</v>
      </c>
      <c r="DX52" t="s">
        <v>596</v>
      </c>
      <c r="DY52" t="s">
        <v>2097</v>
      </c>
      <c r="DZ52">
        <v>0</v>
      </c>
      <c r="EA52">
        <v>0</v>
      </c>
      <c r="EB52">
        <v>1</v>
      </c>
      <c r="EC52">
        <v>0</v>
      </c>
      <c r="ED52">
        <v>0</v>
      </c>
      <c r="EE52">
        <v>1</v>
      </c>
      <c r="EF52" t="s">
        <v>871</v>
      </c>
      <c r="EG52" t="s">
        <v>595</v>
      </c>
      <c r="EH52" t="s">
        <v>921</v>
      </c>
      <c r="EI52" t="s">
        <v>921</v>
      </c>
      <c r="EJ52" t="s">
        <v>226</v>
      </c>
      <c r="EK52">
        <v>9090</v>
      </c>
      <c r="EL52">
        <v>0</v>
      </c>
      <c r="EM52" t="s">
        <v>1157</v>
      </c>
      <c r="EN52">
        <v>0.56669999999999998</v>
      </c>
      <c r="EO52">
        <v>57.433333300000001</v>
      </c>
      <c r="EP52">
        <v>99991120</v>
      </c>
      <c r="EQ52" t="s">
        <v>874</v>
      </c>
      <c r="ER52" t="s">
        <v>875</v>
      </c>
      <c r="ES52" t="s">
        <v>876</v>
      </c>
      <c r="ET52" t="s">
        <v>877</v>
      </c>
      <c r="EU52" t="s">
        <v>877</v>
      </c>
      <c r="EV52" t="s">
        <v>871</v>
      </c>
      <c r="EX52" t="s">
        <v>900</v>
      </c>
      <c r="EY52" t="s">
        <v>923</v>
      </c>
      <c r="EZ52" t="s">
        <v>1236</v>
      </c>
      <c r="FA52" t="s">
        <v>956</v>
      </c>
      <c r="FB52">
        <v>1</v>
      </c>
      <c r="FC52">
        <v>1</v>
      </c>
      <c r="FD52" s="41">
        <v>46200</v>
      </c>
      <c r="FE52" t="s">
        <v>1315</v>
      </c>
      <c r="FF52">
        <v>7</v>
      </c>
      <c r="FG52" t="s">
        <v>2106</v>
      </c>
      <c r="FH52" t="s">
        <v>2107</v>
      </c>
      <c r="FI52">
        <v>1</v>
      </c>
      <c r="FJ52" t="s">
        <v>2108</v>
      </c>
      <c r="FK52" t="s">
        <v>2107</v>
      </c>
      <c r="FL52">
        <v>1</v>
      </c>
      <c r="FM52" t="s">
        <v>2109</v>
      </c>
      <c r="FN52" t="s">
        <v>2110</v>
      </c>
      <c r="FO52">
        <v>1</v>
      </c>
      <c r="FP52" t="s">
        <v>2111</v>
      </c>
      <c r="FQ52" t="s">
        <v>2103</v>
      </c>
      <c r="FR52">
        <v>1</v>
      </c>
      <c r="FS52" t="s">
        <v>1656</v>
      </c>
      <c r="FT52" t="s">
        <v>2112</v>
      </c>
      <c r="FU52">
        <v>1</v>
      </c>
      <c r="FV52" t="s">
        <v>1658</v>
      </c>
      <c r="FW52" t="s">
        <v>2113</v>
      </c>
      <c r="FX52">
        <v>1</v>
      </c>
      <c r="FY52" t="s">
        <v>890</v>
      </c>
      <c r="FZ52" t="s">
        <v>2114</v>
      </c>
      <c r="GA52" t="s">
        <v>2108</v>
      </c>
      <c r="GB52">
        <v>1</v>
      </c>
      <c r="GD52">
        <v>0</v>
      </c>
      <c r="GF52">
        <v>0</v>
      </c>
      <c r="GG52">
        <v>1</v>
      </c>
      <c r="GH52" t="s">
        <v>892</v>
      </c>
      <c r="GI52" t="s">
        <v>893</v>
      </c>
      <c r="GJ52" t="s">
        <v>2107</v>
      </c>
      <c r="GM52">
        <v>1</v>
      </c>
      <c r="GN52">
        <v>1</v>
      </c>
      <c r="GO52">
        <v>0</v>
      </c>
      <c r="GP52">
        <v>1</v>
      </c>
      <c r="GQ52">
        <v>1</v>
      </c>
      <c r="GR52">
        <v>0</v>
      </c>
      <c r="GS52">
        <v>1</v>
      </c>
      <c r="GT52">
        <v>0</v>
      </c>
      <c r="GU52">
        <v>1</v>
      </c>
      <c r="GV52">
        <v>0</v>
      </c>
      <c r="GW52">
        <v>1</v>
      </c>
      <c r="GX52">
        <v>0</v>
      </c>
      <c r="GY52">
        <v>1</v>
      </c>
      <c r="GZ52">
        <v>0</v>
      </c>
      <c r="HA52" t="s">
        <v>265</v>
      </c>
      <c r="HB52" t="s">
        <v>894</v>
      </c>
      <c r="HC52" t="s">
        <v>935</v>
      </c>
      <c r="HD52" t="s">
        <v>845</v>
      </c>
      <c r="HE52" t="s">
        <v>900</v>
      </c>
      <c r="HF52" t="s">
        <v>923</v>
      </c>
      <c r="HG52" t="s">
        <v>894</v>
      </c>
      <c r="HH52" t="s">
        <v>935</v>
      </c>
      <c r="HI52" t="s">
        <v>845</v>
      </c>
      <c r="HJ52" t="s">
        <v>900</v>
      </c>
      <c r="HK52" t="s">
        <v>922</v>
      </c>
      <c r="HL52" t="s">
        <v>239</v>
      </c>
      <c r="HM52" t="s">
        <v>854</v>
      </c>
      <c r="HN52">
        <v>36805</v>
      </c>
      <c r="HO52">
        <v>1</v>
      </c>
      <c r="HP52" t="s">
        <v>226</v>
      </c>
      <c r="HQ52" t="s">
        <v>896</v>
      </c>
      <c r="HR52" t="s">
        <v>896</v>
      </c>
      <c r="HS52" t="s">
        <v>896</v>
      </c>
    </row>
    <row r="53" spans="1:227" x14ac:dyDescent="0.2">
      <c r="A53">
        <v>8702</v>
      </c>
      <c r="B53">
        <v>7618110245</v>
      </c>
      <c r="C53" t="s">
        <v>829</v>
      </c>
      <c r="D53" t="s">
        <v>830</v>
      </c>
      <c r="E53" t="s">
        <v>831</v>
      </c>
      <c r="F53">
        <v>0</v>
      </c>
      <c r="G53" t="s">
        <v>2115</v>
      </c>
      <c r="H53" t="s">
        <v>2115</v>
      </c>
      <c r="I53">
        <v>0</v>
      </c>
      <c r="J53" t="s">
        <v>833</v>
      </c>
      <c r="K53" t="s">
        <v>834</v>
      </c>
      <c r="L53">
        <v>156587992</v>
      </c>
      <c r="M53" t="s">
        <v>2116</v>
      </c>
      <c r="N53" t="s">
        <v>836</v>
      </c>
      <c r="O53" t="s">
        <v>837</v>
      </c>
      <c r="P53" t="s">
        <v>838</v>
      </c>
      <c r="Q53" t="s">
        <v>839</v>
      </c>
      <c r="R53" t="s">
        <v>2117</v>
      </c>
      <c r="S53" t="s">
        <v>2118</v>
      </c>
      <c r="T53">
        <v>41477124347</v>
      </c>
      <c r="V53" t="s">
        <v>196</v>
      </c>
      <c r="W53" s="41">
        <v>46203</v>
      </c>
      <c r="X53" t="s">
        <v>2119</v>
      </c>
      <c r="Y53" t="s">
        <v>2120</v>
      </c>
      <c r="AA53">
        <v>0</v>
      </c>
      <c r="AB53" t="s">
        <v>845</v>
      </c>
      <c r="AC53" t="s">
        <v>846</v>
      </c>
      <c r="AD53" t="s">
        <v>907</v>
      </c>
      <c r="AE53" t="s">
        <v>908</v>
      </c>
      <c r="AF53">
        <v>1</v>
      </c>
      <c r="AG53">
        <v>452210</v>
      </c>
      <c r="AH53" t="s">
        <v>849</v>
      </c>
      <c r="AI53" t="s">
        <v>850</v>
      </c>
      <c r="AJ53" t="s">
        <v>851</v>
      </c>
      <c r="AK53" t="s">
        <v>383</v>
      </c>
      <c r="AL53" t="s">
        <v>2121</v>
      </c>
      <c r="AM53" t="s">
        <v>1712</v>
      </c>
      <c r="AN53" t="s">
        <v>854</v>
      </c>
      <c r="AO53">
        <v>36805</v>
      </c>
      <c r="AP53">
        <v>639</v>
      </c>
      <c r="AQ53" t="s">
        <v>855</v>
      </c>
      <c r="AR53">
        <v>66530483</v>
      </c>
      <c r="AS53" t="s">
        <v>856</v>
      </c>
      <c r="AU53" t="s">
        <v>2122</v>
      </c>
      <c r="AV53" t="s">
        <v>2123</v>
      </c>
      <c r="AX53" t="s">
        <v>913</v>
      </c>
      <c r="AY53" t="s">
        <v>861</v>
      </c>
      <c r="AZ53" t="s">
        <v>383</v>
      </c>
      <c r="BA53" t="s">
        <v>384</v>
      </c>
      <c r="BB53">
        <v>0</v>
      </c>
      <c r="BC53">
        <v>0</v>
      </c>
      <c r="BD53">
        <v>1</v>
      </c>
      <c r="BE53" t="s">
        <v>2116</v>
      </c>
      <c r="BF53">
        <v>0</v>
      </c>
      <c r="BG53">
        <v>0</v>
      </c>
      <c r="BH53" t="s">
        <v>862</v>
      </c>
      <c r="BI53">
        <v>0</v>
      </c>
      <c r="BJ53" t="s">
        <v>862</v>
      </c>
      <c r="BK53">
        <v>1</v>
      </c>
      <c r="BL53">
        <v>1</v>
      </c>
      <c r="BM53">
        <v>0</v>
      </c>
      <c r="BN53" t="s">
        <v>596</v>
      </c>
      <c r="BO53">
        <v>156587992</v>
      </c>
      <c r="BP53" t="s">
        <v>2115</v>
      </c>
      <c r="BR53">
        <v>42791771</v>
      </c>
      <c r="BT53">
        <v>2</v>
      </c>
      <c r="BU53" t="s">
        <v>1314</v>
      </c>
      <c r="BY53">
        <v>16</v>
      </c>
      <c r="CA53">
        <v>3</v>
      </c>
      <c r="CE53">
        <v>1</v>
      </c>
      <c r="CI53">
        <v>11</v>
      </c>
      <c r="CJ53" t="s">
        <v>94</v>
      </c>
      <c r="CM53">
        <v>4010</v>
      </c>
      <c r="CO53">
        <v>7360</v>
      </c>
      <c r="CP53">
        <v>0.65</v>
      </c>
      <c r="CQ53">
        <v>0.65</v>
      </c>
      <c r="CR53">
        <v>0.51670000000000005</v>
      </c>
      <c r="CS53">
        <v>2</v>
      </c>
      <c r="CT53" t="s">
        <v>2123</v>
      </c>
      <c r="CU53" t="s">
        <v>2122</v>
      </c>
      <c r="CV53" t="s">
        <v>833</v>
      </c>
      <c r="CW53" t="s">
        <v>834</v>
      </c>
      <c r="CX53" t="s">
        <v>2116</v>
      </c>
      <c r="CY53">
        <v>1</v>
      </c>
      <c r="CZ53">
        <v>1</v>
      </c>
      <c r="DA53" t="s">
        <v>833</v>
      </c>
      <c r="DB53" t="s">
        <v>865</v>
      </c>
      <c r="DC53">
        <v>60134</v>
      </c>
      <c r="DD53">
        <v>3.05</v>
      </c>
      <c r="DE53" t="s">
        <v>866</v>
      </c>
      <c r="DG53" t="s">
        <v>867</v>
      </c>
      <c r="DH53" t="s">
        <v>851</v>
      </c>
      <c r="DK53" t="s">
        <v>918</v>
      </c>
      <c r="DL53" t="s">
        <v>869</v>
      </c>
      <c r="DM53">
        <v>0</v>
      </c>
      <c r="DN53">
        <v>0</v>
      </c>
      <c r="DO53">
        <v>11</v>
      </c>
      <c r="DP53" t="s">
        <v>1010</v>
      </c>
      <c r="DQ53">
        <v>16</v>
      </c>
      <c r="DR53">
        <v>183</v>
      </c>
      <c r="DS53">
        <v>183</v>
      </c>
      <c r="DT53">
        <v>2.4</v>
      </c>
      <c r="DU53">
        <v>4</v>
      </c>
      <c r="DV53">
        <v>1</v>
      </c>
      <c r="DW53">
        <v>2</v>
      </c>
      <c r="DX53" t="s">
        <v>596</v>
      </c>
      <c r="DY53" t="s">
        <v>2116</v>
      </c>
      <c r="DZ53">
        <v>1</v>
      </c>
      <c r="EA53">
        <v>1</v>
      </c>
      <c r="EB53">
        <v>1</v>
      </c>
      <c r="EC53">
        <v>1</v>
      </c>
      <c r="ED53">
        <v>1</v>
      </c>
      <c r="EE53">
        <v>1</v>
      </c>
      <c r="EF53" t="s">
        <v>871</v>
      </c>
      <c r="EG53" t="s">
        <v>595</v>
      </c>
      <c r="EH53" t="s">
        <v>921</v>
      </c>
      <c r="EI53" t="s">
        <v>921</v>
      </c>
      <c r="EJ53" t="s">
        <v>181</v>
      </c>
      <c r="EK53">
        <v>9090</v>
      </c>
      <c r="EL53">
        <v>0</v>
      </c>
      <c r="EM53" t="s">
        <v>1436</v>
      </c>
      <c r="EN53">
        <v>0.51670000000000005</v>
      </c>
      <c r="EO53">
        <v>3.05</v>
      </c>
      <c r="EP53">
        <v>99991120</v>
      </c>
      <c r="EQ53" t="s">
        <v>874</v>
      </c>
      <c r="ER53" t="s">
        <v>875</v>
      </c>
      <c r="ES53" t="s">
        <v>876</v>
      </c>
      <c r="ET53" t="s">
        <v>877</v>
      </c>
      <c r="EU53" t="s">
        <v>877</v>
      </c>
      <c r="EV53" t="s">
        <v>871</v>
      </c>
      <c r="EX53" t="s">
        <v>836</v>
      </c>
      <c r="EY53" t="s">
        <v>873</v>
      </c>
      <c r="EZ53" t="s">
        <v>1437</v>
      </c>
      <c r="FA53" t="s">
        <v>956</v>
      </c>
      <c r="FB53">
        <v>1</v>
      </c>
      <c r="FC53">
        <v>1</v>
      </c>
      <c r="FD53" s="41">
        <v>46207</v>
      </c>
      <c r="FE53" t="s">
        <v>1315</v>
      </c>
      <c r="FF53">
        <v>5</v>
      </c>
      <c r="FI53">
        <v>0</v>
      </c>
      <c r="FJ53" t="s">
        <v>2124</v>
      </c>
      <c r="FK53" t="s">
        <v>2125</v>
      </c>
      <c r="FL53">
        <v>1</v>
      </c>
      <c r="FM53" t="s">
        <v>2126</v>
      </c>
      <c r="FN53" t="s">
        <v>2127</v>
      </c>
      <c r="FO53">
        <v>1</v>
      </c>
      <c r="FP53" t="s">
        <v>2128</v>
      </c>
      <c r="FQ53" t="s">
        <v>2122</v>
      </c>
      <c r="FR53">
        <v>1</v>
      </c>
      <c r="FS53" t="s">
        <v>2129</v>
      </c>
      <c r="FT53" t="s">
        <v>2130</v>
      </c>
      <c r="FU53">
        <v>1</v>
      </c>
      <c r="FV53" t="s">
        <v>2131</v>
      </c>
      <c r="FW53" t="s">
        <v>2125</v>
      </c>
      <c r="FX53">
        <v>1</v>
      </c>
      <c r="FY53" t="s">
        <v>890</v>
      </c>
      <c r="FZ53" t="s">
        <v>2132</v>
      </c>
      <c r="GA53" t="s">
        <v>2124</v>
      </c>
      <c r="GB53">
        <v>1</v>
      </c>
      <c r="GD53">
        <v>0</v>
      </c>
      <c r="GF53">
        <v>0</v>
      </c>
      <c r="GG53">
        <v>1</v>
      </c>
      <c r="GH53" t="s">
        <v>892</v>
      </c>
      <c r="GI53" t="s">
        <v>893</v>
      </c>
      <c r="GJ53" t="s">
        <v>2125</v>
      </c>
      <c r="GM53">
        <v>1</v>
      </c>
      <c r="GN53">
        <v>1</v>
      </c>
      <c r="GO53">
        <v>0</v>
      </c>
      <c r="GP53">
        <v>1</v>
      </c>
      <c r="GQ53">
        <v>1</v>
      </c>
      <c r="GR53">
        <v>0</v>
      </c>
      <c r="GS53">
        <v>1</v>
      </c>
      <c r="GT53">
        <v>0</v>
      </c>
      <c r="GU53">
        <v>1</v>
      </c>
      <c r="GV53">
        <v>0</v>
      </c>
      <c r="GW53">
        <v>1</v>
      </c>
      <c r="GX53">
        <v>0</v>
      </c>
      <c r="GY53">
        <v>1</v>
      </c>
      <c r="GZ53">
        <v>0</v>
      </c>
      <c r="HA53" t="s">
        <v>383</v>
      </c>
      <c r="HB53" t="s">
        <v>894</v>
      </c>
      <c r="HC53" t="s">
        <v>895</v>
      </c>
      <c r="HD53" t="s">
        <v>845</v>
      </c>
      <c r="HE53" t="s">
        <v>836</v>
      </c>
      <c r="HF53" t="s">
        <v>873</v>
      </c>
      <c r="HG53" t="s">
        <v>894</v>
      </c>
      <c r="HH53" t="s">
        <v>895</v>
      </c>
      <c r="HI53" t="s">
        <v>845</v>
      </c>
      <c r="HJ53" t="s">
        <v>836</v>
      </c>
      <c r="HK53" t="s">
        <v>1436</v>
      </c>
      <c r="HL53" t="s">
        <v>196</v>
      </c>
      <c r="HM53" t="s">
        <v>854</v>
      </c>
      <c r="HN53">
        <v>36805</v>
      </c>
      <c r="HP53" t="s">
        <v>181</v>
      </c>
      <c r="HQ53" t="s">
        <v>896</v>
      </c>
      <c r="HR53" t="s">
        <v>896</v>
      </c>
      <c r="HS53" t="s">
        <v>896</v>
      </c>
    </row>
    <row r="54" spans="1:227" x14ac:dyDescent="0.2">
      <c r="A54">
        <v>8702</v>
      </c>
      <c r="B54">
        <v>7521704683</v>
      </c>
      <c r="C54">
        <v>34</v>
      </c>
      <c r="D54" t="s">
        <v>996</v>
      </c>
      <c r="E54" t="s">
        <v>831</v>
      </c>
      <c r="F54">
        <v>0</v>
      </c>
      <c r="G54" t="s">
        <v>2133</v>
      </c>
      <c r="H54" t="s">
        <v>2133</v>
      </c>
      <c r="I54">
        <v>0</v>
      </c>
      <c r="J54" t="s">
        <v>833</v>
      </c>
      <c r="K54" t="s">
        <v>834</v>
      </c>
      <c r="L54">
        <v>153294194</v>
      </c>
      <c r="M54" t="s">
        <v>2134</v>
      </c>
      <c r="N54" t="s">
        <v>836</v>
      </c>
      <c r="O54" t="s">
        <v>837</v>
      </c>
      <c r="P54" t="s">
        <v>999</v>
      </c>
      <c r="Q54" t="s">
        <v>1000</v>
      </c>
      <c r="R54" t="s">
        <v>2135</v>
      </c>
      <c r="S54" t="s">
        <v>2136</v>
      </c>
      <c r="T54">
        <v>41477094066</v>
      </c>
      <c r="V54" t="s">
        <v>214</v>
      </c>
      <c r="W54" s="41">
        <v>45877</v>
      </c>
      <c r="X54" t="s">
        <v>2137</v>
      </c>
      <c r="Y54" t="s">
        <v>2138</v>
      </c>
      <c r="AA54">
        <v>0</v>
      </c>
      <c r="AB54" t="s">
        <v>845</v>
      </c>
      <c r="AC54" t="s">
        <v>846</v>
      </c>
      <c r="AD54" t="s">
        <v>847</v>
      </c>
      <c r="AE54" t="s">
        <v>848</v>
      </c>
      <c r="AF54">
        <v>1</v>
      </c>
      <c r="AG54">
        <v>452210</v>
      </c>
      <c r="AH54" t="s">
        <v>849</v>
      </c>
      <c r="AI54" t="s">
        <v>850</v>
      </c>
      <c r="AJ54" t="s">
        <v>851</v>
      </c>
      <c r="AK54" t="s">
        <v>445</v>
      </c>
      <c r="AL54" t="s">
        <v>2139</v>
      </c>
      <c r="AM54" t="s">
        <v>1902</v>
      </c>
      <c r="AN54" t="s">
        <v>854</v>
      </c>
      <c r="AO54">
        <v>36805</v>
      </c>
      <c r="AP54">
        <v>701</v>
      </c>
      <c r="AQ54" t="s">
        <v>855</v>
      </c>
      <c r="AR54">
        <v>66060856</v>
      </c>
      <c r="AS54" t="s">
        <v>856</v>
      </c>
      <c r="AU54" t="s">
        <v>2140</v>
      </c>
      <c r="AV54" t="s">
        <v>2141</v>
      </c>
      <c r="AX54" t="s">
        <v>913</v>
      </c>
      <c r="AY54" t="s">
        <v>861</v>
      </c>
      <c r="AZ54" t="s">
        <v>445</v>
      </c>
      <c r="BA54" t="s">
        <v>446</v>
      </c>
      <c r="BB54">
        <v>0</v>
      </c>
      <c r="BC54">
        <v>1</v>
      </c>
      <c r="BD54">
        <v>0</v>
      </c>
      <c r="BE54" t="s">
        <v>2134</v>
      </c>
      <c r="BF54">
        <v>0</v>
      </c>
      <c r="BG54">
        <v>0</v>
      </c>
      <c r="BH54" t="s">
        <v>862</v>
      </c>
      <c r="BI54">
        <v>0</v>
      </c>
      <c r="BJ54" t="s">
        <v>862</v>
      </c>
      <c r="BK54">
        <v>1</v>
      </c>
      <c r="BL54">
        <v>1</v>
      </c>
      <c r="BM54">
        <v>0</v>
      </c>
      <c r="BN54" t="s">
        <v>596</v>
      </c>
      <c r="BO54">
        <v>153294194</v>
      </c>
      <c r="BP54" t="s">
        <v>2133</v>
      </c>
      <c r="BR54">
        <v>42791783</v>
      </c>
      <c r="BT54">
        <v>0</v>
      </c>
      <c r="CM54">
        <v>4010</v>
      </c>
      <c r="CO54">
        <v>7360</v>
      </c>
      <c r="CP54">
        <v>1.2333000000000001</v>
      </c>
      <c r="CQ54">
        <v>1.2333000000000001</v>
      </c>
      <c r="CR54">
        <v>2.7833000000000001</v>
      </c>
      <c r="CS54">
        <v>0</v>
      </c>
      <c r="CT54" t="s">
        <v>2141</v>
      </c>
      <c r="CU54" t="s">
        <v>2140</v>
      </c>
      <c r="CV54" t="s">
        <v>833</v>
      </c>
      <c r="CW54" t="s">
        <v>834</v>
      </c>
      <c r="CX54" t="s">
        <v>2134</v>
      </c>
      <c r="CY54">
        <v>1</v>
      </c>
      <c r="CZ54">
        <v>1</v>
      </c>
      <c r="DA54" t="s">
        <v>833</v>
      </c>
      <c r="DB54" t="s">
        <v>865</v>
      </c>
      <c r="DC54">
        <v>53202</v>
      </c>
      <c r="DD54">
        <v>36.85</v>
      </c>
      <c r="DE54" t="s">
        <v>866</v>
      </c>
      <c r="DG54" t="s">
        <v>867</v>
      </c>
      <c r="DH54" t="s">
        <v>851</v>
      </c>
      <c r="DI54" t="s">
        <v>2142</v>
      </c>
      <c r="DJ54" t="s">
        <v>2143</v>
      </c>
      <c r="DL54" t="s">
        <v>869</v>
      </c>
      <c r="DM54">
        <v>0</v>
      </c>
      <c r="DN54">
        <v>0</v>
      </c>
      <c r="DO54">
        <v>11</v>
      </c>
      <c r="DP54" t="s">
        <v>1010</v>
      </c>
      <c r="DQ54">
        <v>16</v>
      </c>
      <c r="DR54">
        <v>2211</v>
      </c>
      <c r="DS54">
        <v>4371</v>
      </c>
      <c r="DT54">
        <v>1.1833</v>
      </c>
      <c r="DU54">
        <v>4</v>
      </c>
      <c r="DW54">
        <v>2</v>
      </c>
      <c r="DX54" t="s">
        <v>596</v>
      </c>
      <c r="DY54" t="s">
        <v>2134</v>
      </c>
      <c r="DZ54">
        <v>0</v>
      </c>
      <c r="EA54">
        <v>0</v>
      </c>
      <c r="EB54">
        <v>1</v>
      </c>
      <c r="EC54">
        <v>1</v>
      </c>
      <c r="ED54">
        <v>1</v>
      </c>
      <c r="EE54">
        <v>1</v>
      </c>
      <c r="EF54" t="s">
        <v>871</v>
      </c>
      <c r="EG54" t="s">
        <v>595</v>
      </c>
      <c r="EH54" t="s">
        <v>921</v>
      </c>
      <c r="EI54" t="s">
        <v>921</v>
      </c>
      <c r="EJ54" t="s">
        <v>215</v>
      </c>
      <c r="EK54">
        <v>9090</v>
      </c>
      <c r="EL54">
        <v>1</v>
      </c>
      <c r="EM54" t="s">
        <v>873</v>
      </c>
      <c r="EN54">
        <v>2.7833000000000001</v>
      </c>
      <c r="EO54">
        <v>72.849999999999994</v>
      </c>
      <c r="EP54">
        <v>99991120</v>
      </c>
      <c r="EQ54" t="s">
        <v>874</v>
      </c>
      <c r="ER54" t="s">
        <v>875</v>
      </c>
      <c r="ES54" t="s">
        <v>876</v>
      </c>
      <c r="ET54" t="s">
        <v>877</v>
      </c>
      <c r="EU54" t="s">
        <v>877</v>
      </c>
      <c r="EV54" t="s">
        <v>871</v>
      </c>
      <c r="EX54" t="s">
        <v>836</v>
      </c>
      <c r="EY54" t="s">
        <v>873</v>
      </c>
      <c r="EZ54" t="s">
        <v>1807</v>
      </c>
      <c r="FA54" t="s">
        <v>925</v>
      </c>
      <c r="FB54">
        <v>1</v>
      </c>
      <c r="FC54">
        <v>2</v>
      </c>
      <c r="FD54" s="41">
        <v>45878</v>
      </c>
      <c r="FE54" t="s">
        <v>987</v>
      </c>
      <c r="FF54">
        <v>7</v>
      </c>
      <c r="FG54" t="s">
        <v>2144</v>
      </c>
      <c r="FH54" t="s">
        <v>2145</v>
      </c>
      <c r="FI54">
        <v>1</v>
      </c>
      <c r="FJ54" t="s">
        <v>2146</v>
      </c>
      <c r="FK54" t="s">
        <v>2147</v>
      </c>
      <c r="FL54">
        <v>1</v>
      </c>
      <c r="FM54" t="s">
        <v>2148</v>
      </c>
      <c r="FN54" t="s">
        <v>2149</v>
      </c>
      <c r="FO54">
        <v>1</v>
      </c>
      <c r="FP54" t="s">
        <v>2150</v>
      </c>
      <c r="FQ54" t="s">
        <v>2140</v>
      </c>
      <c r="FR54">
        <v>1</v>
      </c>
      <c r="FS54" t="s">
        <v>2151</v>
      </c>
      <c r="FT54" t="s">
        <v>2152</v>
      </c>
      <c r="FU54">
        <v>1</v>
      </c>
      <c r="FV54" t="s">
        <v>2153</v>
      </c>
      <c r="FW54" t="s">
        <v>2154</v>
      </c>
      <c r="FX54">
        <v>1</v>
      </c>
      <c r="FY54" t="s">
        <v>890</v>
      </c>
      <c r="FZ54" t="s">
        <v>2155</v>
      </c>
      <c r="GA54" t="s">
        <v>2146</v>
      </c>
      <c r="GB54">
        <v>1</v>
      </c>
      <c r="GD54">
        <v>0</v>
      </c>
      <c r="GF54">
        <v>0</v>
      </c>
      <c r="GG54">
        <v>1</v>
      </c>
      <c r="GH54" t="s">
        <v>892</v>
      </c>
      <c r="GI54" t="s">
        <v>893</v>
      </c>
      <c r="GJ54" t="s">
        <v>2147</v>
      </c>
      <c r="GM54">
        <v>1</v>
      </c>
      <c r="GN54">
        <v>0</v>
      </c>
      <c r="GO54">
        <v>0</v>
      </c>
      <c r="GP54">
        <v>1</v>
      </c>
      <c r="GQ54">
        <v>1</v>
      </c>
      <c r="GR54">
        <v>0</v>
      </c>
      <c r="GS54">
        <v>1</v>
      </c>
      <c r="GT54">
        <v>0</v>
      </c>
      <c r="GU54">
        <v>1</v>
      </c>
      <c r="GV54">
        <v>0</v>
      </c>
      <c r="GW54">
        <v>1</v>
      </c>
      <c r="GX54">
        <v>0</v>
      </c>
      <c r="GY54">
        <v>1</v>
      </c>
      <c r="GZ54">
        <v>0</v>
      </c>
      <c r="HA54" t="s">
        <v>445</v>
      </c>
      <c r="HB54" t="s">
        <v>894</v>
      </c>
      <c r="HC54" t="s">
        <v>895</v>
      </c>
      <c r="HD54" t="s">
        <v>845</v>
      </c>
      <c r="HE54" t="s">
        <v>836</v>
      </c>
      <c r="HF54" t="s">
        <v>873</v>
      </c>
      <c r="HG54" t="s">
        <v>894</v>
      </c>
      <c r="HH54" t="s">
        <v>895</v>
      </c>
      <c r="HI54" t="s">
        <v>845</v>
      </c>
      <c r="HJ54" t="s">
        <v>836</v>
      </c>
      <c r="HK54" t="s">
        <v>873</v>
      </c>
      <c r="HL54" t="s">
        <v>214</v>
      </c>
      <c r="HM54" t="s">
        <v>854</v>
      </c>
      <c r="HN54">
        <v>36805</v>
      </c>
      <c r="HP54" t="s">
        <v>215</v>
      </c>
      <c r="HQ54" t="s">
        <v>896</v>
      </c>
      <c r="HR54" t="s">
        <v>896</v>
      </c>
      <c r="HS54" t="s">
        <v>896</v>
      </c>
    </row>
    <row r="55" spans="1:227" x14ac:dyDescent="0.2">
      <c r="A55">
        <v>8702</v>
      </c>
      <c r="B55">
        <v>7618212327</v>
      </c>
      <c r="C55" t="s">
        <v>829</v>
      </c>
      <c r="D55" t="s">
        <v>830</v>
      </c>
      <c r="E55" t="s">
        <v>897</v>
      </c>
      <c r="F55">
        <v>0</v>
      </c>
      <c r="G55" t="s">
        <v>2156</v>
      </c>
      <c r="H55" t="s">
        <v>2156</v>
      </c>
      <c r="I55">
        <v>0</v>
      </c>
      <c r="J55" t="s">
        <v>833</v>
      </c>
      <c r="K55" t="s">
        <v>834</v>
      </c>
      <c r="L55">
        <v>153517107</v>
      </c>
      <c r="M55" t="s">
        <v>2157</v>
      </c>
      <c r="N55" t="s">
        <v>900</v>
      </c>
      <c r="O55" t="s">
        <v>837</v>
      </c>
      <c r="P55" t="s">
        <v>838</v>
      </c>
      <c r="Q55" t="s">
        <v>1251</v>
      </c>
      <c r="R55" t="s">
        <v>2158</v>
      </c>
      <c r="S55" t="s">
        <v>2159</v>
      </c>
      <c r="T55">
        <v>41477061773</v>
      </c>
      <c r="V55" t="s">
        <v>138</v>
      </c>
      <c r="W55" s="41">
        <v>46204</v>
      </c>
      <c r="X55" t="s">
        <v>2160</v>
      </c>
      <c r="Y55" t="s">
        <v>2161</v>
      </c>
      <c r="AA55">
        <v>0</v>
      </c>
      <c r="AB55" t="s">
        <v>845</v>
      </c>
      <c r="AC55" t="s">
        <v>846</v>
      </c>
      <c r="AD55" t="s">
        <v>907</v>
      </c>
      <c r="AE55" t="s">
        <v>908</v>
      </c>
      <c r="AF55">
        <v>1</v>
      </c>
      <c r="AG55">
        <v>452210</v>
      </c>
      <c r="AH55" t="s">
        <v>849</v>
      </c>
      <c r="AI55" t="s">
        <v>850</v>
      </c>
      <c r="AJ55" t="s">
        <v>851</v>
      </c>
      <c r="AK55" t="s">
        <v>293</v>
      </c>
      <c r="AL55" t="s">
        <v>1574</v>
      </c>
      <c r="AM55" t="s">
        <v>1575</v>
      </c>
      <c r="AN55" t="s">
        <v>854</v>
      </c>
      <c r="AO55">
        <v>36805</v>
      </c>
      <c r="AP55">
        <v>524</v>
      </c>
      <c r="AQ55" t="s">
        <v>855</v>
      </c>
      <c r="AR55">
        <v>66531575</v>
      </c>
      <c r="AS55" t="s">
        <v>856</v>
      </c>
      <c r="AU55" t="s">
        <v>2162</v>
      </c>
      <c r="AV55" t="s">
        <v>2163</v>
      </c>
      <c r="AX55" t="s">
        <v>913</v>
      </c>
      <c r="AY55" t="s">
        <v>861</v>
      </c>
      <c r="AZ55" t="s">
        <v>293</v>
      </c>
      <c r="BA55" t="s">
        <v>294</v>
      </c>
      <c r="BB55">
        <v>0</v>
      </c>
      <c r="BC55">
        <v>0</v>
      </c>
      <c r="BD55">
        <v>1</v>
      </c>
      <c r="BE55" t="s">
        <v>2157</v>
      </c>
      <c r="BF55">
        <v>0</v>
      </c>
      <c r="BG55">
        <v>0</v>
      </c>
      <c r="BH55" t="s">
        <v>862</v>
      </c>
      <c r="BI55">
        <v>0</v>
      </c>
      <c r="BJ55" t="s">
        <v>862</v>
      </c>
      <c r="BK55">
        <v>1</v>
      </c>
      <c r="BL55">
        <v>1</v>
      </c>
      <c r="BM55">
        <v>0</v>
      </c>
      <c r="BN55" t="s">
        <v>596</v>
      </c>
      <c r="BO55">
        <v>153517107</v>
      </c>
      <c r="BP55" t="s">
        <v>2156</v>
      </c>
      <c r="BR55">
        <v>42791434</v>
      </c>
      <c r="BT55">
        <v>2</v>
      </c>
      <c r="BU55" t="s">
        <v>1062</v>
      </c>
      <c r="BY55">
        <v>16</v>
      </c>
      <c r="CA55">
        <v>2</v>
      </c>
      <c r="CE55">
        <v>1</v>
      </c>
      <c r="CI55">
        <v>11</v>
      </c>
      <c r="CJ55" t="s">
        <v>94</v>
      </c>
      <c r="CM55">
        <v>4010</v>
      </c>
      <c r="CO55">
        <v>7360</v>
      </c>
      <c r="CP55">
        <v>0.2167</v>
      </c>
      <c r="CQ55">
        <v>0.2167</v>
      </c>
      <c r="CR55">
        <v>1.3</v>
      </c>
      <c r="CS55">
        <v>1</v>
      </c>
      <c r="CT55" t="s">
        <v>2163</v>
      </c>
      <c r="CU55" t="s">
        <v>2162</v>
      </c>
      <c r="CV55" t="s">
        <v>833</v>
      </c>
      <c r="CW55" t="s">
        <v>834</v>
      </c>
      <c r="CX55" t="s">
        <v>2157</v>
      </c>
      <c r="CY55">
        <v>1</v>
      </c>
      <c r="CZ55">
        <v>1</v>
      </c>
      <c r="DA55" t="s">
        <v>833</v>
      </c>
      <c r="DB55" t="s">
        <v>865</v>
      </c>
      <c r="DC55">
        <v>46805</v>
      </c>
      <c r="DD55">
        <v>2.0167000000000002</v>
      </c>
      <c r="DE55" t="s">
        <v>866</v>
      </c>
      <c r="DG55" t="s">
        <v>867</v>
      </c>
      <c r="DH55" t="s">
        <v>851</v>
      </c>
      <c r="DI55" t="s">
        <v>2164</v>
      </c>
      <c r="DK55" t="s">
        <v>918</v>
      </c>
      <c r="DL55" t="s">
        <v>869</v>
      </c>
      <c r="DM55">
        <v>0</v>
      </c>
      <c r="DN55">
        <v>0</v>
      </c>
      <c r="DO55">
        <v>11</v>
      </c>
      <c r="DP55" t="s">
        <v>1010</v>
      </c>
      <c r="DQ55">
        <v>16</v>
      </c>
      <c r="DR55">
        <v>121</v>
      </c>
      <c r="DS55">
        <v>121</v>
      </c>
      <c r="DT55">
        <v>1.8</v>
      </c>
      <c r="DU55">
        <v>4</v>
      </c>
      <c r="DV55">
        <v>1</v>
      </c>
      <c r="DW55">
        <v>2</v>
      </c>
      <c r="DX55" t="s">
        <v>596</v>
      </c>
      <c r="DY55" t="s">
        <v>2157</v>
      </c>
      <c r="DZ55">
        <v>1</v>
      </c>
      <c r="EA55">
        <v>1</v>
      </c>
      <c r="EB55">
        <v>1</v>
      </c>
      <c r="EC55">
        <v>1</v>
      </c>
      <c r="ED55">
        <v>1</v>
      </c>
      <c r="EE55">
        <v>1</v>
      </c>
      <c r="EF55" t="s">
        <v>920</v>
      </c>
      <c r="EG55" t="s">
        <v>595</v>
      </c>
      <c r="EH55" t="s">
        <v>921</v>
      </c>
      <c r="EI55" t="s">
        <v>921</v>
      </c>
      <c r="EJ55" t="s">
        <v>134</v>
      </c>
      <c r="EK55">
        <v>9090</v>
      </c>
      <c r="EL55">
        <v>0</v>
      </c>
      <c r="EM55" t="s">
        <v>1011</v>
      </c>
      <c r="EN55">
        <v>1.3</v>
      </c>
      <c r="EO55">
        <v>2.0166667</v>
      </c>
      <c r="EP55">
        <v>99991120</v>
      </c>
      <c r="EQ55" t="s">
        <v>874</v>
      </c>
      <c r="ER55" t="s">
        <v>875</v>
      </c>
      <c r="ES55" t="s">
        <v>876</v>
      </c>
      <c r="ET55" t="s">
        <v>877</v>
      </c>
      <c r="EU55" t="s">
        <v>877</v>
      </c>
      <c r="EV55" t="s">
        <v>920</v>
      </c>
      <c r="EX55" t="s">
        <v>900</v>
      </c>
      <c r="EY55" t="s">
        <v>1012</v>
      </c>
      <c r="EZ55" t="s">
        <v>1578</v>
      </c>
      <c r="FA55" t="s">
        <v>879</v>
      </c>
      <c r="FB55">
        <v>1</v>
      </c>
      <c r="FC55">
        <v>1</v>
      </c>
      <c r="FD55" s="41">
        <v>46207</v>
      </c>
      <c r="FE55" t="s">
        <v>1066</v>
      </c>
      <c r="FF55">
        <v>5</v>
      </c>
      <c r="FI55">
        <v>0</v>
      </c>
      <c r="FJ55" t="s">
        <v>2165</v>
      </c>
      <c r="FK55" t="s">
        <v>2166</v>
      </c>
      <c r="FL55">
        <v>1</v>
      </c>
      <c r="FM55" t="s">
        <v>2167</v>
      </c>
      <c r="FN55" t="s">
        <v>2168</v>
      </c>
      <c r="FO55">
        <v>1</v>
      </c>
      <c r="FP55" t="s">
        <v>2169</v>
      </c>
      <c r="FQ55" t="s">
        <v>2170</v>
      </c>
      <c r="FR55">
        <v>1</v>
      </c>
      <c r="FS55" t="s">
        <v>2171</v>
      </c>
      <c r="FT55" t="s">
        <v>2172</v>
      </c>
      <c r="FU55">
        <v>1</v>
      </c>
      <c r="FV55" t="s">
        <v>2173</v>
      </c>
      <c r="FW55" t="s">
        <v>2174</v>
      </c>
      <c r="FX55">
        <v>1</v>
      </c>
      <c r="FY55" t="s">
        <v>890</v>
      </c>
      <c r="FZ55" t="s">
        <v>2175</v>
      </c>
      <c r="GA55" t="s">
        <v>2165</v>
      </c>
      <c r="GB55">
        <v>1</v>
      </c>
      <c r="GD55">
        <v>0</v>
      </c>
      <c r="GF55">
        <v>0</v>
      </c>
      <c r="GG55">
        <v>1</v>
      </c>
      <c r="GH55" t="s">
        <v>892</v>
      </c>
      <c r="GI55" t="s">
        <v>893</v>
      </c>
      <c r="GJ55" t="s">
        <v>2166</v>
      </c>
      <c r="GM55">
        <v>1</v>
      </c>
      <c r="GN55">
        <v>1</v>
      </c>
      <c r="GO55">
        <v>0</v>
      </c>
      <c r="GP55">
        <v>1</v>
      </c>
      <c r="GQ55">
        <v>1</v>
      </c>
      <c r="GR55">
        <v>0</v>
      </c>
      <c r="GS55">
        <v>1</v>
      </c>
      <c r="GT55">
        <v>0</v>
      </c>
      <c r="GU55">
        <v>1</v>
      </c>
      <c r="GV55">
        <v>0</v>
      </c>
      <c r="GW55">
        <v>1</v>
      </c>
      <c r="GX55">
        <v>0</v>
      </c>
      <c r="GY55">
        <v>1</v>
      </c>
      <c r="GZ55">
        <v>0</v>
      </c>
      <c r="HA55" t="s">
        <v>293</v>
      </c>
      <c r="HB55" t="s">
        <v>894</v>
      </c>
      <c r="HC55" t="s">
        <v>935</v>
      </c>
      <c r="HD55" t="s">
        <v>845</v>
      </c>
      <c r="HE55" t="s">
        <v>900</v>
      </c>
      <c r="HF55" t="s">
        <v>1012</v>
      </c>
      <c r="HG55" t="s">
        <v>894</v>
      </c>
      <c r="HH55" t="s">
        <v>935</v>
      </c>
      <c r="HI55" t="s">
        <v>845</v>
      </c>
      <c r="HJ55" t="s">
        <v>900</v>
      </c>
      <c r="HK55" t="s">
        <v>1011</v>
      </c>
      <c r="HL55" t="s">
        <v>138</v>
      </c>
      <c r="HM55" t="s">
        <v>854</v>
      </c>
      <c r="HN55">
        <v>36805</v>
      </c>
      <c r="HP55" t="s">
        <v>134</v>
      </c>
      <c r="HQ55" t="s">
        <v>896</v>
      </c>
      <c r="HR55" t="s">
        <v>896</v>
      </c>
      <c r="HS55" t="s">
        <v>896</v>
      </c>
    </row>
    <row r="56" spans="1:227" x14ac:dyDescent="0.2">
      <c r="A56">
        <v>8702</v>
      </c>
      <c r="B56">
        <v>7606002214</v>
      </c>
      <c r="C56">
        <v>82</v>
      </c>
      <c r="D56" t="s">
        <v>969</v>
      </c>
      <c r="E56" t="s">
        <v>897</v>
      </c>
      <c r="F56">
        <v>4</v>
      </c>
      <c r="G56" t="s">
        <v>2176</v>
      </c>
      <c r="H56" t="s">
        <v>2176</v>
      </c>
      <c r="I56">
        <v>0</v>
      </c>
      <c r="J56" t="s">
        <v>833</v>
      </c>
      <c r="K56" t="s">
        <v>834</v>
      </c>
      <c r="L56">
        <v>153406488</v>
      </c>
      <c r="M56" t="s">
        <v>2177</v>
      </c>
      <c r="N56" t="s">
        <v>900</v>
      </c>
      <c r="O56" t="s">
        <v>837</v>
      </c>
      <c r="P56" t="s">
        <v>2178</v>
      </c>
      <c r="Q56" t="s">
        <v>2179</v>
      </c>
      <c r="R56" t="s">
        <v>2180</v>
      </c>
      <c r="S56" t="s">
        <v>2181</v>
      </c>
      <c r="T56">
        <v>41477115259</v>
      </c>
      <c r="V56" t="s">
        <v>202</v>
      </c>
      <c r="W56" s="41">
        <v>46082</v>
      </c>
      <c r="X56" t="s">
        <v>2182</v>
      </c>
      <c r="Y56" t="s">
        <v>2183</v>
      </c>
      <c r="AA56">
        <v>0</v>
      </c>
      <c r="AB56" t="s">
        <v>845</v>
      </c>
      <c r="AC56" t="s">
        <v>846</v>
      </c>
      <c r="AD56" t="s">
        <v>1113</v>
      </c>
      <c r="AE56" t="s">
        <v>1114</v>
      </c>
      <c r="AF56">
        <v>1</v>
      </c>
      <c r="AG56">
        <v>452210</v>
      </c>
      <c r="AH56" t="s">
        <v>849</v>
      </c>
      <c r="AI56" t="s">
        <v>850</v>
      </c>
      <c r="AJ56" t="s">
        <v>851</v>
      </c>
      <c r="AK56" t="s">
        <v>297</v>
      </c>
      <c r="AL56" t="s">
        <v>2184</v>
      </c>
      <c r="AM56" t="s">
        <v>947</v>
      </c>
      <c r="AN56" t="s">
        <v>854</v>
      </c>
      <c r="AO56">
        <v>36805</v>
      </c>
      <c r="AP56">
        <v>643</v>
      </c>
      <c r="AQ56" t="s">
        <v>855</v>
      </c>
      <c r="AR56">
        <v>66355849</v>
      </c>
      <c r="AS56" t="s">
        <v>856</v>
      </c>
      <c r="AU56" t="s">
        <v>2185</v>
      </c>
      <c r="AV56" t="s">
        <v>2186</v>
      </c>
      <c r="AX56" t="s">
        <v>913</v>
      </c>
      <c r="AY56" t="s">
        <v>861</v>
      </c>
      <c r="AZ56" t="s">
        <v>297</v>
      </c>
      <c r="BA56" t="s">
        <v>298</v>
      </c>
      <c r="BB56">
        <v>1</v>
      </c>
      <c r="BC56">
        <v>0</v>
      </c>
      <c r="BD56">
        <v>0</v>
      </c>
      <c r="BE56" t="s">
        <v>2177</v>
      </c>
      <c r="BF56">
        <v>0</v>
      </c>
      <c r="BG56">
        <v>0</v>
      </c>
      <c r="BH56" t="s">
        <v>862</v>
      </c>
      <c r="BI56">
        <v>0</v>
      </c>
      <c r="BJ56" t="s">
        <v>862</v>
      </c>
      <c r="BK56">
        <v>1</v>
      </c>
      <c r="BL56">
        <v>1</v>
      </c>
      <c r="BM56">
        <v>0</v>
      </c>
      <c r="BN56" t="s">
        <v>596</v>
      </c>
      <c r="BO56">
        <v>153406488</v>
      </c>
      <c r="BP56" t="s">
        <v>2176</v>
      </c>
      <c r="BR56">
        <v>42791774</v>
      </c>
      <c r="BT56">
        <v>2</v>
      </c>
      <c r="BU56" t="s">
        <v>1715</v>
      </c>
      <c r="CE56">
        <v>1</v>
      </c>
      <c r="CI56">
        <v>11</v>
      </c>
      <c r="CJ56" t="s">
        <v>94</v>
      </c>
      <c r="CM56">
        <v>4010</v>
      </c>
      <c r="CO56">
        <v>7360</v>
      </c>
      <c r="CP56">
        <v>4.0167000000000002</v>
      </c>
      <c r="CQ56">
        <v>4.0167000000000002</v>
      </c>
      <c r="CR56">
        <v>0.76670000000000005</v>
      </c>
      <c r="CS56">
        <v>13</v>
      </c>
      <c r="CT56" t="s">
        <v>2187</v>
      </c>
      <c r="CU56" t="s">
        <v>2188</v>
      </c>
      <c r="CV56" t="s">
        <v>833</v>
      </c>
      <c r="CW56" t="s">
        <v>834</v>
      </c>
      <c r="CX56" t="s">
        <v>2177</v>
      </c>
      <c r="CY56">
        <v>1</v>
      </c>
      <c r="CZ56">
        <v>1</v>
      </c>
      <c r="DA56" t="s">
        <v>833</v>
      </c>
      <c r="DB56" t="s">
        <v>865</v>
      </c>
      <c r="DC56">
        <v>48083</v>
      </c>
      <c r="DD56">
        <v>5.0332999999999997</v>
      </c>
      <c r="DE56" t="s">
        <v>866</v>
      </c>
      <c r="DG56" t="s">
        <v>867</v>
      </c>
      <c r="DH56" t="s">
        <v>851</v>
      </c>
      <c r="DJ56">
        <v>643</v>
      </c>
      <c r="DK56" t="s">
        <v>918</v>
      </c>
      <c r="DL56" t="s">
        <v>869</v>
      </c>
      <c r="DM56">
        <v>0</v>
      </c>
      <c r="DN56">
        <v>0</v>
      </c>
      <c r="DO56">
        <v>11</v>
      </c>
      <c r="DP56" t="s">
        <v>1010</v>
      </c>
      <c r="DQ56">
        <v>0</v>
      </c>
      <c r="DR56">
        <v>302</v>
      </c>
      <c r="DS56">
        <v>302</v>
      </c>
      <c r="DT56">
        <v>1.0166999999999999</v>
      </c>
      <c r="DU56">
        <v>0</v>
      </c>
      <c r="DV56">
        <v>1</v>
      </c>
      <c r="DW56">
        <v>1</v>
      </c>
      <c r="DX56" t="s">
        <v>596</v>
      </c>
      <c r="DY56" t="s">
        <v>2177</v>
      </c>
      <c r="DZ56">
        <v>1</v>
      </c>
      <c r="EA56">
        <v>1</v>
      </c>
      <c r="EB56">
        <v>1</v>
      </c>
      <c r="EC56">
        <v>1</v>
      </c>
      <c r="ED56">
        <v>1</v>
      </c>
      <c r="EE56">
        <v>1</v>
      </c>
      <c r="EF56" t="s">
        <v>871</v>
      </c>
      <c r="EG56" t="s">
        <v>595</v>
      </c>
      <c r="EH56" t="s">
        <v>1036</v>
      </c>
      <c r="EI56" t="s">
        <v>1036</v>
      </c>
      <c r="EJ56" t="s">
        <v>178</v>
      </c>
      <c r="EK56">
        <v>9090</v>
      </c>
      <c r="EL56">
        <v>0</v>
      </c>
      <c r="EM56" t="s">
        <v>952</v>
      </c>
      <c r="EN56">
        <v>0.76670000000000005</v>
      </c>
      <c r="EO56">
        <v>5.0333332999999998</v>
      </c>
      <c r="EP56">
        <v>99991120</v>
      </c>
      <c r="EQ56" t="s">
        <v>874</v>
      </c>
      <c r="ER56" t="s">
        <v>875</v>
      </c>
      <c r="ES56" t="s">
        <v>876</v>
      </c>
      <c r="ET56" t="s">
        <v>877</v>
      </c>
      <c r="EU56" t="s">
        <v>877</v>
      </c>
      <c r="EV56" t="s">
        <v>871</v>
      </c>
      <c r="EX56" t="s">
        <v>953</v>
      </c>
      <c r="EY56" t="s">
        <v>954</v>
      </c>
      <c r="EZ56" t="s">
        <v>955</v>
      </c>
      <c r="FA56" t="s">
        <v>956</v>
      </c>
      <c r="FB56">
        <v>1</v>
      </c>
      <c r="FC56">
        <v>1</v>
      </c>
      <c r="FD56" s="41">
        <v>46088</v>
      </c>
      <c r="FE56" t="s">
        <v>1719</v>
      </c>
      <c r="FF56">
        <v>7</v>
      </c>
      <c r="FG56" t="s">
        <v>2189</v>
      </c>
      <c r="FH56" t="s">
        <v>2190</v>
      </c>
      <c r="FI56">
        <v>1</v>
      </c>
      <c r="FJ56" t="s">
        <v>2191</v>
      </c>
      <c r="FK56" t="s">
        <v>2192</v>
      </c>
      <c r="FL56">
        <v>1</v>
      </c>
      <c r="FM56" t="s">
        <v>2193</v>
      </c>
      <c r="FN56" t="s">
        <v>2194</v>
      </c>
      <c r="FO56">
        <v>1</v>
      </c>
      <c r="FP56" t="s">
        <v>2195</v>
      </c>
      <c r="FQ56" t="s">
        <v>2188</v>
      </c>
      <c r="FR56">
        <v>1</v>
      </c>
      <c r="FS56" t="s">
        <v>2196</v>
      </c>
      <c r="FT56" t="s">
        <v>2197</v>
      </c>
      <c r="FU56">
        <v>1</v>
      </c>
      <c r="FV56" t="s">
        <v>2198</v>
      </c>
      <c r="FW56" t="s">
        <v>2199</v>
      </c>
      <c r="FX56">
        <v>1</v>
      </c>
      <c r="FY56" t="s">
        <v>890</v>
      </c>
      <c r="FZ56" t="s">
        <v>2200</v>
      </c>
      <c r="GA56" t="s">
        <v>2191</v>
      </c>
      <c r="GB56">
        <v>1</v>
      </c>
      <c r="GD56">
        <v>0</v>
      </c>
      <c r="GF56">
        <v>0</v>
      </c>
      <c r="GG56">
        <v>1</v>
      </c>
      <c r="GH56" t="s">
        <v>892</v>
      </c>
      <c r="GI56" t="s">
        <v>893</v>
      </c>
      <c r="GJ56" t="s">
        <v>2192</v>
      </c>
      <c r="GM56">
        <v>1</v>
      </c>
      <c r="GN56">
        <v>1</v>
      </c>
      <c r="GO56">
        <v>0</v>
      </c>
      <c r="GP56">
        <v>1</v>
      </c>
      <c r="GQ56">
        <v>1</v>
      </c>
      <c r="GR56">
        <v>0</v>
      </c>
      <c r="GS56">
        <v>1</v>
      </c>
      <c r="GT56">
        <v>0</v>
      </c>
      <c r="GU56">
        <v>1</v>
      </c>
      <c r="GV56">
        <v>0</v>
      </c>
      <c r="GW56">
        <v>1</v>
      </c>
      <c r="GX56">
        <v>0</v>
      </c>
      <c r="GY56">
        <v>1</v>
      </c>
      <c r="GZ56">
        <v>0</v>
      </c>
      <c r="HA56" t="s">
        <v>297</v>
      </c>
      <c r="HB56" t="s">
        <v>894</v>
      </c>
      <c r="HC56" t="s">
        <v>935</v>
      </c>
      <c r="HD56" t="s">
        <v>845</v>
      </c>
      <c r="HE56" t="s">
        <v>900</v>
      </c>
      <c r="HF56" t="s">
        <v>923</v>
      </c>
      <c r="HG56" t="s">
        <v>894</v>
      </c>
      <c r="HH56" t="s">
        <v>935</v>
      </c>
      <c r="HI56" t="s">
        <v>845</v>
      </c>
      <c r="HJ56" t="s">
        <v>900</v>
      </c>
      <c r="HK56" t="s">
        <v>952</v>
      </c>
      <c r="HL56" t="s">
        <v>202</v>
      </c>
      <c r="HM56" t="s">
        <v>854</v>
      </c>
      <c r="HN56">
        <v>36805</v>
      </c>
      <c r="HP56" t="s">
        <v>178</v>
      </c>
      <c r="HQ56" t="s">
        <v>896</v>
      </c>
      <c r="HR56" t="s">
        <v>896</v>
      </c>
      <c r="HS56" t="s">
        <v>896</v>
      </c>
    </row>
    <row r="57" spans="1:227" x14ac:dyDescent="0.2">
      <c r="A57">
        <v>8702</v>
      </c>
      <c r="B57">
        <v>7536509827</v>
      </c>
      <c r="C57" t="s">
        <v>829</v>
      </c>
      <c r="D57" t="s">
        <v>830</v>
      </c>
      <c r="E57" t="s">
        <v>897</v>
      </c>
      <c r="F57">
        <v>1</v>
      </c>
      <c r="G57" t="s">
        <v>2201</v>
      </c>
      <c r="H57" t="s">
        <v>2201</v>
      </c>
      <c r="I57">
        <v>0</v>
      </c>
      <c r="J57" t="s">
        <v>833</v>
      </c>
      <c r="K57" t="s">
        <v>834</v>
      </c>
      <c r="L57">
        <v>153008238</v>
      </c>
      <c r="M57" t="s">
        <v>2202</v>
      </c>
      <c r="N57" t="s">
        <v>900</v>
      </c>
      <c r="O57" t="s">
        <v>837</v>
      </c>
      <c r="P57" t="s">
        <v>838</v>
      </c>
      <c r="Q57" t="s">
        <v>1251</v>
      </c>
      <c r="R57" t="s">
        <v>2203</v>
      </c>
      <c r="S57" t="s">
        <v>2204</v>
      </c>
      <c r="T57">
        <v>41477066624</v>
      </c>
      <c r="V57" t="s">
        <v>133</v>
      </c>
      <c r="W57" s="41">
        <v>46022</v>
      </c>
      <c r="X57" t="s">
        <v>2205</v>
      </c>
      <c r="Y57" t="s">
        <v>2206</v>
      </c>
      <c r="AA57">
        <v>0</v>
      </c>
      <c r="AB57" t="s">
        <v>845</v>
      </c>
      <c r="AC57" t="s">
        <v>846</v>
      </c>
      <c r="AD57" t="s">
        <v>847</v>
      </c>
      <c r="AE57" t="s">
        <v>848</v>
      </c>
      <c r="AF57">
        <v>1</v>
      </c>
      <c r="AG57">
        <v>452210</v>
      </c>
      <c r="AH57" t="s">
        <v>849</v>
      </c>
      <c r="AI57" t="s">
        <v>850</v>
      </c>
      <c r="AJ57" t="s">
        <v>851</v>
      </c>
      <c r="AK57" t="s">
        <v>307</v>
      </c>
      <c r="AL57" t="s">
        <v>2207</v>
      </c>
      <c r="AM57" t="s">
        <v>2208</v>
      </c>
      <c r="AN57" t="s">
        <v>854</v>
      </c>
      <c r="AO57">
        <v>36805</v>
      </c>
      <c r="AP57">
        <v>525</v>
      </c>
      <c r="AQ57" t="s">
        <v>855</v>
      </c>
      <c r="AR57">
        <v>66269774</v>
      </c>
      <c r="AS57" t="s">
        <v>856</v>
      </c>
      <c r="AU57" t="s">
        <v>2209</v>
      </c>
      <c r="AV57" t="s">
        <v>2210</v>
      </c>
      <c r="AX57" t="s">
        <v>913</v>
      </c>
      <c r="AY57" t="s">
        <v>861</v>
      </c>
      <c r="AZ57" t="s">
        <v>307</v>
      </c>
      <c r="BA57" t="s">
        <v>308</v>
      </c>
      <c r="BB57">
        <v>0</v>
      </c>
      <c r="BC57">
        <v>0</v>
      </c>
      <c r="BD57">
        <v>0</v>
      </c>
      <c r="BE57" t="s">
        <v>2202</v>
      </c>
      <c r="BF57">
        <v>0</v>
      </c>
      <c r="BG57">
        <v>0</v>
      </c>
      <c r="BH57" t="s">
        <v>862</v>
      </c>
      <c r="BI57">
        <v>0</v>
      </c>
      <c r="BJ57" t="s">
        <v>862</v>
      </c>
      <c r="BK57">
        <v>1</v>
      </c>
      <c r="BL57">
        <v>1</v>
      </c>
      <c r="BM57">
        <v>0</v>
      </c>
      <c r="BN57" t="s">
        <v>596</v>
      </c>
      <c r="BO57">
        <v>153008238</v>
      </c>
      <c r="BP57" t="s">
        <v>2201</v>
      </c>
      <c r="BQ57">
        <v>39.906392699999998</v>
      </c>
      <c r="BR57">
        <v>42791436</v>
      </c>
      <c r="BS57">
        <v>-86.095021000000003</v>
      </c>
      <c r="BT57">
        <v>0</v>
      </c>
      <c r="CM57">
        <v>4010</v>
      </c>
      <c r="CO57">
        <v>7360</v>
      </c>
      <c r="CP57">
        <v>1.0166999999999999</v>
      </c>
      <c r="CQ57">
        <v>1.0166999999999999</v>
      </c>
      <c r="CR57">
        <v>0.26669999999999999</v>
      </c>
      <c r="CS57">
        <v>2</v>
      </c>
      <c r="CT57" t="s">
        <v>2210</v>
      </c>
      <c r="CU57" t="s">
        <v>2209</v>
      </c>
      <c r="CV57" t="s">
        <v>833</v>
      </c>
      <c r="CW57" t="s">
        <v>834</v>
      </c>
      <c r="CX57" t="s">
        <v>2202</v>
      </c>
      <c r="CY57">
        <v>0</v>
      </c>
      <c r="CZ57">
        <v>0</v>
      </c>
      <c r="DA57" t="s">
        <v>833</v>
      </c>
      <c r="DB57" t="s">
        <v>865</v>
      </c>
      <c r="DC57">
        <v>46250</v>
      </c>
      <c r="DD57">
        <v>1.9666999999999999</v>
      </c>
      <c r="DE57" t="s">
        <v>866</v>
      </c>
      <c r="DG57" t="s">
        <v>867</v>
      </c>
      <c r="DH57" t="s">
        <v>851</v>
      </c>
      <c r="DI57" t="s">
        <v>2211</v>
      </c>
      <c r="DL57" t="s">
        <v>869</v>
      </c>
      <c r="DM57">
        <v>0</v>
      </c>
      <c r="DN57">
        <v>0</v>
      </c>
      <c r="DO57">
        <v>3</v>
      </c>
      <c r="DP57" t="s">
        <v>919</v>
      </c>
      <c r="DQ57">
        <v>16</v>
      </c>
      <c r="DR57">
        <v>118</v>
      </c>
      <c r="DS57">
        <v>118</v>
      </c>
      <c r="DT57">
        <v>0.95</v>
      </c>
      <c r="DU57">
        <v>4</v>
      </c>
      <c r="DW57">
        <v>2</v>
      </c>
      <c r="DX57" t="s">
        <v>596</v>
      </c>
      <c r="DY57" t="s">
        <v>2202</v>
      </c>
      <c r="DZ57">
        <v>1</v>
      </c>
      <c r="EA57">
        <v>1</v>
      </c>
      <c r="EB57">
        <v>1</v>
      </c>
      <c r="EC57">
        <v>1</v>
      </c>
      <c r="ED57">
        <v>1</v>
      </c>
      <c r="EE57">
        <v>1</v>
      </c>
      <c r="EF57" t="s">
        <v>920</v>
      </c>
      <c r="EG57" t="s">
        <v>595</v>
      </c>
      <c r="EH57" t="s">
        <v>921</v>
      </c>
      <c r="EI57" t="s">
        <v>921</v>
      </c>
      <c r="EJ57" t="s">
        <v>134</v>
      </c>
      <c r="EK57">
        <v>9090</v>
      </c>
      <c r="EL57">
        <v>0</v>
      </c>
      <c r="EM57" t="s">
        <v>1011</v>
      </c>
      <c r="EN57">
        <v>0.26669999999999999</v>
      </c>
      <c r="EO57">
        <v>1.9666665999999999</v>
      </c>
      <c r="EP57">
        <v>99991120</v>
      </c>
      <c r="EQ57" t="s">
        <v>874</v>
      </c>
      <c r="ER57" t="s">
        <v>875</v>
      </c>
      <c r="ES57" t="s">
        <v>876</v>
      </c>
      <c r="ET57" t="s">
        <v>877</v>
      </c>
      <c r="EU57" t="s">
        <v>877</v>
      </c>
      <c r="EV57" t="s">
        <v>920</v>
      </c>
      <c r="EX57" t="s">
        <v>953</v>
      </c>
      <c r="EY57" t="s">
        <v>1555</v>
      </c>
      <c r="EZ57" t="s">
        <v>1013</v>
      </c>
      <c r="FA57" t="s">
        <v>925</v>
      </c>
      <c r="FB57">
        <v>1</v>
      </c>
      <c r="FC57">
        <v>1</v>
      </c>
      <c r="FD57" s="41">
        <v>46025</v>
      </c>
      <c r="FE57" t="s">
        <v>957</v>
      </c>
      <c r="FF57">
        <v>8</v>
      </c>
      <c r="FG57" t="s">
        <v>2212</v>
      </c>
      <c r="FH57" t="s">
        <v>2213</v>
      </c>
      <c r="FI57">
        <v>1</v>
      </c>
      <c r="FJ57" t="s">
        <v>2214</v>
      </c>
      <c r="FK57" t="s">
        <v>2213</v>
      </c>
      <c r="FL57">
        <v>1</v>
      </c>
      <c r="FM57" t="s">
        <v>2215</v>
      </c>
      <c r="FN57" t="s">
        <v>2216</v>
      </c>
      <c r="FO57">
        <v>1</v>
      </c>
      <c r="FP57" t="s">
        <v>2217</v>
      </c>
      <c r="FQ57" t="s">
        <v>2218</v>
      </c>
      <c r="FR57">
        <v>1</v>
      </c>
      <c r="FS57" t="s">
        <v>2219</v>
      </c>
      <c r="FT57" t="s">
        <v>2220</v>
      </c>
      <c r="FU57">
        <v>1</v>
      </c>
      <c r="FV57" t="s">
        <v>2221</v>
      </c>
      <c r="FW57" t="s">
        <v>2222</v>
      </c>
      <c r="FX57">
        <v>1</v>
      </c>
      <c r="FY57" t="s">
        <v>890</v>
      </c>
      <c r="FZ57" t="s">
        <v>2223</v>
      </c>
      <c r="GA57" t="s">
        <v>2214</v>
      </c>
      <c r="GB57">
        <v>1</v>
      </c>
      <c r="GD57">
        <v>0</v>
      </c>
      <c r="GF57">
        <v>0</v>
      </c>
      <c r="GG57">
        <v>1</v>
      </c>
      <c r="GH57" t="s">
        <v>892</v>
      </c>
      <c r="GI57" t="s">
        <v>893</v>
      </c>
      <c r="GJ57" t="s">
        <v>2213</v>
      </c>
      <c r="GM57">
        <v>1</v>
      </c>
      <c r="GN57">
        <v>1</v>
      </c>
      <c r="GO57">
        <v>0</v>
      </c>
      <c r="GP57">
        <v>1</v>
      </c>
      <c r="GQ57">
        <v>1</v>
      </c>
      <c r="GR57">
        <v>0</v>
      </c>
      <c r="GS57">
        <v>1</v>
      </c>
      <c r="GT57">
        <v>0</v>
      </c>
      <c r="GU57">
        <v>1</v>
      </c>
      <c r="GV57">
        <v>0</v>
      </c>
      <c r="GW57">
        <v>1</v>
      </c>
      <c r="GX57">
        <v>0</v>
      </c>
      <c r="GY57">
        <v>1</v>
      </c>
      <c r="GZ57">
        <v>0</v>
      </c>
      <c r="HA57" t="s">
        <v>307</v>
      </c>
      <c r="HB57" t="s">
        <v>894</v>
      </c>
      <c r="HC57" t="s">
        <v>935</v>
      </c>
      <c r="HD57" t="s">
        <v>845</v>
      </c>
      <c r="HE57" t="s">
        <v>900</v>
      </c>
      <c r="HF57" t="s">
        <v>1012</v>
      </c>
      <c r="HG57" t="s">
        <v>894</v>
      </c>
      <c r="HH57" t="s">
        <v>935</v>
      </c>
      <c r="HI57" t="s">
        <v>845</v>
      </c>
      <c r="HJ57" t="s">
        <v>900</v>
      </c>
      <c r="HK57" t="s">
        <v>1011</v>
      </c>
      <c r="HL57" t="s">
        <v>133</v>
      </c>
      <c r="HM57" t="s">
        <v>854</v>
      </c>
      <c r="HN57">
        <v>36805</v>
      </c>
      <c r="HP57" t="s">
        <v>134</v>
      </c>
      <c r="HQ57" t="s">
        <v>896</v>
      </c>
      <c r="HR57" t="s">
        <v>896</v>
      </c>
      <c r="HS57" t="s">
        <v>896</v>
      </c>
    </row>
    <row r="58" spans="1:227" x14ac:dyDescent="0.2">
      <c r="A58">
        <v>8702</v>
      </c>
      <c r="B58">
        <v>7601102405</v>
      </c>
      <c r="C58" t="s">
        <v>1171</v>
      </c>
      <c r="D58" t="s">
        <v>1172</v>
      </c>
      <c r="E58" t="s">
        <v>897</v>
      </c>
      <c r="F58">
        <v>0</v>
      </c>
      <c r="G58" t="s">
        <v>2224</v>
      </c>
      <c r="H58" t="s">
        <v>2224</v>
      </c>
      <c r="I58">
        <v>0</v>
      </c>
      <c r="J58" t="s">
        <v>833</v>
      </c>
      <c r="K58" t="s">
        <v>834</v>
      </c>
      <c r="L58">
        <v>153195500</v>
      </c>
      <c r="M58" t="s">
        <v>2225</v>
      </c>
      <c r="N58" t="s">
        <v>900</v>
      </c>
      <c r="O58" t="s">
        <v>837</v>
      </c>
      <c r="P58" t="s">
        <v>1175</v>
      </c>
      <c r="Q58" t="s">
        <v>1176</v>
      </c>
      <c r="R58" t="s">
        <v>2226</v>
      </c>
      <c r="S58" t="s">
        <v>2227</v>
      </c>
      <c r="T58">
        <v>41477122128</v>
      </c>
      <c r="V58" t="s">
        <v>133</v>
      </c>
      <c r="W58" s="41">
        <v>46033</v>
      </c>
      <c r="X58" t="s">
        <v>2228</v>
      </c>
      <c r="Y58" t="s">
        <v>2229</v>
      </c>
      <c r="Z58">
        <v>1</v>
      </c>
      <c r="AA58">
        <v>0</v>
      </c>
      <c r="AB58" t="s">
        <v>845</v>
      </c>
      <c r="AC58" t="s">
        <v>846</v>
      </c>
      <c r="AD58" t="s">
        <v>847</v>
      </c>
      <c r="AE58" t="s">
        <v>848</v>
      </c>
      <c r="AF58">
        <v>1</v>
      </c>
      <c r="AG58">
        <v>452210</v>
      </c>
      <c r="AH58" t="s">
        <v>849</v>
      </c>
      <c r="AI58" t="s">
        <v>850</v>
      </c>
      <c r="AJ58" t="s">
        <v>851</v>
      </c>
      <c r="AK58" t="s">
        <v>263</v>
      </c>
      <c r="AL58" t="s">
        <v>2230</v>
      </c>
      <c r="AM58" t="s">
        <v>1182</v>
      </c>
      <c r="AN58" t="s">
        <v>854</v>
      </c>
      <c r="AO58">
        <v>36805</v>
      </c>
      <c r="AP58">
        <v>526</v>
      </c>
      <c r="AQ58" t="s">
        <v>855</v>
      </c>
      <c r="AR58">
        <v>66285803</v>
      </c>
      <c r="AS58" t="s">
        <v>856</v>
      </c>
      <c r="AU58" t="s">
        <v>2231</v>
      </c>
      <c r="AV58" t="s">
        <v>2232</v>
      </c>
      <c r="AW58" t="s">
        <v>1149</v>
      </c>
      <c r="AX58" t="s">
        <v>1150</v>
      </c>
      <c r="AY58" t="s">
        <v>861</v>
      </c>
      <c r="AZ58" t="s">
        <v>263</v>
      </c>
      <c r="BA58" t="s">
        <v>264</v>
      </c>
      <c r="BB58">
        <v>0</v>
      </c>
      <c r="BC58">
        <v>0</v>
      </c>
      <c r="BD58">
        <v>0</v>
      </c>
      <c r="BE58" t="s">
        <v>2225</v>
      </c>
      <c r="BF58">
        <v>0</v>
      </c>
      <c r="BG58">
        <v>0</v>
      </c>
      <c r="BH58" t="s">
        <v>862</v>
      </c>
      <c r="BI58">
        <v>0</v>
      </c>
      <c r="BJ58" t="s">
        <v>862</v>
      </c>
      <c r="BK58">
        <v>1</v>
      </c>
      <c r="BL58">
        <v>0</v>
      </c>
      <c r="BM58">
        <v>0</v>
      </c>
      <c r="BN58" t="s">
        <v>596</v>
      </c>
      <c r="BO58">
        <v>153195500</v>
      </c>
      <c r="BP58" t="s">
        <v>2224</v>
      </c>
      <c r="BQ58">
        <v>39.913452700000001</v>
      </c>
      <c r="BR58">
        <v>42791437</v>
      </c>
      <c r="BS58">
        <v>-86.201971099999994</v>
      </c>
      <c r="BT58">
        <v>2</v>
      </c>
      <c r="BU58" t="s">
        <v>1367</v>
      </c>
      <c r="CE58">
        <v>1</v>
      </c>
      <c r="CI58">
        <v>11</v>
      </c>
      <c r="CJ58" t="s">
        <v>94</v>
      </c>
      <c r="CM58">
        <v>4010</v>
      </c>
      <c r="CO58">
        <v>7360</v>
      </c>
      <c r="CP58">
        <v>0.1167</v>
      </c>
      <c r="CQ58">
        <v>0.1167</v>
      </c>
      <c r="CR58">
        <v>0.7</v>
      </c>
      <c r="CS58">
        <v>5</v>
      </c>
      <c r="CT58" t="s">
        <v>2233</v>
      </c>
      <c r="CU58" t="s">
        <v>2234</v>
      </c>
      <c r="CV58" t="s">
        <v>833</v>
      </c>
      <c r="CW58" t="s">
        <v>834</v>
      </c>
      <c r="CX58" t="s">
        <v>2225</v>
      </c>
      <c r="CY58">
        <v>0</v>
      </c>
      <c r="CZ58">
        <v>0</v>
      </c>
      <c r="DA58" t="s">
        <v>833</v>
      </c>
      <c r="DB58" t="s">
        <v>865</v>
      </c>
      <c r="DC58">
        <v>46260</v>
      </c>
      <c r="DD58">
        <v>3.5333000000000001</v>
      </c>
      <c r="DE58" t="s">
        <v>866</v>
      </c>
      <c r="DG58" t="s">
        <v>867</v>
      </c>
      <c r="DH58" t="s">
        <v>851</v>
      </c>
      <c r="DI58" t="s">
        <v>1554</v>
      </c>
      <c r="DK58" t="s">
        <v>918</v>
      </c>
      <c r="DL58" t="s">
        <v>869</v>
      </c>
      <c r="DM58">
        <v>0</v>
      </c>
      <c r="DN58">
        <v>0</v>
      </c>
      <c r="DO58">
        <v>2</v>
      </c>
      <c r="DP58" t="s">
        <v>870</v>
      </c>
      <c r="DQ58">
        <v>16</v>
      </c>
      <c r="DR58">
        <v>212</v>
      </c>
      <c r="DS58">
        <v>212</v>
      </c>
      <c r="DT58">
        <v>3.4167000000000001</v>
      </c>
      <c r="DU58">
        <v>4</v>
      </c>
      <c r="DV58">
        <v>1</v>
      </c>
      <c r="DW58">
        <v>2</v>
      </c>
      <c r="DX58" t="s">
        <v>594</v>
      </c>
      <c r="DY58" t="s">
        <v>2225</v>
      </c>
      <c r="DZ58">
        <v>0</v>
      </c>
      <c r="EA58">
        <v>0</v>
      </c>
      <c r="EB58">
        <v>0</v>
      </c>
      <c r="EC58">
        <v>0</v>
      </c>
      <c r="ED58">
        <v>0</v>
      </c>
      <c r="EE58">
        <v>0</v>
      </c>
      <c r="EF58" t="s">
        <v>920</v>
      </c>
      <c r="EG58" t="s">
        <v>595</v>
      </c>
      <c r="EH58" t="s">
        <v>872</v>
      </c>
      <c r="EI58" t="s">
        <v>872</v>
      </c>
      <c r="EJ58" t="s">
        <v>134</v>
      </c>
      <c r="EK58">
        <v>9090</v>
      </c>
      <c r="EL58">
        <v>0</v>
      </c>
      <c r="EM58" t="s">
        <v>1011</v>
      </c>
      <c r="EN58">
        <v>0.7</v>
      </c>
      <c r="EO58">
        <v>3.5333332999999998</v>
      </c>
      <c r="EP58">
        <v>99991120</v>
      </c>
      <c r="EQ58" t="s">
        <v>874</v>
      </c>
      <c r="ER58" t="s">
        <v>875</v>
      </c>
      <c r="ES58" t="s">
        <v>876</v>
      </c>
      <c r="ET58" t="s">
        <v>877</v>
      </c>
      <c r="EU58" t="s">
        <v>877</v>
      </c>
      <c r="EV58" t="s">
        <v>920</v>
      </c>
      <c r="EX58" t="s">
        <v>953</v>
      </c>
      <c r="EY58" t="s">
        <v>1555</v>
      </c>
      <c r="EZ58" t="s">
        <v>1013</v>
      </c>
      <c r="FA58" t="s">
        <v>925</v>
      </c>
      <c r="FB58">
        <v>1</v>
      </c>
      <c r="FC58">
        <v>1</v>
      </c>
      <c r="FD58" s="41">
        <v>46039</v>
      </c>
      <c r="FE58" t="s">
        <v>1370</v>
      </c>
      <c r="FF58">
        <v>7</v>
      </c>
      <c r="FG58" t="s">
        <v>2235</v>
      </c>
      <c r="FH58" t="s">
        <v>2236</v>
      </c>
      <c r="FI58">
        <v>1</v>
      </c>
      <c r="FJ58" t="s">
        <v>2237</v>
      </c>
      <c r="FK58" t="s">
        <v>2236</v>
      </c>
      <c r="FL58">
        <v>1</v>
      </c>
      <c r="FM58" t="s">
        <v>2238</v>
      </c>
      <c r="FN58" t="s">
        <v>2239</v>
      </c>
      <c r="FO58">
        <v>1</v>
      </c>
      <c r="FP58" t="s">
        <v>2240</v>
      </c>
      <c r="FQ58" t="s">
        <v>2234</v>
      </c>
      <c r="FR58">
        <v>1</v>
      </c>
      <c r="FS58" t="s">
        <v>1984</v>
      </c>
      <c r="FT58" t="s">
        <v>2241</v>
      </c>
      <c r="FU58">
        <v>1</v>
      </c>
      <c r="FV58" t="s">
        <v>1986</v>
      </c>
      <c r="FW58" t="s">
        <v>2242</v>
      </c>
      <c r="FX58">
        <v>1</v>
      </c>
      <c r="FY58" t="s">
        <v>890</v>
      </c>
      <c r="FZ58" t="s">
        <v>2243</v>
      </c>
      <c r="GA58" t="s">
        <v>2237</v>
      </c>
      <c r="GB58">
        <v>1</v>
      </c>
      <c r="GD58">
        <v>0</v>
      </c>
      <c r="GF58">
        <v>0</v>
      </c>
      <c r="GG58">
        <v>1</v>
      </c>
      <c r="GH58" t="s">
        <v>892</v>
      </c>
      <c r="GI58" t="s">
        <v>893</v>
      </c>
      <c r="GJ58" t="s">
        <v>2236</v>
      </c>
      <c r="GM58">
        <v>1</v>
      </c>
      <c r="GN58">
        <v>1</v>
      </c>
      <c r="GO58">
        <v>0</v>
      </c>
      <c r="GP58">
        <v>1</v>
      </c>
      <c r="GQ58">
        <v>1</v>
      </c>
      <c r="GR58">
        <v>0</v>
      </c>
      <c r="GS58">
        <v>1</v>
      </c>
      <c r="GT58">
        <v>0</v>
      </c>
      <c r="GU58">
        <v>1</v>
      </c>
      <c r="GV58">
        <v>0</v>
      </c>
      <c r="GW58">
        <v>1</v>
      </c>
      <c r="GX58">
        <v>0</v>
      </c>
      <c r="GY58">
        <v>1</v>
      </c>
      <c r="GZ58">
        <v>0</v>
      </c>
      <c r="HA58" t="s">
        <v>263</v>
      </c>
      <c r="HB58" t="s">
        <v>894</v>
      </c>
      <c r="HC58" t="s">
        <v>935</v>
      </c>
      <c r="HD58" t="s">
        <v>845</v>
      </c>
      <c r="HE58" t="s">
        <v>900</v>
      </c>
      <c r="HF58" t="s">
        <v>1012</v>
      </c>
      <c r="HG58" t="s">
        <v>894</v>
      </c>
      <c r="HH58" t="s">
        <v>935</v>
      </c>
      <c r="HI58" t="s">
        <v>845</v>
      </c>
      <c r="HJ58" t="s">
        <v>900</v>
      </c>
      <c r="HK58" t="s">
        <v>1011</v>
      </c>
      <c r="HL58" t="s">
        <v>133</v>
      </c>
      <c r="HM58" t="s">
        <v>854</v>
      </c>
      <c r="HN58">
        <v>36805</v>
      </c>
      <c r="HP58" t="s">
        <v>134</v>
      </c>
      <c r="HQ58" t="s">
        <v>896</v>
      </c>
      <c r="HR58" t="s">
        <v>896</v>
      </c>
      <c r="HS58" t="s">
        <v>896</v>
      </c>
    </row>
    <row r="59" spans="1:227" x14ac:dyDescent="0.2">
      <c r="A59">
        <v>8702</v>
      </c>
      <c r="B59">
        <v>7620907076</v>
      </c>
      <c r="C59">
        <v>36</v>
      </c>
      <c r="D59" t="s">
        <v>1302</v>
      </c>
      <c r="E59" t="s">
        <v>831</v>
      </c>
      <c r="F59">
        <v>2</v>
      </c>
      <c r="G59" t="s">
        <v>2244</v>
      </c>
      <c r="H59" t="s">
        <v>2244</v>
      </c>
      <c r="I59">
        <v>0</v>
      </c>
      <c r="J59" t="s">
        <v>833</v>
      </c>
      <c r="K59" t="s">
        <v>834</v>
      </c>
      <c r="L59">
        <v>156586325</v>
      </c>
      <c r="M59" t="s">
        <v>2245</v>
      </c>
      <c r="N59" t="s">
        <v>836</v>
      </c>
      <c r="O59" t="s">
        <v>837</v>
      </c>
      <c r="P59" t="s">
        <v>1302</v>
      </c>
      <c r="Q59" t="s">
        <v>1305</v>
      </c>
      <c r="R59" t="s">
        <v>2246</v>
      </c>
      <c r="S59" t="s">
        <v>2247</v>
      </c>
      <c r="T59">
        <v>30300122802</v>
      </c>
      <c r="V59" t="s">
        <v>191</v>
      </c>
      <c r="W59" s="41">
        <v>46234</v>
      </c>
      <c r="X59" t="s">
        <v>2248</v>
      </c>
      <c r="Y59" t="s">
        <v>2249</v>
      </c>
      <c r="Z59" t="s">
        <v>2250</v>
      </c>
      <c r="AA59">
        <v>0</v>
      </c>
      <c r="AB59" t="s">
        <v>845</v>
      </c>
      <c r="AC59" t="s">
        <v>846</v>
      </c>
      <c r="AD59" t="s">
        <v>907</v>
      </c>
      <c r="AE59" t="s">
        <v>908</v>
      </c>
      <c r="AF59">
        <v>1</v>
      </c>
      <c r="AG59">
        <v>452210</v>
      </c>
      <c r="AH59" t="s">
        <v>849</v>
      </c>
      <c r="AI59" t="s">
        <v>850</v>
      </c>
      <c r="AJ59" t="s">
        <v>851</v>
      </c>
      <c r="AK59" t="s">
        <v>385</v>
      </c>
      <c r="AL59" t="s">
        <v>2251</v>
      </c>
      <c r="AM59" t="s">
        <v>2252</v>
      </c>
      <c r="AN59" t="s">
        <v>854</v>
      </c>
      <c r="AO59">
        <v>36805</v>
      </c>
      <c r="AP59">
        <v>636</v>
      </c>
      <c r="AQ59" t="s">
        <v>855</v>
      </c>
      <c r="AR59">
        <v>66574589</v>
      </c>
      <c r="AS59" t="s">
        <v>856</v>
      </c>
      <c r="AU59" t="s">
        <v>2253</v>
      </c>
      <c r="AV59" t="s">
        <v>2254</v>
      </c>
      <c r="AW59" t="s">
        <v>1185</v>
      </c>
      <c r="AX59" t="s">
        <v>1186</v>
      </c>
      <c r="AY59" t="s">
        <v>861</v>
      </c>
      <c r="AZ59" t="s">
        <v>385</v>
      </c>
      <c r="BA59" t="s">
        <v>386</v>
      </c>
      <c r="BB59">
        <v>1</v>
      </c>
      <c r="BC59">
        <v>0</v>
      </c>
      <c r="BD59">
        <v>0</v>
      </c>
      <c r="BE59" t="s">
        <v>2245</v>
      </c>
      <c r="BF59">
        <v>0</v>
      </c>
      <c r="BG59">
        <v>0</v>
      </c>
      <c r="BH59" t="s">
        <v>862</v>
      </c>
      <c r="BI59">
        <v>0</v>
      </c>
      <c r="BJ59" t="s">
        <v>862</v>
      </c>
      <c r="BK59">
        <v>1</v>
      </c>
      <c r="BL59">
        <v>0</v>
      </c>
      <c r="BM59">
        <v>0</v>
      </c>
      <c r="BN59" t="s">
        <v>596</v>
      </c>
      <c r="BO59">
        <v>156586325</v>
      </c>
      <c r="BP59" t="s">
        <v>2244</v>
      </c>
      <c r="BR59">
        <v>42791762</v>
      </c>
      <c r="BT59">
        <v>1</v>
      </c>
      <c r="BU59" t="s">
        <v>1062</v>
      </c>
      <c r="BY59">
        <v>16</v>
      </c>
      <c r="CA59">
        <v>36</v>
      </c>
      <c r="CI59">
        <v>11</v>
      </c>
      <c r="CJ59" t="s">
        <v>94</v>
      </c>
      <c r="CM59">
        <v>4010</v>
      </c>
      <c r="CO59">
        <v>7360</v>
      </c>
      <c r="CP59">
        <v>2.4333</v>
      </c>
      <c r="CQ59">
        <v>2.4333</v>
      </c>
      <c r="CR59">
        <v>1.55</v>
      </c>
      <c r="CS59">
        <v>0</v>
      </c>
      <c r="CT59" t="s">
        <v>2254</v>
      </c>
      <c r="CU59" t="s">
        <v>2253</v>
      </c>
      <c r="CV59" t="s">
        <v>833</v>
      </c>
      <c r="CW59" t="s">
        <v>834</v>
      </c>
      <c r="CX59" t="s">
        <v>2245</v>
      </c>
      <c r="CY59">
        <v>1</v>
      </c>
      <c r="CZ59">
        <v>1</v>
      </c>
      <c r="DA59" t="s">
        <v>833</v>
      </c>
      <c r="DB59" t="s">
        <v>865</v>
      </c>
      <c r="DC59">
        <v>60305</v>
      </c>
      <c r="DD59">
        <v>36.200000000000003</v>
      </c>
      <c r="DE59" t="s">
        <v>866</v>
      </c>
      <c r="DG59" t="s">
        <v>867</v>
      </c>
      <c r="DH59" t="s">
        <v>851</v>
      </c>
      <c r="DJ59">
        <v>636</v>
      </c>
      <c r="DK59" t="s">
        <v>918</v>
      </c>
      <c r="DL59" t="s">
        <v>869</v>
      </c>
      <c r="DM59">
        <v>0</v>
      </c>
      <c r="DN59">
        <v>0</v>
      </c>
      <c r="DO59">
        <v>11</v>
      </c>
      <c r="DP59" t="s">
        <v>1010</v>
      </c>
      <c r="DQ59">
        <v>16</v>
      </c>
      <c r="DR59">
        <v>2172</v>
      </c>
      <c r="DS59">
        <v>4332</v>
      </c>
      <c r="DT59">
        <v>4</v>
      </c>
      <c r="DU59">
        <v>4</v>
      </c>
      <c r="DV59">
        <v>1</v>
      </c>
      <c r="DW59">
        <v>2</v>
      </c>
      <c r="DX59" t="s">
        <v>594</v>
      </c>
      <c r="DY59" t="s">
        <v>2245</v>
      </c>
      <c r="DZ59">
        <v>0</v>
      </c>
      <c r="EA59">
        <v>0</v>
      </c>
      <c r="EB59">
        <v>0</v>
      </c>
      <c r="EC59">
        <v>0</v>
      </c>
      <c r="ED59">
        <v>0</v>
      </c>
      <c r="EE59">
        <v>0</v>
      </c>
      <c r="EF59" t="s">
        <v>871</v>
      </c>
      <c r="EG59" t="s">
        <v>595</v>
      </c>
      <c r="EH59" t="s">
        <v>872</v>
      </c>
      <c r="EI59" t="s">
        <v>872</v>
      </c>
      <c r="EJ59" t="s">
        <v>181</v>
      </c>
      <c r="EK59">
        <v>9090</v>
      </c>
      <c r="EL59">
        <v>1</v>
      </c>
      <c r="EM59" t="s">
        <v>1436</v>
      </c>
      <c r="EN59">
        <v>1.55</v>
      </c>
      <c r="EO59">
        <v>72.2</v>
      </c>
      <c r="EP59">
        <v>99991120</v>
      </c>
      <c r="EQ59" t="s">
        <v>874</v>
      </c>
      <c r="ER59" t="s">
        <v>875</v>
      </c>
      <c r="ES59" t="s">
        <v>876</v>
      </c>
      <c r="ET59" t="s">
        <v>877</v>
      </c>
      <c r="EU59" t="s">
        <v>877</v>
      </c>
      <c r="EV59" t="s">
        <v>871</v>
      </c>
      <c r="EX59" t="s">
        <v>836</v>
      </c>
      <c r="EY59" t="s">
        <v>873</v>
      </c>
      <c r="EZ59" t="s">
        <v>1437</v>
      </c>
      <c r="FA59" t="s">
        <v>956</v>
      </c>
      <c r="FB59">
        <v>1</v>
      </c>
      <c r="FC59">
        <v>2</v>
      </c>
      <c r="FD59" s="41">
        <v>46235</v>
      </c>
      <c r="FE59" t="s">
        <v>1066</v>
      </c>
      <c r="FF59">
        <v>9</v>
      </c>
      <c r="FG59" t="s">
        <v>2255</v>
      </c>
      <c r="FH59" t="s">
        <v>2256</v>
      </c>
      <c r="FI59">
        <v>1</v>
      </c>
      <c r="FJ59" t="s">
        <v>2255</v>
      </c>
      <c r="FK59" t="s">
        <v>2256</v>
      </c>
      <c r="FL59">
        <v>1</v>
      </c>
      <c r="FM59" t="s">
        <v>2257</v>
      </c>
      <c r="FN59" t="s">
        <v>2258</v>
      </c>
      <c r="FO59">
        <v>1</v>
      </c>
      <c r="FP59" t="s">
        <v>2259</v>
      </c>
      <c r="FQ59" t="s">
        <v>2253</v>
      </c>
      <c r="FR59">
        <v>1</v>
      </c>
      <c r="FS59" t="s">
        <v>2260</v>
      </c>
      <c r="FT59" t="s">
        <v>2261</v>
      </c>
      <c r="FU59">
        <v>1</v>
      </c>
      <c r="FV59" t="s">
        <v>2262</v>
      </c>
      <c r="FW59" t="s">
        <v>2263</v>
      </c>
      <c r="FX59">
        <v>1</v>
      </c>
      <c r="FY59" t="s">
        <v>890</v>
      </c>
      <c r="FZ59" t="s">
        <v>2264</v>
      </c>
      <c r="GA59" t="s">
        <v>2255</v>
      </c>
      <c r="GB59">
        <v>1</v>
      </c>
      <c r="GD59">
        <v>0</v>
      </c>
      <c r="GF59">
        <v>0</v>
      </c>
      <c r="GG59">
        <v>1</v>
      </c>
      <c r="GH59" t="s">
        <v>892</v>
      </c>
      <c r="GI59" t="s">
        <v>893</v>
      </c>
      <c r="GJ59" t="s">
        <v>2256</v>
      </c>
      <c r="GM59">
        <v>1</v>
      </c>
      <c r="GN59">
        <v>0</v>
      </c>
      <c r="GO59">
        <v>0</v>
      </c>
      <c r="GP59">
        <v>1</v>
      </c>
      <c r="GQ59">
        <v>1</v>
      </c>
      <c r="GR59">
        <v>0</v>
      </c>
      <c r="GS59">
        <v>1</v>
      </c>
      <c r="GT59">
        <v>0</v>
      </c>
      <c r="GU59">
        <v>1</v>
      </c>
      <c r="GV59">
        <v>0</v>
      </c>
      <c r="GW59">
        <v>1</v>
      </c>
      <c r="GX59">
        <v>0</v>
      </c>
      <c r="GY59">
        <v>1</v>
      </c>
      <c r="GZ59">
        <v>0</v>
      </c>
      <c r="HA59" t="s">
        <v>385</v>
      </c>
      <c r="HB59" t="s">
        <v>894</v>
      </c>
      <c r="HC59" t="s">
        <v>895</v>
      </c>
      <c r="HD59" t="s">
        <v>845</v>
      </c>
      <c r="HE59" t="s">
        <v>836</v>
      </c>
      <c r="HF59" t="s">
        <v>873</v>
      </c>
      <c r="HG59" t="s">
        <v>894</v>
      </c>
      <c r="HH59" t="s">
        <v>895</v>
      </c>
      <c r="HI59" t="s">
        <v>845</v>
      </c>
      <c r="HJ59" t="s">
        <v>836</v>
      </c>
      <c r="HK59" t="s">
        <v>1436</v>
      </c>
      <c r="HL59" t="s">
        <v>191</v>
      </c>
      <c r="HM59" t="s">
        <v>854</v>
      </c>
      <c r="HN59">
        <v>36805</v>
      </c>
      <c r="HO59">
        <v>1</v>
      </c>
      <c r="HP59" t="s">
        <v>181</v>
      </c>
      <c r="HQ59" t="s">
        <v>896</v>
      </c>
      <c r="HR59" t="s">
        <v>896</v>
      </c>
      <c r="HS59" t="s">
        <v>896</v>
      </c>
    </row>
    <row r="60" spans="1:227" x14ac:dyDescent="0.2">
      <c r="A60">
        <v>8702</v>
      </c>
      <c r="B60">
        <v>7527205737</v>
      </c>
      <c r="C60" t="s">
        <v>2265</v>
      </c>
      <c r="D60" t="s">
        <v>2266</v>
      </c>
      <c r="E60" t="s">
        <v>831</v>
      </c>
      <c r="F60">
        <v>0</v>
      </c>
      <c r="G60" t="s">
        <v>2267</v>
      </c>
      <c r="H60" t="s">
        <v>2267</v>
      </c>
      <c r="I60">
        <v>0</v>
      </c>
      <c r="J60" t="s">
        <v>833</v>
      </c>
      <c r="K60" t="s">
        <v>834</v>
      </c>
      <c r="L60">
        <v>153406525</v>
      </c>
      <c r="M60" t="s">
        <v>2268</v>
      </c>
      <c r="N60" t="s">
        <v>836</v>
      </c>
      <c r="O60" t="s">
        <v>837</v>
      </c>
      <c r="P60" t="s">
        <v>2269</v>
      </c>
      <c r="Q60" t="s">
        <v>2270</v>
      </c>
      <c r="R60" t="s">
        <v>2271</v>
      </c>
      <c r="S60" t="s">
        <v>2272</v>
      </c>
      <c r="T60">
        <v>41477092613</v>
      </c>
      <c r="V60" t="s">
        <v>2273</v>
      </c>
      <c r="W60" s="41">
        <v>45931</v>
      </c>
      <c r="X60" t="s">
        <v>2274</v>
      </c>
      <c r="Y60" t="s">
        <v>2275</v>
      </c>
      <c r="Z60" t="s">
        <v>2276</v>
      </c>
      <c r="AA60">
        <v>0</v>
      </c>
      <c r="AB60" t="s">
        <v>845</v>
      </c>
      <c r="AC60" t="s">
        <v>846</v>
      </c>
      <c r="AD60" t="s">
        <v>847</v>
      </c>
      <c r="AE60" t="s">
        <v>848</v>
      </c>
      <c r="AF60">
        <v>1</v>
      </c>
      <c r="AG60">
        <v>452210</v>
      </c>
      <c r="AH60" t="s">
        <v>849</v>
      </c>
      <c r="AI60" t="s">
        <v>850</v>
      </c>
      <c r="AJ60" t="s">
        <v>851</v>
      </c>
      <c r="AK60" t="s">
        <v>253</v>
      </c>
      <c r="AL60" t="s">
        <v>1257</v>
      </c>
      <c r="AM60" t="s">
        <v>2277</v>
      </c>
      <c r="AN60" t="s">
        <v>854</v>
      </c>
      <c r="AO60">
        <v>36805</v>
      </c>
      <c r="AP60">
        <v>561</v>
      </c>
      <c r="AQ60" t="s">
        <v>855</v>
      </c>
      <c r="AR60">
        <v>66138653</v>
      </c>
      <c r="AS60" t="s">
        <v>856</v>
      </c>
      <c r="AU60" t="s">
        <v>2278</v>
      </c>
      <c r="AV60" t="s">
        <v>2279</v>
      </c>
      <c r="AX60" t="s">
        <v>913</v>
      </c>
      <c r="AY60" t="s">
        <v>861</v>
      </c>
      <c r="AZ60" t="s">
        <v>253</v>
      </c>
      <c r="BA60" t="s">
        <v>254</v>
      </c>
      <c r="BB60">
        <v>1</v>
      </c>
      <c r="BC60">
        <v>0</v>
      </c>
      <c r="BD60">
        <v>0</v>
      </c>
      <c r="BE60" t="s">
        <v>2268</v>
      </c>
      <c r="BF60">
        <v>0</v>
      </c>
      <c r="BG60">
        <v>0</v>
      </c>
      <c r="BH60" t="s">
        <v>862</v>
      </c>
      <c r="BI60">
        <v>0</v>
      </c>
      <c r="BJ60" t="s">
        <v>862</v>
      </c>
      <c r="BK60">
        <v>1</v>
      </c>
      <c r="BL60">
        <v>1</v>
      </c>
      <c r="BM60">
        <v>0</v>
      </c>
      <c r="BN60" t="s">
        <v>596</v>
      </c>
      <c r="BO60">
        <v>153406525</v>
      </c>
      <c r="BP60" t="s">
        <v>2267</v>
      </c>
      <c r="BR60">
        <v>42791463</v>
      </c>
      <c r="BT60">
        <v>1</v>
      </c>
      <c r="BU60" t="s">
        <v>2280</v>
      </c>
      <c r="CI60">
        <v>11</v>
      </c>
      <c r="CJ60" t="s">
        <v>94</v>
      </c>
      <c r="CM60">
        <v>4010</v>
      </c>
      <c r="CO60">
        <v>7360</v>
      </c>
      <c r="CP60">
        <v>0.66669999999999996</v>
      </c>
      <c r="CQ60">
        <v>0.66669999999999996</v>
      </c>
      <c r="CR60">
        <v>0.4667</v>
      </c>
      <c r="CS60">
        <v>19</v>
      </c>
      <c r="CT60" t="s">
        <v>2279</v>
      </c>
      <c r="CU60" t="s">
        <v>2278</v>
      </c>
      <c r="CV60" t="s">
        <v>833</v>
      </c>
      <c r="CW60" t="s">
        <v>834</v>
      </c>
      <c r="CX60" t="s">
        <v>2268</v>
      </c>
      <c r="CY60">
        <v>1</v>
      </c>
      <c r="CZ60">
        <v>1</v>
      </c>
      <c r="DA60" t="s">
        <v>833</v>
      </c>
      <c r="DB60" t="s">
        <v>865</v>
      </c>
      <c r="DC60">
        <v>55414</v>
      </c>
      <c r="DD60">
        <v>26.2667</v>
      </c>
      <c r="DE60" t="s">
        <v>866</v>
      </c>
      <c r="DG60" t="s">
        <v>867</v>
      </c>
      <c r="DH60" t="s">
        <v>851</v>
      </c>
      <c r="DK60" t="s">
        <v>1155</v>
      </c>
      <c r="DL60" t="s">
        <v>869</v>
      </c>
      <c r="DM60">
        <v>0</v>
      </c>
      <c r="DN60">
        <v>0</v>
      </c>
      <c r="DO60">
        <v>11</v>
      </c>
      <c r="DP60" t="s">
        <v>1010</v>
      </c>
      <c r="DQ60">
        <v>16</v>
      </c>
      <c r="DR60">
        <v>1576</v>
      </c>
      <c r="DS60">
        <v>3016</v>
      </c>
      <c r="DT60">
        <v>25.6</v>
      </c>
      <c r="DU60">
        <v>4</v>
      </c>
      <c r="DV60">
        <v>1</v>
      </c>
      <c r="DW60">
        <v>2</v>
      </c>
      <c r="DX60" t="s">
        <v>596</v>
      </c>
      <c r="DY60" t="s">
        <v>2268</v>
      </c>
      <c r="DZ60">
        <v>0</v>
      </c>
      <c r="EA60">
        <v>0</v>
      </c>
      <c r="EB60">
        <v>1</v>
      </c>
      <c r="EC60">
        <v>0</v>
      </c>
      <c r="ED60">
        <v>0</v>
      </c>
      <c r="EE60">
        <v>1</v>
      </c>
      <c r="EF60" t="s">
        <v>871</v>
      </c>
      <c r="EG60" t="s">
        <v>595</v>
      </c>
      <c r="EH60" t="s">
        <v>921</v>
      </c>
      <c r="EI60" t="s">
        <v>921</v>
      </c>
      <c r="EJ60" t="s">
        <v>159</v>
      </c>
      <c r="EK60">
        <v>9090</v>
      </c>
      <c r="EL60">
        <v>0</v>
      </c>
      <c r="EM60" t="s">
        <v>873</v>
      </c>
      <c r="EN60">
        <v>0.4667</v>
      </c>
      <c r="EO60">
        <v>50.266666600000001</v>
      </c>
      <c r="EP60">
        <v>99991120</v>
      </c>
      <c r="EQ60" t="s">
        <v>874</v>
      </c>
      <c r="ER60" t="s">
        <v>875</v>
      </c>
      <c r="ES60" t="s">
        <v>876</v>
      </c>
      <c r="ET60" t="s">
        <v>877</v>
      </c>
      <c r="EU60" t="s">
        <v>877</v>
      </c>
      <c r="EV60" t="s">
        <v>871</v>
      </c>
      <c r="EX60" t="s">
        <v>836</v>
      </c>
      <c r="EY60" t="s">
        <v>1121</v>
      </c>
      <c r="EZ60" t="s">
        <v>1122</v>
      </c>
      <c r="FA60" t="s">
        <v>956</v>
      </c>
      <c r="FB60">
        <v>1</v>
      </c>
      <c r="FC60">
        <v>1</v>
      </c>
      <c r="FD60" s="41">
        <v>45934</v>
      </c>
      <c r="FE60" t="s">
        <v>1039</v>
      </c>
      <c r="FF60">
        <v>11</v>
      </c>
      <c r="FG60" t="s">
        <v>1273</v>
      </c>
      <c r="FH60" t="s">
        <v>2281</v>
      </c>
      <c r="FI60">
        <v>1</v>
      </c>
      <c r="FJ60" t="s">
        <v>2282</v>
      </c>
      <c r="FK60" t="s">
        <v>2283</v>
      </c>
      <c r="FL60">
        <v>1</v>
      </c>
      <c r="FM60" t="s">
        <v>2284</v>
      </c>
      <c r="FN60" t="s">
        <v>2285</v>
      </c>
      <c r="FO60">
        <v>1</v>
      </c>
      <c r="FP60" t="s">
        <v>2286</v>
      </c>
      <c r="FQ60" t="s">
        <v>2278</v>
      </c>
      <c r="FR60">
        <v>1</v>
      </c>
      <c r="FS60" t="s">
        <v>2287</v>
      </c>
      <c r="FT60" t="s">
        <v>2288</v>
      </c>
      <c r="FU60">
        <v>1</v>
      </c>
      <c r="FV60" t="s">
        <v>2289</v>
      </c>
      <c r="FW60" t="s">
        <v>2290</v>
      </c>
      <c r="FX60">
        <v>1</v>
      </c>
      <c r="FY60" t="s">
        <v>890</v>
      </c>
      <c r="FZ60" t="s">
        <v>2291</v>
      </c>
      <c r="GA60" t="s">
        <v>2282</v>
      </c>
      <c r="GB60">
        <v>1</v>
      </c>
      <c r="GD60">
        <v>0</v>
      </c>
      <c r="GF60">
        <v>0</v>
      </c>
      <c r="GG60">
        <v>1</v>
      </c>
      <c r="GH60" t="s">
        <v>892</v>
      </c>
      <c r="GI60" t="s">
        <v>893</v>
      </c>
      <c r="GJ60" t="s">
        <v>2283</v>
      </c>
      <c r="GM60">
        <v>1</v>
      </c>
      <c r="GN60">
        <v>1</v>
      </c>
      <c r="GO60">
        <v>0</v>
      </c>
      <c r="GP60">
        <v>1</v>
      </c>
      <c r="GQ60">
        <v>1</v>
      </c>
      <c r="GR60">
        <v>0</v>
      </c>
      <c r="GS60">
        <v>1</v>
      </c>
      <c r="GT60">
        <v>0</v>
      </c>
      <c r="GU60">
        <v>1</v>
      </c>
      <c r="GV60">
        <v>0</v>
      </c>
      <c r="GW60">
        <v>1</v>
      </c>
      <c r="GX60">
        <v>0</v>
      </c>
      <c r="GY60">
        <v>1</v>
      </c>
      <c r="GZ60">
        <v>0</v>
      </c>
      <c r="HA60" t="s">
        <v>253</v>
      </c>
      <c r="HB60" t="s">
        <v>894</v>
      </c>
      <c r="HC60" t="s">
        <v>895</v>
      </c>
      <c r="HD60" t="s">
        <v>845</v>
      </c>
      <c r="HE60" t="s">
        <v>836</v>
      </c>
      <c r="HF60" t="s">
        <v>873</v>
      </c>
      <c r="HG60" t="s">
        <v>894</v>
      </c>
      <c r="HH60" t="s">
        <v>895</v>
      </c>
      <c r="HI60" t="s">
        <v>845</v>
      </c>
      <c r="HJ60" t="s">
        <v>836</v>
      </c>
      <c r="HK60" t="s">
        <v>873</v>
      </c>
      <c r="HL60" t="s">
        <v>2273</v>
      </c>
      <c r="HM60" t="s">
        <v>854</v>
      </c>
      <c r="HN60">
        <v>36805</v>
      </c>
      <c r="HO60">
        <v>1</v>
      </c>
      <c r="HP60" t="s">
        <v>159</v>
      </c>
      <c r="HQ60" t="s">
        <v>896</v>
      </c>
      <c r="HR60" t="s">
        <v>896</v>
      </c>
      <c r="HS60" t="s">
        <v>896</v>
      </c>
    </row>
    <row r="61" spans="1:227" x14ac:dyDescent="0.2">
      <c r="A61">
        <v>8702</v>
      </c>
      <c r="B61">
        <v>7617605712</v>
      </c>
      <c r="C61" t="s">
        <v>936</v>
      </c>
      <c r="D61" t="s">
        <v>937</v>
      </c>
      <c r="E61" t="s">
        <v>897</v>
      </c>
      <c r="F61">
        <v>1</v>
      </c>
      <c r="G61" t="s">
        <v>2292</v>
      </c>
      <c r="H61" t="s">
        <v>2292</v>
      </c>
      <c r="I61">
        <v>0</v>
      </c>
      <c r="J61" t="s">
        <v>833</v>
      </c>
      <c r="K61" t="s">
        <v>834</v>
      </c>
      <c r="L61">
        <v>153008218</v>
      </c>
      <c r="M61" t="s">
        <v>2293</v>
      </c>
      <c r="N61" t="s">
        <v>900</v>
      </c>
      <c r="O61" t="s">
        <v>837</v>
      </c>
      <c r="P61" t="s">
        <v>940</v>
      </c>
      <c r="Q61" t="s">
        <v>1473</v>
      </c>
      <c r="R61" t="s">
        <v>2294</v>
      </c>
      <c r="S61" t="s">
        <v>2295</v>
      </c>
      <c r="T61">
        <v>41477094311</v>
      </c>
      <c r="V61" t="s">
        <v>1476</v>
      </c>
      <c r="W61" s="41">
        <v>46199</v>
      </c>
      <c r="X61" t="s">
        <v>2296</v>
      </c>
      <c r="Y61" t="s">
        <v>2297</v>
      </c>
      <c r="Z61" t="s">
        <v>2298</v>
      </c>
      <c r="AA61">
        <v>0</v>
      </c>
      <c r="AB61" t="s">
        <v>845</v>
      </c>
      <c r="AC61" t="s">
        <v>846</v>
      </c>
      <c r="AD61" t="s">
        <v>907</v>
      </c>
      <c r="AE61" t="s">
        <v>908</v>
      </c>
      <c r="AF61">
        <v>1</v>
      </c>
      <c r="AG61">
        <v>452210</v>
      </c>
      <c r="AH61" t="s">
        <v>849</v>
      </c>
      <c r="AI61" t="s">
        <v>850</v>
      </c>
      <c r="AJ61" t="s">
        <v>851</v>
      </c>
      <c r="AK61" t="s">
        <v>484</v>
      </c>
      <c r="AL61" t="s">
        <v>2299</v>
      </c>
      <c r="AM61" t="s">
        <v>1480</v>
      </c>
      <c r="AN61" t="s">
        <v>854</v>
      </c>
      <c r="AO61">
        <v>36805</v>
      </c>
      <c r="AP61">
        <v>931</v>
      </c>
      <c r="AQ61" t="s">
        <v>855</v>
      </c>
      <c r="AR61">
        <v>66524308</v>
      </c>
      <c r="AS61" t="s">
        <v>856</v>
      </c>
      <c r="AU61" t="s">
        <v>2300</v>
      </c>
      <c r="AV61" t="s">
        <v>2301</v>
      </c>
      <c r="AX61" t="s">
        <v>913</v>
      </c>
      <c r="AY61" t="s">
        <v>861</v>
      </c>
      <c r="AZ61" t="s">
        <v>484</v>
      </c>
      <c r="BA61" t="s">
        <v>485</v>
      </c>
      <c r="BB61">
        <v>0</v>
      </c>
      <c r="BC61">
        <v>0</v>
      </c>
      <c r="BD61">
        <v>1</v>
      </c>
      <c r="BE61" t="s">
        <v>2293</v>
      </c>
      <c r="BF61">
        <v>0</v>
      </c>
      <c r="BG61">
        <v>0</v>
      </c>
      <c r="BH61" t="s">
        <v>862</v>
      </c>
      <c r="BI61">
        <v>0</v>
      </c>
      <c r="BJ61" t="s">
        <v>862</v>
      </c>
      <c r="BK61">
        <v>1</v>
      </c>
      <c r="BL61">
        <v>1</v>
      </c>
      <c r="BM61">
        <v>0</v>
      </c>
      <c r="BN61" t="s">
        <v>596</v>
      </c>
      <c r="BO61">
        <v>153008218</v>
      </c>
      <c r="BP61" t="s">
        <v>2292</v>
      </c>
      <c r="BQ61">
        <v>40.861255100000001</v>
      </c>
      <c r="BR61">
        <v>42793655</v>
      </c>
      <c r="BS61">
        <v>-81.4341072</v>
      </c>
      <c r="BT61">
        <v>2</v>
      </c>
      <c r="BU61" t="s">
        <v>1314</v>
      </c>
      <c r="BY61">
        <v>12</v>
      </c>
      <c r="CA61">
        <v>9</v>
      </c>
      <c r="CE61">
        <v>1</v>
      </c>
      <c r="CI61">
        <v>11</v>
      </c>
      <c r="CJ61" t="s">
        <v>94</v>
      </c>
      <c r="CM61">
        <v>4010</v>
      </c>
      <c r="CO61">
        <v>7360</v>
      </c>
      <c r="CP61">
        <v>0.95</v>
      </c>
      <c r="CQ61">
        <v>0.95</v>
      </c>
      <c r="CR61">
        <v>2.0167000000000002</v>
      </c>
      <c r="CS61">
        <v>2</v>
      </c>
      <c r="CT61" t="s">
        <v>2301</v>
      </c>
      <c r="CU61" t="s">
        <v>2300</v>
      </c>
      <c r="CV61" t="s">
        <v>833</v>
      </c>
      <c r="CW61" t="s">
        <v>834</v>
      </c>
      <c r="CX61" t="s">
        <v>2293</v>
      </c>
      <c r="CY61">
        <v>1</v>
      </c>
      <c r="CZ61">
        <v>1</v>
      </c>
      <c r="DA61" t="s">
        <v>833</v>
      </c>
      <c r="DB61" t="s">
        <v>865</v>
      </c>
      <c r="DC61">
        <v>44720</v>
      </c>
      <c r="DD61">
        <v>8.9499999999999993</v>
      </c>
      <c r="DE61" t="s">
        <v>866</v>
      </c>
      <c r="DG61" t="s">
        <v>867</v>
      </c>
      <c r="DH61" t="s">
        <v>851</v>
      </c>
      <c r="DK61" t="s">
        <v>918</v>
      </c>
      <c r="DL61" t="s">
        <v>869</v>
      </c>
      <c r="DM61">
        <v>0</v>
      </c>
      <c r="DN61">
        <v>0</v>
      </c>
      <c r="DO61">
        <v>11</v>
      </c>
      <c r="DP61" t="s">
        <v>1010</v>
      </c>
      <c r="DQ61">
        <v>12</v>
      </c>
      <c r="DR61">
        <v>537</v>
      </c>
      <c r="DS61">
        <v>1257</v>
      </c>
      <c r="DT61">
        <v>8</v>
      </c>
      <c r="DU61">
        <v>4</v>
      </c>
      <c r="DV61">
        <v>1</v>
      </c>
      <c r="DW61">
        <v>1</v>
      </c>
      <c r="DX61" t="s">
        <v>596</v>
      </c>
      <c r="DY61" t="s">
        <v>2293</v>
      </c>
      <c r="DZ61">
        <v>1</v>
      </c>
      <c r="EA61">
        <v>1</v>
      </c>
      <c r="EB61">
        <v>1</v>
      </c>
      <c r="EC61">
        <v>0</v>
      </c>
      <c r="ED61">
        <v>0</v>
      </c>
      <c r="EE61">
        <v>1</v>
      </c>
      <c r="EF61" t="s">
        <v>920</v>
      </c>
      <c r="EG61" t="s">
        <v>595</v>
      </c>
      <c r="EH61" t="s">
        <v>1036</v>
      </c>
      <c r="EI61" t="s">
        <v>1036</v>
      </c>
      <c r="EJ61" t="s">
        <v>226</v>
      </c>
      <c r="EK61">
        <v>9090</v>
      </c>
      <c r="EL61">
        <v>0</v>
      </c>
      <c r="EM61" t="s">
        <v>1157</v>
      </c>
      <c r="EN61">
        <v>2.0167000000000002</v>
      </c>
      <c r="EO61">
        <v>20.95</v>
      </c>
      <c r="EP61">
        <v>99991120</v>
      </c>
      <c r="EQ61" t="s">
        <v>874</v>
      </c>
      <c r="ER61" t="s">
        <v>875</v>
      </c>
      <c r="ES61" t="s">
        <v>876</v>
      </c>
      <c r="ET61" t="s">
        <v>877</v>
      </c>
      <c r="EU61" t="s">
        <v>877</v>
      </c>
      <c r="EV61" t="s">
        <v>920</v>
      </c>
      <c r="EX61" t="s">
        <v>900</v>
      </c>
      <c r="EY61" t="s">
        <v>923</v>
      </c>
      <c r="EZ61" t="s">
        <v>1236</v>
      </c>
      <c r="FA61" t="s">
        <v>956</v>
      </c>
      <c r="FB61">
        <v>1</v>
      </c>
      <c r="FC61">
        <v>1</v>
      </c>
      <c r="FD61" s="41">
        <v>46200</v>
      </c>
      <c r="FE61" t="s">
        <v>1315</v>
      </c>
      <c r="FF61">
        <v>8</v>
      </c>
      <c r="FG61" t="s">
        <v>2302</v>
      </c>
      <c r="FH61" t="s">
        <v>2303</v>
      </c>
      <c r="FI61">
        <v>1</v>
      </c>
      <c r="FJ61" t="s">
        <v>2304</v>
      </c>
      <c r="FK61" t="s">
        <v>2305</v>
      </c>
      <c r="FL61">
        <v>1</v>
      </c>
      <c r="FM61" t="s">
        <v>2306</v>
      </c>
      <c r="FN61" t="s">
        <v>2307</v>
      </c>
      <c r="FO61">
        <v>1</v>
      </c>
      <c r="FP61" t="s">
        <v>2308</v>
      </c>
      <c r="FQ61" t="s">
        <v>2300</v>
      </c>
      <c r="FR61">
        <v>1</v>
      </c>
      <c r="FS61" t="s">
        <v>1766</v>
      </c>
      <c r="FT61" t="s">
        <v>2309</v>
      </c>
      <c r="FU61">
        <v>1</v>
      </c>
      <c r="FV61" t="s">
        <v>2310</v>
      </c>
      <c r="FW61" t="s">
        <v>2311</v>
      </c>
      <c r="FX61">
        <v>1</v>
      </c>
      <c r="FY61" t="s">
        <v>890</v>
      </c>
      <c r="FZ61" t="s">
        <v>2312</v>
      </c>
      <c r="GA61" t="s">
        <v>2304</v>
      </c>
      <c r="GB61">
        <v>1</v>
      </c>
      <c r="GD61">
        <v>0</v>
      </c>
      <c r="GF61">
        <v>0</v>
      </c>
      <c r="GG61">
        <v>1</v>
      </c>
      <c r="GH61" t="s">
        <v>892</v>
      </c>
      <c r="GI61" t="s">
        <v>893</v>
      </c>
      <c r="GJ61" t="s">
        <v>2305</v>
      </c>
      <c r="GM61">
        <v>1</v>
      </c>
      <c r="GN61">
        <v>1</v>
      </c>
      <c r="GO61">
        <v>0</v>
      </c>
      <c r="GP61">
        <v>1</v>
      </c>
      <c r="GQ61">
        <v>1</v>
      </c>
      <c r="GR61">
        <v>0</v>
      </c>
      <c r="GS61">
        <v>1</v>
      </c>
      <c r="GT61">
        <v>0</v>
      </c>
      <c r="GU61">
        <v>1</v>
      </c>
      <c r="GV61">
        <v>0</v>
      </c>
      <c r="GW61">
        <v>1</v>
      </c>
      <c r="GX61">
        <v>0</v>
      </c>
      <c r="GY61">
        <v>1</v>
      </c>
      <c r="GZ61">
        <v>0</v>
      </c>
      <c r="HA61" t="s">
        <v>484</v>
      </c>
      <c r="HB61" t="s">
        <v>894</v>
      </c>
      <c r="HC61" t="s">
        <v>935</v>
      </c>
      <c r="HD61" t="s">
        <v>845</v>
      </c>
      <c r="HE61" t="s">
        <v>900</v>
      </c>
      <c r="HF61" t="s">
        <v>923</v>
      </c>
      <c r="HG61" t="s">
        <v>894</v>
      </c>
      <c r="HH61" t="s">
        <v>935</v>
      </c>
      <c r="HI61" t="s">
        <v>845</v>
      </c>
      <c r="HJ61" t="s">
        <v>900</v>
      </c>
      <c r="HK61" t="s">
        <v>922</v>
      </c>
      <c r="HL61" t="s">
        <v>1476</v>
      </c>
      <c r="HM61" t="s">
        <v>854</v>
      </c>
      <c r="HN61">
        <v>36805</v>
      </c>
      <c r="HP61" t="s">
        <v>226</v>
      </c>
      <c r="HQ61" t="s">
        <v>896</v>
      </c>
      <c r="HR61" t="s">
        <v>896</v>
      </c>
      <c r="HS61" t="s">
        <v>896</v>
      </c>
    </row>
    <row r="62" spans="1:227" x14ac:dyDescent="0.2">
      <c r="A62">
        <v>8702</v>
      </c>
      <c r="B62">
        <v>7525214566</v>
      </c>
      <c r="C62">
        <v>36</v>
      </c>
      <c r="D62" t="s">
        <v>1302</v>
      </c>
      <c r="E62" t="s">
        <v>897</v>
      </c>
      <c r="F62">
        <v>0</v>
      </c>
      <c r="G62" t="s">
        <v>2313</v>
      </c>
      <c r="H62" t="s">
        <v>2313</v>
      </c>
      <c r="I62">
        <v>0</v>
      </c>
      <c r="J62" t="s">
        <v>833</v>
      </c>
      <c r="K62" t="s">
        <v>834</v>
      </c>
      <c r="L62">
        <v>152946615</v>
      </c>
      <c r="M62" t="s">
        <v>2314</v>
      </c>
      <c r="N62" t="s">
        <v>900</v>
      </c>
      <c r="O62" t="s">
        <v>837</v>
      </c>
      <c r="P62" t="s">
        <v>1302</v>
      </c>
      <c r="Q62" t="s">
        <v>1517</v>
      </c>
      <c r="R62" t="s">
        <v>2315</v>
      </c>
      <c r="S62" t="s">
        <v>2316</v>
      </c>
      <c r="T62">
        <v>41477122128</v>
      </c>
      <c r="V62" t="s">
        <v>144</v>
      </c>
      <c r="W62" s="41">
        <v>45910</v>
      </c>
      <c r="X62" t="s">
        <v>2317</v>
      </c>
      <c r="Y62" t="s">
        <v>2318</v>
      </c>
      <c r="AA62">
        <v>0</v>
      </c>
      <c r="AB62" t="s">
        <v>845</v>
      </c>
      <c r="AC62" t="s">
        <v>846</v>
      </c>
      <c r="AD62" t="s">
        <v>847</v>
      </c>
      <c r="AE62" t="s">
        <v>848</v>
      </c>
      <c r="AF62">
        <v>1</v>
      </c>
      <c r="AG62">
        <v>452210</v>
      </c>
      <c r="AH62" t="s">
        <v>849</v>
      </c>
      <c r="AI62" t="s">
        <v>850</v>
      </c>
      <c r="AJ62" t="s">
        <v>851</v>
      </c>
      <c r="AK62" t="s">
        <v>263</v>
      </c>
      <c r="AL62" t="s">
        <v>2230</v>
      </c>
      <c r="AM62" t="s">
        <v>1926</v>
      </c>
      <c r="AN62" t="s">
        <v>854</v>
      </c>
      <c r="AO62">
        <v>36805</v>
      </c>
      <c r="AP62">
        <v>528</v>
      </c>
      <c r="AQ62" t="s">
        <v>855</v>
      </c>
      <c r="AR62">
        <v>66108106</v>
      </c>
      <c r="AS62" t="s">
        <v>856</v>
      </c>
      <c r="AU62" t="s">
        <v>2319</v>
      </c>
      <c r="AV62" t="s">
        <v>2320</v>
      </c>
      <c r="AX62" t="s">
        <v>913</v>
      </c>
      <c r="AY62" t="s">
        <v>861</v>
      </c>
      <c r="AZ62" t="s">
        <v>263</v>
      </c>
      <c r="BA62" t="s">
        <v>264</v>
      </c>
      <c r="BB62">
        <v>0</v>
      </c>
      <c r="BC62">
        <v>0</v>
      </c>
      <c r="BD62">
        <v>0</v>
      </c>
      <c r="BE62" t="s">
        <v>2314</v>
      </c>
      <c r="BF62">
        <v>0</v>
      </c>
      <c r="BG62">
        <v>0</v>
      </c>
      <c r="BH62" t="s">
        <v>862</v>
      </c>
      <c r="BI62">
        <v>0</v>
      </c>
      <c r="BJ62" t="s">
        <v>862</v>
      </c>
      <c r="BK62">
        <v>1</v>
      </c>
      <c r="BL62">
        <v>1</v>
      </c>
      <c r="BM62">
        <v>0</v>
      </c>
      <c r="BN62" t="s">
        <v>596</v>
      </c>
      <c r="BO62">
        <v>152946615</v>
      </c>
      <c r="BP62" t="s">
        <v>2313</v>
      </c>
      <c r="BQ62">
        <v>40.001961999999999</v>
      </c>
      <c r="BR62">
        <v>42791441</v>
      </c>
      <c r="BS62">
        <v>-86.106846000000004</v>
      </c>
      <c r="BT62">
        <v>0</v>
      </c>
      <c r="CM62">
        <v>4010</v>
      </c>
      <c r="CO62">
        <v>7360</v>
      </c>
      <c r="CP62">
        <v>0.2167</v>
      </c>
      <c r="CQ62">
        <v>0.2167</v>
      </c>
      <c r="CR62">
        <v>0.4</v>
      </c>
      <c r="CS62">
        <v>4</v>
      </c>
      <c r="CT62" t="s">
        <v>2321</v>
      </c>
      <c r="CU62" t="s">
        <v>2322</v>
      </c>
      <c r="CV62" t="s">
        <v>833</v>
      </c>
      <c r="CW62" t="s">
        <v>834</v>
      </c>
      <c r="CX62" t="s">
        <v>2314</v>
      </c>
      <c r="CY62">
        <v>0</v>
      </c>
      <c r="CZ62">
        <v>0</v>
      </c>
      <c r="DA62" t="s">
        <v>833</v>
      </c>
      <c r="DB62" t="s">
        <v>865</v>
      </c>
      <c r="DC62">
        <v>46033</v>
      </c>
      <c r="DD62">
        <v>12.3833</v>
      </c>
      <c r="DE62" t="s">
        <v>866</v>
      </c>
      <c r="DG62" t="s">
        <v>867</v>
      </c>
      <c r="DH62" t="s">
        <v>851</v>
      </c>
      <c r="DI62" t="s">
        <v>2323</v>
      </c>
      <c r="DJ62" t="s">
        <v>2324</v>
      </c>
      <c r="DL62" t="s">
        <v>869</v>
      </c>
      <c r="DM62">
        <v>0</v>
      </c>
      <c r="DN62">
        <v>0</v>
      </c>
      <c r="DO62">
        <v>2</v>
      </c>
      <c r="DP62" t="s">
        <v>870</v>
      </c>
      <c r="DQ62">
        <v>16</v>
      </c>
      <c r="DR62">
        <v>743</v>
      </c>
      <c r="DS62">
        <v>1463</v>
      </c>
      <c r="DT62">
        <v>12.166700000000001</v>
      </c>
      <c r="DU62">
        <v>4</v>
      </c>
      <c r="DW62">
        <v>2</v>
      </c>
      <c r="DX62" t="s">
        <v>596</v>
      </c>
      <c r="DY62" t="s">
        <v>2314</v>
      </c>
      <c r="DZ62">
        <v>1</v>
      </c>
      <c r="EA62">
        <v>1</v>
      </c>
      <c r="EB62">
        <v>1</v>
      </c>
      <c r="EC62">
        <v>0</v>
      </c>
      <c r="ED62">
        <v>0</v>
      </c>
      <c r="EE62">
        <v>1</v>
      </c>
      <c r="EF62" t="s">
        <v>920</v>
      </c>
      <c r="EG62" t="s">
        <v>595</v>
      </c>
      <c r="EH62" t="s">
        <v>921</v>
      </c>
      <c r="EI62" t="s">
        <v>921</v>
      </c>
      <c r="EJ62" t="s">
        <v>134</v>
      </c>
      <c r="EK62">
        <v>9090</v>
      </c>
      <c r="EL62">
        <v>0</v>
      </c>
      <c r="EM62" t="s">
        <v>1011</v>
      </c>
      <c r="EN62">
        <v>0.4</v>
      </c>
      <c r="EO62">
        <v>24.3833333</v>
      </c>
      <c r="EP62">
        <v>99991120</v>
      </c>
      <c r="EQ62" t="s">
        <v>874</v>
      </c>
      <c r="ER62" t="s">
        <v>875</v>
      </c>
      <c r="ES62" t="s">
        <v>876</v>
      </c>
      <c r="ET62" t="s">
        <v>877</v>
      </c>
      <c r="EU62" t="s">
        <v>877</v>
      </c>
      <c r="EV62" t="s">
        <v>920</v>
      </c>
      <c r="EX62" t="s">
        <v>953</v>
      </c>
      <c r="EY62" t="s">
        <v>1555</v>
      </c>
      <c r="EZ62" t="s">
        <v>1013</v>
      </c>
      <c r="FA62" t="s">
        <v>925</v>
      </c>
      <c r="FB62">
        <v>1</v>
      </c>
      <c r="FC62">
        <v>1</v>
      </c>
      <c r="FD62" s="41">
        <v>45913</v>
      </c>
      <c r="FE62" t="s">
        <v>880</v>
      </c>
      <c r="FF62">
        <v>6</v>
      </c>
      <c r="FG62" t="s">
        <v>2325</v>
      </c>
      <c r="FH62" t="s">
        <v>2326</v>
      </c>
      <c r="FI62">
        <v>1</v>
      </c>
      <c r="FJ62" t="s">
        <v>2327</v>
      </c>
      <c r="FK62" t="s">
        <v>2328</v>
      </c>
      <c r="FL62">
        <v>1</v>
      </c>
      <c r="FM62" t="s">
        <v>2329</v>
      </c>
      <c r="FN62" t="s">
        <v>2330</v>
      </c>
      <c r="FO62">
        <v>1</v>
      </c>
      <c r="FP62" t="s">
        <v>2331</v>
      </c>
      <c r="FQ62" t="s">
        <v>2322</v>
      </c>
      <c r="FR62">
        <v>1</v>
      </c>
      <c r="FS62" t="s">
        <v>2332</v>
      </c>
      <c r="FT62" t="s">
        <v>2333</v>
      </c>
      <c r="FU62">
        <v>1</v>
      </c>
      <c r="FV62" t="s">
        <v>2334</v>
      </c>
      <c r="FW62" t="s">
        <v>2335</v>
      </c>
      <c r="FX62">
        <v>1</v>
      </c>
      <c r="FY62" t="s">
        <v>890</v>
      </c>
      <c r="FZ62" t="s">
        <v>2336</v>
      </c>
      <c r="GA62" t="s">
        <v>2327</v>
      </c>
      <c r="GB62">
        <v>1</v>
      </c>
      <c r="GD62">
        <v>0</v>
      </c>
      <c r="GF62">
        <v>0</v>
      </c>
      <c r="GG62">
        <v>1</v>
      </c>
      <c r="GH62" t="s">
        <v>892</v>
      </c>
      <c r="GI62" t="s">
        <v>893</v>
      </c>
      <c r="GJ62" t="s">
        <v>2328</v>
      </c>
      <c r="GM62">
        <v>1</v>
      </c>
      <c r="GN62">
        <v>1</v>
      </c>
      <c r="GO62">
        <v>0</v>
      </c>
      <c r="GP62">
        <v>1</v>
      </c>
      <c r="GQ62">
        <v>1</v>
      </c>
      <c r="GR62">
        <v>0</v>
      </c>
      <c r="GS62">
        <v>1</v>
      </c>
      <c r="GT62">
        <v>0</v>
      </c>
      <c r="GU62">
        <v>1</v>
      </c>
      <c r="GV62">
        <v>0</v>
      </c>
      <c r="GW62">
        <v>1</v>
      </c>
      <c r="GX62">
        <v>0</v>
      </c>
      <c r="GY62">
        <v>1</v>
      </c>
      <c r="GZ62">
        <v>0</v>
      </c>
      <c r="HA62" t="s">
        <v>263</v>
      </c>
      <c r="HB62" t="s">
        <v>894</v>
      </c>
      <c r="HC62" t="s">
        <v>935</v>
      </c>
      <c r="HD62" t="s">
        <v>845</v>
      </c>
      <c r="HE62" t="s">
        <v>900</v>
      </c>
      <c r="HF62" t="s">
        <v>1012</v>
      </c>
      <c r="HG62" t="s">
        <v>894</v>
      </c>
      <c r="HH62" t="s">
        <v>935</v>
      </c>
      <c r="HI62" t="s">
        <v>845</v>
      </c>
      <c r="HJ62" t="s">
        <v>900</v>
      </c>
      <c r="HK62" t="s">
        <v>1011</v>
      </c>
      <c r="HL62" t="s">
        <v>144</v>
      </c>
      <c r="HM62" t="s">
        <v>854</v>
      </c>
      <c r="HN62">
        <v>36805</v>
      </c>
      <c r="HP62" t="s">
        <v>134</v>
      </c>
      <c r="HQ62" t="s">
        <v>896</v>
      </c>
      <c r="HR62" t="s">
        <v>896</v>
      </c>
      <c r="HS62" t="s">
        <v>896</v>
      </c>
    </row>
    <row r="63" spans="1:227" x14ac:dyDescent="0.2">
      <c r="A63">
        <v>8702</v>
      </c>
      <c r="B63">
        <v>7525401279</v>
      </c>
      <c r="C63">
        <v>34</v>
      </c>
      <c r="D63" t="s">
        <v>996</v>
      </c>
      <c r="E63" t="s">
        <v>831</v>
      </c>
      <c r="F63">
        <v>1</v>
      </c>
      <c r="G63" t="s">
        <v>2337</v>
      </c>
      <c r="H63" t="s">
        <v>2337</v>
      </c>
      <c r="I63">
        <v>0</v>
      </c>
      <c r="J63" t="s">
        <v>833</v>
      </c>
      <c r="K63" t="s">
        <v>834</v>
      </c>
      <c r="L63">
        <v>153524535</v>
      </c>
      <c r="M63" t="s">
        <v>2338</v>
      </c>
      <c r="N63" t="s">
        <v>836</v>
      </c>
      <c r="O63" t="s">
        <v>837</v>
      </c>
      <c r="P63" t="s">
        <v>999</v>
      </c>
      <c r="Q63" t="s">
        <v>1027</v>
      </c>
      <c r="R63" t="s">
        <v>2339</v>
      </c>
      <c r="S63" t="s">
        <v>2340</v>
      </c>
      <c r="T63">
        <v>41477059751</v>
      </c>
      <c r="V63" t="s">
        <v>2032</v>
      </c>
      <c r="W63" s="41">
        <v>45912</v>
      </c>
      <c r="X63" t="s">
        <v>2341</v>
      </c>
      <c r="Y63" t="s">
        <v>2342</v>
      </c>
      <c r="AA63">
        <v>0</v>
      </c>
      <c r="AB63" t="s">
        <v>845</v>
      </c>
      <c r="AC63" t="s">
        <v>846</v>
      </c>
      <c r="AD63" t="s">
        <v>847</v>
      </c>
      <c r="AE63" t="s">
        <v>848</v>
      </c>
      <c r="AF63">
        <v>1</v>
      </c>
      <c r="AG63">
        <v>452210</v>
      </c>
      <c r="AH63" t="s">
        <v>849</v>
      </c>
      <c r="AI63" t="s">
        <v>850</v>
      </c>
      <c r="AJ63" t="s">
        <v>851</v>
      </c>
      <c r="AK63" t="s">
        <v>299</v>
      </c>
      <c r="AL63" t="s">
        <v>2035</v>
      </c>
      <c r="AM63" t="s">
        <v>2036</v>
      </c>
      <c r="AN63" t="s">
        <v>854</v>
      </c>
      <c r="AO63">
        <v>36805</v>
      </c>
      <c r="AP63">
        <v>537</v>
      </c>
      <c r="AQ63" t="s">
        <v>855</v>
      </c>
      <c r="AR63">
        <v>66111141</v>
      </c>
      <c r="AS63" t="s">
        <v>856</v>
      </c>
      <c r="AU63" t="s">
        <v>2343</v>
      </c>
      <c r="AV63" t="s">
        <v>2344</v>
      </c>
      <c r="AX63" t="s">
        <v>913</v>
      </c>
      <c r="AY63" t="s">
        <v>861</v>
      </c>
      <c r="AZ63" t="s">
        <v>299</v>
      </c>
      <c r="BA63" t="s">
        <v>300</v>
      </c>
      <c r="BB63">
        <v>0</v>
      </c>
      <c r="BC63">
        <v>0</v>
      </c>
      <c r="BD63">
        <v>1</v>
      </c>
      <c r="BE63" t="s">
        <v>2338</v>
      </c>
      <c r="BF63">
        <v>0</v>
      </c>
      <c r="BG63">
        <v>0</v>
      </c>
      <c r="BH63" t="s">
        <v>862</v>
      </c>
      <c r="BI63">
        <v>0</v>
      </c>
      <c r="BJ63" t="s">
        <v>862</v>
      </c>
      <c r="BK63">
        <v>1</v>
      </c>
      <c r="BL63">
        <v>1</v>
      </c>
      <c r="BM63">
        <v>0</v>
      </c>
      <c r="BN63" t="s">
        <v>596</v>
      </c>
      <c r="BO63">
        <v>153524535</v>
      </c>
      <c r="BP63" t="s">
        <v>2337</v>
      </c>
      <c r="BR63">
        <v>42791480</v>
      </c>
      <c r="BT63">
        <v>0</v>
      </c>
      <c r="CM63">
        <v>4010</v>
      </c>
      <c r="CO63">
        <v>7360</v>
      </c>
      <c r="CP63">
        <v>0.7167</v>
      </c>
      <c r="CQ63">
        <v>0.7167</v>
      </c>
      <c r="CR63">
        <v>0.56669999999999998</v>
      </c>
      <c r="CS63">
        <v>34</v>
      </c>
      <c r="CT63" t="s">
        <v>2345</v>
      </c>
      <c r="CU63" t="s">
        <v>2346</v>
      </c>
      <c r="CV63" t="s">
        <v>833</v>
      </c>
      <c r="CW63" t="s">
        <v>834</v>
      </c>
      <c r="CX63" t="s">
        <v>2338</v>
      </c>
      <c r="CY63">
        <v>1</v>
      </c>
      <c r="CZ63">
        <v>1</v>
      </c>
      <c r="DA63" t="s">
        <v>833</v>
      </c>
      <c r="DB63" t="s">
        <v>865</v>
      </c>
      <c r="DC63">
        <v>47906</v>
      </c>
      <c r="DD63">
        <v>7.7167000000000003</v>
      </c>
      <c r="DE63" t="s">
        <v>866</v>
      </c>
      <c r="DG63" t="s">
        <v>867</v>
      </c>
      <c r="DH63" t="s">
        <v>851</v>
      </c>
      <c r="DI63" t="s">
        <v>1291</v>
      </c>
      <c r="DL63" t="s">
        <v>869</v>
      </c>
      <c r="DM63">
        <v>0</v>
      </c>
      <c r="DN63">
        <v>0</v>
      </c>
      <c r="DO63">
        <v>11</v>
      </c>
      <c r="DP63" t="s">
        <v>1010</v>
      </c>
      <c r="DQ63">
        <v>16</v>
      </c>
      <c r="DR63">
        <v>463</v>
      </c>
      <c r="DS63">
        <v>1183</v>
      </c>
      <c r="DT63">
        <v>7</v>
      </c>
      <c r="DU63">
        <v>4</v>
      </c>
      <c r="DW63">
        <v>2</v>
      </c>
      <c r="DX63" t="s">
        <v>596</v>
      </c>
      <c r="DY63" t="s">
        <v>2338</v>
      </c>
      <c r="DZ63">
        <v>1</v>
      </c>
      <c r="EA63">
        <v>1</v>
      </c>
      <c r="EB63">
        <v>1</v>
      </c>
      <c r="EC63">
        <v>0</v>
      </c>
      <c r="ED63">
        <v>0</v>
      </c>
      <c r="EE63">
        <v>1</v>
      </c>
      <c r="EF63" t="s">
        <v>920</v>
      </c>
      <c r="EG63" t="s">
        <v>595</v>
      </c>
      <c r="EH63" t="s">
        <v>921</v>
      </c>
      <c r="EI63" t="s">
        <v>921</v>
      </c>
      <c r="EJ63" t="s">
        <v>134</v>
      </c>
      <c r="EK63">
        <v>9090</v>
      </c>
      <c r="EL63">
        <v>0</v>
      </c>
      <c r="EM63" t="s">
        <v>1436</v>
      </c>
      <c r="EN63">
        <v>0.56669999999999998</v>
      </c>
      <c r="EO63">
        <v>19.7166666</v>
      </c>
      <c r="EP63">
        <v>99991120</v>
      </c>
      <c r="EQ63" t="s">
        <v>874</v>
      </c>
      <c r="ER63" t="s">
        <v>875</v>
      </c>
      <c r="ES63" t="s">
        <v>876</v>
      </c>
      <c r="ET63" t="s">
        <v>877</v>
      </c>
      <c r="EU63" t="s">
        <v>877</v>
      </c>
      <c r="EV63" t="s">
        <v>920</v>
      </c>
      <c r="EX63" t="s">
        <v>953</v>
      </c>
      <c r="EY63" t="s">
        <v>1555</v>
      </c>
      <c r="EZ63" t="s">
        <v>1211</v>
      </c>
      <c r="FA63" t="s">
        <v>1212</v>
      </c>
      <c r="FB63">
        <v>1</v>
      </c>
      <c r="FC63">
        <v>1</v>
      </c>
      <c r="FD63" s="41">
        <v>45913</v>
      </c>
      <c r="FE63" t="s">
        <v>880</v>
      </c>
      <c r="FF63">
        <v>5</v>
      </c>
      <c r="FI63">
        <v>0</v>
      </c>
      <c r="FJ63" t="s">
        <v>2347</v>
      </c>
      <c r="FK63" t="s">
        <v>2348</v>
      </c>
      <c r="FL63">
        <v>1</v>
      </c>
      <c r="FM63" t="s">
        <v>2349</v>
      </c>
      <c r="FN63" t="s">
        <v>2350</v>
      </c>
      <c r="FO63">
        <v>1</v>
      </c>
      <c r="FP63" t="s">
        <v>2351</v>
      </c>
      <c r="FQ63" t="s">
        <v>2352</v>
      </c>
      <c r="FR63">
        <v>1</v>
      </c>
      <c r="FS63" t="s">
        <v>2048</v>
      </c>
      <c r="FT63" t="s">
        <v>2353</v>
      </c>
      <c r="FU63">
        <v>1</v>
      </c>
      <c r="FV63" t="s">
        <v>2338</v>
      </c>
      <c r="FW63" t="s">
        <v>2354</v>
      </c>
      <c r="FX63">
        <v>1</v>
      </c>
      <c r="FY63" t="s">
        <v>890</v>
      </c>
      <c r="FZ63" t="s">
        <v>2355</v>
      </c>
      <c r="GA63" t="s">
        <v>2347</v>
      </c>
      <c r="GB63">
        <v>1</v>
      </c>
      <c r="GD63">
        <v>0</v>
      </c>
      <c r="GF63">
        <v>0</v>
      </c>
      <c r="GG63">
        <v>1</v>
      </c>
      <c r="GH63" t="s">
        <v>892</v>
      </c>
      <c r="GI63" t="s">
        <v>893</v>
      </c>
      <c r="GJ63" t="s">
        <v>2348</v>
      </c>
      <c r="GM63">
        <v>1</v>
      </c>
      <c r="GN63">
        <v>1</v>
      </c>
      <c r="GO63">
        <v>0</v>
      </c>
      <c r="GP63">
        <v>1</v>
      </c>
      <c r="GQ63">
        <v>1</v>
      </c>
      <c r="GR63">
        <v>0</v>
      </c>
      <c r="GS63">
        <v>1</v>
      </c>
      <c r="GT63">
        <v>0</v>
      </c>
      <c r="GU63">
        <v>1</v>
      </c>
      <c r="GV63">
        <v>0</v>
      </c>
      <c r="GW63">
        <v>1</v>
      </c>
      <c r="GX63">
        <v>0</v>
      </c>
      <c r="GY63">
        <v>1</v>
      </c>
      <c r="GZ63">
        <v>0</v>
      </c>
      <c r="HA63" t="s">
        <v>299</v>
      </c>
      <c r="HB63" t="s">
        <v>894</v>
      </c>
      <c r="HC63" t="s">
        <v>895</v>
      </c>
      <c r="HD63" t="s">
        <v>845</v>
      </c>
      <c r="HE63" t="s">
        <v>836</v>
      </c>
      <c r="HF63" t="s">
        <v>873</v>
      </c>
      <c r="HG63" t="s">
        <v>894</v>
      </c>
      <c r="HH63" t="s">
        <v>895</v>
      </c>
      <c r="HI63" t="s">
        <v>845</v>
      </c>
      <c r="HJ63" t="s">
        <v>836</v>
      </c>
      <c r="HK63" t="s">
        <v>1436</v>
      </c>
      <c r="HL63" t="s">
        <v>2032</v>
      </c>
      <c r="HM63" t="s">
        <v>854</v>
      </c>
      <c r="HN63">
        <v>36805</v>
      </c>
      <c r="HP63" t="s">
        <v>134</v>
      </c>
      <c r="HQ63" t="s">
        <v>896</v>
      </c>
      <c r="HR63" t="s">
        <v>896</v>
      </c>
      <c r="HS63" t="s">
        <v>896</v>
      </c>
    </row>
    <row r="64" spans="1:227" x14ac:dyDescent="0.2">
      <c r="A64">
        <v>8702</v>
      </c>
      <c r="B64">
        <v>7611912938</v>
      </c>
      <c r="C64">
        <v>36</v>
      </c>
      <c r="D64" t="s">
        <v>1302</v>
      </c>
      <c r="E64" t="s">
        <v>831</v>
      </c>
      <c r="F64">
        <v>0</v>
      </c>
      <c r="G64" t="s">
        <v>2356</v>
      </c>
      <c r="H64" t="s">
        <v>2356</v>
      </c>
      <c r="I64">
        <v>0</v>
      </c>
      <c r="J64" t="s">
        <v>833</v>
      </c>
      <c r="K64" t="s">
        <v>834</v>
      </c>
      <c r="L64">
        <v>148743035</v>
      </c>
      <c r="M64">
        <v>86700689585</v>
      </c>
      <c r="N64" t="s">
        <v>836</v>
      </c>
      <c r="O64" t="s">
        <v>837</v>
      </c>
      <c r="P64" t="s">
        <v>1302</v>
      </c>
      <c r="Q64" t="s">
        <v>2357</v>
      </c>
      <c r="R64" t="s">
        <v>2358</v>
      </c>
      <c r="S64" t="s">
        <v>2359</v>
      </c>
      <c r="T64">
        <v>30300111330</v>
      </c>
      <c r="V64" t="s">
        <v>193</v>
      </c>
      <c r="W64" s="41">
        <v>46143</v>
      </c>
      <c r="X64" t="s">
        <v>2360</v>
      </c>
      <c r="Y64" t="s">
        <v>2361</v>
      </c>
      <c r="Z64" t="s">
        <v>2362</v>
      </c>
      <c r="AA64">
        <v>0</v>
      </c>
      <c r="AB64" t="s">
        <v>845</v>
      </c>
      <c r="AC64" t="s">
        <v>846</v>
      </c>
      <c r="AD64" t="s">
        <v>1335</v>
      </c>
      <c r="AE64" t="s">
        <v>1336</v>
      </c>
      <c r="AF64">
        <v>1</v>
      </c>
      <c r="AG64">
        <v>452210</v>
      </c>
      <c r="AH64" t="s">
        <v>849</v>
      </c>
      <c r="AI64" t="s">
        <v>850</v>
      </c>
      <c r="AJ64" t="s">
        <v>851</v>
      </c>
      <c r="AK64" t="s">
        <v>271</v>
      </c>
      <c r="AL64" t="s">
        <v>2363</v>
      </c>
      <c r="AM64" t="s">
        <v>2364</v>
      </c>
      <c r="AN64" t="s">
        <v>854</v>
      </c>
      <c r="AO64">
        <v>36805</v>
      </c>
      <c r="AP64">
        <v>637</v>
      </c>
      <c r="AQ64" t="s">
        <v>855</v>
      </c>
      <c r="AR64">
        <v>66444193</v>
      </c>
      <c r="AS64" t="s">
        <v>856</v>
      </c>
      <c r="AU64" t="s">
        <v>2365</v>
      </c>
      <c r="AV64" t="s">
        <v>2366</v>
      </c>
      <c r="AX64" t="s">
        <v>913</v>
      </c>
      <c r="AY64" t="s">
        <v>861</v>
      </c>
      <c r="AZ64" t="s">
        <v>271</v>
      </c>
      <c r="BA64" t="s">
        <v>272</v>
      </c>
      <c r="BB64">
        <v>0</v>
      </c>
      <c r="BC64">
        <v>1</v>
      </c>
      <c r="BD64">
        <v>0</v>
      </c>
      <c r="BE64">
        <v>86700689585</v>
      </c>
      <c r="BF64">
        <v>0</v>
      </c>
      <c r="BG64">
        <v>0</v>
      </c>
      <c r="BH64" t="s">
        <v>862</v>
      </c>
      <c r="BI64">
        <v>0</v>
      </c>
      <c r="BJ64" t="s">
        <v>862</v>
      </c>
      <c r="BK64">
        <v>1</v>
      </c>
      <c r="BL64">
        <v>1</v>
      </c>
      <c r="BM64">
        <v>0</v>
      </c>
      <c r="BN64" t="s">
        <v>596</v>
      </c>
      <c r="BP64" t="s">
        <v>2356</v>
      </c>
      <c r="BR64">
        <v>42791765</v>
      </c>
      <c r="BT64">
        <v>1</v>
      </c>
      <c r="BU64" t="s">
        <v>1803</v>
      </c>
      <c r="BY64">
        <v>16</v>
      </c>
      <c r="CA64">
        <v>31</v>
      </c>
      <c r="CI64">
        <v>11</v>
      </c>
      <c r="CJ64" t="s">
        <v>94</v>
      </c>
      <c r="CM64">
        <v>4010</v>
      </c>
      <c r="CO64">
        <v>7360</v>
      </c>
      <c r="CP64">
        <v>0.2167</v>
      </c>
      <c r="CQ64">
        <v>0.2167</v>
      </c>
      <c r="CR64">
        <v>3.3300000000000003E-2</v>
      </c>
      <c r="CS64">
        <v>0</v>
      </c>
      <c r="CT64" t="s">
        <v>2366</v>
      </c>
      <c r="CU64" t="s">
        <v>2365</v>
      </c>
      <c r="CV64" t="s">
        <v>833</v>
      </c>
      <c r="CW64" t="s">
        <v>834</v>
      </c>
      <c r="CX64" t="s">
        <v>2367</v>
      </c>
      <c r="CY64">
        <v>1</v>
      </c>
      <c r="CZ64">
        <v>1</v>
      </c>
      <c r="DA64" t="s">
        <v>833</v>
      </c>
      <c r="DB64" t="s">
        <v>865</v>
      </c>
      <c r="DC64">
        <v>60014</v>
      </c>
      <c r="DD64">
        <v>30.95</v>
      </c>
      <c r="DE64" t="s">
        <v>866</v>
      </c>
      <c r="DG64" t="s">
        <v>867</v>
      </c>
      <c r="DH64" t="s">
        <v>851</v>
      </c>
      <c r="DK64" t="s">
        <v>918</v>
      </c>
      <c r="DL64" t="s">
        <v>869</v>
      </c>
      <c r="DM64">
        <v>0</v>
      </c>
      <c r="DN64">
        <v>0</v>
      </c>
      <c r="DO64">
        <v>11</v>
      </c>
      <c r="DP64" t="s">
        <v>1010</v>
      </c>
      <c r="DQ64">
        <v>16</v>
      </c>
      <c r="DR64">
        <v>1857</v>
      </c>
      <c r="DS64">
        <v>3297</v>
      </c>
      <c r="DT64">
        <v>5.4166999999999996</v>
      </c>
      <c r="DU64">
        <v>4</v>
      </c>
      <c r="DV64">
        <v>1</v>
      </c>
      <c r="DW64">
        <v>2</v>
      </c>
      <c r="DX64" t="s">
        <v>596</v>
      </c>
      <c r="DY64">
        <v>86700689585</v>
      </c>
      <c r="DZ64">
        <v>0</v>
      </c>
      <c r="EA64">
        <v>0</v>
      </c>
      <c r="EB64">
        <v>1</v>
      </c>
      <c r="EC64">
        <v>0</v>
      </c>
      <c r="ED64">
        <v>0</v>
      </c>
      <c r="EE64">
        <v>1</v>
      </c>
      <c r="EF64" t="s">
        <v>920</v>
      </c>
      <c r="EG64" t="s">
        <v>595</v>
      </c>
      <c r="EH64" t="s">
        <v>921</v>
      </c>
      <c r="EI64" t="s">
        <v>921</v>
      </c>
      <c r="EJ64" t="s">
        <v>181</v>
      </c>
      <c r="EK64">
        <v>9090</v>
      </c>
      <c r="EL64">
        <v>1</v>
      </c>
      <c r="EM64" t="s">
        <v>1436</v>
      </c>
      <c r="EN64">
        <v>3.3300000000000003E-2</v>
      </c>
      <c r="EO64">
        <v>54.95</v>
      </c>
      <c r="EP64">
        <v>99991120</v>
      </c>
      <c r="EQ64" t="s">
        <v>874</v>
      </c>
      <c r="ER64" t="s">
        <v>875</v>
      </c>
      <c r="ES64" t="s">
        <v>876</v>
      </c>
      <c r="ET64" t="s">
        <v>877</v>
      </c>
      <c r="EU64" t="s">
        <v>877</v>
      </c>
      <c r="EV64" t="s">
        <v>920</v>
      </c>
      <c r="EX64" t="s">
        <v>836</v>
      </c>
      <c r="EY64" t="s">
        <v>873</v>
      </c>
      <c r="EZ64" t="s">
        <v>1437</v>
      </c>
      <c r="FA64" t="s">
        <v>956</v>
      </c>
      <c r="FB64">
        <v>1</v>
      </c>
      <c r="FC64">
        <v>2</v>
      </c>
      <c r="FD64" s="41">
        <v>46144</v>
      </c>
      <c r="FE64" t="s">
        <v>1808</v>
      </c>
      <c r="FF64">
        <v>8</v>
      </c>
      <c r="FG64" t="s">
        <v>2368</v>
      </c>
      <c r="FH64" t="s">
        <v>2369</v>
      </c>
      <c r="FI64">
        <v>1</v>
      </c>
      <c r="FJ64" t="s">
        <v>2370</v>
      </c>
      <c r="FK64" t="s">
        <v>2371</v>
      </c>
      <c r="FL64">
        <v>1</v>
      </c>
      <c r="FM64" t="s">
        <v>2372</v>
      </c>
      <c r="FN64" t="s">
        <v>2373</v>
      </c>
      <c r="FO64">
        <v>1</v>
      </c>
      <c r="FP64" t="s">
        <v>2374</v>
      </c>
      <c r="FQ64" t="s">
        <v>2365</v>
      </c>
      <c r="FR64">
        <v>1</v>
      </c>
      <c r="FS64" t="s">
        <v>2375</v>
      </c>
      <c r="FT64" t="s">
        <v>2376</v>
      </c>
      <c r="FU64">
        <v>1</v>
      </c>
      <c r="FV64" t="s">
        <v>2377</v>
      </c>
      <c r="FW64" t="s">
        <v>2378</v>
      </c>
      <c r="FX64">
        <v>1</v>
      </c>
      <c r="FY64" t="s">
        <v>890</v>
      </c>
      <c r="FZ64" t="s">
        <v>2379</v>
      </c>
      <c r="GA64" t="s">
        <v>2370</v>
      </c>
      <c r="GB64">
        <v>1</v>
      </c>
      <c r="GD64">
        <v>0</v>
      </c>
      <c r="GF64">
        <v>0</v>
      </c>
      <c r="GG64">
        <v>1</v>
      </c>
      <c r="GH64" t="s">
        <v>892</v>
      </c>
      <c r="GI64" t="s">
        <v>893</v>
      </c>
      <c r="GJ64" t="s">
        <v>2371</v>
      </c>
      <c r="GM64">
        <v>1</v>
      </c>
      <c r="GN64">
        <v>0</v>
      </c>
      <c r="GO64">
        <v>0</v>
      </c>
      <c r="GP64">
        <v>1</v>
      </c>
      <c r="GQ64">
        <v>1</v>
      </c>
      <c r="GR64">
        <v>0</v>
      </c>
      <c r="GS64">
        <v>1</v>
      </c>
      <c r="GT64">
        <v>0</v>
      </c>
      <c r="GU64">
        <v>1</v>
      </c>
      <c r="GV64">
        <v>0</v>
      </c>
      <c r="GW64">
        <v>1</v>
      </c>
      <c r="GX64">
        <v>0</v>
      </c>
      <c r="GY64">
        <v>1</v>
      </c>
      <c r="GZ64">
        <v>0</v>
      </c>
      <c r="HA64" t="s">
        <v>271</v>
      </c>
      <c r="HB64" t="s">
        <v>894</v>
      </c>
      <c r="HC64" t="s">
        <v>895</v>
      </c>
      <c r="HD64" t="s">
        <v>845</v>
      </c>
      <c r="HE64" t="s">
        <v>836</v>
      </c>
      <c r="HF64" t="s">
        <v>873</v>
      </c>
      <c r="HG64" t="s">
        <v>894</v>
      </c>
      <c r="HH64" t="s">
        <v>895</v>
      </c>
      <c r="HI64" t="s">
        <v>845</v>
      </c>
      <c r="HJ64" t="s">
        <v>836</v>
      </c>
      <c r="HK64" t="s">
        <v>1436</v>
      </c>
      <c r="HL64" t="s">
        <v>193</v>
      </c>
      <c r="HM64" t="s">
        <v>854</v>
      </c>
      <c r="HN64">
        <v>36805</v>
      </c>
      <c r="HO64">
        <v>1</v>
      </c>
      <c r="HP64" t="s">
        <v>181</v>
      </c>
      <c r="HQ64" t="s">
        <v>896</v>
      </c>
      <c r="HR64" t="s">
        <v>896</v>
      </c>
      <c r="HS64" t="s">
        <v>896</v>
      </c>
    </row>
    <row r="65" spans="1:227" x14ac:dyDescent="0.2">
      <c r="A65">
        <v>8702</v>
      </c>
      <c r="B65">
        <v>7604703168</v>
      </c>
      <c r="C65" t="s">
        <v>1171</v>
      </c>
      <c r="D65" t="s">
        <v>1172</v>
      </c>
      <c r="E65" t="s">
        <v>831</v>
      </c>
      <c r="F65">
        <v>1</v>
      </c>
      <c r="G65" t="s">
        <v>2380</v>
      </c>
      <c r="H65" t="s">
        <v>2380</v>
      </c>
      <c r="I65">
        <v>0</v>
      </c>
      <c r="J65" t="s">
        <v>833</v>
      </c>
      <c r="K65" t="s">
        <v>834</v>
      </c>
      <c r="L65">
        <v>153008236</v>
      </c>
      <c r="M65" t="s">
        <v>2381</v>
      </c>
      <c r="N65" t="s">
        <v>836</v>
      </c>
      <c r="O65" t="s">
        <v>837</v>
      </c>
      <c r="P65" t="s">
        <v>1175</v>
      </c>
      <c r="Q65" t="s">
        <v>1176</v>
      </c>
      <c r="R65" t="s">
        <v>2382</v>
      </c>
      <c r="S65" t="s">
        <v>2383</v>
      </c>
      <c r="T65">
        <v>41477075518</v>
      </c>
      <c r="V65" t="s">
        <v>180</v>
      </c>
      <c r="W65" s="41">
        <v>46069</v>
      </c>
      <c r="X65" t="s">
        <v>2384</v>
      </c>
      <c r="Y65" t="s">
        <v>2385</v>
      </c>
      <c r="AA65">
        <v>0</v>
      </c>
      <c r="AB65" t="s">
        <v>845</v>
      </c>
      <c r="AC65" t="s">
        <v>846</v>
      </c>
      <c r="AD65" t="s">
        <v>1113</v>
      </c>
      <c r="AE65" t="s">
        <v>1114</v>
      </c>
      <c r="AF65">
        <v>1</v>
      </c>
      <c r="AG65">
        <v>452210</v>
      </c>
      <c r="AH65" t="s">
        <v>849</v>
      </c>
      <c r="AI65" t="s">
        <v>850</v>
      </c>
      <c r="AJ65" t="s">
        <v>851</v>
      </c>
      <c r="AK65" t="s">
        <v>439</v>
      </c>
      <c r="AL65" t="s">
        <v>1032</v>
      </c>
      <c r="AM65" t="s">
        <v>1033</v>
      </c>
      <c r="AN65" t="s">
        <v>854</v>
      </c>
      <c r="AO65">
        <v>36805</v>
      </c>
      <c r="AP65">
        <v>631</v>
      </c>
      <c r="AQ65" t="s">
        <v>855</v>
      </c>
      <c r="AR65">
        <v>66337481</v>
      </c>
      <c r="AS65" t="s">
        <v>856</v>
      </c>
      <c r="AU65" t="s">
        <v>2386</v>
      </c>
      <c r="AV65" t="s">
        <v>2387</v>
      </c>
      <c r="AX65" t="s">
        <v>913</v>
      </c>
      <c r="AY65" t="s">
        <v>861</v>
      </c>
      <c r="AZ65" t="s">
        <v>439</v>
      </c>
      <c r="BA65" t="s">
        <v>440</v>
      </c>
      <c r="BB65">
        <v>0</v>
      </c>
      <c r="BC65">
        <v>0</v>
      </c>
      <c r="BD65">
        <v>1</v>
      </c>
      <c r="BE65" t="s">
        <v>2381</v>
      </c>
      <c r="BF65">
        <v>0</v>
      </c>
      <c r="BG65">
        <v>0</v>
      </c>
      <c r="BH65" t="s">
        <v>862</v>
      </c>
      <c r="BI65">
        <v>0</v>
      </c>
      <c r="BJ65" t="s">
        <v>862</v>
      </c>
      <c r="BK65">
        <v>1</v>
      </c>
      <c r="BL65">
        <v>1</v>
      </c>
      <c r="BM65">
        <v>0</v>
      </c>
      <c r="BN65" t="s">
        <v>596</v>
      </c>
      <c r="BO65">
        <v>153008236</v>
      </c>
      <c r="BP65" t="s">
        <v>2380</v>
      </c>
      <c r="BR65">
        <v>42791743</v>
      </c>
      <c r="BT65">
        <v>2</v>
      </c>
      <c r="BU65" t="s">
        <v>1780</v>
      </c>
      <c r="CE65">
        <v>1</v>
      </c>
      <c r="CI65">
        <v>11</v>
      </c>
      <c r="CJ65" t="s">
        <v>94</v>
      </c>
      <c r="CM65">
        <v>4010</v>
      </c>
      <c r="CO65">
        <v>7360</v>
      </c>
      <c r="CP65">
        <v>0.81669999999999998</v>
      </c>
      <c r="CQ65">
        <v>0.81669999999999998</v>
      </c>
      <c r="CR65">
        <v>0.31669999999999998</v>
      </c>
      <c r="CS65">
        <v>14</v>
      </c>
      <c r="CT65" t="s">
        <v>2387</v>
      </c>
      <c r="CU65" t="s">
        <v>2386</v>
      </c>
      <c r="CV65" t="s">
        <v>833</v>
      </c>
      <c r="CW65" t="s">
        <v>834</v>
      </c>
      <c r="CX65" t="s">
        <v>2381</v>
      </c>
      <c r="CY65">
        <v>1</v>
      </c>
      <c r="CZ65">
        <v>1</v>
      </c>
      <c r="DA65" t="s">
        <v>833</v>
      </c>
      <c r="DB65" t="s">
        <v>865</v>
      </c>
      <c r="DC65">
        <v>62208</v>
      </c>
      <c r="DD65">
        <v>7.0332999999999997</v>
      </c>
      <c r="DE65" t="s">
        <v>866</v>
      </c>
      <c r="DG65" t="s">
        <v>867</v>
      </c>
      <c r="DH65" t="s">
        <v>851</v>
      </c>
      <c r="DI65" t="s">
        <v>2388</v>
      </c>
      <c r="DK65" t="s">
        <v>918</v>
      </c>
      <c r="DL65" t="s">
        <v>869</v>
      </c>
      <c r="DM65">
        <v>0</v>
      </c>
      <c r="DN65">
        <v>0</v>
      </c>
      <c r="DO65">
        <v>35</v>
      </c>
      <c r="DP65" t="s">
        <v>2389</v>
      </c>
      <c r="DQ65">
        <v>0</v>
      </c>
      <c r="DR65">
        <v>422</v>
      </c>
      <c r="DS65">
        <v>422</v>
      </c>
      <c r="DT65">
        <v>6.2167000000000003</v>
      </c>
      <c r="DU65">
        <v>0</v>
      </c>
      <c r="DV65">
        <v>1</v>
      </c>
      <c r="DW65">
        <v>2</v>
      </c>
      <c r="DX65" t="s">
        <v>596</v>
      </c>
      <c r="DY65" t="s">
        <v>2381</v>
      </c>
      <c r="DZ65">
        <v>1</v>
      </c>
      <c r="EA65">
        <v>1</v>
      </c>
      <c r="EB65">
        <v>1</v>
      </c>
      <c r="EC65">
        <v>1</v>
      </c>
      <c r="ED65">
        <v>1</v>
      </c>
      <c r="EE65">
        <v>1</v>
      </c>
      <c r="EF65" t="s">
        <v>920</v>
      </c>
      <c r="EG65" t="s">
        <v>595</v>
      </c>
      <c r="EH65" t="s">
        <v>921</v>
      </c>
      <c r="EI65" t="s">
        <v>921</v>
      </c>
      <c r="EJ65" t="s">
        <v>181</v>
      </c>
      <c r="EK65">
        <v>9090</v>
      </c>
      <c r="EL65">
        <v>0</v>
      </c>
      <c r="EM65" t="s">
        <v>1037</v>
      </c>
      <c r="EN65">
        <v>0.31669999999999998</v>
      </c>
      <c r="EO65">
        <v>7.0333332999999998</v>
      </c>
      <c r="EP65">
        <v>99991120</v>
      </c>
      <c r="EQ65" t="s">
        <v>874</v>
      </c>
      <c r="ER65" t="s">
        <v>875</v>
      </c>
      <c r="ES65" t="s">
        <v>876</v>
      </c>
      <c r="ET65" t="s">
        <v>877</v>
      </c>
      <c r="EU65" t="s">
        <v>877</v>
      </c>
      <c r="EV65" t="s">
        <v>920</v>
      </c>
      <c r="EX65" t="s">
        <v>900</v>
      </c>
      <c r="EY65" t="s">
        <v>923</v>
      </c>
      <c r="EZ65" t="s">
        <v>1038</v>
      </c>
      <c r="FA65" t="s">
        <v>925</v>
      </c>
      <c r="FB65">
        <v>1</v>
      </c>
      <c r="FC65">
        <v>1</v>
      </c>
      <c r="FD65" s="41">
        <v>46074</v>
      </c>
      <c r="FE65" t="s">
        <v>1267</v>
      </c>
      <c r="FF65">
        <v>7</v>
      </c>
      <c r="FG65" t="s">
        <v>2390</v>
      </c>
      <c r="FH65" t="s">
        <v>2391</v>
      </c>
      <c r="FI65">
        <v>1</v>
      </c>
      <c r="FJ65" t="s">
        <v>2392</v>
      </c>
      <c r="FK65" t="s">
        <v>2391</v>
      </c>
      <c r="FL65">
        <v>1</v>
      </c>
      <c r="FM65" t="s">
        <v>2393</v>
      </c>
      <c r="FN65" t="s">
        <v>2394</v>
      </c>
      <c r="FO65">
        <v>1</v>
      </c>
      <c r="FP65" t="s">
        <v>2395</v>
      </c>
      <c r="FQ65" t="s">
        <v>2396</v>
      </c>
      <c r="FR65">
        <v>1</v>
      </c>
      <c r="FS65" t="s">
        <v>2397</v>
      </c>
      <c r="FT65" t="s">
        <v>2398</v>
      </c>
      <c r="FU65">
        <v>1</v>
      </c>
      <c r="FV65" t="s">
        <v>2399</v>
      </c>
      <c r="FW65" t="s">
        <v>2400</v>
      </c>
      <c r="FX65">
        <v>1</v>
      </c>
      <c r="FY65" t="s">
        <v>890</v>
      </c>
      <c r="FZ65" t="s">
        <v>2401</v>
      </c>
      <c r="GA65" t="s">
        <v>2392</v>
      </c>
      <c r="GB65">
        <v>1</v>
      </c>
      <c r="GD65">
        <v>0</v>
      </c>
      <c r="GF65">
        <v>0</v>
      </c>
      <c r="GG65">
        <v>1</v>
      </c>
      <c r="GH65" t="s">
        <v>892</v>
      </c>
      <c r="GI65" t="s">
        <v>893</v>
      </c>
      <c r="GJ65" t="s">
        <v>2391</v>
      </c>
      <c r="GM65">
        <v>1</v>
      </c>
      <c r="GN65">
        <v>1</v>
      </c>
      <c r="GO65">
        <v>0</v>
      </c>
      <c r="GP65">
        <v>1</v>
      </c>
      <c r="GQ65">
        <v>1</v>
      </c>
      <c r="GR65">
        <v>0</v>
      </c>
      <c r="GS65">
        <v>1</v>
      </c>
      <c r="GT65">
        <v>0</v>
      </c>
      <c r="GU65">
        <v>1</v>
      </c>
      <c r="GV65">
        <v>0</v>
      </c>
      <c r="GW65">
        <v>1</v>
      </c>
      <c r="GX65">
        <v>0</v>
      </c>
      <c r="GY65">
        <v>1</v>
      </c>
      <c r="GZ65">
        <v>0</v>
      </c>
      <c r="HA65" t="s">
        <v>439</v>
      </c>
      <c r="HB65" t="s">
        <v>894</v>
      </c>
      <c r="HC65" t="s">
        <v>895</v>
      </c>
      <c r="HD65" t="s">
        <v>845</v>
      </c>
      <c r="HE65" t="s">
        <v>836</v>
      </c>
      <c r="HF65" t="s">
        <v>1051</v>
      </c>
      <c r="HG65" t="s">
        <v>894</v>
      </c>
      <c r="HH65" t="s">
        <v>895</v>
      </c>
      <c r="HI65" t="s">
        <v>845</v>
      </c>
      <c r="HJ65" t="s">
        <v>836</v>
      </c>
      <c r="HK65" t="s">
        <v>1037</v>
      </c>
      <c r="HL65" t="s">
        <v>180</v>
      </c>
      <c r="HM65" t="s">
        <v>854</v>
      </c>
      <c r="HN65">
        <v>36805</v>
      </c>
      <c r="HP65" t="s">
        <v>181</v>
      </c>
      <c r="HQ65" t="s">
        <v>896</v>
      </c>
      <c r="HR65" t="s">
        <v>896</v>
      </c>
      <c r="HS65" t="s">
        <v>896</v>
      </c>
    </row>
    <row r="66" spans="1:227" x14ac:dyDescent="0.2">
      <c r="A66">
        <v>8702</v>
      </c>
      <c r="B66">
        <v>7534008699</v>
      </c>
      <c r="C66" t="s">
        <v>936</v>
      </c>
      <c r="D66" t="s">
        <v>937</v>
      </c>
      <c r="E66" t="s">
        <v>897</v>
      </c>
      <c r="F66">
        <v>1</v>
      </c>
      <c r="G66" t="s">
        <v>2402</v>
      </c>
      <c r="H66" t="s">
        <v>2402</v>
      </c>
      <c r="I66">
        <v>0</v>
      </c>
      <c r="J66" t="s">
        <v>833</v>
      </c>
      <c r="K66" t="s">
        <v>834</v>
      </c>
      <c r="L66">
        <v>153402703</v>
      </c>
      <c r="M66" t="s">
        <v>2403</v>
      </c>
      <c r="N66" t="s">
        <v>900</v>
      </c>
      <c r="O66" t="s">
        <v>837</v>
      </c>
      <c r="P66" t="s">
        <v>940</v>
      </c>
      <c r="Q66" t="s">
        <v>2404</v>
      </c>
      <c r="R66" t="s">
        <v>2405</v>
      </c>
      <c r="S66" t="s">
        <v>2406</v>
      </c>
      <c r="T66">
        <v>41477066624</v>
      </c>
      <c r="V66" t="s">
        <v>154</v>
      </c>
      <c r="W66" s="41">
        <v>45998</v>
      </c>
      <c r="X66" t="s">
        <v>2407</v>
      </c>
      <c r="Y66" t="s">
        <v>2408</v>
      </c>
      <c r="AA66">
        <v>0</v>
      </c>
      <c r="AB66" t="s">
        <v>845</v>
      </c>
      <c r="AC66" t="s">
        <v>846</v>
      </c>
      <c r="AD66" t="s">
        <v>847</v>
      </c>
      <c r="AE66" t="s">
        <v>848</v>
      </c>
      <c r="AF66">
        <v>1</v>
      </c>
      <c r="AG66">
        <v>452210</v>
      </c>
      <c r="AH66" t="s">
        <v>849</v>
      </c>
      <c r="AI66" t="s">
        <v>850</v>
      </c>
      <c r="AJ66" t="s">
        <v>851</v>
      </c>
      <c r="AK66" t="s">
        <v>307</v>
      </c>
      <c r="AL66" t="s">
        <v>2207</v>
      </c>
      <c r="AM66" t="s">
        <v>2409</v>
      </c>
      <c r="AN66" t="s">
        <v>854</v>
      </c>
      <c r="AO66">
        <v>36805</v>
      </c>
      <c r="AP66">
        <v>535</v>
      </c>
      <c r="AQ66" t="s">
        <v>855</v>
      </c>
      <c r="AR66">
        <v>66235063</v>
      </c>
      <c r="AS66" t="s">
        <v>856</v>
      </c>
      <c r="AU66" t="s">
        <v>2410</v>
      </c>
      <c r="AV66" t="s">
        <v>2411</v>
      </c>
      <c r="AX66" t="s">
        <v>913</v>
      </c>
      <c r="AY66" t="s">
        <v>861</v>
      </c>
      <c r="AZ66" t="s">
        <v>307</v>
      </c>
      <c r="BA66" t="s">
        <v>308</v>
      </c>
      <c r="BB66">
        <v>0</v>
      </c>
      <c r="BC66">
        <v>0</v>
      </c>
      <c r="BD66">
        <v>0</v>
      </c>
      <c r="BE66" t="s">
        <v>2403</v>
      </c>
      <c r="BF66">
        <v>0</v>
      </c>
      <c r="BG66">
        <v>0</v>
      </c>
      <c r="BH66" t="s">
        <v>862</v>
      </c>
      <c r="BI66">
        <v>0</v>
      </c>
      <c r="BJ66" t="s">
        <v>862</v>
      </c>
      <c r="BK66">
        <v>1</v>
      </c>
      <c r="BL66">
        <v>1</v>
      </c>
      <c r="BM66">
        <v>0</v>
      </c>
      <c r="BN66" t="s">
        <v>596</v>
      </c>
      <c r="BO66">
        <v>153402703</v>
      </c>
      <c r="BP66" t="s">
        <v>2402</v>
      </c>
      <c r="BQ66">
        <v>40.217837500000002</v>
      </c>
      <c r="BR66">
        <v>42791452</v>
      </c>
      <c r="BS66">
        <v>-85.391138100000006</v>
      </c>
      <c r="BT66">
        <v>0</v>
      </c>
      <c r="CM66">
        <v>4010</v>
      </c>
      <c r="CO66">
        <v>7360</v>
      </c>
      <c r="CP66">
        <v>1.2666999999999999</v>
      </c>
      <c r="CQ66">
        <v>1.2666999999999999</v>
      </c>
      <c r="CR66">
        <v>3.1667000000000001</v>
      </c>
      <c r="CS66">
        <v>5</v>
      </c>
      <c r="CT66" t="s">
        <v>2412</v>
      </c>
      <c r="CU66" t="s">
        <v>2413</v>
      </c>
      <c r="CV66" t="s">
        <v>833</v>
      </c>
      <c r="CW66" t="s">
        <v>834</v>
      </c>
      <c r="CX66" t="s">
        <v>2403</v>
      </c>
      <c r="CY66">
        <v>0</v>
      </c>
      <c r="CZ66">
        <v>0</v>
      </c>
      <c r="DA66" t="s">
        <v>833</v>
      </c>
      <c r="DB66" t="s">
        <v>865</v>
      </c>
      <c r="DC66">
        <v>47303</v>
      </c>
      <c r="DD66">
        <v>8.4167000000000005</v>
      </c>
      <c r="DE66" t="s">
        <v>866</v>
      </c>
      <c r="DG66" t="s">
        <v>867</v>
      </c>
      <c r="DH66" t="s">
        <v>851</v>
      </c>
      <c r="DI66" t="s">
        <v>1154</v>
      </c>
      <c r="DL66" t="s">
        <v>869</v>
      </c>
      <c r="DM66">
        <v>0</v>
      </c>
      <c r="DN66">
        <v>0</v>
      </c>
      <c r="DO66">
        <v>1</v>
      </c>
      <c r="DP66" t="s">
        <v>985</v>
      </c>
      <c r="DQ66">
        <v>12</v>
      </c>
      <c r="DR66">
        <v>505</v>
      </c>
      <c r="DS66">
        <v>1225</v>
      </c>
      <c r="DT66">
        <v>7.15</v>
      </c>
      <c r="DU66">
        <v>4</v>
      </c>
      <c r="DW66">
        <v>1</v>
      </c>
      <c r="DX66" t="s">
        <v>596</v>
      </c>
      <c r="DY66" t="s">
        <v>2403</v>
      </c>
      <c r="DZ66">
        <v>1</v>
      </c>
      <c r="EA66">
        <v>1</v>
      </c>
      <c r="EB66">
        <v>1</v>
      </c>
      <c r="EC66">
        <v>0</v>
      </c>
      <c r="ED66">
        <v>0</v>
      </c>
      <c r="EE66">
        <v>1</v>
      </c>
      <c r="EF66" t="s">
        <v>920</v>
      </c>
      <c r="EG66" t="s">
        <v>595</v>
      </c>
      <c r="EH66" t="s">
        <v>1036</v>
      </c>
      <c r="EI66" t="s">
        <v>1036</v>
      </c>
      <c r="EJ66" t="s">
        <v>134</v>
      </c>
      <c r="EK66">
        <v>9090</v>
      </c>
      <c r="EL66">
        <v>0</v>
      </c>
      <c r="EM66" t="s">
        <v>1011</v>
      </c>
      <c r="EN66">
        <v>3.1667000000000001</v>
      </c>
      <c r="EO66">
        <v>20.399999999999999</v>
      </c>
      <c r="EP66">
        <v>99991120</v>
      </c>
      <c r="EQ66" t="s">
        <v>874</v>
      </c>
      <c r="ER66" t="s">
        <v>875</v>
      </c>
      <c r="ES66" t="s">
        <v>876</v>
      </c>
      <c r="ET66" t="s">
        <v>877</v>
      </c>
      <c r="EU66" t="s">
        <v>877</v>
      </c>
      <c r="EV66" t="s">
        <v>920</v>
      </c>
      <c r="EX66" t="s">
        <v>953</v>
      </c>
      <c r="EY66" t="s">
        <v>1555</v>
      </c>
      <c r="EZ66" t="s">
        <v>1013</v>
      </c>
      <c r="FA66" t="s">
        <v>925</v>
      </c>
      <c r="FB66">
        <v>1</v>
      </c>
      <c r="FC66">
        <v>1</v>
      </c>
      <c r="FD66" s="41">
        <v>46004</v>
      </c>
      <c r="FE66" t="s">
        <v>957</v>
      </c>
      <c r="FF66">
        <v>4</v>
      </c>
      <c r="FI66">
        <v>0</v>
      </c>
      <c r="FL66">
        <v>0</v>
      </c>
      <c r="FM66" t="s">
        <v>2414</v>
      </c>
      <c r="FN66" t="s">
        <v>2415</v>
      </c>
      <c r="FO66">
        <v>1</v>
      </c>
      <c r="FP66" t="s">
        <v>2416</v>
      </c>
      <c r="FQ66" t="s">
        <v>2413</v>
      </c>
      <c r="FR66">
        <v>1</v>
      </c>
      <c r="FS66" t="s">
        <v>2417</v>
      </c>
      <c r="FT66" t="s">
        <v>2418</v>
      </c>
      <c r="FU66">
        <v>1</v>
      </c>
      <c r="FV66" t="s">
        <v>2419</v>
      </c>
      <c r="FW66" t="s">
        <v>2420</v>
      </c>
      <c r="FX66">
        <v>1</v>
      </c>
      <c r="FY66" t="s">
        <v>890</v>
      </c>
      <c r="FZ66" t="s">
        <v>2421</v>
      </c>
      <c r="GA66" t="s">
        <v>2419</v>
      </c>
      <c r="GB66">
        <v>1</v>
      </c>
      <c r="GD66">
        <v>0</v>
      </c>
      <c r="GF66">
        <v>0</v>
      </c>
      <c r="GG66">
        <v>1</v>
      </c>
      <c r="GH66" t="s">
        <v>892</v>
      </c>
      <c r="GI66" t="s">
        <v>893</v>
      </c>
      <c r="GJ66" t="s">
        <v>2420</v>
      </c>
      <c r="GM66">
        <v>1</v>
      </c>
      <c r="GN66">
        <v>1</v>
      </c>
      <c r="GO66">
        <v>0</v>
      </c>
      <c r="GP66">
        <v>1</v>
      </c>
      <c r="GQ66">
        <v>1</v>
      </c>
      <c r="GR66">
        <v>0</v>
      </c>
      <c r="GS66">
        <v>1</v>
      </c>
      <c r="GT66">
        <v>0</v>
      </c>
      <c r="GU66">
        <v>1</v>
      </c>
      <c r="GV66">
        <v>0</v>
      </c>
      <c r="GW66">
        <v>1</v>
      </c>
      <c r="GX66">
        <v>0</v>
      </c>
      <c r="GY66">
        <v>1</v>
      </c>
      <c r="GZ66">
        <v>0</v>
      </c>
      <c r="HA66" t="s">
        <v>307</v>
      </c>
      <c r="HB66" t="s">
        <v>894</v>
      </c>
      <c r="HC66" t="s">
        <v>935</v>
      </c>
      <c r="HD66" t="s">
        <v>845</v>
      </c>
      <c r="HE66" t="s">
        <v>900</v>
      </c>
      <c r="HF66" t="s">
        <v>1012</v>
      </c>
      <c r="HG66" t="s">
        <v>894</v>
      </c>
      <c r="HH66" t="s">
        <v>935</v>
      </c>
      <c r="HI66" t="s">
        <v>845</v>
      </c>
      <c r="HJ66" t="s">
        <v>900</v>
      </c>
      <c r="HK66" t="s">
        <v>1011</v>
      </c>
      <c r="HL66" t="s">
        <v>154</v>
      </c>
      <c r="HM66" t="s">
        <v>854</v>
      </c>
      <c r="HN66">
        <v>36805</v>
      </c>
      <c r="HP66" t="s">
        <v>134</v>
      </c>
      <c r="HQ66" t="s">
        <v>896</v>
      </c>
      <c r="HR66" t="s">
        <v>896</v>
      </c>
      <c r="HS66" t="s">
        <v>896</v>
      </c>
    </row>
    <row r="67" spans="1:227" x14ac:dyDescent="0.2">
      <c r="A67">
        <v>8702</v>
      </c>
      <c r="B67">
        <v>7524606974</v>
      </c>
      <c r="C67">
        <v>34</v>
      </c>
      <c r="D67" t="s">
        <v>996</v>
      </c>
      <c r="E67" t="s">
        <v>831</v>
      </c>
      <c r="F67">
        <v>0</v>
      </c>
      <c r="G67" t="s">
        <v>2422</v>
      </c>
      <c r="H67" t="s">
        <v>2422</v>
      </c>
      <c r="I67">
        <v>0</v>
      </c>
      <c r="J67" t="s">
        <v>833</v>
      </c>
      <c r="K67" t="s">
        <v>834</v>
      </c>
      <c r="L67">
        <v>153406461</v>
      </c>
      <c r="M67" t="s">
        <v>2423</v>
      </c>
      <c r="N67" t="s">
        <v>836</v>
      </c>
      <c r="O67" t="s">
        <v>837</v>
      </c>
      <c r="P67" t="s">
        <v>999</v>
      </c>
      <c r="Q67" t="s">
        <v>1027</v>
      </c>
      <c r="R67" t="s">
        <v>2424</v>
      </c>
      <c r="S67" t="s">
        <v>2425</v>
      </c>
      <c r="T67">
        <v>30300134878</v>
      </c>
      <c r="V67" t="s">
        <v>165</v>
      </c>
      <c r="W67" s="41">
        <v>45903</v>
      </c>
      <c r="X67" t="s">
        <v>2426</v>
      </c>
      <c r="Y67" t="s">
        <v>2427</v>
      </c>
      <c r="AA67">
        <v>0</v>
      </c>
      <c r="AB67" t="s">
        <v>845</v>
      </c>
      <c r="AC67" t="s">
        <v>846</v>
      </c>
      <c r="AD67" t="s">
        <v>847</v>
      </c>
      <c r="AE67" t="s">
        <v>848</v>
      </c>
      <c r="AF67">
        <v>1</v>
      </c>
      <c r="AG67">
        <v>452210</v>
      </c>
      <c r="AH67" t="s">
        <v>849</v>
      </c>
      <c r="AI67" t="s">
        <v>850</v>
      </c>
      <c r="AJ67" t="s">
        <v>851</v>
      </c>
      <c r="AK67" t="s">
        <v>285</v>
      </c>
      <c r="AL67" t="s">
        <v>1667</v>
      </c>
      <c r="AM67" t="s">
        <v>1499</v>
      </c>
      <c r="AN67" t="s">
        <v>854</v>
      </c>
      <c r="AO67">
        <v>36805</v>
      </c>
      <c r="AP67">
        <v>544</v>
      </c>
      <c r="AQ67" t="s">
        <v>855</v>
      </c>
      <c r="AR67">
        <v>66098302</v>
      </c>
      <c r="AS67" t="s">
        <v>856</v>
      </c>
      <c r="AU67" t="s">
        <v>2428</v>
      </c>
      <c r="AV67" t="s">
        <v>2429</v>
      </c>
      <c r="AX67" t="s">
        <v>913</v>
      </c>
      <c r="AY67" t="s">
        <v>861</v>
      </c>
      <c r="AZ67" t="s">
        <v>285</v>
      </c>
      <c r="BA67" t="s">
        <v>286</v>
      </c>
      <c r="BB67">
        <v>0</v>
      </c>
      <c r="BC67">
        <v>0</v>
      </c>
      <c r="BD67">
        <v>0</v>
      </c>
      <c r="BE67" t="s">
        <v>2423</v>
      </c>
      <c r="BF67">
        <v>0</v>
      </c>
      <c r="BG67">
        <v>0</v>
      </c>
      <c r="BH67" t="s">
        <v>862</v>
      </c>
      <c r="BI67">
        <v>0</v>
      </c>
      <c r="BJ67" t="s">
        <v>862</v>
      </c>
      <c r="BK67">
        <v>1</v>
      </c>
      <c r="BL67">
        <v>1</v>
      </c>
      <c r="BM67">
        <v>0</v>
      </c>
      <c r="BN67" t="s">
        <v>596</v>
      </c>
      <c r="BO67">
        <v>153406461</v>
      </c>
      <c r="BP67" t="s">
        <v>2422</v>
      </c>
      <c r="BR67">
        <v>42791459</v>
      </c>
      <c r="BT67">
        <v>0</v>
      </c>
      <c r="CM67">
        <v>4010</v>
      </c>
      <c r="CO67">
        <v>7360</v>
      </c>
      <c r="CP67">
        <v>6.6699999999999995E-2</v>
      </c>
      <c r="CQ67">
        <v>6.6699999999999995E-2</v>
      </c>
      <c r="CR67">
        <v>1.67E-2</v>
      </c>
      <c r="CS67">
        <v>0</v>
      </c>
      <c r="CT67" t="s">
        <v>2429</v>
      </c>
      <c r="CU67" t="s">
        <v>2428</v>
      </c>
      <c r="CV67" t="s">
        <v>833</v>
      </c>
      <c r="CW67" t="s">
        <v>834</v>
      </c>
      <c r="CX67" t="s">
        <v>2423</v>
      </c>
      <c r="CY67">
        <v>0</v>
      </c>
      <c r="CZ67">
        <v>0</v>
      </c>
      <c r="DA67" t="s">
        <v>833</v>
      </c>
      <c r="DB67" t="s">
        <v>865</v>
      </c>
      <c r="DC67">
        <v>55378</v>
      </c>
      <c r="DD67">
        <v>3</v>
      </c>
      <c r="DE67" t="s">
        <v>866</v>
      </c>
      <c r="DG67" t="s">
        <v>867</v>
      </c>
      <c r="DH67" t="s">
        <v>851</v>
      </c>
      <c r="DL67" t="s">
        <v>869</v>
      </c>
      <c r="DM67">
        <v>0</v>
      </c>
      <c r="DN67">
        <v>0</v>
      </c>
      <c r="DO67">
        <v>2</v>
      </c>
      <c r="DP67" t="s">
        <v>870</v>
      </c>
      <c r="DQ67">
        <v>12</v>
      </c>
      <c r="DR67">
        <v>180</v>
      </c>
      <c r="DS67">
        <v>180</v>
      </c>
      <c r="DT67">
        <v>2.9333</v>
      </c>
      <c r="DU67">
        <v>4</v>
      </c>
      <c r="DW67">
        <v>1</v>
      </c>
      <c r="DX67" t="s">
        <v>596</v>
      </c>
      <c r="DY67" t="s">
        <v>2423</v>
      </c>
      <c r="DZ67">
        <v>1</v>
      </c>
      <c r="EA67">
        <v>1</v>
      </c>
      <c r="EB67">
        <v>1</v>
      </c>
      <c r="EC67">
        <v>1</v>
      </c>
      <c r="ED67">
        <v>1</v>
      </c>
      <c r="EE67">
        <v>1</v>
      </c>
      <c r="EF67" t="s">
        <v>871</v>
      </c>
      <c r="EG67" t="s">
        <v>595</v>
      </c>
      <c r="EH67" t="s">
        <v>1036</v>
      </c>
      <c r="EI67" t="s">
        <v>1036</v>
      </c>
      <c r="EJ67" t="s">
        <v>159</v>
      </c>
      <c r="EK67">
        <v>9090</v>
      </c>
      <c r="EL67">
        <v>0</v>
      </c>
      <c r="EM67" t="s">
        <v>873</v>
      </c>
      <c r="EN67">
        <v>1.67E-2</v>
      </c>
      <c r="EO67">
        <v>3</v>
      </c>
      <c r="EP67">
        <v>99991120</v>
      </c>
      <c r="EQ67" t="s">
        <v>874</v>
      </c>
      <c r="ER67" t="s">
        <v>875</v>
      </c>
      <c r="ES67" t="s">
        <v>876</v>
      </c>
      <c r="ET67" t="s">
        <v>877</v>
      </c>
      <c r="EU67" t="s">
        <v>877</v>
      </c>
      <c r="EV67" t="s">
        <v>871</v>
      </c>
      <c r="EX67" t="s">
        <v>836</v>
      </c>
      <c r="EY67" t="s">
        <v>1121</v>
      </c>
      <c r="EZ67" t="s">
        <v>1122</v>
      </c>
      <c r="FA67" t="s">
        <v>956</v>
      </c>
      <c r="FB67">
        <v>1</v>
      </c>
      <c r="FC67">
        <v>1</v>
      </c>
      <c r="FD67" s="41">
        <v>45906</v>
      </c>
      <c r="FE67" t="s">
        <v>880</v>
      </c>
      <c r="FF67">
        <v>4</v>
      </c>
      <c r="FI67">
        <v>0</v>
      </c>
      <c r="FL67">
        <v>0</v>
      </c>
      <c r="FM67" t="s">
        <v>2430</v>
      </c>
      <c r="FN67" t="s">
        <v>2431</v>
      </c>
      <c r="FO67">
        <v>1</v>
      </c>
      <c r="FP67" t="s">
        <v>2432</v>
      </c>
      <c r="FQ67" t="s">
        <v>2433</v>
      </c>
      <c r="FR67">
        <v>1</v>
      </c>
      <c r="FS67" t="s">
        <v>1672</v>
      </c>
      <c r="FT67" t="s">
        <v>2434</v>
      </c>
      <c r="FU67">
        <v>1</v>
      </c>
      <c r="FV67" t="s">
        <v>1674</v>
      </c>
      <c r="FW67" t="s">
        <v>2435</v>
      </c>
      <c r="FX67">
        <v>1</v>
      </c>
      <c r="FY67" t="s">
        <v>890</v>
      </c>
      <c r="FZ67" t="s">
        <v>2436</v>
      </c>
      <c r="GA67" t="s">
        <v>1674</v>
      </c>
      <c r="GB67">
        <v>1</v>
      </c>
      <c r="GD67">
        <v>0</v>
      </c>
      <c r="GF67">
        <v>0</v>
      </c>
      <c r="GG67">
        <v>1</v>
      </c>
      <c r="GH67" t="s">
        <v>892</v>
      </c>
      <c r="GI67" t="s">
        <v>893</v>
      </c>
      <c r="GJ67" t="s">
        <v>2435</v>
      </c>
      <c r="GM67">
        <v>1</v>
      </c>
      <c r="GN67">
        <v>1</v>
      </c>
      <c r="GO67">
        <v>0</v>
      </c>
      <c r="GP67">
        <v>1</v>
      </c>
      <c r="GQ67">
        <v>1</v>
      </c>
      <c r="GR67">
        <v>0</v>
      </c>
      <c r="GS67">
        <v>1</v>
      </c>
      <c r="GT67">
        <v>1</v>
      </c>
      <c r="GU67">
        <v>1</v>
      </c>
      <c r="GV67">
        <v>1</v>
      </c>
      <c r="GW67">
        <v>1</v>
      </c>
      <c r="GX67">
        <v>0</v>
      </c>
      <c r="GY67">
        <v>1</v>
      </c>
      <c r="GZ67">
        <v>0</v>
      </c>
      <c r="HA67" t="s">
        <v>285</v>
      </c>
      <c r="HB67" t="s">
        <v>894</v>
      </c>
      <c r="HC67" t="s">
        <v>895</v>
      </c>
      <c r="HD67" t="s">
        <v>845</v>
      </c>
      <c r="HE67" t="s">
        <v>836</v>
      </c>
      <c r="HF67" t="s">
        <v>873</v>
      </c>
      <c r="HG67" t="s">
        <v>894</v>
      </c>
      <c r="HH67" t="s">
        <v>895</v>
      </c>
      <c r="HI67" t="s">
        <v>845</v>
      </c>
      <c r="HJ67" t="s">
        <v>836</v>
      </c>
      <c r="HK67" t="s">
        <v>873</v>
      </c>
      <c r="HL67" t="s">
        <v>165</v>
      </c>
      <c r="HM67" t="s">
        <v>854</v>
      </c>
      <c r="HN67">
        <v>36805</v>
      </c>
      <c r="HP67" t="s">
        <v>159</v>
      </c>
      <c r="HQ67" t="s">
        <v>896</v>
      </c>
      <c r="HR67" t="s">
        <v>896</v>
      </c>
      <c r="HS67" t="s">
        <v>896</v>
      </c>
    </row>
    <row r="68" spans="1:227" x14ac:dyDescent="0.2">
      <c r="A68">
        <v>8702</v>
      </c>
      <c r="B68">
        <v>7601403432</v>
      </c>
      <c r="C68">
        <v>34</v>
      </c>
      <c r="D68" t="s">
        <v>996</v>
      </c>
      <c r="E68" t="s">
        <v>831</v>
      </c>
      <c r="F68">
        <v>0</v>
      </c>
      <c r="G68" t="s">
        <v>2437</v>
      </c>
      <c r="H68" t="s">
        <v>2437</v>
      </c>
      <c r="I68">
        <v>0</v>
      </c>
      <c r="J68" t="s">
        <v>833</v>
      </c>
      <c r="K68" t="s">
        <v>834</v>
      </c>
      <c r="L68">
        <v>153008212</v>
      </c>
      <c r="M68" t="s">
        <v>1685</v>
      </c>
      <c r="N68" t="s">
        <v>836</v>
      </c>
      <c r="O68" t="s">
        <v>837</v>
      </c>
      <c r="P68" t="s">
        <v>999</v>
      </c>
      <c r="Q68" t="s">
        <v>1027</v>
      </c>
      <c r="R68" t="s">
        <v>2438</v>
      </c>
      <c r="S68" t="s">
        <v>2439</v>
      </c>
      <c r="T68">
        <v>41477075231</v>
      </c>
      <c r="V68" t="s">
        <v>117</v>
      </c>
      <c r="W68" s="41">
        <v>46037</v>
      </c>
      <c r="X68" t="s">
        <v>2440</v>
      </c>
      <c r="Y68" t="s">
        <v>2441</v>
      </c>
      <c r="Z68" t="s">
        <v>2442</v>
      </c>
      <c r="AA68">
        <v>0</v>
      </c>
      <c r="AB68" t="s">
        <v>845</v>
      </c>
      <c r="AC68" t="s">
        <v>846</v>
      </c>
      <c r="AD68" t="s">
        <v>847</v>
      </c>
      <c r="AE68" t="s">
        <v>848</v>
      </c>
      <c r="AF68">
        <v>1</v>
      </c>
      <c r="AG68">
        <v>452210</v>
      </c>
      <c r="AH68" t="s">
        <v>849</v>
      </c>
      <c r="AI68" t="s">
        <v>850</v>
      </c>
      <c r="AJ68" t="s">
        <v>851</v>
      </c>
      <c r="AK68" t="s">
        <v>289</v>
      </c>
      <c r="AL68" t="s">
        <v>2443</v>
      </c>
      <c r="AM68" t="s">
        <v>1364</v>
      </c>
      <c r="AN68" t="s">
        <v>854</v>
      </c>
      <c r="AO68">
        <v>36805</v>
      </c>
      <c r="AP68">
        <v>493</v>
      </c>
      <c r="AQ68" t="s">
        <v>855</v>
      </c>
      <c r="AR68">
        <v>66291287</v>
      </c>
      <c r="AS68" t="s">
        <v>856</v>
      </c>
      <c r="AU68" t="s">
        <v>2444</v>
      </c>
      <c r="AV68" t="s">
        <v>2445</v>
      </c>
      <c r="AX68" t="s">
        <v>913</v>
      </c>
      <c r="AY68" t="s">
        <v>861</v>
      </c>
      <c r="AZ68" t="s">
        <v>289</v>
      </c>
      <c r="BA68" t="s">
        <v>290</v>
      </c>
      <c r="BB68">
        <v>0</v>
      </c>
      <c r="BC68">
        <v>1</v>
      </c>
      <c r="BD68">
        <v>0</v>
      </c>
      <c r="BE68" t="s">
        <v>1685</v>
      </c>
      <c r="BF68">
        <v>0</v>
      </c>
      <c r="BG68">
        <v>0</v>
      </c>
      <c r="BH68" t="s">
        <v>862</v>
      </c>
      <c r="BI68">
        <v>0</v>
      </c>
      <c r="BJ68" t="s">
        <v>862</v>
      </c>
      <c r="BK68">
        <v>1</v>
      </c>
      <c r="BL68">
        <v>1</v>
      </c>
      <c r="BM68">
        <v>0</v>
      </c>
      <c r="BN68" t="s">
        <v>596</v>
      </c>
      <c r="BO68">
        <v>153008212</v>
      </c>
      <c r="BP68" t="s">
        <v>2437</v>
      </c>
      <c r="BR68">
        <v>42789054</v>
      </c>
      <c r="BT68">
        <v>1</v>
      </c>
      <c r="BU68" t="s">
        <v>1367</v>
      </c>
      <c r="CI68">
        <v>11</v>
      </c>
      <c r="CJ68" t="s">
        <v>94</v>
      </c>
      <c r="CM68">
        <v>4010</v>
      </c>
      <c r="CO68">
        <v>7360</v>
      </c>
      <c r="CP68">
        <v>0.56669999999999998</v>
      </c>
      <c r="CQ68">
        <v>0.56669999999999998</v>
      </c>
      <c r="CR68">
        <v>0.4667</v>
      </c>
      <c r="CS68">
        <v>3</v>
      </c>
      <c r="CT68" t="s">
        <v>2446</v>
      </c>
      <c r="CU68" t="s">
        <v>2447</v>
      </c>
      <c r="CV68" t="s">
        <v>833</v>
      </c>
      <c r="CW68" t="s">
        <v>834</v>
      </c>
      <c r="CX68" t="s">
        <v>1685</v>
      </c>
      <c r="CY68">
        <v>1</v>
      </c>
      <c r="CZ68">
        <v>1</v>
      </c>
      <c r="DA68" t="s">
        <v>833</v>
      </c>
      <c r="DB68" t="s">
        <v>865</v>
      </c>
      <c r="DC68">
        <v>63368</v>
      </c>
      <c r="DD68">
        <v>19.066700000000001</v>
      </c>
      <c r="DE68" t="s">
        <v>866</v>
      </c>
      <c r="DG68" t="s">
        <v>867</v>
      </c>
      <c r="DH68" t="s">
        <v>851</v>
      </c>
      <c r="DJ68" t="s">
        <v>1694</v>
      </c>
      <c r="DK68" t="s">
        <v>918</v>
      </c>
      <c r="DL68" t="s">
        <v>869</v>
      </c>
      <c r="DM68">
        <v>0</v>
      </c>
      <c r="DN68">
        <v>0</v>
      </c>
      <c r="DO68">
        <v>11</v>
      </c>
      <c r="DP68" t="s">
        <v>1010</v>
      </c>
      <c r="DQ68">
        <v>12</v>
      </c>
      <c r="DR68">
        <v>1144</v>
      </c>
      <c r="DS68">
        <v>1864</v>
      </c>
      <c r="DT68">
        <v>18.5</v>
      </c>
      <c r="DU68">
        <v>4</v>
      </c>
      <c r="DV68">
        <v>1</v>
      </c>
      <c r="DW68">
        <v>1</v>
      </c>
      <c r="DX68" t="s">
        <v>596</v>
      </c>
      <c r="DY68" t="s">
        <v>1685</v>
      </c>
      <c r="DZ68">
        <v>0</v>
      </c>
      <c r="EA68">
        <v>0</v>
      </c>
      <c r="EB68">
        <v>1</v>
      </c>
      <c r="EC68">
        <v>0</v>
      </c>
      <c r="ED68">
        <v>0</v>
      </c>
      <c r="EE68">
        <v>1</v>
      </c>
      <c r="EF68" t="s">
        <v>920</v>
      </c>
      <c r="EG68" t="s">
        <v>595</v>
      </c>
      <c r="EH68" t="s">
        <v>1036</v>
      </c>
      <c r="EI68" t="s">
        <v>1036</v>
      </c>
      <c r="EJ68" t="s">
        <v>111</v>
      </c>
      <c r="EK68">
        <v>9090</v>
      </c>
      <c r="EL68">
        <v>0</v>
      </c>
      <c r="EM68" t="s">
        <v>1037</v>
      </c>
      <c r="EN68">
        <v>0.4667</v>
      </c>
      <c r="EO68">
        <v>31.066666600000001</v>
      </c>
      <c r="EP68">
        <v>99991120</v>
      </c>
      <c r="EQ68" t="s">
        <v>874</v>
      </c>
      <c r="ER68" t="s">
        <v>875</v>
      </c>
      <c r="ES68" t="s">
        <v>876</v>
      </c>
      <c r="ET68" t="s">
        <v>877</v>
      </c>
      <c r="EU68" t="s">
        <v>877</v>
      </c>
      <c r="EV68" t="s">
        <v>920</v>
      </c>
      <c r="EX68" t="s">
        <v>900</v>
      </c>
      <c r="EY68" t="s">
        <v>923</v>
      </c>
      <c r="EZ68" t="s">
        <v>1038</v>
      </c>
      <c r="FA68" t="s">
        <v>925</v>
      </c>
      <c r="FB68">
        <v>1</v>
      </c>
      <c r="FC68">
        <v>1</v>
      </c>
      <c r="FD68" s="41">
        <v>46039</v>
      </c>
      <c r="FE68" t="s">
        <v>1370</v>
      </c>
      <c r="FF68">
        <v>8</v>
      </c>
      <c r="FG68" t="s">
        <v>2448</v>
      </c>
      <c r="FH68" t="s">
        <v>2449</v>
      </c>
      <c r="FI68">
        <v>1</v>
      </c>
      <c r="FJ68" t="s">
        <v>2450</v>
      </c>
      <c r="FK68" t="s">
        <v>2449</v>
      </c>
      <c r="FL68">
        <v>1</v>
      </c>
      <c r="FM68" t="s">
        <v>1698</v>
      </c>
      <c r="FN68" t="s">
        <v>2451</v>
      </c>
      <c r="FO68">
        <v>1</v>
      </c>
      <c r="FP68" t="s">
        <v>2452</v>
      </c>
      <c r="FQ68" t="s">
        <v>2447</v>
      </c>
      <c r="FR68">
        <v>1</v>
      </c>
      <c r="FS68" t="s">
        <v>2453</v>
      </c>
      <c r="FT68" t="s">
        <v>2454</v>
      </c>
      <c r="FU68">
        <v>1</v>
      </c>
      <c r="FV68" t="s">
        <v>2455</v>
      </c>
      <c r="FW68" t="s">
        <v>2456</v>
      </c>
      <c r="FX68">
        <v>1</v>
      </c>
      <c r="FY68" t="s">
        <v>890</v>
      </c>
      <c r="FZ68" t="s">
        <v>2457</v>
      </c>
      <c r="GA68" t="s">
        <v>2450</v>
      </c>
      <c r="GB68">
        <v>1</v>
      </c>
      <c r="GD68">
        <v>0</v>
      </c>
      <c r="GF68">
        <v>0</v>
      </c>
      <c r="GG68">
        <v>1</v>
      </c>
      <c r="GH68" t="s">
        <v>892</v>
      </c>
      <c r="GI68" t="s">
        <v>893</v>
      </c>
      <c r="GJ68" t="s">
        <v>2449</v>
      </c>
      <c r="GM68">
        <v>1</v>
      </c>
      <c r="GN68">
        <v>1</v>
      </c>
      <c r="GO68">
        <v>0</v>
      </c>
      <c r="GP68">
        <v>1</v>
      </c>
      <c r="GQ68">
        <v>1</v>
      </c>
      <c r="GR68">
        <v>0</v>
      </c>
      <c r="GS68">
        <v>1</v>
      </c>
      <c r="GT68">
        <v>0</v>
      </c>
      <c r="GU68">
        <v>1</v>
      </c>
      <c r="GV68">
        <v>0</v>
      </c>
      <c r="GW68">
        <v>1</v>
      </c>
      <c r="GX68">
        <v>0</v>
      </c>
      <c r="GY68">
        <v>1</v>
      </c>
      <c r="GZ68">
        <v>0</v>
      </c>
      <c r="HA68" t="s">
        <v>289</v>
      </c>
      <c r="HB68" t="s">
        <v>894</v>
      </c>
      <c r="HC68" t="s">
        <v>895</v>
      </c>
      <c r="HD68" t="s">
        <v>845</v>
      </c>
      <c r="HE68" t="s">
        <v>836</v>
      </c>
      <c r="HF68" t="s">
        <v>1051</v>
      </c>
      <c r="HG68" t="s">
        <v>894</v>
      </c>
      <c r="HH68" t="s">
        <v>895</v>
      </c>
      <c r="HI68" t="s">
        <v>845</v>
      </c>
      <c r="HJ68" t="s">
        <v>836</v>
      </c>
      <c r="HK68" t="s">
        <v>1037</v>
      </c>
      <c r="HL68" t="s">
        <v>117</v>
      </c>
      <c r="HM68" t="s">
        <v>854</v>
      </c>
      <c r="HN68">
        <v>36805</v>
      </c>
      <c r="HO68">
        <v>1</v>
      </c>
      <c r="HP68" t="s">
        <v>111</v>
      </c>
      <c r="HQ68" t="s">
        <v>896</v>
      </c>
      <c r="HR68" t="s">
        <v>896</v>
      </c>
      <c r="HS68" t="s">
        <v>896</v>
      </c>
    </row>
    <row r="69" spans="1:227" x14ac:dyDescent="0.2">
      <c r="A69">
        <v>8702</v>
      </c>
      <c r="B69">
        <v>7617300249</v>
      </c>
      <c r="C69">
        <v>34</v>
      </c>
      <c r="D69" t="s">
        <v>996</v>
      </c>
      <c r="E69" t="s">
        <v>897</v>
      </c>
      <c r="F69">
        <v>1</v>
      </c>
      <c r="G69" t="s">
        <v>2458</v>
      </c>
      <c r="H69" t="s">
        <v>2458</v>
      </c>
      <c r="I69">
        <v>0</v>
      </c>
      <c r="J69" t="s">
        <v>833</v>
      </c>
      <c r="K69" t="s">
        <v>834</v>
      </c>
      <c r="L69">
        <v>153008255</v>
      </c>
      <c r="M69" t="s">
        <v>1750</v>
      </c>
      <c r="N69" t="s">
        <v>900</v>
      </c>
      <c r="O69" t="s">
        <v>837</v>
      </c>
      <c r="P69" t="s">
        <v>999</v>
      </c>
      <c r="Q69" t="s">
        <v>2459</v>
      </c>
      <c r="R69" t="s">
        <v>2460</v>
      </c>
      <c r="S69" t="s">
        <v>2461</v>
      </c>
      <c r="T69">
        <v>41477132830</v>
      </c>
      <c r="V69" t="s">
        <v>1476</v>
      </c>
      <c r="W69" s="41">
        <v>46197</v>
      </c>
      <c r="X69" t="s">
        <v>2462</v>
      </c>
      <c r="Y69" t="s">
        <v>2463</v>
      </c>
      <c r="Z69" t="s">
        <v>2464</v>
      </c>
      <c r="AA69">
        <v>0</v>
      </c>
      <c r="AB69" t="s">
        <v>845</v>
      </c>
      <c r="AC69" t="s">
        <v>846</v>
      </c>
      <c r="AD69" t="s">
        <v>907</v>
      </c>
      <c r="AE69" t="s">
        <v>908</v>
      </c>
      <c r="AF69">
        <v>1</v>
      </c>
      <c r="AG69">
        <v>452210</v>
      </c>
      <c r="AH69" t="s">
        <v>849</v>
      </c>
      <c r="AI69" t="s">
        <v>850</v>
      </c>
      <c r="AJ69" t="s">
        <v>851</v>
      </c>
      <c r="AK69" t="s">
        <v>417</v>
      </c>
      <c r="AL69" t="s">
        <v>2465</v>
      </c>
      <c r="AM69" t="s">
        <v>1480</v>
      </c>
      <c r="AN69" t="s">
        <v>854</v>
      </c>
      <c r="AO69">
        <v>36805</v>
      </c>
      <c r="AP69">
        <v>931</v>
      </c>
      <c r="AQ69" t="s">
        <v>855</v>
      </c>
      <c r="AR69">
        <v>66521394</v>
      </c>
      <c r="AS69" t="s">
        <v>856</v>
      </c>
      <c r="AU69" t="s">
        <v>2466</v>
      </c>
      <c r="AV69" t="s">
        <v>2467</v>
      </c>
      <c r="AW69" t="s">
        <v>2468</v>
      </c>
      <c r="AX69" t="s">
        <v>2469</v>
      </c>
      <c r="AY69" t="s">
        <v>861</v>
      </c>
      <c r="AZ69" t="s">
        <v>417</v>
      </c>
      <c r="BA69" t="s">
        <v>418</v>
      </c>
      <c r="BB69">
        <v>0</v>
      </c>
      <c r="BC69">
        <v>0</v>
      </c>
      <c r="BD69">
        <v>0</v>
      </c>
      <c r="BE69" t="s">
        <v>1750</v>
      </c>
      <c r="BF69">
        <v>0</v>
      </c>
      <c r="BG69">
        <v>0</v>
      </c>
      <c r="BH69" t="s">
        <v>862</v>
      </c>
      <c r="BI69">
        <v>0</v>
      </c>
      <c r="BJ69" t="s">
        <v>862</v>
      </c>
      <c r="BK69">
        <v>1</v>
      </c>
      <c r="BL69">
        <v>0</v>
      </c>
      <c r="BM69">
        <v>0</v>
      </c>
      <c r="BN69" t="s">
        <v>596</v>
      </c>
      <c r="BO69">
        <v>153008255</v>
      </c>
      <c r="BP69" t="s">
        <v>2458</v>
      </c>
      <c r="BQ69">
        <v>40.8614356</v>
      </c>
      <c r="BR69">
        <v>42793655</v>
      </c>
      <c r="BS69">
        <v>-81.434468100000004</v>
      </c>
      <c r="BT69">
        <v>1</v>
      </c>
      <c r="BU69" t="s">
        <v>1314</v>
      </c>
      <c r="BY69">
        <v>12</v>
      </c>
      <c r="CA69">
        <v>18</v>
      </c>
      <c r="CI69">
        <v>11</v>
      </c>
      <c r="CJ69" t="s">
        <v>94</v>
      </c>
      <c r="CM69">
        <v>4010</v>
      </c>
      <c r="CO69">
        <v>7360</v>
      </c>
      <c r="CP69">
        <v>0.66669999999999996</v>
      </c>
      <c r="CQ69">
        <v>0.66669999999999996</v>
      </c>
      <c r="CR69">
        <v>0.4667</v>
      </c>
      <c r="CS69">
        <v>0</v>
      </c>
      <c r="CT69" t="s">
        <v>2470</v>
      </c>
      <c r="CU69" t="s">
        <v>2471</v>
      </c>
      <c r="CV69" t="s">
        <v>833</v>
      </c>
      <c r="CW69" t="s">
        <v>834</v>
      </c>
      <c r="CX69" t="s">
        <v>1750</v>
      </c>
      <c r="CY69">
        <v>0</v>
      </c>
      <c r="CZ69">
        <v>0</v>
      </c>
      <c r="DA69" t="s">
        <v>833</v>
      </c>
      <c r="DB69" t="s">
        <v>865</v>
      </c>
      <c r="DC69">
        <v>44720</v>
      </c>
      <c r="DD69">
        <v>17.95</v>
      </c>
      <c r="DE69" t="s">
        <v>866</v>
      </c>
      <c r="DG69" t="s">
        <v>867</v>
      </c>
      <c r="DH69" t="s">
        <v>851</v>
      </c>
      <c r="DI69" t="s">
        <v>1434</v>
      </c>
      <c r="DK69" t="s">
        <v>918</v>
      </c>
      <c r="DL69" t="s">
        <v>869</v>
      </c>
      <c r="DM69">
        <v>0</v>
      </c>
      <c r="DN69">
        <v>0</v>
      </c>
      <c r="DO69">
        <v>54</v>
      </c>
      <c r="DP69" t="s">
        <v>2472</v>
      </c>
      <c r="DQ69">
        <v>12</v>
      </c>
      <c r="DR69">
        <v>1077</v>
      </c>
      <c r="DS69">
        <v>2517</v>
      </c>
      <c r="DT69">
        <v>17.283300000000001</v>
      </c>
      <c r="DU69">
        <v>4</v>
      </c>
      <c r="DV69">
        <v>1</v>
      </c>
      <c r="DW69">
        <v>1</v>
      </c>
      <c r="DX69" t="s">
        <v>594</v>
      </c>
      <c r="DY69" t="s">
        <v>1750</v>
      </c>
      <c r="DZ69">
        <v>0</v>
      </c>
      <c r="EA69">
        <v>0</v>
      </c>
      <c r="EB69">
        <v>0</v>
      </c>
      <c r="EC69">
        <v>0</v>
      </c>
      <c r="ED69">
        <v>0</v>
      </c>
      <c r="EE69">
        <v>0</v>
      </c>
      <c r="EF69" t="s">
        <v>920</v>
      </c>
      <c r="EG69" t="s">
        <v>595</v>
      </c>
      <c r="EH69" t="s">
        <v>1695</v>
      </c>
      <c r="EI69" t="s">
        <v>1695</v>
      </c>
      <c r="EJ69" t="s">
        <v>226</v>
      </c>
      <c r="EK69">
        <v>9090</v>
      </c>
      <c r="EL69">
        <v>0</v>
      </c>
      <c r="EM69" t="s">
        <v>1157</v>
      </c>
      <c r="EN69">
        <v>0.4667</v>
      </c>
      <c r="EO69">
        <v>41.95</v>
      </c>
      <c r="EP69">
        <v>99991120</v>
      </c>
      <c r="EQ69" t="s">
        <v>874</v>
      </c>
      <c r="ER69" t="s">
        <v>875</v>
      </c>
      <c r="ES69" t="s">
        <v>876</v>
      </c>
      <c r="ET69" t="s">
        <v>877</v>
      </c>
      <c r="EU69" t="s">
        <v>877</v>
      </c>
      <c r="EV69" t="s">
        <v>920</v>
      </c>
      <c r="EX69" t="s">
        <v>900</v>
      </c>
      <c r="EY69" t="s">
        <v>923</v>
      </c>
      <c r="EZ69" t="s">
        <v>1236</v>
      </c>
      <c r="FA69" t="s">
        <v>956</v>
      </c>
      <c r="FB69">
        <v>1</v>
      </c>
      <c r="FC69">
        <v>1</v>
      </c>
      <c r="FD69" s="41">
        <v>46200</v>
      </c>
      <c r="FE69" t="s">
        <v>1315</v>
      </c>
      <c r="FF69">
        <v>11</v>
      </c>
      <c r="FG69" t="s">
        <v>2473</v>
      </c>
      <c r="FH69" t="s">
        <v>2474</v>
      </c>
      <c r="FI69">
        <v>1</v>
      </c>
      <c r="FJ69" t="s">
        <v>2475</v>
      </c>
      <c r="FK69" t="s">
        <v>2474</v>
      </c>
      <c r="FL69">
        <v>1</v>
      </c>
      <c r="FM69" t="s">
        <v>1762</v>
      </c>
      <c r="FN69" t="s">
        <v>2476</v>
      </c>
      <c r="FO69">
        <v>1</v>
      </c>
      <c r="FP69" t="s">
        <v>2477</v>
      </c>
      <c r="FQ69" t="s">
        <v>2471</v>
      </c>
      <c r="FR69">
        <v>1</v>
      </c>
      <c r="FS69" t="s">
        <v>1766</v>
      </c>
      <c r="FT69" t="s">
        <v>2478</v>
      </c>
      <c r="FU69">
        <v>1</v>
      </c>
      <c r="FV69" t="s">
        <v>2479</v>
      </c>
      <c r="FW69" t="s">
        <v>2480</v>
      </c>
      <c r="FX69">
        <v>1</v>
      </c>
      <c r="FY69" t="s">
        <v>890</v>
      </c>
      <c r="FZ69" t="s">
        <v>2481</v>
      </c>
      <c r="GA69" t="s">
        <v>2475</v>
      </c>
      <c r="GB69">
        <v>1</v>
      </c>
      <c r="GD69">
        <v>0</v>
      </c>
      <c r="GF69">
        <v>0</v>
      </c>
      <c r="GG69">
        <v>1</v>
      </c>
      <c r="GH69" t="s">
        <v>892</v>
      </c>
      <c r="GI69" t="s">
        <v>893</v>
      </c>
      <c r="GJ69" t="s">
        <v>2474</v>
      </c>
      <c r="GM69">
        <v>1</v>
      </c>
      <c r="GN69">
        <v>1</v>
      </c>
      <c r="GO69">
        <v>0</v>
      </c>
      <c r="GP69">
        <v>1</v>
      </c>
      <c r="GQ69">
        <v>1</v>
      </c>
      <c r="GR69">
        <v>0</v>
      </c>
      <c r="GS69">
        <v>1</v>
      </c>
      <c r="GT69">
        <v>0</v>
      </c>
      <c r="GU69">
        <v>1</v>
      </c>
      <c r="GV69">
        <v>0</v>
      </c>
      <c r="GW69">
        <v>1</v>
      </c>
      <c r="GX69">
        <v>0</v>
      </c>
      <c r="GY69">
        <v>1</v>
      </c>
      <c r="GZ69">
        <v>0</v>
      </c>
      <c r="HA69" t="s">
        <v>417</v>
      </c>
      <c r="HB69" t="s">
        <v>894</v>
      </c>
      <c r="HC69" t="s">
        <v>935</v>
      </c>
      <c r="HD69" t="s">
        <v>845</v>
      </c>
      <c r="HE69" t="s">
        <v>900</v>
      </c>
      <c r="HF69" t="s">
        <v>923</v>
      </c>
      <c r="HG69" t="s">
        <v>894</v>
      </c>
      <c r="HH69" t="s">
        <v>935</v>
      </c>
      <c r="HI69" t="s">
        <v>845</v>
      </c>
      <c r="HJ69" t="s">
        <v>900</v>
      </c>
      <c r="HK69" t="s">
        <v>922</v>
      </c>
      <c r="HL69" t="s">
        <v>1476</v>
      </c>
      <c r="HM69" t="s">
        <v>854</v>
      </c>
      <c r="HN69">
        <v>36805</v>
      </c>
      <c r="HO69">
        <v>1</v>
      </c>
      <c r="HP69" t="s">
        <v>226</v>
      </c>
      <c r="HQ69" t="s">
        <v>896</v>
      </c>
      <c r="HR69" t="s">
        <v>896</v>
      </c>
      <c r="HS69" t="s">
        <v>896</v>
      </c>
    </row>
    <row r="70" spans="1:227" x14ac:dyDescent="0.2">
      <c r="A70">
        <v>8702</v>
      </c>
      <c r="B70">
        <v>7622205665</v>
      </c>
      <c r="C70">
        <v>36</v>
      </c>
      <c r="D70" t="s">
        <v>1302</v>
      </c>
      <c r="E70" t="s">
        <v>831</v>
      </c>
      <c r="F70">
        <v>0</v>
      </c>
      <c r="G70" t="s">
        <v>2482</v>
      </c>
      <c r="H70" t="s">
        <v>2482</v>
      </c>
      <c r="I70">
        <v>0</v>
      </c>
      <c r="J70" t="s">
        <v>833</v>
      </c>
      <c r="K70" t="s">
        <v>834</v>
      </c>
      <c r="L70">
        <v>142427789</v>
      </c>
      <c r="M70" t="s">
        <v>2483</v>
      </c>
      <c r="N70" t="s">
        <v>836</v>
      </c>
      <c r="O70" t="s">
        <v>837</v>
      </c>
      <c r="P70" t="s">
        <v>1302</v>
      </c>
      <c r="Q70" t="s">
        <v>1517</v>
      </c>
      <c r="R70" t="s">
        <v>2484</v>
      </c>
      <c r="S70" t="s">
        <v>2485</v>
      </c>
      <c r="T70">
        <v>41477009259</v>
      </c>
      <c r="V70" t="s">
        <v>1083</v>
      </c>
      <c r="W70" s="41">
        <v>46244</v>
      </c>
      <c r="X70" t="s">
        <v>2486</v>
      </c>
      <c r="Y70" t="s">
        <v>2487</v>
      </c>
      <c r="AA70">
        <v>0</v>
      </c>
      <c r="AB70" t="s">
        <v>845</v>
      </c>
      <c r="AC70" t="s">
        <v>846</v>
      </c>
      <c r="AD70" t="s">
        <v>907</v>
      </c>
      <c r="AE70" t="s">
        <v>908</v>
      </c>
      <c r="AF70">
        <v>1</v>
      </c>
      <c r="AG70">
        <v>452210</v>
      </c>
      <c r="AH70" t="s">
        <v>849</v>
      </c>
      <c r="AI70" t="s">
        <v>850</v>
      </c>
      <c r="AJ70" t="s">
        <v>851</v>
      </c>
      <c r="AK70" t="s">
        <v>257</v>
      </c>
      <c r="AL70" t="s">
        <v>2012</v>
      </c>
      <c r="AM70" t="s">
        <v>1087</v>
      </c>
      <c r="AN70" t="s">
        <v>854</v>
      </c>
      <c r="AO70">
        <v>36805</v>
      </c>
      <c r="AP70">
        <v>448</v>
      </c>
      <c r="AQ70" t="s">
        <v>855</v>
      </c>
      <c r="AR70">
        <v>66589529</v>
      </c>
      <c r="AS70" t="s">
        <v>856</v>
      </c>
      <c r="AU70" t="s">
        <v>2488</v>
      </c>
      <c r="AV70" t="s">
        <v>2489</v>
      </c>
      <c r="AW70" t="s">
        <v>1185</v>
      </c>
      <c r="AX70" t="s">
        <v>1186</v>
      </c>
      <c r="AY70" t="s">
        <v>861</v>
      </c>
      <c r="AZ70" t="s">
        <v>257</v>
      </c>
      <c r="BA70" t="s">
        <v>258</v>
      </c>
      <c r="BB70">
        <v>0</v>
      </c>
      <c r="BC70">
        <v>0</v>
      </c>
      <c r="BD70">
        <v>1</v>
      </c>
      <c r="BE70" t="s">
        <v>2483</v>
      </c>
      <c r="BF70">
        <v>0</v>
      </c>
      <c r="BG70">
        <v>0</v>
      </c>
      <c r="BH70" t="s">
        <v>862</v>
      </c>
      <c r="BI70">
        <v>0</v>
      </c>
      <c r="BJ70" t="s">
        <v>862</v>
      </c>
      <c r="BK70">
        <v>1</v>
      </c>
      <c r="BL70">
        <v>0</v>
      </c>
      <c r="BM70">
        <v>0</v>
      </c>
      <c r="BN70" t="s">
        <v>596</v>
      </c>
      <c r="BO70">
        <v>142427789</v>
      </c>
      <c r="BP70" t="s">
        <v>2482</v>
      </c>
      <c r="BR70">
        <v>42511030</v>
      </c>
      <c r="BT70">
        <v>0</v>
      </c>
      <c r="CM70">
        <v>4010</v>
      </c>
      <c r="CO70">
        <v>7360</v>
      </c>
      <c r="CP70">
        <v>0.56669999999999998</v>
      </c>
      <c r="CQ70">
        <v>0.56669999999999998</v>
      </c>
      <c r="CR70">
        <v>0.75</v>
      </c>
      <c r="CS70">
        <v>2</v>
      </c>
      <c r="CT70" t="s">
        <v>2490</v>
      </c>
      <c r="CU70" t="s">
        <v>2491</v>
      </c>
      <c r="CV70" t="s">
        <v>833</v>
      </c>
      <c r="CW70" t="s">
        <v>834</v>
      </c>
      <c r="CX70" t="s">
        <v>2483</v>
      </c>
      <c r="CY70">
        <v>1</v>
      </c>
      <c r="CZ70">
        <v>1</v>
      </c>
      <c r="DA70" t="s">
        <v>833</v>
      </c>
      <c r="DB70" t="s">
        <v>865</v>
      </c>
      <c r="DC70">
        <v>63110</v>
      </c>
      <c r="DD70">
        <v>7.8</v>
      </c>
      <c r="DE70" t="s">
        <v>866</v>
      </c>
      <c r="DG70" t="s">
        <v>867</v>
      </c>
      <c r="DH70" t="s">
        <v>851</v>
      </c>
      <c r="DI70" t="s">
        <v>1092</v>
      </c>
      <c r="DL70" t="s">
        <v>869</v>
      </c>
      <c r="DM70">
        <v>0</v>
      </c>
      <c r="DN70">
        <v>0</v>
      </c>
      <c r="DO70">
        <v>11</v>
      </c>
      <c r="DP70" t="s">
        <v>1010</v>
      </c>
      <c r="DQ70">
        <v>12</v>
      </c>
      <c r="DR70">
        <v>468</v>
      </c>
      <c r="DS70">
        <v>468</v>
      </c>
      <c r="DT70">
        <v>7.2332999999999998</v>
      </c>
      <c r="DU70">
        <v>4</v>
      </c>
      <c r="DW70">
        <v>1</v>
      </c>
      <c r="DX70" t="s">
        <v>594</v>
      </c>
      <c r="DY70" t="s">
        <v>2483</v>
      </c>
      <c r="DZ70">
        <v>0</v>
      </c>
      <c r="EA70">
        <v>0</v>
      </c>
      <c r="EB70">
        <v>0</v>
      </c>
      <c r="EC70">
        <v>0</v>
      </c>
      <c r="ED70">
        <v>0</v>
      </c>
      <c r="EE70">
        <v>0</v>
      </c>
      <c r="EF70" t="s">
        <v>920</v>
      </c>
      <c r="EG70" t="s">
        <v>595</v>
      </c>
      <c r="EH70" t="s">
        <v>1695</v>
      </c>
      <c r="EI70" t="s">
        <v>1695</v>
      </c>
      <c r="EJ70" t="s">
        <v>111</v>
      </c>
      <c r="EK70">
        <v>9090</v>
      </c>
      <c r="EL70">
        <v>0</v>
      </c>
      <c r="EM70" t="s">
        <v>1037</v>
      </c>
      <c r="EN70">
        <v>0.75</v>
      </c>
      <c r="EO70">
        <v>7.8</v>
      </c>
      <c r="EP70">
        <v>99991120</v>
      </c>
      <c r="EQ70" t="s">
        <v>874</v>
      </c>
      <c r="ER70" t="s">
        <v>875</v>
      </c>
      <c r="ES70" t="s">
        <v>876</v>
      </c>
      <c r="ET70" t="s">
        <v>877</v>
      </c>
      <c r="EU70" t="s">
        <v>877</v>
      </c>
      <c r="EV70" t="s">
        <v>920</v>
      </c>
      <c r="EX70" t="s">
        <v>836</v>
      </c>
      <c r="EY70" t="s">
        <v>1051</v>
      </c>
      <c r="EZ70" t="s">
        <v>1038</v>
      </c>
      <c r="FA70" t="s">
        <v>925</v>
      </c>
      <c r="FB70">
        <v>1</v>
      </c>
      <c r="FC70">
        <v>1</v>
      </c>
      <c r="FD70" s="41">
        <v>46249</v>
      </c>
      <c r="FE70" t="s">
        <v>926</v>
      </c>
      <c r="FF70">
        <v>11</v>
      </c>
      <c r="FG70" t="s">
        <v>2492</v>
      </c>
      <c r="FH70" t="s">
        <v>2493</v>
      </c>
      <c r="FI70">
        <v>1</v>
      </c>
      <c r="FJ70" t="s">
        <v>2494</v>
      </c>
      <c r="FK70" t="s">
        <v>2493</v>
      </c>
      <c r="FL70">
        <v>1</v>
      </c>
      <c r="FM70" t="s">
        <v>2495</v>
      </c>
      <c r="FN70" t="s">
        <v>2496</v>
      </c>
      <c r="FO70">
        <v>1</v>
      </c>
      <c r="FP70" t="s">
        <v>2497</v>
      </c>
      <c r="FQ70" t="s">
        <v>2491</v>
      </c>
      <c r="FR70">
        <v>1</v>
      </c>
      <c r="FS70" t="s">
        <v>2498</v>
      </c>
      <c r="FT70" t="s">
        <v>2499</v>
      </c>
      <c r="FU70">
        <v>1</v>
      </c>
      <c r="FV70" t="s">
        <v>2500</v>
      </c>
      <c r="FW70" t="s">
        <v>2501</v>
      </c>
      <c r="FX70">
        <v>1</v>
      </c>
      <c r="FY70" t="s">
        <v>890</v>
      </c>
      <c r="FZ70" t="s">
        <v>2502</v>
      </c>
      <c r="GA70" t="s">
        <v>2494</v>
      </c>
      <c r="GB70">
        <v>1</v>
      </c>
      <c r="GD70">
        <v>0</v>
      </c>
      <c r="GF70">
        <v>0</v>
      </c>
      <c r="GG70">
        <v>1</v>
      </c>
      <c r="GH70" t="s">
        <v>892</v>
      </c>
      <c r="GI70" t="s">
        <v>893</v>
      </c>
      <c r="GJ70" t="s">
        <v>2493</v>
      </c>
      <c r="GM70">
        <v>1</v>
      </c>
      <c r="GN70">
        <v>1</v>
      </c>
      <c r="GO70">
        <v>0</v>
      </c>
      <c r="GP70">
        <v>1</v>
      </c>
      <c r="GQ70">
        <v>1</v>
      </c>
      <c r="GR70">
        <v>0</v>
      </c>
      <c r="GS70">
        <v>1</v>
      </c>
      <c r="GT70">
        <v>0</v>
      </c>
      <c r="GU70">
        <v>1</v>
      </c>
      <c r="GV70">
        <v>0</v>
      </c>
      <c r="GW70">
        <v>1</v>
      </c>
      <c r="GX70">
        <v>0</v>
      </c>
      <c r="GY70">
        <v>1</v>
      </c>
      <c r="GZ70">
        <v>0</v>
      </c>
      <c r="HA70" t="s">
        <v>257</v>
      </c>
      <c r="HB70" t="s">
        <v>894</v>
      </c>
      <c r="HC70" t="s">
        <v>895</v>
      </c>
      <c r="HD70" t="s">
        <v>845</v>
      </c>
      <c r="HE70" t="s">
        <v>836</v>
      </c>
      <c r="HF70" t="s">
        <v>1051</v>
      </c>
      <c r="HG70" t="s">
        <v>894</v>
      </c>
      <c r="HH70" t="s">
        <v>895</v>
      </c>
      <c r="HI70" t="s">
        <v>845</v>
      </c>
      <c r="HJ70" t="s">
        <v>836</v>
      </c>
      <c r="HK70" t="s">
        <v>1037</v>
      </c>
      <c r="HL70" t="s">
        <v>1083</v>
      </c>
      <c r="HM70" t="s">
        <v>854</v>
      </c>
      <c r="HN70">
        <v>36805</v>
      </c>
      <c r="HP70" t="s">
        <v>111</v>
      </c>
      <c r="HQ70" t="s">
        <v>896</v>
      </c>
      <c r="HR70" t="s">
        <v>896</v>
      </c>
      <c r="HS70" t="s">
        <v>896</v>
      </c>
    </row>
    <row r="71" spans="1:227" x14ac:dyDescent="0.2">
      <c r="A71">
        <v>8702</v>
      </c>
      <c r="B71">
        <v>7523502631</v>
      </c>
      <c r="C71" t="s">
        <v>829</v>
      </c>
      <c r="D71" t="s">
        <v>830</v>
      </c>
      <c r="E71" t="s">
        <v>897</v>
      </c>
      <c r="F71">
        <v>0</v>
      </c>
      <c r="G71" t="s">
        <v>2503</v>
      </c>
      <c r="H71" t="s">
        <v>2503</v>
      </c>
      <c r="I71">
        <v>0</v>
      </c>
      <c r="J71" t="s">
        <v>833</v>
      </c>
      <c r="K71" t="s">
        <v>834</v>
      </c>
      <c r="L71">
        <v>153524545</v>
      </c>
      <c r="M71" t="s">
        <v>2504</v>
      </c>
      <c r="N71" t="s">
        <v>900</v>
      </c>
      <c r="O71" t="s">
        <v>837</v>
      </c>
      <c r="P71" t="s">
        <v>838</v>
      </c>
      <c r="Q71" t="s">
        <v>839</v>
      </c>
      <c r="R71" t="s">
        <v>2505</v>
      </c>
      <c r="S71" t="s">
        <v>2506</v>
      </c>
      <c r="T71">
        <v>41477097078</v>
      </c>
      <c r="V71" t="s">
        <v>133</v>
      </c>
      <c r="W71" s="41">
        <v>45893</v>
      </c>
      <c r="X71" t="s">
        <v>2507</v>
      </c>
      <c r="Y71" t="s">
        <v>2508</v>
      </c>
      <c r="AA71">
        <v>0</v>
      </c>
      <c r="AB71" t="s">
        <v>845</v>
      </c>
      <c r="AC71" t="s">
        <v>846</v>
      </c>
      <c r="AD71" t="s">
        <v>847</v>
      </c>
      <c r="AE71" t="s">
        <v>848</v>
      </c>
      <c r="AF71">
        <v>1</v>
      </c>
      <c r="AG71">
        <v>452210</v>
      </c>
      <c r="AH71" t="s">
        <v>849</v>
      </c>
      <c r="AI71" t="s">
        <v>850</v>
      </c>
      <c r="AJ71" t="s">
        <v>851</v>
      </c>
      <c r="AK71" t="s">
        <v>340</v>
      </c>
      <c r="AL71" t="s">
        <v>2509</v>
      </c>
      <c r="AM71" t="s">
        <v>2208</v>
      </c>
      <c r="AN71" t="s">
        <v>854</v>
      </c>
      <c r="AO71">
        <v>36805</v>
      </c>
      <c r="AP71">
        <v>525</v>
      </c>
      <c r="AQ71" t="s">
        <v>855</v>
      </c>
      <c r="AR71">
        <v>66083961</v>
      </c>
      <c r="AS71" t="s">
        <v>856</v>
      </c>
      <c r="AU71" t="s">
        <v>2510</v>
      </c>
      <c r="AV71" t="s">
        <v>2511</v>
      </c>
      <c r="AW71" t="s">
        <v>859</v>
      </c>
      <c r="AX71" t="s">
        <v>860</v>
      </c>
      <c r="AY71" t="s">
        <v>861</v>
      </c>
      <c r="AZ71" t="s">
        <v>340</v>
      </c>
      <c r="BA71" t="s">
        <v>341</v>
      </c>
      <c r="BB71">
        <v>0</v>
      </c>
      <c r="BC71">
        <v>0</v>
      </c>
      <c r="BD71">
        <v>0</v>
      </c>
      <c r="BE71" t="s">
        <v>2504</v>
      </c>
      <c r="BF71">
        <v>0</v>
      </c>
      <c r="BG71">
        <v>0</v>
      </c>
      <c r="BH71" t="s">
        <v>862</v>
      </c>
      <c r="BI71">
        <v>0</v>
      </c>
      <c r="BJ71" t="s">
        <v>862</v>
      </c>
      <c r="BK71">
        <v>1</v>
      </c>
      <c r="BL71">
        <v>0</v>
      </c>
      <c r="BM71">
        <v>0</v>
      </c>
      <c r="BN71" t="s">
        <v>596</v>
      </c>
      <c r="BO71">
        <v>153524545</v>
      </c>
      <c r="BP71" t="s">
        <v>2503</v>
      </c>
      <c r="BR71">
        <v>42791436</v>
      </c>
      <c r="BT71">
        <v>0</v>
      </c>
      <c r="CM71">
        <v>4010</v>
      </c>
      <c r="CO71">
        <v>7360</v>
      </c>
      <c r="CP71">
        <v>0.5</v>
      </c>
      <c r="CQ71">
        <v>0.5</v>
      </c>
      <c r="CR71">
        <v>0.36670000000000003</v>
      </c>
      <c r="CS71">
        <v>39</v>
      </c>
      <c r="CT71" t="s">
        <v>2512</v>
      </c>
      <c r="CU71" t="s">
        <v>2513</v>
      </c>
      <c r="CV71" t="s">
        <v>833</v>
      </c>
      <c r="CW71" t="s">
        <v>834</v>
      </c>
      <c r="CX71" t="s">
        <v>2504</v>
      </c>
      <c r="CY71">
        <v>0</v>
      </c>
      <c r="CZ71">
        <v>0</v>
      </c>
      <c r="DA71" t="s">
        <v>833</v>
      </c>
      <c r="DB71" t="s">
        <v>865</v>
      </c>
      <c r="DC71">
        <v>46250</v>
      </c>
      <c r="DD71">
        <v>8.1999999999999993</v>
      </c>
      <c r="DE71" t="s">
        <v>866</v>
      </c>
      <c r="DG71" t="s">
        <v>867</v>
      </c>
      <c r="DH71" t="s">
        <v>851</v>
      </c>
      <c r="DI71" t="s">
        <v>1291</v>
      </c>
      <c r="DJ71" t="s">
        <v>2514</v>
      </c>
      <c r="DL71" t="s">
        <v>869</v>
      </c>
      <c r="DM71">
        <v>0</v>
      </c>
      <c r="DN71">
        <v>0</v>
      </c>
      <c r="DO71">
        <v>1</v>
      </c>
      <c r="DP71" t="s">
        <v>985</v>
      </c>
      <c r="DQ71">
        <v>16</v>
      </c>
      <c r="DR71">
        <v>492</v>
      </c>
      <c r="DS71">
        <v>1212</v>
      </c>
      <c r="DT71">
        <v>7.7</v>
      </c>
      <c r="DU71">
        <v>4</v>
      </c>
      <c r="DW71">
        <v>2</v>
      </c>
      <c r="DX71" t="s">
        <v>594</v>
      </c>
      <c r="DY71" t="s">
        <v>2504</v>
      </c>
      <c r="DZ71">
        <v>0</v>
      </c>
      <c r="EA71">
        <v>0</v>
      </c>
      <c r="EB71">
        <v>0</v>
      </c>
      <c r="EC71">
        <v>0</v>
      </c>
      <c r="ED71">
        <v>0</v>
      </c>
      <c r="EE71">
        <v>0</v>
      </c>
      <c r="EF71" t="s">
        <v>920</v>
      </c>
      <c r="EG71" t="s">
        <v>595</v>
      </c>
      <c r="EH71" t="s">
        <v>872</v>
      </c>
      <c r="EI71" t="s">
        <v>872</v>
      </c>
      <c r="EJ71" t="s">
        <v>134</v>
      </c>
      <c r="EK71">
        <v>9090</v>
      </c>
      <c r="EL71">
        <v>0</v>
      </c>
      <c r="EM71" t="s">
        <v>1011</v>
      </c>
      <c r="EN71">
        <v>0.36670000000000003</v>
      </c>
      <c r="EO71">
        <v>20.2</v>
      </c>
      <c r="EP71">
        <v>99991120</v>
      </c>
      <c r="EQ71" t="s">
        <v>874</v>
      </c>
      <c r="ER71" t="s">
        <v>875</v>
      </c>
      <c r="ES71" t="s">
        <v>876</v>
      </c>
      <c r="ET71" t="s">
        <v>877</v>
      </c>
      <c r="EU71" t="s">
        <v>877</v>
      </c>
      <c r="EV71" t="s">
        <v>920</v>
      </c>
      <c r="EX71" t="s">
        <v>953</v>
      </c>
      <c r="EY71" t="s">
        <v>1555</v>
      </c>
      <c r="EZ71" t="s">
        <v>1013</v>
      </c>
      <c r="FA71" t="s">
        <v>925</v>
      </c>
      <c r="FB71">
        <v>1</v>
      </c>
      <c r="FC71">
        <v>1</v>
      </c>
      <c r="FD71" s="41">
        <v>45899</v>
      </c>
      <c r="FE71" t="s">
        <v>987</v>
      </c>
      <c r="FF71">
        <v>11</v>
      </c>
      <c r="FG71" t="s">
        <v>2515</v>
      </c>
      <c r="FH71" t="s">
        <v>2516</v>
      </c>
      <c r="FI71">
        <v>1</v>
      </c>
      <c r="FJ71" t="s">
        <v>2515</v>
      </c>
      <c r="FK71" t="s">
        <v>2516</v>
      </c>
      <c r="FL71">
        <v>1</v>
      </c>
      <c r="FM71" t="s">
        <v>2517</v>
      </c>
      <c r="FN71" t="s">
        <v>2518</v>
      </c>
      <c r="FO71">
        <v>1</v>
      </c>
      <c r="FP71" t="s">
        <v>2519</v>
      </c>
      <c r="FQ71" t="s">
        <v>2513</v>
      </c>
      <c r="FR71">
        <v>1</v>
      </c>
      <c r="FS71" t="s">
        <v>1196</v>
      </c>
      <c r="FT71" t="s">
        <v>2520</v>
      </c>
      <c r="FU71">
        <v>1</v>
      </c>
      <c r="FV71" t="s">
        <v>2521</v>
      </c>
      <c r="FW71" t="s">
        <v>2522</v>
      </c>
      <c r="FX71">
        <v>1</v>
      </c>
      <c r="FY71" t="s">
        <v>890</v>
      </c>
      <c r="FZ71" t="s">
        <v>2523</v>
      </c>
      <c r="GA71" t="s">
        <v>2515</v>
      </c>
      <c r="GB71">
        <v>1</v>
      </c>
      <c r="GD71">
        <v>0</v>
      </c>
      <c r="GF71">
        <v>0</v>
      </c>
      <c r="GG71">
        <v>1</v>
      </c>
      <c r="GH71" t="s">
        <v>892</v>
      </c>
      <c r="GI71" t="s">
        <v>893</v>
      </c>
      <c r="GJ71" t="s">
        <v>2516</v>
      </c>
      <c r="GM71">
        <v>1</v>
      </c>
      <c r="GN71">
        <v>1</v>
      </c>
      <c r="GO71">
        <v>0</v>
      </c>
      <c r="GP71">
        <v>1</v>
      </c>
      <c r="GQ71">
        <v>1</v>
      </c>
      <c r="GR71">
        <v>0</v>
      </c>
      <c r="GS71">
        <v>1</v>
      </c>
      <c r="GT71">
        <v>0</v>
      </c>
      <c r="GU71">
        <v>1</v>
      </c>
      <c r="GV71">
        <v>0</v>
      </c>
      <c r="GW71">
        <v>1</v>
      </c>
      <c r="GX71">
        <v>0</v>
      </c>
      <c r="GY71">
        <v>1</v>
      </c>
      <c r="GZ71">
        <v>0</v>
      </c>
      <c r="HA71" t="s">
        <v>340</v>
      </c>
      <c r="HB71" t="s">
        <v>894</v>
      </c>
      <c r="HC71" t="s">
        <v>935</v>
      </c>
      <c r="HD71" t="s">
        <v>845</v>
      </c>
      <c r="HE71" t="s">
        <v>900</v>
      </c>
      <c r="HF71" t="s">
        <v>1012</v>
      </c>
      <c r="HG71" t="s">
        <v>894</v>
      </c>
      <c r="HH71" t="s">
        <v>935</v>
      </c>
      <c r="HI71" t="s">
        <v>845</v>
      </c>
      <c r="HJ71" t="s">
        <v>900</v>
      </c>
      <c r="HK71" t="s">
        <v>1011</v>
      </c>
      <c r="HL71" t="s">
        <v>133</v>
      </c>
      <c r="HM71" t="s">
        <v>854</v>
      </c>
      <c r="HN71">
        <v>36805</v>
      </c>
      <c r="HP71" t="s">
        <v>134</v>
      </c>
      <c r="HQ71" t="s">
        <v>896</v>
      </c>
      <c r="HR71" t="s">
        <v>896</v>
      </c>
      <c r="HS71" t="s">
        <v>896</v>
      </c>
    </row>
    <row r="72" spans="1:227" x14ac:dyDescent="0.2">
      <c r="A72">
        <v>8702</v>
      </c>
      <c r="B72">
        <v>7533602044</v>
      </c>
      <c r="C72">
        <v>34</v>
      </c>
      <c r="D72" t="s">
        <v>996</v>
      </c>
      <c r="E72" t="s">
        <v>831</v>
      </c>
      <c r="F72">
        <v>3</v>
      </c>
      <c r="G72" t="s">
        <v>2524</v>
      </c>
      <c r="H72" t="s">
        <v>2524</v>
      </c>
      <c r="I72">
        <v>0</v>
      </c>
      <c r="J72" t="s">
        <v>833</v>
      </c>
      <c r="K72" t="s">
        <v>834</v>
      </c>
      <c r="L72">
        <v>153589117</v>
      </c>
      <c r="M72" t="s">
        <v>2525</v>
      </c>
      <c r="N72" t="s">
        <v>836</v>
      </c>
      <c r="O72" t="s">
        <v>837</v>
      </c>
      <c r="P72" t="s">
        <v>999</v>
      </c>
      <c r="Q72" t="s">
        <v>1000</v>
      </c>
      <c r="R72" t="s">
        <v>2526</v>
      </c>
      <c r="S72" t="s">
        <v>2527</v>
      </c>
      <c r="T72">
        <v>41477059751</v>
      </c>
      <c r="V72" t="s">
        <v>2032</v>
      </c>
      <c r="W72" s="41">
        <v>45994</v>
      </c>
      <c r="X72" t="s">
        <v>2528</v>
      </c>
      <c r="Y72" t="s">
        <v>2529</v>
      </c>
      <c r="AA72">
        <v>0</v>
      </c>
      <c r="AB72" t="s">
        <v>845</v>
      </c>
      <c r="AC72" t="s">
        <v>846</v>
      </c>
      <c r="AD72" t="s">
        <v>847</v>
      </c>
      <c r="AE72" t="s">
        <v>848</v>
      </c>
      <c r="AF72">
        <v>1</v>
      </c>
      <c r="AG72">
        <v>452210</v>
      </c>
      <c r="AH72" t="s">
        <v>849</v>
      </c>
      <c r="AI72" t="s">
        <v>850</v>
      </c>
      <c r="AJ72" t="s">
        <v>851</v>
      </c>
      <c r="AK72" t="s">
        <v>299</v>
      </c>
      <c r="AL72" t="s">
        <v>2035</v>
      </c>
      <c r="AM72" t="s">
        <v>2036</v>
      </c>
      <c r="AN72" t="s">
        <v>854</v>
      </c>
      <c r="AO72">
        <v>36805</v>
      </c>
      <c r="AP72">
        <v>537</v>
      </c>
      <c r="AQ72" t="s">
        <v>855</v>
      </c>
      <c r="AR72">
        <v>66229074</v>
      </c>
      <c r="AS72" t="s">
        <v>856</v>
      </c>
      <c r="AU72" t="s">
        <v>2530</v>
      </c>
      <c r="AV72" t="s">
        <v>2531</v>
      </c>
      <c r="AX72" t="s">
        <v>913</v>
      </c>
      <c r="AY72" t="s">
        <v>861</v>
      </c>
      <c r="AZ72" t="s">
        <v>299</v>
      </c>
      <c r="BA72" t="s">
        <v>300</v>
      </c>
      <c r="BB72">
        <v>0</v>
      </c>
      <c r="BC72">
        <v>1</v>
      </c>
      <c r="BD72">
        <v>0</v>
      </c>
      <c r="BE72" t="s">
        <v>2525</v>
      </c>
      <c r="BF72">
        <v>0</v>
      </c>
      <c r="BG72">
        <v>0</v>
      </c>
      <c r="BH72" t="s">
        <v>862</v>
      </c>
      <c r="BI72">
        <v>0</v>
      </c>
      <c r="BJ72" t="s">
        <v>862</v>
      </c>
      <c r="BK72">
        <v>1</v>
      </c>
      <c r="BL72">
        <v>1</v>
      </c>
      <c r="BM72">
        <v>0</v>
      </c>
      <c r="BN72" t="s">
        <v>596</v>
      </c>
      <c r="BO72">
        <v>153589117</v>
      </c>
      <c r="BP72" t="s">
        <v>2524</v>
      </c>
      <c r="BQ72">
        <v>40.452054500000003</v>
      </c>
      <c r="BR72">
        <v>42791480</v>
      </c>
      <c r="BS72">
        <v>-86.914864300000005</v>
      </c>
      <c r="BT72">
        <v>0</v>
      </c>
      <c r="CM72">
        <v>4010</v>
      </c>
      <c r="CO72">
        <v>7360</v>
      </c>
      <c r="CP72">
        <v>3.5667</v>
      </c>
      <c r="CQ72">
        <v>3.5667</v>
      </c>
      <c r="CR72">
        <v>1.4</v>
      </c>
      <c r="CS72">
        <v>9</v>
      </c>
      <c r="CT72" t="s">
        <v>2532</v>
      </c>
      <c r="CU72" t="s">
        <v>2533</v>
      </c>
      <c r="CV72" t="s">
        <v>833</v>
      </c>
      <c r="CW72" t="s">
        <v>834</v>
      </c>
      <c r="CX72" t="s">
        <v>2525</v>
      </c>
      <c r="CY72">
        <v>1</v>
      </c>
      <c r="CZ72">
        <v>1</v>
      </c>
      <c r="DA72" t="s">
        <v>833</v>
      </c>
      <c r="DB72" t="s">
        <v>865</v>
      </c>
      <c r="DC72">
        <v>47906</v>
      </c>
      <c r="DD72">
        <v>8.9</v>
      </c>
      <c r="DE72" t="s">
        <v>866</v>
      </c>
      <c r="DG72" t="s">
        <v>867</v>
      </c>
      <c r="DH72" t="s">
        <v>851</v>
      </c>
      <c r="DI72" t="s">
        <v>2534</v>
      </c>
      <c r="DL72" t="s">
        <v>869</v>
      </c>
      <c r="DM72">
        <v>0</v>
      </c>
      <c r="DN72">
        <v>0</v>
      </c>
      <c r="DO72">
        <v>11</v>
      </c>
      <c r="DP72" t="s">
        <v>1010</v>
      </c>
      <c r="DQ72">
        <v>16</v>
      </c>
      <c r="DR72">
        <v>534</v>
      </c>
      <c r="DS72">
        <v>1254</v>
      </c>
      <c r="DT72">
        <v>5.3333000000000004</v>
      </c>
      <c r="DU72">
        <v>4</v>
      </c>
      <c r="DW72">
        <v>2</v>
      </c>
      <c r="DX72" t="s">
        <v>596</v>
      </c>
      <c r="DY72" t="s">
        <v>2525</v>
      </c>
      <c r="DZ72">
        <v>1</v>
      </c>
      <c r="EA72">
        <v>1</v>
      </c>
      <c r="EB72">
        <v>1</v>
      </c>
      <c r="EC72">
        <v>0</v>
      </c>
      <c r="ED72">
        <v>0</v>
      </c>
      <c r="EE72">
        <v>1</v>
      </c>
      <c r="EF72" t="s">
        <v>920</v>
      </c>
      <c r="EG72" t="s">
        <v>595</v>
      </c>
      <c r="EH72" t="s">
        <v>921</v>
      </c>
      <c r="EI72" t="s">
        <v>921</v>
      </c>
      <c r="EJ72" t="s">
        <v>134</v>
      </c>
      <c r="EK72">
        <v>9090</v>
      </c>
      <c r="EL72">
        <v>0</v>
      </c>
      <c r="EM72" t="s">
        <v>1436</v>
      </c>
      <c r="EN72">
        <v>1.4</v>
      </c>
      <c r="EO72">
        <v>20.9</v>
      </c>
      <c r="EP72">
        <v>99991120</v>
      </c>
      <c r="EQ72" t="s">
        <v>874</v>
      </c>
      <c r="ER72" t="s">
        <v>875</v>
      </c>
      <c r="ES72" t="s">
        <v>876</v>
      </c>
      <c r="ET72" t="s">
        <v>877</v>
      </c>
      <c r="EU72" t="s">
        <v>877</v>
      </c>
      <c r="EV72" t="s">
        <v>920</v>
      </c>
      <c r="EX72" t="s">
        <v>953</v>
      </c>
      <c r="EY72" t="s">
        <v>1555</v>
      </c>
      <c r="EZ72" t="s">
        <v>1211</v>
      </c>
      <c r="FA72" t="s">
        <v>1212</v>
      </c>
      <c r="FB72">
        <v>1</v>
      </c>
      <c r="FC72">
        <v>1</v>
      </c>
      <c r="FD72" s="41">
        <v>45997</v>
      </c>
      <c r="FE72" t="s">
        <v>957</v>
      </c>
      <c r="FF72">
        <v>9</v>
      </c>
      <c r="FG72" t="s">
        <v>2535</v>
      </c>
      <c r="FH72" t="s">
        <v>2536</v>
      </c>
      <c r="FI72">
        <v>1</v>
      </c>
      <c r="FJ72" t="s">
        <v>2537</v>
      </c>
      <c r="FK72" t="s">
        <v>2536</v>
      </c>
      <c r="FL72">
        <v>1</v>
      </c>
      <c r="FM72" t="s">
        <v>2538</v>
      </c>
      <c r="FN72" t="s">
        <v>2539</v>
      </c>
      <c r="FO72">
        <v>1</v>
      </c>
      <c r="FP72" t="s">
        <v>2540</v>
      </c>
      <c r="FQ72" t="s">
        <v>2533</v>
      </c>
      <c r="FR72">
        <v>1</v>
      </c>
      <c r="FS72" t="s">
        <v>2048</v>
      </c>
      <c r="FT72" t="s">
        <v>2541</v>
      </c>
      <c r="FU72">
        <v>1</v>
      </c>
      <c r="FV72" t="s">
        <v>2542</v>
      </c>
      <c r="FW72" t="s">
        <v>2543</v>
      </c>
      <c r="FX72">
        <v>1</v>
      </c>
      <c r="FY72" t="s">
        <v>890</v>
      </c>
      <c r="FZ72" t="s">
        <v>2544</v>
      </c>
      <c r="GA72" t="s">
        <v>2535</v>
      </c>
      <c r="GB72">
        <v>1</v>
      </c>
      <c r="GD72">
        <v>0</v>
      </c>
      <c r="GF72">
        <v>0</v>
      </c>
      <c r="GG72">
        <v>1</v>
      </c>
      <c r="GH72" t="s">
        <v>892</v>
      </c>
      <c r="GI72" t="s">
        <v>893</v>
      </c>
      <c r="GJ72" t="s">
        <v>2536</v>
      </c>
      <c r="GM72">
        <v>1</v>
      </c>
      <c r="GN72">
        <v>1</v>
      </c>
      <c r="GO72">
        <v>0</v>
      </c>
      <c r="GP72">
        <v>1</v>
      </c>
      <c r="GQ72">
        <v>1</v>
      </c>
      <c r="GR72">
        <v>0</v>
      </c>
      <c r="GS72">
        <v>1</v>
      </c>
      <c r="GT72">
        <v>0</v>
      </c>
      <c r="GU72">
        <v>1</v>
      </c>
      <c r="GV72">
        <v>0</v>
      </c>
      <c r="GW72">
        <v>1</v>
      </c>
      <c r="GX72">
        <v>0</v>
      </c>
      <c r="GY72">
        <v>1</v>
      </c>
      <c r="GZ72">
        <v>0</v>
      </c>
      <c r="HA72" t="s">
        <v>299</v>
      </c>
      <c r="HB72" t="s">
        <v>894</v>
      </c>
      <c r="HC72" t="s">
        <v>895</v>
      </c>
      <c r="HD72" t="s">
        <v>845</v>
      </c>
      <c r="HE72" t="s">
        <v>836</v>
      </c>
      <c r="HF72" t="s">
        <v>873</v>
      </c>
      <c r="HG72" t="s">
        <v>894</v>
      </c>
      <c r="HH72" t="s">
        <v>895</v>
      </c>
      <c r="HI72" t="s">
        <v>845</v>
      </c>
      <c r="HJ72" t="s">
        <v>836</v>
      </c>
      <c r="HK72" t="s">
        <v>1436</v>
      </c>
      <c r="HL72" t="s">
        <v>2032</v>
      </c>
      <c r="HM72" t="s">
        <v>854</v>
      </c>
      <c r="HN72">
        <v>36805</v>
      </c>
      <c r="HP72" t="s">
        <v>134</v>
      </c>
      <c r="HQ72" t="s">
        <v>896</v>
      </c>
      <c r="HR72" t="s">
        <v>896</v>
      </c>
      <c r="HS72" t="s">
        <v>896</v>
      </c>
    </row>
    <row r="73" spans="1:227" x14ac:dyDescent="0.2">
      <c r="A73">
        <v>8702</v>
      </c>
      <c r="B73">
        <v>7618701084</v>
      </c>
      <c r="C73">
        <v>36</v>
      </c>
      <c r="D73" t="s">
        <v>1302</v>
      </c>
      <c r="E73" t="s">
        <v>831</v>
      </c>
      <c r="F73">
        <v>0</v>
      </c>
      <c r="G73" t="s">
        <v>2545</v>
      </c>
      <c r="H73" t="s">
        <v>2545</v>
      </c>
      <c r="I73">
        <v>0</v>
      </c>
      <c r="J73" t="s">
        <v>833</v>
      </c>
      <c r="K73" t="s">
        <v>834</v>
      </c>
      <c r="L73">
        <v>156046223</v>
      </c>
      <c r="M73" t="s">
        <v>2546</v>
      </c>
      <c r="N73" t="s">
        <v>836</v>
      </c>
      <c r="O73" t="s">
        <v>837</v>
      </c>
      <c r="P73" t="s">
        <v>1302</v>
      </c>
      <c r="Q73" t="s">
        <v>2547</v>
      </c>
      <c r="R73" t="s">
        <v>2548</v>
      </c>
      <c r="S73" t="s">
        <v>2549</v>
      </c>
      <c r="T73">
        <v>41477057122</v>
      </c>
      <c r="V73" t="s">
        <v>187</v>
      </c>
      <c r="W73" s="41">
        <v>46218</v>
      </c>
      <c r="X73" t="s">
        <v>2550</v>
      </c>
      <c r="Y73" t="s">
        <v>2551</v>
      </c>
      <c r="AA73">
        <v>0</v>
      </c>
      <c r="AB73" t="s">
        <v>845</v>
      </c>
      <c r="AC73" t="s">
        <v>846</v>
      </c>
      <c r="AD73" t="s">
        <v>907</v>
      </c>
      <c r="AE73" t="s">
        <v>908</v>
      </c>
      <c r="AF73">
        <v>1</v>
      </c>
      <c r="AG73">
        <v>452210</v>
      </c>
      <c r="AH73" t="s">
        <v>849</v>
      </c>
      <c r="AI73" t="s">
        <v>850</v>
      </c>
      <c r="AJ73" t="s">
        <v>851</v>
      </c>
      <c r="AK73" t="s">
        <v>433</v>
      </c>
      <c r="AL73" t="s">
        <v>2552</v>
      </c>
      <c r="AM73" t="s">
        <v>2553</v>
      </c>
      <c r="AN73" t="s">
        <v>854</v>
      </c>
      <c r="AO73">
        <v>36805</v>
      </c>
      <c r="AP73">
        <v>634</v>
      </c>
      <c r="AQ73" t="s">
        <v>855</v>
      </c>
      <c r="AR73">
        <v>66551909</v>
      </c>
      <c r="AS73" t="s">
        <v>856</v>
      </c>
      <c r="AU73" t="s">
        <v>2554</v>
      </c>
      <c r="AV73" t="s">
        <v>2555</v>
      </c>
      <c r="AX73" t="s">
        <v>913</v>
      </c>
      <c r="AY73" t="s">
        <v>861</v>
      </c>
      <c r="AZ73" t="s">
        <v>433</v>
      </c>
      <c r="BA73" t="s">
        <v>434</v>
      </c>
      <c r="BB73">
        <v>0</v>
      </c>
      <c r="BC73">
        <v>1</v>
      </c>
      <c r="BD73">
        <v>0</v>
      </c>
      <c r="BE73" t="s">
        <v>2546</v>
      </c>
      <c r="BF73">
        <v>0</v>
      </c>
      <c r="BG73">
        <v>0</v>
      </c>
      <c r="BH73" t="s">
        <v>862</v>
      </c>
      <c r="BI73">
        <v>0</v>
      </c>
      <c r="BJ73" t="s">
        <v>862</v>
      </c>
      <c r="BK73">
        <v>1</v>
      </c>
      <c r="BL73">
        <v>1</v>
      </c>
      <c r="BM73">
        <v>0</v>
      </c>
      <c r="BN73" t="s">
        <v>596</v>
      </c>
      <c r="BO73">
        <v>156046223</v>
      </c>
      <c r="BP73" t="s">
        <v>2545</v>
      </c>
      <c r="BR73">
        <v>42791756</v>
      </c>
      <c r="BT73">
        <v>0</v>
      </c>
      <c r="BU73" t="s">
        <v>1062</v>
      </c>
      <c r="BY73">
        <v>16</v>
      </c>
      <c r="CA73">
        <v>108</v>
      </c>
      <c r="CE73">
        <v>0</v>
      </c>
      <c r="CI73">
        <v>11</v>
      </c>
      <c r="CJ73" t="s">
        <v>94</v>
      </c>
      <c r="CM73">
        <v>4010</v>
      </c>
      <c r="CO73">
        <v>7360</v>
      </c>
      <c r="CP73">
        <v>2.8833000000000002</v>
      </c>
      <c r="CQ73">
        <v>2.8833000000000002</v>
      </c>
      <c r="CR73">
        <v>4.7667000000000002</v>
      </c>
      <c r="CS73">
        <v>0</v>
      </c>
      <c r="CT73" t="s">
        <v>2555</v>
      </c>
      <c r="CU73" t="s">
        <v>2554</v>
      </c>
      <c r="CV73" t="s">
        <v>833</v>
      </c>
      <c r="CW73" t="s">
        <v>834</v>
      </c>
      <c r="CX73" t="s">
        <v>2546</v>
      </c>
      <c r="CY73">
        <v>1</v>
      </c>
      <c r="CZ73">
        <v>1</v>
      </c>
      <c r="DA73" t="s">
        <v>833</v>
      </c>
      <c r="DB73" t="s">
        <v>865</v>
      </c>
      <c r="DC73">
        <v>60435</v>
      </c>
      <c r="DD73">
        <v>108.5</v>
      </c>
      <c r="DE73" t="s">
        <v>866</v>
      </c>
      <c r="DG73" t="s">
        <v>867</v>
      </c>
      <c r="DH73" t="s">
        <v>851</v>
      </c>
      <c r="DI73" t="s">
        <v>984</v>
      </c>
      <c r="DJ73" t="s">
        <v>2556</v>
      </c>
      <c r="DK73" t="s">
        <v>918</v>
      </c>
      <c r="DL73" t="s">
        <v>869</v>
      </c>
      <c r="DM73">
        <v>0</v>
      </c>
      <c r="DN73">
        <v>0</v>
      </c>
      <c r="DO73">
        <v>11</v>
      </c>
      <c r="DP73" t="s">
        <v>1010</v>
      </c>
      <c r="DQ73">
        <v>16</v>
      </c>
      <c r="DR73">
        <v>6510</v>
      </c>
      <c r="DS73">
        <v>12990</v>
      </c>
      <c r="DT73">
        <v>21.7</v>
      </c>
      <c r="DU73">
        <v>4</v>
      </c>
      <c r="DV73">
        <v>1</v>
      </c>
      <c r="DW73">
        <v>2</v>
      </c>
      <c r="DX73" t="s">
        <v>596</v>
      </c>
      <c r="DY73" t="s">
        <v>2546</v>
      </c>
      <c r="DZ73">
        <v>0</v>
      </c>
      <c r="EA73">
        <v>0</v>
      </c>
      <c r="EB73">
        <v>1</v>
      </c>
      <c r="EC73">
        <v>0</v>
      </c>
      <c r="ED73">
        <v>0</v>
      </c>
      <c r="EE73">
        <v>1</v>
      </c>
      <c r="EF73" t="s">
        <v>871</v>
      </c>
      <c r="EG73" t="s">
        <v>595</v>
      </c>
      <c r="EH73" t="s">
        <v>921</v>
      </c>
      <c r="EI73" t="s">
        <v>921</v>
      </c>
      <c r="EJ73" t="s">
        <v>181</v>
      </c>
      <c r="EK73">
        <v>9090</v>
      </c>
      <c r="EL73">
        <v>1</v>
      </c>
      <c r="EM73" t="s">
        <v>1436</v>
      </c>
      <c r="EN73">
        <v>4.7667000000000002</v>
      </c>
      <c r="EO73">
        <v>216.5</v>
      </c>
      <c r="EP73">
        <v>99991120</v>
      </c>
      <c r="EQ73" t="s">
        <v>874</v>
      </c>
      <c r="ER73" t="s">
        <v>875</v>
      </c>
      <c r="ES73" t="s">
        <v>876</v>
      </c>
      <c r="ET73" t="s">
        <v>877</v>
      </c>
      <c r="EU73" t="s">
        <v>877</v>
      </c>
      <c r="EV73" t="s">
        <v>871</v>
      </c>
      <c r="EX73" t="s">
        <v>836</v>
      </c>
      <c r="EY73" t="s">
        <v>873</v>
      </c>
      <c r="EZ73" t="s">
        <v>1437</v>
      </c>
      <c r="FA73" t="s">
        <v>956</v>
      </c>
      <c r="FB73">
        <v>1</v>
      </c>
      <c r="FC73">
        <v>3</v>
      </c>
      <c r="FD73" s="41">
        <v>46221</v>
      </c>
      <c r="FE73" t="s">
        <v>1066</v>
      </c>
      <c r="FF73">
        <v>27</v>
      </c>
      <c r="FG73" t="s">
        <v>2557</v>
      </c>
      <c r="FH73" t="s">
        <v>2558</v>
      </c>
      <c r="FI73">
        <v>1</v>
      </c>
      <c r="FJ73" t="s">
        <v>2559</v>
      </c>
      <c r="FK73" t="s">
        <v>2560</v>
      </c>
      <c r="FL73">
        <v>1</v>
      </c>
      <c r="FM73" t="s">
        <v>2561</v>
      </c>
      <c r="FN73" t="s">
        <v>2562</v>
      </c>
      <c r="FO73">
        <v>1</v>
      </c>
      <c r="FP73" t="s">
        <v>2563</v>
      </c>
      <c r="FQ73" t="s">
        <v>2564</v>
      </c>
      <c r="FR73">
        <v>1</v>
      </c>
      <c r="FS73" t="s">
        <v>2565</v>
      </c>
      <c r="FT73" t="s">
        <v>2566</v>
      </c>
      <c r="FU73">
        <v>1</v>
      </c>
      <c r="FV73" t="s">
        <v>2567</v>
      </c>
      <c r="FW73" t="s">
        <v>2568</v>
      </c>
      <c r="FX73">
        <v>1</v>
      </c>
      <c r="FY73" t="s">
        <v>890</v>
      </c>
      <c r="FZ73" t="s">
        <v>2569</v>
      </c>
      <c r="GA73" t="s">
        <v>2559</v>
      </c>
      <c r="GB73">
        <v>1</v>
      </c>
      <c r="GD73">
        <v>0</v>
      </c>
      <c r="GF73">
        <v>0</v>
      </c>
      <c r="GG73">
        <v>1</v>
      </c>
      <c r="GH73" t="s">
        <v>892</v>
      </c>
      <c r="GI73" t="s">
        <v>893</v>
      </c>
      <c r="GJ73" t="s">
        <v>2560</v>
      </c>
      <c r="GM73">
        <v>1</v>
      </c>
      <c r="GN73">
        <v>0</v>
      </c>
      <c r="GO73">
        <v>0</v>
      </c>
      <c r="GP73">
        <v>1</v>
      </c>
      <c r="GQ73">
        <v>1</v>
      </c>
      <c r="GR73">
        <v>0</v>
      </c>
      <c r="GS73">
        <v>1</v>
      </c>
      <c r="GT73">
        <v>0</v>
      </c>
      <c r="GU73">
        <v>1</v>
      </c>
      <c r="GV73">
        <v>0</v>
      </c>
      <c r="GW73">
        <v>1</v>
      </c>
      <c r="GX73">
        <v>0</v>
      </c>
      <c r="GY73">
        <v>1</v>
      </c>
      <c r="GZ73">
        <v>0</v>
      </c>
      <c r="HA73" t="s">
        <v>433</v>
      </c>
      <c r="HB73" t="s">
        <v>894</v>
      </c>
      <c r="HC73" t="s">
        <v>895</v>
      </c>
      <c r="HD73" t="s">
        <v>845</v>
      </c>
      <c r="HE73" t="s">
        <v>836</v>
      </c>
      <c r="HF73" t="s">
        <v>873</v>
      </c>
      <c r="HG73" t="s">
        <v>894</v>
      </c>
      <c r="HH73" t="s">
        <v>895</v>
      </c>
      <c r="HI73" t="s">
        <v>845</v>
      </c>
      <c r="HJ73" t="s">
        <v>836</v>
      </c>
      <c r="HK73" t="s">
        <v>1436</v>
      </c>
      <c r="HL73" t="s">
        <v>187</v>
      </c>
      <c r="HM73" t="s">
        <v>854</v>
      </c>
      <c r="HN73">
        <v>36805</v>
      </c>
      <c r="HP73" t="s">
        <v>181</v>
      </c>
      <c r="HQ73" t="s">
        <v>896</v>
      </c>
      <c r="HR73" t="s">
        <v>896</v>
      </c>
      <c r="HS73" t="s">
        <v>896</v>
      </c>
    </row>
    <row r="74" spans="1:227" x14ac:dyDescent="0.2">
      <c r="A74">
        <v>8702</v>
      </c>
      <c r="B74">
        <v>7610604948</v>
      </c>
      <c r="D74" t="s">
        <v>913</v>
      </c>
      <c r="E74" t="s">
        <v>897</v>
      </c>
      <c r="F74">
        <v>0</v>
      </c>
      <c r="G74" t="s">
        <v>2570</v>
      </c>
      <c r="H74" t="s">
        <v>2570</v>
      </c>
      <c r="I74">
        <v>0</v>
      </c>
      <c r="J74" t="s">
        <v>833</v>
      </c>
      <c r="K74" t="s">
        <v>834</v>
      </c>
      <c r="L74">
        <v>152858766</v>
      </c>
      <c r="M74" t="s">
        <v>2571</v>
      </c>
      <c r="N74" t="s">
        <v>900</v>
      </c>
      <c r="O74" t="s">
        <v>837</v>
      </c>
      <c r="P74" t="s">
        <v>913</v>
      </c>
      <c r="V74" t="s">
        <v>210</v>
      </c>
      <c r="W74" s="41">
        <v>46128</v>
      </c>
      <c r="X74" t="s">
        <v>2572</v>
      </c>
      <c r="Y74" t="s">
        <v>2570</v>
      </c>
      <c r="Z74" t="s">
        <v>2573</v>
      </c>
      <c r="AA74">
        <v>0</v>
      </c>
      <c r="AB74" t="s">
        <v>845</v>
      </c>
      <c r="AC74" t="s">
        <v>846</v>
      </c>
      <c r="AD74" t="s">
        <v>1113</v>
      </c>
      <c r="AE74" t="s">
        <v>1114</v>
      </c>
      <c r="AF74">
        <v>1</v>
      </c>
      <c r="AG74">
        <v>452210</v>
      </c>
      <c r="AH74" t="s">
        <v>849</v>
      </c>
      <c r="AI74" t="s">
        <v>850</v>
      </c>
      <c r="AJ74" t="s">
        <v>851</v>
      </c>
      <c r="AM74" t="s">
        <v>1408</v>
      </c>
      <c r="AN74" t="s">
        <v>854</v>
      </c>
      <c r="AO74">
        <v>36805</v>
      </c>
      <c r="AP74">
        <v>648</v>
      </c>
      <c r="AQ74" t="s">
        <v>855</v>
      </c>
      <c r="AR74">
        <v>0</v>
      </c>
      <c r="AS74" t="s">
        <v>856</v>
      </c>
      <c r="AU74" t="s">
        <v>2574</v>
      </c>
      <c r="AV74" t="s">
        <v>2575</v>
      </c>
      <c r="AX74" t="s">
        <v>913</v>
      </c>
      <c r="AY74" t="s">
        <v>861</v>
      </c>
      <c r="BB74">
        <v>0</v>
      </c>
      <c r="BC74">
        <v>0</v>
      </c>
      <c r="BD74">
        <v>0</v>
      </c>
      <c r="BE74" t="s">
        <v>2571</v>
      </c>
      <c r="BF74">
        <v>0</v>
      </c>
      <c r="BG74">
        <v>0</v>
      </c>
      <c r="BH74" t="s">
        <v>862</v>
      </c>
      <c r="BI74">
        <v>0</v>
      </c>
      <c r="BJ74" t="s">
        <v>862</v>
      </c>
      <c r="BK74">
        <v>0</v>
      </c>
      <c r="BL74">
        <v>1</v>
      </c>
      <c r="BM74">
        <v>0</v>
      </c>
      <c r="BN74" t="s">
        <v>596</v>
      </c>
      <c r="BO74">
        <v>152858766</v>
      </c>
      <c r="BP74" t="s">
        <v>2570</v>
      </c>
      <c r="BR74">
        <v>42791781</v>
      </c>
      <c r="BT74">
        <v>1</v>
      </c>
      <c r="BU74" t="s">
        <v>1119</v>
      </c>
      <c r="CI74">
        <v>11</v>
      </c>
      <c r="CJ74" t="s">
        <v>94</v>
      </c>
      <c r="CM74">
        <v>4010</v>
      </c>
      <c r="CO74">
        <v>7360</v>
      </c>
      <c r="CP74">
        <v>0</v>
      </c>
      <c r="CQ74">
        <v>0</v>
      </c>
      <c r="CR74">
        <v>0</v>
      </c>
      <c r="CS74">
        <v>0</v>
      </c>
      <c r="CT74" t="s">
        <v>2575</v>
      </c>
      <c r="CU74" t="s">
        <v>2574</v>
      </c>
      <c r="CV74" t="s">
        <v>833</v>
      </c>
      <c r="CW74" t="s">
        <v>834</v>
      </c>
      <c r="CX74" t="s">
        <v>2571</v>
      </c>
      <c r="CY74">
        <v>0</v>
      </c>
      <c r="CZ74">
        <v>0</v>
      </c>
      <c r="DA74" t="s">
        <v>833</v>
      </c>
      <c r="DB74" t="s">
        <v>865</v>
      </c>
      <c r="DC74">
        <v>48197</v>
      </c>
      <c r="DD74">
        <v>0.1333</v>
      </c>
      <c r="DE74" t="s">
        <v>866</v>
      </c>
      <c r="DG74" t="s">
        <v>867</v>
      </c>
      <c r="DH74" t="s">
        <v>851</v>
      </c>
      <c r="DI74" t="s">
        <v>2105</v>
      </c>
      <c r="DJ74" t="s">
        <v>2576</v>
      </c>
      <c r="DK74" t="s">
        <v>918</v>
      </c>
      <c r="DL74" t="s">
        <v>869</v>
      </c>
      <c r="DM74">
        <v>1</v>
      </c>
      <c r="DN74">
        <v>0</v>
      </c>
      <c r="DP74" t="s">
        <v>913</v>
      </c>
      <c r="DQ74">
        <v>0</v>
      </c>
      <c r="DR74">
        <v>8</v>
      </c>
      <c r="DS74">
        <v>8</v>
      </c>
      <c r="DT74">
        <v>0</v>
      </c>
      <c r="DU74">
        <v>0</v>
      </c>
      <c r="DV74">
        <v>1</v>
      </c>
      <c r="DW74">
        <v>2</v>
      </c>
      <c r="DX74" t="s">
        <v>596</v>
      </c>
      <c r="DY74" t="s">
        <v>2571</v>
      </c>
      <c r="DZ74">
        <v>1</v>
      </c>
      <c r="EA74">
        <v>1</v>
      </c>
      <c r="EB74">
        <v>1</v>
      </c>
      <c r="EC74">
        <v>1</v>
      </c>
      <c r="ED74">
        <v>1</v>
      </c>
      <c r="EE74">
        <v>1</v>
      </c>
      <c r="EG74" t="s">
        <v>598</v>
      </c>
      <c r="EH74" t="s">
        <v>921</v>
      </c>
      <c r="EI74" t="s">
        <v>921</v>
      </c>
      <c r="EJ74" t="s">
        <v>178</v>
      </c>
      <c r="EK74">
        <v>9090</v>
      </c>
      <c r="EL74">
        <v>0</v>
      </c>
      <c r="EM74" t="s">
        <v>923</v>
      </c>
      <c r="EN74">
        <v>0</v>
      </c>
      <c r="EO74">
        <v>0.13333329999999999</v>
      </c>
      <c r="EP74">
        <v>99991120</v>
      </c>
      <c r="EQ74" t="s">
        <v>874</v>
      </c>
      <c r="ER74" t="s">
        <v>875</v>
      </c>
      <c r="ES74" t="s">
        <v>876</v>
      </c>
      <c r="ET74" t="s">
        <v>877</v>
      </c>
      <c r="EU74" t="s">
        <v>877</v>
      </c>
      <c r="EX74" t="s">
        <v>953</v>
      </c>
      <c r="EY74" t="s">
        <v>954</v>
      </c>
      <c r="EZ74" t="s">
        <v>955</v>
      </c>
      <c r="FA74" t="s">
        <v>956</v>
      </c>
      <c r="FB74">
        <v>1</v>
      </c>
      <c r="FC74">
        <v>0</v>
      </c>
      <c r="FD74" s="41">
        <v>46130</v>
      </c>
      <c r="FE74" t="s">
        <v>1123</v>
      </c>
      <c r="FF74">
        <v>1</v>
      </c>
      <c r="FI74">
        <v>0</v>
      </c>
      <c r="FL74">
        <v>0</v>
      </c>
      <c r="FO74">
        <v>0</v>
      </c>
      <c r="FP74" t="s">
        <v>2577</v>
      </c>
      <c r="FQ74" t="s">
        <v>2578</v>
      </c>
      <c r="FR74">
        <v>1</v>
      </c>
      <c r="FU74">
        <v>0</v>
      </c>
      <c r="FX74">
        <v>0</v>
      </c>
      <c r="FY74" t="s">
        <v>890</v>
      </c>
      <c r="FZ74" t="s">
        <v>2577</v>
      </c>
      <c r="GB74">
        <v>0</v>
      </c>
      <c r="GD74">
        <v>0</v>
      </c>
      <c r="GF74">
        <v>0</v>
      </c>
      <c r="GG74">
        <v>0</v>
      </c>
      <c r="GM74">
        <v>0</v>
      </c>
      <c r="GN74">
        <v>0</v>
      </c>
      <c r="GO74">
        <v>0</v>
      </c>
      <c r="GP74">
        <v>0</v>
      </c>
      <c r="GQ74">
        <v>0</v>
      </c>
      <c r="GR74">
        <v>0</v>
      </c>
      <c r="GS74">
        <v>0</v>
      </c>
      <c r="GT74">
        <v>0</v>
      </c>
      <c r="GU74">
        <v>0</v>
      </c>
      <c r="GV74">
        <v>0</v>
      </c>
      <c r="GW74">
        <v>0</v>
      </c>
      <c r="GX74">
        <v>0</v>
      </c>
      <c r="GY74">
        <v>0</v>
      </c>
      <c r="GZ74">
        <v>0</v>
      </c>
      <c r="HB74" t="s">
        <v>894</v>
      </c>
      <c r="HC74" t="s">
        <v>935</v>
      </c>
      <c r="HD74" t="s">
        <v>845</v>
      </c>
      <c r="HE74" t="s">
        <v>900</v>
      </c>
      <c r="HF74" t="s">
        <v>923</v>
      </c>
      <c r="HG74" t="s">
        <v>894</v>
      </c>
      <c r="HH74" t="s">
        <v>935</v>
      </c>
      <c r="HI74" t="s">
        <v>845</v>
      </c>
      <c r="HJ74" t="s">
        <v>900</v>
      </c>
      <c r="HK74" t="s">
        <v>923</v>
      </c>
      <c r="HL74" t="s">
        <v>210</v>
      </c>
      <c r="HM74" t="s">
        <v>854</v>
      </c>
      <c r="HN74">
        <v>36805</v>
      </c>
      <c r="HO74">
        <v>1</v>
      </c>
      <c r="HP74" t="s">
        <v>178</v>
      </c>
      <c r="HQ74" t="s">
        <v>896</v>
      </c>
      <c r="HR74" t="s">
        <v>896</v>
      </c>
      <c r="HS74" t="s">
        <v>896</v>
      </c>
    </row>
    <row r="75" spans="1:227" x14ac:dyDescent="0.2">
      <c r="A75">
        <v>8702</v>
      </c>
      <c r="B75">
        <v>7620802549</v>
      </c>
      <c r="C75">
        <v>34</v>
      </c>
      <c r="D75" t="s">
        <v>996</v>
      </c>
      <c r="E75" t="s">
        <v>831</v>
      </c>
      <c r="F75">
        <v>1</v>
      </c>
      <c r="G75" t="s">
        <v>2579</v>
      </c>
      <c r="H75" t="s">
        <v>2579</v>
      </c>
      <c r="I75">
        <v>0</v>
      </c>
      <c r="J75" t="s">
        <v>833</v>
      </c>
      <c r="K75" t="s">
        <v>834</v>
      </c>
      <c r="L75">
        <v>148743035</v>
      </c>
      <c r="M75" t="s">
        <v>2580</v>
      </c>
      <c r="N75" t="s">
        <v>836</v>
      </c>
      <c r="O75" t="s">
        <v>837</v>
      </c>
      <c r="P75" t="s">
        <v>999</v>
      </c>
      <c r="Q75" t="s">
        <v>1027</v>
      </c>
      <c r="R75" t="s">
        <v>2581</v>
      </c>
      <c r="S75" t="s">
        <v>2582</v>
      </c>
      <c r="T75">
        <v>30300111330</v>
      </c>
      <c r="V75" t="s">
        <v>193</v>
      </c>
      <c r="W75" s="41">
        <v>46230</v>
      </c>
      <c r="X75" t="s">
        <v>2583</v>
      </c>
      <c r="Y75" t="s">
        <v>2584</v>
      </c>
      <c r="AA75">
        <v>0</v>
      </c>
      <c r="AB75" t="s">
        <v>845</v>
      </c>
      <c r="AC75" t="s">
        <v>846</v>
      </c>
      <c r="AD75" t="s">
        <v>1335</v>
      </c>
      <c r="AE75" t="s">
        <v>1336</v>
      </c>
      <c r="AF75">
        <v>1</v>
      </c>
      <c r="AG75">
        <v>452210</v>
      </c>
      <c r="AH75" t="s">
        <v>849</v>
      </c>
      <c r="AI75" t="s">
        <v>850</v>
      </c>
      <c r="AJ75" t="s">
        <v>851</v>
      </c>
      <c r="AK75" t="s">
        <v>271</v>
      </c>
      <c r="AL75" t="s">
        <v>2363</v>
      </c>
      <c r="AM75" t="s">
        <v>2364</v>
      </c>
      <c r="AN75" t="s">
        <v>854</v>
      </c>
      <c r="AO75">
        <v>36805</v>
      </c>
      <c r="AP75">
        <v>637</v>
      </c>
      <c r="AQ75" t="s">
        <v>855</v>
      </c>
      <c r="AR75">
        <v>66569386</v>
      </c>
      <c r="AS75" t="s">
        <v>856</v>
      </c>
      <c r="AU75" t="s">
        <v>2585</v>
      </c>
      <c r="AV75" t="s">
        <v>2586</v>
      </c>
      <c r="AX75" t="s">
        <v>913</v>
      </c>
      <c r="AY75" t="s">
        <v>861</v>
      </c>
      <c r="AZ75" t="s">
        <v>271</v>
      </c>
      <c r="BA75" t="s">
        <v>272</v>
      </c>
      <c r="BB75">
        <v>1</v>
      </c>
      <c r="BC75">
        <v>0</v>
      </c>
      <c r="BD75">
        <v>0</v>
      </c>
      <c r="BE75" t="s">
        <v>2580</v>
      </c>
      <c r="BF75">
        <v>0</v>
      </c>
      <c r="BG75">
        <v>0</v>
      </c>
      <c r="BH75" t="s">
        <v>862</v>
      </c>
      <c r="BI75">
        <v>0</v>
      </c>
      <c r="BJ75" t="s">
        <v>862</v>
      </c>
      <c r="BK75">
        <v>1</v>
      </c>
      <c r="BL75">
        <v>1</v>
      </c>
      <c r="BM75">
        <v>0</v>
      </c>
      <c r="BN75" t="s">
        <v>596</v>
      </c>
      <c r="BP75" t="s">
        <v>2579</v>
      </c>
      <c r="BR75">
        <v>42791765</v>
      </c>
      <c r="BT75">
        <v>2</v>
      </c>
      <c r="BU75" t="s">
        <v>1062</v>
      </c>
      <c r="BY75">
        <v>16</v>
      </c>
      <c r="CA75">
        <v>4</v>
      </c>
      <c r="CE75">
        <v>1</v>
      </c>
      <c r="CI75">
        <v>11</v>
      </c>
      <c r="CJ75" t="s">
        <v>94</v>
      </c>
      <c r="CM75">
        <v>4010</v>
      </c>
      <c r="CO75">
        <v>7360</v>
      </c>
      <c r="CP75">
        <v>0.75</v>
      </c>
      <c r="CQ75">
        <v>0.75</v>
      </c>
      <c r="CR75">
        <v>2.5167000000000002</v>
      </c>
      <c r="CS75">
        <v>0</v>
      </c>
      <c r="CT75" t="s">
        <v>2587</v>
      </c>
      <c r="CU75" t="s">
        <v>2588</v>
      </c>
      <c r="CV75" t="s">
        <v>833</v>
      </c>
      <c r="CW75" t="s">
        <v>834</v>
      </c>
      <c r="CX75" t="s">
        <v>2367</v>
      </c>
      <c r="CY75">
        <v>1</v>
      </c>
      <c r="CZ75">
        <v>1</v>
      </c>
      <c r="DA75" t="s">
        <v>833</v>
      </c>
      <c r="DB75" t="s">
        <v>865</v>
      </c>
      <c r="DC75">
        <v>60014</v>
      </c>
      <c r="DD75">
        <v>4.0332999999999997</v>
      </c>
      <c r="DE75" t="s">
        <v>866</v>
      </c>
      <c r="DG75" t="s">
        <v>867</v>
      </c>
      <c r="DH75" t="s">
        <v>851</v>
      </c>
      <c r="DK75" t="s">
        <v>918</v>
      </c>
      <c r="DL75" t="s">
        <v>869</v>
      </c>
      <c r="DM75">
        <v>0</v>
      </c>
      <c r="DN75">
        <v>0.2</v>
      </c>
      <c r="DO75">
        <v>11</v>
      </c>
      <c r="DP75" t="s">
        <v>1010</v>
      </c>
      <c r="DQ75">
        <v>16</v>
      </c>
      <c r="DR75">
        <v>242</v>
      </c>
      <c r="DS75">
        <v>242</v>
      </c>
      <c r="DT75">
        <v>1.0667</v>
      </c>
      <c r="DU75">
        <v>4</v>
      </c>
      <c r="DV75">
        <v>1</v>
      </c>
      <c r="DW75">
        <v>2</v>
      </c>
      <c r="DX75" t="s">
        <v>596</v>
      </c>
      <c r="DY75" t="s">
        <v>2580</v>
      </c>
      <c r="DZ75">
        <v>1</v>
      </c>
      <c r="EA75">
        <v>1</v>
      </c>
      <c r="EB75">
        <v>1</v>
      </c>
      <c r="EC75">
        <v>1</v>
      </c>
      <c r="ED75">
        <v>1</v>
      </c>
      <c r="EE75">
        <v>1</v>
      </c>
      <c r="EF75" t="s">
        <v>920</v>
      </c>
      <c r="EG75" t="s">
        <v>595</v>
      </c>
      <c r="EH75" t="s">
        <v>921</v>
      </c>
      <c r="EI75" t="s">
        <v>921</v>
      </c>
      <c r="EJ75" t="s">
        <v>181</v>
      </c>
      <c r="EK75">
        <v>9090</v>
      </c>
      <c r="EL75">
        <v>1</v>
      </c>
      <c r="EM75" t="s">
        <v>1436</v>
      </c>
      <c r="EN75">
        <v>2.5167000000000002</v>
      </c>
      <c r="EO75">
        <v>4.0333332999999998</v>
      </c>
      <c r="EP75">
        <v>99991120</v>
      </c>
      <c r="EQ75" t="s">
        <v>874</v>
      </c>
      <c r="ER75" t="s">
        <v>875</v>
      </c>
      <c r="ES75" t="s">
        <v>876</v>
      </c>
      <c r="ET75" t="s">
        <v>877</v>
      </c>
      <c r="EU75" t="s">
        <v>877</v>
      </c>
      <c r="EV75" t="s">
        <v>920</v>
      </c>
      <c r="EX75" t="s">
        <v>836</v>
      </c>
      <c r="EY75" t="s">
        <v>873</v>
      </c>
      <c r="EZ75" t="s">
        <v>1437</v>
      </c>
      <c r="FA75" t="s">
        <v>956</v>
      </c>
      <c r="FB75">
        <v>1</v>
      </c>
      <c r="FC75">
        <v>1</v>
      </c>
      <c r="FD75" s="41">
        <v>46235</v>
      </c>
      <c r="FE75" t="s">
        <v>1066</v>
      </c>
      <c r="FF75">
        <v>7</v>
      </c>
      <c r="FG75" t="s">
        <v>2589</v>
      </c>
      <c r="FH75" t="s">
        <v>2590</v>
      </c>
      <c r="FI75">
        <v>1</v>
      </c>
      <c r="FJ75" t="s">
        <v>2591</v>
      </c>
      <c r="FK75" t="s">
        <v>2592</v>
      </c>
      <c r="FL75">
        <v>1</v>
      </c>
      <c r="FM75" t="s">
        <v>2593</v>
      </c>
      <c r="FN75" t="s">
        <v>2594</v>
      </c>
      <c r="FO75">
        <v>1</v>
      </c>
      <c r="FP75" t="s">
        <v>2595</v>
      </c>
      <c r="FQ75" t="s">
        <v>2588</v>
      </c>
      <c r="FR75">
        <v>1</v>
      </c>
      <c r="FS75" t="s">
        <v>2375</v>
      </c>
      <c r="FT75" t="s">
        <v>2596</v>
      </c>
      <c r="FU75">
        <v>1</v>
      </c>
      <c r="FV75" t="s">
        <v>2597</v>
      </c>
      <c r="FW75" t="s">
        <v>2598</v>
      </c>
      <c r="FX75">
        <v>1</v>
      </c>
      <c r="FY75" t="s">
        <v>890</v>
      </c>
      <c r="FZ75" t="s">
        <v>2599</v>
      </c>
      <c r="GA75" t="s">
        <v>2591</v>
      </c>
      <c r="GB75">
        <v>1</v>
      </c>
      <c r="GD75">
        <v>0</v>
      </c>
      <c r="GF75">
        <v>0</v>
      </c>
      <c r="GG75">
        <v>1</v>
      </c>
      <c r="GH75" t="s">
        <v>892</v>
      </c>
      <c r="GI75" t="s">
        <v>893</v>
      </c>
      <c r="GJ75" t="s">
        <v>2592</v>
      </c>
      <c r="GM75">
        <v>1</v>
      </c>
      <c r="GN75">
        <v>1</v>
      </c>
      <c r="GO75">
        <v>0</v>
      </c>
      <c r="GP75">
        <v>1</v>
      </c>
      <c r="GQ75">
        <v>1</v>
      </c>
      <c r="GR75">
        <v>0</v>
      </c>
      <c r="GS75">
        <v>1</v>
      </c>
      <c r="GT75">
        <v>0</v>
      </c>
      <c r="GU75">
        <v>1</v>
      </c>
      <c r="GV75">
        <v>0</v>
      </c>
      <c r="GW75">
        <v>1</v>
      </c>
      <c r="GX75">
        <v>0</v>
      </c>
      <c r="GY75">
        <v>1</v>
      </c>
      <c r="GZ75">
        <v>0</v>
      </c>
      <c r="HA75" t="s">
        <v>271</v>
      </c>
      <c r="HB75" t="s">
        <v>894</v>
      </c>
      <c r="HC75" t="s">
        <v>895</v>
      </c>
      <c r="HD75" t="s">
        <v>845</v>
      </c>
      <c r="HE75" t="s">
        <v>836</v>
      </c>
      <c r="HF75" t="s">
        <v>873</v>
      </c>
      <c r="HG75" t="s">
        <v>894</v>
      </c>
      <c r="HH75" t="s">
        <v>895</v>
      </c>
      <c r="HI75" t="s">
        <v>845</v>
      </c>
      <c r="HJ75" t="s">
        <v>836</v>
      </c>
      <c r="HK75" t="s">
        <v>1436</v>
      </c>
      <c r="HL75" t="s">
        <v>193</v>
      </c>
      <c r="HM75" t="s">
        <v>854</v>
      </c>
      <c r="HN75">
        <v>36805</v>
      </c>
      <c r="HP75" t="s">
        <v>181</v>
      </c>
      <c r="HQ75" t="s">
        <v>896</v>
      </c>
      <c r="HR75" t="s">
        <v>896</v>
      </c>
      <c r="HS75" t="s">
        <v>896</v>
      </c>
    </row>
    <row r="76" spans="1:227" x14ac:dyDescent="0.2">
      <c r="A76">
        <v>8702</v>
      </c>
      <c r="B76">
        <v>7613500273</v>
      </c>
      <c r="C76">
        <v>34</v>
      </c>
      <c r="D76" t="s">
        <v>996</v>
      </c>
      <c r="E76" t="s">
        <v>831</v>
      </c>
      <c r="F76">
        <v>1</v>
      </c>
      <c r="G76" t="s">
        <v>2600</v>
      </c>
      <c r="H76" t="s">
        <v>2600</v>
      </c>
      <c r="I76">
        <v>0</v>
      </c>
      <c r="J76" t="s">
        <v>833</v>
      </c>
      <c r="K76" t="s">
        <v>834</v>
      </c>
      <c r="L76">
        <v>152858771</v>
      </c>
      <c r="M76" t="s">
        <v>1516</v>
      </c>
      <c r="N76" t="s">
        <v>836</v>
      </c>
      <c r="O76" t="s">
        <v>837</v>
      </c>
      <c r="P76" t="s">
        <v>999</v>
      </c>
      <c r="Q76" t="s">
        <v>2459</v>
      </c>
      <c r="R76" t="s">
        <v>2601</v>
      </c>
      <c r="S76" t="s">
        <v>2602</v>
      </c>
      <c r="T76">
        <v>30300127006</v>
      </c>
      <c r="V76" t="s">
        <v>185</v>
      </c>
      <c r="W76" s="41">
        <v>46161</v>
      </c>
      <c r="X76" t="s">
        <v>2603</v>
      </c>
      <c r="Y76" t="s">
        <v>2604</v>
      </c>
      <c r="AA76">
        <v>0</v>
      </c>
      <c r="AB76" t="s">
        <v>845</v>
      </c>
      <c r="AC76" t="s">
        <v>846</v>
      </c>
      <c r="AD76" t="s">
        <v>907</v>
      </c>
      <c r="AE76" t="s">
        <v>908</v>
      </c>
      <c r="AF76">
        <v>1</v>
      </c>
      <c r="AG76">
        <v>452210</v>
      </c>
      <c r="AH76" t="s">
        <v>849</v>
      </c>
      <c r="AI76" t="s">
        <v>850</v>
      </c>
      <c r="AJ76" t="s">
        <v>851</v>
      </c>
      <c r="AK76" t="s">
        <v>255</v>
      </c>
      <c r="AL76" t="s">
        <v>2605</v>
      </c>
      <c r="AM76" t="s">
        <v>1522</v>
      </c>
      <c r="AN76" t="s">
        <v>854</v>
      </c>
      <c r="AO76">
        <v>36805</v>
      </c>
      <c r="AP76">
        <v>633</v>
      </c>
      <c r="AQ76" t="s">
        <v>855</v>
      </c>
      <c r="AR76">
        <v>66469876</v>
      </c>
      <c r="AS76" t="s">
        <v>856</v>
      </c>
      <c r="AU76" t="s">
        <v>2606</v>
      </c>
      <c r="AV76" t="s">
        <v>2607</v>
      </c>
      <c r="AX76" t="s">
        <v>913</v>
      </c>
      <c r="AY76" t="s">
        <v>861</v>
      </c>
      <c r="AZ76" t="s">
        <v>255</v>
      </c>
      <c r="BA76" t="s">
        <v>256</v>
      </c>
      <c r="BB76">
        <v>1</v>
      </c>
      <c r="BC76">
        <v>0</v>
      </c>
      <c r="BD76">
        <v>0</v>
      </c>
      <c r="BE76" t="s">
        <v>1516</v>
      </c>
      <c r="BF76">
        <v>0</v>
      </c>
      <c r="BG76">
        <v>0</v>
      </c>
      <c r="BH76" t="s">
        <v>862</v>
      </c>
      <c r="BI76">
        <v>0</v>
      </c>
      <c r="BJ76" t="s">
        <v>862</v>
      </c>
      <c r="BK76">
        <v>1</v>
      </c>
      <c r="BL76">
        <v>1</v>
      </c>
      <c r="BM76">
        <v>0</v>
      </c>
      <c r="BN76" t="s">
        <v>596</v>
      </c>
      <c r="BO76">
        <v>152858771</v>
      </c>
      <c r="BP76" t="s">
        <v>2600</v>
      </c>
      <c r="BR76">
        <v>42791751</v>
      </c>
      <c r="BT76">
        <v>0</v>
      </c>
      <c r="BU76" t="s">
        <v>1803</v>
      </c>
      <c r="BY76">
        <v>16</v>
      </c>
      <c r="CA76">
        <v>49</v>
      </c>
      <c r="CE76">
        <v>0</v>
      </c>
      <c r="CI76">
        <v>11</v>
      </c>
      <c r="CJ76" t="s">
        <v>94</v>
      </c>
      <c r="CM76">
        <v>4010</v>
      </c>
      <c r="CO76">
        <v>7360</v>
      </c>
      <c r="CP76">
        <v>1.5832999999999999</v>
      </c>
      <c r="CQ76">
        <v>1.5832999999999999</v>
      </c>
      <c r="CR76">
        <v>0.81669999999999998</v>
      </c>
      <c r="CS76">
        <v>0</v>
      </c>
      <c r="CT76" t="s">
        <v>2608</v>
      </c>
      <c r="CU76" t="s">
        <v>2609</v>
      </c>
      <c r="CV76" t="s">
        <v>833</v>
      </c>
      <c r="CW76" t="s">
        <v>834</v>
      </c>
      <c r="CX76" t="s">
        <v>1516</v>
      </c>
      <c r="CY76">
        <v>1</v>
      </c>
      <c r="CZ76">
        <v>1</v>
      </c>
      <c r="DA76" t="s">
        <v>833</v>
      </c>
      <c r="DB76" t="s">
        <v>865</v>
      </c>
      <c r="DC76">
        <v>60563</v>
      </c>
      <c r="DD76">
        <v>48.7</v>
      </c>
      <c r="DE76" t="s">
        <v>866</v>
      </c>
      <c r="DG76" t="s">
        <v>867</v>
      </c>
      <c r="DH76" t="s">
        <v>851</v>
      </c>
      <c r="DI76" t="s">
        <v>1525</v>
      </c>
      <c r="DK76" t="s">
        <v>918</v>
      </c>
      <c r="DL76" t="s">
        <v>869</v>
      </c>
      <c r="DM76">
        <v>0</v>
      </c>
      <c r="DN76">
        <v>0</v>
      </c>
      <c r="DO76">
        <v>2</v>
      </c>
      <c r="DP76" t="s">
        <v>870</v>
      </c>
      <c r="DQ76">
        <v>16</v>
      </c>
      <c r="DR76">
        <v>2922</v>
      </c>
      <c r="DS76">
        <v>5802</v>
      </c>
      <c r="DT76">
        <v>3.0667</v>
      </c>
      <c r="DU76">
        <v>4</v>
      </c>
      <c r="DV76">
        <v>1</v>
      </c>
      <c r="DW76">
        <v>2</v>
      </c>
      <c r="DX76" t="s">
        <v>596</v>
      </c>
      <c r="DY76" t="s">
        <v>1516</v>
      </c>
      <c r="DZ76">
        <v>0</v>
      </c>
      <c r="EA76">
        <v>0</v>
      </c>
      <c r="EB76">
        <v>1</v>
      </c>
      <c r="EC76">
        <v>1</v>
      </c>
      <c r="ED76">
        <v>1</v>
      </c>
      <c r="EE76">
        <v>1</v>
      </c>
      <c r="EF76" t="s">
        <v>871</v>
      </c>
      <c r="EG76" t="s">
        <v>595</v>
      </c>
      <c r="EH76" t="s">
        <v>921</v>
      </c>
      <c r="EI76" t="s">
        <v>921</v>
      </c>
      <c r="EJ76" t="s">
        <v>181</v>
      </c>
      <c r="EK76">
        <v>9090</v>
      </c>
      <c r="EL76">
        <v>1</v>
      </c>
      <c r="EM76" t="s">
        <v>1436</v>
      </c>
      <c r="EN76">
        <v>0.81669999999999998</v>
      </c>
      <c r="EO76">
        <v>96.7</v>
      </c>
      <c r="EP76">
        <v>99991120</v>
      </c>
      <c r="EQ76" t="s">
        <v>874</v>
      </c>
      <c r="ER76" t="s">
        <v>875</v>
      </c>
      <c r="ES76" t="s">
        <v>876</v>
      </c>
      <c r="ET76" t="s">
        <v>877</v>
      </c>
      <c r="EU76" t="s">
        <v>877</v>
      </c>
      <c r="EV76" t="s">
        <v>871</v>
      </c>
      <c r="EX76" t="s">
        <v>836</v>
      </c>
      <c r="EY76" t="s">
        <v>873</v>
      </c>
      <c r="EZ76" t="s">
        <v>1437</v>
      </c>
      <c r="FA76" t="s">
        <v>956</v>
      </c>
      <c r="FB76">
        <v>1</v>
      </c>
      <c r="FC76">
        <v>3</v>
      </c>
      <c r="FD76" s="41">
        <v>46165</v>
      </c>
      <c r="FE76" t="s">
        <v>1808</v>
      </c>
      <c r="FF76">
        <v>13</v>
      </c>
      <c r="FG76" t="s">
        <v>2610</v>
      </c>
      <c r="FH76" t="s">
        <v>2611</v>
      </c>
      <c r="FI76">
        <v>1</v>
      </c>
      <c r="FJ76" t="s">
        <v>2612</v>
      </c>
      <c r="FK76" t="s">
        <v>2613</v>
      </c>
      <c r="FL76">
        <v>1</v>
      </c>
      <c r="FM76" t="s">
        <v>1531</v>
      </c>
      <c r="FN76" t="s">
        <v>2614</v>
      </c>
      <c r="FO76">
        <v>1</v>
      </c>
      <c r="FP76" t="s">
        <v>2615</v>
      </c>
      <c r="FQ76" t="s">
        <v>2609</v>
      </c>
      <c r="FR76">
        <v>1</v>
      </c>
      <c r="FS76" t="s">
        <v>2616</v>
      </c>
      <c r="FT76" t="s">
        <v>2617</v>
      </c>
      <c r="FU76">
        <v>1</v>
      </c>
      <c r="FV76" t="s">
        <v>2618</v>
      </c>
      <c r="FW76" t="s">
        <v>2619</v>
      </c>
      <c r="FX76">
        <v>1</v>
      </c>
      <c r="FY76" t="s">
        <v>890</v>
      </c>
      <c r="FZ76" t="s">
        <v>2620</v>
      </c>
      <c r="GA76" t="s">
        <v>2612</v>
      </c>
      <c r="GB76">
        <v>1</v>
      </c>
      <c r="GD76">
        <v>0</v>
      </c>
      <c r="GF76">
        <v>0</v>
      </c>
      <c r="GG76">
        <v>1</v>
      </c>
      <c r="GH76" t="s">
        <v>892</v>
      </c>
      <c r="GI76" t="s">
        <v>893</v>
      </c>
      <c r="GJ76" t="s">
        <v>2613</v>
      </c>
      <c r="GM76">
        <v>1</v>
      </c>
      <c r="GN76">
        <v>0</v>
      </c>
      <c r="GO76">
        <v>0</v>
      </c>
      <c r="GP76">
        <v>1</v>
      </c>
      <c r="GQ76">
        <v>1</v>
      </c>
      <c r="GR76">
        <v>0</v>
      </c>
      <c r="GS76">
        <v>1</v>
      </c>
      <c r="GT76">
        <v>1</v>
      </c>
      <c r="GU76">
        <v>1</v>
      </c>
      <c r="GV76">
        <v>1</v>
      </c>
      <c r="GW76">
        <v>1</v>
      </c>
      <c r="GX76">
        <v>0</v>
      </c>
      <c r="GY76">
        <v>1</v>
      </c>
      <c r="GZ76">
        <v>0</v>
      </c>
      <c r="HA76" t="s">
        <v>255</v>
      </c>
      <c r="HB76" t="s">
        <v>894</v>
      </c>
      <c r="HC76" t="s">
        <v>895</v>
      </c>
      <c r="HD76" t="s">
        <v>845</v>
      </c>
      <c r="HE76" t="s">
        <v>836</v>
      </c>
      <c r="HF76" t="s">
        <v>873</v>
      </c>
      <c r="HG76" t="s">
        <v>894</v>
      </c>
      <c r="HH76" t="s">
        <v>895</v>
      </c>
      <c r="HI76" t="s">
        <v>845</v>
      </c>
      <c r="HJ76" t="s">
        <v>836</v>
      </c>
      <c r="HK76" t="s">
        <v>1436</v>
      </c>
      <c r="HL76" t="s">
        <v>185</v>
      </c>
      <c r="HM76" t="s">
        <v>854</v>
      </c>
      <c r="HN76">
        <v>36805</v>
      </c>
      <c r="HP76" t="s">
        <v>181</v>
      </c>
      <c r="HQ76" t="s">
        <v>896</v>
      </c>
      <c r="HR76" t="s">
        <v>896</v>
      </c>
      <c r="HS76" t="s">
        <v>896</v>
      </c>
    </row>
    <row r="77" spans="1:227" x14ac:dyDescent="0.2">
      <c r="A77">
        <v>8702</v>
      </c>
      <c r="B77">
        <v>7615315154</v>
      </c>
      <c r="C77" t="s">
        <v>829</v>
      </c>
      <c r="D77" t="s">
        <v>830</v>
      </c>
      <c r="E77" t="s">
        <v>831</v>
      </c>
      <c r="F77">
        <v>0</v>
      </c>
      <c r="G77" t="s">
        <v>2621</v>
      </c>
      <c r="H77" t="s">
        <v>2621</v>
      </c>
      <c r="I77">
        <v>0</v>
      </c>
      <c r="J77" t="s">
        <v>833</v>
      </c>
      <c r="K77" t="s">
        <v>834</v>
      </c>
      <c r="L77">
        <v>153294148</v>
      </c>
      <c r="M77" t="s">
        <v>2622</v>
      </c>
      <c r="N77" t="s">
        <v>836</v>
      </c>
      <c r="O77" t="s">
        <v>837</v>
      </c>
      <c r="P77" t="s">
        <v>838</v>
      </c>
      <c r="Q77" t="s">
        <v>1593</v>
      </c>
      <c r="R77" t="s">
        <v>2623</v>
      </c>
      <c r="S77" t="s">
        <v>2624</v>
      </c>
      <c r="T77">
        <v>30300131301</v>
      </c>
      <c r="V77" t="s">
        <v>1943</v>
      </c>
      <c r="W77" s="41">
        <v>46175</v>
      </c>
      <c r="X77" t="s">
        <v>2625</v>
      </c>
      <c r="Y77" t="s">
        <v>2626</v>
      </c>
      <c r="AA77">
        <v>0</v>
      </c>
      <c r="AB77" t="s">
        <v>845</v>
      </c>
      <c r="AC77" t="s">
        <v>846</v>
      </c>
      <c r="AD77" t="s">
        <v>907</v>
      </c>
      <c r="AE77" t="s">
        <v>908</v>
      </c>
      <c r="AF77">
        <v>1</v>
      </c>
      <c r="AG77">
        <v>452210</v>
      </c>
      <c r="AH77" t="s">
        <v>849</v>
      </c>
      <c r="AI77" t="s">
        <v>850</v>
      </c>
      <c r="AJ77" t="s">
        <v>851</v>
      </c>
      <c r="AK77" t="s">
        <v>325</v>
      </c>
      <c r="AL77" t="s">
        <v>1946</v>
      </c>
      <c r="AM77" t="s">
        <v>1947</v>
      </c>
      <c r="AN77" t="s">
        <v>854</v>
      </c>
      <c r="AO77">
        <v>36805</v>
      </c>
      <c r="AP77">
        <v>562</v>
      </c>
      <c r="AQ77" t="s">
        <v>855</v>
      </c>
      <c r="AR77">
        <v>66490032</v>
      </c>
      <c r="AS77" t="s">
        <v>856</v>
      </c>
      <c r="AU77" t="s">
        <v>2627</v>
      </c>
      <c r="AV77" t="s">
        <v>2628</v>
      </c>
      <c r="AX77" t="s">
        <v>913</v>
      </c>
      <c r="AY77" t="s">
        <v>861</v>
      </c>
      <c r="AZ77" t="s">
        <v>325</v>
      </c>
      <c r="BA77" t="s">
        <v>306</v>
      </c>
      <c r="BB77">
        <v>0</v>
      </c>
      <c r="BC77">
        <v>0</v>
      </c>
      <c r="BD77">
        <v>0</v>
      </c>
      <c r="BE77" t="s">
        <v>2622</v>
      </c>
      <c r="BF77">
        <v>0</v>
      </c>
      <c r="BG77">
        <v>0</v>
      </c>
      <c r="BH77" t="s">
        <v>862</v>
      </c>
      <c r="BI77">
        <v>0</v>
      </c>
      <c r="BJ77" t="s">
        <v>862</v>
      </c>
      <c r="BK77">
        <v>1</v>
      </c>
      <c r="BL77">
        <v>1</v>
      </c>
      <c r="BM77">
        <v>0</v>
      </c>
      <c r="BN77" t="s">
        <v>596</v>
      </c>
      <c r="BO77">
        <v>153294148</v>
      </c>
      <c r="BP77" t="s">
        <v>2621</v>
      </c>
      <c r="BR77">
        <v>42791464</v>
      </c>
      <c r="BT77">
        <v>2</v>
      </c>
      <c r="BU77" t="s">
        <v>1314</v>
      </c>
      <c r="BY77">
        <v>16</v>
      </c>
      <c r="CA77">
        <v>3</v>
      </c>
      <c r="CE77">
        <v>1</v>
      </c>
      <c r="CI77">
        <v>11</v>
      </c>
      <c r="CJ77" t="s">
        <v>94</v>
      </c>
      <c r="CM77">
        <v>4010</v>
      </c>
      <c r="CO77">
        <v>7360</v>
      </c>
      <c r="CP77">
        <v>0.61670000000000003</v>
      </c>
      <c r="CQ77">
        <v>0.61670000000000003</v>
      </c>
      <c r="CR77">
        <v>0.2167</v>
      </c>
      <c r="CS77">
        <v>1</v>
      </c>
      <c r="CT77" t="s">
        <v>2629</v>
      </c>
      <c r="CU77" t="s">
        <v>2630</v>
      </c>
      <c r="CV77" t="s">
        <v>833</v>
      </c>
      <c r="CW77" t="s">
        <v>834</v>
      </c>
      <c r="CX77" t="s">
        <v>2622</v>
      </c>
      <c r="CY77">
        <v>0</v>
      </c>
      <c r="CZ77">
        <v>0</v>
      </c>
      <c r="DA77" t="s">
        <v>833</v>
      </c>
      <c r="DB77" t="s">
        <v>865</v>
      </c>
      <c r="DC77">
        <v>56387</v>
      </c>
      <c r="DD77">
        <v>3.4666999999999999</v>
      </c>
      <c r="DE77" t="s">
        <v>866</v>
      </c>
      <c r="DG77" t="s">
        <v>867</v>
      </c>
      <c r="DH77" t="s">
        <v>851</v>
      </c>
      <c r="DI77" t="s">
        <v>1266</v>
      </c>
      <c r="DK77" t="s">
        <v>918</v>
      </c>
      <c r="DL77" t="s">
        <v>869</v>
      </c>
      <c r="DM77">
        <v>0</v>
      </c>
      <c r="DN77">
        <v>0</v>
      </c>
      <c r="DO77">
        <v>2</v>
      </c>
      <c r="DP77" t="s">
        <v>870</v>
      </c>
      <c r="DQ77">
        <v>16</v>
      </c>
      <c r="DR77">
        <v>208</v>
      </c>
      <c r="DS77">
        <v>208</v>
      </c>
      <c r="DT77">
        <v>2.85</v>
      </c>
      <c r="DU77">
        <v>4</v>
      </c>
      <c r="DV77">
        <v>1</v>
      </c>
      <c r="DW77">
        <v>2</v>
      </c>
      <c r="DX77" t="s">
        <v>596</v>
      </c>
      <c r="DY77" t="s">
        <v>2622</v>
      </c>
      <c r="DZ77">
        <v>1</v>
      </c>
      <c r="EA77">
        <v>1</v>
      </c>
      <c r="EB77">
        <v>1</v>
      </c>
      <c r="EC77">
        <v>1</v>
      </c>
      <c r="ED77">
        <v>1</v>
      </c>
      <c r="EE77">
        <v>1</v>
      </c>
      <c r="EF77" t="s">
        <v>920</v>
      </c>
      <c r="EG77" t="s">
        <v>595</v>
      </c>
      <c r="EH77" t="s">
        <v>921</v>
      </c>
      <c r="EI77" t="s">
        <v>921</v>
      </c>
      <c r="EJ77" t="s">
        <v>159</v>
      </c>
      <c r="EK77">
        <v>9090</v>
      </c>
      <c r="EL77">
        <v>0</v>
      </c>
      <c r="EM77" t="s">
        <v>873</v>
      </c>
      <c r="EN77">
        <v>0.36670000000000003</v>
      </c>
      <c r="EO77">
        <v>3.4666667000000002</v>
      </c>
      <c r="EP77">
        <v>99991120</v>
      </c>
      <c r="EQ77" t="s">
        <v>874</v>
      </c>
      <c r="ER77" t="s">
        <v>875</v>
      </c>
      <c r="ES77" t="s">
        <v>876</v>
      </c>
      <c r="ET77" t="s">
        <v>877</v>
      </c>
      <c r="EU77" t="s">
        <v>877</v>
      </c>
      <c r="EV77" t="s">
        <v>920</v>
      </c>
      <c r="EX77" t="s">
        <v>836</v>
      </c>
      <c r="EY77" t="s">
        <v>873</v>
      </c>
      <c r="EZ77" t="s">
        <v>1122</v>
      </c>
      <c r="FA77" t="s">
        <v>956</v>
      </c>
      <c r="FB77">
        <v>1</v>
      </c>
      <c r="FC77">
        <v>1</v>
      </c>
      <c r="FD77" s="41">
        <v>46179</v>
      </c>
      <c r="FE77" t="s">
        <v>1315</v>
      </c>
      <c r="FF77">
        <v>4</v>
      </c>
      <c r="FI77">
        <v>0</v>
      </c>
      <c r="FL77">
        <v>0</v>
      </c>
      <c r="FM77" t="s">
        <v>2631</v>
      </c>
      <c r="FN77" t="s">
        <v>2632</v>
      </c>
      <c r="FO77">
        <v>1</v>
      </c>
      <c r="FP77" t="s">
        <v>2633</v>
      </c>
      <c r="FQ77" t="s">
        <v>2634</v>
      </c>
      <c r="FR77">
        <v>1</v>
      </c>
      <c r="FS77" t="s">
        <v>1958</v>
      </c>
      <c r="FT77" t="s">
        <v>2635</v>
      </c>
      <c r="FU77">
        <v>1</v>
      </c>
      <c r="FV77" t="s">
        <v>2636</v>
      </c>
      <c r="FW77" t="s">
        <v>2637</v>
      </c>
      <c r="FX77">
        <v>1</v>
      </c>
      <c r="FY77" t="s">
        <v>890</v>
      </c>
      <c r="FZ77" t="s">
        <v>2638</v>
      </c>
      <c r="GA77" t="s">
        <v>2636</v>
      </c>
      <c r="GB77">
        <v>1</v>
      </c>
      <c r="GD77">
        <v>0</v>
      </c>
      <c r="GF77">
        <v>0</v>
      </c>
      <c r="GG77">
        <v>1</v>
      </c>
      <c r="GH77" t="s">
        <v>892</v>
      </c>
      <c r="GI77" t="s">
        <v>893</v>
      </c>
      <c r="GJ77" t="s">
        <v>2637</v>
      </c>
      <c r="GM77">
        <v>1</v>
      </c>
      <c r="GN77">
        <v>1</v>
      </c>
      <c r="GO77">
        <v>0</v>
      </c>
      <c r="GP77">
        <v>1</v>
      </c>
      <c r="GQ77">
        <v>1</v>
      </c>
      <c r="GR77">
        <v>0</v>
      </c>
      <c r="GS77">
        <v>1</v>
      </c>
      <c r="GT77">
        <v>0</v>
      </c>
      <c r="GU77">
        <v>1</v>
      </c>
      <c r="GV77">
        <v>0</v>
      </c>
      <c r="GW77">
        <v>1</v>
      </c>
      <c r="GX77">
        <v>0</v>
      </c>
      <c r="GY77">
        <v>1</v>
      </c>
      <c r="GZ77">
        <v>0</v>
      </c>
      <c r="HA77" t="s">
        <v>325</v>
      </c>
      <c r="HB77" t="s">
        <v>894</v>
      </c>
      <c r="HC77" t="s">
        <v>895</v>
      </c>
      <c r="HD77" t="s">
        <v>845</v>
      </c>
      <c r="HE77" t="s">
        <v>836</v>
      </c>
      <c r="HF77" t="s">
        <v>873</v>
      </c>
      <c r="HG77" t="s">
        <v>894</v>
      </c>
      <c r="HH77" t="s">
        <v>895</v>
      </c>
      <c r="HI77" t="s">
        <v>845</v>
      </c>
      <c r="HJ77" t="s">
        <v>836</v>
      </c>
      <c r="HK77" t="s">
        <v>873</v>
      </c>
      <c r="HL77" t="s">
        <v>1943</v>
      </c>
      <c r="HM77" t="s">
        <v>854</v>
      </c>
      <c r="HN77">
        <v>36805</v>
      </c>
      <c r="HP77" t="s">
        <v>159</v>
      </c>
      <c r="HQ77" t="s">
        <v>896</v>
      </c>
      <c r="HR77" t="s">
        <v>896</v>
      </c>
      <c r="HS77" t="s">
        <v>896</v>
      </c>
    </row>
    <row r="78" spans="1:227" x14ac:dyDescent="0.2">
      <c r="A78">
        <v>8702</v>
      </c>
      <c r="B78">
        <v>7602702923</v>
      </c>
      <c r="C78" t="s">
        <v>829</v>
      </c>
      <c r="D78" t="s">
        <v>830</v>
      </c>
      <c r="E78" t="s">
        <v>831</v>
      </c>
      <c r="F78">
        <v>0</v>
      </c>
      <c r="G78" t="s">
        <v>2639</v>
      </c>
      <c r="H78" t="s">
        <v>2639</v>
      </c>
      <c r="I78">
        <v>0</v>
      </c>
      <c r="J78" t="s">
        <v>833</v>
      </c>
      <c r="K78" t="s">
        <v>834</v>
      </c>
      <c r="L78">
        <v>152832719</v>
      </c>
      <c r="M78" t="s">
        <v>2640</v>
      </c>
      <c r="N78" t="s">
        <v>836</v>
      </c>
      <c r="O78" t="s">
        <v>837</v>
      </c>
      <c r="P78" t="s">
        <v>838</v>
      </c>
      <c r="Q78" t="s">
        <v>1593</v>
      </c>
      <c r="R78" t="s">
        <v>2641</v>
      </c>
      <c r="S78" t="s">
        <v>2642</v>
      </c>
      <c r="T78">
        <v>41477068982</v>
      </c>
      <c r="V78" t="s">
        <v>189</v>
      </c>
      <c r="W78" s="41">
        <v>46049</v>
      </c>
      <c r="X78" t="s">
        <v>2643</v>
      </c>
      <c r="Y78" t="s">
        <v>2644</v>
      </c>
      <c r="Z78">
        <v>1</v>
      </c>
      <c r="AA78">
        <v>0</v>
      </c>
      <c r="AB78" t="s">
        <v>845</v>
      </c>
      <c r="AC78" t="s">
        <v>846</v>
      </c>
      <c r="AD78" t="s">
        <v>847</v>
      </c>
      <c r="AE78" t="s">
        <v>848</v>
      </c>
      <c r="AF78">
        <v>1</v>
      </c>
      <c r="AG78">
        <v>452210</v>
      </c>
      <c r="AH78" t="s">
        <v>849</v>
      </c>
      <c r="AI78" t="s">
        <v>850</v>
      </c>
      <c r="AJ78" t="s">
        <v>851</v>
      </c>
      <c r="AK78" t="s">
        <v>379</v>
      </c>
      <c r="AL78" t="s">
        <v>2645</v>
      </c>
      <c r="AM78" t="s">
        <v>2646</v>
      </c>
      <c r="AN78" t="s">
        <v>854</v>
      </c>
      <c r="AO78">
        <v>36805</v>
      </c>
      <c r="AP78">
        <v>635</v>
      </c>
      <c r="AQ78" t="s">
        <v>855</v>
      </c>
      <c r="AR78">
        <v>66308309</v>
      </c>
      <c r="AS78" t="s">
        <v>856</v>
      </c>
      <c r="AU78" t="s">
        <v>2647</v>
      </c>
      <c r="AV78" t="s">
        <v>2648</v>
      </c>
      <c r="AX78" t="s">
        <v>913</v>
      </c>
      <c r="AY78" t="s">
        <v>861</v>
      </c>
      <c r="AZ78" t="s">
        <v>379</v>
      </c>
      <c r="BA78" t="s">
        <v>380</v>
      </c>
      <c r="BB78">
        <v>0</v>
      </c>
      <c r="BC78">
        <v>0</v>
      </c>
      <c r="BD78">
        <v>0</v>
      </c>
      <c r="BE78" t="s">
        <v>2640</v>
      </c>
      <c r="BF78">
        <v>0</v>
      </c>
      <c r="BG78">
        <v>0</v>
      </c>
      <c r="BH78" t="s">
        <v>862</v>
      </c>
      <c r="BI78">
        <v>0</v>
      </c>
      <c r="BJ78" t="s">
        <v>862</v>
      </c>
      <c r="BK78">
        <v>1</v>
      </c>
      <c r="BL78">
        <v>1</v>
      </c>
      <c r="BM78">
        <v>0</v>
      </c>
      <c r="BN78" t="s">
        <v>596</v>
      </c>
      <c r="BO78">
        <v>152832719</v>
      </c>
      <c r="BP78" t="s">
        <v>2639</v>
      </c>
      <c r="BR78">
        <v>42791757</v>
      </c>
      <c r="BT78">
        <v>2</v>
      </c>
      <c r="BU78" t="s">
        <v>1367</v>
      </c>
      <c r="CE78">
        <v>1</v>
      </c>
      <c r="CI78">
        <v>11</v>
      </c>
      <c r="CJ78" t="s">
        <v>94</v>
      </c>
      <c r="CM78">
        <v>4010</v>
      </c>
      <c r="CO78">
        <v>7360</v>
      </c>
      <c r="CP78">
        <v>0.61670000000000003</v>
      </c>
      <c r="CQ78">
        <v>0.61670000000000003</v>
      </c>
      <c r="CR78">
        <v>0.55000000000000004</v>
      </c>
      <c r="CS78">
        <v>2</v>
      </c>
      <c r="CT78" t="s">
        <v>2648</v>
      </c>
      <c r="CU78" t="s">
        <v>2647</v>
      </c>
      <c r="CV78" t="s">
        <v>833</v>
      </c>
      <c r="CW78" t="s">
        <v>834</v>
      </c>
      <c r="CX78" t="s">
        <v>2640</v>
      </c>
      <c r="CY78">
        <v>0</v>
      </c>
      <c r="CZ78">
        <v>0</v>
      </c>
      <c r="DA78" t="s">
        <v>833</v>
      </c>
      <c r="DB78" t="s">
        <v>865</v>
      </c>
      <c r="DC78">
        <v>60647</v>
      </c>
      <c r="DD78">
        <v>2.75</v>
      </c>
      <c r="DE78" t="s">
        <v>866</v>
      </c>
      <c r="DG78" t="s">
        <v>867</v>
      </c>
      <c r="DH78" t="s">
        <v>851</v>
      </c>
      <c r="DI78" t="s">
        <v>2105</v>
      </c>
      <c r="DK78" t="s">
        <v>918</v>
      </c>
      <c r="DL78" t="s">
        <v>869</v>
      </c>
      <c r="DM78">
        <v>0</v>
      </c>
      <c r="DN78">
        <v>0</v>
      </c>
      <c r="DO78">
        <v>1</v>
      </c>
      <c r="DP78" t="s">
        <v>985</v>
      </c>
      <c r="DQ78">
        <v>16</v>
      </c>
      <c r="DR78">
        <v>165</v>
      </c>
      <c r="DS78">
        <v>165</v>
      </c>
      <c r="DT78">
        <v>2.1333000000000002</v>
      </c>
      <c r="DU78">
        <v>4</v>
      </c>
      <c r="DV78">
        <v>1</v>
      </c>
      <c r="DW78">
        <v>2</v>
      </c>
      <c r="DX78" t="s">
        <v>596</v>
      </c>
      <c r="DY78" t="s">
        <v>2640</v>
      </c>
      <c r="DZ78">
        <v>1</v>
      </c>
      <c r="EA78">
        <v>1</v>
      </c>
      <c r="EB78">
        <v>1</v>
      </c>
      <c r="EC78">
        <v>1</v>
      </c>
      <c r="ED78">
        <v>1</v>
      </c>
      <c r="EE78">
        <v>1</v>
      </c>
      <c r="EF78" t="s">
        <v>871</v>
      </c>
      <c r="EG78" t="s">
        <v>595</v>
      </c>
      <c r="EH78" t="s">
        <v>921</v>
      </c>
      <c r="EI78" t="s">
        <v>921</v>
      </c>
      <c r="EJ78" t="s">
        <v>181</v>
      </c>
      <c r="EK78">
        <v>9090</v>
      </c>
      <c r="EL78">
        <v>0</v>
      </c>
      <c r="EM78" t="s">
        <v>1436</v>
      </c>
      <c r="EN78">
        <v>0.55000000000000004</v>
      </c>
      <c r="EO78">
        <v>2.75</v>
      </c>
      <c r="EP78">
        <v>99991120</v>
      </c>
      <c r="EQ78" t="s">
        <v>874</v>
      </c>
      <c r="ER78" t="s">
        <v>875</v>
      </c>
      <c r="ES78" t="s">
        <v>876</v>
      </c>
      <c r="ET78" t="s">
        <v>877</v>
      </c>
      <c r="EU78" t="s">
        <v>877</v>
      </c>
      <c r="EV78" t="s">
        <v>871</v>
      </c>
      <c r="EX78" t="s">
        <v>836</v>
      </c>
      <c r="EY78" t="s">
        <v>873</v>
      </c>
      <c r="EZ78" t="s">
        <v>1437</v>
      </c>
      <c r="FA78" t="s">
        <v>956</v>
      </c>
      <c r="FB78">
        <v>1</v>
      </c>
      <c r="FC78">
        <v>1</v>
      </c>
      <c r="FD78" s="41">
        <v>46053</v>
      </c>
      <c r="FE78" t="s">
        <v>1370</v>
      </c>
      <c r="FF78">
        <v>8</v>
      </c>
      <c r="FG78" t="s">
        <v>1445</v>
      </c>
      <c r="FH78" t="s">
        <v>2649</v>
      </c>
      <c r="FI78">
        <v>1</v>
      </c>
      <c r="FJ78" t="s">
        <v>2650</v>
      </c>
      <c r="FK78" t="s">
        <v>2651</v>
      </c>
      <c r="FL78">
        <v>1</v>
      </c>
      <c r="FM78" t="s">
        <v>2652</v>
      </c>
      <c r="FN78" t="s">
        <v>2653</v>
      </c>
      <c r="FO78">
        <v>1</v>
      </c>
      <c r="FP78" t="s">
        <v>2654</v>
      </c>
      <c r="FQ78" t="s">
        <v>2647</v>
      </c>
      <c r="FR78">
        <v>1</v>
      </c>
      <c r="FS78" t="s">
        <v>2655</v>
      </c>
      <c r="FT78" t="s">
        <v>2656</v>
      </c>
      <c r="FU78">
        <v>1</v>
      </c>
      <c r="FV78" t="s">
        <v>2657</v>
      </c>
      <c r="FW78" t="s">
        <v>2658</v>
      </c>
      <c r="FX78">
        <v>1</v>
      </c>
      <c r="FY78" t="s">
        <v>890</v>
      </c>
      <c r="FZ78" t="s">
        <v>2659</v>
      </c>
      <c r="GA78" t="s">
        <v>2650</v>
      </c>
      <c r="GB78">
        <v>1</v>
      </c>
      <c r="GD78">
        <v>0</v>
      </c>
      <c r="GF78">
        <v>0</v>
      </c>
      <c r="GG78">
        <v>1</v>
      </c>
      <c r="GH78" t="s">
        <v>892</v>
      </c>
      <c r="GI78" t="s">
        <v>893</v>
      </c>
      <c r="GJ78" t="s">
        <v>2651</v>
      </c>
      <c r="GM78">
        <v>1</v>
      </c>
      <c r="GN78">
        <v>1</v>
      </c>
      <c r="GO78">
        <v>0</v>
      </c>
      <c r="GP78">
        <v>1</v>
      </c>
      <c r="GQ78">
        <v>1</v>
      </c>
      <c r="GR78">
        <v>0</v>
      </c>
      <c r="GS78">
        <v>1</v>
      </c>
      <c r="GT78">
        <v>0</v>
      </c>
      <c r="GU78">
        <v>1</v>
      </c>
      <c r="GV78">
        <v>0</v>
      </c>
      <c r="GW78">
        <v>1</v>
      </c>
      <c r="GX78">
        <v>0</v>
      </c>
      <c r="GY78">
        <v>1</v>
      </c>
      <c r="GZ78">
        <v>0</v>
      </c>
      <c r="HA78" t="s">
        <v>379</v>
      </c>
      <c r="HB78" t="s">
        <v>894</v>
      </c>
      <c r="HC78" t="s">
        <v>895</v>
      </c>
      <c r="HD78" t="s">
        <v>845</v>
      </c>
      <c r="HE78" t="s">
        <v>836</v>
      </c>
      <c r="HF78" t="s">
        <v>873</v>
      </c>
      <c r="HG78" t="s">
        <v>894</v>
      </c>
      <c r="HH78" t="s">
        <v>895</v>
      </c>
      <c r="HI78" t="s">
        <v>845</v>
      </c>
      <c r="HJ78" t="s">
        <v>836</v>
      </c>
      <c r="HK78" t="s">
        <v>1436</v>
      </c>
      <c r="HL78" t="s">
        <v>189</v>
      </c>
      <c r="HM78" t="s">
        <v>854</v>
      </c>
      <c r="HN78">
        <v>36805</v>
      </c>
      <c r="HP78" t="s">
        <v>181</v>
      </c>
      <c r="HQ78" t="s">
        <v>896</v>
      </c>
      <c r="HR78" t="s">
        <v>896</v>
      </c>
      <c r="HS78" t="s">
        <v>896</v>
      </c>
    </row>
    <row r="79" spans="1:227" x14ac:dyDescent="0.2">
      <c r="A79">
        <v>8702</v>
      </c>
      <c r="B79">
        <v>7606400037</v>
      </c>
      <c r="C79">
        <v>34</v>
      </c>
      <c r="D79" t="s">
        <v>996</v>
      </c>
      <c r="E79" t="s">
        <v>831</v>
      </c>
      <c r="F79">
        <v>4</v>
      </c>
      <c r="G79" t="s">
        <v>2660</v>
      </c>
      <c r="H79" t="s">
        <v>2660</v>
      </c>
      <c r="I79">
        <v>0</v>
      </c>
      <c r="J79" t="s">
        <v>833</v>
      </c>
      <c r="K79" t="s">
        <v>834</v>
      </c>
      <c r="L79">
        <v>156046177</v>
      </c>
      <c r="M79" t="s">
        <v>1729</v>
      </c>
      <c r="N79" t="s">
        <v>836</v>
      </c>
      <c r="O79" t="s">
        <v>837</v>
      </c>
      <c r="P79" t="s">
        <v>999</v>
      </c>
      <c r="Q79" t="s">
        <v>2661</v>
      </c>
      <c r="R79" t="s">
        <v>2662</v>
      </c>
      <c r="S79" t="s">
        <v>2663</v>
      </c>
      <c r="T79">
        <v>41477009259</v>
      </c>
      <c r="V79" t="s">
        <v>1732</v>
      </c>
      <c r="W79" s="41">
        <v>46087</v>
      </c>
      <c r="X79" t="s">
        <v>2664</v>
      </c>
      <c r="Y79" t="s">
        <v>2665</v>
      </c>
      <c r="Z79" t="s">
        <v>2666</v>
      </c>
      <c r="AA79">
        <v>0</v>
      </c>
      <c r="AB79" t="s">
        <v>845</v>
      </c>
      <c r="AC79" t="s">
        <v>846</v>
      </c>
      <c r="AD79" t="s">
        <v>1113</v>
      </c>
      <c r="AE79" t="s">
        <v>1114</v>
      </c>
      <c r="AF79">
        <v>1</v>
      </c>
      <c r="AG79">
        <v>452210</v>
      </c>
      <c r="AH79" t="s">
        <v>849</v>
      </c>
      <c r="AI79" t="s">
        <v>850</v>
      </c>
      <c r="AJ79" t="s">
        <v>851</v>
      </c>
      <c r="AK79" t="s">
        <v>257</v>
      </c>
      <c r="AL79" t="s">
        <v>2012</v>
      </c>
      <c r="AM79" t="s">
        <v>1736</v>
      </c>
      <c r="AN79" t="s">
        <v>854</v>
      </c>
      <c r="AO79">
        <v>36805</v>
      </c>
      <c r="AP79">
        <v>494</v>
      </c>
      <c r="AQ79" t="s">
        <v>855</v>
      </c>
      <c r="AR79">
        <v>66363146</v>
      </c>
      <c r="AS79" t="s">
        <v>856</v>
      </c>
      <c r="AU79" t="s">
        <v>2667</v>
      </c>
      <c r="AV79" t="s">
        <v>2668</v>
      </c>
      <c r="AW79" t="s">
        <v>2669</v>
      </c>
      <c r="AX79" t="s">
        <v>2670</v>
      </c>
      <c r="AY79" t="s">
        <v>861</v>
      </c>
      <c r="AZ79" t="s">
        <v>257</v>
      </c>
      <c r="BA79" t="s">
        <v>258</v>
      </c>
      <c r="BB79">
        <v>1</v>
      </c>
      <c r="BC79">
        <v>0</v>
      </c>
      <c r="BD79">
        <v>0</v>
      </c>
      <c r="BE79" t="s">
        <v>1729</v>
      </c>
      <c r="BF79">
        <v>0</v>
      </c>
      <c r="BG79">
        <v>0</v>
      </c>
      <c r="BH79" t="s">
        <v>862</v>
      </c>
      <c r="BI79">
        <v>0</v>
      </c>
      <c r="BJ79" t="s">
        <v>862</v>
      </c>
      <c r="BK79">
        <v>1</v>
      </c>
      <c r="BL79">
        <v>0</v>
      </c>
      <c r="BM79">
        <v>0</v>
      </c>
      <c r="BN79" t="s">
        <v>596</v>
      </c>
      <c r="BO79">
        <v>156046177</v>
      </c>
      <c r="BP79" t="s">
        <v>2660</v>
      </c>
      <c r="BR79">
        <v>42789059</v>
      </c>
      <c r="BT79">
        <v>1</v>
      </c>
      <c r="BU79" t="s">
        <v>1715</v>
      </c>
      <c r="CI79">
        <v>11</v>
      </c>
      <c r="CJ79" t="s">
        <v>94</v>
      </c>
      <c r="CM79">
        <v>4010</v>
      </c>
      <c r="CO79">
        <v>7360</v>
      </c>
      <c r="CP79">
        <v>3.8666999999999998</v>
      </c>
      <c r="CQ79">
        <v>3.8666999999999998</v>
      </c>
      <c r="CR79">
        <v>3.8833000000000002</v>
      </c>
      <c r="CS79">
        <v>332</v>
      </c>
      <c r="CT79" t="s">
        <v>2671</v>
      </c>
      <c r="CU79" t="s">
        <v>2672</v>
      </c>
      <c r="CV79" t="s">
        <v>833</v>
      </c>
      <c r="CW79" t="s">
        <v>834</v>
      </c>
      <c r="CX79" t="s">
        <v>1729</v>
      </c>
      <c r="CY79">
        <v>1</v>
      </c>
      <c r="CZ79">
        <v>1</v>
      </c>
      <c r="DA79" t="s">
        <v>833</v>
      </c>
      <c r="DB79" t="s">
        <v>865</v>
      </c>
      <c r="DC79">
        <v>63123</v>
      </c>
      <c r="DD79">
        <v>14.75</v>
      </c>
      <c r="DE79" t="s">
        <v>866</v>
      </c>
      <c r="DG79" t="s">
        <v>867</v>
      </c>
      <c r="DH79" t="s">
        <v>851</v>
      </c>
      <c r="DI79" t="s">
        <v>984</v>
      </c>
      <c r="DK79" t="s">
        <v>918</v>
      </c>
      <c r="DL79" t="s">
        <v>869</v>
      </c>
      <c r="DM79">
        <v>0</v>
      </c>
      <c r="DN79">
        <v>0</v>
      </c>
      <c r="DO79">
        <v>11</v>
      </c>
      <c r="DP79" t="s">
        <v>1010</v>
      </c>
      <c r="DQ79">
        <v>0</v>
      </c>
      <c r="DR79">
        <v>885</v>
      </c>
      <c r="DS79">
        <v>1605</v>
      </c>
      <c r="DT79">
        <v>3.8833000000000002</v>
      </c>
      <c r="DU79">
        <v>0</v>
      </c>
      <c r="DV79">
        <v>1</v>
      </c>
      <c r="DW79">
        <v>1</v>
      </c>
      <c r="DX79" t="s">
        <v>594</v>
      </c>
      <c r="DY79" t="s">
        <v>1729</v>
      </c>
      <c r="DZ79">
        <v>1</v>
      </c>
      <c r="EA79">
        <v>1</v>
      </c>
      <c r="EB79">
        <v>1</v>
      </c>
      <c r="EC79">
        <v>1</v>
      </c>
      <c r="ED79">
        <v>1</v>
      </c>
      <c r="EE79">
        <v>1</v>
      </c>
      <c r="EF79" t="s">
        <v>920</v>
      </c>
      <c r="EG79" t="s">
        <v>595</v>
      </c>
      <c r="EH79" t="s">
        <v>1695</v>
      </c>
      <c r="EI79" t="s">
        <v>1695</v>
      </c>
      <c r="EJ79" t="s">
        <v>111</v>
      </c>
      <c r="EK79">
        <v>9090</v>
      </c>
      <c r="EL79">
        <v>1</v>
      </c>
      <c r="EM79" t="s">
        <v>1037</v>
      </c>
      <c r="EN79">
        <v>3.8833000000000002</v>
      </c>
      <c r="EO79">
        <v>26.75</v>
      </c>
      <c r="EP79">
        <v>99991120</v>
      </c>
      <c r="EQ79" t="s">
        <v>874</v>
      </c>
      <c r="ER79" t="s">
        <v>875</v>
      </c>
      <c r="ES79" t="s">
        <v>876</v>
      </c>
      <c r="ET79" t="s">
        <v>877</v>
      </c>
      <c r="EU79" t="s">
        <v>877</v>
      </c>
      <c r="EV79" t="s">
        <v>920</v>
      </c>
      <c r="EX79" t="s">
        <v>900</v>
      </c>
      <c r="EY79" t="s">
        <v>923</v>
      </c>
      <c r="EZ79" t="s">
        <v>1038</v>
      </c>
      <c r="FA79" t="s">
        <v>925</v>
      </c>
      <c r="FB79">
        <v>1</v>
      </c>
      <c r="FC79">
        <v>2</v>
      </c>
      <c r="FD79" s="41">
        <v>46088</v>
      </c>
      <c r="FE79" t="s">
        <v>1719</v>
      </c>
      <c r="FF79">
        <v>10</v>
      </c>
      <c r="FG79" t="s">
        <v>2673</v>
      </c>
      <c r="FH79" t="s">
        <v>2674</v>
      </c>
      <c r="FI79">
        <v>1</v>
      </c>
      <c r="FJ79" t="s">
        <v>2675</v>
      </c>
      <c r="FK79" t="s">
        <v>2674</v>
      </c>
      <c r="FL79">
        <v>1</v>
      </c>
      <c r="FM79" t="s">
        <v>2676</v>
      </c>
      <c r="FN79" t="s">
        <v>2677</v>
      </c>
      <c r="FO79">
        <v>1</v>
      </c>
      <c r="FP79" t="s">
        <v>2678</v>
      </c>
      <c r="FQ79" t="s">
        <v>2672</v>
      </c>
      <c r="FR79">
        <v>1</v>
      </c>
      <c r="FS79" t="s">
        <v>1100</v>
      </c>
      <c r="FT79" t="s">
        <v>2679</v>
      </c>
      <c r="FU79">
        <v>1</v>
      </c>
      <c r="FV79" t="s">
        <v>2680</v>
      </c>
      <c r="FW79" t="s">
        <v>2681</v>
      </c>
      <c r="FX79">
        <v>1</v>
      </c>
      <c r="FY79" t="s">
        <v>890</v>
      </c>
      <c r="FZ79" t="s">
        <v>2682</v>
      </c>
      <c r="GA79" t="s">
        <v>2675</v>
      </c>
      <c r="GB79">
        <v>1</v>
      </c>
      <c r="GD79">
        <v>0</v>
      </c>
      <c r="GF79">
        <v>0</v>
      </c>
      <c r="GG79">
        <v>1</v>
      </c>
      <c r="GH79" t="s">
        <v>892</v>
      </c>
      <c r="GI79" t="s">
        <v>893</v>
      </c>
      <c r="GJ79" t="s">
        <v>2674</v>
      </c>
      <c r="GM79">
        <v>1</v>
      </c>
      <c r="GN79">
        <v>0</v>
      </c>
      <c r="GO79">
        <v>0</v>
      </c>
      <c r="GP79">
        <v>1</v>
      </c>
      <c r="GQ79">
        <v>1</v>
      </c>
      <c r="GR79">
        <v>0</v>
      </c>
      <c r="GS79">
        <v>1</v>
      </c>
      <c r="GT79">
        <v>0</v>
      </c>
      <c r="GU79">
        <v>1</v>
      </c>
      <c r="GV79">
        <v>0</v>
      </c>
      <c r="GW79">
        <v>1</v>
      </c>
      <c r="GX79">
        <v>0</v>
      </c>
      <c r="GY79">
        <v>1</v>
      </c>
      <c r="GZ79">
        <v>0</v>
      </c>
      <c r="HA79" t="s">
        <v>257</v>
      </c>
      <c r="HB79" t="s">
        <v>894</v>
      </c>
      <c r="HC79" t="s">
        <v>895</v>
      </c>
      <c r="HD79" t="s">
        <v>845</v>
      </c>
      <c r="HE79" t="s">
        <v>836</v>
      </c>
      <c r="HF79" t="s">
        <v>1051</v>
      </c>
      <c r="HG79" t="s">
        <v>894</v>
      </c>
      <c r="HH79" t="s">
        <v>895</v>
      </c>
      <c r="HI79" t="s">
        <v>845</v>
      </c>
      <c r="HJ79" t="s">
        <v>836</v>
      </c>
      <c r="HK79" t="s">
        <v>1037</v>
      </c>
      <c r="HL79" t="s">
        <v>1732</v>
      </c>
      <c r="HM79" t="s">
        <v>854</v>
      </c>
      <c r="HN79">
        <v>36805</v>
      </c>
      <c r="HO79">
        <v>1</v>
      </c>
      <c r="HP79" t="s">
        <v>111</v>
      </c>
      <c r="HQ79" t="s">
        <v>896</v>
      </c>
      <c r="HR79" t="s">
        <v>896</v>
      </c>
      <c r="HS79" t="s">
        <v>896</v>
      </c>
    </row>
    <row r="80" spans="1:227" x14ac:dyDescent="0.2">
      <c r="A80">
        <v>8702</v>
      </c>
      <c r="B80">
        <v>7606609442</v>
      </c>
      <c r="C80">
        <v>34</v>
      </c>
      <c r="D80" t="s">
        <v>996</v>
      </c>
      <c r="E80" t="s">
        <v>897</v>
      </c>
      <c r="F80">
        <v>1</v>
      </c>
      <c r="G80" t="s">
        <v>2683</v>
      </c>
      <c r="H80" t="s">
        <v>2683</v>
      </c>
      <c r="I80">
        <v>0</v>
      </c>
      <c r="J80" t="s">
        <v>833</v>
      </c>
      <c r="K80" t="s">
        <v>834</v>
      </c>
      <c r="L80">
        <v>152946723</v>
      </c>
      <c r="M80" t="s">
        <v>2684</v>
      </c>
      <c r="N80" t="s">
        <v>900</v>
      </c>
      <c r="O80" t="s">
        <v>837</v>
      </c>
      <c r="P80" t="s">
        <v>999</v>
      </c>
      <c r="Q80" t="s">
        <v>2459</v>
      </c>
      <c r="R80" t="s">
        <v>2685</v>
      </c>
      <c r="S80" t="s">
        <v>2686</v>
      </c>
      <c r="T80">
        <v>41477085454</v>
      </c>
      <c r="V80" t="s">
        <v>212</v>
      </c>
      <c r="W80" s="41">
        <v>46089</v>
      </c>
      <c r="X80" t="s">
        <v>2687</v>
      </c>
      <c r="Y80" t="s">
        <v>2688</v>
      </c>
      <c r="AA80">
        <v>0</v>
      </c>
      <c r="AB80" t="s">
        <v>845</v>
      </c>
      <c r="AC80" t="s">
        <v>846</v>
      </c>
      <c r="AD80" t="s">
        <v>1113</v>
      </c>
      <c r="AE80" t="s">
        <v>1114</v>
      </c>
      <c r="AF80">
        <v>1</v>
      </c>
      <c r="AG80">
        <v>452210</v>
      </c>
      <c r="AH80" t="s">
        <v>849</v>
      </c>
      <c r="AI80" t="s">
        <v>850</v>
      </c>
      <c r="AJ80" t="s">
        <v>851</v>
      </c>
      <c r="AK80" t="s">
        <v>281</v>
      </c>
      <c r="AL80" t="s">
        <v>1407</v>
      </c>
      <c r="AM80" t="s">
        <v>2689</v>
      </c>
      <c r="AN80" t="s">
        <v>854</v>
      </c>
      <c r="AO80">
        <v>36805</v>
      </c>
      <c r="AP80">
        <v>649</v>
      </c>
      <c r="AQ80" t="s">
        <v>855</v>
      </c>
      <c r="AR80">
        <v>66365629</v>
      </c>
      <c r="AS80" t="s">
        <v>856</v>
      </c>
      <c r="AU80" t="s">
        <v>2690</v>
      </c>
      <c r="AV80" t="s">
        <v>2691</v>
      </c>
      <c r="AX80" t="s">
        <v>913</v>
      </c>
      <c r="AY80" t="s">
        <v>861</v>
      </c>
      <c r="AZ80" t="s">
        <v>281</v>
      </c>
      <c r="BA80" t="s">
        <v>282</v>
      </c>
      <c r="BB80">
        <v>0</v>
      </c>
      <c r="BC80">
        <v>0</v>
      </c>
      <c r="BD80">
        <v>0</v>
      </c>
      <c r="BE80" t="s">
        <v>2684</v>
      </c>
      <c r="BF80">
        <v>0</v>
      </c>
      <c r="BG80">
        <v>0</v>
      </c>
      <c r="BH80" t="s">
        <v>862</v>
      </c>
      <c r="BI80">
        <v>0</v>
      </c>
      <c r="BJ80" t="s">
        <v>862</v>
      </c>
      <c r="BK80">
        <v>1</v>
      </c>
      <c r="BL80">
        <v>1</v>
      </c>
      <c r="BM80">
        <v>0</v>
      </c>
      <c r="BN80" t="s">
        <v>596</v>
      </c>
      <c r="BO80">
        <v>152946723</v>
      </c>
      <c r="BP80" t="s">
        <v>2683</v>
      </c>
      <c r="BQ80">
        <v>42.323633000000001</v>
      </c>
      <c r="BR80">
        <v>42791782</v>
      </c>
      <c r="BS80">
        <v>-83.469658699999997</v>
      </c>
      <c r="BT80">
        <v>2</v>
      </c>
      <c r="BU80" t="s">
        <v>1715</v>
      </c>
      <c r="CE80">
        <v>1</v>
      </c>
      <c r="CI80">
        <v>11</v>
      </c>
      <c r="CJ80" t="s">
        <v>94</v>
      </c>
      <c r="CM80">
        <v>4010</v>
      </c>
      <c r="CO80">
        <v>7360</v>
      </c>
      <c r="CP80">
        <v>0.61670000000000003</v>
      </c>
      <c r="CQ80">
        <v>0.61670000000000003</v>
      </c>
      <c r="CR80">
        <v>0.35</v>
      </c>
      <c r="CS80">
        <v>32</v>
      </c>
      <c r="CT80" t="s">
        <v>2691</v>
      </c>
      <c r="CU80" t="s">
        <v>2690</v>
      </c>
      <c r="CV80" t="s">
        <v>833</v>
      </c>
      <c r="CW80" t="s">
        <v>834</v>
      </c>
      <c r="CX80" t="s">
        <v>2684</v>
      </c>
      <c r="CY80">
        <v>0</v>
      </c>
      <c r="CZ80">
        <v>0</v>
      </c>
      <c r="DA80" t="s">
        <v>833</v>
      </c>
      <c r="DB80" t="s">
        <v>865</v>
      </c>
      <c r="DC80">
        <v>48187</v>
      </c>
      <c r="DD80">
        <v>4.05</v>
      </c>
      <c r="DE80" t="s">
        <v>866</v>
      </c>
      <c r="DG80" t="s">
        <v>867</v>
      </c>
      <c r="DH80" t="s">
        <v>851</v>
      </c>
      <c r="DI80" t="s">
        <v>2692</v>
      </c>
      <c r="DK80" t="s">
        <v>918</v>
      </c>
      <c r="DL80" t="s">
        <v>869</v>
      </c>
      <c r="DM80">
        <v>0</v>
      </c>
      <c r="DN80">
        <v>0</v>
      </c>
      <c r="DO80">
        <v>3</v>
      </c>
      <c r="DP80" t="s">
        <v>919</v>
      </c>
      <c r="DQ80">
        <v>0</v>
      </c>
      <c r="DR80">
        <v>243</v>
      </c>
      <c r="DS80">
        <v>870</v>
      </c>
      <c r="DT80">
        <v>4.05</v>
      </c>
      <c r="DU80">
        <v>0</v>
      </c>
      <c r="DV80">
        <v>1</v>
      </c>
      <c r="DW80">
        <v>2</v>
      </c>
      <c r="DX80" t="s">
        <v>596</v>
      </c>
      <c r="DY80" t="s">
        <v>2684</v>
      </c>
      <c r="DZ80">
        <v>1</v>
      </c>
      <c r="EA80">
        <v>1</v>
      </c>
      <c r="EB80">
        <v>1</v>
      </c>
      <c r="EC80">
        <v>1</v>
      </c>
      <c r="ED80">
        <v>1</v>
      </c>
      <c r="EE80">
        <v>1</v>
      </c>
      <c r="EF80" t="s">
        <v>920</v>
      </c>
      <c r="EG80" t="s">
        <v>595</v>
      </c>
      <c r="EH80" t="s">
        <v>921</v>
      </c>
      <c r="EI80" t="s">
        <v>921</v>
      </c>
      <c r="EJ80" t="s">
        <v>178</v>
      </c>
      <c r="EK80">
        <v>9090</v>
      </c>
      <c r="EL80">
        <v>0</v>
      </c>
      <c r="EM80" t="s">
        <v>952</v>
      </c>
      <c r="EN80">
        <v>0.35</v>
      </c>
      <c r="EO80">
        <v>14.5</v>
      </c>
      <c r="EP80">
        <v>99991120</v>
      </c>
      <c r="EQ80" t="s">
        <v>874</v>
      </c>
      <c r="ER80" t="s">
        <v>875</v>
      </c>
      <c r="ES80" t="s">
        <v>876</v>
      </c>
      <c r="ET80" t="s">
        <v>877</v>
      </c>
      <c r="EU80" t="s">
        <v>877</v>
      </c>
      <c r="EV80" t="s">
        <v>920</v>
      </c>
      <c r="EX80" t="s">
        <v>953</v>
      </c>
      <c r="EY80" t="s">
        <v>954</v>
      </c>
      <c r="EZ80" t="s">
        <v>955</v>
      </c>
      <c r="FA80" t="s">
        <v>956</v>
      </c>
      <c r="FB80">
        <v>1</v>
      </c>
      <c r="FC80">
        <v>1</v>
      </c>
      <c r="FD80" s="41">
        <v>46095</v>
      </c>
      <c r="FE80" t="s">
        <v>1719</v>
      </c>
      <c r="FF80">
        <v>9</v>
      </c>
      <c r="FG80" t="s">
        <v>1417</v>
      </c>
      <c r="FH80" t="s">
        <v>2693</v>
      </c>
      <c r="FI80">
        <v>1</v>
      </c>
      <c r="FJ80" t="s">
        <v>2694</v>
      </c>
      <c r="FK80" t="s">
        <v>2695</v>
      </c>
      <c r="FL80">
        <v>1</v>
      </c>
      <c r="FM80" t="s">
        <v>2696</v>
      </c>
      <c r="FN80" t="s">
        <v>2697</v>
      </c>
      <c r="FO80">
        <v>1</v>
      </c>
      <c r="FP80" t="s">
        <v>2698</v>
      </c>
      <c r="FQ80" t="s">
        <v>2699</v>
      </c>
      <c r="FR80">
        <v>1</v>
      </c>
      <c r="FS80" t="s">
        <v>2196</v>
      </c>
      <c r="FT80" t="s">
        <v>2700</v>
      </c>
      <c r="FU80">
        <v>1</v>
      </c>
      <c r="FV80" t="s">
        <v>2701</v>
      </c>
      <c r="FW80" t="s">
        <v>2702</v>
      </c>
      <c r="FX80">
        <v>1</v>
      </c>
      <c r="FY80" t="s">
        <v>890</v>
      </c>
      <c r="FZ80" t="s">
        <v>2703</v>
      </c>
      <c r="GA80" t="s">
        <v>2694</v>
      </c>
      <c r="GB80">
        <v>1</v>
      </c>
      <c r="GD80">
        <v>0</v>
      </c>
      <c r="GF80">
        <v>0</v>
      </c>
      <c r="GG80">
        <v>1</v>
      </c>
      <c r="GH80" t="s">
        <v>892</v>
      </c>
      <c r="GI80" t="s">
        <v>893</v>
      </c>
      <c r="GJ80" t="s">
        <v>2695</v>
      </c>
      <c r="GM80">
        <v>1</v>
      </c>
      <c r="GN80">
        <v>1</v>
      </c>
      <c r="GO80">
        <v>0</v>
      </c>
      <c r="GP80">
        <v>1</v>
      </c>
      <c r="GQ80">
        <v>1</v>
      </c>
      <c r="GR80">
        <v>0</v>
      </c>
      <c r="GS80">
        <v>1</v>
      </c>
      <c r="GT80">
        <v>0</v>
      </c>
      <c r="GU80">
        <v>1</v>
      </c>
      <c r="GV80">
        <v>0</v>
      </c>
      <c r="GW80">
        <v>1</v>
      </c>
      <c r="GX80">
        <v>0</v>
      </c>
      <c r="GY80">
        <v>1</v>
      </c>
      <c r="GZ80">
        <v>0</v>
      </c>
      <c r="HA80" t="s">
        <v>281</v>
      </c>
      <c r="HB80" t="s">
        <v>894</v>
      </c>
      <c r="HC80" t="s">
        <v>935</v>
      </c>
      <c r="HD80" t="s">
        <v>845</v>
      </c>
      <c r="HE80" t="s">
        <v>900</v>
      </c>
      <c r="HF80" t="s">
        <v>923</v>
      </c>
      <c r="HG80" t="s">
        <v>894</v>
      </c>
      <c r="HH80" t="s">
        <v>935</v>
      </c>
      <c r="HI80" t="s">
        <v>845</v>
      </c>
      <c r="HJ80" t="s">
        <v>900</v>
      </c>
      <c r="HK80" t="s">
        <v>952</v>
      </c>
      <c r="HL80" t="s">
        <v>212</v>
      </c>
      <c r="HM80" t="s">
        <v>854</v>
      </c>
      <c r="HN80">
        <v>36805</v>
      </c>
      <c r="HP80" t="s">
        <v>178</v>
      </c>
      <c r="HQ80" t="s">
        <v>896</v>
      </c>
      <c r="HR80" t="s">
        <v>896</v>
      </c>
      <c r="HS80" t="s">
        <v>896</v>
      </c>
    </row>
    <row r="81" spans="1:227" x14ac:dyDescent="0.2">
      <c r="A81">
        <v>8702</v>
      </c>
      <c r="B81">
        <v>7535201789</v>
      </c>
      <c r="C81" t="s">
        <v>936</v>
      </c>
      <c r="D81" t="s">
        <v>937</v>
      </c>
      <c r="E81" t="s">
        <v>831</v>
      </c>
      <c r="F81">
        <v>1</v>
      </c>
      <c r="G81" t="s">
        <v>2704</v>
      </c>
      <c r="H81" t="s">
        <v>2704</v>
      </c>
      <c r="I81">
        <v>0</v>
      </c>
      <c r="J81" t="s">
        <v>833</v>
      </c>
      <c r="K81" t="s">
        <v>834</v>
      </c>
      <c r="L81">
        <v>153406451</v>
      </c>
      <c r="M81" t="s">
        <v>1818</v>
      </c>
      <c r="N81" t="s">
        <v>836</v>
      </c>
      <c r="O81" t="s">
        <v>837</v>
      </c>
      <c r="P81" t="s">
        <v>940</v>
      </c>
      <c r="Q81" t="s">
        <v>2404</v>
      </c>
      <c r="R81" t="s">
        <v>2705</v>
      </c>
      <c r="S81" t="s">
        <v>2706</v>
      </c>
      <c r="T81">
        <v>41477088992</v>
      </c>
      <c r="V81" t="s">
        <v>1254</v>
      </c>
      <c r="W81" s="41">
        <v>46009</v>
      </c>
      <c r="X81" t="s">
        <v>2707</v>
      </c>
      <c r="Y81" t="s">
        <v>2708</v>
      </c>
      <c r="AA81">
        <v>0</v>
      </c>
      <c r="AB81" t="s">
        <v>845</v>
      </c>
      <c r="AC81" t="s">
        <v>846</v>
      </c>
      <c r="AD81" t="s">
        <v>847</v>
      </c>
      <c r="AE81" t="s">
        <v>848</v>
      </c>
      <c r="AF81">
        <v>1</v>
      </c>
      <c r="AG81">
        <v>452210</v>
      </c>
      <c r="AH81" t="s">
        <v>849</v>
      </c>
      <c r="AI81" t="s">
        <v>850</v>
      </c>
      <c r="AJ81" t="s">
        <v>851</v>
      </c>
      <c r="AK81" t="s">
        <v>303</v>
      </c>
      <c r="AL81" t="s">
        <v>1115</v>
      </c>
      <c r="AM81" t="s">
        <v>1258</v>
      </c>
      <c r="AN81" t="s">
        <v>854</v>
      </c>
      <c r="AO81">
        <v>36805</v>
      </c>
      <c r="AP81">
        <v>546</v>
      </c>
      <c r="AQ81" t="s">
        <v>855</v>
      </c>
      <c r="AR81">
        <v>66251224</v>
      </c>
      <c r="AS81" t="s">
        <v>856</v>
      </c>
      <c r="AU81" t="s">
        <v>2709</v>
      </c>
      <c r="AV81" t="s">
        <v>2710</v>
      </c>
      <c r="AX81" t="s">
        <v>913</v>
      </c>
      <c r="AY81" t="s">
        <v>861</v>
      </c>
      <c r="AZ81" t="s">
        <v>303</v>
      </c>
      <c r="BA81" t="s">
        <v>304</v>
      </c>
      <c r="BB81">
        <v>0</v>
      </c>
      <c r="BC81">
        <v>0</v>
      </c>
      <c r="BD81">
        <v>0</v>
      </c>
      <c r="BE81" t="s">
        <v>1818</v>
      </c>
      <c r="BF81">
        <v>0</v>
      </c>
      <c r="BG81">
        <v>0</v>
      </c>
      <c r="BH81" t="s">
        <v>862</v>
      </c>
      <c r="BI81">
        <v>0</v>
      </c>
      <c r="BJ81" t="s">
        <v>862</v>
      </c>
      <c r="BK81">
        <v>1</v>
      </c>
      <c r="BL81">
        <v>1</v>
      </c>
      <c r="BM81">
        <v>0</v>
      </c>
      <c r="BN81" t="s">
        <v>596</v>
      </c>
      <c r="BO81">
        <v>153406451</v>
      </c>
      <c r="BP81" t="s">
        <v>2704</v>
      </c>
      <c r="BR81">
        <v>42791462</v>
      </c>
      <c r="BT81">
        <v>0</v>
      </c>
      <c r="CM81">
        <v>4010</v>
      </c>
      <c r="CO81">
        <v>7360</v>
      </c>
      <c r="CP81">
        <v>1.35</v>
      </c>
      <c r="CQ81">
        <v>1.35</v>
      </c>
      <c r="CR81">
        <v>2.1667000000000001</v>
      </c>
      <c r="CS81">
        <v>2</v>
      </c>
      <c r="CT81" t="s">
        <v>2710</v>
      </c>
      <c r="CU81" t="s">
        <v>2709</v>
      </c>
      <c r="CV81" t="s">
        <v>833</v>
      </c>
      <c r="CW81" t="s">
        <v>834</v>
      </c>
      <c r="CX81" t="s">
        <v>1818</v>
      </c>
      <c r="CY81">
        <v>0</v>
      </c>
      <c r="CZ81">
        <v>0</v>
      </c>
      <c r="DA81" t="s">
        <v>833</v>
      </c>
      <c r="DB81" t="s">
        <v>865</v>
      </c>
      <c r="DC81">
        <v>55447</v>
      </c>
      <c r="DD81">
        <v>3.9167000000000001</v>
      </c>
      <c r="DE81" t="s">
        <v>866</v>
      </c>
      <c r="DG81" t="s">
        <v>867</v>
      </c>
      <c r="DH81" t="s">
        <v>851</v>
      </c>
      <c r="DL81" t="s">
        <v>869</v>
      </c>
      <c r="DM81">
        <v>0</v>
      </c>
      <c r="DN81">
        <v>0</v>
      </c>
      <c r="DO81">
        <v>2</v>
      </c>
      <c r="DP81" t="s">
        <v>870</v>
      </c>
      <c r="DQ81">
        <v>16</v>
      </c>
      <c r="DR81">
        <v>235</v>
      </c>
      <c r="DS81">
        <v>261</v>
      </c>
      <c r="DT81">
        <v>3</v>
      </c>
      <c r="DU81">
        <v>4</v>
      </c>
      <c r="DW81">
        <v>2</v>
      </c>
      <c r="DX81" t="s">
        <v>596</v>
      </c>
      <c r="DY81" t="s">
        <v>1818</v>
      </c>
      <c r="DZ81">
        <v>1</v>
      </c>
      <c r="EA81">
        <v>1</v>
      </c>
      <c r="EB81">
        <v>1</v>
      </c>
      <c r="EC81">
        <v>1</v>
      </c>
      <c r="ED81">
        <v>1</v>
      </c>
      <c r="EE81">
        <v>1</v>
      </c>
      <c r="EF81" t="s">
        <v>871</v>
      </c>
      <c r="EG81" t="s">
        <v>595</v>
      </c>
      <c r="EH81" t="s">
        <v>921</v>
      </c>
      <c r="EI81" t="s">
        <v>921</v>
      </c>
      <c r="EJ81" t="s">
        <v>159</v>
      </c>
      <c r="EK81">
        <v>9090</v>
      </c>
      <c r="EL81">
        <v>0</v>
      </c>
      <c r="EM81" t="s">
        <v>873</v>
      </c>
      <c r="EN81">
        <v>2.1667000000000001</v>
      </c>
      <c r="EO81">
        <v>4.3499999999999996</v>
      </c>
      <c r="EP81">
        <v>99991120</v>
      </c>
      <c r="EQ81" t="s">
        <v>874</v>
      </c>
      <c r="ER81" t="s">
        <v>875</v>
      </c>
      <c r="ES81" t="s">
        <v>876</v>
      </c>
      <c r="ET81" t="s">
        <v>877</v>
      </c>
      <c r="EU81" t="s">
        <v>877</v>
      </c>
      <c r="EV81" t="s">
        <v>871</v>
      </c>
      <c r="EX81" t="s">
        <v>836</v>
      </c>
      <c r="EY81" t="s">
        <v>1121</v>
      </c>
      <c r="EZ81" t="s">
        <v>1122</v>
      </c>
      <c r="FA81" t="s">
        <v>956</v>
      </c>
      <c r="FB81">
        <v>1</v>
      </c>
      <c r="FC81">
        <v>1</v>
      </c>
      <c r="FD81" s="41">
        <v>46011</v>
      </c>
      <c r="FE81" t="s">
        <v>957</v>
      </c>
      <c r="FF81">
        <v>8</v>
      </c>
      <c r="FG81" t="s">
        <v>1502</v>
      </c>
      <c r="FH81" t="s">
        <v>2711</v>
      </c>
      <c r="FI81">
        <v>1</v>
      </c>
      <c r="FJ81" t="s">
        <v>2712</v>
      </c>
      <c r="FK81" t="s">
        <v>2713</v>
      </c>
      <c r="FL81">
        <v>1</v>
      </c>
      <c r="FM81" t="s">
        <v>1830</v>
      </c>
      <c r="FN81" t="s">
        <v>2714</v>
      </c>
      <c r="FO81">
        <v>1</v>
      </c>
      <c r="FP81" t="s">
        <v>2715</v>
      </c>
      <c r="FQ81" t="s">
        <v>2716</v>
      </c>
      <c r="FR81">
        <v>1</v>
      </c>
      <c r="FS81" t="s">
        <v>1502</v>
      </c>
      <c r="FT81" t="s">
        <v>2717</v>
      </c>
      <c r="FU81">
        <v>1</v>
      </c>
      <c r="FV81" t="s">
        <v>2718</v>
      </c>
      <c r="FW81" t="s">
        <v>2719</v>
      </c>
      <c r="FX81">
        <v>1</v>
      </c>
      <c r="FY81" t="s">
        <v>890</v>
      </c>
      <c r="FZ81" t="s">
        <v>2720</v>
      </c>
      <c r="GA81" t="s">
        <v>2712</v>
      </c>
      <c r="GB81">
        <v>1</v>
      </c>
      <c r="GD81">
        <v>0</v>
      </c>
      <c r="GF81">
        <v>0</v>
      </c>
      <c r="GG81">
        <v>1</v>
      </c>
      <c r="GH81" t="s">
        <v>892</v>
      </c>
      <c r="GI81" t="s">
        <v>893</v>
      </c>
      <c r="GJ81" t="s">
        <v>2713</v>
      </c>
      <c r="GM81">
        <v>1</v>
      </c>
      <c r="GN81">
        <v>1</v>
      </c>
      <c r="GO81">
        <v>0</v>
      </c>
      <c r="GP81">
        <v>1</v>
      </c>
      <c r="GQ81">
        <v>1</v>
      </c>
      <c r="GR81">
        <v>0</v>
      </c>
      <c r="GS81">
        <v>1</v>
      </c>
      <c r="GT81">
        <v>0</v>
      </c>
      <c r="GU81">
        <v>1</v>
      </c>
      <c r="GV81">
        <v>0</v>
      </c>
      <c r="GW81">
        <v>1</v>
      </c>
      <c r="GX81">
        <v>0</v>
      </c>
      <c r="GY81">
        <v>1</v>
      </c>
      <c r="GZ81">
        <v>0</v>
      </c>
      <c r="HA81" t="s">
        <v>303</v>
      </c>
      <c r="HB81" t="s">
        <v>894</v>
      </c>
      <c r="HC81" t="s">
        <v>895</v>
      </c>
      <c r="HD81" t="s">
        <v>845</v>
      </c>
      <c r="HE81" t="s">
        <v>836</v>
      </c>
      <c r="HF81" t="s">
        <v>873</v>
      </c>
      <c r="HG81" t="s">
        <v>894</v>
      </c>
      <c r="HH81" t="s">
        <v>895</v>
      </c>
      <c r="HI81" t="s">
        <v>845</v>
      </c>
      <c r="HJ81" t="s">
        <v>836</v>
      </c>
      <c r="HK81" t="s">
        <v>873</v>
      </c>
      <c r="HL81" t="s">
        <v>1254</v>
      </c>
      <c r="HM81" t="s">
        <v>854</v>
      </c>
      <c r="HN81">
        <v>36805</v>
      </c>
      <c r="HP81" t="s">
        <v>159</v>
      </c>
      <c r="HQ81" t="s">
        <v>896</v>
      </c>
      <c r="HR81" t="s">
        <v>896</v>
      </c>
      <c r="HS81" t="s">
        <v>896</v>
      </c>
    </row>
    <row r="82" spans="1:227" x14ac:dyDescent="0.2">
      <c r="A82">
        <v>8702</v>
      </c>
      <c r="B82">
        <v>7605405426</v>
      </c>
      <c r="C82">
        <v>34</v>
      </c>
      <c r="D82" t="s">
        <v>996</v>
      </c>
      <c r="E82" t="s">
        <v>831</v>
      </c>
      <c r="F82">
        <v>0</v>
      </c>
      <c r="G82" t="s">
        <v>2721</v>
      </c>
      <c r="H82" t="s">
        <v>2721</v>
      </c>
      <c r="I82">
        <v>0</v>
      </c>
      <c r="J82" t="s">
        <v>833</v>
      </c>
      <c r="K82" t="s">
        <v>834</v>
      </c>
      <c r="L82">
        <v>156586319</v>
      </c>
      <c r="M82" t="s">
        <v>1706</v>
      </c>
      <c r="N82" t="s">
        <v>836</v>
      </c>
      <c r="O82" t="s">
        <v>837</v>
      </c>
      <c r="P82" t="s">
        <v>999</v>
      </c>
      <c r="Q82" t="s">
        <v>1027</v>
      </c>
      <c r="R82" t="s">
        <v>2722</v>
      </c>
      <c r="S82" t="s">
        <v>2723</v>
      </c>
      <c r="T82">
        <v>30300127006</v>
      </c>
      <c r="V82" t="s">
        <v>196</v>
      </c>
      <c r="W82" s="41">
        <v>46076</v>
      </c>
      <c r="X82" t="s">
        <v>2724</v>
      </c>
      <c r="Y82" t="s">
        <v>2725</v>
      </c>
      <c r="AA82">
        <v>0</v>
      </c>
      <c r="AB82" t="s">
        <v>845</v>
      </c>
      <c r="AC82" t="s">
        <v>846</v>
      </c>
      <c r="AD82" t="s">
        <v>1113</v>
      </c>
      <c r="AE82" t="s">
        <v>1114</v>
      </c>
      <c r="AF82">
        <v>1</v>
      </c>
      <c r="AG82">
        <v>452210</v>
      </c>
      <c r="AH82" t="s">
        <v>849</v>
      </c>
      <c r="AI82" t="s">
        <v>850</v>
      </c>
      <c r="AJ82" t="s">
        <v>851</v>
      </c>
      <c r="AK82" t="s">
        <v>255</v>
      </c>
      <c r="AL82" t="s">
        <v>2605</v>
      </c>
      <c r="AM82" t="s">
        <v>1712</v>
      </c>
      <c r="AN82" t="s">
        <v>854</v>
      </c>
      <c r="AO82">
        <v>36805</v>
      </c>
      <c r="AP82">
        <v>639</v>
      </c>
      <c r="AQ82" t="s">
        <v>855</v>
      </c>
      <c r="AR82">
        <v>66347257</v>
      </c>
      <c r="AS82" t="s">
        <v>856</v>
      </c>
      <c r="AU82" t="s">
        <v>2726</v>
      </c>
      <c r="AV82" t="s">
        <v>2727</v>
      </c>
      <c r="AX82" t="s">
        <v>913</v>
      </c>
      <c r="AY82" t="s">
        <v>861</v>
      </c>
      <c r="AZ82" t="s">
        <v>255</v>
      </c>
      <c r="BA82" t="s">
        <v>256</v>
      </c>
      <c r="BB82">
        <v>1</v>
      </c>
      <c r="BC82">
        <v>0</v>
      </c>
      <c r="BD82">
        <v>0</v>
      </c>
      <c r="BE82" t="s">
        <v>1706</v>
      </c>
      <c r="BF82">
        <v>0</v>
      </c>
      <c r="BG82">
        <v>0</v>
      </c>
      <c r="BH82" t="s">
        <v>862</v>
      </c>
      <c r="BI82">
        <v>0</v>
      </c>
      <c r="BJ82" t="s">
        <v>862</v>
      </c>
      <c r="BK82">
        <v>1</v>
      </c>
      <c r="BL82">
        <v>1</v>
      </c>
      <c r="BM82">
        <v>0</v>
      </c>
      <c r="BN82" t="s">
        <v>596</v>
      </c>
      <c r="BO82">
        <v>156586319</v>
      </c>
      <c r="BP82" t="s">
        <v>2721</v>
      </c>
      <c r="BR82">
        <v>42791771</v>
      </c>
      <c r="BT82">
        <v>2</v>
      </c>
      <c r="BU82" t="s">
        <v>1780</v>
      </c>
      <c r="CE82">
        <v>1</v>
      </c>
      <c r="CI82">
        <v>11</v>
      </c>
      <c r="CJ82" t="s">
        <v>94</v>
      </c>
      <c r="CM82">
        <v>4010</v>
      </c>
      <c r="CO82">
        <v>7360</v>
      </c>
      <c r="CP82">
        <v>0.2167</v>
      </c>
      <c r="CQ82">
        <v>0.2167</v>
      </c>
      <c r="CR82">
        <v>2.95</v>
      </c>
      <c r="CS82">
        <v>9</v>
      </c>
      <c r="CT82" t="s">
        <v>2728</v>
      </c>
      <c r="CU82" t="s">
        <v>2729</v>
      </c>
      <c r="CV82" t="s">
        <v>833</v>
      </c>
      <c r="CW82" t="s">
        <v>834</v>
      </c>
      <c r="CX82" t="s">
        <v>1706</v>
      </c>
      <c r="CY82">
        <v>1</v>
      </c>
      <c r="CZ82">
        <v>1</v>
      </c>
      <c r="DA82" t="s">
        <v>833</v>
      </c>
      <c r="DB82" t="s">
        <v>865</v>
      </c>
      <c r="DC82">
        <v>60134</v>
      </c>
      <c r="DD82">
        <v>3.4</v>
      </c>
      <c r="DE82" t="s">
        <v>866</v>
      </c>
      <c r="DG82" t="s">
        <v>867</v>
      </c>
      <c r="DH82" t="s">
        <v>851</v>
      </c>
      <c r="DJ82" t="s">
        <v>1718</v>
      </c>
      <c r="DK82" t="s">
        <v>918</v>
      </c>
      <c r="DL82" t="s">
        <v>869</v>
      </c>
      <c r="DM82">
        <v>0</v>
      </c>
      <c r="DN82">
        <v>0</v>
      </c>
      <c r="DO82">
        <v>11</v>
      </c>
      <c r="DP82" t="s">
        <v>1010</v>
      </c>
      <c r="DQ82">
        <v>0</v>
      </c>
      <c r="DR82">
        <v>204</v>
      </c>
      <c r="DS82">
        <v>204</v>
      </c>
      <c r="DT82">
        <v>3.1833</v>
      </c>
      <c r="DU82">
        <v>0</v>
      </c>
      <c r="DV82">
        <v>1</v>
      </c>
      <c r="DW82">
        <v>1</v>
      </c>
      <c r="DX82" t="s">
        <v>596</v>
      </c>
      <c r="DY82" t="s">
        <v>1706</v>
      </c>
      <c r="DZ82">
        <v>1</v>
      </c>
      <c r="EA82">
        <v>1</v>
      </c>
      <c r="EB82">
        <v>1</v>
      </c>
      <c r="EC82">
        <v>1</v>
      </c>
      <c r="ED82">
        <v>1</v>
      </c>
      <c r="EE82">
        <v>1</v>
      </c>
      <c r="EF82" t="s">
        <v>871</v>
      </c>
      <c r="EG82" t="s">
        <v>595</v>
      </c>
      <c r="EH82" t="s">
        <v>1036</v>
      </c>
      <c r="EI82" t="s">
        <v>1036</v>
      </c>
      <c r="EJ82" t="s">
        <v>181</v>
      </c>
      <c r="EK82">
        <v>9090</v>
      </c>
      <c r="EL82">
        <v>0</v>
      </c>
      <c r="EM82" t="s">
        <v>1436</v>
      </c>
      <c r="EN82">
        <v>2.95</v>
      </c>
      <c r="EO82">
        <v>3.4</v>
      </c>
      <c r="EP82">
        <v>99991120</v>
      </c>
      <c r="EQ82" t="s">
        <v>874</v>
      </c>
      <c r="ER82" t="s">
        <v>875</v>
      </c>
      <c r="ES82" t="s">
        <v>876</v>
      </c>
      <c r="ET82" t="s">
        <v>877</v>
      </c>
      <c r="EU82" t="s">
        <v>877</v>
      </c>
      <c r="EV82" t="s">
        <v>871</v>
      </c>
      <c r="EX82" t="s">
        <v>836</v>
      </c>
      <c r="EY82" t="s">
        <v>873</v>
      </c>
      <c r="EZ82" t="s">
        <v>1437</v>
      </c>
      <c r="FA82" t="s">
        <v>956</v>
      </c>
      <c r="FB82">
        <v>1</v>
      </c>
      <c r="FC82">
        <v>1</v>
      </c>
      <c r="FD82" s="41">
        <v>46081</v>
      </c>
      <c r="FE82" t="s">
        <v>1267</v>
      </c>
      <c r="FF82">
        <v>10</v>
      </c>
      <c r="FG82" t="s">
        <v>2730</v>
      </c>
      <c r="FH82" t="s">
        <v>2731</v>
      </c>
      <c r="FI82">
        <v>1</v>
      </c>
      <c r="FJ82" t="s">
        <v>2732</v>
      </c>
      <c r="FK82" t="s">
        <v>2733</v>
      </c>
      <c r="FL82">
        <v>1</v>
      </c>
      <c r="FM82" t="s">
        <v>1720</v>
      </c>
      <c r="FN82" t="s">
        <v>2734</v>
      </c>
      <c r="FO82">
        <v>1</v>
      </c>
      <c r="FP82" t="s">
        <v>2735</v>
      </c>
      <c r="FQ82" t="s">
        <v>2729</v>
      </c>
      <c r="FR82">
        <v>1</v>
      </c>
      <c r="FS82" t="s">
        <v>2736</v>
      </c>
      <c r="FT82" t="s">
        <v>2737</v>
      </c>
      <c r="FU82">
        <v>1</v>
      </c>
      <c r="FV82" t="s">
        <v>2738</v>
      </c>
      <c r="FW82" t="s">
        <v>2739</v>
      </c>
      <c r="FX82">
        <v>1</v>
      </c>
      <c r="FY82" t="s">
        <v>890</v>
      </c>
      <c r="FZ82" t="s">
        <v>2740</v>
      </c>
      <c r="GA82" t="s">
        <v>2732</v>
      </c>
      <c r="GB82">
        <v>1</v>
      </c>
      <c r="GD82">
        <v>0</v>
      </c>
      <c r="GF82">
        <v>0</v>
      </c>
      <c r="GG82">
        <v>1</v>
      </c>
      <c r="GH82" t="s">
        <v>892</v>
      </c>
      <c r="GI82" t="s">
        <v>893</v>
      </c>
      <c r="GJ82" t="s">
        <v>2733</v>
      </c>
      <c r="GM82">
        <v>1</v>
      </c>
      <c r="GN82">
        <v>1</v>
      </c>
      <c r="GO82">
        <v>0</v>
      </c>
      <c r="GP82">
        <v>1</v>
      </c>
      <c r="GQ82">
        <v>1</v>
      </c>
      <c r="GR82">
        <v>0</v>
      </c>
      <c r="GS82">
        <v>1</v>
      </c>
      <c r="GT82">
        <v>0</v>
      </c>
      <c r="GU82">
        <v>1</v>
      </c>
      <c r="GV82">
        <v>0</v>
      </c>
      <c r="GW82">
        <v>1</v>
      </c>
      <c r="GX82">
        <v>0</v>
      </c>
      <c r="GY82">
        <v>1</v>
      </c>
      <c r="GZ82">
        <v>0</v>
      </c>
      <c r="HA82" t="s">
        <v>255</v>
      </c>
      <c r="HB82" t="s">
        <v>894</v>
      </c>
      <c r="HC82" t="s">
        <v>895</v>
      </c>
      <c r="HD82" t="s">
        <v>845</v>
      </c>
      <c r="HE82" t="s">
        <v>836</v>
      </c>
      <c r="HF82" t="s">
        <v>873</v>
      </c>
      <c r="HG82" t="s">
        <v>894</v>
      </c>
      <c r="HH82" t="s">
        <v>895</v>
      </c>
      <c r="HI82" t="s">
        <v>845</v>
      </c>
      <c r="HJ82" t="s">
        <v>836</v>
      </c>
      <c r="HK82" t="s">
        <v>1436</v>
      </c>
      <c r="HL82" t="s">
        <v>196</v>
      </c>
      <c r="HM82" t="s">
        <v>854</v>
      </c>
      <c r="HN82">
        <v>36805</v>
      </c>
      <c r="HP82" t="s">
        <v>181</v>
      </c>
      <c r="HQ82" t="s">
        <v>896</v>
      </c>
      <c r="HR82" t="s">
        <v>896</v>
      </c>
      <c r="HS82" t="s">
        <v>896</v>
      </c>
    </row>
    <row r="83" spans="1:227" x14ac:dyDescent="0.2">
      <c r="A83">
        <v>8702</v>
      </c>
      <c r="B83">
        <v>7531903475</v>
      </c>
      <c r="C83" t="s">
        <v>936</v>
      </c>
      <c r="D83" t="s">
        <v>937</v>
      </c>
      <c r="E83" t="s">
        <v>897</v>
      </c>
      <c r="F83">
        <v>0</v>
      </c>
      <c r="G83" t="s">
        <v>2741</v>
      </c>
      <c r="H83" t="s">
        <v>2741</v>
      </c>
      <c r="I83">
        <v>0</v>
      </c>
      <c r="J83" t="s">
        <v>833</v>
      </c>
      <c r="K83" t="s">
        <v>834</v>
      </c>
      <c r="L83">
        <v>156046217</v>
      </c>
      <c r="M83" t="s">
        <v>2742</v>
      </c>
      <c r="N83" t="s">
        <v>900</v>
      </c>
      <c r="O83" t="s">
        <v>837</v>
      </c>
      <c r="P83" t="s">
        <v>940</v>
      </c>
      <c r="Q83" t="s">
        <v>1080</v>
      </c>
      <c r="R83" t="s">
        <v>2743</v>
      </c>
      <c r="S83" t="s">
        <v>2744</v>
      </c>
      <c r="T83">
        <v>41477124348</v>
      </c>
      <c r="V83" t="s">
        <v>208</v>
      </c>
      <c r="W83" s="41">
        <v>45982</v>
      </c>
      <c r="X83" t="s">
        <v>2745</v>
      </c>
      <c r="Y83" t="s">
        <v>2746</v>
      </c>
      <c r="Z83" t="s">
        <v>2747</v>
      </c>
      <c r="AA83">
        <v>0</v>
      </c>
      <c r="AB83" t="s">
        <v>845</v>
      </c>
      <c r="AC83" t="s">
        <v>846</v>
      </c>
      <c r="AD83" t="s">
        <v>847</v>
      </c>
      <c r="AE83" t="s">
        <v>848</v>
      </c>
      <c r="AF83">
        <v>1</v>
      </c>
      <c r="AG83">
        <v>452210</v>
      </c>
      <c r="AH83" t="s">
        <v>849</v>
      </c>
      <c r="AI83" t="s">
        <v>850</v>
      </c>
      <c r="AJ83" t="s">
        <v>851</v>
      </c>
      <c r="AK83" t="s">
        <v>330</v>
      </c>
      <c r="AL83" t="s">
        <v>2748</v>
      </c>
      <c r="AM83" t="s">
        <v>979</v>
      </c>
      <c r="AN83" t="s">
        <v>854</v>
      </c>
      <c r="AO83">
        <v>36805</v>
      </c>
      <c r="AP83">
        <v>647</v>
      </c>
      <c r="AQ83" t="s">
        <v>855</v>
      </c>
      <c r="AR83">
        <v>66211972</v>
      </c>
      <c r="AS83" t="s">
        <v>856</v>
      </c>
      <c r="AU83" t="s">
        <v>2749</v>
      </c>
      <c r="AV83" t="s">
        <v>2750</v>
      </c>
      <c r="AX83" t="s">
        <v>913</v>
      </c>
      <c r="AY83" t="s">
        <v>861</v>
      </c>
      <c r="AZ83" t="s">
        <v>330</v>
      </c>
      <c r="BA83" t="s">
        <v>331</v>
      </c>
      <c r="BB83">
        <v>0</v>
      </c>
      <c r="BC83">
        <v>1</v>
      </c>
      <c r="BD83">
        <v>0</v>
      </c>
      <c r="BE83" t="s">
        <v>2742</v>
      </c>
      <c r="BF83">
        <v>0</v>
      </c>
      <c r="BG83">
        <v>0</v>
      </c>
      <c r="BH83" t="s">
        <v>862</v>
      </c>
      <c r="BI83">
        <v>0</v>
      </c>
      <c r="BJ83" t="s">
        <v>862</v>
      </c>
      <c r="BK83">
        <v>1</v>
      </c>
      <c r="BL83">
        <v>1</v>
      </c>
      <c r="BM83">
        <v>0</v>
      </c>
      <c r="BN83" t="s">
        <v>596</v>
      </c>
      <c r="BO83">
        <v>156046217</v>
      </c>
      <c r="BP83" t="s">
        <v>2741</v>
      </c>
      <c r="BQ83">
        <v>42.226765999999998</v>
      </c>
      <c r="BR83">
        <v>42791779</v>
      </c>
      <c r="BS83">
        <v>-85.59151</v>
      </c>
      <c r="BT83">
        <v>1</v>
      </c>
      <c r="BU83" t="s">
        <v>1551</v>
      </c>
      <c r="CI83">
        <v>11</v>
      </c>
      <c r="CJ83" t="s">
        <v>94</v>
      </c>
      <c r="CM83">
        <v>4010</v>
      </c>
      <c r="CO83">
        <v>7360</v>
      </c>
      <c r="CP83">
        <v>0.51670000000000005</v>
      </c>
      <c r="CQ83">
        <v>0.51670000000000005</v>
      </c>
      <c r="CR83">
        <v>0.31669999999999998</v>
      </c>
      <c r="CS83">
        <v>0</v>
      </c>
      <c r="CT83" t="s">
        <v>2750</v>
      </c>
      <c r="CU83" t="s">
        <v>2749</v>
      </c>
      <c r="CV83" t="s">
        <v>833</v>
      </c>
      <c r="CW83" t="s">
        <v>834</v>
      </c>
      <c r="CX83" t="s">
        <v>2742</v>
      </c>
      <c r="CY83">
        <v>1</v>
      </c>
      <c r="CZ83">
        <v>1</v>
      </c>
      <c r="DA83" t="s">
        <v>833</v>
      </c>
      <c r="DB83" t="s">
        <v>865</v>
      </c>
      <c r="DC83">
        <v>49002</v>
      </c>
      <c r="DD83">
        <v>74.783299999999997</v>
      </c>
      <c r="DE83" t="s">
        <v>866</v>
      </c>
      <c r="DG83" t="s">
        <v>867</v>
      </c>
      <c r="DH83" t="s">
        <v>851</v>
      </c>
      <c r="DI83" t="s">
        <v>984</v>
      </c>
      <c r="DK83" t="s">
        <v>1155</v>
      </c>
      <c r="DL83" t="s">
        <v>869</v>
      </c>
      <c r="DM83">
        <v>0</v>
      </c>
      <c r="DN83">
        <v>0</v>
      </c>
      <c r="DO83">
        <v>11</v>
      </c>
      <c r="DP83" t="s">
        <v>1010</v>
      </c>
      <c r="DQ83">
        <v>16</v>
      </c>
      <c r="DR83">
        <v>4487</v>
      </c>
      <c r="DS83">
        <v>8807</v>
      </c>
      <c r="DT83">
        <v>40.1</v>
      </c>
      <c r="DU83">
        <v>4</v>
      </c>
      <c r="DV83">
        <v>1</v>
      </c>
      <c r="DW83">
        <v>2</v>
      </c>
      <c r="DX83" t="s">
        <v>596</v>
      </c>
      <c r="DY83" t="s">
        <v>2742</v>
      </c>
      <c r="DZ83">
        <v>0</v>
      </c>
      <c r="EA83">
        <v>0</v>
      </c>
      <c r="EB83">
        <v>1</v>
      </c>
      <c r="EC83">
        <v>0</v>
      </c>
      <c r="ED83">
        <v>0</v>
      </c>
      <c r="EE83">
        <v>1</v>
      </c>
      <c r="EF83" t="s">
        <v>871</v>
      </c>
      <c r="EG83" t="s">
        <v>595</v>
      </c>
      <c r="EH83" t="s">
        <v>921</v>
      </c>
      <c r="EI83" t="s">
        <v>921</v>
      </c>
      <c r="EJ83" t="s">
        <v>178</v>
      </c>
      <c r="EK83">
        <v>9090</v>
      </c>
      <c r="EL83">
        <v>1</v>
      </c>
      <c r="EM83" t="s">
        <v>922</v>
      </c>
      <c r="EN83">
        <v>0.31669999999999998</v>
      </c>
      <c r="EO83">
        <v>146.78333330000001</v>
      </c>
      <c r="EP83">
        <v>99991120</v>
      </c>
      <c r="EQ83" t="s">
        <v>874</v>
      </c>
      <c r="ER83" t="s">
        <v>875</v>
      </c>
      <c r="ES83" t="s">
        <v>876</v>
      </c>
      <c r="ET83" t="s">
        <v>877</v>
      </c>
      <c r="EU83" t="s">
        <v>877</v>
      </c>
      <c r="EV83" t="s">
        <v>871</v>
      </c>
      <c r="EX83" t="s">
        <v>953</v>
      </c>
      <c r="EY83" t="s">
        <v>986</v>
      </c>
      <c r="EZ83" t="s">
        <v>924</v>
      </c>
      <c r="FA83" t="s">
        <v>925</v>
      </c>
      <c r="FB83">
        <v>1</v>
      </c>
      <c r="FC83">
        <v>2</v>
      </c>
      <c r="FD83" s="41">
        <v>45983</v>
      </c>
      <c r="FE83" t="s">
        <v>1438</v>
      </c>
      <c r="FF83">
        <v>11</v>
      </c>
      <c r="FG83" t="s">
        <v>2751</v>
      </c>
      <c r="FH83" t="s">
        <v>2752</v>
      </c>
      <c r="FI83">
        <v>1</v>
      </c>
      <c r="FJ83" t="s">
        <v>2753</v>
      </c>
      <c r="FK83" t="s">
        <v>2752</v>
      </c>
      <c r="FL83">
        <v>1</v>
      </c>
      <c r="FM83" t="s">
        <v>2754</v>
      </c>
      <c r="FN83" t="s">
        <v>2755</v>
      </c>
      <c r="FO83">
        <v>1</v>
      </c>
      <c r="FP83" t="s">
        <v>2756</v>
      </c>
      <c r="FQ83" t="s">
        <v>2749</v>
      </c>
      <c r="FR83">
        <v>1</v>
      </c>
      <c r="FS83" t="s">
        <v>993</v>
      </c>
      <c r="FT83" t="s">
        <v>2757</v>
      </c>
      <c r="FU83">
        <v>1</v>
      </c>
      <c r="FV83" t="s">
        <v>2758</v>
      </c>
      <c r="FW83" t="s">
        <v>2759</v>
      </c>
      <c r="FX83">
        <v>1</v>
      </c>
      <c r="FY83" t="s">
        <v>890</v>
      </c>
      <c r="FZ83" t="s">
        <v>2760</v>
      </c>
      <c r="GA83" t="s">
        <v>2753</v>
      </c>
      <c r="GB83">
        <v>1</v>
      </c>
      <c r="GD83">
        <v>0</v>
      </c>
      <c r="GF83">
        <v>0</v>
      </c>
      <c r="GG83">
        <v>1</v>
      </c>
      <c r="GH83" t="s">
        <v>892</v>
      </c>
      <c r="GI83" t="s">
        <v>893</v>
      </c>
      <c r="GJ83" t="s">
        <v>2752</v>
      </c>
      <c r="GM83">
        <v>1</v>
      </c>
      <c r="GN83">
        <v>0</v>
      </c>
      <c r="GO83">
        <v>0</v>
      </c>
      <c r="GP83">
        <v>1</v>
      </c>
      <c r="GQ83">
        <v>1</v>
      </c>
      <c r="GR83">
        <v>0</v>
      </c>
      <c r="GS83">
        <v>1</v>
      </c>
      <c r="GT83">
        <v>0</v>
      </c>
      <c r="GU83">
        <v>1</v>
      </c>
      <c r="GV83">
        <v>0</v>
      </c>
      <c r="GW83">
        <v>1</v>
      </c>
      <c r="GX83">
        <v>0</v>
      </c>
      <c r="GY83">
        <v>1</v>
      </c>
      <c r="GZ83">
        <v>0</v>
      </c>
      <c r="HA83" t="s">
        <v>330</v>
      </c>
      <c r="HB83" t="s">
        <v>894</v>
      </c>
      <c r="HC83" t="s">
        <v>935</v>
      </c>
      <c r="HD83" t="s">
        <v>845</v>
      </c>
      <c r="HE83" t="s">
        <v>900</v>
      </c>
      <c r="HF83" t="s">
        <v>923</v>
      </c>
      <c r="HG83" t="s">
        <v>894</v>
      </c>
      <c r="HH83" t="s">
        <v>935</v>
      </c>
      <c r="HI83" t="s">
        <v>845</v>
      </c>
      <c r="HJ83" t="s">
        <v>900</v>
      </c>
      <c r="HK83" t="s">
        <v>922</v>
      </c>
      <c r="HL83" t="s">
        <v>208</v>
      </c>
      <c r="HM83" t="s">
        <v>854</v>
      </c>
      <c r="HN83">
        <v>36805</v>
      </c>
      <c r="HO83">
        <v>1</v>
      </c>
      <c r="HP83" t="s">
        <v>178</v>
      </c>
      <c r="HQ83" t="s">
        <v>896</v>
      </c>
      <c r="HR83" t="s">
        <v>896</v>
      </c>
      <c r="HS83" t="s">
        <v>896</v>
      </c>
    </row>
    <row r="84" spans="1:227" x14ac:dyDescent="0.2">
      <c r="A84">
        <v>8702</v>
      </c>
      <c r="B84">
        <v>7621902493</v>
      </c>
      <c r="C84">
        <v>36</v>
      </c>
      <c r="D84" t="s">
        <v>1302</v>
      </c>
      <c r="E84" t="s">
        <v>897</v>
      </c>
      <c r="F84">
        <v>0</v>
      </c>
      <c r="G84" t="s">
        <v>2761</v>
      </c>
      <c r="H84" t="s">
        <v>2761</v>
      </c>
      <c r="I84">
        <v>0</v>
      </c>
      <c r="J84" t="s">
        <v>833</v>
      </c>
      <c r="K84" t="s">
        <v>834</v>
      </c>
      <c r="L84">
        <v>153406615</v>
      </c>
      <c r="M84" t="s">
        <v>2762</v>
      </c>
      <c r="N84" t="s">
        <v>900</v>
      </c>
      <c r="O84" t="s">
        <v>837</v>
      </c>
      <c r="P84" t="s">
        <v>1302</v>
      </c>
      <c r="Q84" t="s">
        <v>1517</v>
      </c>
      <c r="R84" t="s">
        <v>2763</v>
      </c>
      <c r="S84" t="s">
        <v>2764</v>
      </c>
      <c r="T84">
        <v>30300117806</v>
      </c>
      <c r="V84" t="s">
        <v>202</v>
      </c>
      <c r="W84" s="41">
        <v>46242</v>
      </c>
      <c r="X84" t="s">
        <v>2765</v>
      </c>
      <c r="Y84" t="s">
        <v>2766</v>
      </c>
      <c r="AA84">
        <v>0</v>
      </c>
      <c r="AB84" t="s">
        <v>845</v>
      </c>
      <c r="AC84" t="s">
        <v>846</v>
      </c>
      <c r="AD84" t="s">
        <v>907</v>
      </c>
      <c r="AE84" t="s">
        <v>908</v>
      </c>
      <c r="AF84">
        <v>1</v>
      </c>
      <c r="AG84">
        <v>452210</v>
      </c>
      <c r="AH84" t="s">
        <v>849</v>
      </c>
      <c r="AI84" t="s">
        <v>850</v>
      </c>
      <c r="AJ84" t="s">
        <v>851</v>
      </c>
      <c r="AK84" t="s">
        <v>287</v>
      </c>
      <c r="AL84" t="s">
        <v>2767</v>
      </c>
      <c r="AM84" t="s">
        <v>947</v>
      </c>
      <c r="AN84" t="s">
        <v>854</v>
      </c>
      <c r="AO84">
        <v>36805</v>
      </c>
      <c r="AP84">
        <v>643</v>
      </c>
      <c r="AQ84" t="s">
        <v>855</v>
      </c>
      <c r="AR84">
        <v>66586197</v>
      </c>
      <c r="AS84" t="s">
        <v>856</v>
      </c>
      <c r="AU84" t="s">
        <v>2768</v>
      </c>
      <c r="AV84" t="s">
        <v>2769</v>
      </c>
      <c r="AW84" t="s">
        <v>1185</v>
      </c>
      <c r="AX84" t="s">
        <v>1186</v>
      </c>
      <c r="AY84" t="s">
        <v>861</v>
      </c>
      <c r="AZ84" t="s">
        <v>287</v>
      </c>
      <c r="BA84" t="s">
        <v>288</v>
      </c>
      <c r="BB84">
        <v>0</v>
      </c>
      <c r="BC84">
        <v>0</v>
      </c>
      <c r="BD84">
        <v>0</v>
      </c>
      <c r="BE84" t="s">
        <v>2762</v>
      </c>
      <c r="BF84">
        <v>0</v>
      </c>
      <c r="BG84">
        <v>0</v>
      </c>
      <c r="BH84" t="s">
        <v>862</v>
      </c>
      <c r="BI84">
        <v>0</v>
      </c>
      <c r="BJ84" t="s">
        <v>862</v>
      </c>
      <c r="BK84">
        <v>1</v>
      </c>
      <c r="BL84">
        <v>0</v>
      </c>
      <c r="BM84">
        <v>0</v>
      </c>
      <c r="BN84" t="s">
        <v>596</v>
      </c>
      <c r="BO84">
        <v>153406615</v>
      </c>
      <c r="BP84" t="s">
        <v>2761</v>
      </c>
      <c r="BQ84">
        <v>42.563960799999997</v>
      </c>
      <c r="BR84">
        <v>42791774</v>
      </c>
      <c r="BS84">
        <v>-83.130449999999996</v>
      </c>
      <c r="BT84">
        <v>2</v>
      </c>
      <c r="BU84" t="s">
        <v>914</v>
      </c>
      <c r="BY84">
        <v>16</v>
      </c>
      <c r="CA84">
        <v>12</v>
      </c>
      <c r="CE84">
        <v>1</v>
      </c>
      <c r="CI84">
        <v>11</v>
      </c>
      <c r="CJ84" t="s">
        <v>94</v>
      </c>
      <c r="CM84">
        <v>4010</v>
      </c>
      <c r="CO84">
        <v>7360</v>
      </c>
      <c r="CP84">
        <v>0.41670000000000001</v>
      </c>
      <c r="CQ84">
        <v>0.41670000000000001</v>
      </c>
      <c r="CR84">
        <v>0.4667</v>
      </c>
      <c r="CS84">
        <v>1</v>
      </c>
      <c r="CT84" t="s">
        <v>2769</v>
      </c>
      <c r="CU84" t="s">
        <v>2768</v>
      </c>
      <c r="CV84" t="s">
        <v>833</v>
      </c>
      <c r="CW84" t="s">
        <v>834</v>
      </c>
      <c r="CX84" t="s">
        <v>2762</v>
      </c>
      <c r="CY84">
        <v>0</v>
      </c>
      <c r="CZ84">
        <v>0</v>
      </c>
      <c r="DA84" t="s">
        <v>833</v>
      </c>
      <c r="DB84" t="s">
        <v>865</v>
      </c>
      <c r="DC84">
        <v>48083</v>
      </c>
      <c r="DD84">
        <v>12.466699999999999</v>
      </c>
      <c r="DE84" t="s">
        <v>866</v>
      </c>
      <c r="DG84" t="s">
        <v>867</v>
      </c>
      <c r="DH84" t="s">
        <v>851</v>
      </c>
      <c r="DK84" t="s">
        <v>918</v>
      </c>
      <c r="DL84" t="s">
        <v>869</v>
      </c>
      <c r="DM84">
        <v>0</v>
      </c>
      <c r="DN84">
        <v>0</v>
      </c>
      <c r="DO84">
        <v>59</v>
      </c>
      <c r="DP84" t="s">
        <v>2770</v>
      </c>
      <c r="DQ84">
        <v>16</v>
      </c>
      <c r="DR84">
        <v>748</v>
      </c>
      <c r="DS84">
        <v>1468</v>
      </c>
      <c r="DT84">
        <v>12.05</v>
      </c>
      <c r="DU84">
        <v>4</v>
      </c>
      <c r="DV84">
        <v>1</v>
      </c>
      <c r="DW84">
        <v>2</v>
      </c>
      <c r="DX84" t="s">
        <v>594</v>
      </c>
      <c r="DY84" t="s">
        <v>2762</v>
      </c>
      <c r="DZ84">
        <v>0</v>
      </c>
      <c r="EA84">
        <v>0</v>
      </c>
      <c r="EB84">
        <v>0</v>
      </c>
      <c r="EC84">
        <v>0</v>
      </c>
      <c r="ED84">
        <v>0</v>
      </c>
      <c r="EE84">
        <v>0</v>
      </c>
      <c r="EF84" t="s">
        <v>920</v>
      </c>
      <c r="EG84" t="s">
        <v>595</v>
      </c>
      <c r="EH84" t="s">
        <v>872</v>
      </c>
      <c r="EI84" t="s">
        <v>872</v>
      </c>
      <c r="EJ84" t="s">
        <v>178</v>
      </c>
      <c r="EK84">
        <v>9090</v>
      </c>
      <c r="EL84">
        <v>0</v>
      </c>
      <c r="EM84" t="s">
        <v>952</v>
      </c>
      <c r="EN84">
        <v>0.4667</v>
      </c>
      <c r="EO84">
        <v>24.466666700000001</v>
      </c>
      <c r="EP84">
        <v>99991120</v>
      </c>
      <c r="EQ84" t="s">
        <v>874</v>
      </c>
      <c r="ER84" t="s">
        <v>875</v>
      </c>
      <c r="ES84" t="s">
        <v>876</v>
      </c>
      <c r="ET84" t="s">
        <v>877</v>
      </c>
      <c r="EU84" t="s">
        <v>877</v>
      </c>
      <c r="EV84" t="s">
        <v>920</v>
      </c>
      <c r="EX84" t="s">
        <v>900</v>
      </c>
      <c r="EY84" t="s">
        <v>923</v>
      </c>
      <c r="EZ84" t="s">
        <v>955</v>
      </c>
      <c r="FA84" t="s">
        <v>956</v>
      </c>
      <c r="FB84">
        <v>1</v>
      </c>
      <c r="FC84">
        <v>1</v>
      </c>
      <c r="FD84" s="41">
        <v>46242</v>
      </c>
      <c r="FE84" t="s">
        <v>926</v>
      </c>
      <c r="FF84">
        <v>5</v>
      </c>
      <c r="FI84">
        <v>0</v>
      </c>
      <c r="FJ84" t="s">
        <v>2771</v>
      </c>
      <c r="FK84" t="s">
        <v>2772</v>
      </c>
      <c r="FL84">
        <v>1</v>
      </c>
      <c r="FM84" t="s">
        <v>2773</v>
      </c>
      <c r="FN84" t="s">
        <v>2774</v>
      </c>
      <c r="FO84">
        <v>1</v>
      </c>
      <c r="FP84" t="s">
        <v>2775</v>
      </c>
      <c r="FQ84" t="s">
        <v>2776</v>
      </c>
      <c r="FR84">
        <v>1</v>
      </c>
      <c r="FS84" t="s">
        <v>2777</v>
      </c>
      <c r="FT84" t="s">
        <v>2778</v>
      </c>
      <c r="FU84">
        <v>1</v>
      </c>
      <c r="FV84" t="s">
        <v>2779</v>
      </c>
      <c r="FW84" t="s">
        <v>2772</v>
      </c>
      <c r="FX84">
        <v>1</v>
      </c>
      <c r="FY84" t="s">
        <v>890</v>
      </c>
      <c r="FZ84" t="s">
        <v>2780</v>
      </c>
      <c r="GA84" t="s">
        <v>2771</v>
      </c>
      <c r="GB84">
        <v>1</v>
      </c>
      <c r="GD84">
        <v>0</v>
      </c>
      <c r="GF84">
        <v>0</v>
      </c>
      <c r="GG84">
        <v>1</v>
      </c>
      <c r="GH84" t="s">
        <v>892</v>
      </c>
      <c r="GI84" t="s">
        <v>893</v>
      </c>
      <c r="GJ84" t="s">
        <v>2772</v>
      </c>
      <c r="GM84">
        <v>1</v>
      </c>
      <c r="GN84">
        <v>1</v>
      </c>
      <c r="GO84">
        <v>0</v>
      </c>
      <c r="GP84">
        <v>1</v>
      </c>
      <c r="GQ84">
        <v>1</v>
      </c>
      <c r="GR84">
        <v>0</v>
      </c>
      <c r="GS84">
        <v>1</v>
      </c>
      <c r="GT84">
        <v>0</v>
      </c>
      <c r="GU84">
        <v>1</v>
      </c>
      <c r="GV84">
        <v>0</v>
      </c>
      <c r="GW84">
        <v>1</v>
      </c>
      <c r="GX84">
        <v>0</v>
      </c>
      <c r="GY84">
        <v>1</v>
      </c>
      <c r="GZ84">
        <v>0</v>
      </c>
      <c r="HA84" t="s">
        <v>287</v>
      </c>
      <c r="HB84" t="s">
        <v>894</v>
      </c>
      <c r="HC84" t="s">
        <v>935</v>
      </c>
      <c r="HD84" t="s">
        <v>845</v>
      </c>
      <c r="HE84" t="s">
        <v>900</v>
      </c>
      <c r="HF84" t="s">
        <v>923</v>
      </c>
      <c r="HG84" t="s">
        <v>894</v>
      </c>
      <c r="HH84" t="s">
        <v>935</v>
      </c>
      <c r="HI84" t="s">
        <v>845</v>
      </c>
      <c r="HJ84" t="s">
        <v>900</v>
      </c>
      <c r="HK84" t="s">
        <v>952</v>
      </c>
      <c r="HL84" t="s">
        <v>202</v>
      </c>
      <c r="HM84" t="s">
        <v>854</v>
      </c>
      <c r="HN84">
        <v>36805</v>
      </c>
      <c r="HP84" t="s">
        <v>178</v>
      </c>
      <c r="HQ84" t="s">
        <v>896</v>
      </c>
      <c r="HR84" t="s">
        <v>896</v>
      </c>
      <c r="HS84" t="s">
        <v>896</v>
      </c>
    </row>
    <row r="85" spans="1:227" x14ac:dyDescent="0.2">
      <c r="A85">
        <v>8702</v>
      </c>
      <c r="B85">
        <v>7600505547</v>
      </c>
      <c r="C85" t="s">
        <v>936</v>
      </c>
      <c r="D85" t="s">
        <v>937</v>
      </c>
      <c r="E85" t="s">
        <v>897</v>
      </c>
      <c r="F85">
        <v>0</v>
      </c>
      <c r="G85" t="s">
        <v>2781</v>
      </c>
      <c r="H85" t="s">
        <v>2781</v>
      </c>
      <c r="I85">
        <v>0</v>
      </c>
      <c r="J85" t="s">
        <v>833</v>
      </c>
      <c r="K85" t="s">
        <v>834</v>
      </c>
      <c r="L85">
        <v>152832692</v>
      </c>
      <c r="M85" t="s">
        <v>2097</v>
      </c>
      <c r="N85" t="s">
        <v>900</v>
      </c>
      <c r="O85" t="s">
        <v>837</v>
      </c>
      <c r="P85" t="s">
        <v>940</v>
      </c>
      <c r="Q85" t="s">
        <v>1080</v>
      </c>
      <c r="R85" t="s">
        <v>2782</v>
      </c>
      <c r="S85" t="s">
        <v>2783</v>
      </c>
      <c r="T85">
        <v>41477130640</v>
      </c>
      <c r="V85" t="s">
        <v>239</v>
      </c>
      <c r="W85" s="41">
        <v>46027</v>
      </c>
      <c r="X85" t="s">
        <v>2784</v>
      </c>
      <c r="Y85" t="s">
        <v>2785</v>
      </c>
      <c r="Z85">
        <v>1</v>
      </c>
      <c r="AA85">
        <v>0</v>
      </c>
      <c r="AB85" t="s">
        <v>845</v>
      </c>
      <c r="AC85" t="s">
        <v>846</v>
      </c>
      <c r="AD85" t="s">
        <v>847</v>
      </c>
      <c r="AE85" t="s">
        <v>848</v>
      </c>
      <c r="AF85">
        <v>1</v>
      </c>
      <c r="AG85">
        <v>452210</v>
      </c>
      <c r="AH85" t="s">
        <v>849</v>
      </c>
      <c r="AI85" t="s">
        <v>850</v>
      </c>
      <c r="AJ85" t="s">
        <v>851</v>
      </c>
      <c r="AK85" t="s">
        <v>265</v>
      </c>
      <c r="AL85" t="s">
        <v>1644</v>
      </c>
      <c r="AM85" t="s">
        <v>1645</v>
      </c>
      <c r="AN85" t="s">
        <v>854</v>
      </c>
      <c r="AO85">
        <v>36805</v>
      </c>
      <c r="AP85">
        <v>928</v>
      </c>
      <c r="AQ85" t="s">
        <v>855</v>
      </c>
      <c r="AR85">
        <v>66276685</v>
      </c>
      <c r="AS85" t="s">
        <v>856</v>
      </c>
      <c r="AU85" t="s">
        <v>2786</v>
      </c>
      <c r="AV85" t="s">
        <v>2787</v>
      </c>
      <c r="AX85" t="s">
        <v>913</v>
      </c>
      <c r="AY85" t="s">
        <v>861</v>
      </c>
      <c r="AZ85" t="s">
        <v>265</v>
      </c>
      <c r="BA85" t="s">
        <v>266</v>
      </c>
      <c r="BB85">
        <v>0</v>
      </c>
      <c r="BC85">
        <v>0</v>
      </c>
      <c r="BD85">
        <v>0</v>
      </c>
      <c r="BE85" t="s">
        <v>2097</v>
      </c>
      <c r="BF85">
        <v>0</v>
      </c>
      <c r="BG85">
        <v>0</v>
      </c>
      <c r="BH85" t="s">
        <v>862</v>
      </c>
      <c r="BI85">
        <v>0</v>
      </c>
      <c r="BJ85" t="s">
        <v>862</v>
      </c>
      <c r="BK85">
        <v>1</v>
      </c>
      <c r="BL85">
        <v>1</v>
      </c>
      <c r="BM85">
        <v>0</v>
      </c>
      <c r="BN85" t="s">
        <v>596</v>
      </c>
      <c r="BO85">
        <v>152832692</v>
      </c>
      <c r="BP85" t="s">
        <v>2781</v>
      </c>
      <c r="BR85">
        <v>42793653</v>
      </c>
      <c r="BT85">
        <v>2</v>
      </c>
      <c r="BU85" t="s">
        <v>1367</v>
      </c>
      <c r="CE85">
        <v>1</v>
      </c>
      <c r="CI85">
        <v>11</v>
      </c>
      <c r="CJ85" t="s">
        <v>94</v>
      </c>
      <c r="CM85">
        <v>4010</v>
      </c>
      <c r="CO85">
        <v>7360</v>
      </c>
      <c r="CP85">
        <v>0.35</v>
      </c>
      <c r="CQ85">
        <v>0.35</v>
      </c>
      <c r="CR85">
        <v>0.51670000000000005</v>
      </c>
      <c r="CS85">
        <v>3</v>
      </c>
      <c r="CT85" t="s">
        <v>2787</v>
      </c>
      <c r="CU85" t="s">
        <v>2786</v>
      </c>
      <c r="CV85" t="s">
        <v>833</v>
      </c>
      <c r="CW85" t="s">
        <v>834</v>
      </c>
      <c r="CX85" t="s">
        <v>2097</v>
      </c>
      <c r="CY85">
        <v>0</v>
      </c>
      <c r="CZ85">
        <v>0</v>
      </c>
      <c r="DA85" t="s">
        <v>833</v>
      </c>
      <c r="DB85" t="s">
        <v>865</v>
      </c>
      <c r="DC85">
        <v>44145</v>
      </c>
      <c r="DD85">
        <v>2.6</v>
      </c>
      <c r="DE85" t="s">
        <v>866</v>
      </c>
      <c r="DG85" t="s">
        <v>867</v>
      </c>
      <c r="DH85" t="s">
        <v>851</v>
      </c>
      <c r="DI85" t="s">
        <v>2105</v>
      </c>
      <c r="DK85" t="s">
        <v>918</v>
      </c>
      <c r="DL85" t="s">
        <v>869</v>
      </c>
      <c r="DM85">
        <v>0</v>
      </c>
      <c r="DN85">
        <v>0</v>
      </c>
      <c r="DO85">
        <v>1</v>
      </c>
      <c r="DP85" t="s">
        <v>985</v>
      </c>
      <c r="DQ85">
        <v>16</v>
      </c>
      <c r="DR85">
        <v>156</v>
      </c>
      <c r="DS85">
        <v>156</v>
      </c>
      <c r="DT85">
        <v>2.25</v>
      </c>
      <c r="DU85">
        <v>4</v>
      </c>
      <c r="DV85">
        <v>1</v>
      </c>
      <c r="DW85">
        <v>2</v>
      </c>
      <c r="DX85" t="s">
        <v>596</v>
      </c>
      <c r="DY85" t="s">
        <v>2097</v>
      </c>
      <c r="DZ85">
        <v>1</v>
      </c>
      <c r="EA85">
        <v>1</v>
      </c>
      <c r="EB85">
        <v>1</v>
      </c>
      <c r="EC85">
        <v>1</v>
      </c>
      <c r="ED85">
        <v>1</v>
      </c>
      <c r="EE85">
        <v>1</v>
      </c>
      <c r="EF85" t="s">
        <v>871</v>
      </c>
      <c r="EG85" t="s">
        <v>595</v>
      </c>
      <c r="EH85" t="s">
        <v>921</v>
      </c>
      <c r="EI85" t="s">
        <v>921</v>
      </c>
      <c r="EJ85" t="s">
        <v>226</v>
      </c>
      <c r="EK85">
        <v>9090</v>
      </c>
      <c r="EL85">
        <v>0</v>
      </c>
      <c r="EM85" t="s">
        <v>1157</v>
      </c>
      <c r="EN85">
        <v>0.51670000000000005</v>
      </c>
      <c r="EO85">
        <v>2.6</v>
      </c>
      <c r="EP85">
        <v>99991120</v>
      </c>
      <c r="EQ85" t="s">
        <v>874</v>
      </c>
      <c r="ER85" t="s">
        <v>875</v>
      </c>
      <c r="ES85" t="s">
        <v>876</v>
      </c>
      <c r="ET85" t="s">
        <v>877</v>
      </c>
      <c r="EU85" t="s">
        <v>877</v>
      </c>
      <c r="EV85" t="s">
        <v>871</v>
      </c>
      <c r="EX85" t="s">
        <v>953</v>
      </c>
      <c r="EY85" t="s">
        <v>986</v>
      </c>
      <c r="EZ85" t="s">
        <v>1236</v>
      </c>
      <c r="FA85" t="s">
        <v>956</v>
      </c>
      <c r="FB85">
        <v>1</v>
      </c>
      <c r="FC85">
        <v>1</v>
      </c>
      <c r="FD85" s="41">
        <v>46032</v>
      </c>
      <c r="FE85" t="s">
        <v>1370</v>
      </c>
      <c r="FF85">
        <v>7</v>
      </c>
      <c r="FG85" t="s">
        <v>1649</v>
      </c>
      <c r="FH85" t="s">
        <v>2788</v>
      </c>
      <c r="FI85">
        <v>1</v>
      </c>
      <c r="FJ85" t="s">
        <v>2789</v>
      </c>
      <c r="FK85" t="s">
        <v>2790</v>
      </c>
      <c r="FL85">
        <v>1</v>
      </c>
      <c r="FM85" t="s">
        <v>2109</v>
      </c>
      <c r="FN85" t="s">
        <v>2791</v>
      </c>
      <c r="FO85">
        <v>1</v>
      </c>
      <c r="FP85" t="s">
        <v>2792</v>
      </c>
      <c r="FQ85" t="s">
        <v>2786</v>
      </c>
      <c r="FR85">
        <v>1</v>
      </c>
      <c r="FS85" t="s">
        <v>1656</v>
      </c>
      <c r="FT85" t="s">
        <v>2793</v>
      </c>
      <c r="FU85">
        <v>1</v>
      </c>
      <c r="FV85" t="s">
        <v>1658</v>
      </c>
      <c r="FW85" t="s">
        <v>2794</v>
      </c>
      <c r="FX85">
        <v>1</v>
      </c>
      <c r="FY85" t="s">
        <v>890</v>
      </c>
      <c r="FZ85" t="s">
        <v>2795</v>
      </c>
      <c r="GA85" t="s">
        <v>2789</v>
      </c>
      <c r="GB85">
        <v>1</v>
      </c>
      <c r="GD85">
        <v>0</v>
      </c>
      <c r="GF85">
        <v>0</v>
      </c>
      <c r="GG85">
        <v>1</v>
      </c>
      <c r="GH85" t="s">
        <v>892</v>
      </c>
      <c r="GI85" t="s">
        <v>893</v>
      </c>
      <c r="GJ85" t="s">
        <v>2790</v>
      </c>
      <c r="GM85">
        <v>1</v>
      </c>
      <c r="GN85">
        <v>1</v>
      </c>
      <c r="GO85">
        <v>0</v>
      </c>
      <c r="GP85">
        <v>1</v>
      </c>
      <c r="GQ85">
        <v>1</v>
      </c>
      <c r="GR85">
        <v>0</v>
      </c>
      <c r="GS85">
        <v>1</v>
      </c>
      <c r="GT85">
        <v>0</v>
      </c>
      <c r="GU85">
        <v>1</v>
      </c>
      <c r="GV85">
        <v>0</v>
      </c>
      <c r="GW85">
        <v>1</v>
      </c>
      <c r="GX85">
        <v>0</v>
      </c>
      <c r="GY85">
        <v>1</v>
      </c>
      <c r="GZ85">
        <v>0</v>
      </c>
      <c r="HA85" t="s">
        <v>265</v>
      </c>
      <c r="HB85" t="s">
        <v>894</v>
      </c>
      <c r="HC85" t="s">
        <v>935</v>
      </c>
      <c r="HD85" t="s">
        <v>845</v>
      </c>
      <c r="HE85" t="s">
        <v>900</v>
      </c>
      <c r="HF85" t="s">
        <v>923</v>
      </c>
      <c r="HG85" t="s">
        <v>894</v>
      </c>
      <c r="HH85" t="s">
        <v>935</v>
      </c>
      <c r="HI85" t="s">
        <v>845</v>
      </c>
      <c r="HJ85" t="s">
        <v>900</v>
      </c>
      <c r="HK85" t="s">
        <v>922</v>
      </c>
      <c r="HL85" t="s">
        <v>239</v>
      </c>
      <c r="HM85" t="s">
        <v>854</v>
      </c>
      <c r="HN85">
        <v>36805</v>
      </c>
      <c r="HP85" t="s">
        <v>226</v>
      </c>
      <c r="HQ85" t="s">
        <v>896</v>
      </c>
      <c r="HR85" t="s">
        <v>896</v>
      </c>
      <c r="HS85" t="s">
        <v>896</v>
      </c>
    </row>
    <row r="86" spans="1:227" x14ac:dyDescent="0.2">
      <c r="A86">
        <v>8702</v>
      </c>
      <c r="B86">
        <v>7618302591</v>
      </c>
      <c r="C86">
        <v>36</v>
      </c>
      <c r="D86" t="s">
        <v>1302</v>
      </c>
      <c r="E86" t="s">
        <v>897</v>
      </c>
      <c r="F86">
        <v>0</v>
      </c>
      <c r="G86" t="s">
        <v>2796</v>
      </c>
      <c r="H86" t="s">
        <v>2796</v>
      </c>
      <c r="I86">
        <v>0</v>
      </c>
      <c r="J86" t="s">
        <v>833</v>
      </c>
      <c r="K86" t="s">
        <v>834</v>
      </c>
      <c r="L86">
        <v>152946690</v>
      </c>
      <c r="M86" t="s">
        <v>2797</v>
      </c>
      <c r="N86" t="s">
        <v>900</v>
      </c>
      <c r="O86" t="s">
        <v>837</v>
      </c>
      <c r="P86" t="s">
        <v>1302</v>
      </c>
      <c r="Q86" t="s">
        <v>1517</v>
      </c>
      <c r="R86" t="s">
        <v>2798</v>
      </c>
      <c r="S86" t="s">
        <v>2799</v>
      </c>
      <c r="T86">
        <v>41477093182</v>
      </c>
      <c r="V86" t="s">
        <v>212</v>
      </c>
      <c r="W86" s="41">
        <v>46205</v>
      </c>
      <c r="X86" t="s">
        <v>2800</v>
      </c>
      <c r="Y86" t="s">
        <v>2801</v>
      </c>
      <c r="AA86">
        <v>0</v>
      </c>
      <c r="AB86" t="s">
        <v>845</v>
      </c>
      <c r="AC86" t="s">
        <v>846</v>
      </c>
      <c r="AD86" t="s">
        <v>907</v>
      </c>
      <c r="AE86" t="s">
        <v>908</v>
      </c>
      <c r="AF86">
        <v>1</v>
      </c>
      <c r="AG86">
        <v>452210</v>
      </c>
      <c r="AH86" t="s">
        <v>849</v>
      </c>
      <c r="AI86" t="s">
        <v>850</v>
      </c>
      <c r="AJ86" t="s">
        <v>851</v>
      </c>
      <c r="AK86" t="s">
        <v>283</v>
      </c>
      <c r="AL86" t="s">
        <v>2802</v>
      </c>
      <c r="AM86" t="s">
        <v>2689</v>
      </c>
      <c r="AN86" t="s">
        <v>854</v>
      </c>
      <c r="AO86">
        <v>36805</v>
      </c>
      <c r="AP86">
        <v>649</v>
      </c>
      <c r="AQ86" t="s">
        <v>855</v>
      </c>
      <c r="AR86">
        <v>66533340</v>
      </c>
      <c r="AS86" t="s">
        <v>856</v>
      </c>
      <c r="AU86" t="s">
        <v>2803</v>
      </c>
      <c r="AV86" t="s">
        <v>2804</v>
      </c>
      <c r="AX86" t="s">
        <v>913</v>
      </c>
      <c r="AY86" t="s">
        <v>861</v>
      </c>
      <c r="AZ86" t="s">
        <v>283</v>
      </c>
      <c r="BA86" t="s">
        <v>284</v>
      </c>
      <c r="BB86">
        <v>0</v>
      </c>
      <c r="BC86">
        <v>0</v>
      </c>
      <c r="BD86">
        <v>0</v>
      </c>
      <c r="BE86" t="s">
        <v>2797</v>
      </c>
      <c r="BF86">
        <v>0</v>
      </c>
      <c r="BG86">
        <v>0</v>
      </c>
      <c r="BH86" t="s">
        <v>862</v>
      </c>
      <c r="BI86">
        <v>0</v>
      </c>
      <c r="BJ86" t="s">
        <v>862</v>
      </c>
      <c r="BK86">
        <v>1</v>
      </c>
      <c r="BL86">
        <v>1</v>
      </c>
      <c r="BM86">
        <v>0</v>
      </c>
      <c r="BN86" t="s">
        <v>596</v>
      </c>
      <c r="BO86">
        <v>152946690</v>
      </c>
      <c r="BP86" t="s">
        <v>2796</v>
      </c>
      <c r="BQ86">
        <v>42.323561400000003</v>
      </c>
      <c r="BR86">
        <v>42791782</v>
      </c>
      <c r="BS86">
        <v>-83.469550699999999</v>
      </c>
      <c r="BT86">
        <v>2</v>
      </c>
      <c r="BU86" t="s">
        <v>1062</v>
      </c>
      <c r="BY86">
        <v>16</v>
      </c>
      <c r="CA86">
        <v>6</v>
      </c>
      <c r="CE86">
        <v>1</v>
      </c>
      <c r="CI86">
        <v>11</v>
      </c>
      <c r="CJ86" t="s">
        <v>94</v>
      </c>
      <c r="CM86">
        <v>4010</v>
      </c>
      <c r="CO86">
        <v>7360</v>
      </c>
      <c r="CP86">
        <v>0.41670000000000001</v>
      </c>
      <c r="CQ86">
        <v>0.41670000000000001</v>
      </c>
      <c r="CR86">
        <v>0.16669999999999999</v>
      </c>
      <c r="CS86">
        <v>13</v>
      </c>
      <c r="CT86" t="s">
        <v>2805</v>
      </c>
      <c r="CU86" t="s">
        <v>2806</v>
      </c>
      <c r="CV86" t="s">
        <v>833</v>
      </c>
      <c r="CW86" t="s">
        <v>834</v>
      </c>
      <c r="CX86" t="s">
        <v>2797</v>
      </c>
      <c r="CY86">
        <v>0</v>
      </c>
      <c r="CZ86">
        <v>0</v>
      </c>
      <c r="DA86" t="s">
        <v>833</v>
      </c>
      <c r="DB86" t="s">
        <v>865</v>
      </c>
      <c r="DC86">
        <v>48187</v>
      </c>
      <c r="DD86">
        <v>6.1666999999999996</v>
      </c>
      <c r="DE86" t="s">
        <v>866</v>
      </c>
      <c r="DG86" t="s">
        <v>867</v>
      </c>
      <c r="DH86" t="s">
        <v>851</v>
      </c>
      <c r="DI86" t="s">
        <v>2323</v>
      </c>
      <c r="DK86" t="s">
        <v>918</v>
      </c>
      <c r="DL86" t="s">
        <v>869</v>
      </c>
      <c r="DM86">
        <v>0</v>
      </c>
      <c r="DN86">
        <v>0</v>
      </c>
      <c r="DO86">
        <v>2</v>
      </c>
      <c r="DP86" t="s">
        <v>870</v>
      </c>
      <c r="DQ86">
        <v>16</v>
      </c>
      <c r="DR86">
        <v>370</v>
      </c>
      <c r="DS86">
        <v>370</v>
      </c>
      <c r="DT86">
        <v>5.75</v>
      </c>
      <c r="DU86">
        <v>4</v>
      </c>
      <c r="DV86">
        <v>1</v>
      </c>
      <c r="DW86">
        <v>2</v>
      </c>
      <c r="DX86" t="s">
        <v>596</v>
      </c>
      <c r="DY86" t="s">
        <v>2797</v>
      </c>
      <c r="DZ86">
        <v>1</v>
      </c>
      <c r="EA86">
        <v>1</v>
      </c>
      <c r="EB86">
        <v>1</v>
      </c>
      <c r="EC86">
        <v>0</v>
      </c>
      <c r="ED86">
        <v>0</v>
      </c>
      <c r="EE86">
        <v>1</v>
      </c>
      <c r="EF86" t="s">
        <v>920</v>
      </c>
      <c r="EG86" t="s">
        <v>595</v>
      </c>
      <c r="EH86" t="s">
        <v>921</v>
      </c>
      <c r="EI86" t="s">
        <v>921</v>
      </c>
      <c r="EJ86" t="s">
        <v>178</v>
      </c>
      <c r="EK86">
        <v>9090</v>
      </c>
      <c r="EL86">
        <v>0</v>
      </c>
      <c r="EM86" t="s">
        <v>952</v>
      </c>
      <c r="EN86">
        <v>0.16669999999999999</v>
      </c>
      <c r="EO86">
        <v>6.1666667000000004</v>
      </c>
      <c r="EP86">
        <v>99991120</v>
      </c>
      <c r="EQ86" t="s">
        <v>874</v>
      </c>
      <c r="ER86" t="s">
        <v>875</v>
      </c>
      <c r="ES86" t="s">
        <v>876</v>
      </c>
      <c r="ET86" t="s">
        <v>877</v>
      </c>
      <c r="EU86" t="s">
        <v>877</v>
      </c>
      <c r="EV86" t="s">
        <v>920</v>
      </c>
      <c r="EX86" t="s">
        <v>900</v>
      </c>
      <c r="EY86" t="s">
        <v>923</v>
      </c>
      <c r="EZ86" t="s">
        <v>955</v>
      </c>
      <c r="FA86" t="s">
        <v>956</v>
      </c>
      <c r="FB86">
        <v>1</v>
      </c>
      <c r="FC86">
        <v>1</v>
      </c>
      <c r="FD86" s="41">
        <v>46207</v>
      </c>
      <c r="FE86" t="s">
        <v>1066</v>
      </c>
      <c r="FF86">
        <v>6</v>
      </c>
      <c r="FG86" t="s">
        <v>964</v>
      </c>
      <c r="FH86" t="s">
        <v>2807</v>
      </c>
      <c r="FI86">
        <v>1</v>
      </c>
      <c r="FJ86" t="s">
        <v>2808</v>
      </c>
      <c r="FK86" t="s">
        <v>2809</v>
      </c>
      <c r="FL86">
        <v>1</v>
      </c>
      <c r="FM86" t="s">
        <v>2810</v>
      </c>
      <c r="FN86" t="s">
        <v>2811</v>
      </c>
      <c r="FO86">
        <v>1</v>
      </c>
      <c r="FP86" t="s">
        <v>2812</v>
      </c>
      <c r="FQ86" t="s">
        <v>2806</v>
      </c>
      <c r="FR86">
        <v>1</v>
      </c>
      <c r="FS86" t="s">
        <v>2777</v>
      </c>
      <c r="FT86" t="s">
        <v>2813</v>
      </c>
      <c r="FU86">
        <v>1</v>
      </c>
      <c r="FV86" t="s">
        <v>2814</v>
      </c>
      <c r="FW86" t="s">
        <v>2815</v>
      </c>
      <c r="FX86">
        <v>1</v>
      </c>
      <c r="FY86" t="s">
        <v>890</v>
      </c>
      <c r="FZ86" t="s">
        <v>2816</v>
      </c>
      <c r="GA86" t="s">
        <v>2808</v>
      </c>
      <c r="GB86">
        <v>1</v>
      </c>
      <c r="GD86">
        <v>0</v>
      </c>
      <c r="GF86">
        <v>0</v>
      </c>
      <c r="GG86">
        <v>1</v>
      </c>
      <c r="GH86" t="s">
        <v>892</v>
      </c>
      <c r="GI86" t="s">
        <v>893</v>
      </c>
      <c r="GJ86" t="s">
        <v>2809</v>
      </c>
      <c r="GM86">
        <v>1</v>
      </c>
      <c r="GN86">
        <v>1</v>
      </c>
      <c r="GO86">
        <v>0</v>
      </c>
      <c r="GP86">
        <v>1</v>
      </c>
      <c r="GQ86">
        <v>1</v>
      </c>
      <c r="GR86">
        <v>0</v>
      </c>
      <c r="GS86">
        <v>1</v>
      </c>
      <c r="GT86">
        <v>0</v>
      </c>
      <c r="GU86">
        <v>1</v>
      </c>
      <c r="GV86">
        <v>0</v>
      </c>
      <c r="GW86">
        <v>1</v>
      </c>
      <c r="GX86">
        <v>0</v>
      </c>
      <c r="GY86">
        <v>1</v>
      </c>
      <c r="GZ86">
        <v>0</v>
      </c>
      <c r="HA86" t="s">
        <v>283</v>
      </c>
      <c r="HB86" t="s">
        <v>894</v>
      </c>
      <c r="HC86" t="s">
        <v>935</v>
      </c>
      <c r="HD86" t="s">
        <v>845</v>
      </c>
      <c r="HE86" t="s">
        <v>900</v>
      </c>
      <c r="HF86" t="s">
        <v>923</v>
      </c>
      <c r="HG86" t="s">
        <v>894</v>
      </c>
      <c r="HH86" t="s">
        <v>935</v>
      </c>
      <c r="HI86" t="s">
        <v>845</v>
      </c>
      <c r="HJ86" t="s">
        <v>900</v>
      </c>
      <c r="HK86" t="s">
        <v>952</v>
      </c>
      <c r="HL86" t="s">
        <v>212</v>
      </c>
      <c r="HM86" t="s">
        <v>854</v>
      </c>
      <c r="HN86">
        <v>36805</v>
      </c>
      <c r="HP86" t="s">
        <v>178</v>
      </c>
      <c r="HQ86" t="s">
        <v>896</v>
      </c>
      <c r="HR86" t="s">
        <v>896</v>
      </c>
      <c r="HS86" t="s">
        <v>896</v>
      </c>
    </row>
    <row r="87" spans="1:227" x14ac:dyDescent="0.2">
      <c r="A87">
        <v>8702</v>
      </c>
      <c r="B87">
        <v>7608004726</v>
      </c>
      <c r="C87">
        <v>34</v>
      </c>
      <c r="D87" t="s">
        <v>996</v>
      </c>
      <c r="E87" t="s">
        <v>831</v>
      </c>
      <c r="F87">
        <v>0</v>
      </c>
      <c r="G87" t="s">
        <v>2817</v>
      </c>
      <c r="H87" t="s">
        <v>2817</v>
      </c>
      <c r="I87">
        <v>0</v>
      </c>
      <c r="J87" t="s">
        <v>833</v>
      </c>
      <c r="K87" t="s">
        <v>834</v>
      </c>
      <c r="L87">
        <v>152949104</v>
      </c>
      <c r="M87" t="s">
        <v>2818</v>
      </c>
      <c r="N87" t="s">
        <v>836</v>
      </c>
      <c r="O87" t="s">
        <v>837</v>
      </c>
      <c r="P87" t="s">
        <v>999</v>
      </c>
      <c r="Q87" t="s">
        <v>1027</v>
      </c>
      <c r="R87" t="s">
        <v>2819</v>
      </c>
      <c r="S87" t="s">
        <v>2820</v>
      </c>
      <c r="T87">
        <v>30300105423</v>
      </c>
      <c r="V87" t="s">
        <v>219</v>
      </c>
      <c r="W87" s="41">
        <v>46102</v>
      </c>
      <c r="X87" t="s">
        <v>2821</v>
      </c>
      <c r="Y87" t="s">
        <v>2822</v>
      </c>
      <c r="AA87">
        <v>0</v>
      </c>
      <c r="AB87" t="s">
        <v>845</v>
      </c>
      <c r="AC87" t="s">
        <v>846</v>
      </c>
      <c r="AD87" t="s">
        <v>1113</v>
      </c>
      <c r="AE87" t="s">
        <v>1114</v>
      </c>
      <c r="AF87">
        <v>1</v>
      </c>
      <c r="AG87">
        <v>452210</v>
      </c>
      <c r="AH87" t="s">
        <v>849</v>
      </c>
      <c r="AI87" t="s">
        <v>850</v>
      </c>
      <c r="AJ87" t="s">
        <v>851</v>
      </c>
      <c r="AK87" t="s">
        <v>323</v>
      </c>
      <c r="AL87" t="s">
        <v>1799</v>
      </c>
      <c r="AM87" t="s">
        <v>2823</v>
      </c>
      <c r="AN87" t="s">
        <v>854</v>
      </c>
      <c r="AO87">
        <v>36805</v>
      </c>
      <c r="AP87">
        <v>708</v>
      </c>
      <c r="AQ87" t="s">
        <v>855</v>
      </c>
      <c r="AR87">
        <v>66385231</v>
      </c>
      <c r="AS87" t="s">
        <v>856</v>
      </c>
      <c r="AU87" t="s">
        <v>2824</v>
      </c>
      <c r="AV87" t="s">
        <v>2825</v>
      </c>
      <c r="AX87" t="s">
        <v>913</v>
      </c>
      <c r="AY87" t="s">
        <v>861</v>
      </c>
      <c r="AZ87" t="s">
        <v>323</v>
      </c>
      <c r="BA87" t="s">
        <v>324</v>
      </c>
      <c r="BB87">
        <v>1</v>
      </c>
      <c r="BC87">
        <v>0</v>
      </c>
      <c r="BD87">
        <v>0</v>
      </c>
      <c r="BE87" t="s">
        <v>2818</v>
      </c>
      <c r="BF87">
        <v>0</v>
      </c>
      <c r="BG87">
        <v>0</v>
      </c>
      <c r="BH87" t="s">
        <v>862</v>
      </c>
      <c r="BI87">
        <v>0</v>
      </c>
      <c r="BJ87" t="s">
        <v>862</v>
      </c>
      <c r="BK87">
        <v>1</v>
      </c>
      <c r="BL87">
        <v>1</v>
      </c>
      <c r="BM87">
        <v>0</v>
      </c>
      <c r="BN87" t="s">
        <v>596</v>
      </c>
      <c r="BO87">
        <v>152949104</v>
      </c>
      <c r="BP87" t="s">
        <v>2817</v>
      </c>
      <c r="BQ87">
        <v>42.570405100000002</v>
      </c>
      <c r="BR87">
        <v>42791787</v>
      </c>
      <c r="BS87">
        <v>-87.889577799999998</v>
      </c>
      <c r="BT87">
        <v>2</v>
      </c>
      <c r="BU87" t="s">
        <v>1715</v>
      </c>
      <c r="BY87">
        <v>16</v>
      </c>
      <c r="CA87">
        <v>6</v>
      </c>
      <c r="CE87">
        <v>1</v>
      </c>
      <c r="CI87">
        <v>11</v>
      </c>
      <c r="CJ87" t="s">
        <v>94</v>
      </c>
      <c r="CM87">
        <v>4010</v>
      </c>
      <c r="CO87">
        <v>7360</v>
      </c>
      <c r="CP87">
        <v>0.4667</v>
      </c>
      <c r="CQ87">
        <v>0.4667</v>
      </c>
      <c r="CR87">
        <v>0</v>
      </c>
      <c r="CS87">
        <v>1</v>
      </c>
      <c r="CT87" t="s">
        <v>2826</v>
      </c>
      <c r="CU87" t="s">
        <v>2827</v>
      </c>
      <c r="CV87" t="s">
        <v>833</v>
      </c>
      <c r="CW87" t="s">
        <v>834</v>
      </c>
      <c r="CX87" t="s">
        <v>2818</v>
      </c>
      <c r="CY87">
        <v>1</v>
      </c>
      <c r="CZ87">
        <v>1</v>
      </c>
      <c r="DA87" t="s">
        <v>833</v>
      </c>
      <c r="DB87" t="s">
        <v>865</v>
      </c>
      <c r="DC87">
        <v>53142</v>
      </c>
      <c r="DD87">
        <v>6.2332999999999998</v>
      </c>
      <c r="DE87" t="s">
        <v>866</v>
      </c>
      <c r="DG87" t="s">
        <v>867</v>
      </c>
      <c r="DH87" t="s">
        <v>851</v>
      </c>
      <c r="DI87" t="s">
        <v>2828</v>
      </c>
      <c r="DK87" t="s">
        <v>918</v>
      </c>
      <c r="DL87" t="s">
        <v>869</v>
      </c>
      <c r="DM87">
        <v>0</v>
      </c>
      <c r="DN87">
        <v>0</v>
      </c>
      <c r="DO87">
        <v>11</v>
      </c>
      <c r="DP87" t="s">
        <v>1010</v>
      </c>
      <c r="DQ87">
        <v>0</v>
      </c>
      <c r="DR87">
        <v>374</v>
      </c>
      <c r="DS87">
        <v>433</v>
      </c>
      <c r="DT87">
        <v>6.2332999999999998</v>
      </c>
      <c r="DU87">
        <v>0</v>
      </c>
      <c r="DV87">
        <v>1</v>
      </c>
      <c r="DW87">
        <v>2</v>
      </c>
      <c r="DX87" t="s">
        <v>596</v>
      </c>
      <c r="DY87" t="s">
        <v>2818</v>
      </c>
      <c r="DZ87">
        <v>1</v>
      </c>
      <c r="EA87">
        <v>1</v>
      </c>
      <c r="EB87">
        <v>1</v>
      </c>
      <c r="EC87">
        <v>1</v>
      </c>
      <c r="ED87">
        <v>1</v>
      </c>
      <c r="EE87">
        <v>1</v>
      </c>
      <c r="EF87" t="s">
        <v>920</v>
      </c>
      <c r="EG87" t="s">
        <v>595</v>
      </c>
      <c r="EH87" t="s">
        <v>921</v>
      </c>
      <c r="EI87" t="s">
        <v>921</v>
      </c>
      <c r="EJ87" t="s">
        <v>215</v>
      </c>
      <c r="EK87">
        <v>9090</v>
      </c>
      <c r="EL87">
        <v>0</v>
      </c>
      <c r="EM87" t="s">
        <v>873</v>
      </c>
      <c r="EN87">
        <v>0.4667</v>
      </c>
      <c r="EO87">
        <v>7.2166667000000002</v>
      </c>
      <c r="EP87">
        <v>99991120</v>
      </c>
      <c r="EQ87" t="s">
        <v>874</v>
      </c>
      <c r="ER87" t="s">
        <v>875</v>
      </c>
      <c r="ES87" t="s">
        <v>876</v>
      </c>
      <c r="ET87" t="s">
        <v>877</v>
      </c>
      <c r="EU87" t="s">
        <v>877</v>
      </c>
      <c r="EV87" t="s">
        <v>920</v>
      </c>
      <c r="EX87" t="s">
        <v>836</v>
      </c>
      <c r="EY87" t="s">
        <v>873</v>
      </c>
      <c r="EZ87" t="s">
        <v>1807</v>
      </c>
      <c r="FA87" t="s">
        <v>925</v>
      </c>
      <c r="FB87">
        <v>1</v>
      </c>
      <c r="FC87">
        <v>1</v>
      </c>
      <c r="FD87" s="41">
        <v>46102</v>
      </c>
      <c r="FE87" t="s">
        <v>1719</v>
      </c>
      <c r="FF87">
        <v>8</v>
      </c>
      <c r="FG87" t="s">
        <v>2829</v>
      </c>
      <c r="FH87" t="s">
        <v>2830</v>
      </c>
      <c r="FI87">
        <v>1</v>
      </c>
      <c r="FJ87" t="s">
        <v>2831</v>
      </c>
      <c r="FK87" t="s">
        <v>2832</v>
      </c>
      <c r="FL87">
        <v>1</v>
      </c>
      <c r="FM87" t="s">
        <v>2833</v>
      </c>
      <c r="FN87" t="s">
        <v>2834</v>
      </c>
      <c r="FO87">
        <v>1</v>
      </c>
      <c r="FP87" t="s">
        <v>2835</v>
      </c>
      <c r="FQ87" t="s">
        <v>2827</v>
      </c>
      <c r="FR87">
        <v>1</v>
      </c>
      <c r="FS87" t="s">
        <v>2836</v>
      </c>
      <c r="FT87" t="s">
        <v>2837</v>
      </c>
      <c r="FU87">
        <v>1</v>
      </c>
      <c r="FV87" t="s">
        <v>2838</v>
      </c>
      <c r="FW87" t="s">
        <v>2839</v>
      </c>
      <c r="FX87">
        <v>1</v>
      </c>
      <c r="FY87" t="s">
        <v>890</v>
      </c>
      <c r="FZ87" t="s">
        <v>2840</v>
      </c>
      <c r="GA87" t="s">
        <v>2831</v>
      </c>
      <c r="GB87">
        <v>1</v>
      </c>
      <c r="GD87">
        <v>0</v>
      </c>
      <c r="GF87">
        <v>0</v>
      </c>
      <c r="GG87">
        <v>1</v>
      </c>
      <c r="GH87" t="s">
        <v>892</v>
      </c>
      <c r="GI87" t="s">
        <v>893</v>
      </c>
      <c r="GJ87" t="s">
        <v>2832</v>
      </c>
      <c r="GM87">
        <v>1</v>
      </c>
      <c r="GN87">
        <v>1</v>
      </c>
      <c r="GO87">
        <v>0</v>
      </c>
      <c r="GP87">
        <v>1</v>
      </c>
      <c r="GQ87">
        <v>1</v>
      </c>
      <c r="GR87">
        <v>0</v>
      </c>
      <c r="GS87">
        <v>1</v>
      </c>
      <c r="GT87">
        <v>0</v>
      </c>
      <c r="GU87">
        <v>1</v>
      </c>
      <c r="GV87">
        <v>0</v>
      </c>
      <c r="GW87">
        <v>1</v>
      </c>
      <c r="GX87">
        <v>0</v>
      </c>
      <c r="GY87">
        <v>1</v>
      </c>
      <c r="GZ87">
        <v>0</v>
      </c>
      <c r="HA87" t="s">
        <v>323</v>
      </c>
      <c r="HB87" t="s">
        <v>894</v>
      </c>
      <c r="HC87" t="s">
        <v>895</v>
      </c>
      <c r="HD87" t="s">
        <v>845</v>
      </c>
      <c r="HE87" t="s">
        <v>836</v>
      </c>
      <c r="HF87" t="s">
        <v>873</v>
      </c>
      <c r="HG87" t="s">
        <v>894</v>
      </c>
      <c r="HH87" t="s">
        <v>895</v>
      </c>
      <c r="HI87" t="s">
        <v>845</v>
      </c>
      <c r="HJ87" t="s">
        <v>836</v>
      </c>
      <c r="HK87" t="s">
        <v>873</v>
      </c>
      <c r="HL87" t="s">
        <v>219</v>
      </c>
      <c r="HM87" t="s">
        <v>854</v>
      </c>
      <c r="HN87">
        <v>36805</v>
      </c>
      <c r="HP87" t="s">
        <v>215</v>
      </c>
      <c r="HQ87" t="s">
        <v>896</v>
      </c>
      <c r="HR87" t="s">
        <v>896</v>
      </c>
      <c r="HS87" t="s">
        <v>896</v>
      </c>
    </row>
    <row r="88" spans="1:227" x14ac:dyDescent="0.2">
      <c r="A88">
        <v>8702</v>
      </c>
      <c r="B88">
        <v>7525904672</v>
      </c>
      <c r="C88" t="s">
        <v>829</v>
      </c>
      <c r="D88" t="s">
        <v>830</v>
      </c>
      <c r="E88" t="s">
        <v>831</v>
      </c>
      <c r="F88">
        <v>1</v>
      </c>
      <c r="G88" t="s">
        <v>2841</v>
      </c>
      <c r="H88" t="s">
        <v>2841</v>
      </c>
      <c r="I88">
        <v>0</v>
      </c>
      <c r="J88" t="s">
        <v>833</v>
      </c>
      <c r="K88" t="s">
        <v>834</v>
      </c>
      <c r="L88">
        <v>156046177</v>
      </c>
      <c r="M88" t="s">
        <v>1729</v>
      </c>
      <c r="N88" t="s">
        <v>836</v>
      </c>
      <c r="O88" t="s">
        <v>837</v>
      </c>
      <c r="P88" t="s">
        <v>838</v>
      </c>
      <c r="Q88" t="s">
        <v>901</v>
      </c>
      <c r="R88" t="s">
        <v>2842</v>
      </c>
      <c r="S88" t="s">
        <v>2843</v>
      </c>
      <c r="T88">
        <v>30300105488</v>
      </c>
      <c r="V88" t="s">
        <v>1732</v>
      </c>
      <c r="W88" s="41">
        <v>45916</v>
      </c>
      <c r="X88" t="s">
        <v>2844</v>
      </c>
      <c r="Y88" t="s">
        <v>2845</v>
      </c>
      <c r="AA88">
        <v>0</v>
      </c>
      <c r="AB88" t="s">
        <v>845</v>
      </c>
      <c r="AC88" t="s">
        <v>846</v>
      </c>
      <c r="AD88" t="s">
        <v>847</v>
      </c>
      <c r="AE88" t="s">
        <v>848</v>
      </c>
      <c r="AF88">
        <v>1</v>
      </c>
      <c r="AG88">
        <v>452210</v>
      </c>
      <c r="AH88" t="s">
        <v>849</v>
      </c>
      <c r="AI88" t="s">
        <v>850</v>
      </c>
      <c r="AJ88" t="s">
        <v>851</v>
      </c>
      <c r="AK88" t="s">
        <v>273</v>
      </c>
      <c r="AL88" t="s">
        <v>2846</v>
      </c>
      <c r="AM88" t="s">
        <v>1736</v>
      </c>
      <c r="AN88" t="s">
        <v>854</v>
      </c>
      <c r="AO88">
        <v>36805</v>
      </c>
      <c r="AP88">
        <v>494</v>
      </c>
      <c r="AQ88" t="s">
        <v>855</v>
      </c>
      <c r="AR88">
        <v>66117108</v>
      </c>
      <c r="AS88" t="s">
        <v>856</v>
      </c>
      <c r="AU88" t="s">
        <v>2847</v>
      </c>
      <c r="AV88" t="s">
        <v>2848</v>
      </c>
      <c r="AX88" t="s">
        <v>913</v>
      </c>
      <c r="AY88" t="s">
        <v>861</v>
      </c>
      <c r="AZ88" t="s">
        <v>273</v>
      </c>
      <c r="BA88" t="s">
        <v>274</v>
      </c>
      <c r="BB88">
        <v>0</v>
      </c>
      <c r="BC88">
        <v>0</v>
      </c>
      <c r="BD88">
        <v>1</v>
      </c>
      <c r="BE88" t="s">
        <v>1729</v>
      </c>
      <c r="BF88">
        <v>0</v>
      </c>
      <c r="BG88">
        <v>0</v>
      </c>
      <c r="BH88" t="s">
        <v>862</v>
      </c>
      <c r="BI88">
        <v>0</v>
      </c>
      <c r="BJ88" t="s">
        <v>862</v>
      </c>
      <c r="BK88">
        <v>1</v>
      </c>
      <c r="BL88">
        <v>1</v>
      </c>
      <c r="BM88">
        <v>0</v>
      </c>
      <c r="BN88" t="s">
        <v>596</v>
      </c>
      <c r="BO88">
        <v>156046177</v>
      </c>
      <c r="BP88" t="s">
        <v>2841</v>
      </c>
      <c r="BR88">
        <v>42789059</v>
      </c>
      <c r="BT88">
        <v>0</v>
      </c>
      <c r="CM88">
        <v>4010</v>
      </c>
      <c r="CO88">
        <v>7360</v>
      </c>
      <c r="CP88">
        <v>0.85</v>
      </c>
      <c r="CQ88">
        <v>0.85</v>
      </c>
      <c r="CR88">
        <v>1.35</v>
      </c>
      <c r="CS88">
        <v>4</v>
      </c>
      <c r="CT88" t="s">
        <v>2849</v>
      </c>
      <c r="CU88" t="s">
        <v>2850</v>
      </c>
      <c r="CV88" t="s">
        <v>833</v>
      </c>
      <c r="CW88" t="s">
        <v>834</v>
      </c>
      <c r="CX88" t="s">
        <v>1729</v>
      </c>
      <c r="CY88">
        <v>1</v>
      </c>
      <c r="CZ88">
        <v>1</v>
      </c>
      <c r="DA88" t="s">
        <v>833</v>
      </c>
      <c r="DB88" t="s">
        <v>865</v>
      </c>
      <c r="DC88">
        <v>63123</v>
      </c>
      <c r="DD88">
        <v>4.1500000000000004</v>
      </c>
      <c r="DE88" t="s">
        <v>866</v>
      </c>
      <c r="DG88" t="s">
        <v>867</v>
      </c>
      <c r="DH88" t="s">
        <v>851</v>
      </c>
      <c r="DI88" t="s">
        <v>984</v>
      </c>
      <c r="DL88" t="s">
        <v>869</v>
      </c>
      <c r="DM88">
        <v>0</v>
      </c>
      <c r="DN88">
        <v>0</v>
      </c>
      <c r="DO88">
        <v>11</v>
      </c>
      <c r="DP88" t="s">
        <v>1010</v>
      </c>
      <c r="DQ88">
        <v>16</v>
      </c>
      <c r="DR88">
        <v>249</v>
      </c>
      <c r="DS88">
        <v>249</v>
      </c>
      <c r="DT88">
        <v>3.3</v>
      </c>
      <c r="DU88">
        <v>4</v>
      </c>
      <c r="DW88">
        <v>2</v>
      </c>
      <c r="DX88" t="s">
        <v>596</v>
      </c>
      <c r="DY88" t="s">
        <v>1729</v>
      </c>
      <c r="DZ88">
        <v>1</v>
      </c>
      <c r="EA88">
        <v>1</v>
      </c>
      <c r="EB88">
        <v>1</v>
      </c>
      <c r="EC88">
        <v>1</v>
      </c>
      <c r="ED88">
        <v>1</v>
      </c>
      <c r="EE88">
        <v>1</v>
      </c>
      <c r="EF88" t="s">
        <v>920</v>
      </c>
      <c r="EG88" t="s">
        <v>595</v>
      </c>
      <c r="EH88" t="s">
        <v>921</v>
      </c>
      <c r="EI88" t="s">
        <v>921</v>
      </c>
      <c r="EJ88" t="s">
        <v>111</v>
      </c>
      <c r="EK88">
        <v>9090</v>
      </c>
      <c r="EL88">
        <v>0</v>
      </c>
      <c r="EM88" t="s">
        <v>1037</v>
      </c>
      <c r="EN88">
        <v>1.6167</v>
      </c>
      <c r="EO88">
        <v>4.1500000000000004</v>
      </c>
      <c r="EP88">
        <v>99991120</v>
      </c>
      <c r="EQ88" t="s">
        <v>874</v>
      </c>
      <c r="ER88" t="s">
        <v>875</v>
      </c>
      <c r="ES88" t="s">
        <v>876</v>
      </c>
      <c r="ET88" t="s">
        <v>877</v>
      </c>
      <c r="EU88" t="s">
        <v>877</v>
      </c>
      <c r="EV88" t="s">
        <v>920</v>
      </c>
      <c r="EX88" t="s">
        <v>900</v>
      </c>
      <c r="EY88" t="s">
        <v>923</v>
      </c>
      <c r="EZ88" t="s">
        <v>1038</v>
      </c>
      <c r="FA88" t="s">
        <v>925</v>
      </c>
      <c r="FB88">
        <v>1</v>
      </c>
      <c r="FC88">
        <v>1</v>
      </c>
      <c r="FD88" s="41">
        <v>45920</v>
      </c>
      <c r="FE88" t="s">
        <v>880</v>
      </c>
      <c r="FF88">
        <v>7</v>
      </c>
      <c r="FG88" t="s">
        <v>2851</v>
      </c>
      <c r="FH88" t="s">
        <v>2852</v>
      </c>
      <c r="FI88">
        <v>1</v>
      </c>
      <c r="FJ88" t="s">
        <v>2853</v>
      </c>
      <c r="FK88" t="s">
        <v>2852</v>
      </c>
      <c r="FL88">
        <v>1</v>
      </c>
      <c r="FM88" t="s">
        <v>2676</v>
      </c>
      <c r="FN88" t="s">
        <v>2854</v>
      </c>
      <c r="FO88">
        <v>1</v>
      </c>
      <c r="FP88" t="s">
        <v>2855</v>
      </c>
      <c r="FQ88" t="s">
        <v>2850</v>
      </c>
      <c r="FR88">
        <v>1</v>
      </c>
      <c r="FS88" t="s">
        <v>1100</v>
      </c>
      <c r="FT88" t="s">
        <v>2856</v>
      </c>
      <c r="FU88">
        <v>1</v>
      </c>
      <c r="FV88" t="s">
        <v>1102</v>
      </c>
      <c r="FW88" t="s">
        <v>2857</v>
      </c>
      <c r="FX88">
        <v>1</v>
      </c>
      <c r="FY88" t="s">
        <v>890</v>
      </c>
      <c r="FZ88" t="s">
        <v>2858</v>
      </c>
      <c r="GA88" t="s">
        <v>2853</v>
      </c>
      <c r="GB88">
        <v>1</v>
      </c>
      <c r="GD88">
        <v>0</v>
      </c>
      <c r="GF88">
        <v>0</v>
      </c>
      <c r="GG88">
        <v>1</v>
      </c>
      <c r="GH88" t="s">
        <v>892</v>
      </c>
      <c r="GI88" t="s">
        <v>893</v>
      </c>
      <c r="GJ88" t="s">
        <v>2852</v>
      </c>
      <c r="GM88">
        <v>1</v>
      </c>
      <c r="GN88">
        <v>1</v>
      </c>
      <c r="GO88">
        <v>0</v>
      </c>
      <c r="GP88">
        <v>1</v>
      </c>
      <c r="GQ88">
        <v>1</v>
      </c>
      <c r="GR88">
        <v>0</v>
      </c>
      <c r="GS88">
        <v>1</v>
      </c>
      <c r="GT88">
        <v>0</v>
      </c>
      <c r="GU88">
        <v>1</v>
      </c>
      <c r="GV88">
        <v>0</v>
      </c>
      <c r="GW88">
        <v>1</v>
      </c>
      <c r="GX88">
        <v>0</v>
      </c>
      <c r="GY88">
        <v>1</v>
      </c>
      <c r="GZ88">
        <v>0</v>
      </c>
      <c r="HA88" t="s">
        <v>273</v>
      </c>
      <c r="HB88" t="s">
        <v>894</v>
      </c>
      <c r="HC88" t="s">
        <v>895</v>
      </c>
      <c r="HD88" t="s">
        <v>845</v>
      </c>
      <c r="HE88" t="s">
        <v>836</v>
      </c>
      <c r="HF88" t="s">
        <v>1051</v>
      </c>
      <c r="HG88" t="s">
        <v>894</v>
      </c>
      <c r="HH88" t="s">
        <v>895</v>
      </c>
      <c r="HI88" t="s">
        <v>845</v>
      </c>
      <c r="HJ88" t="s">
        <v>836</v>
      </c>
      <c r="HK88" t="s">
        <v>1037</v>
      </c>
      <c r="HL88" t="s">
        <v>1732</v>
      </c>
      <c r="HM88" t="s">
        <v>854</v>
      </c>
      <c r="HN88">
        <v>36805</v>
      </c>
      <c r="HP88" t="s">
        <v>111</v>
      </c>
      <c r="HQ88" t="s">
        <v>896</v>
      </c>
      <c r="HR88" t="s">
        <v>896</v>
      </c>
      <c r="HS88" t="s">
        <v>896</v>
      </c>
    </row>
    <row r="89" spans="1:227" x14ac:dyDescent="0.2">
      <c r="A89">
        <v>8702</v>
      </c>
      <c r="B89">
        <v>7615711241</v>
      </c>
      <c r="C89">
        <v>36</v>
      </c>
      <c r="D89" t="s">
        <v>1302</v>
      </c>
      <c r="E89" t="s">
        <v>897</v>
      </c>
      <c r="F89">
        <v>0</v>
      </c>
      <c r="G89" t="s">
        <v>2859</v>
      </c>
      <c r="H89" t="s">
        <v>2859</v>
      </c>
      <c r="I89">
        <v>0</v>
      </c>
      <c r="J89" t="s">
        <v>833</v>
      </c>
      <c r="K89" t="s">
        <v>834</v>
      </c>
      <c r="L89">
        <v>153008238</v>
      </c>
      <c r="M89" t="s">
        <v>2202</v>
      </c>
      <c r="N89" t="s">
        <v>900</v>
      </c>
      <c r="O89" t="s">
        <v>837</v>
      </c>
      <c r="P89" t="s">
        <v>1302</v>
      </c>
      <c r="Q89" t="s">
        <v>1517</v>
      </c>
      <c r="R89" t="s">
        <v>2860</v>
      </c>
      <c r="S89" t="s">
        <v>2861</v>
      </c>
      <c r="T89">
        <v>41477122128</v>
      </c>
      <c r="V89" t="s">
        <v>133</v>
      </c>
      <c r="W89" s="41">
        <v>46179</v>
      </c>
      <c r="X89" t="s">
        <v>2862</v>
      </c>
      <c r="Y89" t="s">
        <v>2863</v>
      </c>
      <c r="AA89">
        <v>0</v>
      </c>
      <c r="AB89" t="s">
        <v>845</v>
      </c>
      <c r="AC89" t="s">
        <v>846</v>
      </c>
      <c r="AD89" t="s">
        <v>907</v>
      </c>
      <c r="AE89" t="s">
        <v>908</v>
      </c>
      <c r="AF89">
        <v>1</v>
      </c>
      <c r="AG89">
        <v>452210</v>
      </c>
      <c r="AH89" t="s">
        <v>849</v>
      </c>
      <c r="AI89" t="s">
        <v>850</v>
      </c>
      <c r="AJ89" t="s">
        <v>851</v>
      </c>
      <c r="AK89" t="s">
        <v>263</v>
      </c>
      <c r="AL89" t="s">
        <v>2230</v>
      </c>
      <c r="AM89" t="s">
        <v>2208</v>
      </c>
      <c r="AN89" t="s">
        <v>854</v>
      </c>
      <c r="AO89">
        <v>36805</v>
      </c>
      <c r="AP89">
        <v>525</v>
      </c>
      <c r="AQ89" t="s">
        <v>855</v>
      </c>
      <c r="AR89">
        <v>66495884</v>
      </c>
      <c r="AS89" t="s">
        <v>856</v>
      </c>
      <c r="AU89" t="s">
        <v>2864</v>
      </c>
      <c r="AV89" t="s">
        <v>2865</v>
      </c>
      <c r="AX89" t="s">
        <v>913</v>
      </c>
      <c r="AY89" t="s">
        <v>861</v>
      </c>
      <c r="AZ89" t="s">
        <v>263</v>
      </c>
      <c r="BA89" t="s">
        <v>264</v>
      </c>
      <c r="BB89">
        <v>0</v>
      </c>
      <c r="BC89">
        <v>0</v>
      </c>
      <c r="BD89">
        <v>0</v>
      </c>
      <c r="BE89" t="s">
        <v>2202</v>
      </c>
      <c r="BF89">
        <v>0</v>
      </c>
      <c r="BG89">
        <v>0</v>
      </c>
      <c r="BH89" t="s">
        <v>862</v>
      </c>
      <c r="BI89">
        <v>0</v>
      </c>
      <c r="BJ89" t="s">
        <v>862</v>
      </c>
      <c r="BK89">
        <v>1</v>
      </c>
      <c r="BL89">
        <v>1</v>
      </c>
      <c r="BM89">
        <v>0</v>
      </c>
      <c r="BN89" t="s">
        <v>596</v>
      </c>
      <c r="BO89">
        <v>153008238</v>
      </c>
      <c r="BP89" t="s">
        <v>2859</v>
      </c>
      <c r="BQ89">
        <v>39.906514899999998</v>
      </c>
      <c r="BR89">
        <v>42791436</v>
      </c>
      <c r="BS89">
        <v>-86.095134400000006</v>
      </c>
      <c r="BT89">
        <v>2</v>
      </c>
      <c r="BU89" t="s">
        <v>1314</v>
      </c>
      <c r="BY89">
        <v>16</v>
      </c>
      <c r="CA89">
        <v>3</v>
      </c>
      <c r="CE89">
        <v>1</v>
      </c>
      <c r="CI89">
        <v>11</v>
      </c>
      <c r="CJ89" t="s">
        <v>94</v>
      </c>
      <c r="CM89">
        <v>4010</v>
      </c>
      <c r="CO89">
        <v>7360</v>
      </c>
      <c r="CP89">
        <v>0.2167</v>
      </c>
      <c r="CQ89">
        <v>0.2167</v>
      </c>
      <c r="CR89">
        <v>0.6</v>
      </c>
      <c r="CS89">
        <v>9</v>
      </c>
      <c r="CT89" t="s">
        <v>2865</v>
      </c>
      <c r="CU89" t="s">
        <v>2864</v>
      </c>
      <c r="CV89" t="s">
        <v>833</v>
      </c>
      <c r="CW89" t="s">
        <v>834</v>
      </c>
      <c r="CX89" t="s">
        <v>2202</v>
      </c>
      <c r="CY89">
        <v>0</v>
      </c>
      <c r="CZ89">
        <v>0</v>
      </c>
      <c r="DA89" t="s">
        <v>833</v>
      </c>
      <c r="DB89" t="s">
        <v>865</v>
      </c>
      <c r="DC89">
        <v>46250</v>
      </c>
      <c r="DD89">
        <v>3.1166999999999998</v>
      </c>
      <c r="DE89" t="s">
        <v>866</v>
      </c>
      <c r="DG89" t="s">
        <v>867</v>
      </c>
      <c r="DH89" t="s">
        <v>851</v>
      </c>
      <c r="DI89" t="s">
        <v>2211</v>
      </c>
      <c r="DK89" t="s">
        <v>918</v>
      </c>
      <c r="DL89" t="s">
        <v>869</v>
      </c>
      <c r="DM89">
        <v>0</v>
      </c>
      <c r="DN89">
        <v>0</v>
      </c>
      <c r="DO89">
        <v>2</v>
      </c>
      <c r="DP89" t="s">
        <v>870</v>
      </c>
      <c r="DQ89">
        <v>16</v>
      </c>
      <c r="DR89">
        <v>187</v>
      </c>
      <c r="DS89">
        <v>187</v>
      </c>
      <c r="DT89">
        <v>2.9</v>
      </c>
      <c r="DU89">
        <v>4</v>
      </c>
      <c r="DV89">
        <v>1</v>
      </c>
      <c r="DW89">
        <v>2</v>
      </c>
      <c r="DX89" t="s">
        <v>596</v>
      </c>
      <c r="DY89" t="s">
        <v>2202</v>
      </c>
      <c r="DZ89">
        <v>1</v>
      </c>
      <c r="EA89">
        <v>1</v>
      </c>
      <c r="EB89">
        <v>1</v>
      </c>
      <c r="EC89">
        <v>1</v>
      </c>
      <c r="ED89">
        <v>1</v>
      </c>
      <c r="EE89">
        <v>1</v>
      </c>
      <c r="EF89" t="s">
        <v>920</v>
      </c>
      <c r="EG89" t="s">
        <v>595</v>
      </c>
      <c r="EH89" t="s">
        <v>921</v>
      </c>
      <c r="EI89" t="s">
        <v>921</v>
      </c>
      <c r="EJ89" t="s">
        <v>134</v>
      </c>
      <c r="EK89">
        <v>9090</v>
      </c>
      <c r="EL89">
        <v>0</v>
      </c>
      <c r="EM89" t="s">
        <v>1011</v>
      </c>
      <c r="EN89">
        <v>0.6</v>
      </c>
      <c r="EO89">
        <v>3.1166667000000001</v>
      </c>
      <c r="EP89">
        <v>99991120</v>
      </c>
      <c r="EQ89" t="s">
        <v>874</v>
      </c>
      <c r="ER89" t="s">
        <v>875</v>
      </c>
      <c r="ES89" t="s">
        <v>876</v>
      </c>
      <c r="ET89" t="s">
        <v>877</v>
      </c>
      <c r="EU89" t="s">
        <v>877</v>
      </c>
      <c r="EV89" t="s">
        <v>920</v>
      </c>
      <c r="EX89" t="s">
        <v>900</v>
      </c>
      <c r="EY89" t="s">
        <v>1012</v>
      </c>
      <c r="EZ89" t="s">
        <v>1013</v>
      </c>
      <c r="FA89" t="s">
        <v>925</v>
      </c>
      <c r="FB89">
        <v>1</v>
      </c>
      <c r="FC89">
        <v>1</v>
      </c>
      <c r="FD89" s="41">
        <v>46179</v>
      </c>
      <c r="FE89" t="s">
        <v>1315</v>
      </c>
      <c r="FF89">
        <v>8</v>
      </c>
      <c r="FG89" t="s">
        <v>2325</v>
      </c>
      <c r="FH89" t="s">
        <v>2866</v>
      </c>
      <c r="FI89">
        <v>1</v>
      </c>
      <c r="FJ89" t="s">
        <v>2867</v>
      </c>
      <c r="FK89" t="s">
        <v>2868</v>
      </c>
      <c r="FL89">
        <v>1</v>
      </c>
      <c r="FM89" t="s">
        <v>2869</v>
      </c>
      <c r="FN89" t="s">
        <v>2870</v>
      </c>
      <c r="FO89">
        <v>1</v>
      </c>
      <c r="FP89" t="s">
        <v>2871</v>
      </c>
      <c r="FQ89" t="s">
        <v>2864</v>
      </c>
      <c r="FR89">
        <v>1</v>
      </c>
      <c r="FS89" t="s">
        <v>2872</v>
      </c>
      <c r="FT89" t="s">
        <v>2873</v>
      </c>
      <c r="FU89">
        <v>1</v>
      </c>
      <c r="FV89" t="s">
        <v>2874</v>
      </c>
      <c r="FW89" t="s">
        <v>2875</v>
      </c>
      <c r="FX89">
        <v>1</v>
      </c>
      <c r="FY89" t="s">
        <v>890</v>
      </c>
      <c r="FZ89" t="s">
        <v>2876</v>
      </c>
      <c r="GA89" t="s">
        <v>2867</v>
      </c>
      <c r="GB89">
        <v>1</v>
      </c>
      <c r="GD89">
        <v>0</v>
      </c>
      <c r="GF89">
        <v>0</v>
      </c>
      <c r="GG89">
        <v>1</v>
      </c>
      <c r="GH89" t="s">
        <v>892</v>
      </c>
      <c r="GI89" t="s">
        <v>893</v>
      </c>
      <c r="GJ89" t="s">
        <v>2868</v>
      </c>
      <c r="GM89">
        <v>1</v>
      </c>
      <c r="GN89">
        <v>1</v>
      </c>
      <c r="GO89">
        <v>0</v>
      </c>
      <c r="GP89">
        <v>1</v>
      </c>
      <c r="GQ89">
        <v>1</v>
      </c>
      <c r="GR89">
        <v>0</v>
      </c>
      <c r="GS89">
        <v>1</v>
      </c>
      <c r="GT89">
        <v>0</v>
      </c>
      <c r="GU89">
        <v>1</v>
      </c>
      <c r="GV89">
        <v>0</v>
      </c>
      <c r="GW89">
        <v>1</v>
      </c>
      <c r="GX89">
        <v>0</v>
      </c>
      <c r="GY89">
        <v>1</v>
      </c>
      <c r="GZ89">
        <v>0</v>
      </c>
      <c r="HA89" t="s">
        <v>263</v>
      </c>
      <c r="HB89" t="s">
        <v>894</v>
      </c>
      <c r="HC89" t="s">
        <v>935</v>
      </c>
      <c r="HD89" t="s">
        <v>845</v>
      </c>
      <c r="HE89" t="s">
        <v>900</v>
      </c>
      <c r="HF89" t="s">
        <v>1012</v>
      </c>
      <c r="HG89" t="s">
        <v>894</v>
      </c>
      <c r="HH89" t="s">
        <v>935</v>
      </c>
      <c r="HI89" t="s">
        <v>845</v>
      </c>
      <c r="HJ89" t="s">
        <v>900</v>
      </c>
      <c r="HK89" t="s">
        <v>1011</v>
      </c>
      <c r="HL89" t="s">
        <v>133</v>
      </c>
      <c r="HM89" t="s">
        <v>854</v>
      </c>
      <c r="HN89">
        <v>36805</v>
      </c>
      <c r="HP89" t="s">
        <v>134</v>
      </c>
      <c r="HQ89" t="s">
        <v>896</v>
      </c>
      <c r="HR89" t="s">
        <v>896</v>
      </c>
      <c r="HS89" t="s">
        <v>896</v>
      </c>
    </row>
    <row r="90" spans="1:227" x14ac:dyDescent="0.2">
      <c r="A90">
        <v>8702</v>
      </c>
      <c r="B90">
        <v>7612506377</v>
      </c>
      <c r="C90" t="s">
        <v>829</v>
      </c>
      <c r="D90" t="s">
        <v>830</v>
      </c>
      <c r="E90" t="s">
        <v>897</v>
      </c>
      <c r="F90">
        <v>1</v>
      </c>
      <c r="G90" t="s">
        <v>2877</v>
      </c>
      <c r="H90" t="s">
        <v>2877</v>
      </c>
      <c r="I90">
        <v>0</v>
      </c>
      <c r="J90" t="s">
        <v>833</v>
      </c>
      <c r="K90" t="s">
        <v>834</v>
      </c>
      <c r="L90">
        <v>153406447</v>
      </c>
      <c r="M90" t="s">
        <v>2878</v>
      </c>
      <c r="N90" t="s">
        <v>900</v>
      </c>
      <c r="O90" t="s">
        <v>837</v>
      </c>
      <c r="P90" t="s">
        <v>838</v>
      </c>
      <c r="Q90" t="s">
        <v>901</v>
      </c>
      <c r="R90" t="s">
        <v>2879</v>
      </c>
      <c r="S90" t="s">
        <v>2880</v>
      </c>
      <c r="T90">
        <v>41477056289</v>
      </c>
      <c r="V90" t="s">
        <v>152</v>
      </c>
      <c r="W90" s="41">
        <v>46147</v>
      </c>
      <c r="X90" t="s">
        <v>2881</v>
      </c>
      <c r="Y90" t="s">
        <v>2882</v>
      </c>
      <c r="AA90">
        <v>0</v>
      </c>
      <c r="AB90" t="s">
        <v>845</v>
      </c>
      <c r="AC90" t="s">
        <v>846</v>
      </c>
      <c r="AD90" t="s">
        <v>1113</v>
      </c>
      <c r="AE90" t="s">
        <v>1114</v>
      </c>
      <c r="AF90">
        <v>1</v>
      </c>
      <c r="AG90">
        <v>452210</v>
      </c>
      <c r="AH90" t="s">
        <v>849</v>
      </c>
      <c r="AI90" t="s">
        <v>850</v>
      </c>
      <c r="AJ90" t="s">
        <v>851</v>
      </c>
      <c r="AK90" t="s">
        <v>486</v>
      </c>
      <c r="AL90" t="s">
        <v>2883</v>
      </c>
      <c r="AM90" t="s">
        <v>2884</v>
      </c>
      <c r="AN90" t="s">
        <v>854</v>
      </c>
      <c r="AO90">
        <v>36805</v>
      </c>
      <c r="AP90">
        <v>534</v>
      </c>
      <c r="AQ90" t="s">
        <v>855</v>
      </c>
      <c r="AR90">
        <v>66449654</v>
      </c>
      <c r="AS90" t="s">
        <v>856</v>
      </c>
      <c r="AU90" t="s">
        <v>2885</v>
      </c>
      <c r="AV90" t="s">
        <v>2886</v>
      </c>
      <c r="AX90" t="s">
        <v>913</v>
      </c>
      <c r="AY90" t="s">
        <v>861</v>
      </c>
      <c r="AZ90" t="s">
        <v>486</v>
      </c>
      <c r="BA90" t="s">
        <v>487</v>
      </c>
      <c r="BB90">
        <v>0</v>
      </c>
      <c r="BC90">
        <v>0</v>
      </c>
      <c r="BD90">
        <v>1</v>
      </c>
      <c r="BE90" t="s">
        <v>2878</v>
      </c>
      <c r="BF90">
        <v>0</v>
      </c>
      <c r="BG90">
        <v>0</v>
      </c>
      <c r="BH90" t="s">
        <v>862</v>
      </c>
      <c r="BI90">
        <v>0</v>
      </c>
      <c r="BJ90" t="s">
        <v>862</v>
      </c>
      <c r="BK90">
        <v>1</v>
      </c>
      <c r="BL90">
        <v>1</v>
      </c>
      <c r="BM90">
        <v>0</v>
      </c>
      <c r="BN90" t="s">
        <v>596</v>
      </c>
      <c r="BO90">
        <v>153406447</v>
      </c>
      <c r="BP90" t="s">
        <v>2877</v>
      </c>
      <c r="BR90">
        <v>42791450</v>
      </c>
      <c r="BT90">
        <v>2</v>
      </c>
      <c r="BU90" t="s">
        <v>1803</v>
      </c>
      <c r="BY90">
        <v>16</v>
      </c>
      <c r="CA90">
        <v>5</v>
      </c>
      <c r="CE90">
        <v>1</v>
      </c>
      <c r="CI90">
        <v>11</v>
      </c>
      <c r="CJ90" t="s">
        <v>94</v>
      </c>
      <c r="CM90">
        <v>4010</v>
      </c>
      <c r="CO90">
        <v>7360</v>
      </c>
      <c r="CP90">
        <v>1.0166999999999999</v>
      </c>
      <c r="CQ90">
        <v>1.0166999999999999</v>
      </c>
      <c r="CR90">
        <v>0.66669999999999996</v>
      </c>
      <c r="CS90">
        <v>5</v>
      </c>
      <c r="CT90" t="s">
        <v>2887</v>
      </c>
      <c r="CU90" t="s">
        <v>2888</v>
      </c>
      <c r="CV90" t="s">
        <v>833</v>
      </c>
      <c r="CW90" t="s">
        <v>834</v>
      </c>
      <c r="CX90" t="s">
        <v>2878</v>
      </c>
      <c r="CY90">
        <v>1</v>
      </c>
      <c r="CZ90">
        <v>1</v>
      </c>
      <c r="DA90" t="s">
        <v>833</v>
      </c>
      <c r="DB90" t="s">
        <v>865</v>
      </c>
      <c r="DC90">
        <v>47715</v>
      </c>
      <c r="DD90">
        <v>5.2167000000000003</v>
      </c>
      <c r="DE90" t="s">
        <v>866</v>
      </c>
      <c r="DG90" t="s">
        <v>867</v>
      </c>
      <c r="DH90" t="s">
        <v>851</v>
      </c>
      <c r="DK90" t="s">
        <v>918</v>
      </c>
      <c r="DL90" t="s">
        <v>869</v>
      </c>
      <c r="DM90">
        <v>0</v>
      </c>
      <c r="DN90">
        <v>0</v>
      </c>
      <c r="DO90">
        <v>11</v>
      </c>
      <c r="DP90" t="s">
        <v>1010</v>
      </c>
      <c r="DQ90">
        <v>0</v>
      </c>
      <c r="DR90">
        <v>313</v>
      </c>
      <c r="DS90">
        <v>313</v>
      </c>
      <c r="DT90">
        <v>4.2</v>
      </c>
      <c r="DU90">
        <v>0</v>
      </c>
      <c r="DV90">
        <v>1</v>
      </c>
      <c r="DW90">
        <v>2</v>
      </c>
      <c r="DX90" t="s">
        <v>596</v>
      </c>
      <c r="DY90" t="s">
        <v>2878</v>
      </c>
      <c r="DZ90">
        <v>1</v>
      </c>
      <c r="EA90">
        <v>1</v>
      </c>
      <c r="EB90">
        <v>1</v>
      </c>
      <c r="EC90">
        <v>1</v>
      </c>
      <c r="ED90">
        <v>1</v>
      </c>
      <c r="EE90">
        <v>1</v>
      </c>
      <c r="EF90" t="s">
        <v>871</v>
      </c>
      <c r="EG90" t="s">
        <v>595</v>
      </c>
      <c r="EH90" t="s">
        <v>921</v>
      </c>
      <c r="EI90" t="s">
        <v>921</v>
      </c>
      <c r="EJ90" t="s">
        <v>134</v>
      </c>
      <c r="EK90">
        <v>9090</v>
      </c>
      <c r="EL90">
        <v>0</v>
      </c>
      <c r="EM90" t="s">
        <v>1011</v>
      </c>
      <c r="EN90">
        <v>0.66669999999999996</v>
      </c>
      <c r="EO90">
        <v>5.2</v>
      </c>
      <c r="EP90">
        <v>99991120</v>
      </c>
      <c r="EQ90" t="s">
        <v>874</v>
      </c>
      <c r="ER90" t="s">
        <v>875</v>
      </c>
      <c r="ES90" t="s">
        <v>876</v>
      </c>
      <c r="ET90" t="s">
        <v>877</v>
      </c>
      <c r="EU90" t="s">
        <v>877</v>
      </c>
      <c r="EV90" t="s">
        <v>871</v>
      </c>
      <c r="EX90" t="s">
        <v>953</v>
      </c>
      <c r="EY90" t="s">
        <v>1555</v>
      </c>
      <c r="EZ90" t="s">
        <v>2889</v>
      </c>
      <c r="FA90" t="s">
        <v>879</v>
      </c>
      <c r="FB90">
        <v>1</v>
      </c>
      <c r="FC90">
        <v>1</v>
      </c>
      <c r="FD90" s="41">
        <v>46151</v>
      </c>
      <c r="FE90" t="s">
        <v>1808</v>
      </c>
      <c r="FF90">
        <v>5</v>
      </c>
      <c r="FI90">
        <v>0</v>
      </c>
      <c r="FJ90" t="s">
        <v>2890</v>
      </c>
      <c r="FK90" t="s">
        <v>2891</v>
      </c>
      <c r="FL90">
        <v>1</v>
      </c>
      <c r="FM90" t="s">
        <v>2892</v>
      </c>
      <c r="FN90" t="s">
        <v>2893</v>
      </c>
      <c r="FO90">
        <v>1</v>
      </c>
      <c r="FP90" t="s">
        <v>2894</v>
      </c>
      <c r="FQ90" t="s">
        <v>2888</v>
      </c>
      <c r="FR90">
        <v>1</v>
      </c>
      <c r="FS90" t="s">
        <v>2895</v>
      </c>
      <c r="FT90" t="s">
        <v>2896</v>
      </c>
      <c r="FU90">
        <v>1</v>
      </c>
      <c r="FV90" t="s">
        <v>2897</v>
      </c>
      <c r="FW90" t="s">
        <v>2891</v>
      </c>
      <c r="FX90">
        <v>1</v>
      </c>
      <c r="FY90" t="s">
        <v>890</v>
      </c>
      <c r="FZ90" t="s">
        <v>2898</v>
      </c>
      <c r="GA90" t="s">
        <v>2890</v>
      </c>
      <c r="GB90">
        <v>1</v>
      </c>
      <c r="GD90">
        <v>0</v>
      </c>
      <c r="GF90">
        <v>0</v>
      </c>
      <c r="GG90">
        <v>1</v>
      </c>
      <c r="GH90" t="s">
        <v>892</v>
      </c>
      <c r="GI90" t="s">
        <v>893</v>
      </c>
      <c r="GJ90" t="s">
        <v>2891</v>
      </c>
      <c r="GM90">
        <v>1</v>
      </c>
      <c r="GN90">
        <v>1</v>
      </c>
      <c r="GO90">
        <v>0</v>
      </c>
      <c r="GP90">
        <v>1</v>
      </c>
      <c r="GQ90">
        <v>1</v>
      </c>
      <c r="GR90">
        <v>0</v>
      </c>
      <c r="GS90">
        <v>1</v>
      </c>
      <c r="GT90">
        <v>0</v>
      </c>
      <c r="GU90">
        <v>1</v>
      </c>
      <c r="GV90">
        <v>0</v>
      </c>
      <c r="GW90">
        <v>1</v>
      </c>
      <c r="GX90">
        <v>0</v>
      </c>
      <c r="GY90">
        <v>1</v>
      </c>
      <c r="GZ90">
        <v>0</v>
      </c>
      <c r="HA90" t="s">
        <v>486</v>
      </c>
      <c r="HB90" t="s">
        <v>894</v>
      </c>
      <c r="HC90" t="s">
        <v>935</v>
      </c>
      <c r="HD90" t="s">
        <v>845</v>
      </c>
      <c r="HE90" t="s">
        <v>900</v>
      </c>
      <c r="HF90" t="s">
        <v>1012</v>
      </c>
      <c r="HG90" t="s">
        <v>894</v>
      </c>
      <c r="HH90" t="s">
        <v>935</v>
      </c>
      <c r="HI90" t="s">
        <v>845</v>
      </c>
      <c r="HJ90" t="s">
        <v>900</v>
      </c>
      <c r="HK90" t="s">
        <v>1011</v>
      </c>
      <c r="HL90" t="s">
        <v>152</v>
      </c>
      <c r="HM90" t="s">
        <v>854</v>
      </c>
      <c r="HN90">
        <v>36805</v>
      </c>
      <c r="HP90" t="s">
        <v>134</v>
      </c>
      <c r="HQ90" t="s">
        <v>896</v>
      </c>
      <c r="HR90" t="s">
        <v>896</v>
      </c>
      <c r="HS90" t="s">
        <v>896</v>
      </c>
    </row>
    <row r="91" spans="1:227" x14ac:dyDescent="0.2">
      <c r="A91">
        <v>8702</v>
      </c>
      <c r="B91">
        <v>7611702338</v>
      </c>
      <c r="C91" t="s">
        <v>829</v>
      </c>
      <c r="D91" t="s">
        <v>830</v>
      </c>
      <c r="E91" t="s">
        <v>831</v>
      </c>
      <c r="F91">
        <v>2</v>
      </c>
      <c r="G91" t="s">
        <v>2899</v>
      </c>
      <c r="H91" t="s">
        <v>2899</v>
      </c>
      <c r="I91">
        <v>0</v>
      </c>
      <c r="J91" t="s">
        <v>833</v>
      </c>
      <c r="K91" t="s">
        <v>834</v>
      </c>
      <c r="L91">
        <v>148874656</v>
      </c>
      <c r="M91" t="s">
        <v>2900</v>
      </c>
      <c r="N91" t="s">
        <v>836</v>
      </c>
      <c r="O91" t="s">
        <v>837</v>
      </c>
      <c r="P91" t="s">
        <v>838</v>
      </c>
      <c r="Q91" t="s">
        <v>839</v>
      </c>
      <c r="R91" t="s">
        <v>2901</v>
      </c>
      <c r="S91" t="s">
        <v>2902</v>
      </c>
      <c r="T91">
        <v>41477130300</v>
      </c>
      <c r="V91" t="s">
        <v>2903</v>
      </c>
      <c r="W91" s="41">
        <v>46139</v>
      </c>
      <c r="X91" t="s">
        <v>2904</v>
      </c>
      <c r="Y91" t="s">
        <v>2905</v>
      </c>
      <c r="AA91">
        <v>0</v>
      </c>
      <c r="AB91" t="s">
        <v>845</v>
      </c>
      <c r="AC91" t="s">
        <v>846</v>
      </c>
      <c r="AD91" t="s">
        <v>1335</v>
      </c>
      <c r="AE91" t="s">
        <v>1336</v>
      </c>
      <c r="AF91">
        <v>1</v>
      </c>
      <c r="AG91">
        <v>452210</v>
      </c>
      <c r="AH91" t="s">
        <v>849</v>
      </c>
      <c r="AI91" t="s">
        <v>850</v>
      </c>
      <c r="AJ91" t="s">
        <v>851</v>
      </c>
      <c r="AK91" t="s">
        <v>449</v>
      </c>
      <c r="AL91" t="s">
        <v>2906</v>
      </c>
      <c r="AM91" t="s">
        <v>2907</v>
      </c>
      <c r="AN91" t="s">
        <v>854</v>
      </c>
      <c r="AO91">
        <v>36805</v>
      </c>
      <c r="AP91">
        <v>563</v>
      </c>
      <c r="AQ91" t="s">
        <v>855</v>
      </c>
      <c r="AR91">
        <v>66438028</v>
      </c>
      <c r="AS91" t="s">
        <v>856</v>
      </c>
      <c r="AU91" t="s">
        <v>2908</v>
      </c>
      <c r="AV91" t="s">
        <v>2909</v>
      </c>
      <c r="AX91" t="s">
        <v>913</v>
      </c>
      <c r="AY91" t="s">
        <v>861</v>
      </c>
      <c r="AZ91" t="s">
        <v>449</v>
      </c>
      <c r="BA91" t="s">
        <v>450</v>
      </c>
      <c r="BB91">
        <v>0</v>
      </c>
      <c r="BC91">
        <v>0</v>
      </c>
      <c r="BD91">
        <v>0</v>
      </c>
      <c r="BE91" t="s">
        <v>2900</v>
      </c>
      <c r="BF91">
        <v>0</v>
      </c>
      <c r="BG91">
        <v>0</v>
      </c>
      <c r="BH91" t="s">
        <v>862</v>
      </c>
      <c r="BI91">
        <v>0</v>
      </c>
      <c r="BJ91" t="s">
        <v>862</v>
      </c>
      <c r="BK91">
        <v>1</v>
      </c>
      <c r="BL91">
        <v>1</v>
      </c>
      <c r="BM91">
        <v>0</v>
      </c>
      <c r="BN91" t="s">
        <v>596</v>
      </c>
      <c r="BP91" t="s">
        <v>2899</v>
      </c>
      <c r="BR91">
        <v>42791465</v>
      </c>
      <c r="BT91">
        <v>2</v>
      </c>
      <c r="BU91" t="s">
        <v>1119</v>
      </c>
      <c r="BY91">
        <v>12</v>
      </c>
      <c r="CA91">
        <v>4</v>
      </c>
      <c r="CE91">
        <v>1</v>
      </c>
      <c r="CI91">
        <v>11</v>
      </c>
      <c r="CJ91" t="s">
        <v>94</v>
      </c>
      <c r="CM91">
        <v>4010</v>
      </c>
      <c r="CO91">
        <v>7360</v>
      </c>
      <c r="CP91">
        <v>1.6667000000000001</v>
      </c>
      <c r="CQ91">
        <v>1.6667000000000001</v>
      </c>
      <c r="CR91">
        <v>0.36670000000000003</v>
      </c>
      <c r="CS91">
        <v>65</v>
      </c>
      <c r="CT91" t="s">
        <v>2910</v>
      </c>
      <c r="CU91" t="s">
        <v>2911</v>
      </c>
      <c r="CV91" t="s">
        <v>833</v>
      </c>
      <c r="CW91" t="s">
        <v>834</v>
      </c>
      <c r="CX91" t="s">
        <v>2912</v>
      </c>
      <c r="CY91">
        <v>0</v>
      </c>
      <c r="CZ91">
        <v>0</v>
      </c>
      <c r="DA91" t="s">
        <v>833</v>
      </c>
      <c r="DB91" t="s">
        <v>865</v>
      </c>
      <c r="DC91">
        <v>55902</v>
      </c>
      <c r="DD91">
        <v>4.3333000000000004</v>
      </c>
      <c r="DE91" t="s">
        <v>866</v>
      </c>
      <c r="DG91" t="s">
        <v>867</v>
      </c>
      <c r="DH91" t="s">
        <v>851</v>
      </c>
      <c r="DK91" t="s">
        <v>918</v>
      </c>
      <c r="DL91" t="s">
        <v>869</v>
      </c>
      <c r="DM91">
        <v>0</v>
      </c>
      <c r="DN91">
        <v>0</v>
      </c>
      <c r="DO91">
        <v>2</v>
      </c>
      <c r="DP91" t="s">
        <v>870</v>
      </c>
      <c r="DQ91">
        <v>12</v>
      </c>
      <c r="DR91">
        <v>260</v>
      </c>
      <c r="DS91">
        <v>260</v>
      </c>
      <c r="DT91">
        <v>2.6667000000000001</v>
      </c>
      <c r="DU91">
        <v>4</v>
      </c>
      <c r="DV91">
        <v>1</v>
      </c>
      <c r="DW91">
        <v>1</v>
      </c>
      <c r="DX91" t="s">
        <v>596</v>
      </c>
      <c r="DY91" t="s">
        <v>2900</v>
      </c>
      <c r="DZ91">
        <v>1</v>
      </c>
      <c r="EA91">
        <v>1</v>
      </c>
      <c r="EB91">
        <v>1</v>
      </c>
      <c r="EC91">
        <v>1</v>
      </c>
      <c r="ED91">
        <v>1</v>
      </c>
      <c r="EE91">
        <v>1</v>
      </c>
      <c r="EF91" t="s">
        <v>871</v>
      </c>
      <c r="EG91" t="s">
        <v>595</v>
      </c>
      <c r="EH91" t="s">
        <v>1036</v>
      </c>
      <c r="EI91" t="s">
        <v>1036</v>
      </c>
      <c r="EJ91" t="s">
        <v>159</v>
      </c>
      <c r="EK91">
        <v>9090</v>
      </c>
      <c r="EL91">
        <v>0</v>
      </c>
      <c r="EM91" t="s">
        <v>873</v>
      </c>
      <c r="EN91">
        <v>0.36670000000000003</v>
      </c>
      <c r="EO91">
        <v>4.3333332999999996</v>
      </c>
      <c r="EP91">
        <v>99991120</v>
      </c>
      <c r="EQ91" t="s">
        <v>874</v>
      </c>
      <c r="ER91" t="s">
        <v>875</v>
      </c>
      <c r="ES91" t="s">
        <v>876</v>
      </c>
      <c r="ET91" t="s">
        <v>877</v>
      </c>
      <c r="EU91" t="s">
        <v>877</v>
      </c>
      <c r="EV91" t="s">
        <v>871</v>
      </c>
      <c r="EX91" t="s">
        <v>836</v>
      </c>
      <c r="EY91" t="s">
        <v>1121</v>
      </c>
      <c r="EZ91" t="s">
        <v>2913</v>
      </c>
      <c r="FA91" t="s">
        <v>1212</v>
      </c>
      <c r="FB91">
        <v>1</v>
      </c>
      <c r="FC91">
        <v>1</v>
      </c>
      <c r="FD91" s="41">
        <v>46144</v>
      </c>
      <c r="FE91" t="s">
        <v>1123</v>
      </c>
      <c r="FF91">
        <v>4</v>
      </c>
      <c r="FI91">
        <v>0</v>
      </c>
      <c r="FL91">
        <v>0</v>
      </c>
      <c r="FM91" t="s">
        <v>2914</v>
      </c>
      <c r="FN91" t="s">
        <v>2915</v>
      </c>
      <c r="FO91">
        <v>1</v>
      </c>
      <c r="FP91" t="s">
        <v>2916</v>
      </c>
      <c r="FQ91" t="s">
        <v>2911</v>
      </c>
      <c r="FR91">
        <v>1</v>
      </c>
      <c r="FS91" t="s">
        <v>2917</v>
      </c>
      <c r="FT91" t="s">
        <v>2918</v>
      </c>
      <c r="FU91">
        <v>1</v>
      </c>
      <c r="FV91" t="s">
        <v>2919</v>
      </c>
      <c r="FW91" t="s">
        <v>2920</v>
      </c>
      <c r="FX91">
        <v>1</v>
      </c>
      <c r="FY91" t="s">
        <v>890</v>
      </c>
      <c r="FZ91" t="s">
        <v>2921</v>
      </c>
      <c r="GA91" t="s">
        <v>2919</v>
      </c>
      <c r="GB91">
        <v>1</v>
      </c>
      <c r="GD91">
        <v>0</v>
      </c>
      <c r="GF91">
        <v>0</v>
      </c>
      <c r="GG91">
        <v>1</v>
      </c>
      <c r="GH91" t="s">
        <v>892</v>
      </c>
      <c r="GI91" t="s">
        <v>893</v>
      </c>
      <c r="GJ91" t="s">
        <v>2920</v>
      </c>
      <c r="GM91">
        <v>1</v>
      </c>
      <c r="GN91">
        <v>1</v>
      </c>
      <c r="GO91">
        <v>0</v>
      </c>
      <c r="GP91">
        <v>1</v>
      </c>
      <c r="GQ91">
        <v>1</v>
      </c>
      <c r="GR91">
        <v>0</v>
      </c>
      <c r="GS91">
        <v>1</v>
      </c>
      <c r="GT91">
        <v>0</v>
      </c>
      <c r="GU91">
        <v>1</v>
      </c>
      <c r="GV91">
        <v>0</v>
      </c>
      <c r="GW91">
        <v>1</v>
      </c>
      <c r="GX91">
        <v>0</v>
      </c>
      <c r="GY91">
        <v>1</v>
      </c>
      <c r="GZ91">
        <v>0</v>
      </c>
      <c r="HA91" t="s">
        <v>449</v>
      </c>
      <c r="HB91" t="s">
        <v>894</v>
      </c>
      <c r="HC91" t="s">
        <v>895</v>
      </c>
      <c r="HD91" t="s">
        <v>845</v>
      </c>
      <c r="HE91" t="s">
        <v>836</v>
      </c>
      <c r="HF91" t="s">
        <v>873</v>
      </c>
      <c r="HG91" t="s">
        <v>894</v>
      </c>
      <c r="HH91" t="s">
        <v>895</v>
      </c>
      <c r="HI91" t="s">
        <v>845</v>
      </c>
      <c r="HJ91" t="s">
        <v>836</v>
      </c>
      <c r="HK91" t="s">
        <v>873</v>
      </c>
      <c r="HL91" t="s">
        <v>2903</v>
      </c>
      <c r="HM91" t="s">
        <v>854</v>
      </c>
      <c r="HN91">
        <v>36805</v>
      </c>
      <c r="HP91" t="s">
        <v>159</v>
      </c>
      <c r="HQ91" t="s">
        <v>896</v>
      </c>
      <c r="HR91" t="s">
        <v>896</v>
      </c>
      <c r="HS91" t="s">
        <v>896</v>
      </c>
    </row>
    <row r="92" spans="1:227" x14ac:dyDescent="0.2">
      <c r="A92">
        <v>8702</v>
      </c>
      <c r="B92">
        <v>7607202680</v>
      </c>
      <c r="C92">
        <v>34</v>
      </c>
      <c r="D92" t="s">
        <v>996</v>
      </c>
      <c r="E92" t="s">
        <v>897</v>
      </c>
      <c r="F92">
        <v>0</v>
      </c>
      <c r="G92" t="s">
        <v>2922</v>
      </c>
      <c r="H92" t="s">
        <v>2922</v>
      </c>
      <c r="I92">
        <v>0</v>
      </c>
      <c r="J92" t="s">
        <v>833</v>
      </c>
      <c r="K92" t="s">
        <v>834</v>
      </c>
      <c r="L92">
        <v>153524572</v>
      </c>
      <c r="M92" t="s">
        <v>2923</v>
      </c>
      <c r="N92" t="s">
        <v>900</v>
      </c>
      <c r="O92" t="s">
        <v>837</v>
      </c>
      <c r="P92" t="s">
        <v>999</v>
      </c>
      <c r="Q92" t="s">
        <v>1027</v>
      </c>
      <c r="R92" t="s">
        <v>2924</v>
      </c>
      <c r="S92" t="s">
        <v>2925</v>
      </c>
      <c r="T92">
        <v>41477124629</v>
      </c>
      <c r="V92" t="s">
        <v>1282</v>
      </c>
      <c r="W92" s="41">
        <v>46097</v>
      </c>
      <c r="X92" t="s">
        <v>2926</v>
      </c>
      <c r="Y92" t="s">
        <v>2927</v>
      </c>
      <c r="Z92" t="s">
        <v>1969</v>
      </c>
      <c r="AA92">
        <v>0</v>
      </c>
      <c r="AB92" t="s">
        <v>845</v>
      </c>
      <c r="AC92" t="s">
        <v>846</v>
      </c>
      <c r="AD92" t="s">
        <v>1113</v>
      </c>
      <c r="AE92" t="s">
        <v>1114</v>
      </c>
      <c r="AF92">
        <v>1</v>
      </c>
      <c r="AG92">
        <v>452210</v>
      </c>
      <c r="AH92" t="s">
        <v>849</v>
      </c>
      <c r="AI92" t="s">
        <v>850</v>
      </c>
      <c r="AJ92" t="s">
        <v>851</v>
      </c>
      <c r="AK92" t="s">
        <v>269</v>
      </c>
      <c r="AL92" t="s">
        <v>2928</v>
      </c>
      <c r="AM92" t="s">
        <v>1286</v>
      </c>
      <c r="AN92" t="s">
        <v>854</v>
      </c>
      <c r="AO92">
        <v>36805</v>
      </c>
      <c r="AP92">
        <v>497</v>
      </c>
      <c r="AQ92" t="s">
        <v>855</v>
      </c>
      <c r="AR92">
        <v>66377305</v>
      </c>
      <c r="AS92" t="s">
        <v>856</v>
      </c>
      <c r="AU92" t="s">
        <v>2929</v>
      </c>
      <c r="AV92" t="s">
        <v>2930</v>
      </c>
      <c r="AX92" t="s">
        <v>913</v>
      </c>
      <c r="AY92" t="s">
        <v>861</v>
      </c>
      <c r="AZ92" t="s">
        <v>269</v>
      </c>
      <c r="BA92" t="s">
        <v>270</v>
      </c>
      <c r="BB92">
        <v>0</v>
      </c>
      <c r="BC92">
        <v>0</v>
      </c>
      <c r="BD92">
        <v>1</v>
      </c>
      <c r="BE92" t="s">
        <v>2923</v>
      </c>
      <c r="BF92">
        <v>0</v>
      </c>
      <c r="BG92">
        <v>0</v>
      </c>
      <c r="BH92" t="s">
        <v>862</v>
      </c>
      <c r="BI92">
        <v>0</v>
      </c>
      <c r="BJ92" t="s">
        <v>862</v>
      </c>
      <c r="BK92">
        <v>1</v>
      </c>
      <c r="BL92">
        <v>1</v>
      </c>
      <c r="BM92">
        <v>0</v>
      </c>
      <c r="BN92" t="s">
        <v>596</v>
      </c>
      <c r="BO92">
        <v>153524572</v>
      </c>
      <c r="BP92" t="s">
        <v>2922</v>
      </c>
      <c r="BQ92">
        <v>40.330092899999997</v>
      </c>
      <c r="BR92">
        <v>42791323</v>
      </c>
      <c r="BS92">
        <v>-79.944223100000002</v>
      </c>
      <c r="BT92">
        <v>1</v>
      </c>
      <c r="BU92" t="s">
        <v>1715</v>
      </c>
      <c r="BY92">
        <v>16</v>
      </c>
      <c r="CA92">
        <v>32</v>
      </c>
      <c r="CI92">
        <v>11</v>
      </c>
      <c r="CJ92" t="s">
        <v>94</v>
      </c>
      <c r="CM92">
        <v>4010</v>
      </c>
      <c r="CO92">
        <v>7360</v>
      </c>
      <c r="CP92">
        <v>0.41670000000000001</v>
      </c>
      <c r="CQ92">
        <v>0.41670000000000001</v>
      </c>
      <c r="CR92">
        <v>0.86670000000000003</v>
      </c>
      <c r="CS92">
        <v>12</v>
      </c>
      <c r="CT92" t="s">
        <v>2931</v>
      </c>
      <c r="CU92" t="s">
        <v>2932</v>
      </c>
      <c r="CV92" t="s">
        <v>833</v>
      </c>
      <c r="CW92" t="s">
        <v>834</v>
      </c>
      <c r="CX92" t="s">
        <v>2923</v>
      </c>
      <c r="CY92">
        <v>1</v>
      </c>
      <c r="CZ92">
        <v>1</v>
      </c>
      <c r="DA92" t="s">
        <v>833</v>
      </c>
      <c r="DB92" t="s">
        <v>865</v>
      </c>
      <c r="DC92">
        <v>15236</v>
      </c>
      <c r="DD92">
        <v>31.783300000000001</v>
      </c>
      <c r="DE92" t="s">
        <v>866</v>
      </c>
      <c r="DG92" t="s">
        <v>867</v>
      </c>
      <c r="DH92" t="s">
        <v>851</v>
      </c>
      <c r="DI92" t="s">
        <v>1266</v>
      </c>
      <c r="DJ92" t="s">
        <v>2933</v>
      </c>
      <c r="DK92" t="s">
        <v>918</v>
      </c>
      <c r="DL92" t="s">
        <v>869</v>
      </c>
      <c r="DM92">
        <v>0</v>
      </c>
      <c r="DN92">
        <v>0</v>
      </c>
      <c r="DO92">
        <v>11</v>
      </c>
      <c r="DP92" t="s">
        <v>1010</v>
      </c>
      <c r="DQ92">
        <v>0</v>
      </c>
      <c r="DR92">
        <v>1907</v>
      </c>
      <c r="DS92">
        <v>4067</v>
      </c>
      <c r="DT92">
        <v>31.366700000000002</v>
      </c>
      <c r="DU92">
        <v>0</v>
      </c>
      <c r="DV92">
        <v>1</v>
      </c>
      <c r="DW92">
        <v>2</v>
      </c>
      <c r="DX92" t="s">
        <v>596</v>
      </c>
      <c r="DY92" t="s">
        <v>2923</v>
      </c>
      <c r="DZ92">
        <v>1</v>
      </c>
      <c r="EA92">
        <v>1</v>
      </c>
      <c r="EB92">
        <v>1</v>
      </c>
      <c r="EC92">
        <v>1</v>
      </c>
      <c r="ED92">
        <v>1</v>
      </c>
      <c r="EE92">
        <v>1</v>
      </c>
      <c r="EF92" t="s">
        <v>920</v>
      </c>
      <c r="EG92" t="s">
        <v>595</v>
      </c>
      <c r="EH92" t="s">
        <v>921</v>
      </c>
      <c r="EI92" t="s">
        <v>921</v>
      </c>
      <c r="EJ92" t="s">
        <v>124</v>
      </c>
      <c r="EK92">
        <v>9090</v>
      </c>
      <c r="EL92">
        <v>0</v>
      </c>
      <c r="EM92" t="s">
        <v>923</v>
      </c>
      <c r="EN92">
        <v>0.86670000000000003</v>
      </c>
      <c r="EO92">
        <v>67.783333299999995</v>
      </c>
      <c r="EP92">
        <v>99991120</v>
      </c>
      <c r="EQ92" t="s">
        <v>874</v>
      </c>
      <c r="ER92" t="s">
        <v>875</v>
      </c>
      <c r="ES92" t="s">
        <v>876</v>
      </c>
      <c r="ET92" t="s">
        <v>877</v>
      </c>
      <c r="EU92" t="s">
        <v>877</v>
      </c>
      <c r="EV92" t="s">
        <v>920</v>
      </c>
      <c r="EX92" t="s">
        <v>953</v>
      </c>
      <c r="EY92" t="s">
        <v>1292</v>
      </c>
      <c r="EZ92" t="s">
        <v>1293</v>
      </c>
      <c r="FA92" t="s">
        <v>925</v>
      </c>
      <c r="FB92">
        <v>1</v>
      </c>
      <c r="FC92">
        <v>1</v>
      </c>
      <c r="FD92" s="41">
        <v>46102</v>
      </c>
      <c r="FE92" t="s">
        <v>1719</v>
      </c>
      <c r="FF92">
        <v>4</v>
      </c>
      <c r="FI92">
        <v>0</v>
      </c>
      <c r="FL92">
        <v>0</v>
      </c>
      <c r="FM92" t="s">
        <v>2934</v>
      </c>
      <c r="FN92" t="s">
        <v>2935</v>
      </c>
      <c r="FO92">
        <v>1</v>
      </c>
      <c r="FP92" t="s">
        <v>2936</v>
      </c>
      <c r="FQ92" t="s">
        <v>2937</v>
      </c>
      <c r="FR92">
        <v>1</v>
      </c>
      <c r="FS92" t="s">
        <v>2938</v>
      </c>
      <c r="FT92" t="s">
        <v>2939</v>
      </c>
      <c r="FU92">
        <v>1</v>
      </c>
      <c r="FV92" t="s">
        <v>2940</v>
      </c>
      <c r="FW92" t="s">
        <v>2941</v>
      </c>
      <c r="FX92">
        <v>1</v>
      </c>
      <c r="FY92" t="s">
        <v>890</v>
      </c>
      <c r="FZ92" t="s">
        <v>2942</v>
      </c>
      <c r="GA92" t="s">
        <v>2940</v>
      </c>
      <c r="GB92">
        <v>1</v>
      </c>
      <c r="GD92">
        <v>0</v>
      </c>
      <c r="GF92">
        <v>0</v>
      </c>
      <c r="GG92">
        <v>1</v>
      </c>
      <c r="GH92" t="s">
        <v>892</v>
      </c>
      <c r="GI92" t="s">
        <v>893</v>
      </c>
      <c r="GJ92" t="s">
        <v>2941</v>
      </c>
      <c r="GM92">
        <v>1</v>
      </c>
      <c r="GN92">
        <v>1</v>
      </c>
      <c r="GO92">
        <v>0</v>
      </c>
      <c r="GP92">
        <v>1</v>
      </c>
      <c r="GQ92">
        <v>1</v>
      </c>
      <c r="GR92">
        <v>0</v>
      </c>
      <c r="GS92">
        <v>1</v>
      </c>
      <c r="GT92">
        <v>0</v>
      </c>
      <c r="GU92">
        <v>1</v>
      </c>
      <c r="GV92">
        <v>0</v>
      </c>
      <c r="GW92">
        <v>1</v>
      </c>
      <c r="GX92">
        <v>0</v>
      </c>
      <c r="GY92">
        <v>1</v>
      </c>
      <c r="GZ92">
        <v>0</v>
      </c>
      <c r="HA92" t="s">
        <v>269</v>
      </c>
      <c r="HB92" t="s">
        <v>894</v>
      </c>
      <c r="HC92" t="s">
        <v>935</v>
      </c>
      <c r="HD92" t="s">
        <v>845</v>
      </c>
      <c r="HE92" t="s">
        <v>900</v>
      </c>
      <c r="HF92" t="s">
        <v>923</v>
      </c>
      <c r="HG92" t="s">
        <v>894</v>
      </c>
      <c r="HH92" t="s">
        <v>935</v>
      </c>
      <c r="HI92" t="s">
        <v>845</v>
      </c>
      <c r="HJ92" t="s">
        <v>900</v>
      </c>
      <c r="HK92" t="s">
        <v>923</v>
      </c>
      <c r="HL92" t="s">
        <v>1282</v>
      </c>
      <c r="HM92" t="s">
        <v>854</v>
      </c>
      <c r="HN92">
        <v>36805</v>
      </c>
      <c r="HO92">
        <v>1</v>
      </c>
      <c r="HP92" t="s">
        <v>124</v>
      </c>
      <c r="HQ92" t="s">
        <v>896</v>
      </c>
      <c r="HR92" t="s">
        <v>896</v>
      </c>
      <c r="HS92" t="s">
        <v>896</v>
      </c>
    </row>
    <row r="93" spans="1:227" x14ac:dyDescent="0.2">
      <c r="A93">
        <v>8702</v>
      </c>
      <c r="B93">
        <v>7604005123</v>
      </c>
      <c r="C93" t="s">
        <v>829</v>
      </c>
      <c r="D93" t="s">
        <v>830</v>
      </c>
      <c r="E93" t="s">
        <v>831</v>
      </c>
      <c r="F93">
        <v>0</v>
      </c>
      <c r="G93" t="s">
        <v>2943</v>
      </c>
      <c r="H93" t="s">
        <v>2943</v>
      </c>
      <c r="I93">
        <v>0</v>
      </c>
      <c r="J93" t="s">
        <v>833</v>
      </c>
      <c r="K93" t="s">
        <v>834</v>
      </c>
      <c r="L93">
        <v>153008251</v>
      </c>
      <c r="M93" t="s">
        <v>2076</v>
      </c>
      <c r="N93" t="s">
        <v>836</v>
      </c>
      <c r="O93" t="s">
        <v>837</v>
      </c>
      <c r="P93" t="s">
        <v>838</v>
      </c>
      <c r="Q93" t="s">
        <v>839</v>
      </c>
      <c r="R93" t="s">
        <v>2944</v>
      </c>
      <c r="S93" t="s">
        <v>2945</v>
      </c>
      <c r="T93">
        <v>41477126886</v>
      </c>
      <c r="V93" t="s">
        <v>117</v>
      </c>
      <c r="W93" s="41">
        <v>46062</v>
      </c>
      <c r="X93" t="s">
        <v>2946</v>
      </c>
      <c r="Y93" t="s">
        <v>2947</v>
      </c>
      <c r="AA93">
        <v>0</v>
      </c>
      <c r="AB93" t="s">
        <v>845</v>
      </c>
      <c r="AC93" t="s">
        <v>846</v>
      </c>
      <c r="AD93" t="s">
        <v>1113</v>
      </c>
      <c r="AE93" t="s">
        <v>1114</v>
      </c>
      <c r="AF93">
        <v>1</v>
      </c>
      <c r="AG93">
        <v>452210</v>
      </c>
      <c r="AH93" t="s">
        <v>849</v>
      </c>
      <c r="AI93" t="s">
        <v>850</v>
      </c>
      <c r="AJ93" t="s">
        <v>851</v>
      </c>
      <c r="AK93" t="s">
        <v>516</v>
      </c>
      <c r="AL93" t="s">
        <v>2948</v>
      </c>
      <c r="AM93" t="s">
        <v>1364</v>
      </c>
      <c r="AN93" t="s">
        <v>854</v>
      </c>
      <c r="AO93">
        <v>36805</v>
      </c>
      <c r="AP93">
        <v>493</v>
      </c>
      <c r="AQ93" t="s">
        <v>855</v>
      </c>
      <c r="AR93">
        <v>66327275</v>
      </c>
      <c r="AS93" t="s">
        <v>856</v>
      </c>
      <c r="AU93" t="s">
        <v>2949</v>
      </c>
      <c r="AV93" t="s">
        <v>2950</v>
      </c>
      <c r="AX93" t="s">
        <v>913</v>
      </c>
      <c r="AY93" t="s">
        <v>861</v>
      </c>
      <c r="AZ93" t="s">
        <v>516</v>
      </c>
      <c r="BA93" t="s">
        <v>517</v>
      </c>
      <c r="BB93">
        <v>0</v>
      </c>
      <c r="BC93">
        <v>0</v>
      </c>
      <c r="BD93">
        <v>0</v>
      </c>
      <c r="BE93" t="s">
        <v>2076</v>
      </c>
      <c r="BF93">
        <v>0</v>
      </c>
      <c r="BG93">
        <v>0</v>
      </c>
      <c r="BH93" t="s">
        <v>862</v>
      </c>
      <c r="BI93">
        <v>0</v>
      </c>
      <c r="BJ93" t="s">
        <v>862</v>
      </c>
      <c r="BK93">
        <v>1</v>
      </c>
      <c r="BL93">
        <v>1</v>
      </c>
      <c r="BM93">
        <v>0</v>
      </c>
      <c r="BN93" t="s">
        <v>596</v>
      </c>
      <c r="BO93">
        <v>153008251</v>
      </c>
      <c r="BP93" t="s">
        <v>2943</v>
      </c>
      <c r="BQ93">
        <v>38.779288200000003</v>
      </c>
      <c r="BR93">
        <v>42789054</v>
      </c>
      <c r="BS93">
        <v>-90.702941499999994</v>
      </c>
      <c r="BT93">
        <v>2</v>
      </c>
      <c r="BU93" t="s">
        <v>1263</v>
      </c>
      <c r="CE93">
        <v>1</v>
      </c>
      <c r="CI93">
        <v>11</v>
      </c>
      <c r="CJ93" t="s">
        <v>94</v>
      </c>
      <c r="CM93">
        <v>4010</v>
      </c>
      <c r="CO93">
        <v>7360</v>
      </c>
      <c r="CP93">
        <v>0.56669999999999998</v>
      </c>
      <c r="CQ93">
        <v>0.56669999999999998</v>
      </c>
      <c r="CR93">
        <v>0.45</v>
      </c>
      <c r="CS93">
        <v>4</v>
      </c>
      <c r="CT93" t="s">
        <v>2950</v>
      </c>
      <c r="CU93" t="s">
        <v>2949</v>
      </c>
      <c r="CV93" t="s">
        <v>833</v>
      </c>
      <c r="CW93" t="s">
        <v>834</v>
      </c>
      <c r="CX93" t="s">
        <v>2076</v>
      </c>
      <c r="CY93">
        <v>0</v>
      </c>
      <c r="CZ93">
        <v>0</v>
      </c>
      <c r="DA93" t="s">
        <v>833</v>
      </c>
      <c r="DB93" t="s">
        <v>865</v>
      </c>
      <c r="DC93">
        <v>63368</v>
      </c>
      <c r="DD93">
        <v>4.6333000000000002</v>
      </c>
      <c r="DE93" t="s">
        <v>866</v>
      </c>
      <c r="DG93" t="s">
        <v>867</v>
      </c>
      <c r="DH93" t="s">
        <v>851</v>
      </c>
      <c r="DI93" t="s">
        <v>2085</v>
      </c>
      <c r="DK93" t="s">
        <v>918</v>
      </c>
      <c r="DL93" t="s">
        <v>869</v>
      </c>
      <c r="DM93">
        <v>0</v>
      </c>
      <c r="DN93">
        <v>0</v>
      </c>
      <c r="DO93">
        <v>12</v>
      </c>
      <c r="DP93" t="s">
        <v>1190</v>
      </c>
      <c r="DQ93">
        <v>0</v>
      </c>
      <c r="DR93">
        <v>278</v>
      </c>
      <c r="DS93">
        <v>278</v>
      </c>
      <c r="DT93">
        <v>4.0667</v>
      </c>
      <c r="DU93">
        <v>0</v>
      </c>
      <c r="DV93">
        <v>1</v>
      </c>
      <c r="DW93">
        <v>2</v>
      </c>
      <c r="DX93" t="s">
        <v>596</v>
      </c>
      <c r="DY93" t="s">
        <v>2076</v>
      </c>
      <c r="DZ93">
        <v>1</v>
      </c>
      <c r="EA93">
        <v>1</v>
      </c>
      <c r="EB93">
        <v>1</v>
      </c>
      <c r="EC93">
        <v>1</v>
      </c>
      <c r="ED93">
        <v>1</v>
      </c>
      <c r="EE93">
        <v>1</v>
      </c>
      <c r="EF93" t="s">
        <v>920</v>
      </c>
      <c r="EG93" t="s">
        <v>595</v>
      </c>
      <c r="EH93" t="s">
        <v>921</v>
      </c>
      <c r="EI93" t="s">
        <v>921</v>
      </c>
      <c r="EJ93" t="s">
        <v>111</v>
      </c>
      <c r="EK93">
        <v>9090</v>
      </c>
      <c r="EL93">
        <v>0</v>
      </c>
      <c r="EM93" t="s">
        <v>1037</v>
      </c>
      <c r="EN93">
        <v>0.45</v>
      </c>
      <c r="EO93">
        <v>4.6333333000000003</v>
      </c>
      <c r="EP93">
        <v>99991120</v>
      </c>
      <c r="EQ93" t="s">
        <v>874</v>
      </c>
      <c r="ER93" t="s">
        <v>875</v>
      </c>
      <c r="ES93" t="s">
        <v>876</v>
      </c>
      <c r="ET93" t="s">
        <v>877</v>
      </c>
      <c r="EU93" t="s">
        <v>877</v>
      </c>
      <c r="EV93" t="s">
        <v>920</v>
      </c>
      <c r="EX93" t="s">
        <v>900</v>
      </c>
      <c r="EY93" t="s">
        <v>923</v>
      </c>
      <c r="EZ93" t="s">
        <v>1038</v>
      </c>
      <c r="FA93" t="s">
        <v>925</v>
      </c>
      <c r="FB93">
        <v>1</v>
      </c>
      <c r="FC93">
        <v>1</v>
      </c>
      <c r="FD93" s="41">
        <v>46067</v>
      </c>
      <c r="FE93" t="s">
        <v>1267</v>
      </c>
      <c r="FF93">
        <v>4</v>
      </c>
      <c r="FI93">
        <v>0</v>
      </c>
      <c r="FL93">
        <v>0</v>
      </c>
      <c r="FM93" t="s">
        <v>2089</v>
      </c>
      <c r="FN93" t="s">
        <v>2951</v>
      </c>
      <c r="FO93">
        <v>1</v>
      </c>
      <c r="FP93" t="s">
        <v>2952</v>
      </c>
      <c r="FQ93" t="s">
        <v>2949</v>
      </c>
      <c r="FR93">
        <v>1</v>
      </c>
      <c r="FS93" t="s">
        <v>2953</v>
      </c>
      <c r="FT93" t="s">
        <v>2954</v>
      </c>
      <c r="FU93">
        <v>1</v>
      </c>
      <c r="FV93" t="s">
        <v>2955</v>
      </c>
      <c r="FW93" t="s">
        <v>2956</v>
      </c>
      <c r="FX93">
        <v>1</v>
      </c>
      <c r="FY93" t="s">
        <v>890</v>
      </c>
      <c r="FZ93" t="s">
        <v>2957</v>
      </c>
      <c r="GA93" t="s">
        <v>2955</v>
      </c>
      <c r="GB93">
        <v>1</v>
      </c>
      <c r="GD93">
        <v>0</v>
      </c>
      <c r="GF93">
        <v>0</v>
      </c>
      <c r="GG93">
        <v>1</v>
      </c>
      <c r="GH93" t="s">
        <v>892</v>
      </c>
      <c r="GI93" t="s">
        <v>893</v>
      </c>
      <c r="GJ93" t="s">
        <v>2956</v>
      </c>
      <c r="GM93">
        <v>1</v>
      </c>
      <c r="GN93">
        <v>1</v>
      </c>
      <c r="GO93">
        <v>0</v>
      </c>
      <c r="GP93">
        <v>1</v>
      </c>
      <c r="GQ93">
        <v>1</v>
      </c>
      <c r="GR93">
        <v>0</v>
      </c>
      <c r="GS93">
        <v>1</v>
      </c>
      <c r="GT93">
        <v>0</v>
      </c>
      <c r="GU93">
        <v>1</v>
      </c>
      <c r="GV93">
        <v>0</v>
      </c>
      <c r="GW93">
        <v>1</v>
      </c>
      <c r="GX93">
        <v>0</v>
      </c>
      <c r="GY93">
        <v>1</v>
      </c>
      <c r="GZ93">
        <v>0</v>
      </c>
      <c r="HA93" t="s">
        <v>516</v>
      </c>
      <c r="HB93" t="s">
        <v>894</v>
      </c>
      <c r="HC93" t="s">
        <v>895</v>
      </c>
      <c r="HD93" t="s">
        <v>845</v>
      </c>
      <c r="HE93" t="s">
        <v>836</v>
      </c>
      <c r="HF93" t="s">
        <v>1051</v>
      </c>
      <c r="HG93" t="s">
        <v>894</v>
      </c>
      <c r="HH93" t="s">
        <v>895</v>
      </c>
      <c r="HI93" t="s">
        <v>845</v>
      </c>
      <c r="HJ93" t="s">
        <v>836</v>
      </c>
      <c r="HK93" t="s">
        <v>1037</v>
      </c>
      <c r="HL93" t="s">
        <v>117</v>
      </c>
      <c r="HM93" t="s">
        <v>854</v>
      </c>
      <c r="HN93">
        <v>36805</v>
      </c>
      <c r="HP93" t="s">
        <v>111</v>
      </c>
      <c r="HQ93" t="s">
        <v>896</v>
      </c>
      <c r="HR93" t="s">
        <v>896</v>
      </c>
      <c r="HS93" t="s">
        <v>896</v>
      </c>
    </row>
    <row r="94" spans="1:227" x14ac:dyDescent="0.2">
      <c r="A94">
        <v>8702</v>
      </c>
      <c r="B94">
        <v>7602703663</v>
      </c>
      <c r="C94">
        <v>34</v>
      </c>
      <c r="D94" t="s">
        <v>996</v>
      </c>
      <c r="E94" t="s">
        <v>831</v>
      </c>
      <c r="F94">
        <v>0</v>
      </c>
      <c r="G94" t="s">
        <v>2958</v>
      </c>
      <c r="H94" t="s">
        <v>2958</v>
      </c>
      <c r="I94">
        <v>0</v>
      </c>
      <c r="J94" t="s">
        <v>833</v>
      </c>
      <c r="K94" t="s">
        <v>834</v>
      </c>
      <c r="L94">
        <v>153294174</v>
      </c>
      <c r="M94" t="s">
        <v>2959</v>
      </c>
      <c r="N94" t="s">
        <v>836</v>
      </c>
      <c r="O94" t="s">
        <v>837</v>
      </c>
      <c r="P94" t="s">
        <v>999</v>
      </c>
      <c r="Q94" t="s">
        <v>2459</v>
      </c>
      <c r="R94" t="s">
        <v>2960</v>
      </c>
      <c r="S94" t="s">
        <v>2961</v>
      </c>
      <c r="T94">
        <v>30300127006</v>
      </c>
      <c r="V94" t="s">
        <v>2962</v>
      </c>
      <c r="W94" s="41">
        <v>46051</v>
      </c>
      <c r="X94" t="s">
        <v>2963</v>
      </c>
      <c r="Y94" t="s">
        <v>2964</v>
      </c>
      <c r="Z94" t="s">
        <v>2965</v>
      </c>
      <c r="AA94">
        <v>0</v>
      </c>
      <c r="AB94" t="s">
        <v>845</v>
      </c>
      <c r="AC94" t="s">
        <v>846</v>
      </c>
      <c r="AD94" t="s">
        <v>847</v>
      </c>
      <c r="AE94" t="s">
        <v>848</v>
      </c>
      <c r="AF94">
        <v>1</v>
      </c>
      <c r="AG94">
        <v>452210</v>
      </c>
      <c r="AH94" t="s">
        <v>849</v>
      </c>
      <c r="AI94" t="s">
        <v>850</v>
      </c>
      <c r="AJ94" t="s">
        <v>851</v>
      </c>
      <c r="AK94" t="s">
        <v>255</v>
      </c>
      <c r="AL94" t="s">
        <v>2605</v>
      </c>
      <c r="AM94" t="s">
        <v>2966</v>
      </c>
      <c r="AN94" t="s">
        <v>854</v>
      </c>
      <c r="AO94">
        <v>36805</v>
      </c>
      <c r="AP94">
        <v>715</v>
      </c>
      <c r="AQ94" t="s">
        <v>855</v>
      </c>
      <c r="AR94">
        <v>66311388</v>
      </c>
      <c r="AS94" t="s">
        <v>856</v>
      </c>
      <c r="AU94" t="s">
        <v>2967</v>
      </c>
      <c r="AV94" t="s">
        <v>2968</v>
      </c>
      <c r="AX94" t="s">
        <v>913</v>
      </c>
      <c r="AY94" t="s">
        <v>861</v>
      </c>
      <c r="AZ94" t="s">
        <v>255</v>
      </c>
      <c r="BA94" t="s">
        <v>256</v>
      </c>
      <c r="BB94">
        <v>0</v>
      </c>
      <c r="BC94">
        <v>1</v>
      </c>
      <c r="BD94">
        <v>0</v>
      </c>
      <c r="BE94" t="s">
        <v>2959</v>
      </c>
      <c r="BF94">
        <v>0</v>
      </c>
      <c r="BG94">
        <v>0</v>
      </c>
      <c r="BH94" t="s">
        <v>862</v>
      </c>
      <c r="BI94">
        <v>0</v>
      </c>
      <c r="BJ94" t="s">
        <v>862</v>
      </c>
      <c r="BK94">
        <v>1</v>
      </c>
      <c r="BL94">
        <v>1</v>
      </c>
      <c r="BM94">
        <v>0</v>
      </c>
      <c r="BN94" t="s">
        <v>596</v>
      </c>
      <c r="BO94">
        <v>153294174</v>
      </c>
      <c r="BP94" t="s">
        <v>2958</v>
      </c>
      <c r="BR94">
        <v>42793503</v>
      </c>
      <c r="BT94">
        <v>1</v>
      </c>
      <c r="BU94" t="s">
        <v>1367</v>
      </c>
      <c r="CI94">
        <v>11</v>
      </c>
      <c r="CJ94" t="s">
        <v>94</v>
      </c>
      <c r="CM94">
        <v>4010</v>
      </c>
      <c r="CO94">
        <v>7360</v>
      </c>
      <c r="CP94">
        <v>1.67E-2</v>
      </c>
      <c r="CQ94">
        <v>1.67E-2</v>
      </c>
      <c r="CR94">
        <v>1.67E-2</v>
      </c>
      <c r="CS94">
        <v>3</v>
      </c>
      <c r="CT94" t="s">
        <v>2969</v>
      </c>
      <c r="CU94" t="s">
        <v>2970</v>
      </c>
      <c r="CV94" t="s">
        <v>833</v>
      </c>
      <c r="CW94" t="s">
        <v>834</v>
      </c>
      <c r="CX94" t="s">
        <v>2959</v>
      </c>
      <c r="CY94">
        <v>1</v>
      </c>
      <c r="CZ94">
        <v>1</v>
      </c>
      <c r="DA94" t="s">
        <v>833</v>
      </c>
      <c r="DB94" t="s">
        <v>865</v>
      </c>
      <c r="DC94">
        <v>54304</v>
      </c>
      <c r="DD94">
        <v>29.25</v>
      </c>
      <c r="DE94" t="s">
        <v>866</v>
      </c>
      <c r="DG94" t="s">
        <v>867</v>
      </c>
      <c r="DH94" t="s">
        <v>851</v>
      </c>
      <c r="DI94" t="s">
        <v>2971</v>
      </c>
      <c r="DK94" t="s">
        <v>918</v>
      </c>
      <c r="DL94" t="s">
        <v>869</v>
      </c>
      <c r="DM94">
        <v>0</v>
      </c>
      <c r="DN94">
        <v>0</v>
      </c>
      <c r="DO94">
        <v>11</v>
      </c>
      <c r="DP94" t="s">
        <v>1010</v>
      </c>
      <c r="DQ94">
        <v>16</v>
      </c>
      <c r="DR94">
        <v>1755</v>
      </c>
      <c r="DS94">
        <v>3195</v>
      </c>
      <c r="DT94">
        <v>29.2333</v>
      </c>
      <c r="DU94">
        <v>4</v>
      </c>
      <c r="DV94">
        <v>1</v>
      </c>
      <c r="DW94">
        <v>2</v>
      </c>
      <c r="DX94" t="s">
        <v>596</v>
      </c>
      <c r="DY94" t="s">
        <v>2959</v>
      </c>
      <c r="DZ94">
        <v>0</v>
      </c>
      <c r="EA94">
        <v>0</v>
      </c>
      <c r="EB94">
        <v>1</v>
      </c>
      <c r="EC94">
        <v>0</v>
      </c>
      <c r="ED94">
        <v>0</v>
      </c>
      <c r="EE94">
        <v>1</v>
      </c>
      <c r="EF94" t="s">
        <v>871</v>
      </c>
      <c r="EG94" t="s">
        <v>595</v>
      </c>
      <c r="EH94" t="s">
        <v>921</v>
      </c>
      <c r="EI94" t="s">
        <v>921</v>
      </c>
      <c r="EJ94" t="s">
        <v>215</v>
      </c>
      <c r="EK94">
        <v>9090</v>
      </c>
      <c r="EL94">
        <v>0</v>
      </c>
      <c r="EM94" t="s">
        <v>1436</v>
      </c>
      <c r="EN94">
        <v>1.67E-2</v>
      </c>
      <c r="EO94">
        <v>53.25</v>
      </c>
      <c r="EP94">
        <v>99991120</v>
      </c>
      <c r="EQ94" t="s">
        <v>874</v>
      </c>
      <c r="ER94" t="s">
        <v>875</v>
      </c>
      <c r="ES94" t="s">
        <v>876</v>
      </c>
      <c r="ET94" t="s">
        <v>877</v>
      </c>
      <c r="EU94" t="s">
        <v>877</v>
      </c>
      <c r="EV94" t="s">
        <v>871</v>
      </c>
      <c r="EX94" t="s">
        <v>836</v>
      </c>
      <c r="EY94" t="s">
        <v>873</v>
      </c>
      <c r="EZ94" t="s">
        <v>2972</v>
      </c>
      <c r="FA94" t="s">
        <v>879</v>
      </c>
      <c r="FB94">
        <v>1</v>
      </c>
      <c r="FC94">
        <v>1</v>
      </c>
      <c r="FD94" s="41">
        <v>46053</v>
      </c>
      <c r="FE94" t="s">
        <v>1370</v>
      </c>
      <c r="FF94">
        <v>8</v>
      </c>
      <c r="FG94" t="s">
        <v>2973</v>
      </c>
      <c r="FH94" t="s">
        <v>2974</v>
      </c>
      <c r="FI94">
        <v>1</v>
      </c>
      <c r="FJ94" t="s">
        <v>2975</v>
      </c>
      <c r="FK94" t="s">
        <v>2974</v>
      </c>
      <c r="FL94">
        <v>1</v>
      </c>
      <c r="FM94" t="s">
        <v>2976</v>
      </c>
      <c r="FN94" t="s">
        <v>2977</v>
      </c>
      <c r="FO94">
        <v>1</v>
      </c>
      <c r="FP94" t="s">
        <v>2978</v>
      </c>
      <c r="FQ94" t="s">
        <v>2970</v>
      </c>
      <c r="FR94">
        <v>1</v>
      </c>
      <c r="FS94" t="s">
        <v>2610</v>
      </c>
      <c r="FT94" t="s">
        <v>2979</v>
      </c>
      <c r="FU94">
        <v>1</v>
      </c>
      <c r="FV94" t="s">
        <v>2980</v>
      </c>
      <c r="FW94" t="s">
        <v>2981</v>
      </c>
      <c r="FX94">
        <v>1</v>
      </c>
      <c r="FY94" t="s">
        <v>890</v>
      </c>
      <c r="FZ94" t="s">
        <v>2982</v>
      </c>
      <c r="GA94" t="s">
        <v>2975</v>
      </c>
      <c r="GB94">
        <v>1</v>
      </c>
      <c r="GD94">
        <v>0</v>
      </c>
      <c r="GF94">
        <v>0</v>
      </c>
      <c r="GG94">
        <v>1</v>
      </c>
      <c r="GH94" t="s">
        <v>892</v>
      </c>
      <c r="GI94" t="s">
        <v>893</v>
      </c>
      <c r="GJ94" t="s">
        <v>2974</v>
      </c>
      <c r="GM94">
        <v>1</v>
      </c>
      <c r="GN94">
        <v>1</v>
      </c>
      <c r="GO94">
        <v>0</v>
      </c>
      <c r="GP94">
        <v>1</v>
      </c>
      <c r="GQ94">
        <v>1</v>
      </c>
      <c r="GR94">
        <v>0</v>
      </c>
      <c r="GS94">
        <v>1</v>
      </c>
      <c r="GT94">
        <v>0</v>
      </c>
      <c r="GU94">
        <v>1</v>
      </c>
      <c r="GV94">
        <v>0</v>
      </c>
      <c r="GW94">
        <v>1</v>
      </c>
      <c r="GX94">
        <v>0</v>
      </c>
      <c r="GY94">
        <v>1</v>
      </c>
      <c r="GZ94">
        <v>0</v>
      </c>
      <c r="HA94" t="s">
        <v>255</v>
      </c>
      <c r="HB94" t="s">
        <v>894</v>
      </c>
      <c r="HC94" t="s">
        <v>895</v>
      </c>
      <c r="HD94" t="s">
        <v>845</v>
      </c>
      <c r="HE94" t="s">
        <v>836</v>
      </c>
      <c r="HF94" t="s">
        <v>873</v>
      </c>
      <c r="HG94" t="s">
        <v>894</v>
      </c>
      <c r="HH94" t="s">
        <v>895</v>
      </c>
      <c r="HI94" t="s">
        <v>845</v>
      </c>
      <c r="HJ94" t="s">
        <v>836</v>
      </c>
      <c r="HK94" t="s">
        <v>1436</v>
      </c>
      <c r="HL94" t="s">
        <v>2962</v>
      </c>
      <c r="HM94" t="s">
        <v>854</v>
      </c>
      <c r="HN94">
        <v>36805</v>
      </c>
      <c r="HO94">
        <v>1</v>
      </c>
      <c r="HP94" t="s">
        <v>215</v>
      </c>
      <c r="HQ94" t="s">
        <v>896</v>
      </c>
      <c r="HR94" t="s">
        <v>896</v>
      </c>
      <c r="HS94" t="s">
        <v>896</v>
      </c>
    </row>
    <row r="95" spans="1:227" x14ac:dyDescent="0.2">
      <c r="A95">
        <v>8702</v>
      </c>
      <c r="B95">
        <v>7607100040</v>
      </c>
      <c r="C95" t="s">
        <v>829</v>
      </c>
      <c r="D95" t="s">
        <v>830</v>
      </c>
      <c r="E95" t="s">
        <v>831</v>
      </c>
      <c r="F95">
        <v>0</v>
      </c>
      <c r="G95" t="s">
        <v>2983</v>
      </c>
      <c r="H95" t="s">
        <v>2983</v>
      </c>
      <c r="I95">
        <v>0</v>
      </c>
      <c r="J95" t="s">
        <v>833</v>
      </c>
      <c r="K95" t="s">
        <v>834</v>
      </c>
      <c r="L95">
        <v>156046213</v>
      </c>
      <c r="M95" t="s">
        <v>2984</v>
      </c>
      <c r="N95" t="s">
        <v>836</v>
      </c>
      <c r="O95" t="s">
        <v>837</v>
      </c>
      <c r="P95" t="s">
        <v>838</v>
      </c>
      <c r="Q95" t="s">
        <v>901</v>
      </c>
      <c r="R95" t="s">
        <v>2985</v>
      </c>
      <c r="S95" t="s">
        <v>2986</v>
      </c>
      <c r="T95">
        <v>41477123639</v>
      </c>
      <c r="V95" t="s">
        <v>187</v>
      </c>
      <c r="W95" s="41">
        <v>46093</v>
      </c>
      <c r="X95" t="s">
        <v>2987</v>
      </c>
      <c r="Y95" t="s">
        <v>2988</v>
      </c>
      <c r="AA95">
        <v>0</v>
      </c>
      <c r="AB95" t="s">
        <v>845</v>
      </c>
      <c r="AC95" t="s">
        <v>846</v>
      </c>
      <c r="AD95" t="s">
        <v>1113</v>
      </c>
      <c r="AE95" t="s">
        <v>1114</v>
      </c>
      <c r="AF95">
        <v>1</v>
      </c>
      <c r="AG95">
        <v>452210</v>
      </c>
      <c r="AH95" t="s">
        <v>849</v>
      </c>
      <c r="AI95" t="s">
        <v>850</v>
      </c>
      <c r="AJ95" t="s">
        <v>851</v>
      </c>
      <c r="AK95" t="s">
        <v>387</v>
      </c>
      <c r="AL95" t="s">
        <v>2989</v>
      </c>
      <c r="AM95" t="s">
        <v>2553</v>
      </c>
      <c r="AN95" t="s">
        <v>854</v>
      </c>
      <c r="AO95">
        <v>36805</v>
      </c>
      <c r="AP95">
        <v>634</v>
      </c>
      <c r="AQ95" t="s">
        <v>855</v>
      </c>
      <c r="AR95">
        <v>66372179</v>
      </c>
      <c r="AS95" t="s">
        <v>856</v>
      </c>
      <c r="AU95" t="s">
        <v>2990</v>
      </c>
      <c r="AV95" t="s">
        <v>2991</v>
      </c>
      <c r="AX95" t="s">
        <v>913</v>
      </c>
      <c r="AY95" t="s">
        <v>861</v>
      </c>
      <c r="AZ95" t="s">
        <v>387</v>
      </c>
      <c r="BA95" t="s">
        <v>388</v>
      </c>
      <c r="BB95">
        <v>0</v>
      </c>
      <c r="BC95">
        <v>0</v>
      </c>
      <c r="BD95">
        <v>1</v>
      </c>
      <c r="BE95" t="s">
        <v>2984</v>
      </c>
      <c r="BF95">
        <v>0</v>
      </c>
      <c r="BG95">
        <v>0</v>
      </c>
      <c r="BH95" t="s">
        <v>862</v>
      </c>
      <c r="BI95">
        <v>0</v>
      </c>
      <c r="BJ95" t="s">
        <v>862</v>
      </c>
      <c r="BK95">
        <v>1</v>
      </c>
      <c r="BL95">
        <v>1</v>
      </c>
      <c r="BM95">
        <v>0</v>
      </c>
      <c r="BN95" t="s">
        <v>596</v>
      </c>
      <c r="BO95">
        <v>156046213</v>
      </c>
      <c r="BP95" t="s">
        <v>2983</v>
      </c>
      <c r="BR95">
        <v>42791756</v>
      </c>
      <c r="BT95">
        <v>2</v>
      </c>
      <c r="BU95" t="s">
        <v>1715</v>
      </c>
      <c r="BY95">
        <v>16</v>
      </c>
      <c r="CA95">
        <v>5</v>
      </c>
      <c r="CE95">
        <v>1</v>
      </c>
      <c r="CI95">
        <v>11</v>
      </c>
      <c r="CJ95" t="s">
        <v>94</v>
      </c>
      <c r="CM95">
        <v>4010</v>
      </c>
      <c r="CO95">
        <v>7360</v>
      </c>
      <c r="CP95">
        <v>0.4667</v>
      </c>
      <c r="CQ95">
        <v>0.4667</v>
      </c>
      <c r="CR95">
        <v>0.86670000000000003</v>
      </c>
      <c r="CS95">
        <v>40</v>
      </c>
      <c r="CT95" t="s">
        <v>2992</v>
      </c>
      <c r="CU95" t="s">
        <v>2993</v>
      </c>
      <c r="CV95" t="s">
        <v>833</v>
      </c>
      <c r="CW95" t="s">
        <v>834</v>
      </c>
      <c r="CX95" t="s">
        <v>2984</v>
      </c>
      <c r="CY95">
        <v>1</v>
      </c>
      <c r="CZ95">
        <v>1</v>
      </c>
      <c r="DA95" t="s">
        <v>833</v>
      </c>
      <c r="DB95" t="s">
        <v>865</v>
      </c>
      <c r="DC95">
        <v>60435</v>
      </c>
      <c r="DD95">
        <v>5.3</v>
      </c>
      <c r="DE95" t="s">
        <v>866</v>
      </c>
      <c r="DG95" t="s">
        <v>867</v>
      </c>
      <c r="DH95" t="s">
        <v>851</v>
      </c>
      <c r="DI95" t="s">
        <v>984</v>
      </c>
      <c r="DK95" t="s">
        <v>918</v>
      </c>
      <c r="DL95" t="s">
        <v>869</v>
      </c>
      <c r="DM95">
        <v>0</v>
      </c>
      <c r="DN95">
        <v>0</v>
      </c>
      <c r="DO95">
        <v>11</v>
      </c>
      <c r="DP95" t="s">
        <v>1010</v>
      </c>
      <c r="DQ95">
        <v>0</v>
      </c>
      <c r="DR95">
        <v>318</v>
      </c>
      <c r="DS95">
        <v>318</v>
      </c>
      <c r="DT95">
        <v>4.8333000000000004</v>
      </c>
      <c r="DU95">
        <v>0</v>
      </c>
      <c r="DV95">
        <v>1</v>
      </c>
      <c r="DW95">
        <v>2</v>
      </c>
      <c r="DX95" t="s">
        <v>596</v>
      </c>
      <c r="DY95" t="s">
        <v>2984</v>
      </c>
      <c r="DZ95">
        <v>1</v>
      </c>
      <c r="EA95">
        <v>1</v>
      </c>
      <c r="EB95">
        <v>1</v>
      </c>
      <c r="EC95">
        <v>1</v>
      </c>
      <c r="ED95">
        <v>1</v>
      </c>
      <c r="EE95">
        <v>1</v>
      </c>
      <c r="EF95" t="s">
        <v>871</v>
      </c>
      <c r="EG95" t="s">
        <v>595</v>
      </c>
      <c r="EH95" t="s">
        <v>921</v>
      </c>
      <c r="EI95" t="s">
        <v>921</v>
      </c>
      <c r="EJ95" t="s">
        <v>181</v>
      </c>
      <c r="EK95">
        <v>9090</v>
      </c>
      <c r="EL95">
        <v>0</v>
      </c>
      <c r="EM95" t="s">
        <v>1436</v>
      </c>
      <c r="EN95">
        <v>0.86670000000000003</v>
      </c>
      <c r="EO95">
        <v>5.3</v>
      </c>
      <c r="EP95">
        <v>99991120</v>
      </c>
      <c r="EQ95" t="s">
        <v>874</v>
      </c>
      <c r="ER95" t="s">
        <v>875</v>
      </c>
      <c r="ES95" t="s">
        <v>876</v>
      </c>
      <c r="ET95" t="s">
        <v>877</v>
      </c>
      <c r="EU95" t="s">
        <v>877</v>
      </c>
      <c r="EV95" t="s">
        <v>871</v>
      </c>
      <c r="EX95" t="s">
        <v>836</v>
      </c>
      <c r="EY95" t="s">
        <v>873</v>
      </c>
      <c r="EZ95" t="s">
        <v>1437</v>
      </c>
      <c r="FA95" t="s">
        <v>956</v>
      </c>
      <c r="FB95">
        <v>1</v>
      </c>
      <c r="FC95">
        <v>1</v>
      </c>
      <c r="FD95" s="41">
        <v>46095</v>
      </c>
      <c r="FE95" t="s">
        <v>1719</v>
      </c>
      <c r="FF95">
        <v>7</v>
      </c>
      <c r="FG95" t="s">
        <v>2994</v>
      </c>
      <c r="FH95" t="s">
        <v>2995</v>
      </c>
      <c r="FI95">
        <v>1</v>
      </c>
      <c r="FJ95" t="s">
        <v>2996</v>
      </c>
      <c r="FK95" t="s">
        <v>2995</v>
      </c>
      <c r="FL95">
        <v>1</v>
      </c>
      <c r="FM95" t="s">
        <v>2997</v>
      </c>
      <c r="FN95" t="s">
        <v>2998</v>
      </c>
      <c r="FO95">
        <v>1</v>
      </c>
      <c r="FP95" t="s">
        <v>2999</v>
      </c>
      <c r="FQ95" t="s">
        <v>2993</v>
      </c>
      <c r="FR95">
        <v>1</v>
      </c>
      <c r="FS95" t="s">
        <v>1527</v>
      </c>
      <c r="FT95" t="s">
        <v>3000</v>
      </c>
      <c r="FU95">
        <v>1</v>
      </c>
      <c r="FV95" t="s">
        <v>3001</v>
      </c>
      <c r="FW95" t="s">
        <v>3002</v>
      </c>
      <c r="FX95">
        <v>1</v>
      </c>
      <c r="FY95" t="s">
        <v>890</v>
      </c>
      <c r="FZ95" t="s">
        <v>3003</v>
      </c>
      <c r="GA95" t="s">
        <v>2996</v>
      </c>
      <c r="GB95">
        <v>1</v>
      </c>
      <c r="GD95">
        <v>0</v>
      </c>
      <c r="GF95">
        <v>0</v>
      </c>
      <c r="GG95">
        <v>1</v>
      </c>
      <c r="GH95" t="s">
        <v>892</v>
      </c>
      <c r="GI95" t="s">
        <v>893</v>
      </c>
      <c r="GJ95" t="s">
        <v>2995</v>
      </c>
      <c r="GM95">
        <v>1</v>
      </c>
      <c r="GN95">
        <v>1</v>
      </c>
      <c r="GO95">
        <v>0</v>
      </c>
      <c r="GP95">
        <v>1</v>
      </c>
      <c r="GQ95">
        <v>1</v>
      </c>
      <c r="GR95">
        <v>0</v>
      </c>
      <c r="GS95">
        <v>1</v>
      </c>
      <c r="GT95">
        <v>0</v>
      </c>
      <c r="GU95">
        <v>1</v>
      </c>
      <c r="GV95">
        <v>0</v>
      </c>
      <c r="GW95">
        <v>1</v>
      </c>
      <c r="GX95">
        <v>0</v>
      </c>
      <c r="GY95">
        <v>1</v>
      </c>
      <c r="GZ95">
        <v>0</v>
      </c>
      <c r="HA95" t="s">
        <v>387</v>
      </c>
      <c r="HB95" t="s">
        <v>894</v>
      </c>
      <c r="HC95" t="s">
        <v>895</v>
      </c>
      <c r="HD95" t="s">
        <v>845</v>
      </c>
      <c r="HE95" t="s">
        <v>836</v>
      </c>
      <c r="HF95" t="s">
        <v>873</v>
      </c>
      <c r="HG95" t="s">
        <v>894</v>
      </c>
      <c r="HH95" t="s">
        <v>895</v>
      </c>
      <c r="HI95" t="s">
        <v>845</v>
      </c>
      <c r="HJ95" t="s">
        <v>836</v>
      </c>
      <c r="HK95" t="s">
        <v>1436</v>
      </c>
      <c r="HL95" t="s">
        <v>187</v>
      </c>
      <c r="HM95" t="s">
        <v>854</v>
      </c>
      <c r="HN95">
        <v>36805</v>
      </c>
      <c r="HP95" t="s">
        <v>181</v>
      </c>
      <c r="HQ95" t="s">
        <v>896</v>
      </c>
      <c r="HR95" t="s">
        <v>896</v>
      </c>
      <c r="HS95" t="s">
        <v>896</v>
      </c>
    </row>
    <row r="96" spans="1:227" x14ac:dyDescent="0.2">
      <c r="A96">
        <v>8702</v>
      </c>
      <c r="B96">
        <v>7605704708</v>
      </c>
      <c r="C96" t="s">
        <v>829</v>
      </c>
      <c r="D96" t="s">
        <v>830</v>
      </c>
      <c r="E96" t="s">
        <v>831</v>
      </c>
      <c r="F96">
        <v>1</v>
      </c>
      <c r="G96" t="s">
        <v>3004</v>
      </c>
      <c r="H96" t="s">
        <v>3004</v>
      </c>
      <c r="I96">
        <v>0</v>
      </c>
      <c r="J96" t="s">
        <v>833</v>
      </c>
      <c r="K96" t="s">
        <v>834</v>
      </c>
      <c r="L96">
        <v>153406579</v>
      </c>
      <c r="M96" t="s">
        <v>3005</v>
      </c>
      <c r="N96" t="s">
        <v>836</v>
      </c>
      <c r="O96" t="s">
        <v>837</v>
      </c>
      <c r="P96" t="s">
        <v>838</v>
      </c>
      <c r="Q96" t="s">
        <v>901</v>
      </c>
      <c r="R96" t="s">
        <v>3006</v>
      </c>
      <c r="S96" t="s">
        <v>3007</v>
      </c>
      <c r="T96">
        <v>30300105423</v>
      </c>
      <c r="V96" t="s">
        <v>217</v>
      </c>
      <c r="W96" s="41">
        <v>46079</v>
      </c>
      <c r="X96" t="s">
        <v>3008</v>
      </c>
      <c r="Y96" t="s">
        <v>3009</v>
      </c>
      <c r="AA96">
        <v>0</v>
      </c>
      <c r="AB96" t="s">
        <v>845</v>
      </c>
      <c r="AC96" t="s">
        <v>846</v>
      </c>
      <c r="AD96" t="s">
        <v>1113</v>
      </c>
      <c r="AE96" t="s">
        <v>1114</v>
      </c>
      <c r="AF96">
        <v>1</v>
      </c>
      <c r="AG96">
        <v>452210</v>
      </c>
      <c r="AH96" t="s">
        <v>849</v>
      </c>
      <c r="AI96" t="s">
        <v>850</v>
      </c>
      <c r="AJ96" t="s">
        <v>851</v>
      </c>
      <c r="AK96" t="s">
        <v>323</v>
      </c>
      <c r="AL96" t="s">
        <v>1799</v>
      </c>
      <c r="AM96" t="s">
        <v>3010</v>
      </c>
      <c r="AN96" t="s">
        <v>854</v>
      </c>
      <c r="AO96">
        <v>36805</v>
      </c>
      <c r="AP96">
        <v>707</v>
      </c>
      <c r="AQ96" t="s">
        <v>855</v>
      </c>
      <c r="AR96">
        <v>66351958</v>
      </c>
      <c r="AS96" t="s">
        <v>856</v>
      </c>
      <c r="AU96" t="s">
        <v>3011</v>
      </c>
      <c r="AV96" t="s">
        <v>3012</v>
      </c>
      <c r="AX96" t="s">
        <v>913</v>
      </c>
      <c r="AY96" t="s">
        <v>861</v>
      </c>
      <c r="AZ96" t="s">
        <v>323</v>
      </c>
      <c r="BA96" t="s">
        <v>324</v>
      </c>
      <c r="BB96">
        <v>0</v>
      </c>
      <c r="BC96">
        <v>0</v>
      </c>
      <c r="BD96">
        <v>0</v>
      </c>
      <c r="BE96" t="s">
        <v>3005</v>
      </c>
      <c r="BF96">
        <v>0</v>
      </c>
      <c r="BG96">
        <v>0</v>
      </c>
      <c r="BH96" t="s">
        <v>862</v>
      </c>
      <c r="BI96">
        <v>0</v>
      </c>
      <c r="BJ96" t="s">
        <v>862</v>
      </c>
      <c r="BK96">
        <v>1</v>
      </c>
      <c r="BL96">
        <v>1</v>
      </c>
      <c r="BM96">
        <v>0</v>
      </c>
      <c r="BN96" t="s">
        <v>596</v>
      </c>
      <c r="BO96">
        <v>153406579</v>
      </c>
      <c r="BP96" t="s">
        <v>3004</v>
      </c>
      <c r="BQ96">
        <v>43.037645900000001</v>
      </c>
      <c r="BR96">
        <v>42791784</v>
      </c>
      <c r="BS96">
        <v>-88.127729700000003</v>
      </c>
      <c r="BT96">
        <v>2</v>
      </c>
      <c r="BU96" t="s">
        <v>1780</v>
      </c>
      <c r="CE96">
        <v>1</v>
      </c>
      <c r="CI96">
        <v>11</v>
      </c>
      <c r="CJ96" t="s">
        <v>94</v>
      </c>
      <c r="CM96">
        <v>4010</v>
      </c>
      <c r="CO96">
        <v>7360</v>
      </c>
      <c r="CP96">
        <v>1.1833</v>
      </c>
      <c r="CQ96">
        <v>1.1833</v>
      </c>
      <c r="CR96">
        <v>2.1</v>
      </c>
      <c r="CS96">
        <v>0</v>
      </c>
      <c r="CT96" t="s">
        <v>3012</v>
      </c>
      <c r="CU96" t="s">
        <v>3011</v>
      </c>
      <c r="CV96" t="s">
        <v>833</v>
      </c>
      <c r="CW96" t="s">
        <v>834</v>
      </c>
      <c r="CX96" t="s">
        <v>3005</v>
      </c>
      <c r="CY96">
        <v>0</v>
      </c>
      <c r="CZ96">
        <v>0</v>
      </c>
      <c r="DA96" t="s">
        <v>833</v>
      </c>
      <c r="DB96" t="s">
        <v>865</v>
      </c>
      <c r="DC96">
        <v>53045</v>
      </c>
      <c r="DD96">
        <v>4.3</v>
      </c>
      <c r="DE96" t="s">
        <v>866</v>
      </c>
      <c r="DG96" t="s">
        <v>867</v>
      </c>
      <c r="DH96" t="s">
        <v>851</v>
      </c>
      <c r="DK96" t="s">
        <v>918</v>
      </c>
      <c r="DL96" t="s">
        <v>869</v>
      </c>
      <c r="DM96">
        <v>0</v>
      </c>
      <c r="DN96">
        <v>0</v>
      </c>
      <c r="DO96">
        <v>2</v>
      </c>
      <c r="DP96" t="s">
        <v>870</v>
      </c>
      <c r="DQ96">
        <v>0</v>
      </c>
      <c r="DR96">
        <v>258</v>
      </c>
      <c r="DS96">
        <v>258</v>
      </c>
      <c r="DT96">
        <v>1.05</v>
      </c>
      <c r="DU96">
        <v>0</v>
      </c>
      <c r="DV96">
        <v>1</v>
      </c>
      <c r="DW96">
        <v>2</v>
      </c>
      <c r="DX96" t="s">
        <v>596</v>
      </c>
      <c r="DY96" t="s">
        <v>3005</v>
      </c>
      <c r="DZ96">
        <v>1</v>
      </c>
      <c r="EA96">
        <v>1</v>
      </c>
      <c r="EB96">
        <v>1</v>
      </c>
      <c r="EC96">
        <v>1</v>
      </c>
      <c r="ED96">
        <v>1</v>
      </c>
      <c r="EE96">
        <v>1</v>
      </c>
      <c r="EF96" t="s">
        <v>871</v>
      </c>
      <c r="EG96" t="s">
        <v>595</v>
      </c>
      <c r="EH96" t="s">
        <v>921</v>
      </c>
      <c r="EI96" t="s">
        <v>921</v>
      </c>
      <c r="EJ96" t="s">
        <v>215</v>
      </c>
      <c r="EK96">
        <v>9090</v>
      </c>
      <c r="EL96">
        <v>1</v>
      </c>
      <c r="EM96" t="s">
        <v>873</v>
      </c>
      <c r="EN96">
        <v>3.1667000000000001</v>
      </c>
      <c r="EO96">
        <v>4.3</v>
      </c>
      <c r="EP96">
        <v>99991120</v>
      </c>
      <c r="EQ96" t="s">
        <v>874</v>
      </c>
      <c r="ER96" t="s">
        <v>875</v>
      </c>
      <c r="ES96" t="s">
        <v>876</v>
      </c>
      <c r="ET96" t="s">
        <v>877</v>
      </c>
      <c r="EU96" t="s">
        <v>877</v>
      </c>
      <c r="EV96" t="s">
        <v>871</v>
      </c>
      <c r="EX96" t="s">
        <v>836</v>
      </c>
      <c r="EY96" t="s">
        <v>873</v>
      </c>
      <c r="EZ96" t="s">
        <v>1807</v>
      </c>
      <c r="FA96" t="s">
        <v>925</v>
      </c>
      <c r="FB96">
        <v>1</v>
      </c>
      <c r="FC96">
        <v>2</v>
      </c>
      <c r="FD96" s="41">
        <v>46081</v>
      </c>
      <c r="FE96" t="s">
        <v>1267</v>
      </c>
      <c r="FF96">
        <v>6</v>
      </c>
      <c r="FG96" t="s">
        <v>1911</v>
      </c>
      <c r="FH96" t="s">
        <v>3013</v>
      </c>
      <c r="FI96">
        <v>1</v>
      </c>
      <c r="FJ96" t="s">
        <v>3014</v>
      </c>
      <c r="FK96" t="s">
        <v>3015</v>
      </c>
      <c r="FL96">
        <v>1</v>
      </c>
      <c r="FM96" t="s">
        <v>3016</v>
      </c>
      <c r="FN96" t="s">
        <v>3017</v>
      </c>
      <c r="FO96">
        <v>1</v>
      </c>
      <c r="FP96" t="s">
        <v>3018</v>
      </c>
      <c r="FQ96" t="s">
        <v>3019</v>
      </c>
      <c r="FR96">
        <v>1</v>
      </c>
      <c r="FS96" t="s">
        <v>3020</v>
      </c>
      <c r="FT96" t="s">
        <v>3021</v>
      </c>
      <c r="FU96">
        <v>1</v>
      </c>
      <c r="FV96" t="s">
        <v>3022</v>
      </c>
      <c r="FW96" t="s">
        <v>3023</v>
      </c>
      <c r="FX96">
        <v>1</v>
      </c>
      <c r="FY96" t="s">
        <v>890</v>
      </c>
      <c r="FZ96" t="s">
        <v>3024</v>
      </c>
      <c r="GA96" t="s">
        <v>3014</v>
      </c>
      <c r="GB96">
        <v>1</v>
      </c>
      <c r="GD96">
        <v>0</v>
      </c>
      <c r="GF96">
        <v>0</v>
      </c>
      <c r="GG96">
        <v>1</v>
      </c>
      <c r="GH96" t="s">
        <v>892</v>
      </c>
      <c r="GI96" t="s">
        <v>893</v>
      </c>
      <c r="GJ96" t="s">
        <v>3015</v>
      </c>
      <c r="GM96">
        <v>1</v>
      </c>
      <c r="GN96">
        <v>0</v>
      </c>
      <c r="GO96">
        <v>0</v>
      </c>
      <c r="GP96">
        <v>1</v>
      </c>
      <c r="GQ96">
        <v>1</v>
      </c>
      <c r="GR96">
        <v>0</v>
      </c>
      <c r="GS96">
        <v>1</v>
      </c>
      <c r="GT96">
        <v>0</v>
      </c>
      <c r="GU96">
        <v>1</v>
      </c>
      <c r="GV96">
        <v>0</v>
      </c>
      <c r="GW96">
        <v>1</v>
      </c>
      <c r="GX96">
        <v>0</v>
      </c>
      <c r="GY96">
        <v>1</v>
      </c>
      <c r="GZ96">
        <v>0</v>
      </c>
      <c r="HA96" t="s">
        <v>323</v>
      </c>
      <c r="HB96" t="s">
        <v>894</v>
      </c>
      <c r="HC96" t="s">
        <v>895</v>
      </c>
      <c r="HD96" t="s">
        <v>845</v>
      </c>
      <c r="HE96" t="s">
        <v>836</v>
      </c>
      <c r="HF96" t="s">
        <v>873</v>
      </c>
      <c r="HG96" t="s">
        <v>894</v>
      </c>
      <c r="HH96" t="s">
        <v>895</v>
      </c>
      <c r="HI96" t="s">
        <v>845</v>
      </c>
      <c r="HJ96" t="s">
        <v>836</v>
      </c>
      <c r="HK96" t="s">
        <v>873</v>
      </c>
      <c r="HL96" t="s">
        <v>217</v>
      </c>
      <c r="HM96" t="s">
        <v>854</v>
      </c>
      <c r="HN96">
        <v>36805</v>
      </c>
      <c r="HP96" t="s">
        <v>215</v>
      </c>
      <c r="HQ96" t="s">
        <v>896</v>
      </c>
      <c r="HR96" t="s">
        <v>896</v>
      </c>
      <c r="HS96" t="s">
        <v>896</v>
      </c>
    </row>
    <row r="97" spans="1:227" x14ac:dyDescent="0.2">
      <c r="A97">
        <v>8702</v>
      </c>
      <c r="B97">
        <v>7607504786</v>
      </c>
      <c r="C97">
        <v>36</v>
      </c>
      <c r="D97" t="s">
        <v>1302</v>
      </c>
      <c r="E97" t="s">
        <v>831</v>
      </c>
      <c r="F97">
        <v>1</v>
      </c>
      <c r="G97" t="s">
        <v>3025</v>
      </c>
      <c r="H97" t="s">
        <v>3025</v>
      </c>
      <c r="I97">
        <v>0</v>
      </c>
      <c r="J97" t="s">
        <v>833</v>
      </c>
      <c r="K97" t="s">
        <v>834</v>
      </c>
      <c r="L97">
        <v>0</v>
      </c>
      <c r="M97" t="s">
        <v>3026</v>
      </c>
      <c r="N97" t="s">
        <v>836</v>
      </c>
      <c r="O97" t="s">
        <v>837</v>
      </c>
      <c r="P97" t="s">
        <v>1302</v>
      </c>
      <c r="Q97" t="s">
        <v>1517</v>
      </c>
      <c r="R97" t="s">
        <v>3027</v>
      </c>
      <c r="S97" t="s">
        <v>3028</v>
      </c>
      <c r="T97">
        <v>30300099310</v>
      </c>
      <c r="V97" t="s">
        <v>1943</v>
      </c>
      <c r="W97" s="41">
        <v>46098</v>
      </c>
      <c r="X97" t="s">
        <v>3029</v>
      </c>
      <c r="Y97" t="s">
        <v>3030</v>
      </c>
      <c r="AA97">
        <v>0</v>
      </c>
      <c r="AB97" t="s">
        <v>845</v>
      </c>
      <c r="AC97" t="s">
        <v>846</v>
      </c>
      <c r="AD97" t="s">
        <v>1335</v>
      </c>
      <c r="AE97" t="s">
        <v>1336</v>
      </c>
      <c r="AF97">
        <v>1</v>
      </c>
      <c r="AG97">
        <v>452210</v>
      </c>
      <c r="AH97" t="s">
        <v>849</v>
      </c>
      <c r="AI97" t="s">
        <v>850</v>
      </c>
      <c r="AJ97" t="s">
        <v>851</v>
      </c>
      <c r="AK97" t="s">
        <v>399</v>
      </c>
      <c r="AL97" t="s">
        <v>3031</v>
      </c>
      <c r="AM97" t="s">
        <v>1947</v>
      </c>
      <c r="AN97" t="s">
        <v>854</v>
      </c>
      <c r="AO97">
        <v>36805</v>
      </c>
      <c r="AP97">
        <v>562</v>
      </c>
      <c r="AQ97" t="s">
        <v>855</v>
      </c>
      <c r="AR97">
        <v>66378893</v>
      </c>
      <c r="AS97" t="s">
        <v>856</v>
      </c>
      <c r="AU97" t="s">
        <v>3032</v>
      </c>
      <c r="AV97" t="s">
        <v>3033</v>
      </c>
      <c r="AX97" t="s">
        <v>913</v>
      </c>
      <c r="AY97" t="s">
        <v>861</v>
      </c>
      <c r="AZ97" t="s">
        <v>399</v>
      </c>
      <c r="BA97" t="s">
        <v>400</v>
      </c>
      <c r="BB97">
        <v>0</v>
      </c>
      <c r="BC97">
        <v>0</v>
      </c>
      <c r="BD97">
        <v>0</v>
      </c>
      <c r="BE97" t="s">
        <v>3026</v>
      </c>
      <c r="BF97">
        <v>0</v>
      </c>
      <c r="BG97">
        <v>0</v>
      </c>
      <c r="BH97" t="s">
        <v>862</v>
      </c>
      <c r="BI97">
        <v>0</v>
      </c>
      <c r="BJ97" t="s">
        <v>862</v>
      </c>
      <c r="BK97">
        <v>1</v>
      </c>
      <c r="BL97">
        <v>1</v>
      </c>
      <c r="BM97">
        <v>0</v>
      </c>
      <c r="BN97" t="s">
        <v>596</v>
      </c>
      <c r="BP97" t="s">
        <v>3025</v>
      </c>
      <c r="BR97">
        <v>42791464</v>
      </c>
      <c r="BT97">
        <v>2</v>
      </c>
      <c r="BU97" t="s">
        <v>1715</v>
      </c>
      <c r="BY97">
        <v>12</v>
      </c>
      <c r="CA97">
        <v>5</v>
      </c>
      <c r="CE97">
        <v>1</v>
      </c>
      <c r="CI97">
        <v>11</v>
      </c>
      <c r="CJ97" t="s">
        <v>94</v>
      </c>
      <c r="CM97">
        <v>4010</v>
      </c>
      <c r="CO97">
        <v>7360</v>
      </c>
      <c r="CP97">
        <v>1</v>
      </c>
      <c r="CQ97">
        <v>1</v>
      </c>
      <c r="CR97">
        <v>2.3666999999999998</v>
      </c>
      <c r="CS97">
        <v>6</v>
      </c>
      <c r="CT97" t="s">
        <v>3033</v>
      </c>
      <c r="CU97" t="s">
        <v>3032</v>
      </c>
      <c r="CV97" t="s">
        <v>833</v>
      </c>
      <c r="CW97" t="s">
        <v>834</v>
      </c>
      <c r="CX97" t="s">
        <v>3034</v>
      </c>
      <c r="CY97">
        <v>0</v>
      </c>
      <c r="CZ97">
        <v>0</v>
      </c>
      <c r="DA97" t="s">
        <v>833</v>
      </c>
      <c r="DB97" t="s">
        <v>865</v>
      </c>
      <c r="DC97">
        <v>56387</v>
      </c>
      <c r="DD97">
        <v>4.95</v>
      </c>
      <c r="DE97" t="s">
        <v>866</v>
      </c>
      <c r="DG97" t="s">
        <v>867</v>
      </c>
      <c r="DH97" t="s">
        <v>851</v>
      </c>
      <c r="DK97" t="s">
        <v>918</v>
      </c>
      <c r="DL97" t="s">
        <v>869</v>
      </c>
      <c r="DM97">
        <v>0</v>
      </c>
      <c r="DN97">
        <v>0</v>
      </c>
      <c r="DO97">
        <v>12</v>
      </c>
      <c r="DP97" t="s">
        <v>1190</v>
      </c>
      <c r="DQ97">
        <v>12</v>
      </c>
      <c r="DR97">
        <v>297</v>
      </c>
      <c r="DS97">
        <v>1017</v>
      </c>
      <c r="DT97">
        <v>3.95</v>
      </c>
      <c r="DU97">
        <v>4</v>
      </c>
      <c r="DV97">
        <v>1</v>
      </c>
      <c r="DW97">
        <v>1</v>
      </c>
      <c r="DX97" t="s">
        <v>596</v>
      </c>
      <c r="DY97" t="s">
        <v>3026</v>
      </c>
      <c r="DZ97">
        <v>1</v>
      </c>
      <c r="EA97">
        <v>1</v>
      </c>
      <c r="EB97">
        <v>1</v>
      </c>
      <c r="EC97">
        <v>1</v>
      </c>
      <c r="ED97">
        <v>1</v>
      </c>
      <c r="EE97">
        <v>1</v>
      </c>
      <c r="EF97" t="s">
        <v>920</v>
      </c>
      <c r="EG97" t="s">
        <v>595</v>
      </c>
      <c r="EH97" t="s">
        <v>1036</v>
      </c>
      <c r="EI97" t="s">
        <v>1036</v>
      </c>
      <c r="EJ97" t="s">
        <v>159</v>
      </c>
      <c r="EK97">
        <v>9090</v>
      </c>
      <c r="EL97">
        <v>0</v>
      </c>
      <c r="EM97" t="s">
        <v>873</v>
      </c>
      <c r="EN97">
        <v>2.3666999999999998</v>
      </c>
      <c r="EO97">
        <v>16.95</v>
      </c>
      <c r="EP97">
        <v>99991120</v>
      </c>
      <c r="EQ97" t="s">
        <v>874</v>
      </c>
      <c r="ER97" t="s">
        <v>875</v>
      </c>
      <c r="ES97" t="s">
        <v>876</v>
      </c>
      <c r="ET97" t="s">
        <v>877</v>
      </c>
      <c r="EU97" t="s">
        <v>877</v>
      </c>
      <c r="EV97" t="s">
        <v>920</v>
      </c>
      <c r="EX97" t="s">
        <v>836</v>
      </c>
      <c r="EY97" t="s">
        <v>1121</v>
      </c>
      <c r="EZ97" t="s">
        <v>1122</v>
      </c>
      <c r="FA97" t="s">
        <v>956</v>
      </c>
      <c r="FB97">
        <v>1</v>
      </c>
      <c r="FC97">
        <v>1</v>
      </c>
      <c r="FD97" s="41">
        <v>46102</v>
      </c>
      <c r="FE97" t="s">
        <v>1719</v>
      </c>
      <c r="FF97">
        <v>4</v>
      </c>
      <c r="FI97">
        <v>0</v>
      </c>
      <c r="FL97">
        <v>0</v>
      </c>
      <c r="FM97" t="s">
        <v>3035</v>
      </c>
      <c r="FN97" t="s">
        <v>3036</v>
      </c>
      <c r="FO97">
        <v>1</v>
      </c>
      <c r="FP97" t="s">
        <v>3037</v>
      </c>
      <c r="FQ97" t="s">
        <v>3038</v>
      </c>
      <c r="FR97">
        <v>1</v>
      </c>
      <c r="FS97" t="s">
        <v>3039</v>
      </c>
      <c r="FT97" t="s">
        <v>3040</v>
      </c>
      <c r="FU97">
        <v>1</v>
      </c>
      <c r="FV97" t="s">
        <v>3041</v>
      </c>
      <c r="FW97" t="s">
        <v>3042</v>
      </c>
      <c r="FX97">
        <v>1</v>
      </c>
      <c r="FY97" t="s">
        <v>890</v>
      </c>
      <c r="FZ97" t="s">
        <v>3043</v>
      </c>
      <c r="GA97" t="s">
        <v>3041</v>
      </c>
      <c r="GB97">
        <v>1</v>
      </c>
      <c r="GD97">
        <v>0</v>
      </c>
      <c r="GF97">
        <v>0</v>
      </c>
      <c r="GG97">
        <v>1</v>
      </c>
      <c r="GH97" t="s">
        <v>892</v>
      </c>
      <c r="GI97" t="s">
        <v>893</v>
      </c>
      <c r="GJ97" t="s">
        <v>3042</v>
      </c>
      <c r="GM97">
        <v>1</v>
      </c>
      <c r="GN97">
        <v>1</v>
      </c>
      <c r="GO97">
        <v>0</v>
      </c>
      <c r="GP97">
        <v>1</v>
      </c>
      <c r="GQ97">
        <v>1</v>
      </c>
      <c r="GR97">
        <v>0</v>
      </c>
      <c r="GS97">
        <v>1</v>
      </c>
      <c r="GT97">
        <v>0</v>
      </c>
      <c r="GU97">
        <v>1</v>
      </c>
      <c r="GV97">
        <v>0</v>
      </c>
      <c r="GW97">
        <v>1</v>
      </c>
      <c r="GX97">
        <v>0</v>
      </c>
      <c r="GY97">
        <v>1</v>
      </c>
      <c r="GZ97">
        <v>0</v>
      </c>
      <c r="HA97" t="s">
        <v>399</v>
      </c>
      <c r="HB97" t="s">
        <v>894</v>
      </c>
      <c r="HC97" t="s">
        <v>895</v>
      </c>
      <c r="HD97" t="s">
        <v>845</v>
      </c>
      <c r="HE97" t="s">
        <v>836</v>
      </c>
      <c r="HF97" t="s">
        <v>873</v>
      </c>
      <c r="HG97" t="s">
        <v>894</v>
      </c>
      <c r="HH97" t="s">
        <v>895</v>
      </c>
      <c r="HI97" t="s">
        <v>845</v>
      </c>
      <c r="HJ97" t="s">
        <v>836</v>
      </c>
      <c r="HK97" t="s">
        <v>873</v>
      </c>
      <c r="HL97" t="s">
        <v>1943</v>
      </c>
      <c r="HM97" t="s">
        <v>854</v>
      </c>
      <c r="HN97">
        <v>36805</v>
      </c>
      <c r="HP97" t="s">
        <v>159</v>
      </c>
      <c r="HQ97" t="s">
        <v>896</v>
      </c>
      <c r="HR97" t="s">
        <v>896</v>
      </c>
      <c r="HS97" t="s">
        <v>896</v>
      </c>
    </row>
    <row r="98" spans="1:227" x14ac:dyDescent="0.2">
      <c r="A98">
        <v>8702</v>
      </c>
      <c r="B98">
        <v>7606400046</v>
      </c>
      <c r="C98">
        <v>34</v>
      </c>
      <c r="D98" t="s">
        <v>996</v>
      </c>
      <c r="E98" t="s">
        <v>831</v>
      </c>
      <c r="F98">
        <v>0</v>
      </c>
      <c r="G98" t="s">
        <v>3044</v>
      </c>
      <c r="H98" t="s">
        <v>3044</v>
      </c>
      <c r="I98">
        <v>0</v>
      </c>
      <c r="J98" t="s">
        <v>833</v>
      </c>
      <c r="K98" t="s">
        <v>834</v>
      </c>
      <c r="L98">
        <v>156057631</v>
      </c>
      <c r="M98" t="s">
        <v>3045</v>
      </c>
      <c r="N98" t="s">
        <v>836</v>
      </c>
      <c r="O98" t="s">
        <v>837</v>
      </c>
      <c r="P98" t="s">
        <v>999</v>
      </c>
      <c r="Q98" t="s">
        <v>1027</v>
      </c>
      <c r="R98" t="s">
        <v>3046</v>
      </c>
      <c r="S98" t="s">
        <v>3047</v>
      </c>
      <c r="T98">
        <v>41477009259</v>
      </c>
      <c r="V98" t="s">
        <v>1732</v>
      </c>
      <c r="W98" s="41">
        <v>46086</v>
      </c>
      <c r="X98" t="s">
        <v>3048</v>
      </c>
      <c r="Y98" t="s">
        <v>3049</v>
      </c>
      <c r="AA98">
        <v>0</v>
      </c>
      <c r="AB98" t="s">
        <v>845</v>
      </c>
      <c r="AC98" t="s">
        <v>846</v>
      </c>
      <c r="AD98" t="s">
        <v>1113</v>
      </c>
      <c r="AE98" t="s">
        <v>1114</v>
      </c>
      <c r="AF98">
        <v>1</v>
      </c>
      <c r="AG98">
        <v>452210</v>
      </c>
      <c r="AH98" t="s">
        <v>849</v>
      </c>
      <c r="AI98" t="s">
        <v>850</v>
      </c>
      <c r="AJ98" t="s">
        <v>851</v>
      </c>
      <c r="AK98" t="s">
        <v>257</v>
      </c>
      <c r="AL98" t="s">
        <v>2012</v>
      </c>
      <c r="AM98" t="s">
        <v>1736</v>
      </c>
      <c r="AN98" t="s">
        <v>854</v>
      </c>
      <c r="AO98">
        <v>36805</v>
      </c>
      <c r="AP98">
        <v>494</v>
      </c>
      <c r="AQ98" t="s">
        <v>855</v>
      </c>
      <c r="AR98">
        <v>66362083</v>
      </c>
      <c r="AS98" t="s">
        <v>856</v>
      </c>
      <c r="AU98" t="s">
        <v>3050</v>
      </c>
      <c r="AV98" t="s">
        <v>3051</v>
      </c>
      <c r="AX98" t="s">
        <v>913</v>
      </c>
      <c r="AY98" t="s">
        <v>861</v>
      </c>
      <c r="AZ98" t="s">
        <v>257</v>
      </c>
      <c r="BA98" t="s">
        <v>258</v>
      </c>
      <c r="BB98">
        <v>1</v>
      </c>
      <c r="BC98">
        <v>0</v>
      </c>
      <c r="BD98">
        <v>0</v>
      </c>
      <c r="BE98" t="s">
        <v>3045</v>
      </c>
      <c r="BF98">
        <v>0</v>
      </c>
      <c r="BG98">
        <v>0</v>
      </c>
      <c r="BH98" t="s">
        <v>862</v>
      </c>
      <c r="BI98">
        <v>0</v>
      </c>
      <c r="BJ98" t="s">
        <v>862</v>
      </c>
      <c r="BK98">
        <v>1</v>
      </c>
      <c r="BL98">
        <v>1</v>
      </c>
      <c r="BM98">
        <v>0</v>
      </c>
      <c r="BN98" t="s">
        <v>596</v>
      </c>
      <c r="BO98">
        <v>156057631</v>
      </c>
      <c r="BP98" t="s">
        <v>3044</v>
      </c>
      <c r="BR98">
        <v>42789059</v>
      </c>
      <c r="BT98">
        <v>2</v>
      </c>
      <c r="BU98" t="s">
        <v>1715</v>
      </c>
      <c r="CE98">
        <v>1</v>
      </c>
      <c r="CI98">
        <v>11</v>
      </c>
      <c r="CJ98" t="s">
        <v>94</v>
      </c>
      <c r="CM98">
        <v>4010</v>
      </c>
      <c r="CO98">
        <v>7360</v>
      </c>
      <c r="CP98">
        <v>6.6699999999999995E-2</v>
      </c>
      <c r="CQ98">
        <v>6.6699999999999995E-2</v>
      </c>
      <c r="CR98">
        <v>0</v>
      </c>
      <c r="CS98">
        <v>1</v>
      </c>
      <c r="CT98" t="s">
        <v>3051</v>
      </c>
      <c r="CU98" t="s">
        <v>3050</v>
      </c>
      <c r="CV98" t="s">
        <v>833</v>
      </c>
      <c r="CW98" t="s">
        <v>834</v>
      </c>
      <c r="CX98" t="s">
        <v>3045</v>
      </c>
      <c r="CY98">
        <v>1</v>
      </c>
      <c r="CZ98">
        <v>1</v>
      </c>
      <c r="DA98" t="s">
        <v>833</v>
      </c>
      <c r="DB98" t="s">
        <v>865</v>
      </c>
      <c r="DC98">
        <v>63123</v>
      </c>
      <c r="DD98">
        <v>5.5332999999999997</v>
      </c>
      <c r="DE98" t="s">
        <v>866</v>
      </c>
      <c r="DG98" t="s">
        <v>867</v>
      </c>
      <c r="DH98" t="s">
        <v>851</v>
      </c>
      <c r="DK98" t="s">
        <v>918</v>
      </c>
      <c r="DL98" t="s">
        <v>869</v>
      </c>
      <c r="DM98">
        <v>0</v>
      </c>
      <c r="DN98">
        <v>0</v>
      </c>
      <c r="DO98">
        <v>11</v>
      </c>
      <c r="DP98" t="s">
        <v>1010</v>
      </c>
      <c r="DQ98">
        <v>0</v>
      </c>
      <c r="DR98">
        <v>332</v>
      </c>
      <c r="DS98">
        <v>332</v>
      </c>
      <c r="DT98">
        <v>5.4667000000000003</v>
      </c>
      <c r="DU98">
        <v>0</v>
      </c>
      <c r="DV98">
        <v>1</v>
      </c>
      <c r="DW98">
        <v>1</v>
      </c>
      <c r="DX98" t="s">
        <v>596</v>
      </c>
      <c r="DY98" t="s">
        <v>3045</v>
      </c>
      <c r="DZ98">
        <v>1</v>
      </c>
      <c r="EA98">
        <v>1</v>
      </c>
      <c r="EB98">
        <v>1</v>
      </c>
      <c r="EC98">
        <v>1</v>
      </c>
      <c r="ED98">
        <v>1</v>
      </c>
      <c r="EE98">
        <v>1</v>
      </c>
      <c r="EF98" t="s">
        <v>920</v>
      </c>
      <c r="EG98" t="s">
        <v>595</v>
      </c>
      <c r="EH98" t="s">
        <v>1036</v>
      </c>
      <c r="EI98" t="s">
        <v>1036</v>
      </c>
      <c r="EJ98" t="s">
        <v>111</v>
      </c>
      <c r="EK98">
        <v>9090</v>
      </c>
      <c r="EL98">
        <v>0</v>
      </c>
      <c r="EM98" t="s">
        <v>1037</v>
      </c>
      <c r="EN98">
        <v>0</v>
      </c>
      <c r="EO98">
        <v>5.5333332999999998</v>
      </c>
      <c r="EP98">
        <v>99991120</v>
      </c>
      <c r="EQ98" t="s">
        <v>874</v>
      </c>
      <c r="ER98" t="s">
        <v>875</v>
      </c>
      <c r="ES98" t="s">
        <v>876</v>
      </c>
      <c r="ET98" t="s">
        <v>877</v>
      </c>
      <c r="EU98" t="s">
        <v>877</v>
      </c>
      <c r="EV98" t="s">
        <v>920</v>
      </c>
      <c r="EX98" t="s">
        <v>900</v>
      </c>
      <c r="EY98" t="s">
        <v>923</v>
      </c>
      <c r="EZ98" t="s">
        <v>1038</v>
      </c>
      <c r="FA98" t="s">
        <v>925</v>
      </c>
      <c r="FB98">
        <v>1</v>
      </c>
      <c r="FC98">
        <v>1</v>
      </c>
      <c r="FD98" s="41">
        <v>46088</v>
      </c>
      <c r="FE98" t="s">
        <v>1719</v>
      </c>
      <c r="FF98">
        <v>6</v>
      </c>
      <c r="FG98" t="s">
        <v>3052</v>
      </c>
      <c r="FH98" t="s">
        <v>3053</v>
      </c>
      <c r="FI98">
        <v>1</v>
      </c>
      <c r="FJ98" t="s">
        <v>3054</v>
      </c>
      <c r="FK98" t="s">
        <v>3055</v>
      </c>
      <c r="FL98">
        <v>1</v>
      </c>
      <c r="FM98" t="s">
        <v>3056</v>
      </c>
      <c r="FN98" t="s">
        <v>3057</v>
      </c>
      <c r="FO98">
        <v>1</v>
      </c>
      <c r="FP98" t="s">
        <v>3058</v>
      </c>
      <c r="FQ98" t="s">
        <v>3050</v>
      </c>
      <c r="FR98">
        <v>1</v>
      </c>
      <c r="FS98" t="s">
        <v>1100</v>
      </c>
      <c r="FT98" t="s">
        <v>3059</v>
      </c>
      <c r="FU98">
        <v>1</v>
      </c>
      <c r="FV98" t="s">
        <v>3060</v>
      </c>
      <c r="FW98" t="s">
        <v>3061</v>
      </c>
      <c r="FX98">
        <v>1</v>
      </c>
      <c r="FY98" t="s">
        <v>890</v>
      </c>
      <c r="FZ98" t="s">
        <v>3062</v>
      </c>
      <c r="GA98" t="s">
        <v>3054</v>
      </c>
      <c r="GB98">
        <v>1</v>
      </c>
      <c r="GD98">
        <v>0</v>
      </c>
      <c r="GF98">
        <v>0</v>
      </c>
      <c r="GG98">
        <v>1</v>
      </c>
      <c r="GH98" t="s">
        <v>892</v>
      </c>
      <c r="GI98" t="s">
        <v>893</v>
      </c>
      <c r="GJ98" t="s">
        <v>3055</v>
      </c>
      <c r="GM98">
        <v>1</v>
      </c>
      <c r="GN98">
        <v>1</v>
      </c>
      <c r="GO98">
        <v>0</v>
      </c>
      <c r="GP98">
        <v>1</v>
      </c>
      <c r="GQ98">
        <v>1</v>
      </c>
      <c r="GR98">
        <v>0</v>
      </c>
      <c r="GS98">
        <v>1</v>
      </c>
      <c r="GT98">
        <v>0</v>
      </c>
      <c r="GU98">
        <v>1</v>
      </c>
      <c r="GV98">
        <v>0</v>
      </c>
      <c r="GW98">
        <v>1</v>
      </c>
      <c r="GX98">
        <v>0</v>
      </c>
      <c r="GY98">
        <v>1</v>
      </c>
      <c r="GZ98">
        <v>0</v>
      </c>
      <c r="HA98" t="s">
        <v>257</v>
      </c>
      <c r="HB98" t="s">
        <v>894</v>
      </c>
      <c r="HC98" t="s">
        <v>895</v>
      </c>
      <c r="HD98" t="s">
        <v>845</v>
      </c>
      <c r="HE98" t="s">
        <v>836</v>
      </c>
      <c r="HF98" t="s">
        <v>1051</v>
      </c>
      <c r="HG98" t="s">
        <v>894</v>
      </c>
      <c r="HH98" t="s">
        <v>895</v>
      </c>
      <c r="HI98" t="s">
        <v>845</v>
      </c>
      <c r="HJ98" t="s">
        <v>836</v>
      </c>
      <c r="HK98" t="s">
        <v>1037</v>
      </c>
      <c r="HL98" t="s">
        <v>1732</v>
      </c>
      <c r="HM98" t="s">
        <v>854</v>
      </c>
      <c r="HN98">
        <v>36805</v>
      </c>
      <c r="HP98" t="s">
        <v>111</v>
      </c>
      <c r="HQ98" t="s">
        <v>896</v>
      </c>
      <c r="HR98" t="s">
        <v>896</v>
      </c>
      <c r="HS98" t="s">
        <v>896</v>
      </c>
    </row>
    <row r="99" spans="1:227" x14ac:dyDescent="0.2">
      <c r="A99">
        <v>8702</v>
      </c>
      <c r="B99">
        <v>7605302048</v>
      </c>
      <c r="C99">
        <v>34</v>
      </c>
      <c r="D99" t="s">
        <v>996</v>
      </c>
      <c r="E99" t="s">
        <v>897</v>
      </c>
      <c r="F99">
        <v>1</v>
      </c>
      <c r="G99" t="s">
        <v>3063</v>
      </c>
      <c r="H99" t="s">
        <v>3063</v>
      </c>
      <c r="I99">
        <v>0</v>
      </c>
      <c r="J99" t="s">
        <v>833</v>
      </c>
      <c r="K99" t="s">
        <v>834</v>
      </c>
      <c r="L99">
        <v>153406615</v>
      </c>
      <c r="M99" t="s">
        <v>2762</v>
      </c>
      <c r="N99" t="s">
        <v>900</v>
      </c>
      <c r="O99" t="s">
        <v>837</v>
      </c>
      <c r="P99" t="s">
        <v>999</v>
      </c>
      <c r="Q99" t="s">
        <v>1000</v>
      </c>
      <c r="R99" t="s">
        <v>3064</v>
      </c>
      <c r="S99" t="s">
        <v>3065</v>
      </c>
      <c r="T99">
        <v>41477093182</v>
      </c>
      <c r="V99" t="s">
        <v>202</v>
      </c>
      <c r="W99" s="41">
        <v>46076</v>
      </c>
      <c r="X99" t="s">
        <v>3066</v>
      </c>
      <c r="Y99" t="s">
        <v>3067</v>
      </c>
      <c r="Z99" t="s">
        <v>3068</v>
      </c>
      <c r="AA99">
        <v>0</v>
      </c>
      <c r="AB99" t="s">
        <v>845</v>
      </c>
      <c r="AC99" t="s">
        <v>846</v>
      </c>
      <c r="AD99" t="s">
        <v>1113</v>
      </c>
      <c r="AE99" t="s">
        <v>1114</v>
      </c>
      <c r="AF99">
        <v>1</v>
      </c>
      <c r="AG99">
        <v>452210</v>
      </c>
      <c r="AH99" t="s">
        <v>849</v>
      </c>
      <c r="AI99" t="s">
        <v>850</v>
      </c>
      <c r="AJ99" t="s">
        <v>851</v>
      </c>
      <c r="AK99" t="s">
        <v>283</v>
      </c>
      <c r="AL99" t="s">
        <v>2802</v>
      </c>
      <c r="AM99" t="s">
        <v>947</v>
      </c>
      <c r="AN99" t="s">
        <v>854</v>
      </c>
      <c r="AO99">
        <v>36805</v>
      </c>
      <c r="AP99">
        <v>643</v>
      </c>
      <c r="AQ99" t="s">
        <v>855</v>
      </c>
      <c r="AR99">
        <v>66347367</v>
      </c>
      <c r="AS99" t="s">
        <v>856</v>
      </c>
      <c r="AU99" t="s">
        <v>3069</v>
      </c>
      <c r="AV99" t="s">
        <v>3070</v>
      </c>
      <c r="AW99" t="s">
        <v>950</v>
      </c>
      <c r="AX99" t="s">
        <v>951</v>
      </c>
      <c r="AY99" t="s">
        <v>861</v>
      </c>
      <c r="AZ99" t="s">
        <v>283</v>
      </c>
      <c r="BA99" t="s">
        <v>284</v>
      </c>
      <c r="BB99">
        <v>1</v>
      </c>
      <c r="BC99">
        <v>0</v>
      </c>
      <c r="BD99">
        <v>0</v>
      </c>
      <c r="BE99" t="s">
        <v>2762</v>
      </c>
      <c r="BF99">
        <v>0</v>
      </c>
      <c r="BG99">
        <v>0</v>
      </c>
      <c r="BH99" t="s">
        <v>862</v>
      </c>
      <c r="BI99">
        <v>0</v>
      </c>
      <c r="BJ99" t="s">
        <v>862</v>
      </c>
      <c r="BK99">
        <v>1</v>
      </c>
      <c r="BL99">
        <v>0</v>
      </c>
      <c r="BM99">
        <v>0</v>
      </c>
      <c r="BN99" t="s">
        <v>596</v>
      </c>
      <c r="BO99">
        <v>153406615</v>
      </c>
      <c r="BP99" t="s">
        <v>3063</v>
      </c>
      <c r="BQ99">
        <v>42.563959099999998</v>
      </c>
      <c r="BR99">
        <v>42791774</v>
      </c>
      <c r="BS99">
        <v>-83.1304564</v>
      </c>
      <c r="BT99">
        <v>1</v>
      </c>
      <c r="BU99" t="s">
        <v>1780</v>
      </c>
      <c r="CI99">
        <v>11</v>
      </c>
      <c r="CJ99" t="s">
        <v>94</v>
      </c>
      <c r="CM99">
        <v>4010</v>
      </c>
      <c r="CO99">
        <v>7360</v>
      </c>
      <c r="CP99">
        <v>1.9666999999999999</v>
      </c>
      <c r="CQ99">
        <v>1.9666999999999999</v>
      </c>
      <c r="CR99">
        <v>0.81669999999999998</v>
      </c>
      <c r="CS99">
        <v>0</v>
      </c>
      <c r="CT99" t="s">
        <v>3070</v>
      </c>
      <c r="CU99" t="s">
        <v>3069</v>
      </c>
      <c r="CV99" t="s">
        <v>833</v>
      </c>
      <c r="CW99" t="s">
        <v>834</v>
      </c>
      <c r="CX99" t="s">
        <v>2762</v>
      </c>
      <c r="CY99">
        <v>1</v>
      </c>
      <c r="CZ99">
        <v>1</v>
      </c>
      <c r="DA99" t="s">
        <v>833</v>
      </c>
      <c r="DB99" t="s">
        <v>865</v>
      </c>
      <c r="DC99">
        <v>48083</v>
      </c>
      <c r="DD99">
        <v>17.2667</v>
      </c>
      <c r="DE99" t="s">
        <v>866</v>
      </c>
      <c r="DG99" t="s">
        <v>867</v>
      </c>
      <c r="DH99" t="s">
        <v>851</v>
      </c>
      <c r="DK99" t="s">
        <v>918</v>
      </c>
      <c r="DL99" t="s">
        <v>869</v>
      </c>
      <c r="DM99">
        <v>0</v>
      </c>
      <c r="DN99">
        <v>0</v>
      </c>
      <c r="DO99">
        <v>11</v>
      </c>
      <c r="DP99" t="s">
        <v>1010</v>
      </c>
      <c r="DQ99">
        <v>0</v>
      </c>
      <c r="DR99">
        <v>1036</v>
      </c>
      <c r="DS99">
        <v>1756</v>
      </c>
      <c r="DT99">
        <v>1.6167</v>
      </c>
      <c r="DU99">
        <v>0</v>
      </c>
      <c r="DV99">
        <v>1</v>
      </c>
      <c r="DW99">
        <v>2</v>
      </c>
      <c r="DX99" t="s">
        <v>594</v>
      </c>
      <c r="DY99" t="s">
        <v>2762</v>
      </c>
      <c r="DZ99">
        <v>1</v>
      </c>
      <c r="EA99">
        <v>1</v>
      </c>
      <c r="EB99">
        <v>1</v>
      </c>
      <c r="EC99">
        <v>1</v>
      </c>
      <c r="ED99">
        <v>1</v>
      </c>
      <c r="EE99">
        <v>1</v>
      </c>
      <c r="EF99" t="s">
        <v>920</v>
      </c>
      <c r="EG99" t="s">
        <v>595</v>
      </c>
      <c r="EH99" t="s">
        <v>872</v>
      </c>
      <c r="EI99" t="s">
        <v>872</v>
      </c>
      <c r="EJ99" t="s">
        <v>178</v>
      </c>
      <c r="EK99">
        <v>9090</v>
      </c>
      <c r="EL99">
        <v>1</v>
      </c>
      <c r="EM99" t="s">
        <v>952</v>
      </c>
      <c r="EN99">
        <v>0.81669999999999998</v>
      </c>
      <c r="EO99">
        <v>29.266666699999998</v>
      </c>
      <c r="EP99">
        <v>99991120</v>
      </c>
      <c r="EQ99" t="s">
        <v>874</v>
      </c>
      <c r="ER99" t="s">
        <v>875</v>
      </c>
      <c r="ES99" t="s">
        <v>876</v>
      </c>
      <c r="ET99" t="s">
        <v>877</v>
      </c>
      <c r="EU99" t="s">
        <v>877</v>
      </c>
      <c r="EV99" t="s">
        <v>920</v>
      </c>
      <c r="EX99" t="s">
        <v>953</v>
      </c>
      <c r="EY99" t="s">
        <v>954</v>
      </c>
      <c r="EZ99" t="s">
        <v>955</v>
      </c>
      <c r="FA99" t="s">
        <v>956</v>
      </c>
      <c r="FB99">
        <v>1</v>
      </c>
      <c r="FC99">
        <v>2</v>
      </c>
      <c r="FD99" s="41">
        <v>46081</v>
      </c>
      <c r="FE99" t="s">
        <v>1267</v>
      </c>
      <c r="FF99">
        <v>16</v>
      </c>
      <c r="FG99" t="s">
        <v>3071</v>
      </c>
      <c r="FH99" t="s">
        <v>3072</v>
      </c>
      <c r="FI99">
        <v>1</v>
      </c>
      <c r="FJ99" t="s">
        <v>3073</v>
      </c>
      <c r="FK99" t="s">
        <v>3074</v>
      </c>
      <c r="FL99">
        <v>1</v>
      </c>
      <c r="FM99" t="s">
        <v>3075</v>
      </c>
      <c r="FN99" t="s">
        <v>3076</v>
      </c>
      <c r="FO99">
        <v>1</v>
      </c>
      <c r="FP99" t="s">
        <v>3077</v>
      </c>
      <c r="FQ99" t="s">
        <v>3078</v>
      </c>
      <c r="FR99">
        <v>1</v>
      </c>
      <c r="FS99" t="s">
        <v>964</v>
      </c>
      <c r="FT99" t="s">
        <v>3079</v>
      </c>
      <c r="FU99">
        <v>1</v>
      </c>
      <c r="FV99" t="s">
        <v>966</v>
      </c>
      <c r="FW99" t="s">
        <v>3080</v>
      </c>
      <c r="FX99">
        <v>1</v>
      </c>
      <c r="FY99" t="s">
        <v>890</v>
      </c>
      <c r="FZ99" t="s">
        <v>3081</v>
      </c>
      <c r="GA99" t="s">
        <v>3071</v>
      </c>
      <c r="GB99">
        <v>1</v>
      </c>
      <c r="GD99">
        <v>0</v>
      </c>
      <c r="GF99">
        <v>0</v>
      </c>
      <c r="GG99">
        <v>1</v>
      </c>
      <c r="GH99" t="s">
        <v>892</v>
      </c>
      <c r="GI99" t="s">
        <v>893</v>
      </c>
      <c r="GJ99" t="s">
        <v>3072</v>
      </c>
      <c r="GM99">
        <v>1</v>
      </c>
      <c r="GN99">
        <v>0</v>
      </c>
      <c r="GO99">
        <v>0</v>
      </c>
      <c r="GP99">
        <v>1</v>
      </c>
      <c r="GQ99">
        <v>1</v>
      </c>
      <c r="GR99">
        <v>0</v>
      </c>
      <c r="GS99">
        <v>1</v>
      </c>
      <c r="GT99">
        <v>0</v>
      </c>
      <c r="GU99">
        <v>1</v>
      </c>
      <c r="GV99">
        <v>0</v>
      </c>
      <c r="GW99">
        <v>1</v>
      </c>
      <c r="GX99">
        <v>0</v>
      </c>
      <c r="GY99">
        <v>1</v>
      </c>
      <c r="GZ99">
        <v>0</v>
      </c>
      <c r="HA99" t="s">
        <v>283</v>
      </c>
      <c r="HB99" t="s">
        <v>894</v>
      </c>
      <c r="HC99" t="s">
        <v>935</v>
      </c>
      <c r="HD99" t="s">
        <v>845</v>
      </c>
      <c r="HE99" t="s">
        <v>900</v>
      </c>
      <c r="HF99" t="s">
        <v>923</v>
      </c>
      <c r="HG99" t="s">
        <v>894</v>
      </c>
      <c r="HH99" t="s">
        <v>935</v>
      </c>
      <c r="HI99" t="s">
        <v>845</v>
      </c>
      <c r="HJ99" t="s">
        <v>900</v>
      </c>
      <c r="HK99" t="s">
        <v>952</v>
      </c>
      <c r="HL99" t="s">
        <v>202</v>
      </c>
      <c r="HM99" t="s">
        <v>854</v>
      </c>
      <c r="HN99">
        <v>36805</v>
      </c>
      <c r="HO99">
        <v>1</v>
      </c>
      <c r="HP99" t="s">
        <v>178</v>
      </c>
      <c r="HQ99" t="s">
        <v>896</v>
      </c>
      <c r="HR99" t="s">
        <v>896</v>
      </c>
      <c r="HS99" t="s">
        <v>896</v>
      </c>
    </row>
    <row r="100" spans="1:227" x14ac:dyDescent="0.2">
      <c r="A100">
        <v>8702</v>
      </c>
      <c r="B100">
        <v>7618302295</v>
      </c>
      <c r="C100" t="s">
        <v>829</v>
      </c>
      <c r="D100" t="s">
        <v>830</v>
      </c>
      <c r="E100" t="s">
        <v>897</v>
      </c>
      <c r="F100">
        <v>0</v>
      </c>
      <c r="G100" t="s">
        <v>3082</v>
      </c>
      <c r="H100" t="s">
        <v>3082</v>
      </c>
      <c r="I100">
        <v>0</v>
      </c>
      <c r="J100" t="s">
        <v>833</v>
      </c>
      <c r="K100" t="s">
        <v>834</v>
      </c>
      <c r="L100">
        <v>148748223</v>
      </c>
      <c r="M100">
        <v>788298484</v>
      </c>
      <c r="N100" t="s">
        <v>900</v>
      </c>
      <c r="O100" t="s">
        <v>837</v>
      </c>
      <c r="P100" t="s">
        <v>838</v>
      </c>
      <c r="Q100" t="s">
        <v>901</v>
      </c>
      <c r="R100" t="s">
        <v>3083</v>
      </c>
      <c r="S100" t="s">
        <v>3084</v>
      </c>
      <c r="T100">
        <v>41477080581</v>
      </c>
      <c r="V100" t="s">
        <v>1476</v>
      </c>
      <c r="W100" s="41">
        <v>46208</v>
      </c>
      <c r="X100" t="s">
        <v>3085</v>
      </c>
      <c r="Y100" t="s">
        <v>3086</v>
      </c>
      <c r="AA100">
        <v>0</v>
      </c>
      <c r="AB100" t="s">
        <v>845</v>
      </c>
      <c r="AC100" t="s">
        <v>846</v>
      </c>
      <c r="AD100" t="s">
        <v>1335</v>
      </c>
      <c r="AE100" t="s">
        <v>1336</v>
      </c>
      <c r="AF100">
        <v>1</v>
      </c>
      <c r="AG100">
        <v>452210</v>
      </c>
      <c r="AH100" t="s">
        <v>849</v>
      </c>
      <c r="AI100" t="s">
        <v>850</v>
      </c>
      <c r="AJ100" t="s">
        <v>851</v>
      </c>
      <c r="AK100" t="s">
        <v>413</v>
      </c>
      <c r="AL100" t="s">
        <v>1479</v>
      </c>
      <c r="AM100" t="s">
        <v>1480</v>
      </c>
      <c r="AN100" t="s">
        <v>854</v>
      </c>
      <c r="AO100">
        <v>36805</v>
      </c>
      <c r="AP100">
        <v>931</v>
      </c>
      <c r="AQ100" t="s">
        <v>855</v>
      </c>
      <c r="AR100">
        <v>66537298</v>
      </c>
      <c r="AS100" t="s">
        <v>856</v>
      </c>
      <c r="AU100" t="s">
        <v>3087</v>
      </c>
      <c r="AV100" t="s">
        <v>3088</v>
      </c>
      <c r="AX100" t="s">
        <v>913</v>
      </c>
      <c r="AY100" t="s">
        <v>861</v>
      </c>
      <c r="AZ100" t="s">
        <v>413</v>
      </c>
      <c r="BA100" t="s">
        <v>414</v>
      </c>
      <c r="BB100">
        <v>0</v>
      </c>
      <c r="BC100">
        <v>1</v>
      </c>
      <c r="BD100">
        <v>0</v>
      </c>
      <c r="BE100">
        <v>788298484</v>
      </c>
      <c r="BF100">
        <v>0</v>
      </c>
      <c r="BG100">
        <v>0</v>
      </c>
      <c r="BH100" t="s">
        <v>862</v>
      </c>
      <c r="BI100">
        <v>0</v>
      </c>
      <c r="BJ100" t="s">
        <v>862</v>
      </c>
      <c r="BK100">
        <v>1</v>
      </c>
      <c r="BL100">
        <v>1</v>
      </c>
      <c r="BM100">
        <v>0</v>
      </c>
      <c r="BN100" t="s">
        <v>596</v>
      </c>
      <c r="BP100" t="s">
        <v>3082</v>
      </c>
      <c r="BQ100">
        <v>40.8613085</v>
      </c>
      <c r="BR100">
        <v>42793655</v>
      </c>
      <c r="BS100">
        <v>-81.434395499999994</v>
      </c>
      <c r="BT100">
        <v>0</v>
      </c>
      <c r="BU100" t="s">
        <v>1062</v>
      </c>
      <c r="BY100">
        <v>16</v>
      </c>
      <c r="CA100">
        <v>38</v>
      </c>
      <c r="CE100">
        <v>0</v>
      </c>
      <c r="CI100">
        <v>11</v>
      </c>
      <c r="CJ100" t="s">
        <v>94</v>
      </c>
      <c r="CM100">
        <v>4010</v>
      </c>
      <c r="CO100">
        <v>7360</v>
      </c>
      <c r="CP100">
        <v>0.76670000000000005</v>
      </c>
      <c r="CQ100">
        <v>0.76670000000000005</v>
      </c>
      <c r="CR100">
        <v>1.6</v>
      </c>
      <c r="CS100">
        <v>2822</v>
      </c>
      <c r="CT100" t="s">
        <v>3089</v>
      </c>
      <c r="CU100" t="s">
        <v>3090</v>
      </c>
      <c r="CV100" t="s">
        <v>833</v>
      </c>
      <c r="CW100" t="s">
        <v>834</v>
      </c>
      <c r="CX100" t="s">
        <v>3091</v>
      </c>
      <c r="CY100">
        <v>1</v>
      </c>
      <c r="CZ100">
        <v>1</v>
      </c>
      <c r="DA100" t="s">
        <v>833</v>
      </c>
      <c r="DB100" t="s">
        <v>865</v>
      </c>
      <c r="DC100">
        <v>44720</v>
      </c>
      <c r="DD100">
        <v>37.799999999999997</v>
      </c>
      <c r="DE100" t="s">
        <v>866</v>
      </c>
      <c r="DG100" t="s">
        <v>867</v>
      </c>
      <c r="DH100" t="s">
        <v>851</v>
      </c>
      <c r="DK100" t="s">
        <v>918</v>
      </c>
      <c r="DL100" t="s">
        <v>869</v>
      </c>
      <c r="DM100">
        <v>0</v>
      </c>
      <c r="DN100">
        <v>0</v>
      </c>
      <c r="DO100">
        <v>11</v>
      </c>
      <c r="DP100" t="s">
        <v>1010</v>
      </c>
      <c r="DQ100">
        <v>16</v>
      </c>
      <c r="DR100">
        <v>2268</v>
      </c>
      <c r="DS100">
        <v>4428</v>
      </c>
      <c r="DT100">
        <v>3.0167000000000002</v>
      </c>
      <c r="DU100">
        <v>4</v>
      </c>
      <c r="DV100">
        <v>1</v>
      </c>
      <c r="DW100">
        <v>2</v>
      </c>
      <c r="DX100" t="s">
        <v>596</v>
      </c>
      <c r="DY100">
        <v>788298484</v>
      </c>
      <c r="DZ100">
        <v>0</v>
      </c>
      <c r="EA100">
        <v>0</v>
      </c>
      <c r="EB100">
        <v>1</v>
      </c>
      <c r="EC100">
        <v>1</v>
      </c>
      <c r="ED100">
        <v>1</v>
      </c>
      <c r="EE100">
        <v>1</v>
      </c>
      <c r="EF100" t="s">
        <v>920</v>
      </c>
      <c r="EG100" t="s">
        <v>595</v>
      </c>
      <c r="EH100" t="s">
        <v>921</v>
      </c>
      <c r="EI100" t="s">
        <v>921</v>
      </c>
      <c r="EJ100" t="s">
        <v>226</v>
      </c>
      <c r="EK100">
        <v>9090</v>
      </c>
      <c r="EL100">
        <v>1</v>
      </c>
      <c r="EM100" t="s">
        <v>1157</v>
      </c>
      <c r="EN100">
        <v>1.6</v>
      </c>
      <c r="EO100">
        <v>73.8</v>
      </c>
      <c r="EP100">
        <v>99991120</v>
      </c>
      <c r="EQ100" t="s">
        <v>874</v>
      </c>
      <c r="ER100" t="s">
        <v>875</v>
      </c>
      <c r="ES100" t="s">
        <v>876</v>
      </c>
      <c r="ET100" t="s">
        <v>877</v>
      </c>
      <c r="EU100" t="s">
        <v>877</v>
      </c>
      <c r="EV100" t="s">
        <v>920</v>
      </c>
      <c r="EX100" t="s">
        <v>900</v>
      </c>
      <c r="EY100" t="s">
        <v>923</v>
      </c>
      <c r="EZ100" t="s">
        <v>1236</v>
      </c>
      <c r="FA100" t="s">
        <v>956</v>
      </c>
      <c r="FB100">
        <v>1</v>
      </c>
      <c r="FC100">
        <v>2</v>
      </c>
      <c r="FD100" s="41">
        <v>46214</v>
      </c>
      <c r="FE100" t="s">
        <v>1066</v>
      </c>
      <c r="FF100">
        <v>11</v>
      </c>
      <c r="FG100" t="s">
        <v>3092</v>
      </c>
      <c r="FH100" t="s">
        <v>3093</v>
      </c>
      <c r="FI100">
        <v>1</v>
      </c>
      <c r="FJ100" t="s">
        <v>3094</v>
      </c>
      <c r="FK100" t="s">
        <v>3093</v>
      </c>
      <c r="FL100">
        <v>1</v>
      </c>
      <c r="FM100" t="s">
        <v>3095</v>
      </c>
      <c r="FN100" t="s">
        <v>3096</v>
      </c>
      <c r="FO100">
        <v>1</v>
      </c>
      <c r="FP100" t="s">
        <v>3097</v>
      </c>
      <c r="FQ100" t="s">
        <v>3090</v>
      </c>
      <c r="FR100">
        <v>1</v>
      </c>
      <c r="FS100" t="s">
        <v>3098</v>
      </c>
      <c r="FT100" t="s">
        <v>3099</v>
      </c>
      <c r="FU100">
        <v>1</v>
      </c>
      <c r="FV100" t="s">
        <v>3100</v>
      </c>
      <c r="FW100" t="s">
        <v>3101</v>
      </c>
      <c r="FX100">
        <v>1</v>
      </c>
      <c r="FY100" t="s">
        <v>890</v>
      </c>
      <c r="FZ100" t="s">
        <v>3102</v>
      </c>
      <c r="GA100" t="s">
        <v>3094</v>
      </c>
      <c r="GB100">
        <v>1</v>
      </c>
      <c r="GD100">
        <v>0</v>
      </c>
      <c r="GF100">
        <v>0</v>
      </c>
      <c r="GG100">
        <v>1</v>
      </c>
      <c r="GH100" t="s">
        <v>892</v>
      </c>
      <c r="GI100" t="s">
        <v>893</v>
      </c>
      <c r="GJ100" t="s">
        <v>3093</v>
      </c>
      <c r="GM100">
        <v>1</v>
      </c>
      <c r="GN100">
        <v>0</v>
      </c>
      <c r="GO100">
        <v>0</v>
      </c>
      <c r="GP100">
        <v>1</v>
      </c>
      <c r="GQ100">
        <v>1</v>
      </c>
      <c r="GR100">
        <v>0</v>
      </c>
      <c r="GS100">
        <v>1</v>
      </c>
      <c r="GT100">
        <v>0</v>
      </c>
      <c r="GU100">
        <v>1</v>
      </c>
      <c r="GV100">
        <v>0</v>
      </c>
      <c r="GW100">
        <v>1</v>
      </c>
      <c r="GX100">
        <v>0</v>
      </c>
      <c r="GY100">
        <v>1</v>
      </c>
      <c r="GZ100">
        <v>0</v>
      </c>
      <c r="HA100" t="s">
        <v>413</v>
      </c>
      <c r="HB100" t="s">
        <v>894</v>
      </c>
      <c r="HC100" t="s">
        <v>935</v>
      </c>
      <c r="HD100" t="s">
        <v>845</v>
      </c>
      <c r="HE100" t="s">
        <v>900</v>
      </c>
      <c r="HF100" t="s">
        <v>923</v>
      </c>
      <c r="HG100" t="s">
        <v>894</v>
      </c>
      <c r="HH100" t="s">
        <v>935</v>
      </c>
      <c r="HI100" t="s">
        <v>845</v>
      </c>
      <c r="HJ100" t="s">
        <v>900</v>
      </c>
      <c r="HK100" t="s">
        <v>922</v>
      </c>
      <c r="HL100" t="s">
        <v>1476</v>
      </c>
      <c r="HM100" t="s">
        <v>854</v>
      </c>
      <c r="HN100">
        <v>36805</v>
      </c>
      <c r="HP100" t="s">
        <v>226</v>
      </c>
      <c r="HQ100" t="s">
        <v>896</v>
      </c>
      <c r="HR100" t="s">
        <v>896</v>
      </c>
      <c r="HS100" t="s">
        <v>896</v>
      </c>
    </row>
    <row r="101" spans="1:227" x14ac:dyDescent="0.2">
      <c r="A101">
        <v>8702</v>
      </c>
      <c r="B101">
        <v>7521308941</v>
      </c>
      <c r="C101" t="s">
        <v>829</v>
      </c>
      <c r="D101" t="s">
        <v>830</v>
      </c>
      <c r="E101" t="s">
        <v>897</v>
      </c>
      <c r="F101">
        <v>1</v>
      </c>
      <c r="G101" t="s">
        <v>3103</v>
      </c>
      <c r="H101" t="s">
        <v>3103</v>
      </c>
      <c r="I101">
        <v>0</v>
      </c>
      <c r="J101" t="s">
        <v>833</v>
      </c>
      <c r="K101" t="s">
        <v>834</v>
      </c>
      <c r="L101">
        <v>156057615</v>
      </c>
      <c r="M101" t="s">
        <v>3104</v>
      </c>
      <c r="N101" t="s">
        <v>900</v>
      </c>
      <c r="O101" t="s">
        <v>837</v>
      </c>
      <c r="P101" t="s">
        <v>838</v>
      </c>
      <c r="Q101" t="s">
        <v>1593</v>
      </c>
      <c r="R101" t="s">
        <v>3105</v>
      </c>
      <c r="S101" t="s">
        <v>3106</v>
      </c>
      <c r="T101">
        <v>41477056615</v>
      </c>
      <c r="V101" t="s">
        <v>3107</v>
      </c>
      <c r="W101" s="41">
        <v>45870</v>
      </c>
      <c r="X101" t="s">
        <v>3108</v>
      </c>
      <c r="Y101" t="s">
        <v>3109</v>
      </c>
      <c r="AA101">
        <v>0</v>
      </c>
      <c r="AB101" t="s">
        <v>845</v>
      </c>
      <c r="AC101" t="s">
        <v>846</v>
      </c>
      <c r="AD101" t="s">
        <v>847</v>
      </c>
      <c r="AE101" t="s">
        <v>848</v>
      </c>
      <c r="AF101">
        <v>1</v>
      </c>
      <c r="AG101">
        <v>452210</v>
      </c>
      <c r="AH101" t="s">
        <v>849</v>
      </c>
      <c r="AI101" t="s">
        <v>850</v>
      </c>
      <c r="AJ101" t="s">
        <v>851</v>
      </c>
      <c r="AK101" t="s">
        <v>275</v>
      </c>
      <c r="AL101" t="s">
        <v>3110</v>
      </c>
      <c r="AM101" t="s">
        <v>3111</v>
      </c>
      <c r="AN101" t="s">
        <v>854</v>
      </c>
      <c r="AO101">
        <v>36805</v>
      </c>
      <c r="AP101">
        <v>921</v>
      </c>
      <c r="AQ101" t="s">
        <v>855</v>
      </c>
      <c r="AR101">
        <v>66050615</v>
      </c>
      <c r="AS101" t="s">
        <v>856</v>
      </c>
      <c r="AU101" t="s">
        <v>3112</v>
      </c>
      <c r="AV101" t="s">
        <v>3113</v>
      </c>
      <c r="AX101" t="s">
        <v>913</v>
      </c>
      <c r="AY101" t="s">
        <v>861</v>
      </c>
      <c r="AZ101" t="s">
        <v>275</v>
      </c>
      <c r="BA101" t="s">
        <v>276</v>
      </c>
      <c r="BB101">
        <v>0</v>
      </c>
      <c r="BC101">
        <v>0</v>
      </c>
      <c r="BD101">
        <v>0</v>
      </c>
      <c r="BE101" t="s">
        <v>3104</v>
      </c>
      <c r="BF101">
        <v>0</v>
      </c>
      <c r="BG101">
        <v>0</v>
      </c>
      <c r="BH101" t="s">
        <v>862</v>
      </c>
      <c r="BI101">
        <v>0</v>
      </c>
      <c r="BJ101" t="s">
        <v>862</v>
      </c>
      <c r="BK101">
        <v>1</v>
      </c>
      <c r="BL101">
        <v>1</v>
      </c>
      <c r="BM101">
        <v>0</v>
      </c>
      <c r="BN101" t="s">
        <v>596</v>
      </c>
      <c r="BO101">
        <v>156057615</v>
      </c>
      <c r="BP101" t="s">
        <v>3103</v>
      </c>
      <c r="BR101">
        <v>42793646</v>
      </c>
      <c r="BT101">
        <v>0</v>
      </c>
      <c r="CM101">
        <v>4010</v>
      </c>
      <c r="CO101">
        <v>7360</v>
      </c>
      <c r="CP101">
        <v>0.91669999999999996</v>
      </c>
      <c r="CQ101">
        <v>0.91669999999999996</v>
      </c>
      <c r="CR101">
        <v>0.7</v>
      </c>
      <c r="CS101">
        <v>2</v>
      </c>
      <c r="CT101" t="s">
        <v>3114</v>
      </c>
      <c r="CU101" t="s">
        <v>3115</v>
      </c>
      <c r="CV101" t="s">
        <v>833</v>
      </c>
      <c r="CW101" t="s">
        <v>834</v>
      </c>
      <c r="CX101" t="s">
        <v>3104</v>
      </c>
      <c r="CY101">
        <v>0</v>
      </c>
      <c r="CZ101">
        <v>0</v>
      </c>
      <c r="DA101" t="s">
        <v>833</v>
      </c>
      <c r="DB101" t="s">
        <v>865</v>
      </c>
      <c r="DC101">
        <v>45249</v>
      </c>
      <c r="DD101">
        <v>2.3167</v>
      </c>
      <c r="DE101" t="s">
        <v>866</v>
      </c>
      <c r="DG101" t="s">
        <v>867</v>
      </c>
      <c r="DH101" t="s">
        <v>851</v>
      </c>
      <c r="DJ101">
        <v>921</v>
      </c>
      <c r="DL101" t="s">
        <v>869</v>
      </c>
      <c r="DM101">
        <v>0</v>
      </c>
      <c r="DN101">
        <v>0</v>
      </c>
      <c r="DO101">
        <v>2</v>
      </c>
      <c r="DP101" t="s">
        <v>870</v>
      </c>
      <c r="DQ101">
        <v>12</v>
      </c>
      <c r="DR101">
        <v>139</v>
      </c>
      <c r="DS101">
        <v>139</v>
      </c>
      <c r="DT101">
        <v>1.4</v>
      </c>
      <c r="DU101">
        <v>4</v>
      </c>
      <c r="DW101">
        <v>1</v>
      </c>
      <c r="DX101" t="s">
        <v>596</v>
      </c>
      <c r="DY101" t="s">
        <v>3104</v>
      </c>
      <c r="DZ101">
        <v>1</v>
      </c>
      <c r="EA101">
        <v>1</v>
      </c>
      <c r="EB101">
        <v>1</v>
      </c>
      <c r="EC101">
        <v>1</v>
      </c>
      <c r="ED101">
        <v>1</v>
      </c>
      <c r="EE101">
        <v>1</v>
      </c>
      <c r="EF101" t="s">
        <v>871</v>
      </c>
      <c r="EG101" t="s">
        <v>595</v>
      </c>
      <c r="EH101" t="s">
        <v>1036</v>
      </c>
      <c r="EI101" t="s">
        <v>1036</v>
      </c>
      <c r="EJ101" t="s">
        <v>226</v>
      </c>
      <c r="EK101">
        <v>9090</v>
      </c>
      <c r="EL101">
        <v>0</v>
      </c>
      <c r="EM101" t="s">
        <v>1157</v>
      </c>
      <c r="EN101">
        <v>0.7</v>
      </c>
      <c r="EO101">
        <v>2.3166666</v>
      </c>
      <c r="EP101">
        <v>99991120</v>
      </c>
      <c r="EQ101" t="s">
        <v>874</v>
      </c>
      <c r="ER101" t="s">
        <v>875</v>
      </c>
      <c r="ES101" t="s">
        <v>876</v>
      </c>
      <c r="ET101" t="s">
        <v>877</v>
      </c>
      <c r="EU101" t="s">
        <v>877</v>
      </c>
      <c r="EV101" t="s">
        <v>871</v>
      </c>
      <c r="EX101" t="s">
        <v>953</v>
      </c>
      <c r="EY101" t="s">
        <v>1555</v>
      </c>
      <c r="EZ101" t="s">
        <v>3116</v>
      </c>
      <c r="FA101" t="s">
        <v>925</v>
      </c>
      <c r="FB101">
        <v>1</v>
      </c>
      <c r="FC101">
        <v>1</v>
      </c>
      <c r="FD101" s="41">
        <v>45871</v>
      </c>
      <c r="FE101" t="s">
        <v>987</v>
      </c>
      <c r="FF101">
        <v>4</v>
      </c>
      <c r="FI101">
        <v>0</v>
      </c>
      <c r="FL101">
        <v>0</v>
      </c>
      <c r="FM101" t="s">
        <v>3117</v>
      </c>
      <c r="FN101" t="s">
        <v>3118</v>
      </c>
      <c r="FO101">
        <v>1</v>
      </c>
      <c r="FP101" t="s">
        <v>3119</v>
      </c>
      <c r="FQ101" t="s">
        <v>3115</v>
      </c>
      <c r="FR101">
        <v>1</v>
      </c>
      <c r="FS101" t="s">
        <v>3120</v>
      </c>
      <c r="FT101" t="s">
        <v>3121</v>
      </c>
      <c r="FU101">
        <v>1</v>
      </c>
      <c r="FV101" t="s">
        <v>3122</v>
      </c>
      <c r="FW101" t="s">
        <v>3123</v>
      </c>
      <c r="FX101">
        <v>1</v>
      </c>
      <c r="FY101" t="s">
        <v>890</v>
      </c>
      <c r="FZ101" t="s">
        <v>3124</v>
      </c>
      <c r="GA101" t="s">
        <v>3122</v>
      </c>
      <c r="GB101">
        <v>1</v>
      </c>
      <c r="GD101">
        <v>0</v>
      </c>
      <c r="GF101">
        <v>0</v>
      </c>
      <c r="GG101">
        <v>1</v>
      </c>
      <c r="GH101" t="s">
        <v>892</v>
      </c>
      <c r="GI101" t="s">
        <v>893</v>
      </c>
      <c r="GJ101" t="s">
        <v>3123</v>
      </c>
      <c r="GM101">
        <v>1</v>
      </c>
      <c r="GN101">
        <v>1</v>
      </c>
      <c r="GO101">
        <v>0</v>
      </c>
      <c r="GP101">
        <v>1</v>
      </c>
      <c r="GQ101">
        <v>1</v>
      </c>
      <c r="GR101">
        <v>0</v>
      </c>
      <c r="GS101">
        <v>1</v>
      </c>
      <c r="GT101">
        <v>0</v>
      </c>
      <c r="GU101">
        <v>1</v>
      </c>
      <c r="GV101">
        <v>0</v>
      </c>
      <c r="GW101">
        <v>1</v>
      </c>
      <c r="GX101">
        <v>0</v>
      </c>
      <c r="GY101">
        <v>1</v>
      </c>
      <c r="GZ101">
        <v>0</v>
      </c>
      <c r="HA101" t="s">
        <v>275</v>
      </c>
      <c r="HB101" t="s">
        <v>894</v>
      </c>
      <c r="HC101" t="s">
        <v>935</v>
      </c>
      <c r="HD101" t="s">
        <v>845</v>
      </c>
      <c r="HE101" t="s">
        <v>900</v>
      </c>
      <c r="HF101" t="s">
        <v>923</v>
      </c>
      <c r="HG101" t="s">
        <v>894</v>
      </c>
      <c r="HH101" t="s">
        <v>935</v>
      </c>
      <c r="HI101" t="s">
        <v>845</v>
      </c>
      <c r="HJ101" t="s">
        <v>900</v>
      </c>
      <c r="HK101" t="s">
        <v>922</v>
      </c>
      <c r="HL101" t="s">
        <v>3107</v>
      </c>
      <c r="HM101" t="s">
        <v>854</v>
      </c>
      <c r="HN101">
        <v>36805</v>
      </c>
      <c r="HP101" t="s">
        <v>226</v>
      </c>
      <c r="HQ101" t="s">
        <v>896</v>
      </c>
      <c r="HR101" t="s">
        <v>896</v>
      </c>
      <c r="HS101" t="s">
        <v>896</v>
      </c>
    </row>
    <row r="102" spans="1:227" x14ac:dyDescent="0.2">
      <c r="A102">
        <v>8702</v>
      </c>
      <c r="B102">
        <v>7523904812</v>
      </c>
      <c r="C102" t="s">
        <v>936</v>
      </c>
      <c r="D102" t="s">
        <v>937</v>
      </c>
      <c r="E102" t="s">
        <v>831</v>
      </c>
      <c r="F102">
        <v>0</v>
      </c>
      <c r="G102" t="s">
        <v>3125</v>
      </c>
      <c r="H102" t="s">
        <v>3125</v>
      </c>
      <c r="I102">
        <v>0</v>
      </c>
      <c r="J102" t="s">
        <v>833</v>
      </c>
      <c r="K102" t="s">
        <v>834</v>
      </c>
      <c r="L102">
        <v>142427765</v>
      </c>
      <c r="M102" t="s">
        <v>3126</v>
      </c>
      <c r="N102" t="s">
        <v>836</v>
      </c>
      <c r="O102" t="s">
        <v>837</v>
      </c>
      <c r="P102" t="s">
        <v>940</v>
      </c>
      <c r="Q102" t="s">
        <v>2404</v>
      </c>
      <c r="R102" t="s">
        <v>3127</v>
      </c>
      <c r="S102" t="s">
        <v>3128</v>
      </c>
      <c r="T102">
        <v>41477009259</v>
      </c>
      <c r="V102" t="s">
        <v>1083</v>
      </c>
      <c r="W102" s="41">
        <v>45896</v>
      </c>
      <c r="X102" t="s">
        <v>3129</v>
      </c>
      <c r="Y102" t="s">
        <v>3130</v>
      </c>
      <c r="AA102">
        <v>0</v>
      </c>
      <c r="AB102" t="s">
        <v>845</v>
      </c>
      <c r="AC102" t="s">
        <v>846</v>
      </c>
      <c r="AD102" t="s">
        <v>847</v>
      </c>
      <c r="AE102" t="s">
        <v>848</v>
      </c>
      <c r="AF102">
        <v>1</v>
      </c>
      <c r="AG102">
        <v>452210</v>
      </c>
      <c r="AH102" t="s">
        <v>849</v>
      </c>
      <c r="AI102" t="s">
        <v>850</v>
      </c>
      <c r="AJ102" t="s">
        <v>851</v>
      </c>
      <c r="AK102" t="s">
        <v>257</v>
      </c>
      <c r="AL102" t="s">
        <v>2012</v>
      </c>
      <c r="AM102" t="s">
        <v>1087</v>
      </c>
      <c r="AN102" t="s">
        <v>854</v>
      </c>
      <c r="AO102">
        <v>36805</v>
      </c>
      <c r="AP102">
        <v>448</v>
      </c>
      <c r="AQ102" t="s">
        <v>855</v>
      </c>
      <c r="AR102">
        <v>66088263</v>
      </c>
      <c r="AS102" t="s">
        <v>856</v>
      </c>
      <c r="AU102" t="s">
        <v>3131</v>
      </c>
      <c r="AV102" t="s">
        <v>3132</v>
      </c>
      <c r="AW102" t="s">
        <v>1261</v>
      </c>
      <c r="AX102" t="s">
        <v>1262</v>
      </c>
      <c r="AY102" t="s">
        <v>861</v>
      </c>
      <c r="AZ102" t="s">
        <v>257</v>
      </c>
      <c r="BA102" t="s">
        <v>258</v>
      </c>
      <c r="BB102">
        <v>0</v>
      </c>
      <c r="BC102">
        <v>0</v>
      </c>
      <c r="BD102">
        <v>0</v>
      </c>
      <c r="BE102" t="s">
        <v>3126</v>
      </c>
      <c r="BF102">
        <v>0</v>
      </c>
      <c r="BG102">
        <v>0</v>
      </c>
      <c r="BH102" t="s">
        <v>862</v>
      </c>
      <c r="BI102">
        <v>0</v>
      </c>
      <c r="BJ102" t="s">
        <v>862</v>
      </c>
      <c r="BK102">
        <v>1</v>
      </c>
      <c r="BL102">
        <v>0</v>
      </c>
      <c r="BM102">
        <v>0</v>
      </c>
      <c r="BN102" t="s">
        <v>596</v>
      </c>
      <c r="BO102">
        <v>142427765</v>
      </c>
      <c r="BP102" t="s">
        <v>3125</v>
      </c>
      <c r="BQ102">
        <v>38.633378</v>
      </c>
      <c r="BR102">
        <v>42511030</v>
      </c>
      <c r="BS102">
        <v>-90.238388799999996</v>
      </c>
      <c r="BT102">
        <v>0</v>
      </c>
      <c r="CM102">
        <v>4010</v>
      </c>
      <c r="CO102">
        <v>7360</v>
      </c>
      <c r="CP102">
        <v>0.6</v>
      </c>
      <c r="CQ102">
        <v>0.6</v>
      </c>
      <c r="CR102">
        <v>0.4</v>
      </c>
      <c r="CS102">
        <v>2</v>
      </c>
      <c r="CT102" t="s">
        <v>3133</v>
      </c>
      <c r="CU102" t="s">
        <v>3134</v>
      </c>
      <c r="CV102" t="s">
        <v>833</v>
      </c>
      <c r="CW102" t="s">
        <v>834</v>
      </c>
      <c r="CX102" t="s">
        <v>3126</v>
      </c>
      <c r="CY102">
        <v>0</v>
      </c>
      <c r="CZ102">
        <v>0</v>
      </c>
      <c r="DA102" t="s">
        <v>833</v>
      </c>
      <c r="DB102" t="s">
        <v>865</v>
      </c>
      <c r="DC102">
        <v>63110</v>
      </c>
      <c r="DD102">
        <v>1.9833000000000001</v>
      </c>
      <c r="DE102" t="s">
        <v>866</v>
      </c>
      <c r="DG102" t="s">
        <v>867</v>
      </c>
      <c r="DH102" t="s">
        <v>851</v>
      </c>
      <c r="DI102" t="s">
        <v>1092</v>
      </c>
      <c r="DL102" t="s">
        <v>869</v>
      </c>
      <c r="DM102">
        <v>0</v>
      </c>
      <c r="DN102">
        <v>0</v>
      </c>
      <c r="DO102">
        <v>3</v>
      </c>
      <c r="DP102" t="s">
        <v>919</v>
      </c>
      <c r="DQ102">
        <v>16</v>
      </c>
      <c r="DR102">
        <v>119</v>
      </c>
      <c r="DS102">
        <v>119</v>
      </c>
      <c r="DT102">
        <v>1.3833</v>
      </c>
      <c r="DU102">
        <v>4</v>
      </c>
      <c r="DW102">
        <v>2</v>
      </c>
      <c r="DX102" t="s">
        <v>594</v>
      </c>
      <c r="DY102" t="s">
        <v>3126</v>
      </c>
      <c r="DZ102">
        <v>0</v>
      </c>
      <c r="EA102">
        <v>0</v>
      </c>
      <c r="EB102">
        <v>0</v>
      </c>
      <c r="EC102">
        <v>0</v>
      </c>
      <c r="ED102">
        <v>0</v>
      </c>
      <c r="EE102">
        <v>0</v>
      </c>
      <c r="EF102" t="s">
        <v>920</v>
      </c>
      <c r="EG102" t="s">
        <v>595</v>
      </c>
      <c r="EH102" t="s">
        <v>872</v>
      </c>
      <c r="EI102" t="s">
        <v>872</v>
      </c>
      <c r="EJ102" t="s">
        <v>111</v>
      </c>
      <c r="EK102">
        <v>9090</v>
      </c>
      <c r="EL102">
        <v>0</v>
      </c>
      <c r="EM102" t="s">
        <v>1037</v>
      </c>
      <c r="EN102">
        <v>0.4</v>
      </c>
      <c r="EO102">
        <v>1.9833333</v>
      </c>
      <c r="EP102">
        <v>99991120</v>
      </c>
      <c r="EQ102" t="s">
        <v>874</v>
      </c>
      <c r="ER102" t="s">
        <v>875</v>
      </c>
      <c r="ES102" t="s">
        <v>876</v>
      </c>
      <c r="ET102" t="s">
        <v>877</v>
      </c>
      <c r="EU102" t="s">
        <v>877</v>
      </c>
      <c r="EV102" t="s">
        <v>920</v>
      </c>
      <c r="EX102" t="s">
        <v>900</v>
      </c>
      <c r="EY102" t="s">
        <v>923</v>
      </c>
      <c r="EZ102" t="s">
        <v>1038</v>
      </c>
      <c r="FA102" t="s">
        <v>925</v>
      </c>
      <c r="FB102">
        <v>1</v>
      </c>
      <c r="FC102">
        <v>1</v>
      </c>
      <c r="FD102" s="41">
        <v>45899</v>
      </c>
      <c r="FE102" t="s">
        <v>987</v>
      </c>
      <c r="FF102">
        <v>5</v>
      </c>
      <c r="FI102">
        <v>0</v>
      </c>
      <c r="FJ102" t="s">
        <v>3135</v>
      </c>
      <c r="FK102" t="s">
        <v>3136</v>
      </c>
      <c r="FL102">
        <v>1</v>
      </c>
      <c r="FM102" t="s">
        <v>3137</v>
      </c>
      <c r="FN102" t="s">
        <v>3138</v>
      </c>
      <c r="FO102">
        <v>1</v>
      </c>
      <c r="FP102" t="s">
        <v>3139</v>
      </c>
      <c r="FQ102" t="s">
        <v>3140</v>
      </c>
      <c r="FR102">
        <v>1</v>
      </c>
      <c r="FS102" t="s">
        <v>1100</v>
      </c>
      <c r="FT102" t="s">
        <v>3141</v>
      </c>
      <c r="FU102">
        <v>1</v>
      </c>
      <c r="FV102" t="s">
        <v>3142</v>
      </c>
      <c r="FW102" t="s">
        <v>3136</v>
      </c>
      <c r="FX102">
        <v>1</v>
      </c>
      <c r="FY102" t="s">
        <v>890</v>
      </c>
      <c r="FZ102" t="s">
        <v>3143</v>
      </c>
      <c r="GA102" t="s">
        <v>3135</v>
      </c>
      <c r="GB102">
        <v>1</v>
      </c>
      <c r="GD102">
        <v>0</v>
      </c>
      <c r="GF102">
        <v>0</v>
      </c>
      <c r="GG102">
        <v>1</v>
      </c>
      <c r="GH102" t="s">
        <v>892</v>
      </c>
      <c r="GI102" t="s">
        <v>893</v>
      </c>
      <c r="GJ102" t="s">
        <v>3136</v>
      </c>
      <c r="GM102">
        <v>1</v>
      </c>
      <c r="GN102">
        <v>1</v>
      </c>
      <c r="GO102">
        <v>0</v>
      </c>
      <c r="GP102">
        <v>1</v>
      </c>
      <c r="GQ102">
        <v>1</v>
      </c>
      <c r="GR102">
        <v>0</v>
      </c>
      <c r="GS102">
        <v>1</v>
      </c>
      <c r="GT102">
        <v>0</v>
      </c>
      <c r="GU102">
        <v>1</v>
      </c>
      <c r="GV102">
        <v>0</v>
      </c>
      <c r="GW102">
        <v>1</v>
      </c>
      <c r="GX102">
        <v>0</v>
      </c>
      <c r="GY102">
        <v>1</v>
      </c>
      <c r="GZ102">
        <v>0</v>
      </c>
      <c r="HA102" t="s">
        <v>257</v>
      </c>
      <c r="HB102" t="s">
        <v>894</v>
      </c>
      <c r="HC102" t="s">
        <v>895</v>
      </c>
      <c r="HD102" t="s">
        <v>845</v>
      </c>
      <c r="HE102" t="s">
        <v>836</v>
      </c>
      <c r="HF102" t="s">
        <v>1051</v>
      </c>
      <c r="HG102" t="s">
        <v>894</v>
      </c>
      <c r="HH102" t="s">
        <v>895</v>
      </c>
      <c r="HI102" t="s">
        <v>845</v>
      </c>
      <c r="HJ102" t="s">
        <v>836</v>
      </c>
      <c r="HK102" t="s">
        <v>1037</v>
      </c>
      <c r="HL102" t="s">
        <v>1083</v>
      </c>
      <c r="HM102" t="s">
        <v>854</v>
      </c>
      <c r="HN102">
        <v>36805</v>
      </c>
      <c r="HP102" t="s">
        <v>111</v>
      </c>
      <c r="HQ102" t="s">
        <v>896</v>
      </c>
      <c r="HR102" t="s">
        <v>896</v>
      </c>
      <c r="HS102" t="s">
        <v>896</v>
      </c>
    </row>
    <row r="103" spans="1:227" x14ac:dyDescent="0.2">
      <c r="A103">
        <v>8702</v>
      </c>
      <c r="B103">
        <v>7621206111</v>
      </c>
      <c r="C103">
        <v>34</v>
      </c>
      <c r="D103" t="s">
        <v>996</v>
      </c>
      <c r="E103" t="s">
        <v>831</v>
      </c>
      <c r="F103">
        <v>1</v>
      </c>
      <c r="G103" t="s">
        <v>3144</v>
      </c>
      <c r="H103" t="s">
        <v>3144</v>
      </c>
      <c r="I103">
        <v>0</v>
      </c>
      <c r="J103" t="s">
        <v>833</v>
      </c>
      <c r="K103" t="s">
        <v>834</v>
      </c>
      <c r="L103">
        <v>153294179</v>
      </c>
      <c r="M103" t="s">
        <v>3145</v>
      </c>
      <c r="N103" t="s">
        <v>836</v>
      </c>
      <c r="O103" t="s">
        <v>837</v>
      </c>
      <c r="P103" t="s">
        <v>999</v>
      </c>
      <c r="Q103" t="s">
        <v>1027</v>
      </c>
      <c r="R103" t="s">
        <v>3146</v>
      </c>
      <c r="S103" t="s">
        <v>3147</v>
      </c>
      <c r="T103">
        <v>41477059751</v>
      </c>
      <c r="V103" t="s">
        <v>2032</v>
      </c>
      <c r="W103" s="41">
        <v>46234</v>
      </c>
      <c r="X103" t="s">
        <v>3148</v>
      </c>
      <c r="Y103" t="s">
        <v>3149</v>
      </c>
      <c r="AA103">
        <v>0</v>
      </c>
      <c r="AB103" t="s">
        <v>845</v>
      </c>
      <c r="AC103" t="s">
        <v>846</v>
      </c>
      <c r="AD103" t="s">
        <v>907</v>
      </c>
      <c r="AE103" t="s">
        <v>908</v>
      </c>
      <c r="AF103">
        <v>1</v>
      </c>
      <c r="AG103">
        <v>452210</v>
      </c>
      <c r="AH103" t="s">
        <v>849</v>
      </c>
      <c r="AI103" t="s">
        <v>850</v>
      </c>
      <c r="AJ103" t="s">
        <v>851</v>
      </c>
      <c r="AK103" t="s">
        <v>362</v>
      </c>
      <c r="AL103" t="s">
        <v>2035</v>
      </c>
      <c r="AM103" t="s">
        <v>2036</v>
      </c>
      <c r="AN103" t="s">
        <v>854</v>
      </c>
      <c r="AO103">
        <v>36805</v>
      </c>
      <c r="AP103">
        <v>537</v>
      </c>
      <c r="AQ103" t="s">
        <v>855</v>
      </c>
      <c r="AR103">
        <v>66574678</v>
      </c>
      <c r="AS103" t="s">
        <v>856</v>
      </c>
      <c r="AU103" t="s">
        <v>3150</v>
      </c>
      <c r="AV103" t="s">
        <v>3151</v>
      </c>
      <c r="AX103" t="s">
        <v>913</v>
      </c>
      <c r="AY103" t="s">
        <v>861</v>
      </c>
      <c r="AZ103" t="s">
        <v>362</v>
      </c>
      <c r="BA103" t="s">
        <v>300</v>
      </c>
      <c r="BB103">
        <v>0</v>
      </c>
      <c r="BC103">
        <v>0</v>
      </c>
      <c r="BD103">
        <v>1</v>
      </c>
      <c r="BE103" t="s">
        <v>3145</v>
      </c>
      <c r="BF103">
        <v>0</v>
      </c>
      <c r="BG103">
        <v>0</v>
      </c>
      <c r="BH103" t="s">
        <v>862</v>
      </c>
      <c r="BI103">
        <v>0</v>
      </c>
      <c r="BJ103" t="s">
        <v>862</v>
      </c>
      <c r="BK103">
        <v>1</v>
      </c>
      <c r="BL103">
        <v>1</v>
      </c>
      <c r="BM103">
        <v>0</v>
      </c>
      <c r="BN103" t="s">
        <v>596</v>
      </c>
      <c r="BO103">
        <v>153294179</v>
      </c>
      <c r="BP103" t="s">
        <v>3144</v>
      </c>
      <c r="BQ103">
        <v>40.451978799999999</v>
      </c>
      <c r="BR103">
        <v>42791480</v>
      </c>
      <c r="BS103">
        <v>-86.914271200000002</v>
      </c>
      <c r="BT103">
        <v>2</v>
      </c>
      <c r="BU103" t="s">
        <v>1062</v>
      </c>
      <c r="BY103">
        <v>16</v>
      </c>
      <c r="CA103">
        <v>2</v>
      </c>
      <c r="CE103">
        <v>1</v>
      </c>
      <c r="CI103">
        <v>11</v>
      </c>
      <c r="CJ103" t="s">
        <v>94</v>
      </c>
      <c r="CM103">
        <v>4010</v>
      </c>
      <c r="CO103">
        <v>7360</v>
      </c>
      <c r="CP103">
        <v>0.85</v>
      </c>
      <c r="CQ103">
        <v>0.85</v>
      </c>
      <c r="CR103">
        <v>0.36670000000000003</v>
      </c>
      <c r="CS103">
        <v>22</v>
      </c>
      <c r="CT103" t="s">
        <v>3152</v>
      </c>
      <c r="CU103" t="s">
        <v>3153</v>
      </c>
      <c r="CV103" t="s">
        <v>833</v>
      </c>
      <c r="CW103" t="s">
        <v>834</v>
      </c>
      <c r="CX103" t="s">
        <v>3145</v>
      </c>
      <c r="CY103">
        <v>1</v>
      </c>
      <c r="CZ103">
        <v>1</v>
      </c>
      <c r="DA103" t="s">
        <v>833</v>
      </c>
      <c r="DB103" t="s">
        <v>865</v>
      </c>
      <c r="DC103">
        <v>47906</v>
      </c>
      <c r="DD103">
        <v>2.1</v>
      </c>
      <c r="DE103" t="s">
        <v>866</v>
      </c>
      <c r="DG103" t="s">
        <v>867</v>
      </c>
      <c r="DH103" t="s">
        <v>851</v>
      </c>
      <c r="DI103" t="s">
        <v>3154</v>
      </c>
      <c r="DK103" t="s">
        <v>918</v>
      </c>
      <c r="DL103" t="s">
        <v>869</v>
      </c>
      <c r="DM103">
        <v>0</v>
      </c>
      <c r="DN103">
        <v>0</v>
      </c>
      <c r="DO103">
        <v>11</v>
      </c>
      <c r="DP103" t="s">
        <v>1010</v>
      </c>
      <c r="DQ103">
        <v>16</v>
      </c>
      <c r="DR103">
        <v>126</v>
      </c>
      <c r="DS103">
        <v>126</v>
      </c>
      <c r="DT103">
        <v>1.25</v>
      </c>
      <c r="DU103">
        <v>4</v>
      </c>
      <c r="DV103">
        <v>1</v>
      </c>
      <c r="DW103">
        <v>2</v>
      </c>
      <c r="DX103" t="s">
        <v>596</v>
      </c>
      <c r="DY103" t="s">
        <v>3145</v>
      </c>
      <c r="DZ103">
        <v>1</v>
      </c>
      <c r="EA103">
        <v>1</v>
      </c>
      <c r="EB103">
        <v>1</v>
      </c>
      <c r="EC103">
        <v>1</v>
      </c>
      <c r="ED103">
        <v>1</v>
      </c>
      <c r="EE103">
        <v>1</v>
      </c>
      <c r="EF103" t="s">
        <v>920</v>
      </c>
      <c r="EG103" t="s">
        <v>595</v>
      </c>
      <c r="EH103" t="s">
        <v>921</v>
      </c>
      <c r="EI103" t="s">
        <v>921</v>
      </c>
      <c r="EJ103" t="s">
        <v>134</v>
      </c>
      <c r="EK103">
        <v>9090</v>
      </c>
      <c r="EL103">
        <v>0</v>
      </c>
      <c r="EM103" t="s">
        <v>873</v>
      </c>
      <c r="EN103">
        <v>0.36670000000000003</v>
      </c>
      <c r="EO103">
        <v>2.1</v>
      </c>
      <c r="EP103">
        <v>99991120</v>
      </c>
      <c r="EQ103" t="s">
        <v>874</v>
      </c>
      <c r="ER103" t="s">
        <v>875</v>
      </c>
      <c r="ES103" t="s">
        <v>876</v>
      </c>
      <c r="ET103" t="s">
        <v>877</v>
      </c>
      <c r="EU103" t="s">
        <v>877</v>
      </c>
      <c r="EV103" t="s">
        <v>920</v>
      </c>
      <c r="EX103" t="s">
        <v>836</v>
      </c>
      <c r="EY103" t="s">
        <v>873</v>
      </c>
      <c r="EZ103" t="s">
        <v>1211</v>
      </c>
      <c r="FA103" t="s">
        <v>1212</v>
      </c>
      <c r="FB103">
        <v>1</v>
      </c>
      <c r="FC103">
        <v>1</v>
      </c>
      <c r="FD103" s="41">
        <v>46235</v>
      </c>
      <c r="FE103" t="s">
        <v>1066</v>
      </c>
      <c r="FF103">
        <v>5</v>
      </c>
      <c r="FI103">
        <v>0</v>
      </c>
      <c r="FJ103" t="s">
        <v>3155</v>
      </c>
      <c r="FK103" t="s">
        <v>3156</v>
      </c>
      <c r="FL103">
        <v>1</v>
      </c>
      <c r="FM103" t="s">
        <v>3157</v>
      </c>
      <c r="FN103" t="s">
        <v>3158</v>
      </c>
      <c r="FO103">
        <v>1</v>
      </c>
      <c r="FP103" t="s">
        <v>3159</v>
      </c>
      <c r="FQ103" t="s">
        <v>3153</v>
      </c>
      <c r="FR103">
        <v>1</v>
      </c>
      <c r="FS103" t="s">
        <v>3160</v>
      </c>
      <c r="FT103" t="s">
        <v>3161</v>
      </c>
      <c r="FU103">
        <v>1</v>
      </c>
      <c r="FV103" t="s">
        <v>3145</v>
      </c>
      <c r="FW103" t="s">
        <v>3156</v>
      </c>
      <c r="FX103">
        <v>1</v>
      </c>
      <c r="FY103" t="s">
        <v>890</v>
      </c>
      <c r="FZ103" t="s">
        <v>3162</v>
      </c>
      <c r="GA103" t="s">
        <v>3155</v>
      </c>
      <c r="GB103">
        <v>1</v>
      </c>
      <c r="GD103">
        <v>0</v>
      </c>
      <c r="GF103">
        <v>0</v>
      </c>
      <c r="GG103">
        <v>1</v>
      </c>
      <c r="GH103" t="s">
        <v>892</v>
      </c>
      <c r="GI103" t="s">
        <v>893</v>
      </c>
      <c r="GJ103" t="s">
        <v>3156</v>
      </c>
      <c r="GM103">
        <v>1</v>
      </c>
      <c r="GN103">
        <v>1</v>
      </c>
      <c r="GO103">
        <v>0</v>
      </c>
      <c r="GP103">
        <v>1</v>
      </c>
      <c r="GQ103">
        <v>1</v>
      </c>
      <c r="GR103">
        <v>0</v>
      </c>
      <c r="GS103">
        <v>1</v>
      </c>
      <c r="GT103">
        <v>0</v>
      </c>
      <c r="GU103">
        <v>1</v>
      </c>
      <c r="GV103">
        <v>0</v>
      </c>
      <c r="GW103">
        <v>1</v>
      </c>
      <c r="GX103">
        <v>0</v>
      </c>
      <c r="GY103">
        <v>1</v>
      </c>
      <c r="GZ103">
        <v>0</v>
      </c>
      <c r="HA103" t="s">
        <v>362</v>
      </c>
      <c r="HB103" t="s">
        <v>894</v>
      </c>
      <c r="HC103" t="s">
        <v>895</v>
      </c>
      <c r="HD103" t="s">
        <v>845</v>
      </c>
      <c r="HE103" t="s">
        <v>836</v>
      </c>
      <c r="HF103" t="s">
        <v>873</v>
      </c>
      <c r="HG103" t="s">
        <v>894</v>
      </c>
      <c r="HH103" t="s">
        <v>895</v>
      </c>
      <c r="HI103" t="s">
        <v>845</v>
      </c>
      <c r="HJ103" t="s">
        <v>836</v>
      </c>
      <c r="HK103" t="s">
        <v>873</v>
      </c>
      <c r="HL103" t="s">
        <v>2032</v>
      </c>
      <c r="HM103" t="s">
        <v>854</v>
      </c>
      <c r="HN103">
        <v>36805</v>
      </c>
      <c r="HP103" t="s">
        <v>134</v>
      </c>
      <c r="HQ103" t="s">
        <v>896</v>
      </c>
      <c r="HR103" t="s">
        <v>896</v>
      </c>
      <c r="HS103" t="s">
        <v>896</v>
      </c>
    </row>
    <row r="104" spans="1:227" x14ac:dyDescent="0.2">
      <c r="A104">
        <v>8702</v>
      </c>
      <c r="B104">
        <v>7615900371</v>
      </c>
      <c r="C104">
        <v>34</v>
      </c>
      <c r="D104" t="s">
        <v>996</v>
      </c>
      <c r="E104" t="s">
        <v>831</v>
      </c>
      <c r="F104">
        <v>0</v>
      </c>
      <c r="G104" t="s">
        <v>3163</v>
      </c>
      <c r="H104" t="s">
        <v>3163</v>
      </c>
      <c r="I104">
        <v>0</v>
      </c>
      <c r="J104" t="s">
        <v>833</v>
      </c>
      <c r="K104" t="s">
        <v>834</v>
      </c>
      <c r="L104">
        <v>153008257</v>
      </c>
      <c r="M104" t="s">
        <v>1423</v>
      </c>
      <c r="N104" t="s">
        <v>836</v>
      </c>
      <c r="O104" t="s">
        <v>837</v>
      </c>
      <c r="P104" t="s">
        <v>999</v>
      </c>
      <c r="Q104" t="s">
        <v>2459</v>
      </c>
      <c r="R104" t="s">
        <v>3164</v>
      </c>
      <c r="S104" t="s">
        <v>3165</v>
      </c>
      <c r="T104">
        <v>30300127006</v>
      </c>
      <c r="V104" t="s">
        <v>183</v>
      </c>
      <c r="W104" s="41">
        <v>46183</v>
      </c>
      <c r="X104" t="s">
        <v>3166</v>
      </c>
      <c r="Y104" t="s">
        <v>3167</v>
      </c>
      <c r="Z104" t="s">
        <v>2362</v>
      </c>
      <c r="AA104">
        <v>0</v>
      </c>
      <c r="AB104" t="s">
        <v>845</v>
      </c>
      <c r="AC104" t="s">
        <v>846</v>
      </c>
      <c r="AD104" t="s">
        <v>907</v>
      </c>
      <c r="AE104" t="s">
        <v>908</v>
      </c>
      <c r="AF104">
        <v>1</v>
      </c>
      <c r="AG104">
        <v>452210</v>
      </c>
      <c r="AH104" t="s">
        <v>849</v>
      </c>
      <c r="AI104" t="s">
        <v>850</v>
      </c>
      <c r="AJ104" t="s">
        <v>851</v>
      </c>
      <c r="AK104" t="s">
        <v>255</v>
      </c>
      <c r="AL104" t="s">
        <v>2605</v>
      </c>
      <c r="AM104" t="s">
        <v>1429</v>
      </c>
      <c r="AN104" t="s">
        <v>854</v>
      </c>
      <c r="AO104">
        <v>36805</v>
      </c>
      <c r="AP104">
        <v>632</v>
      </c>
      <c r="AQ104" t="s">
        <v>855</v>
      </c>
      <c r="AR104">
        <v>66501651</v>
      </c>
      <c r="AS104" t="s">
        <v>856</v>
      </c>
      <c r="AU104" t="s">
        <v>3168</v>
      </c>
      <c r="AV104" t="s">
        <v>3169</v>
      </c>
      <c r="AX104" t="s">
        <v>913</v>
      </c>
      <c r="AY104" t="s">
        <v>861</v>
      </c>
      <c r="AZ104" t="s">
        <v>255</v>
      </c>
      <c r="BA104" t="s">
        <v>256</v>
      </c>
      <c r="BB104">
        <v>0</v>
      </c>
      <c r="BC104">
        <v>1</v>
      </c>
      <c r="BD104">
        <v>0</v>
      </c>
      <c r="BE104" t="s">
        <v>1423</v>
      </c>
      <c r="BF104">
        <v>0</v>
      </c>
      <c r="BG104">
        <v>0</v>
      </c>
      <c r="BH104" t="s">
        <v>862</v>
      </c>
      <c r="BI104">
        <v>0</v>
      </c>
      <c r="BJ104" t="s">
        <v>862</v>
      </c>
      <c r="BK104">
        <v>1</v>
      </c>
      <c r="BL104">
        <v>1</v>
      </c>
      <c r="BM104">
        <v>0</v>
      </c>
      <c r="BN104" t="s">
        <v>596</v>
      </c>
      <c r="BO104">
        <v>153008257</v>
      </c>
      <c r="BP104" t="s">
        <v>3163</v>
      </c>
      <c r="BR104">
        <v>42791748</v>
      </c>
      <c r="BT104">
        <v>1</v>
      </c>
      <c r="BU104" t="s">
        <v>1314</v>
      </c>
      <c r="BY104">
        <v>16</v>
      </c>
      <c r="CA104">
        <v>24</v>
      </c>
      <c r="CI104">
        <v>11</v>
      </c>
      <c r="CJ104" t="s">
        <v>94</v>
      </c>
      <c r="CM104">
        <v>4010</v>
      </c>
      <c r="CO104">
        <v>7360</v>
      </c>
      <c r="CP104">
        <v>0.73329999999999995</v>
      </c>
      <c r="CQ104">
        <v>0.73329999999999995</v>
      </c>
      <c r="CR104">
        <v>2.7166999999999999</v>
      </c>
      <c r="CS104">
        <v>0</v>
      </c>
      <c r="CT104" t="s">
        <v>3169</v>
      </c>
      <c r="CU104" t="s">
        <v>3168</v>
      </c>
      <c r="CV104" t="s">
        <v>833</v>
      </c>
      <c r="CW104" t="s">
        <v>834</v>
      </c>
      <c r="CX104" t="s">
        <v>1423</v>
      </c>
      <c r="CY104">
        <v>1</v>
      </c>
      <c r="CZ104">
        <v>1</v>
      </c>
      <c r="DA104" t="s">
        <v>833</v>
      </c>
      <c r="DB104" t="s">
        <v>865</v>
      </c>
      <c r="DC104">
        <v>60515</v>
      </c>
      <c r="DD104">
        <v>24.5</v>
      </c>
      <c r="DE104" t="s">
        <v>866</v>
      </c>
      <c r="DG104" t="s">
        <v>867</v>
      </c>
      <c r="DH104" t="s">
        <v>851</v>
      </c>
      <c r="DI104" t="s">
        <v>1434</v>
      </c>
      <c r="DJ104" t="s">
        <v>1435</v>
      </c>
      <c r="DK104" t="s">
        <v>918</v>
      </c>
      <c r="DL104" t="s">
        <v>869</v>
      </c>
      <c r="DM104">
        <v>0</v>
      </c>
      <c r="DN104">
        <v>0</v>
      </c>
      <c r="DO104">
        <v>11</v>
      </c>
      <c r="DP104" t="s">
        <v>1010</v>
      </c>
      <c r="DQ104">
        <v>16</v>
      </c>
      <c r="DR104">
        <v>1470</v>
      </c>
      <c r="DS104">
        <v>2910</v>
      </c>
      <c r="DT104">
        <v>13.9</v>
      </c>
      <c r="DU104">
        <v>4</v>
      </c>
      <c r="DV104">
        <v>1</v>
      </c>
      <c r="DW104">
        <v>2</v>
      </c>
      <c r="DX104" t="s">
        <v>596</v>
      </c>
      <c r="DY104" t="s">
        <v>1423</v>
      </c>
      <c r="DZ104">
        <v>0</v>
      </c>
      <c r="EA104">
        <v>0</v>
      </c>
      <c r="EB104">
        <v>1</v>
      </c>
      <c r="EC104">
        <v>0</v>
      </c>
      <c r="ED104">
        <v>0</v>
      </c>
      <c r="EE104">
        <v>1</v>
      </c>
      <c r="EF104" t="s">
        <v>871</v>
      </c>
      <c r="EG104" t="s">
        <v>595</v>
      </c>
      <c r="EH104" t="s">
        <v>921</v>
      </c>
      <c r="EI104" t="s">
        <v>921</v>
      </c>
      <c r="EJ104" t="s">
        <v>181</v>
      </c>
      <c r="EK104">
        <v>9090</v>
      </c>
      <c r="EL104">
        <v>1</v>
      </c>
      <c r="EM104" t="s">
        <v>1436</v>
      </c>
      <c r="EN104">
        <v>2.7166999999999999</v>
      </c>
      <c r="EO104">
        <v>48.5</v>
      </c>
      <c r="EP104">
        <v>99991120</v>
      </c>
      <c r="EQ104" t="s">
        <v>874</v>
      </c>
      <c r="ER104" t="s">
        <v>875</v>
      </c>
      <c r="ES104" t="s">
        <v>876</v>
      </c>
      <c r="ET104" t="s">
        <v>877</v>
      </c>
      <c r="EU104" t="s">
        <v>877</v>
      </c>
      <c r="EV104" t="s">
        <v>871</v>
      </c>
      <c r="EX104" t="s">
        <v>836</v>
      </c>
      <c r="EY104" t="s">
        <v>873</v>
      </c>
      <c r="EZ104" t="s">
        <v>1437</v>
      </c>
      <c r="FA104" t="s">
        <v>956</v>
      </c>
      <c r="FB104">
        <v>1</v>
      </c>
      <c r="FC104">
        <v>2</v>
      </c>
      <c r="FD104" s="41">
        <v>46186</v>
      </c>
      <c r="FE104" t="s">
        <v>1315</v>
      </c>
      <c r="FF104">
        <v>11</v>
      </c>
      <c r="FG104" t="s">
        <v>3170</v>
      </c>
      <c r="FH104" t="s">
        <v>3171</v>
      </c>
      <c r="FI104">
        <v>1</v>
      </c>
      <c r="FJ104" t="s">
        <v>3172</v>
      </c>
      <c r="FK104" t="s">
        <v>3173</v>
      </c>
      <c r="FL104">
        <v>1</v>
      </c>
      <c r="FM104" t="s">
        <v>1442</v>
      </c>
      <c r="FN104" t="s">
        <v>3174</v>
      </c>
      <c r="FO104">
        <v>1</v>
      </c>
      <c r="FP104" t="s">
        <v>3175</v>
      </c>
      <c r="FQ104" t="s">
        <v>3176</v>
      </c>
      <c r="FR104">
        <v>1</v>
      </c>
      <c r="FS104" t="s">
        <v>2610</v>
      </c>
      <c r="FT104" t="s">
        <v>3177</v>
      </c>
      <c r="FU104">
        <v>1</v>
      </c>
      <c r="FV104" t="s">
        <v>3178</v>
      </c>
      <c r="FW104" t="s">
        <v>3179</v>
      </c>
      <c r="FX104">
        <v>1</v>
      </c>
      <c r="FY104" t="s">
        <v>890</v>
      </c>
      <c r="FZ104" t="s">
        <v>3180</v>
      </c>
      <c r="GA104" t="s">
        <v>3172</v>
      </c>
      <c r="GB104">
        <v>1</v>
      </c>
      <c r="GC104" t="s">
        <v>3181</v>
      </c>
      <c r="GD104">
        <v>1</v>
      </c>
      <c r="GF104">
        <v>0</v>
      </c>
      <c r="GG104">
        <v>1</v>
      </c>
      <c r="GH104" t="s">
        <v>892</v>
      </c>
      <c r="GI104" t="s">
        <v>893</v>
      </c>
      <c r="GJ104" t="s">
        <v>3173</v>
      </c>
      <c r="GK104" t="s">
        <v>3182</v>
      </c>
      <c r="GM104">
        <v>1</v>
      </c>
      <c r="GN104">
        <v>0</v>
      </c>
      <c r="GO104">
        <v>0</v>
      </c>
      <c r="GP104">
        <v>1</v>
      </c>
      <c r="GQ104">
        <v>1</v>
      </c>
      <c r="GR104">
        <v>0</v>
      </c>
      <c r="GS104">
        <v>1</v>
      </c>
      <c r="GT104">
        <v>0</v>
      </c>
      <c r="GU104">
        <v>1</v>
      </c>
      <c r="GV104">
        <v>0</v>
      </c>
      <c r="GW104">
        <v>1</v>
      </c>
      <c r="GX104">
        <v>0</v>
      </c>
      <c r="GY104">
        <v>1</v>
      </c>
      <c r="GZ104">
        <v>0</v>
      </c>
      <c r="HA104" t="s">
        <v>255</v>
      </c>
      <c r="HB104" t="s">
        <v>894</v>
      </c>
      <c r="HC104" t="s">
        <v>895</v>
      </c>
      <c r="HD104" t="s">
        <v>845</v>
      </c>
      <c r="HE104" t="s">
        <v>836</v>
      </c>
      <c r="HF104" t="s">
        <v>873</v>
      </c>
      <c r="HG104" t="s">
        <v>894</v>
      </c>
      <c r="HH104" t="s">
        <v>895</v>
      </c>
      <c r="HI104" t="s">
        <v>845</v>
      </c>
      <c r="HJ104" t="s">
        <v>836</v>
      </c>
      <c r="HK104" t="s">
        <v>1436</v>
      </c>
      <c r="HL104" t="s">
        <v>183</v>
      </c>
      <c r="HM104" t="s">
        <v>854</v>
      </c>
      <c r="HN104">
        <v>36805</v>
      </c>
      <c r="HO104">
        <v>1</v>
      </c>
      <c r="HP104" t="s">
        <v>181</v>
      </c>
      <c r="HQ104" t="s">
        <v>896</v>
      </c>
      <c r="HR104" t="s">
        <v>896</v>
      </c>
      <c r="HS104" t="s">
        <v>896</v>
      </c>
    </row>
    <row r="105" spans="1:227" x14ac:dyDescent="0.2">
      <c r="A105">
        <v>8702</v>
      </c>
      <c r="B105">
        <v>7602402244</v>
      </c>
      <c r="C105" t="s">
        <v>829</v>
      </c>
      <c r="D105" t="s">
        <v>830</v>
      </c>
      <c r="E105" t="s">
        <v>897</v>
      </c>
      <c r="F105">
        <v>0</v>
      </c>
      <c r="G105" t="s">
        <v>3183</v>
      </c>
      <c r="H105" t="s">
        <v>3183</v>
      </c>
      <c r="I105">
        <v>0</v>
      </c>
      <c r="J105" t="s">
        <v>833</v>
      </c>
      <c r="K105" t="s">
        <v>834</v>
      </c>
      <c r="L105">
        <v>153195484</v>
      </c>
      <c r="M105" t="s">
        <v>1174</v>
      </c>
      <c r="N105" t="s">
        <v>900</v>
      </c>
      <c r="O105" t="s">
        <v>837</v>
      </c>
      <c r="P105" t="s">
        <v>838</v>
      </c>
      <c r="Q105" t="s">
        <v>1251</v>
      </c>
      <c r="R105" t="s">
        <v>3184</v>
      </c>
      <c r="S105" t="s">
        <v>3185</v>
      </c>
      <c r="T105">
        <v>41477122910</v>
      </c>
      <c r="V105" t="s">
        <v>133</v>
      </c>
      <c r="W105" s="41">
        <v>46046</v>
      </c>
      <c r="X105" t="s">
        <v>3186</v>
      </c>
      <c r="Y105" t="s">
        <v>3187</v>
      </c>
      <c r="Z105">
        <v>1</v>
      </c>
      <c r="AA105">
        <v>0</v>
      </c>
      <c r="AB105" t="s">
        <v>845</v>
      </c>
      <c r="AC105" t="s">
        <v>846</v>
      </c>
      <c r="AD105" t="s">
        <v>847</v>
      </c>
      <c r="AE105" t="s">
        <v>848</v>
      </c>
      <c r="AF105">
        <v>1</v>
      </c>
      <c r="AG105">
        <v>452210</v>
      </c>
      <c r="AH105" t="s">
        <v>849</v>
      </c>
      <c r="AI105" t="s">
        <v>850</v>
      </c>
      <c r="AJ105" t="s">
        <v>851</v>
      </c>
      <c r="AK105" t="s">
        <v>259</v>
      </c>
      <c r="AL105" t="s">
        <v>1547</v>
      </c>
      <c r="AM105" t="s">
        <v>1182</v>
      </c>
      <c r="AN105" t="s">
        <v>854</v>
      </c>
      <c r="AO105">
        <v>36805</v>
      </c>
      <c r="AP105">
        <v>526</v>
      </c>
      <c r="AQ105" t="s">
        <v>855</v>
      </c>
      <c r="AR105">
        <v>66303860</v>
      </c>
      <c r="AS105" t="s">
        <v>856</v>
      </c>
      <c r="AU105" t="s">
        <v>3188</v>
      </c>
      <c r="AV105" t="s">
        <v>3189</v>
      </c>
      <c r="AW105" t="s">
        <v>1261</v>
      </c>
      <c r="AX105" t="s">
        <v>1262</v>
      </c>
      <c r="AY105" t="s">
        <v>861</v>
      </c>
      <c r="AZ105" t="s">
        <v>259</v>
      </c>
      <c r="BA105" t="s">
        <v>260</v>
      </c>
      <c r="BB105">
        <v>0</v>
      </c>
      <c r="BC105">
        <v>0</v>
      </c>
      <c r="BD105">
        <v>0</v>
      </c>
      <c r="BE105" t="s">
        <v>1174</v>
      </c>
      <c r="BF105">
        <v>0</v>
      </c>
      <c r="BG105">
        <v>0</v>
      </c>
      <c r="BH105" t="s">
        <v>862</v>
      </c>
      <c r="BI105">
        <v>0</v>
      </c>
      <c r="BJ105" t="s">
        <v>862</v>
      </c>
      <c r="BK105">
        <v>1</v>
      </c>
      <c r="BL105">
        <v>0</v>
      </c>
      <c r="BM105">
        <v>0</v>
      </c>
      <c r="BN105" t="s">
        <v>596</v>
      </c>
      <c r="BO105">
        <v>153195484</v>
      </c>
      <c r="BP105" t="s">
        <v>3183</v>
      </c>
      <c r="BR105">
        <v>42791437</v>
      </c>
      <c r="BT105">
        <v>2</v>
      </c>
      <c r="BU105" t="s">
        <v>1367</v>
      </c>
      <c r="CE105">
        <v>1</v>
      </c>
      <c r="CI105">
        <v>11</v>
      </c>
      <c r="CJ105" t="s">
        <v>94</v>
      </c>
      <c r="CM105">
        <v>4010</v>
      </c>
      <c r="CO105">
        <v>7360</v>
      </c>
      <c r="CP105">
        <v>0.31669999999999998</v>
      </c>
      <c r="CQ105">
        <v>0.31669999999999998</v>
      </c>
      <c r="CR105">
        <v>0.51670000000000005</v>
      </c>
      <c r="CS105">
        <v>4</v>
      </c>
      <c r="CT105" t="s">
        <v>3189</v>
      </c>
      <c r="CU105" t="s">
        <v>3188</v>
      </c>
      <c r="CV105" t="s">
        <v>833</v>
      </c>
      <c r="CW105" t="s">
        <v>834</v>
      </c>
      <c r="CX105" t="s">
        <v>1174</v>
      </c>
      <c r="CY105">
        <v>0</v>
      </c>
      <c r="CZ105">
        <v>0</v>
      </c>
      <c r="DA105" t="s">
        <v>833</v>
      </c>
      <c r="DB105" t="s">
        <v>865</v>
      </c>
      <c r="DC105">
        <v>46260</v>
      </c>
      <c r="DD105">
        <v>0.66669999999999996</v>
      </c>
      <c r="DE105" t="s">
        <v>866</v>
      </c>
      <c r="DG105" t="s">
        <v>867</v>
      </c>
      <c r="DH105" t="s">
        <v>851</v>
      </c>
      <c r="DI105" t="s">
        <v>1189</v>
      </c>
      <c r="DK105" t="s">
        <v>918</v>
      </c>
      <c r="DL105" t="s">
        <v>869</v>
      </c>
      <c r="DM105">
        <v>0</v>
      </c>
      <c r="DN105">
        <v>0</v>
      </c>
      <c r="DO105">
        <v>3</v>
      </c>
      <c r="DP105" t="s">
        <v>919</v>
      </c>
      <c r="DQ105">
        <v>16</v>
      </c>
      <c r="DR105">
        <v>40</v>
      </c>
      <c r="DS105">
        <v>86</v>
      </c>
      <c r="DT105">
        <v>0.35</v>
      </c>
      <c r="DU105">
        <v>4</v>
      </c>
      <c r="DV105">
        <v>1</v>
      </c>
      <c r="DW105">
        <v>2</v>
      </c>
      <c r="DX105" t="s">
        <v>594</v>
      </c>
      <c r="DY105" t="s">
        <v>1174</v>
      </c>
      <c r="DZ105">
        <v>0</v>
      </c>
      <c r="EA105">
        <v>0</v>
      </c>
      <c r="EB105">
        <v>0</v>
      </c>
      <c r="EC105">
        <v>0</v>
      </c>
      <c r="ED105">
        <v>0</v>
      </c>
      <c r="EE105">
        <v>0</v>
      </c>
      <c r="EF105" t="s">
        <v>871</v>
      </c>
      <c r="EG105" t="s">
        <v>595</v>
      </c>
      <c r="EH105" t="s">
        <v>872</v>
      </c>
      <c r="EI105" t="s">
        <v>872</v>
      </c>
      <c r="EJ105" t="s">
        <v>134</v>
      </c>
      <c r="EK105">
        <v>9090</v>
      </c>
      <c r="EL105">
        <v>0</v>
      </c>
      <c r="EM105" t="s">
        <v>1011</v>
      </c>
      <c r="EN105">
        <v>0.51670000000000005</v>
      </c>
      <c r="EO105">
        <v>1.4333332999999999</v>
      </c>
      <c r="EP105">
        <v>99991120</v>
      </c>
      <c r="EQ105" t="s">
        <v>874</v>
      </c>
      <c r="ER105" t="s">
        <v>875</v>
      </c>
      <c r="ES105" t="s">
        <v>876</v>
      </c>
      <c r="ET105" t="s">
        <v>877</v>
      </c>
      <c r="EU105" t="s">
        <v>877</v>
      </c>
      <c r="EV105" t="s">
        <v>871</v>
      </c>
      <c r="EX105" t="s">
        <v>953</v>
      </c>
      <c r="EY105" t="s">
        <v>1555</v>
      </c>
      <c r="EZ105" t="s">
        <v>1013</v>
      </c>
      <c r="FA105" t="s">
        <v>925</v>
      </c>
      <c r="FB105">
        <v>1</v>
      </c>
      <c r="FC105">
        <v>1</v>
      </c>
      <c r="FD105" s="41">
        <v>46046</v>
      </c>
      <c r="FE105" t="s">
        <v>1370</v>
      </c>
      <c r="FF105">
        <v>7</v>
      </c>
      <c r="FG105" t="s">
        <v>3190</v>
      </c>
      <c r="FH105" t="s">
        <v>3191</v>
      </c>
      <c r="FI105">
        <v>1</v>
      </c>
      <c r="FJ105" t="s">
        <v>3192</v>
      </c>
      <c r="FK105" t="s">
        <v>3191</v>
      </c>
      <c r="FL105">
        <v>1</v>
      </c>
      <c r="FM105" t="s">
        <v>3193</v>
      </c>
      <c r="FN105" t="s">
        <v>3194</v>
      </c>
      <c r="FO105">
        <v>1</v>
      </c>
      <c r="FP105" t="s">
        <v>3195</v>
      </c>
      <c r="FQ105" t="s">
        <v>3188</v>
      </c>
      <c r="FR105">
        <v>1</v>
      </c>
      <c r="FS105" t="s">
        <v>1563</v>
      </c>
      <c r="FT105" t="s">
        <v>3196</v>
      </c>
      <c r="FU105">
        <v>1</v>
      </c>
      <c r="FV105" t="s">
        <v>3197</v>
      </c>
      <c r="FW105" t="s">
        <v>3198</v>
      </c>
      <c r="FX105">
        <v>1</v>
      </c>
      <c r="FY105" t="s">
        <v>890</v>
      </c>
      <c r="FZ105" t="s">
        <v>3199</v>
      </c>
      <c r="GA105" t="s">
        <v>3192</v>
      </c>
      <c r="GB105">
        <v>1</v>
      </c>
      <c r="GD105">
        <v>0</v>
      </c>
      <c r="GF105">
        <v>0</v>
      </c>
      <c r="GG105">
        <v>1</v>
      </c>
      <c r="GH105" t="s">
        <v>892</v>
      </c>
      <c r="GI105" t="s">
        <v>893</v>
      </c>
      <c r="GJ105" t="s">
        <v>3191</v>
      </c>
      <c r="GM105">
        <v>1</v>
      </c>
      <c r="GN105">
        <v>1</v>
      </c>
      <c r="GO105">
        <v>0</v>
      </c>
      <c r="GP105">
        <v>1</v>
      </c>
      <c r="GQ105">
        <v>1</v>
      </c>
      <c r="GR105">
        <v>0</v>
      </c>
      <c r="GS105">
        <v>1</v>
      </c>
      <c r="GT105">
        <v>0</v>
      </c>
      <c r="GU105">
        <v>1</v>
      </c>
      <c r="GV105">
        <v>0</v>
      </c>
      <c r="GW105">
        <v>1</v>
      </c>
      <c r="GX105">
        <v>0</v>
      </c>
      <c r="GY105">
        <v>1</v>
      </c>
      <c r="GZ105">
        <v>0</v>
      </c>
      <c r="HA105" t="s">
        <v>259</v>
      </c>
      <c r="HB105" t="s">
        <v>894</v>
      </c>
      <c r="HC105" t="s">
        <v>935</v>
      </c>
      <c r="HD105" t="s">
        <v>845</v>
      </c>
      <c r="HE105" t="s">
        <v>900</v>
      </c>
      <c r="HF105" t="s">
        <v>1012</v>
      </c>
      <c r="HG105" t="s">
        <v>894</v>
      </c>
      <c r="HH105" t="s">
        <v>935</v>
      </c>
      <c r="HI105" t="s">
        <v>845</v>
      </c>
      <c r="HJ105" t="s">
        <v>900</v>
      </c>
      <c r="HK105" t="s">
        <v>1011</v>
      </c>
      <c r="HL105" t="s">
        <v>133</v>
      </c>
      <c r="HM105" t="s">
        <v>854</v>
      </c>
      <c r="HN105">
        <v>36805</v>
      </c>
      <c r="HP105" t="s">
        <v>134</v>
      </c>
      <c r="HQ105" t="s">
        <v>896</v>
      </c>
      <c r="HR105" t="s">
        <v>896</v>
      </c>
      <c r="HS105" t="s">
        <v>896</v>
      </c>
    </row>
    <row r="106" spans="1:227" x14ac:dyDescent="0.2">
      <c r="A106">
        <v>8702</v>
      </c>
      <c r="B106">
        <v>7607114857</v>
      </c>
      <c r="C106">
        <v>34</v>
      </c>
      <c r="D106" t="s">
        <v>996</v>
      </c>
      <c r="E106" t="s">
        <v>897</v>
      </c>
      <c r="F106">
        <v>0</v>
      </c>
      <c r="G106" t="s">
        <v>3200</v>
      </c>
      <c r="H106" t="s">
        <v>3200</v>
      </c>
      <c r="I106">
        <v>0</v>
      </c>
      <c r="J106" t="s">
        <v>833</v>
      </c>
      <c r="K106" t="s">
        <v>834</v>
      </c>
      <c r="L106">
        <v>152832692</v>
      </c>
      <c r="M106" t="s">
        <v>2097</v>
      </c>
      <c r="N106" t="s">
        <v>900</v>
      </c>
      <c r="O106" t="s">
        <v>837</v>
      </c>
      <c r="P106" t="s">
        <v>999</v>
      </c>
      <c r="Q106" t="s">
        <v>1027</v>
      </c>
      <c r="R106" t="s">
        <v>3201</v>
      </c>
      <c r="S106" t="s">
        <v>3202</v>
      </c>
      <c r="T106">
        <v>41477130640</v>
      </c>
      <c r="V106" t="s">
        <v>239</v>
      </c>
      <c r="W106" s="41">
        <v>46093</v>
      </c>
      <c r="X106" t="s">
        <v>3203</v>
      </c>
      <c r="Y106" t="s">
        <v>3204</v>
      </c>
      <c r="AA106">
        <v>0</v>
      </c>
      <c r="AB106" t="s">
        <v>845</v>
      </c>
      <c r="AC106" t="s">
        <v>846</v>
      </c>
      <c r="AD106" t="s">
        <v>1113</v>
      </c>
      <c r="AE106" t="s">
        <v>1114</v>
      </c>
      <c r="AF106">
        <v>1</v>
      </c>
      <c r="AG106">
        <v>452210</v>
      </c>
      <c r="AH106" t="s">
        <v>849</v>
      </c>
      <c r="AI106" t="s">
        <v>850</v>
      </c>
      <c r="AJ106" t="s">
        <v>851</v>
      </c>
      <c r="AK106" t="s">
        <v>265</v>
      </c>
      <c r="AL106" t="s">
        <v>1644</v>
      </c>
      <c r="AM106" t="s">
        <v>1645</v>
      </c>
      <c r="AN106" t="s">
        <v>854</v>
      </c>
      <c r="AO106">
        <v>36805</v>
      </c>
      <c r="AP106">
        <v>928</v>
      </c>
      <c r="AQ106" t="s">
        <v>855</v>
      </c>
      <c r="AR106">
        <v>66371724</v>
      </c>
      <c r="AS106" t="s">
        <v>856</v>
      </c>
      <c r="AU106" t="s">
        <v>3205</v>
      </c>
      <c r="AV106" t="s">
        <v>3206</v>
      </c>
      <c r="AX106" t="s">
        <v>913</v>
      </c>
      <c r="AY106" t="s">
        <v>861</v>
      </c>
      <c r="AZ106" t="s">
        <v>265</v>
      </c>
      <c r="BA106" t="s">
        <v>266</v>
      </c>
      <c r="BB106">
        <v>0</v>
      </c>
      <c r="BC106">
        <v>0</v>
      </c>
      <c r="BD106">
        <v>0</v>
      </c>
      <c r="BE106" t="s">
        <v>2097</v>
      </c>
      <c r="BF106">
        <v>0</v>
      </c>
      <c r="BG106">
        <v>0</v>
      </c>
      <c r="BH106" t="s">
        <v>862</v>
      </c>
      <c r="BI106">
        <v>0</v>
      </c>
      <c r="BJ106" t="s">
        <v>862</v>
      </c>
      <c r="BK106">
        <v>1</v>
      </c>
      <c r="BL106">
        <v>1</v>
      </c>
      <c r="BM106">
        <v>0</v>
      </c>
      <c r="BN106" t="s">
        <v>596</v>
      </c>
      <c r="BO106">
        <v>152832692</v>
      </c>
      <c r="BP106" t="s">
        <v>3200</v>
      </c>
      <c r="BR106">
        <v>42793653</v>
      </c>
      <c r="BT106">
        <v>2</v>
      </c>
      <c r="BU106" t="s">
        <v>1715</v>
      </c>
      <c r="BY106">
        <v>16</v>
      </c>
      <c r="CA106">
        <v>3</v>
      </c>
      <c r="CE106">
        <v>1</v>
      </c>
      <c r="CI106">
        <v>11</v>
      </c>
      <c r="CJ106" t="s">
        <v>94</v>
      </c>
      <c r="CM106">
        <v>4010</v>
      </c>
      <c r="CO106">
        <v>7360</v>
      </c>
      <c r="CP106">
        <v>0.6</v>
      </c>
      <c r="CQ106">
        <v>0.6</v>
      </c>
      <c r="CR106">
        <v>0.9</v>
      </c>
      <c r="CS106">
        <v>9</v>
      </c>
      <c r="CT106" t="s">
        <v>3207</v>
      </c>
      <c r="CU106" t="s">
        <v>3208</v>
      </c>
      <c r="CV106" t="s">
        <v>833</v>
      </c>
      <c r="CW106" t="s">
        <v>834</v>
      </c>
      <c r="CX106" t="s">
        <v>2097</v>
      </c>
      <c r="CY106">
        <v>0</v>
      </c>
      <c r="CZ106">
        <v>0</v>
      </c>
      <c r="DA106" t="s">
        <v>833</v>
      </c>
      <c r="DB106" t="s">
        <v>865</v>
      </c>
      <c r="DC106">
        <v>44145</v>
      </c>
      <c r="DD106">
        <v>2.8833000000000002</v>
      </c>
      <c r="DE106" t="s">
        <v>866</v>
      </c>
      <c r="DG106" t="s">
        <v>867</v>
      </c>
      <c r="DH106" t="s">
        <v>851</v>
      </c>
      <c r="DI106" t="s">
        <v>2105</v>
      </c>
      <c r="DK106" t="s">
        <v>918</v>
      </c>
      <c r="DL106" t="s">
        <v>869</v>
      </c>
      <c r="DM106">
        <v>0</v>
      </c>
      <c r="DN106">
        <v>0</v>
      </c>
      <c r="DO106">
        <v>2</v>
      </c>
      <c r="DP106" t="s">
        <v>870</v>
      </c>
      <c r="DQ106">
        <v>0</v>
      </c>
      <c r="DR106">
        <v>173</v>
      </c>
      <c r="DS106">
        <v>173</v>
      </c>
      <c r="DT106">
        <v>2.2833000000000001</v>
      </c>
      <c r="DU106">
        <v>0</v>
      </c>
      <c r="DV106">
        <v>1</v>
      </c>
      <c r="DW106">
        <v>2</v>
      </c>
      <c r="DX106" t="s">
        <v>596</v>
      </c>
      <c r="DY106" t="s">
        <v>2097</v>
      </c>
      <c r="DZ106">
        <v>1</v>
      </c>
      <c r="EA106">
        <v>1</v>
      </c>
      <c r="EB106">
        <v>1</v>
      </c>
      <c r="EC106">
        <v>1</v>
      </c>
      <c r="ED106">
        <v>1</v>
      </c>
      <c r="EE106">
        <v>1</v>
      </c>
      <c r="EF106" t="s">
        <v>871</v>
      </c>
      <c r="EG106" t="s">
        <v>595</v>
      </c>
      <c r="EH106" t="s">
        <v>921</v>
      </c>
      <c r="EI106" t="s">
        <v>921</v>
      </c>
      <c r="EJ106" t="s">
        <v>226</v>
      </c>
      <c r="EK106">
        <v>9090</v>
      </c>
      <c r="EL106">
        <v>0</v>
      </c>
      <c r="EM106" t="s">
        <v>1157</v>
      </c>
      <c r="EN106">
        <v>0.9</v>
      </c>
      <c r="EO106">
        <v>2.8833332999999999</v>
      </c>
      <c r="EP106">
        <v>99991120</v>
      </c>
      <c r="EQ106" t="s">
        <v>874</v>
      </c>
      <c r="ER106" t="s">
        <v>875</v>
      </c>
      <c r="ES106" t="s">
        <v>876</v>
      </c>
      <c r="ET106" t="s">
        <v>877</v>
      </c>
      <c r="EU106" t="s">
        <v>877</v>
      </c>
      <c r="EV106" t="s">
        <v>871</v>
      </c>
      <c r="EX106" t="s">
        <v>953</v>
      </c>
      <c r="EY106" t="s">
        <v>986</v>
      </c>
      <c r="EZ106" t="s">
        <v>1236</v>
      </c>
      <c r="FA106" t="s">
        <v>956</v>
      </c>
      <c r="FB106">
        <v>1</v>
      </c>
      <c r="FC106">
        <v>1</v>
      </c>
      <c r="FD106" s="41">
        <v>46095</v>
      </c>
      <c r="FE106" t="s">
        <v>1719</v>
      </c>
      <c r="FF106">
        <v>8</v>
      </c>
      <c r="FG106" t="s">
        <v>1649</v>
      </c>
      <c r="FH106" t="s">
        <v>3209</v>
      </c>
      <c r="FI106">
        <v>1</v>
      </c>
      <c r="FJ106" t="s">
        <v>3210</v>
      </c>
      <c r="FK106" t="s">
        <v>3211</v>
      </c>
      <c r="FL106">
        <v>1</v>
      </c>
      <c r="FM106" t="s">
        <v>2109</v>
      </c>
      <c r="FN106" t="s">
        <v>3212</v>
      </c>
      <c r="FO106">
        <v>1</v>
      </c>
      <c r="FP106" t="s">
        <v>3213</v>
      </c>
      <c r="FQ106" t="s">
        <v>3208</v>
      </c>
      <c r="FR106">
        <v>1</v>
      </c>
      <c r="FS106" t="s">
        <v>1656</v>
      </c>
      <c r="FT106" t="s">
        <v>3214</v>
      </c>
      <c r="FU106">
        <v>1</v>
      </c>
      <c r="FV106" t="s">
        <v>1658</v>
      </c>
      <c r="FW106" t="s">
        <v>3215</v>
      </c>
      <c r="FX106">
        <v>1</v>
      </c>
      <c r="FY106" t="s">
        <v>890</v>
      </c>
      <c r="FZ106" t="s">
        <v>3216</v>
      </c>
      <c r="GA106" t="s">
        <v>3210</v>
      </c>
      <c r="GB106">
        <v>1</v>
      </c>
      <c r="GD106">
        <v>0</v>
      </c>
      <c r="GF106">
        <v>0</v>
      </c>
      <c r="GG106">
        <v>1</v>
      </c>
      <c r="GH106" t="s">
        <v>892</v>
      </c>
      <c r="GI106" t="s">
        <v>893</v>
      </c>
      <c r="GJ106" t="s">
        <v>3211</v>
      </c>
      <c r="GM106">
        <v>1</v>
      </c>
      <c r="GN106">
        <v>0</v>
      </c>
      <c r="GO106">
        <v>1</v>
      </c>
      <c r="GP106">
        <v>1</v>
      </c>
      <c r="GQ106">
        <v>1</v>
      </c>
      <c r="GR106">
        <v>0</v>
      </c>
      <c r="GS106">
        <v>1</v>
      </c>
      <c r="GT106">
        <v>1</v>
      </c>
      <c r="GU106">
        <v>1</v>
      </c>
      <c r="GV106">
        <v>0</v>
      </c>
      <c r="GW106">
        <v>1</v>
      </c>
      <c r="GX106">
        <v>1</v>
      </c>
      <c r="GY106">
        <v>1</v>
      </c>
      <c r="GZ106">
        <v>0</v>
      </c>
      <c r="HA106" t="s">
        <v>265</v>
      </c>
      <c r="HB106" t="s">
        <v>894</v>
      </c>
      <c r="HC106" t="s">
        <v>935</v>
      </c>
      <c r="HD106" t="s">
        <v>845</v>
      </c>
      <c r="HE106" t="s">
        <v>900</v>
      </c>
      <c r="HF106" t="s">
        <v>923</v>
      </c>
      <c r="HG106" t="s">
        <v>894</v>
      </c>
      <c r="HH106" t="s">
        <v>935</v>
      </c>
      <c r="HI106" t="s">
        <v>845</v>
      </c>
      <c r="HJ106" t="s">
        <v>900</v>
      </c>
      <c r="HK106" t="s">
        <v>922</v>
      </c>
      <c r="HL106" t="s">
        <v>239</v>
      </c>
      <c r="HM106" t="s">
        <v>854</v>
      </c>
      <c r="HN106">
        <v>36805</v>
      </c>
      <c r="HP106" t="s">
        <v>226</v>
      </c>
      <c r="HQ106" t="s">
        <v>896</v>
      </c>
      <c r="HR106" t="s">
        <v>896</v>
      </c>
      <c r="HS106" t="s">
        <v>896</v>
      </c>
    </row>
    <row r="107" spans="1:227" x14ac:dyDescent="0.2">
      <c r="A107">
        <v>8702</v>
      </c>
      <c r="B107">
        <v>7536000247</v>
      </c>
      <c r="C107" t="s">
        <v>936</v>
      </c>
      <c r="D107" t="s">
        <v>937</v>
      </c>
      <c r="E107" t="s">
        <v>831</v>
      </c>
      <c r="F107">
        <v>0</v>
      </c>
      <c r="G107" t="s">
        <v>3217</v>
      </c>
      <c r="H107" t="s">
        <v>3217</v>
      </c>
      <c r="I107">
        <v>0</v>
      </c>
      <c r="J107" t="s">
        <v>833</v>
      </c>
      <c r="K107" t="s">
        <v>834</v>
      </c>
      <c r="L107">
        <v>156046211</v>
      </c>
      <c r="M107" t="s">
        <v>3218</v>
      </c>
      <c r="N107" t="s">
        <v>836</v>
      </c>
      <c r="O107" t="s">
        <v>837</v>
      </c>
      <c r="P107" t="s">
        <v>940</v>
      </c>
      <c r="Q107" t="s">
        <v>1473</v>
      </c>
      <c r="R107" t="s">
        <v>3219</v>
      </c>
      <c r="S107" t="s">
        <v>3220</v>
      </c>
      <c r="T107">
        <v>41477087304</v>
      </c>
      <c r="V107" t="s">
        <v>187</v>
      </c>
      <c r="W107" s="41">
        <v>46017</v>
      </c>
      <c r="X107" t="s">
        <v>3221</v>
      </c>
      <c r="Y107" t="s">
        <v>3222</v>
      </c>
      <c r="Z107" t="s">
        <v>1144</v>
      </c>
      <c r="AA107">
        <v>0</v>
      </c>
      <c r="AB107" t="s">
        <v>845</v>
      </c>
      <c r="AC107" t="s">
        <v>846</v>
      </c>
      <c r="AD107" t="s">
        <v>847</v>
      </c>
      <c r="AE107" t="s">
        <v>848</v>
      </c>
      <c r="AF107">
        <v>1</v>
      </c>
      <c r="AG107">
        <v>452210</v>
      </c>
      <c r="AH107" t="s">
        <v>849</v>
      </c>
      <c r="AI107" t="s">
        <v>850</v>
      </c>
      <c r="AJ107" t="s">
        <v>851</v>
      </c>
      <c r="AK107" t="s">
        <v>352</v>
      </c>
      <c r="AL107" t="s">
        <v>3223</v>
      </c>
      <c r="AM107" t="s">
        <v>2553</v>
      </c>
      <c r="AN107" t="s">
        <v>854</v>
      </c>
      <c r="AO107">
        <v>36805</v>
      </c>
      <c r="AP107">
        <v>634</v>
      </c>
      <c r="AQ107" t="s">
        <v>855</v>
      </c>
      <c r="AR107">
        <v>66262546</v>
      </c>
      <c r="AS107" t="s">
        <v>856</v>
      </c>
      <c r="AU107" t="s">
        <v>3224</v>
      </c>
      <c r="AV107" t="s">
        <v>3225</v>
      </c>
      <c r="AW107" t="s">
        <v>1185</v>
      </c>
      <c r="AX107" t="s">
        <v>1186</v>
      </c>
      <c r="AY107" t="s">
        <v>861</v>
      </c>
      <c r="AZ107" t="s">
        <v>352</v>
      </c>
      <c r="BA107" t="s">
        <v>353</v>
      </c>
      <c r="BB107">
        <v>0</v>
      </c>
      <c r="BC107">
        <v>0</v>
      </c>
      <c r="BD107">
        <v>1</v>
      </c>
      <c r="BE107" t="s">
        <v>3218</v>
      </c>
      <c r="BF107">
        <v>0</v>
      </c>
      <c r="BG107">
        <v>0</v>
      </c>
      <c r="BH107" t="s">
        <v>862</v>
      </c>
      <c r="BI107">
        <v>0</v>
      </c>
      <c r="BJ107" t="s">
        <v>862</v>
      </c>
      <c r="BK107">
        <v>1</v>
      </c>
      <c r="BL107">
        <v>0</v>
      </c>
      <c r="BM107">
        <v>0</v>
      </c>
      <c r="BN107" t="s">
        <v>596</v>
      </c>
      <c r="BO107">
        <v>156046211</v>
      </c>
      <c r="BP107" t="s">
        <v>3217</v>
      </c>
      <c r="BR107">
        <v>42791756</v>
      </c>
      <c r="BT107">
        <v>1</v>
      </c>
      <c r="BU107" t="s">
        <v>3226</v>
      </c>
      <c r="CI107">
        <v>11</v>
      </c>
      <c r="CJ107" t="s">
        <v>94</v>
      </c>
      <c r="CM107">
        <v>4010</v>
      </c>
      <c r="CO107">
        <v>7360</v>
      </c>
      <c r="CP107">
        <v>0.55000000000000004</v>
      </c>
      <c r="CQ107">
        <v>0.55000000000000004</v>
      </c>
      <c r="CR107">
        <v>0.9</v>
      </c>
      <c r="CS107">
        <v>3</v>
      </c>
      <c r="CT107" t="s">
        <v>3225</v>
      </c>
      <c r="CU107" t="s">
        <v>3224</v>
      </c>
      <c r="CV107" t="s">
        <v>833</v>
      </c>
      <c r="CW107" t="s">
        <v>834</v>
      </c>
      <c r="CX107" t="s">
        <v>3218</v>
      </c>
      <c r="CY107">
        <v>1</v>
      </c>
      <c r="CZ107">
        <v>1</v>
      </c>
      <c r="DA107" t="s">
        <v>833</v>
      </c>
      <c r="DB107" t="s">
        <v>865</v>
      </c>
      <c r="DC107">
        <v>60435</v>
      </c>
      <c r="DD107">
        <v>1.75</v>
      </c>
      <c r="DE107" t="s">
        <v>866</v>
      </c>
      <c r="DG107" t="s">
        <v>867</v>
      </c>
      <c r="DH107" t="s">
        <v>851</v>
      </c>
      <c r="DI107" t="s">
        <v>984</v>
      </c>
      <c r="DK107" t="s">
        <v>918</v>
      </c>
      <c r="DL107" t="s">
        <v>869</v>
      </c>
      <c r="DM107">
        <v>0</v>
      </c>
      <c r="DN107">
        <v>0</v>
      </c>
      <c r="DO107">
        <v>11</v>
      </c>
      <c r="DP107" t="s">
        <v>1010</v>
      </c>
      <c r="DQ107">
        <v>16</v>
      </c>
      <c r="DR107">
        <v>105</v>
      </c>
      <c r="DS107">
        <v>105</v>
      </c>
      <c r="DT107">
        <v>1.2</v>
      </c>
      <c r="DU107">
        <v>4</v>
      </c>
      <c r="DV107">
        <v>1</v>
      </c>
      <c r="DW107">
        <v>2</v>
      </c>
      <c r="DX107" t="s">
        <v>594</v>
      </c>
      <c r="DY107" t="s">
        <v>3218</v>
      </c>
      <c r="DZ107">
        <v>0</v>
      </c>
      <c r="EA107">
        <v>0</v>
      </c>
      <c r="EB107">
        <v>0</v>
      </c>
      <c r="EC107">
        <v>0</v>
      </c>
      <c r="ED107">
        <v>0</v>
      </c>
      <c r="EE107">
        <v>0</v>
      </c>
      <c r="EF107" t="s">
        <v>920</v>
      </c>
      <c r="EG107" t="s">
        <v>595</v>
      </c>
      <c r="EH107" t="s">
        <v>872</v>
      </c>
      <c r="EI107" t="s">
        <v>872</v>
      </c>
      <c r="EJ107" t="s">
        <v>181</v>
      </c>
      <c r="EK107">
        <v>9090</v>
      </c>
      <c r="EL107">
        <v>0</v>
      </c>
      <c r="EM107" t="s">
        <v>1436</v>
      </c>
      <c r="EN107">
        <v>0.9</v>
      </c>
      <c r="EO107">
        <v>1.75</v>
      </c>
      <c r="EP107">
        <v>99991120</v>
      </c>
      <c r="EQ107" t="s">
        <v>874</v>
      </c>
      <c r="ER107" t="s">
        <v>875</v>
      </c>
      <c r="ES107" t="s">
        <v>876</v>
      </c>
      <c r="ET107" t="s">
        <v>877</v>
      </c>
      <c r="EU107" t="s">
        <v>877</v>
      </c>
      <c r="EV107" t="s">
        <v>920</v>
      </c>
      <c r="EX107" t="s">
        <v>836</v>
      </c>
      <c r="EY107" t="s">
        <v>873</v>
      </c>
      <c r="EZ107" t="s">
        <v>1437</v>
      </c>
      <c r="FA107" t="s">
        <v>956</v>
      </c>
      <c r="FB107">
        <v>1</v>
      </c>
      <c r="FC107">
        <v>1</v>
      </c>
      <c r="FD107" s="41">
        <v>46018</v>
      </c>
      <c r="FE107" t="s">
        <v>957</v>
      </c>
      <c r="FF107">
        <v>8</v>
      </c>
      <c r="FG107" t="s">
        <v>3227</v>
      </c>
      <c r="FH107" t="s">
        <v>3228</v>
      </c>
      <c r="FI107">
        <v>1</v>
      </c>
      <c r="FJ107" t="s">
        <v>3229</v>
      </c>
      <c r="FK107" t="s">
        <v>3228</v>
      </c>
      <c r="FL107">
        <v>1</v>
      </c>
      <c r="FM107" t="s">
        <v>3230</v>
      </c>
      <c r="FN107" t="s">
        <v>3231</v>
      </c>
      <c r="FO107">
        <v>1</v>
      </c>
      <c r="FP107" t="s">
        <v>3232</v>
      </c>
      <c r="FQ107" t="s">
        <v>3233</v>
      </c>
      <c r="FR107">
        <v>1</v>
      </c>
      <c r="FS107" t="s">
        <v>2129</v>
      </c>
      <c r="FT107" t="s">
        <v>3234</v>
      </c>
      <c r="FU107">
        <v>1</v>
      </c>
      <c r="FV107" t="s">
        <v>3235</v>
      </c>
      <c r="FW107" t="s">
        <v>3236</v>
      </c>
      <c r="FX107">
        <v>1</v>
      </c>
      <c r="FY107" t="s">
        <v>890</v>
      </c>
      <c r="FZ107" t="s">
        <v>3237</v>
      </c>
      <c r="GA107" t="s">
        <v>3229</v>
      </c>
      <c r="GB107">
        <v>1</v>
      </c>
      <c r="GD107">
        <v>0</v>
      </c>
      <c r="GF107">
        <v>0</v>
      </c>
      <c r="GG107">
        <v>1</v>
      </c>
      <c r="GH107" t="s">
        <v>892</v>
      </c>
      <c r="GI107" t="s">
        <v>893</v>
      </c>
      <c r="GJ107" t="s">
        <v>3228</v>
      </c>
      <c r="GM107">
        <v>1</v>
      </c>
      <c r="GN107">
        <v>1</v>
      </c>
      <c r="GO107">
        <v>0</v>
      </c>
      <c r="GP107">
        <v>1</v>
      </c>
      <c r="GQ107">
        <v>1</v>
      </c>
      <c r="GR107">
        <v>0</v>
      </c>
      <c r="GS107">
        <v>1</v>
      </c>
      <c r="GT107">
        <v>0</v>
      </c>
      <c r="GU107">
        <v>1</v>
      </c>
      <c r="GV107">
        <v>0</v>
      </c>
      <c r="GW107">
        <v>1</v>
      </c>
      <c r="GX107">
        <v>0</v>
      </c>
      <c r="GY107">
        <v>1</v>
      </c>
      <c r="GZ107">
        <v>0</v>
      </c>
      <c r="HA107" t="s">
        <v>352</v>
      </c>
      <c r="HB107" t="s">
        <v>894</v>
      </c>
      <c r="HC107" t="s">
        <v>895</v>
      </c>
      <c r="HD107" t="s">
        <v>845</v>
      </c>
      <c r="HE107" t="s">
        <v>836</v>
      </c>
      <c r="HF107" t="s">
        <v>873</v>
      </c>
      <c r="HG107" t="s">
        <v>894</v>
      </c>
      <c r="HH107" t="s">
        <v>895</v>
      </c>
      <c r="HI107" t="s">
        <v>845</v>
      </c>
      <c r="HJ107" t="s">
        <v>836</v>
      </c>
      <c r="HK107" t="s">
        <v>1436</v>
      </c>
      <c r="HL107" t="s">
        <v>187</v>
      </c>
      <c r="HM107" t="s">
        <v>854</v>
      </c>
      <c r="HN107">
        <v>36805</v>
      </c>
      <c r="HO107">
        <v>1</v>
      </c>
      <c r="HP107" t="s">
        <v>181</v>
      </c>
      <c r="HQ107" t="s">
        <v>896</v>
      </c>
      <c r="HR107" t="s">
        <v>896</v>
      </c>
      <c r="HS107" t="s">
        <v>896</v>
      </c>
    </row>
    <row r="108" spans="1:227" x14ac:dyDescent="0.2">
      <c r="A108">
        <v>8702</v>
      </c>
      <c r="B108">
        <v>7612805472</v>
      </c>
      <c r="C108">
        <v>34</v>
      </c>
      <c r="D108" t="s">
        <v>996</v>
      </c>
      <c r="E108" t="s">
        <v>897</v>
      </c>
      <c r="F108">
        <v>0</v>
      </c>
      <c r="G108" t="s">
        <v>3238</v>
      </c>
      <c r="H108" t="s">
        <v>3238</v>
      </c>
      <c r="I108">
        <v>0</v>
      </c>
      <c r="J108" t="s">
        <v>833</v>
      </c>
      <c r="K108" t="s">
        <v>834</v>
      </c>
      <c r="L108">
        <v>152946711</v>
      </c>
      <c r="M108" t="s">
        <v>3239</v>
      </c>
      <c r="N108" t="s">
        <v>900</v>
      </c>
      <c r="O108" t="s">
        <v>837</v>
      </c>
      <c r="P108" t="s">
        <v>999</v>
      </c>
      <c r="Q108" t="s">
        <v>1027</v>
      </c>
      <c r="R108" t="s">
        <v>3240</v>
      </c>
      <c r="S108" t="s">
        <v>3241</v>
      </c>
      <c r="T108">
        <v>30300136758</v>
      </c>
      <c r="V108" t="s">
        <v>200</v>
      </c>
      <c r="W108" s="41">
        <v>46151</v>
      </c>
      <c r="X108" t="s">
        <v>3242</v>
      </c>
      <c r="Y108" t="s">
        <v>3243</v>
      </c>
      <c r="AA108">
        <v>0</v>
      </c>
      <c r="AB108" t="s">
        <v>845</v>
      </c>
      <c r="AC108" t="s">
        <v>846</v>
      </c>
      <c r="AD108" t="s">
        <v>1113</v>
      </c>
      <c r="AE108" t="s">
        <v>1114</v>
      </c>
      <c r="AF108">
        <v>1</v>
      </c>
      <c r="AG108">
        <v>452210</v>
      </c>
      <c r="AH108" t="s">
        <v>849</v>
      </c>
      <c r="AI108" t="s">
        <v>850</v>
      </c>
      <c r="AJ108" t="s">
        <v>851</v>
      </c>
      <c r="AK108" t="s">
        <v>267</v>
      </c>
      <c r="AL108" t="s">
        <v>3244</v>
      </c>
      <c r="AM108" t="s">
        <v>3245</v>
      </c>
      <c r="AN108" t="s">
        <v>854</v>
      </c>
      <c r="AO108">
        <v>36805</v>
      </c>
      <c r="AP108">
        <v>642</v>
      </c>
      <c r="AQ108" t="s">
        <v>855</v>
      </c>
      <c r="AR108">
        <v>66455059</v>
      </c>
      <c r="AS108" t="s">
        <v>856</v>
      </c>
      <c r="AU108" t="s">
        <v>3246</v>
      </c>
      <c r="AV108" t="s">
        <v>3247</v>
      </c>
      <c r="AX108" t="s">
        <v>913</v>
      </c>
      <c r="AY108" t="s">
        <v>861</v>
      </c>
      <c r="AZ108" t="s">
        <v>267</v>
      </c>
      <c r="BA108" t="s">
        <v>268</v>
      </c>
      <c r="BB108">
        <v>0</v>
      </c>
      <c r="BC108">
        <v>0</v>
      </c>
      <c r="BD108">
        <v>1</v>
      </c>
      <c r="BE108" t="s">
        <v>3239</v>
      </c>
      <c r="BF108">
        <v>0</v>
      </c>
      <c r="BG108">
        <v>0</v>
      </c>
      <c r="BH108" t="s">
        <v>862</v>
      </c>
      <c r="BI108">
        <v>0</v>
      </c>
      <c r="BJ108" t="s">
        <v>862</v>
      </c>
      <c r="BK108">
        <v>1</v>
      </c>
      <c r="BL108">
        <v>1</v>
      </c>
      <c r="BM108">
        <v>0</v>
      </c>
      <c r="BN108" t="s">
        <v>596</v>
      </c>
      <c r="BO108">
        <v>152946711</v>
      </c>
      <c r="BP108" t="s">
        <v>3238</v>
      </c>
      <c r="BR108">
        <v>42791773</v>
      </c>
      <c r="BT108">
        <v>2</v>
      </c>
      <c r="BU108" t="s">
        <v>1803</v>
      </c>
      <c r="BY108">
        <v>12</v>
      </c>
      <c r="CA108">
        <v>2</v>
      </c>
      <c r="CE108">
        <v>1</v>
      </c>
      <c r="CI108">
        <v>11</v>
      </c>
      <c r="CJ108" t="s">
        <v>94</v>
      </c>
      <c r="CM108">
        <v>4010</v>
      </c>
      <c r="CO108">
        <v>7360</v>
      </c>
      <c r="CP108">
        <v>8.3299999999999999E-2</v>
      </c>
      <c r="CQ108">
        <v>8.3299999999999999E-2</v>
      </c>
      <c r="CR108">
        <v>0.4</v>
      </c>
      <c r="CS108">
        <v>224</v>
      </c>
      <c r="CT108" t="s">
        <v>3247</v>
      </c>
      <c r="CU108" t="s">
        <v>3246</v>
      </c>
      <c r="CV108" t="s">
        <v>833</v>
      </c>
      <c r="CW108" t="s">
        <v>834</v>
      </c>
      <c r="CX108" t="s">
        <v>3239</v>
      </c>
      <c r="CY108">
        <v>1</v>
      </c>
      <c r="CZ108">
        <v>1</v>
      </c>
      <c r="DA108" t="s">
        <v>833</v>
      </c>
      <c r="DB108" t="s">
        <v>865</v>
      </c>
      <c r="DC108">
        <v>48168</v>
      </c>
      <c r="DD108">
        <v>2.5</v>
      </c>
      <c r="DE108" t="s">
        <v>866</v>
      </c>
      <c r="DG108" t="s">
        <v>867</v>
      </c>
      <c r="DH108" t="s">
        <v>851</v>
      </c>
      <c r="DI108" t="s">
        <v>3248</v>
      </c>
      <c r="DK108" t="s">
        <v>918</v>
      </c>
      <c r="DL108" t="s">
        <v>869</v>
      </c>
      <c r="DM108">
        <v>0</v>
      </c>
      <c r="DN108">
        <v>0</v>
      </c>
      <c r="DO108">
        <v>11</v>
      </c>
      <c r="DP108" t="s">
        <v>1010</v>
      </c>
      <c r="DQ108">
        <v>0</v>
      </c>
      <c r="DR108">
        <v>130</v>
      </c>
      <c r="DS108">
        <v>870</v>
      </c>
      <c r="DT108">
        <v>2.15</v>
      </c>
      <c r="DU108">
        <v>0</v>
      </c>
      <c r="DV108">
        <v>1</v>
      </c>
      <c r="DW108">
        <v>1</v>
      </c>
      <c r="DX108" t="s">
        <v>596</v>
      </c>
      <c r="DY108" t="s">
        <v>3239</v>
      </c>
      <c r="DZ108">
        <v>1</v>
      </c>
      <c r="EA108">
        <v>1</v>
      </c>
      <c r="EB108">
        <v>1</v>
      </c>
      <c r="EC108">
        <v>1</v>
      </c>
      <c r="ED108">
        <v>1</v>
      </c>
      <c r="EE108">
        <v>1</v>
      </c>
      <c r="EF108" t="s">
        <v>920</v>
      </c>
      <c r="EG108" t="s">
        <v>595</v>
      </c>
      <c r="EH108" t="s">
        <v>1036</v>
      </c>
      <c r="EI108" t="s">
        <v>1036</v>
      </c>
      <c r="EJ108" t="s">
        <v>178</v>
      </c>
      <c r="EK108">
        <v>9090</v>
      </c>
      <c r="EL108">
        <v>0</v>
      </c>
      <c r="EM108" t="s">
        <v>952</v>
      </c>
      <c r="EN108">
        <v>0.4</v>
      </c>
      <c r="EO108">
        <v>14.5</v>
      </c>
      <c r="EP108">
        <v>99991120</v>
      </c>
      <c r="EQ108" t="s">
        <v>874</v>
      </c>
      <c r="ER108" t="s">
        <v>875</v>
      </c>
      <c r="ES108" t="s">
        <v>876</v>
      </c>
      <c r="ET108" t="s">
        <v>877</v>
      </c>
      <c r="EU108" t="s">
        <v>877</v>
      </c>
      <c r="EV108" t="s">
        <v>920</v>
      </c>
      <c r="EX108" t="s">
        <v>953</v>
      </c>
      <c r="EY108" t="s">
        <v>954</v>
      </c>
      <c r="EZ108" t="s">
        <v>955</v>
      </c>
      <c r="FA108" t="s">
        <v>956</v>
      </c>
      <c r="FB108">
        <v>1</v>
      </c>
      <c r="FC108">
        <v>2</v>
      </c>
      <c r="FD108" s="41">
        <v>46151</v>
      </c>
      <c r="FE108" t="s">
        <v>1808</v>
      </c>
      <c r="FF108">
        <v>10</v>
      </c>
      <c r="FG108" t="s">
        <v>3249</v>
      </c>
      <c r="FH108" t="s">
        <v>3250</v>
      </c>
      <c r="FI108">
        <v>1</v>
      </c>
      <c r="FJ108" t="s">
        <v>3251</v>
      </c>
      <c r="FK108" t="s">
        <v>3252</v>
      </c>
      <c r="FL108">
        <v>1</v>
      </c>
      <c r="FM108" t="s">
        <v>3253</v>
      </c>
      <c r="FN108" t="s">
        <v>3254</v>
      </c>
      <c r="FO108">
        <v>1</v>
      </c>
      <c r="FP108" t="s">
        <v>3255</v>
      </c>
      <c r="FQ108" t="s">
        <v>3246</v>
      </c>
      <c r="FR108">
        <v>1</v>
      </c>
      <c r="FS108" t="s">
        <v>2196</v>
      </c>
      <c r="FT108" t="s">
        <v>3256</v>
      </c>
      <c r="FU108">
        <v>1</v>
      </c>
      <c r="FV108" t="s">
        <v>2701</v>
      </c>
      <c r="FW108" t="s">
        <v>3257</v>
      </c>
      <c r="FX108">
        <v>1</v>
      </c>
      <c r="FY108" t="s">
        <v>890</v>
      </c>
      <c r="FZ108" t="s">
        <v>3258</v>
      </c>
      <c r="GA108" t="s">
        <v>3251</v>
      </c>
      <c r="GB108">
        <v>1</v>
      </c>
      <c r="GD108">
        <v>0</v>
      </c>
      <c r="GF108">
        <v>0</v>
      </c>
      <c r="GG108">
        <v>1</v>
      </c>
      <c r="GH108" t="s">
        <v>892</v>
      </c>
      <c r="GI108" t="s">
        <v>893</v>
      </c>
      <c r="GJ108" t="s">
        <v>3252</v>
      </c>
      <c r="GM108">
        <v>1</v>
      </c>
      <c r="GN108">
        <v>0</v>
      </c>
      <c r="GO108">
        <v>0</v>
      </c>
      <c r="GP108">
        <v>1</v>
      </c>
      <c r="GQ108">
        <v>1</v>
      </c>
      <c r="GR108">
        <v>0</v>
      </c>
      <c r="GS108">
        <v>1</v>
      </c>
      <c r="GT108">
        <v>0</v>
      </c>
      <c r="GU108">
        <v>1</v>
      </c>
      <c r="GV108">
        <v>0</v>
      </c>
      <c r="GW108">
        <v>1</v>
      </c>
      <c r="GX108">
        <v>0</v>
      </c>
      <c r="GY108">
        <v>1</v>
      </c>
      <c r="GZ108">
        <v>0</v>
      </c>
      <c r="HA108" t="s">
        <v>267</v>
      </c>
      <c r="HB108" t="s">
        <v>894</v>
      </c>
      <c r="HC108" t="s">
        <v>935</v>
      </c>
      <c r="HD108" t="s">
        <v>845</v>
      </c>
      <c r="HE108" t="s">
        <v>900</v>
      </c>
      <c r="HF108" t="s">
        <v>923</v>
      </c>
      <c r="HG108" t="s">
        <v>894</v>
      </c>
      <c r="HH108" t="s">
        <v>935</v>
      </c>
      <c r="HI108" t="s">
        <v>845</v>
      </c>
      <c r="HJ108" t="s">
        <v>900</v>
      </c>
      <c r="HK108" t="s">
        <v>952</v>
      </c>
      <c r="HL108" t="s">
        <v>200</v>
      </c>
      <c r="HM108" t="s">
        <v>854</v>
      </c>
      <c r="HN108">
        <v>36805</v>
      </c>
      <c r="HP108" t="s">
        <v>178</v>
      </c>
      <c r="HQ108" t="s">
        <v>896</v>
      </c>
      <c r="HR108" t="s">
        <v>896</v>
      </c>
      <c r="HS108" t="s">
        <v>896</v>
      </c>
    </row>
    <row r="109" spans="1:227" x14ac:dyDescent="0.2">
      <c r="A109">
        <v>8702</v>
      </c>
      <c r="B109">
        <v>7612902858</v>
      </c>
      <c r="C109" t="s">
        <v>829</v>
      </c>
      <c r="D109" t="s">
        <v>830</v>
      </c>
      <c r="E109" t="s">
        <v>831</v>
      </c>
      <c r="F109">
        <v>0</v>
      </c>
      <c r="G109" t="s">
        <v>3259</v>
      </c>
      <c r="H109" t="s">
        <v>3259</v>
      </c>
      <c r="I109">
        <v>0</v>
      </c>
      <c r="J109" t="s">
        <v>833</v>
      </c>
      <c r="K109" t="s">
        <v>834</v>
      </c>
      <c r="L109">
        <v>152949070</v>
      </c>
      <c r="M109" t="s">
        <v>3260</v>
      </c>
      <c r="N109" t="s">
        <v>836</v>
      </c>
      <c r="O109" t="s">
        <v>837</v>
      </c>
      <c r="P109" t="s">
        <v>838</v>
      </c>
      <c r="Q109" t="s">
        <v>839</v>
      </c>
      <c r="R109" t="s">
        <v>3261</v>
      </c>
      <c r="S109" t="s">
        <v>3262</v>
      </c>
      <c r="T109">
        <v>41477122213</v>
      </c>
      <c r="V109" t="s">
        <v>121</v>
      </c>
      <c r="W109" s="41">
        <v>46152</v>
      </c>
      <c r="X109" t="s">
        <v>3263</v>
      </c>
      <c r="Y109" t="s">
        <v>3264</v>
      </c>
      <c r="AA109">
        <v>0</v>
      </c>
      <c r="AB109" t="s">
        <v>845</v>
      </c>
      <c r="AC109" t="s">
        <v>846</v>
      </c>
      <c r="AD109" t="s">
        <v>1113</v>
      </c>
      <c r="AE109" t="s">
        <v>1114</v>
      </c>
      <c r="AF109">
        <v>1</v>
      </c>
      <c r="AG109">
        <v>452210</v>
      </c>
      <c r="AH109" t="s">
        <v>849</v>
      </c>
      <c r="AI109" t="s">
        <v>850</v>
      </c>
      <c r="AJ109" t="s">
        <v>851</v>
      </c>
      <c r="AK109" t="s">
        <v>441</v>
      </c>
      <c r="AL109" t="s">
        <v>3265</v>
      </c>
      <c r="AM109" t="s">
        <v>3266</v>
      </c>
      <c r="AN109" t="s">
        <v>854</v>
      </c>
      <c r="AO109">
        <v>36805</v>
      </c>
      <c r="AP109">
        <v>495</v>
      </c>
      <c r="AQ109" t="s">
        <v>855</v>
      </c>
      <c r="AR109">
        <v>66456722</v>
      </c>
      <c r="AS109" t="s">
        <v>856</v>
      </c>
      <c r="AU109" t="s">
        <v>3267</v>
      </c>
      <c r="AV109" t="s">
        <v>3268</v>
      </c>
      <c r="AX109" t="s">
        <v>913</v>
      </c>
      <c r="AY109" t="s">
        <v>861</v>
      </c>
      <c r="AZ109" t="s">
        <v>441</v>
      </c>
      <c r="BA109" t="s">
        <v>442</v>
      </c>
      <c r="BB109">
        <v>0</v>
      </c>
      <c r="BC109">
        <v>0</v>
      </c>
      <c r="BD109">
        <v>0</v>
      </c>
      <c r="BE109" t="s">
        <v>3260</v>
      </c>
      <c r="BF109">
        <v>0</v>
      </c>
      <c r="BG109">
        <v>0</v>
      </c>
      <c r="BH109" t="s">
        <v>862</v>
      </c>
      <c r="BI109">
        <v>0</v>
      </c>
      <c r="BJ109" t="s">
        <v>862</v>
      </c>
      <c r="BK109">
        <v>1</v>
      </c>
      <c r="BL109">
        <v>1</v>
      </c>
      <c r="BM109">
        <v>0</v>
      </c>
      <c r="BN109" t="s">
        <v>596</v>
      </c>
      <c r="BO109">
        <v>152949070</v>
      </c>
      <c r="BP109" t="s">
        <v>3259</v>
      </c>
      <c r="BR109">
        <v>42789062</v>
      </c>
      <c r="BT109">
        <v>2</v>
      </c>
      <c r="BU109" t="s">
        <v>1803</v>
      </c>
      <c r="BY109">
        <v>16</v>
      </c>
      <c r="CA109">
        <v>6</v>
      </c>
      <c r="CE109">
        <v>1</v>
      </c>
      <c r="CI109">
        <v>11</v>
      </c>
      <c r="CJ109" t="s">
        <v>94</v>
      </c>
      <c r="CM109">
        <v>4010</v>
      </c>
      <c r="CO109">
        <v>7360</v>
      </c>
      <c r="CP109">
        <v>0.4667</v>
      </c>
      <c r="CQ109">
        <v>0.4667</v>
      </c>
      <c r="CR109">
        <v>0.61670000000000003</v>
      </c>
      <c r="CS109">
        <v>1</v>
      </c>
      <c r="CT109" t="s">
        <v>3269</v>
      </c>
      <c r="CU109" t="s">
        <v>3270</v>
      </c>
      <c r="CV109" t="s">
        <v>833</v>
      </c>
      <c r="CW109" t="s">
        <v>834</v>
      </c>
      <c r="CX109" t="s">
        <v>3260</v>
      </c>
      <c r="CY109">
        <v>0</v>
      </c>
      <c r="CZ109">
        <v>0</v>
      </c>
      <c r="DA109" t="s">
        <v>833</v>
      </c>
      <c r="DB109" t="s">
        <v>865</v>
      </c>
      <c r="DC109">
        <v>63304</v>
      </c>
      <c r="DD109">
        <v>6.35</v>
      </c>
      <c r="DE109" t="s">
        <v>866</v>
      </c>
      <c r="DG109" t="s">
        <v>867</v>
      </c>
      <c r="DH109" t="s">
        <v>851</v>
      </c>
      <c r="DI109" t="s">
        <v>2828</v>
      </c>
      <c r="DK109" t="s">
        <v>918</v>
      </c>
      <c r="DL109" t="s">
        <v>869</v>
      </c>
      <c r="DM109">
        <v>0</v>
      </c>
      <c r="DN109">
        <v>0</v>
      </c>
      <c r="DO109">
        <v>2</v>
      </c>
      <c r="DP109" t="s">
        <v>870</v>
      </c>
      <c r="DQ109">
        <v>0</v>
      </c>
      <c r="DR109">
        <v>381</v>
      </c>
      <c r="DS109">
        <v>1101</v>
      </c>
      <c r="DT109">
        <v>5.8833000000000002</v>
      </c>
      <c r="DU109">
        <v>0</v>
      </c>
      <c r="DV109">
        <v>1</v>
      </c>
      <c r="DW109">
        <v>2</v>
      </c>
      <c r="DX109" t="s">
        <v>596</v>
      </c>
      <c r="DY109" t="s">
        <v>3260</v>
      </c>
      <c r="DZ109">
        <v>1</v>
      </c>
      <c r="EA109">
        <v>1</v>
      </c>
      <c r="EB109">
        <v>1</v>
      </c>
      <c r="EC109">
        <v>1</v>
      </c>
      <c r="ED109">
        <v>1</v>
      </c>
      <c r="EE109">
        <v>1</v>
      </c>
      <c r="EF109" t="s">
        <v>920</v>
      </c>
      <c r="EG109" t="s">
        <v>595</v>
      </c>
      <c r="EH109" t="s">
        <v>921</v>
      </c>
      <c r="EI109" t="s">
        <v>921</v>
      </c>
      <c r="EJ109" t="s">
        <v>111</v>
      </c>
      <c r="EK109">
        <v>9090</v>
      </c>
      <c r="EL109">
        <v>0</v>
      </c>
      <c r="EM109" t="s">
        <v>1037</v>
      </c>
      <c r="EN109">
        <v>0.61670000000000003</v>
      </c>
      <c r="EO109">
        <v>18.350000000000001</v>
      </c>
      <c r="EP109">
        <v>99991120</v>
      </c>
      <c r="EQ109" t="s">
        <v>874</v>
      </c>
      <c r="ER109" t="s">
        <v>875</v>
      </c>
      <c r="ES109" t="s">
        <v>876</v>
      </c>
      <c r="ET109" t="s">
        <v>877</v>
      </c>
      <c r="EU109" t="s">
        <v>877</v>
      </c>
      <c r="EV109" t="s">
        <v>920</v>
      </c>
      <c r="EX109" t="s">
        <v>900</v>
      </c>
      <c r="EY109" t="s">
        <v>923</v>
      </c>
      <c r="EZ109" t="s">
        <v>1038</v>
      </c>
      <c r="FA109" t="s">
        <v>925</v>
      </c>
      <c r="FB109">
        <v>1</v>
      </c>
      <c r="FC109">
        <v>1</v>
      </c>
      <c r="FD109" s="41">
        <v>46158</v>
      </c>
      <c r="FE109" t="s">
        <v>1808</v>
      </c>
      <c r="FF109">
        <v>10</v>
      </c>
      <c r="FG109" t="s">
        <v>2397</v>
      </c>
      <c r="FH109" t="s">
        <v>3271</v>
      </c>
      <c r="FI109">
        <v>1</v>
      </c>
      <c r="FJ109" t="s">
        <v>3272</v>
      </c>
      <c r="FK109" t="s">
        <v>3273</v>
      </c>
      <c r="FL109">
        <v>1</v>
      </c>
      <c r="FM109" t="s">
        <v>3274</v>
      </c>
      <c r="FN109" t="s">
        <v>3275</v>
      </c>
      <c r="FO109">
        <v>1</v>
      </c>
      <c r="FP109" t="s">
        <v>3276</v>
      </c>
      <c r="FQ109" t="s">
        <v>3270</v>
      </c>
      <c r="FR109">
        <v>1</v>
      </c>
      <c r="FS109" t="s">
        <v>2453</v>
      </c>
      <c r="FT109" t="s">
        <v>3277</v>
      </c>
      <c r="FU109">
        <v>1</v>
      </c>
      <c r="FV109" t="s">
        <v>3278</v>
      </c>
      <c r="FW109" t="s">
        <v>3279</v>
      </c>
      <c r="FX109">
        <v>1</v>
      </c>
      <c r="FY109" t="s">
        <v>890</v>
      </c>
      <c r="FZ109" t="s">
        <v>3280</v>
      </c>
      <c r="GA109" t="s">
        <v>3272</v>
      </c>
      <c r="GB109">
        <v>1</v>
      </c>
      <c r="GD109">
        <v>0</v>
      </c>
      <c r="GF109">
        <v>0</v>
      </c>
      <c r="GG109">
        <v>1</v>
      </c>
      <c r="GH109" t="s">
        <v>892</v>
      </c>
      <c r="GI109" t="s">
        <v>893</v>
      </c>
      <c r="GJ109" t="s">
        <v>3273</v>
      </c>
      <c r="GM109">
        <v>1</v>
      </c>
      <c r="GN109">
        <v>1</v>
      </c>
      <c r="GO109">
        <v>0</v>
      </c>
      <c r="GP109">
        <v>1</v>
      </c>
      <c r="GQ109">
        <v>1</v>
      </c>
      <c r="GR109">
        <v>0</v>
      </c>
      <c r="GS109">
        <v>1</v>
      </c>
      <c r="GT109">
        <v>0</v>
      </c>
      <c r="GU109">
        <v>1</v>
      </c>
      <c r="GV109">
        <v>0</v>
      </c>
      <c r="GW109">
        <v>1</v>
      </c>
      <c r="GX109">
        <v>0</v>
      </c>
      <c r="GY109">
        <v>1</v>
      </c>
      <c r="GZ109">
        <v>0</v>
      </c>
      <c r="HA109" t="s">
        <v>441</v>
      </c>
      <c r="HB109" t="s">
        <v>894</v>
      </c>
      <c r="HC109" t="s">
        <v>895</v>
      </c>
      <c r="HD109" t="s">
        <v>845</v>
      </c>
      <c r="HE109" t="s">
        <v>836</v>
      </c>
      <c r="HF109" t="s">
        <v>1051</v>
      </c>
      <c r="HG109" t="s">
        <v>894</v>
      </c>
      <c r="HH109" t="s">
        <v>895</v>
      </c>
      <c r="HI109" t="s">
        <v>845</v>
      </c>
      <c r="HJ109" t="s">
        <v>836</v>
      </c>
      <c r="HK109" t="s">
        <v>1037</v>
      </c>
      <c r="HL109" t="s">
        <v>121</v>
      </c>
      <c r="HM109" t="s">
        <v>854</v>
      </c>
      <c r="HN109">
        <v>36805</v>
      </c>
      <c r="HP109" t="s">
        <v>111</v>
      </c>
      <c r="HQ109" t="s">
        <v>896</v>
      </c>
      <c r="HR109" t="s">
        <v>896</v>
      </c>
      <c r="HS109" t="s">
        <v>896</v>
      </c>
    </row>
    <row r="110" spans="1:227" x14ac:dyDescent="0.2">
      <c r="A110">
        <v>8702</v>
      </c>
      <c r="B110">
        <v>7526113395</v>
      </c>
      <c r="C110" t="s">
        <v>829</v>
      </c>
      <c r="D110" t="s">
        <v>830</v>
      </c>
      <c r="E110" t="s">
        <v>897</v>
      </c>
      <c r="F110">
        <v>1</v>
      </c>
      <c r="G110" t="s">
        <v>3281</v>
      </c>
      <c r="H110" t="s">
        <v>3281</v>
      </c>
      <c r="I110">
        <v>0</v>
      </c>
      <c r="J110" t="s">
        <v>833</v>
      </c>
      <c r="K110" t="s">
        <v>834</v>
      </c>
      <c r="L110">
        <v>153195482</v>
      </c>
      <c r="M110" t="s">
        <v>3282</v>
      </c>
      <c r="N110" t="s">
        <v>900</v>
      </c>
      <c r="O110" t="s">
        <v>837</v>
      </c>
      <c r="P110" t="s">
        <v>838</v>
      </c>
      <c r="Q110" t="s">
        <v>1279</v>
      </c>
      <c r="R110" t="s">
        <v>3283</v>
      </c>
      <c r="S110" t="s">
        <v>3284</v>
      </c>
      <c r="T110">
        <v>41477054425</v>
      </c>
      <c r="V110" t="s">
        <v>142</v>
      </c>
      <c r="W110" s="41">
        <v>45919</v>
      </c>
      <c r="X110" t="s">
        <v>3285</v>
      </c>
      <c r="Y110" t="s">
        <v>3286</v>
      </c>
      <c r="AA110">
        <v>0</v>
      </c>
      <c r="AB110" t="s">
        <v>845</v>
      </c>
      <c r="AC110" t="s">
        <v>846</v>
      </c>
      <c r="AD110" t="s">
        <v>847</v>
      </c>
      <c r="AE110" t="s">
        <v>848</v>
      </c>
      <c r="AF110">
        <v>1</v>
      </c>
      <c r="AG110">
        <v>452210</v>
      </c>
      <c r="AH110" t="s">
        <v>849</v>
      </c>
      <c r="AI110" t="s">
        <v>850</v>
      </c>
      <c r="AJ110" t="s">
        <v>851</v>
      </c>
      <c r="AK110" t="s">
        <v>309</v>
      </c>
      <c r="AL110" t="s">
        <v>3287</v>
      </c>
      <c r="AM110" t="s">
        <v>3288</v>
      </c>
      <c r="AN110" t="s">
        <v>854</v>
      </c>
      <c r="AO110">
        <v>36805</v>
      </c>
      <c r="AP110">
        <v>527</v>
      </c>
      <c r="AQ110" t="s">
        <v>855</v>
      </c>
      <c r="AR110">
        <v>66121121</v>
      </c>
      <c r="AS110" t="s">
        <v>856</v>
      </c>
      <c r="AU110" t="s">
        <v>3289</v>
      </c>
      <c r="AV110" t="s">
        <v>3290</v>
      </c>
      <c r="AX110" t="s">
        <v>913</v>
      </c>
      <c r="AY110" t="s">
        <v>861</v>
      </c>
      <c r="AZ110" t="s">
        <v>309</v>
      </c>
      <c r="BA110" t="s">
        <v>310</v>
      </c>
      <c r="BB110">
        <v>1</v>
      </c>
      <c r="BC110">
        <v>0</v>
      </c>
      <c r="BD110">
        <v>0</v>
      </c>
      <c r="BE110" t="s">
        <v>3282</v>
      </c>
      <c r="BF110">
        <v>0</v>
      </c>
      <c r="BG110">
        <v>0</v>
      </c>
      <c r="BH110" t="s">
        <v>862</v>
      </c>
      <c r="BI110">
        <v>0</v>
      </c>
      <c r="BJ110" t="s">
        <v>862</v>
      </c>
      <c r="BK110">
        <v>1</v>
      </c>
      <c r="BL110">
        <v>1</v>
      </c>
      <c r="BM110">
        <v>0</v>
      </c>
      <c r="BN110" t="s">
        <v>596</v>
      </c>
      <c r="BO110">
        <v>153195482</v>
      </c>
      <c r="BP110" t="s">
        <v>3281</v>
      </c>
      <c r="BQ110">
        <v>39.956757699999997</v>
      </c>
      <c r="BR110">
        <v>42791440</v>
      </c>
      <c r="BS110">
        <v>-85.961422900000002</v>
      </c>
      <c r="BT110">
        <v>0</v>
      </c>
      <c r="CM110">
        <v>4010</v>
      </c>
      <c r="CO110">
        <v>7360</v>
      </c>
      <c r="CP110">
        <v>1.35</v>
      </c>
      <c r="CQ110">
        <v>1.35</v>
      </c>
      <c r="CR110">
        <v>2.4666999999999999</v>
      </c>
      <c r="CS110">
        <v>0</v>
      </c>
      <c r="CT110" t="s">
        <v>3290</v>
      </c>
      <c r="CU110" t="s">
        <v>3289</v>
      </c>
      <c r="CV110" t="s">
        <v>833</v>
      </c>
      <c r="CW110" t="s">
        <v>834</v>
      </c>
      <c r="CX110" t="s">
        <v>3282</v>
      </c>
      <c r="CY110">
        <v>1</v>
      </c>
      <c r="CZ110">
        <v>1</v>
      </c>
      <c r="DA110" t="s">
        <v>833</v>
      </c>
      <c r="DB110" t="s">
        <v>865</v>
      </c>
      <c r="DC110">
        <v>46037</v>
      </c>
      <c r="DD110">
        <v>14.166700000000001</v>
      </c>
      <c r="DE110" t="s">
        <v>866</v>
      </c>
      <c r="DG110" t="s">
        <v>867</v>
      </c>
      <c r="DH110" t="s">
        <v>851</v>
      </c>
      <c r="DI110" t="s">
        <v>3291</v>
      </c>
      <c r="DJ110" t="s">
        <v>3292</v>
      </c>
      <c r="DL110" t="s">
        <v>869</v>
      </c>
      <c r="DM110">
        <v>0</v>
      </c>
      <c r="DN110">
        <v>0</v>
      </c>
      <c r="DO110">
        <v>11</v>
      </c>
      <c r="DP110" t="s">
        <v>1010</v>
      </c>
      <c r="DQ110">
        <v>16</v>
      </c>
      <c r="DR110">
        <v>850</v>
      </c>
      <c r="DS110">
        <v>1570</v>
      </c>
      <c r="DT110">
        <v>3.8666999999999998</v>
      </c>
      <c r="DU110">
        <v>4</v>
      </c>
      <c r="DW110">
        <v>2</v>
      </c>
      <c r="DX110" t="s">
        <v>596</v>
      </c>
      <c r="DY110" t="s">
        <v>3282</v>
      </c>
      <c r="DZ110">
        <v>1</v>
      </c>
      <c r="EA110">
        <v>1</v>
      </c>
      <c r="EB110">
        <v>1</v>
      </c>
      <c r="EC110">
        <v>1</v>
      </c>
      <c r="ED110">
        <v>1</v>
      </c>
      <c r="EE110">
        <v>1</v>
      </c>
      <c r="EF110" t="s">
        <v>920</v>
      </c>
      <c r="EG110" t="s">
        <v>595</v>
      </c>
      <c r="EH110" t="s">
        <v>921</v>
      </c>
      <c r="EI110" t="s">
        <v>921</v>
      </c>
      <c r="EJ110" t="s">
        <v>134</v>
      </c>
      <c r="EK110">
        <v>9090</v>
      </c>
      <c r="EL110">
        <v>1</v>
      </c>
      <c r="EM110" t="s">
        <v>1011</v>
      </c>
      <c r="EN110">
        <v>2.4666999999999999</v>
      </c>
      <c r="EO110">
        <v>26.166666599999999</v>
      </c>
      <c r="EP110">
        <v>99991120</v>
      </c>
      <c r="EQ110" t="s">
        <v>874</v>
      </c>
      <c r="ER110" t="s">
        <v>875</v>
      </c>
      <c r="ES110" t="s">
        <v>876</v>
      </c>
      <c r="ET110" t="s">
        <v>877</v>
      </c>
      <c r="EU110" t="s">
        <v>877</v>
      </c>
      <c r="EV110" t="s">
        <v>920</v>
      </c>
      <c r="EX110" t="s">
        <v>953</v>
      </c>
      <c r="EY110" t="s">
        <v>1555</v>
      </c>
      <c r="EZ110" t="s">
        <v>1013</v>
      </c>
      <c r="FA110" t="s">
        <v>925</v>
      </c>
      <c r="FB110">
        <v>1</v>
      </c>
      <c r="FC110">
        <v>2</v>
      </c>
      <c r="FD110" s="41">
        <v>45920</v>
      </c>
      <c r="FE110" t="s">
        <v>880</v>
      </c>
      <c r="FF110">
        <v>8</v>
      </c>
      <c r="FG110" t="s">
        <v>3293</v>
      </c>
      <c r="FH110" t="s">
        <v>3294</v>
      </c>
      <c r="FI110">
        <v>1</v>
      </c>
      <c r="FJ110" t="s">
        <v>3295</v>
      </c>
      <c r="FK110" t="s">
        <v>3294</v>
      </c>
      <c r="FL110">
        <v>1</v>
      </c>
      <c r="FM110" t="s">
        <v>3296</v>
      </c>
      <c r="FN110" t="s">
        <v>3297</v>
      </c>
      <c r="FO110">
        <v>1</v>
      </c>
      <c r="FP110" t="s">
        <v>3298</v>
      </c>
      <c r="FQ110" t="s">
        <v>3289</v>
      </c>
      <c r="FR110">
        <v>1</v>
      </c>
      <c r="FS110" t="s">
        <v>1563</v>
      </c>
      <c r="FT110" t="s">
        <v>3299</v>
      </c>
      <c r="FU110">
        <v>1</v>
      </c>
      <c r="FV110" t="s">
        <v>3300</v>
      </c>
      <c r="FW110" t="s">
        <v>3301</v>
      </c>
      <c r="FX110">
        <v>1</v>
      </c>
      <c r="FY110" t="s">
        <v>890</v>
      </c>
      <c r="FZ110" t="s">
        <v>3302</v>
      </c>
      <c r="GA110" t="s">
        <v>3295</v>
      </c>
      <c r="GB110">
        <v>1</v>
      </c>
      <c r="GD110">
        <v>0</v>
      </c>
      <c r="GF110">
        <v>0</v>
      </c>
      <c r="GG110">
        <v>1</v>
      </c>
      <c r="GH110" t="s">
        <v>892</v>
      </c>
      <c r="GI110" t="s">
        <v>893</v>
      </c>
      <c r="GJ110" t="s">
        <v>3294</v>
      </c>
      <c r="GM110">
        <v>1</v>
      </c>
      <c r="GN110">
        <v>0</v>
      </c>
      <c r="GO110">
        <v>0</v>
      </c>
      <c r="GP110">
        <v>1</v>
      </c>
      <c r="GQ110">
        <v>1</v>
      </c>
      <c r="GR110">
        <v>0</v>
      </c>
      <c r="GS110">
        <v>1</v>
      </c>
      <c r="GT110">
        <v>0</v>
      </c>
      <c r="GU110">
        <v>1</v>
      </c>
      <c r="GV110">
        <v>0</v>
      </c>
      <c r="GW110">
        <v>1</v>
      </c>
      <c r="GX110">
        <v>0</v>
      </c>
      <c r="GY110">
        <v>1</v>
      </c>
      <c r="GZ110">
        <v>0</v>
      </c>
      <c r="HA110" t="s">
        <v>309</v>
      </c>
      <c r="HB110" t="s">
        <v>894</v>
      </c>
      <c r="HC110" t="s">
        <v>935</v>
      </c>
      <c r="HD110" t="s">
        <v>845</v>
      </c>
      <c r="HE110" t="s">
        <v>900</v>
      </c>
      <c r="HF110" t="s">
        <v>1012</v>
      </c>
      <c r="HG110" t="s">
        <v>894</v>
      </c>
      <c r="HH110" t="s">
        <v>935</v>
      </c>
      <c r="HI110" t="s">
        <v>845</v>
      </c>
      <c r="HJ110" t="s">
        <v>900</v>
      </c>
      <c r="HK110" t="s">
        <v>1011</v>
      </c>
      <c r="HL110" t="s">
        <v>142</v>
      </c>
      <c r="HM110" t="s">
        <v>854</v>
      </c>
      <c r="HN110">
        <v>36805</v>
      </c>
      <c r="HP110" t="s">
        <v>134</v>
      </c>
      <c r="HQ110" t="s">
        <v>896</v>
      </c>
      <c r="HR110" t="s">
        <v>896</v>
      </c>
      <c r="HS110" t="s">
        <v>896</v>
      </c>
    </row>
    <row r="111" spans="1:227" x14ac:dyDescent="0.2">
      <c r="A111">
        <v>8702</v>
      </c>
      <c r="B111">
        <v>7532701364</v>
      </c>
      <c r="C111" t="s">
        <v>936</v>
      </c>
      <c r="D111" t="s">
        <v>937</v>
      </c>
      <c r="E111" t="s">
        <v>897</v>
      </c>
      <c r="F111">
        <v>0</v>
      </c>
      <c r="G111" t="s">
        <v>3303</v>
      </c>
      <c r="H111" t="s">
        <v>3303</v>
      </c>
      <c r="I111">
        <v>0</v>
      </c>
      <c r="J111" t="s">
        <v>833</v>
      </c>
      <c r="K111" t="s">
        <v>834</v>
      </c>
      <c r="L111">
        <v>152858787</v>
      </c>
      <c r="M111" t="s">
        <v>1839</v>
      </c>
      <c r="N111" t="s">
        <v>900</v>
      </c>
      <c r="O111" t="s">
        <v>837</v>
      </c>
      <c r="P111" t="s">
        <v>940</v>
      </c>
      <c r="Q111" t="s">
        <v>1080</v>
      </c>
      <c r="R111" t="s">
        <v>3304</v>
      </c>
      <c r="S111" t="s">
        <v>3305</v>
      </c>
      <c r="T111">
        <v>41477050287</v>
      </c>
      <c r="V111" t="s">
        <v>210</v>
      </c>
      <c r="W111" s="41">
        <v>45985</v>
      </c>
      <c r="X111" t="s">
        <v>3306</v>
      </c>
      <c r="Y111" t="s">
        <v>3307</v>
      </c>
      <c r="AA111">
        <v>0</v>
      </c>
      <c r="AB111" t="s">
        <v>845</v>
      </c>
      <c r="AC111" t="s">
        <v>846</v>
      </c>
      <c r="AD111" t="s">
        <v>847</v>
      </c>
      <c r="AE111" t="s">
        <v>848</v>
      </c>
      <c r="AF111">
        <v>1</v>
      </c>
      <c r="AG111">
        <v>452210</v>
      </c>
      <c r="AH111" t="s">
        <v>849</v>
      </c>
      <c r="AI111" t="s">
        <v>850</v>
      </c>
      <c r="AJ111" t="s">
        <v>851</v>
      </c>
      <c r="AK111" t="s">
        <v>346</v>
      </c>
      <c r="AL111" t="s">
        <v>3308</v>
      </c>
      <c r="AM111" t="s">
        <v>1408</v>
      </c>
      <c r="AN111" t="s">
        <v>854</v>
      </c>
      <c r="AO111">
        <v>36805</v>
      </c>
      <c r="AP111">
        <v>648</v>
      </c>
      <c r="AQ111" t="s">
        <v>855</v>
      </c>
      <c r="AR111">
        <v>66215984</v>
      </c>
      <c r="AS111" t="s">
        <v>856</v>
      </c>
      <c r="AU111" t="s">
        <v>3309</v>
      </c>
      <c r="AV111" t="s">
        <v>3310</v>
      </c>
      <c r="AW111" t="s">
        <v>950</v>
      </c>
      <c r="AX111" t="s">
        <v>951</v>
      </c>
      <c r="AY111" t="s">
        <v>861</v>
      </c>
      <c r="AZ111" t="s">
        <v>346</v>
      </c>
      <c r="BA111" t="s">
        <v>347</v>
      </c>
      <c r="BB111">
        <v>0</v>
      </c>
      <c r="BC111">
        <v>0</v>
      </c>
      <c r="BD111">
        <v>0</v>
      </c>
      <c r="BE111" t="s">
        <v>1839</v>
      </c>
      <c r="BF111">
        <v>0</v>
      </c>
      <c r="BG111">
        <v>0</v>
      </c>
      <c r="BH111" t="s">
        <v>862</v>
      </c>
      <c r="BI111">
        <v>0</v>
      </c>
      <c r="BJ111" t="s">
        <v>862</v>
      </c>
      <c r="BK111">
        <v>1</v>
      </c>
      <c r="BL111">
        <v>0</v>
      </c>
      <c r="BM111">
        <v>0</v>
      </c>
      <c r="BN111" t="s">
        <v>596</v>
      </c>
      <c r="BO111">
        <v>152858787</v>
      </c>
      <c r="BP111" t="s">
        <v>3303</v>
      </c>
      <c r="BQ111">
        <v>42.249319</v>
      </c>
      <c r="BR111">
        <v>42791781</v>
      </c>
      <c r="BS111">
        <v>-83.659873200000007</v>
      </c>
      <c r="BT111">
        <v>0</v>
      </c>
      <c r="CM111">
        <v>4010</v>
      </c>
      <c r="CO111">
        <v>7360</v>
      </c>
      <c r="CP111">
        <v>0.2</v>
      </c>
      <c r="CQ111">
        <v>0.2</v>
      </c>
      <c r="CR111">
        <v>0.2167</v>
      </c>
      <c r="CS111">
        <v>9</v>
      </c>
      <c r="CT111" t="s">
        <v>3310</v>
      </c>
      <c r="CU111" t="s">
        <v>3309</v>
      </c>
      <c r="CV111" t="s">
        <v>833</v>
      </c>
      <c r="CW111" t="s">
        <v>834</v>
      </c>
      <c r="CX111" t="s">
        <v>1839</v>
      </c>
      <c r="CY111">
        <v>0</v>
      </c>
      <c r="CZ111">
        <v>0</v>
      </c>
      <c r="DA111" t="s">
        <v>833</v>
      </c>
      <c r="DB111" t="s">
        <v>865</v>
      </c>
      <c r="DC111">
        <v>48197</v>
      </c>
      <c r="DD111">
        <v>3.35</v>
      </c>
      <c r="DE111" t="s">
        <v>866</v>
      </c>
      <c r="DG111" t="s">
        <v>867</v>
      </c>
      <c r="DH111" t="s">
        <v>851</v>
      </c>
      <c r="DI111" t="s">
        <v>1846</v>
      </c>
      <c r="DL111" t="s">
        <v>869</v>
      </c>
      <c r="DM111">
        <v>0</v>
      </c>
      <c r="DN111">
        <v>0</v>
      </c>
      <c r="DO111">
        <v>53</v>
      </c>
      <c r="DP111" t="s">
        <v>1156</v>
      </c>
      <c r="DQ111">
        <v>16</v>
      </c>
      <c r="DR111">
        <v>201</v>
      </c>
      <c r="DS111">
        <v>918</v>
      </c>
      <c r="DT111">
        <v>3.35</v>
      </c>
      <c r="DU111">
        <v>4</v>
      </c>
      <c r="DW111">
        <v>2</v>
      </c>
      <c r="DX111" t="s">
        <v>594</v>
      </c>
      <c r="DY111" t="s">
        <v>1839</v>
      </c>
      <c r="DZ111">
        <v>0</v>
      </c>
      <c r="EA111">
        <v>0</v>
      </c>
      <c r="EB111">
        <v>0</v>
      </c>
      <c r="EC111">
        <v>0</v>
      </c>
      <c r="ED111">
        <v>0</v>
      </c>
      <c r="EE111">
        <v>0</v>
      </c>
      <c r="EF111" t="s">
        <v>920</v>
      </c>
      <c r="EG111" t="s">
        <v>595</v>
      </c>
      <c r="EH111" t="s">
        <v>872</v>
      </c>
      <c r="EI111" t="s">
        <v>872</v>
      </c>
      <c r="EJ111" t="s">
        <v>178</v>
      </c>
      <c r="EK111">
        <v>9090</v>
      </c>
      <c r="EL111">
        <v>0</v>
      </c>
      <c r="EM111" t="s">
        <v>952</v>
      </c>
      <c r="EN111">
        <v>0.2167</v>
      </c>
      <c r="EO111">
        <v>15.3</v>
      </c>
      <c r="EP111">
        <v>99991120</v>
      </c>
      <c r="EQ111" t="s">
        <v>874</v>
      </c>
      <c r="ER111" t="s">
        <v>875</v>
      </c>
      <c r="ES111" t="s">
        <v>876</v>
      </c>
      <c r="ET111" t="s">
        <v>877</v>
      </c>
      <c r="EU111" t="s">
        <v>877</v>
      </c>
      <c r="EV111" t="s">
        <v>920</v>
      </c>
      <c r="EX111" t="s">
        <v>953</v>
      </c>
      <c r="EY111" t="s">
        <v>954</v>
      </c>
      <c r="EZ111" t="s">
        <v>955</v>
      </c>
      <c r="FA111" t="s">
        <v>956</v>
      </c>
      <c r="FB111">
        <v>1</v>
      </c>
      <c r="FC111">
        <v>1</v>
      </c>
      <c r="FD111" s="41">
        <v>45990</v>
      </c>
      <c r="FE111" t="s">
        <v>1438</v>
      </c>
      <c r="FF111">
        <v>5</v>
      </c>
      <c r="FI111">
        <v>0</v>
      </c>
      <c r="FJ111" t="s">
        <v>3311</v>
      </c>
      <c r="FK111" t="s">
        <v>3312</v>
      </c>
      <c r="FL111">
        <v>1</v>
      </c>
      <c r="FM111" t="s">
        <v>3313</v>
      </c>
      <c r="FN111" t="s">
        <v>3314</v>
      </c>
      <c r="FO111">
        <v>1</v>
      </c>
      <c r="FP111" t="s">
        <v>3315</v>
      </c>
      <c r="FQ111" t="s">
        <v>3309</v>
      </c>
      <c r="FR111">
        <v>1</v>
      </c>
      <c r="FS111" t="s">
        <v>3316</v>
      </c>
      <c r="FT111" t="s">
        <v>3317</v>
      </c>
      <c r="FU111">
        <v>1</v>
      </c>
      <c r="FV111" t="s">
        <v>3318</v>
      </c>
      <c r="FW111" t="s">
        <v>3312</v>
      </c>
      <c r="FX111">
        <v>1</v>
      </c>
      <c r="FY111" t="s">
        <v>890</v>
      </c>
      <c r="FZ111" t="s">
        <v>3319</v>
      </c>
      <c r="GA111" t="s">
        <v>3311</v>
      </c>
      <c r="GB111">
        <v>1</v>
      </c>
      <c r="GD111">
        <v>0</v>
      </c>
      <c r="GF111">
        <v>0</v>
      </c>
      <c r="GG111">
        <v>1</v>
      </c>
      <c r="GH111" t="s">
        <v>892</v>
      </c>
      <c r="GI111" t="s">
        <v>893</v>
      </c>
      <c r="GJ111" t="s">
        <v>3312</v>
      </c>
      <c r="GM111">
        <v>1</v>
      </c>
      <c r="GN111">
        <v>1</v>
      </c>
      <c r="GO111">
        <v>0</v>
      </c>
      <c r="GP111">
        <v>1</v>
      </c>
      <c r="GQ111">
        <v>1</v>
      </c>
      <c r="GR111">
        <v>0</v>
      </c>
      <c r="GS111">
        <v>1</v>
      </c>
      <c r="GT111">
        <v>0</v>
      </c>
      <c r="GU111">
        <v>1</v>
      </c>
      <c r="GV111">
        <v>0</v>
      </c>
      <c r="GW111">
        <v>1</v>
      </c>
      <c r="GX111">
        <v>0</v>
      </c>
      <c r="GY111">
        <v>1</v>
      </c>
      <c r="GZ111">
        <v>0</v>
      </c>
      <c r="HA111" t="s">
        <v>346</v>
      </c>
      <c r="HB111" t="s">
        <v>894</v>
      </c>
      <c r="HC111" t="s">
        <v>935</v>
      </c>
      <c r="HD111" t="s">
        <v>845</v>
      </c>
      <c r="HE111" t="s">
        <v>900</v>
      </c>
      <c r="HF111" t="s">
        <v>923</v>
      </c>
      <c r="HG111" t="s">
        <v>894</v>
      </c>
      <c r="HH111" t="s">
        <v>935</v>
      </c>
      <c r="HI111" t="s">
        <v>845</v>
      </c>
      <c r="HJ111" t="s">
        <v>900</v>
      </c>
      <c r="HK111" t="s">
        <v>952</v>
      </c>
      <c r="HL111" t="s">
        <v>210</v>
      </c>
      <c r="HM111" t="s">
        <v>854</v>
      </c>
      <c r="HN111">
        <v>36805</v>
      </c>
      <c r="HP111" t="s">
        <v>178</v>
      </c>
      <c r="HQ111" t="s">
        <v>896</v>
      </c>
      <c r="HR111" t="s">
        <v>896</v>
      </c>
      <c r="HS111" t="s">
        <v>896</v>
      </c>
    </row>
    <row r="112" spans="1:227" x14ac:dyDescent="0.2">
      <c r="A112">
        <v>8702</v>
      </c>
      <c r="B112">
        <v>7610102065</v>
      </c>
      <c r="C112">
        <v>36</v>
      </c>
      <c r="D112" t="s">
        <v>1302</v>
      </c>
      <c r="E112" t="s">
        <v>831</v>
      </c>
      <c r="F112">
        <v>0</v>
      </c>
      <c r="G112" t="s">
        <v>3320</v>
      </c>
      <c r="H112" t="s">
        <v>3320</v>
      </c>
      <c r="I112">
        <v>0</v>
      </c>
      <c r="J112" t="s">
        <v>833</v>
      </c>
      <c r="K112" t="s">
        <v>834</v>
      </c>
      <c r="L112">
        <v>153402684</v>
      </c>
      <c r="M112" t="s">
        <v>3321</v>
      </c>
      <c r="N112" t="s">
        <v>836</v>
      </c>
      <c r="O112" t="s">
        <v>837</v>
      </c>
      <c r="P112" t="s">
        <v>1302</v>
      </c>
      <c r="Q112" t="s">
        <v>1517</v>
      </c>
      <c r="R112" t="s">
        <v>3322</v>
      </c>
      <c r="S112" t="s">
        <v>3323</v>
      </c>
      <c r="T112">
        <v>41477011864</v>
      </c>
      <c r="V112" t="s">
        <v>189</v>
      </c>
      <c r="W112" s="41">
        <v>46123</v>
      </c>
      <c r="X112" t="s">
        <v>3324</v>
      </c>
      <c r="Y112" t="s">
        <v>3325</v>
      </c>
      <c r="AA112">
        <v>0</v>
      </c>
      <c r="AB112" t="s">
        <v>845</v>
      </c>
      <c r="AC112" t="s">
        <v>846</v>
      </c>
      <c r="AD112" t="s">
        <v>1113</v>
      </c>
      <c r="AE112" t="s">
        <v>1114</v>
      </c>
      <c r="AF112">
        <v>1</v>
      </c>
      <c r="AG112">
        <v>452210</v>
      </c>
      <c r="AH112" t="s">
        <v>849</v>
      </c>
      <c r="AI112" t="s">
        <v>850</v>
      </c>
      <c r="AJ112" t="s">
        <v>851</v>
      </c>
      <c r="AK112" t="s">
        <v>321</v>
      </c>
      <c r="AL112" t="s">
        <v>3326</v>
      </c>
      <c r="AM112" t="s">
        <v>2646</v>
      </c>
      <c r="AN112" t="s">
        <v>854</v>
      </c>
      <c r="AO112">
        <v>36805</v>
      </c>
      <c r="AP112">
        <v>635</v>
      </c>
      <c r="AQ112" t="s">
        <v>855</v>
      </c>
      <c r="AR112">
        <v>66414924</v>
      </c>
      <c r="AS112" t="s">
        <v>856</v>
      </c>
      <c r="AU112" t="s">
        <v>3327</v>
      </c>
      <c r="AV112" t="s">
        <v>3328</v>
      </c>
      <c r="AX112" t="s">
        <v>913</v>
      </c>
      <c r="AY112" t="s">
        <v>861</v>
      </c>
      <c r="AZ112" t="s">
        <v>321</v>
      </c>
      <c r="BA112" t="s">
        <v>322</v>
      </c>
      <c r="BB112">
        <v>0</v>
      </c>
      <c r="BC112">
        <v>0</v>
      </c>
      <c r="BD112">
        <v>0</v>
      </c>
      <c r="BE112" t="s">
        <v>3321</v>
      </c>
      <c r="BF112">
        <v>0</v>
      </c>
      <c r="BG112">
        <v>0</v>
      </c>
      <c r="BH112" t="s">
        <v>862</v>
      </c>
      <c r="BI112">
        <v>0</v>
      </c>
      <c r="BJ112" t="s">
        <v>862</v>
      </c>
      <c r="BK112">
        <v>1</v>
      </c>
      <c r="BL112">
        <v>1</v>
      </c>
      <c r="BM112">
        <v>0</v>
      </c>
      <c r="BN112" t="s">
        <v>596</v>
      </c>
      <c r="BO112">
        <v>153402684</v>
      </c>
      <c r="BP112" t="s">
        <v>3320</v>
      </c>
      <c r="BR112">
        <v>42791757</v>
      </c>
      <c r="BT112">
        <v>2</v>
      </c>
      <c r="BU112" t="s">
        <v>1119</v>
      </c>
      <c r="BY112">
        <v>16</v>
      </c>
      <c r="CA112">
        <v>3</v>
      </c>
      <c r="CE112">
        <v>1</v>
      </c>
      <c r="CI112">
        <v>11</v>
      </c>
      <c r="CJ112" t="s">
        <v>94</v>
      </c>
      <c r="CM112">
        <v>4010</v>
      </c>
      <c r="CO112">
        <v>7360</v>
      </c>
      <c r="CP112">
        <v>1.67E-2</v>
      </c>
      <c r="CQ112">
        <v>1.67E-2</v>
      </c>
      <c r="CR112">
        <v>0</v>
      </c>
      <c r="CS112">
        <v>0</v>
      </c>
      <c r="CT112" t="s">
        <v>3328</v>
      </c>
      <c r="CU112" t="s">
        <v>3327</v>
      </c>
      <c r="CV112" t="s">
        <v>833</v>
      </c>
      <c r="CW112" t="s">
        <v>834</v>
      </c>
      <c r="CX112" t="s">
        <v>3321</v>
      </c>
      <c r="CY112">
        <v>0</v>
      </c>
      <c r="CZ112">
        <v>0</v>
      </c>
      <c r="DA112" t="s">
        <v>833</v>
      </c>
      <c r="DB112" t="s">
        <v>865</v>
      </c>
      <c r="DC112">
        <v>60647</v>
      </c>
      <c r="DD112">
        <v>3.4167000000000001</v>
      </c>
      <c r="DE112" t="s">
        <v>866</v>
      </c>
      <c r="DG112" t="s">
        <v>867</v>
      </c>
      <c r="DH112" t="s">
        <v>851</v>
      </c>
      <c r="DI112" t="s">
        <v>1154</v>
      </c>
      <c r="DK112" t="s">
        <v>918</v>
      </c>
      <c r="DL112" t="s">
        <v>869</v>
      </c>
      <c r="DM112">
        <v>0</v>
      </c>
      <c r="DN112">
        <v>0</v>
      </c>
      <c r="DO112">
        <v>2</v>
      </c>
      <c r="DP112" t="s">
        <v>870</v>
      </c>
      <c r="DQ112">
        <v>0</v>
      </c>
      <c r="DR112">
        <v>205</v>
      </c>
      <c r="DS112">
        <v>214</v>
      </c>
      <c r="DT112">
        <v>3.4</v>
      </c>
      <c r="DU112">
        <v>0</v>
      </c>
      <c r="DV112">
        <v>1</v>
      </c>
      <c r="DW112">
        <v>2</v>
      </c>
      <c r="DX112" t="s">
        <v>596</v>
      </c>
      <c r="DY112" t="s">
        <v>3321</v>
      </c>
      <c r="DZ112">
        <v>1</v>
      </c>
      <c r="EA112">
        <v>1</v>
      </c>
      <c r="EB112">
        <v>1</v>
      </c>
      <c r="EC112">
        <v>1</v>
      </c>
      <c r="ED112">
        <v>1</v>
      </c>
      <c r="EE112">
        <v>1</v>
      </c>
      <c r="EF112" t="s">
        <v>920</v>
      </c>
      <c r="EG112" t="s">
        <v>595</v>
      </c>
      <c r="EH112" t="s">
        <v>921</v>
      </c>
      <c r="EI112" t="s">
        <v>921</v>
      </c>
      <c r="EJ112" t="s">
        <v>181</v>
      </c>
      <c r="EK112">
        <v>9090</v>
      </c>
      <c r="EL112">
        <v>0</v>
      </c>
      <c r="EM112" t="s">
        <v>1436</v>
      </c>
      <c r="EN112">
        <v>0</v>
      </c>
      <c r="EO112">
        <v>3.5666666999999999</v>
      </c>
      <c r="EP112">
        <v>99991120</v>
      </c>
      <c r="EQ112" t="s">
        <v>874</v>
      </c>
      <c r="ER112" t="s">
        <v>875</v>
      </c>
      <c r="ES112" t="s">
        <v>876</v>
      </c>
      <c r="ET112" t="s">
        <v>877</v>
      </c>
      <c r="EU112" t="s">
        <v>877</v>
      </c>
      <c r="EV112" t="s">
        <v>920</v>
      </c>
      <c r="EX112" t="s">
        <v>836</v>
      </c>
      <c r="EY112" t="s">
        <v>873</v>
      </c>
      <c r="EZ112" t="s">
        <v>1437</v>
      </c>
      <c r="FA112" t="s">
        <v>956</v>
      </c>
      <c r="FB112">
        <v>1</v>
      </c>
      <c r="FC112">
        <v>1</v>
      </c>
      <c r="FD112" s="41">
        <v>46123</v>
      </c>
      <c r="FE112" t="s">
        <v>1123</v>
      </c>
      <c r="FF112">
        <v>4</v>
      </c>
      <c r="FI112">
        <v>0</v>
      </c>
      <c r="FL112">
        <v>0</v>
      </c>
      <c r="FM112" t="s">
        <v>3329</v>
      </c>
      <c r="FN112" t="s">
        <v>3330</v>
      </c>
      <c r="FO112">
        <v>1</v>
      </c>
      <c r="FP112" t="s">
        <v>3331</v>
      </c>
      <c r="FQ112" t="s">
        <v>3327</v>
      </c>
      <c r="FR112">
        <v>1</v>
      </c>
      <c r="FS112" t="s">
        <v>3332</v>
      </c>
      <c r="FT112" t="s">
        <v>3333</v>
      </c>
      <c r="FU112">
        <v>1</v>
      </c>
      <c r="FV112" t="s">
        <v>3334</v>
      </c>
      <c r="FW112" t="s">
        <v>3335</v>
      </c>
      <c r="FX112">
        <v>1</v>
      </c>
      <c r="FY112" t="s">
        <v>890</v>
      </c>
      <c r="FZ112" t="s">
        <v>3336</v>
      </c>
      <c r="GA112" t="s">
        <v>3334</v>
      </c>
      <c r="GB112">
        <v>1</v>
      </c>
      <c r="GD112">
        <v>0</v>
      </c>
      <c r="GF112">
        <v>0</v>
      </c>
      <c r="GG112">
        <v>1</v>
      </c>
      <c r="GH112" t="s">
        <v>892</v>
      </c>
      <c r="GI112" t="s">
        <v>893</v>
      </c>
      <c r="GJ112" t="s">
        <v>3335</v>
      </c>
      <c r="GM112">
        <v>1</v>
      </c>
      <c r="GN112">
        <v>1</v>
      </c>
      <c r="GO112">
        <v>0</v>
      </c>
      <c r="GP112">
        <v>1</v>
      </c>
      <c r="GQ112">
        <v>1</v>
      </c>
      <c r="GR112">
        <v>0</v>
      </c>
      <c r="GS112">
        <v>1</v>
      </c>
      <c r="GT112">
        <v>0</v>
      </c>
      <c r="GU112">
        <v>1</v>
      </c>
      <c r="GV112">
        <v>0</v>
      </c>
      <c r="GW112">
        <v>1</v>
      </c>
      <c r="GX112">
        <v>0</v>
      </c>
      <c r="GY112">
        <v>1</v>
      </c>
      <c r="GZ112">
        <v>0</v>
      </c>
      <c r="HA112" t="s">
        <v>321</v>
      </c>
      <c r="HB112" t="s">
        <v>894</v>
      </c>
      <c r="HC112" t="s">
        <v>895</v>
      </c>
      <c r="HD112" t="s">
        <v>845</v>
      </c>
      <c r="HE112" t="s">
        <v>836</v>
      </c>
      <c r="HF112" t="s">
        <v>873</v>
      </c>
      <c r="HG112" t="s">
        <v>894</v>
      </c>
      <c r="HH112" t="s">
        <v>895</v>
      </c>
      <c r="HI112" t="s">
        <v>845</v>
      </c>
      <c r="HJ112" t="s">
        <v>836</v>
      </c>
      <c r="HK112" t="s">
        <v>1436</v>
      </c>
      <c r="HL112" t="s">
        <v>189</v>
      </c>
      <c r="HM112" t="s">
        <v>854</v>
      </c>
      <c r="HN112">
        <v>36805</v>
      </c>
      <c r="HP112" t="s">
        <v>181</v>
      </c>
      <c r="HQ112" t="s">
        <v>896</v>
      </c>
      <c r="HR112" t="s">
        <v>896</v>
      </c>
      <c r="HS112" t="s">
        <v>896</v>
      </c>
    </row>
    <row r="113" spans="1:227" x14ac:dyDescent="0.2">
      <c r="A113">
        <v>8702</v>
      </c>
      <c r="B113">
        <v>7616303168</v>
      </c>
      <c r="C113">
        <v>34</v>
      </c>
      <c r="D113" t="s">
        <v>996</v>
      </c>
      <c r="E113" t="s">
        <v>831</v>
      </c>
      <c r="F113">
        <v>0</v>
      </c>
      <c r="G113" t="s">
        <v>3337</v>
      </c>
      <c r="H113" t="s">
        <v>3337</v>
      </c>
      <c r="I113">
        <v>0</v>
      </c>
      <c r="J113" t="s">
        <v>833</v>
      </c>
      <c r="K113" t="s">
        <v>834</v>
      </c>
      <c r="L113">
        <v>153294190</v>
      </c>
      <c r="M113" t="s">
        <v>3338</v>
      </c>
      <c r="N113" t="s">
        <v>836</v>
      </c>
      <c r="O113" t="s">
        <v>837</v>
      </c>
      <c r="P113" t="s">
        <v>999</v>
      </c>
      <c r="Q113" t="s">
        <v>1027</v>
      </c>
      <c r="R113" t="s">
        <v>3339</v>
      </c>
      <c r="S113" t="s">
        <v>3340</v>
      </c>
      <c r="T113">
        <v>41477059751</v>
      </c>
      <c r="V113" t="s">
        <v>136</v>
      </c>
      <c r="W113" s="41">
        <v>46185</v>
      </c>
      <c r="X113" t="s">
        <v>3341</v>
      </c>
      <c r="Y113" t="s">
        <v>3342</v>
      </c>
      <c r="AA113">
        <v>0</v>
      </c>
      <c r="AB113" t="s">
        <v>845</v>
      </c>
      <c r="AC113" t="s">
        <v>846</v>
      </c>
      <c r="AD113" t="s">
        <v>907</v>
      </c>
      <c r="AE113" t="s">
        <v>908</v>
      </c>
      <c r="AF113">
        <v>1</v>
      </c>
      <c r="AG113">
        <v>452210</v>
      </c>
      <c r="AH113" t="s">
        <v>849</v>
      </c>
      <c r="AI113" t="s">
        <v>850</v>
      </c>
      <c r="AJ113" t="s">
        <v>851</v>
      </c>
      <c r="AK113" t="s">
        <v>362</v>
      </c>
      <c r="AL113" t="s">
        <v>2035</v>
      </c>
      <c r="AM113" t="s">
        <v>1207</v>
      </c>
      <c r="AN113" t="s">
        <v>854</v>
      </c>
      <c r="AO113">
        <v>36805</v>
      </c>
      <c r="AP113">
        <v>523</v>
      </c>
      <c r="AQ113" t="s">
        <v>855</v>
      </c>
      <c r="AR113">
        <v>66504218</v>
      </c>
      <c r="AS113" t="s">
        <v>856</v>
      </c>
      <c r="AU113" t="s">
        <v>3343</v>
      </c>
      <c r="AV113" t="s">
        <v>3344</v>
      </c>
      <c r="AW113" t="s">
        <v>950</v>
      </c>
      <c r="AX113" t="s">
        <v>951</v>
      </c>
      <c r="AY113" t="s">
        <v>861</v>
      </c>
      <c r="AZ113" t="s">
        <v>362</v>
      </c>
      <c r="BA113" t="s">
        <v>300</v>
      </c>
      <c r="BB113">
        <v>0</v>
      </c>
      <c r="BC113">
        <v>0</v>
      </c>
      <c r="BD113">
        <v>1</v>
      </c>
      <c r="BE113" t="s">
        <v>3338</v>
      </c>
      <c r="BF113">
        <v>0</v>
      </c>
      <c r="BG113">
        <v>0</v>
      </c>
      <c r="BH113" t="s">
        <v>862</v>
      </c>
      <c r="BI113">
        <v>0</v>
      </c>
      <c r="BJ113" t="s">
        <v>862</v>
      </c>
      <c r="BK113">
        <v>1</v>
      </c>
      <c r="BL113">
        <v>1</v>
      </c>
      <c r="BM113">
        <v>0</v>
      </c>
      <c r="BN113" t="s">
        <v>596</v>
      </c>
      <c r="BO113">
        <v>153294190</v>
      </c>
      <c r="BP113" t="s">
        <v>3337</v>
      </c>
      <c r="BR113">
        <v>42791433</v>
      </c>
      <c r="BT113">
        <v>2</v>
      </c>
      <c r="BU113" t="s">
        <v>1314</v>
      </c>
      <c r="BY113">
        <v>16</v>
      </c>
      <c r="CA113">
        <v>2</v>
      </c>
      <c r="CE113">
        <v>1</v>
      </c>
      <c r="CI113">
        <v>11</v>
      </c>
      <c r="CJ113" t="s">
        <v>94</v>
      </c>
      <c r="CM113">
        <v>4010</v>
      </c>
      <c r="CO113">
        <v>7360</v>
      </c>
      <c r="CP113">
        <v>0.56669999999999998</v>
      </c>
      <c r="CQ113">
        <v>0.56669999999999998</v>
      </c>
      <c r="CR113">
        <v>0.26669999999999999</v>
      </c>
      <c r="CS113">
        <v>0</v>
      </c>
      <c r="CT113" t="s">
        <v>3344</v>
      </c>
      <c r="CU113" t="s">
        <v>3343</v>
      </c>
      <c r="CV113" t="s">
        <v>833</v>
      </c>
      <c r="CW113" t="s">
        <v>834</v>
      </c>
      <c r="CX113" t="s">
        <v>3338</v>
      </c>
      <c r="CY113">
        <v>1</v>
      </c>
      <c r="CZ113">
        <v>1</v>
      </c>
      <c r="DA113" t="s">
        <v>833</v>
      </c>
      <c r="DB113" t="s">
        <v>865</v>
      </c>
      <c r="DC113">
        <v>47905</v>
      </c>
      <c r="DD113">
        <v>2.4</v>
      </c>
      <c r="DE113" t="s">
        <v>866</v>
      </c>
      <c r="DG113" t="s">
        <v>867</v>
      </c>
      <c r="DH113" t="s">
        <v>851</v>
      </c>
      <c r="DI113" t="s">
        <v>3345</v>
      </c>
      <c r="DK113" t="s">
        <v>918</v>
      </c>
      <c r="DL113" t="s">
        <v>869</v>
      </c>
      <c r="DM113">
        <v>0</v>
      </c>
      <c r="DN113">
        <v>0</v>
      </c>
      <c r="DO113">
        <v>11</v>
      </c>
      <c r="DP113" t="s">
        <v>1010</v>
      </c>
      <c r="DQ113">
        <v>16</v>
      </c>
      <c r="DR113">
        <v>144</v>
      </c>
      <c r="DS113">
        <v>144</v>
      </c>
      <c r="DT113">
        <v>1.8332999999999999</v>
      </c>
      <c r="DU113">
        <v>4</v>
      </c>
      <c r="DV113">
        <v>1</v>
      </c>
      <c r="DW113">
        <v>2</v>
      </c>
      <c r="DX113" t="s">
        <v>594</v>
      </c>
      <c r="DY113" t="s">
        <v>3338</v>
      </c>
      <c r="DZ113">
        <v>1</v>
      </c>
      <c r="EA113">
        <v>1</v>
      </c>
      <c r="EB113">
        <v>1</v>
      </c>
      <c r="EC113">
        <v>1</v>
      </c>
      <c r="ED113">
        <v>1</v>
      </c>
      <c r="EE113">
        <v>1</v>
      </c>
      <c r="EF113" t="s">
        <v>920</v>
      </c>
      <c r="EG113" t="s">
        <v>595</v>
      </c>
      <c r="EH113" t="s">
        <v>872</v>
      </c>
      <c r="EI113" t="s">
        <v>872</v>
      </c>
      <c r="EJ113" t="s">
        <v>134</v>
      </c>
      <c r="EK113">
        <v>9090</v>
      </c>
      <c r="EL113">
        <v>0</v>
      </c>
      <c r="EM113" t="s">
        <v>873</v>
      </c>
      <c r="EN113">
        <v>0.26669999999999999</v>
      </c>
      <c r="EO113">
        <v>2.4</v>
      </c>
      <c r="EP113">
        <v>99991120</v>
      </c>
      <c r="EQ113" t="s">
        <v>874</v>
      </c>
      <c r="ER113" t="s">
        <v>875</v>
      </c>
      <c r="ES113" t="s">
        <v>876</v>
      </c>
      <c r="ET113" t="s">
        <v>877</v>
      </c>
      <c r="EU113" t="s">
        <v>877</v>
      </c>
      <c r="EV113" t="s">
        <v>920</v>
      </c>
      <c r="EX113" t="s">
        <v>836</v>
      </c>
      <c r="EY113" t="s">
        <v>873</v>
      </c>
      <c r="EZ113" t="s">
        <v>1211</v>
      </c>
      <c r="FA113" t="s">
        <v>1212</v>
      </c>
      <c r="FB113">
        <v>1</v>
      </c>
      <c r="FC113">
        <v>1</v>
      </c>
      <c r="FD113" s="41">
        <v>46186</v>
      </c>
      <c r="FE113" t="s">
        <v>1315</v>
      </c>
      <c r="FF113">
        <v>6</v>
      </c>
      <c r="FG113" t="s">
        <v>3346</v>
      </c>
      <c r="FH113" t="s">
        <v>3347</v>
      </c>
      <c r="FI113">
        <v>1</v>
      </c>
      <c r="FJ113" t="s">
        <v>3348</v>
      </c>
      <c r="FK113" t="s">
        <v>3349</v>
      </c>
      <c r="FL113">
        <v>1</v>
      </c>
      <c r="FM113" t="s">
        <v>3350</v>
      </c>
      <c r="FN113" t="s">
        <v>3351</v>
      </c>
      <c r="FO113">
        <v>1</v>
      </c>
      <c r="FP113" t="s">
        <v>3352</v>
      </c>
      <c r="FQ113" t="s">
        <v>3343</v>
      </c>
      <c r="FR113">
        <v>1</v>
      </c>
      <c r="FS113" t="s">
        <v>3160</v>
      </c>
      <c r="FT113" t="s">
        <v>3353</v>
      </c>
      <c r="FU113">
        <v>1</v>
      </c>
      <c r="FV113" t="s">
        <v>3338</v>
      </c>
      <c r="FW113" t="s">
        <v>3354</v>
      </c>
      <c r="FX113">
        <v>1</v>
      </c>
      <c r="FY113" t="s">
        <v>890</v>
      </c>
      <c r="FZ113" t="s">
        <v>3355</v>
      </c>
      <c r="GA113" t="s">
        <v>3346</v>
      </c>
      <c r="GB113">
        <v>1</v>
      </c>
      <c r="GD113">
        <v>0</v>
      </c>
      <c r="GF113">
        <v>0</v>
      </c>
      <c r="GG113">
        <v>1</v>
      </c>
      <c r="GH113" t="s">
        <v>892</v>
      </c>
      <c r="GI113" t="s">
        <v>893</v>
      </c>
      <c r="GJ113" t="s">
        <v>3347</v>
      </c>
      <c r="GM113">
        <v>1</v>
      </c>
      <c r="GN113">
        <v>1</v>
      </c>
      <c r="GO113">
        <v>0</v>
      </c>
      <c r="GP113">
        <v>1</v>
      </c>
      <c r="GQ113">
        <v>1</v>
      </c>
      <c r="GR113">
        <v>0</v>
      </c>
      <c r="GS113">
        <v>1</v>
      </c>
      <c r="GT113">
        <v>0</v>
      </c>
      <c r="GU113">
        <v>1</v>
      </c>
      <c r="GV113">
        <v>0</v>
      </c>
      <c r="GW113">
        <v>1</v>
      </c>
      <c r="GX113">
        <v>0</v>
      </c>
      <c r="GY113">
        <v>1</v>
      </c>
      <c r="GZ113">
        <v>0</v>
      </c>
      <c r="HA113" t="s">
        <v>362</v>
      </c>
      <c r="HB113" t="s">
        <v>894</v>
      </c>
      <c r="HC113" t="s">
        <v>895</v>
      </c>
      <c r="HD113" t="s">
        <v>845</v>
      </c>
      <c r="HE113" t="s">
        <v>836</v>
      </c>
      <c r="HF113" t="s">
        <v>873</v>
      </c>
      <c r="HG113" t="s">
        <v>894</v>
      </c>
      <c r="HH113" t="s">
        <v>895</v>
      </c>
      <c r="HI113" t="s">
        <v>845</v>
      </c>
      <c r="HJ113" t="s">
        <v>836</v>
      </c>
      <c r="HK113" t="s">
        <v>873</v>
      </c>
      <c r="HL113" t="s">
        <v>136</v>
      </c>
      <c r="HM113" t="s">
        <v>854</v>
      </c>
      <c r="HN113">
        <v>36805</v>
      </c>
      <c r="HP113" t="s">
        <v>134</v>
      </c>
      <c r="HQ113" t="s">
        <v>896</v>
      </c>
      <c r="HR113" t="s">
        <v>896</v>
      </c>
      <c r="HS113" t="s">
        <v>896</v>
      </c>
    </row>
    <row r="114" spans="1:227" x14ac:dyDescent="0.2">
      <c r="A114">
        <v>8702</v>
      </c>
      <c r="B114">
        <v>7531001136</v>
      </c>
      <c r="C114">
        <v>34</v>
      </c>
      <c r="D114" t="s">
        <v>996</v>
      </c>
      <c r="E114" t="s">
        <v>897</v>
      </c>
      <c r="F114">
        <v>0</v>
      </c>
      <c r="G114" t="s">
        <v>3356</v>
      </c>
      <c r="H114" t="s">
        <v>3356</v>
      </c>
      <c r="I114">
        <v>0</v>
      </c>
      <c r="J114" t="s">
        <v>833</v>
      </c>
      <c r="K114" t="s">
        <v>834</v>
      </c>
      <c r="L114">
        <v>152858766</v>
      </c>
      <c r="M114" t="s">
        <v>2571</v>
      </c>
      <c r="N114" t="s">
        <v>900</v>
      </c>
      <c r="O114" t="s">
        <v>837</v>
      </c>
      <c r="P114" t="s">
        <v>999</v>
      </c>
      <c r="Q114" t="s">
        <v>1027</v>
      </c>
      <c r="R114" t="s">
        <v>3357</v>
      </c>
      <c r="S114" t="s">
        <v>3358</v>
      </c>
      <c r="T114">
        <v>41477115259</v>
      </c>
      <c r="V114" t="s">
        <v>210</v>
      </c>
      <c r="W114" s="41">
        <v>45969</v>
      </c>
      <c r="X114" t="s">
        <v>3359</v>
      </c>
      <c r="Y114" t="s">
        <v>3360</v>
      </c>
      <c r="AA114">
        <v>0</v>
      </c>
      <c r="AB114" t="s">
        <v>845</v>
      </c>
      <c r="AC114" t="s">
        <v>846</v>
      </c>
      <c r="AD114" t="s">
        <v>847</v>
      </c>
      <c r="AE114" t="s">
        <v>848</v>
      </c>
      <c r="AF114">
        <v>1</v>
      </c>
      <c r="AG114">
        <v>452210</v>
      </c>
      <c r="AH114" t="s">
        <v>849</v>
      </c>
      <c r="AI114" t="s">
        <v>850</v>
      </c>
      <c r="AJ114" t="s">
        <v>851</v>
      </c>
      <c r="AK114" t="s">
        <v>297</v>
      </c>
      <c r="AL114" t="s">
        <v>2184</v>
      </c>
      <c r="AM114" t="s">
        <v>1408</v>
      </c>
      <c r="AN114" t="s">
        <v>854</v>
      </c>
      <c r="AO114">
        <v>36805</v>
      </c>
      <c r="AP114">
        <v>648</v>
      </c>
      <c r="AQ114" t="s">
        <v>855</v>
      </c>
      <c r="AR114">
        <v>66193232</v>
      </c>
      <c r="AS114" t="s">
        <v>856</v>
      </c>
      <c r="AU114" t="s">
        <v>3361</v>
      </c>
      <c r="AV114" t="s">
        <v>3362</v>
      </c>
      <c r="AX114" t="s">
        <v>913</v>
      </c>
      <c r="AY114" t="s">
        <v>861</v>
      </c>
      <c r="AZ114" t="s">
        <v>297</v>
      </c>
      <c r="BA114" t="s">
        <v>298</v>
      </c>
      <c r="BB114">
        <v>0</v>
      </c>
      <c r="BC114">
        <v>1</v>
      </c>
      <c r="BD114">
        <v>0</v>
      </c>
      <c r="BE114" t="s">
        <v>2571</v>
      </c>
      <c r="BF114">
        <v>0</v>
      </c>
      <c r="BG114">
        <v>0</v>
      </c>
      <c r="BH114" t="s">
        <v>862</v>
      </c>
      <c r="BI114">
        <v>0</v>
      </c>
      <c r="BJ114" t="s">
        <v>862</v>
      </c>
      <c r="BK114">
        <v>1</v>
      </c>
      <c r="BL114">
        <v>1</v>
      </c>
      <c r="BM114">
        <v>0</v>
      </c>
      <c r="BN114" t="s">
        <v>596</v>
      </c>
      <c r="BO114">
        <v>152858766</v>
      </c>
      <c r="BP114" t="s">
        <v>3356</v>
      </c>
      <c r="BR114">
        <v>42791781</v>
      </c>
      <c r="BT114">
        <v>0</v>
      </c>
      <c r="CM114">
        <v>4010</v>
      </c>
      <c r="CO114">
        <v>7360</v>
      </c>
      <c r="CP114">
        <v>0.26669999999999999</v>
      </c>
      <c r="CQ114">
        <v>0.26669999999999999</v>
      </c>
      <c r="CR114">
        <v>0.91669999999999996</v>
      </c>
      <c r="CS114">
        <v>4</v>
      </c>
      <c r="CT114" t="s">
        <v>3362</v>
      </c>
      <c r="CU114" t="s">
        <v>3361</v>
      </c>
      <c r="CV114" t="s">
        <v>833</v>
      </c>
      <c r="CW114" t="s">
        <v>834</v>
      </c>
      <c r="CX114" t="s">
        <v>2571</v>
      </c>
      <c r="CY114">
        <v>1</v>
      </c>
      <c r="CZ114">
        <v>1</v>
      </c>
      <c r="DA114" t="s">
        <v>833</v>
      </c>
      <c r="DB114" t="s">
        <v>865</v>
      </c>
      <c r="DC114">
        <v>48197</v>
      </c>
      <c r="DD114">
        <v>22.416699999999999</v>
      </c>
      <c r="DE114" t="s">
        <v>866</v>
      </c>
      <c r="DG114" t="s">
        <v>867</v>
      </c>
      <c r="DH114" t="s">
        <v>851</v>
      </c>
      <c r="DI114" t="s">
        <v>2105</v>
      </c>
      <c r="DJ114" t="s">
        <v>2576</v>
      </c>
      <c r="DL114" t="s">
        <v>869</v>
      </c>
      <c r="DM114">
        <v>0</v>
      </c>
      <c r="DN114">
        <v>0</v>
      </c>
      <c r="DO114">
        <v>11</v>
      </c>
      <c r="DP114" t="s">
        <v>1010</v>
      </c>
      <c r="DQ114">
        <v>12</v>
      </c>
      <c r="DR114">
        <v>1345</v>
      </c>
      <c r="DS114">
        <v>2785</v>
      </c>
      <c r="DT114">
        <v>22.15</v>
      </c>
      <c r="DU114">
        <v>4</v>
      </c>
      <c r="DW114">
        <v>1</v>
      </c>
      <c r="DX114" t="s">
        <v>596</v>
      </c>
      <c r="DY114" t="s">
        <v>2571</v>
      </c>
      <c r="DZ114">
        <v>0</v>
      </c>
      <c r="EA114">
        <v>0</v>
      </c>
      <c r="EB114">
        <v>1</v>
      </c>
      <c r="EC114">
        <v>0</v>
      </c>
      <c r="ED114">
        <v>0</v>
      </c>
      <c r="EE114">
        <v>1</v>
      </c>
      <c r="EF114" t="s">
        <v>871</v>
      </c>
      <c r="EG114" t="s">
        <v>595</v>
      </c>
      <c r="EH114" t="s">
        <v>1036</v>
      </c>
      <c r="EI114" t="s">
        <v>1036</v>
      </c>
      <c r="EJ114" t="s">
        <v>178</v>
      </c>
      <c r="EK114">
        <v>9090</v>
      </c>
      <c r="EL114">
        <v>0</v>
      </c>
      <c r="EM114" t="s">
        <v>952</v>
      </c>
      <c r="EN114">
        <v>0.91669999999999996</v>
      </c>
      <c r="EO114">
        <v>46.416666599999999</v>
      </c>
      <c r="EP114">
        <v>99991120</v>
      </c>
      <c r="EQ114" t="s">
        <v>874</v>
      </c>
      <c r="ER114" t="s">
        <v>875</v>
      </c>
      <c r="ES114" t="s">
        <v>876</v>
      </c>
      <c r="ET114" t="s">
        <v>877</v>
      </c>
      <c r="EU114" t="s">
        <v>877</v>
      </c>
      <c r="EV114" t="s">
        <v>871</v>
      </c>
      <c r="EX114" t="s">
        <v>953</v>
      </c>
      <c r="EY114" t="s">
        <v>954</v>
      </c>
      <c r="EZ114" t="s">
        <v>955</v>
      </c>
      <c r="FA114" t="s">
        <v>956</v>
      </c>
      <c r="FB114">
        <v>1</v>
      </c>
      <c r="FC114">
        <v>1</v>
      </c>
      <c r="FD114" s="41">
        <v>45969</v>
      </c>
      <c r="FE114" t="s">
        <v>1438</v>
      </c>
      <c r="FF114">
        <v>12</v>
      </c>
      <c r="FG114" t="s">
        <v>3363</v>
      </c>
      <c r="FH114" t="s">
        <v>3364</v>
      </c>
      <c r="FI114">
        <v>1</v>
      </c>
      <c r="FJ114" t="s">
        <v>3365</v>
      </c>
      <c r="FK114" t="s">
        <v>3366</v>
      </c>
      <c r="FL114">
        <v>1</v>
      </c>
      <c r="FM114" t="s">
        <v>3367</v>
      </c>
      <c r="FN114" t="s">
        <v>3368</v>
      </c>
      <c r="FO114">
        <v>1</v>
      </c>
      <c r="FP114" t="s">
        <v>3369</v>
      </c>
      <c r="FQ114" t="s">
        <v>3361</v>
      </c>
      <c r="FR114">
        <v>1</v>
      </c>
      <c r="FS114" t="s">
        <v>3370</v>
      </c>
      <c r="FT114" t="s">
        <v>3371</v>
      </c>
      <c r="FU114">
        <v>1</v>
      </c>
      <c r="FV114" t="s">
        <v>3372</v>
      </c>
      <c r="FW114" t="s">
        <v>3373</v>
      </c>
      <c r="FX114">
        <v>1</v>
      </c>
      <c r="FY114" t="s">
        <v>890</v>
      </c>
      <c r="FZ114" t="s">
        <v>3374</v>
      </c>
      <c r="GA114" t="s">
        <v>3363</v>
      </c>
      <c r="GB114">
        <v>1</v>
      </c>
      <c r="GD114">
        <v>0</v>
      </c>
      <c r="GF114">
        <v>0</v>
      </c>
      <c r="GG114">
        <v>1</v>
      </c>
      <c r="GH114" t="s">
        <v>892</v>
      </c>
      <c r="GI114" t="s">
        <v>893</v>
      </c>
      <c r="GJ114" t="s">
        <v>3364</v>
      </c>
      <c r="GM114">
        <v>1</v>
      </c>
      <c r="GN114">
        <v>1</v>
      </c>
      <c r="GO114">
        <v>0</v>
      </c>
      <c r="GP114">
        <v>1</v>
      </c>
      <c r="GQ114">
        <v>1</v>
      </c>
      <c r="GR114">
        <v>0</v>
      </c>
      <c r="GS114">
        <v>1</v>
      </c>
      <c r="GT114">
        <v>0</v>
      </c>
      <c r="GU114">
        <v>1</v>
      </c>
      <c r="GV114">
        <v>0</v>
      </c>
      <c r="GW114">
        <v>1</v>
      </c>
      <c r="GX114">
        <v>0</v>
      </c>
      <c r="GY114">
        <v>1</v>
      </c>
      <c r="GZ114">
        <v>0</v>
      </c>
      <c r="HA114" t="s">
        <v>297</v>
      </c>
      <c r="HB114" t="s">
        <v>894</v>
      </c>
      <c r="HC114" t="s">
        <v>935</v>
      </c>
      <c r="HD114" t="s">
        <v>845</v>
      </c>
      <c r="HE114" t="s">
        <v>900</v>
      </c>
      <c r="HF114" t="s">
        <v>923</v>
      </c>
      <c r="HG114" t="s">
        <v>894</v>
      </c>
      <c r="HH114" t="s">
        <v>935</v>
      </c>
      <c r="HI114" t="s">
        <v>845</v>
      </c>
      <c r="HJ114" t="s">
        <v>900</v>
      </c>
      <c r="HK114" t="s">
        <v>952</v>
      </c>
      <c r="HL114" t="s">
        <v>210</v>
      </c>
      <c r="HM114" t="s">
        <v>854</v>
      </c>
      <c r="HN114">
        <v>36805</v>
      </c>
      <c r="HP114" t="s">
        <v>178</v>
      </c>
      <c r="HQ114" t="s">
        <v>896</v>
      </c>
      <c r="HR114" t="s">
        <v>896</v>
      </c>
      <c r="HS114" t="s">
        <v>896</v>
      </c>
    </row>
    <row r="115" spans="1:227" x14ac:dyDescent="0.2">
      <c r="A115">
        <v>8702</v>
      </c>
      <c r="B115">
        <v>7616816120</v>
      </c>
      <c r="C115" t="s">
        <v>829</v>
      </c>
      <c r="D115" t="s">
        <v>830</v>
      </c>
      <c r="E115" t="s">
        <v>897</v>
      </c>
      <c r="F115">
        <v>4</v>
      </c>
      <c r="G115" t="s">
        <v>3375</v>
      </c>
      <c r="H115" t="s">
        <v>3375</v>
      </c>
      <c r="I115">
        <v>0</v>
      </c>
      <c r="J115" t="s">
        <v>833</v>
      </c>
      <c r="K115" t="s">
        <v>834</v>
      </c>
      <c r="L115">
        <v>152946623</v>
      </c>
      <c r="M115" t="s">
        <v>3376</v>
      </c>
      <c r="N115" t="s">
        <v>900</v>
      </c>
      <c r="O115" t="s">
        <v>837</v>
      </c>
      <c r="P115" t="s">
        <v>838</v>
      </c>
      <c r="Q115" t="s">
        <v>839</v>
      </c>
      <c r="R115" t="s">
        <v>3377</v>
      </c>
      <c r="S115" t="s">
        <v>3378</v>
      </c>
      <c r="T115">
        <v>41477122362</v>
      </c>
      <c r="V115" t="s">
        <v>144</v>
      </c>
      <c r="W115" s="41">
        <v>46191</v>
      </c>
      <c r="X115" t="s">
        <v>3379</v>
      </c>
      <c r="Y115" t="s">
        <v>3380</v>
      </c>
      <c r="AA115">
        <v>0</v>
      </c>
      <c r="AB115" t="s">
        <v>845</v>
      </c>
      <c r="AC115" t="s">
        <v>846</v>
      </c>
      <c r="AD115" t="s">
        <v>907</v>
      </c>
      <c r="AE115" t="s">
        <v>908</v>
      </c>
      <c r="AF115">
        <v>1</v>
      </c>
      <c r="AG115">
        <v>452210</v>
      </c>
      <c r="AH115" t="s">
        <v>849</v>
      </c>
      <c r="AI115" t="s">
        <v>850</v>
      </c>
      <c r="AJ115" t="s">
        <v>851</v>
      </c>
      <c r="AK115" t="s">
        <v>317</v>
      </c>
      <c r="AL115" t="s">
        <v>3381</v>
      </c>
      <c r="AM115" t="s">
        <v>1926</v>
      </c>
      <c r="AN115" t="s">
        <v>854</v>
      </c>
      <c r="AO115">
        <v>36805</v>
      </c>
      <c r="AP115">
        <v>528</v>
      </c>
      <c r="AQ115" t="s">
        <v>855</v>
      </c>
      <c r="AR115">
        <v>66512698</v>
      </c>
      <c r="AS115" t="s">
        <v>856</v>
      </c>
      <c r="AU115" t="s">
        <v>3382</v>
      </c>
      <c r="AV115" t="s">
        <v>3383</v>
      </c>
      <c r="AW115" t="s">
        <v>2669</v>
      </c>
      <c r="AX115" t="s">
        <v>2670</v>
      </c>
      <c r="AY115" t="s">
        <v>861</v>
      </c>
      <c r="AZ115" t="s">
        <v>317</v>
      </c>
      <c r="BA115" t="s">
        <v>318</v>
      </c>
      <c r="BB115">
        <v>1</v>
      </c>
      <c r="BC115">
        <v>0</v>
      </c>
      <c r="BD115">
        <v>0</v>
      </c>
      <c r="BE115" t="s">
        <v>3376</v>
      </c>
      <c r="BF115">
        <v>0</v>
      </c>
      <c r="BG115">
        <v>0</v>
      </c>
      <c r="BH115" t="s">
        <v>862</v>
      </c>
      <c r="BI115">
        <v>0</v>
      </c>
      <c r="BJ115" t="s">
        <v>862</v>
      </c>
      <c r="BK115">
        <v>1</v>
      </c>
      <c r="BL115">
        <v>0</v>
      </c>
      <c r="BM115">
        <v>0</v>
      </c>
      <c r="BN115" t="s">
        <v>596</v>
      </c>
      <c r="BO115">
        <v>152946623</v>
      </c>
      <c r="BP115" t="s">
        <v>3375</v>
      </c>
      <c r="BQ115">
        <v>40.0019603</v>
      </c>
      <c r="BR115">
        <v>42791441</v>
      </c>
      <c r="BS115">
        <v>-86.106883300000007</v>
      </c>
      <c r="BT115">
        <v>2</v>
      </c>
      <c r="BU115" t="s">
        <v>1314</v>
      </c>
      <c r="BY115">
        <v>16</v>
      </c>
      <c r="CA115">
        <v>10</v>
      </c>
      <c r="CE115">
        <v>1</v>
      </c>
      <c r="CI115">
        <v>11</v>
      </c>
      <c r="CJ115" t="s">
        <v>94</v>
      </c>
      <c r="CM115">
        <v>4010</v>
      </c>
      <c r="CO115">
        <v>7360</v>
      </c>
      <c r="CP115">
        <v>5.4667000000000003</v>
      </c>
      <c r="CQ115">
        <v>5.4667000000000003</v>
      </c>
      <c r="CR115">
        <v>1.6167</v>
      </c>
      <c r="CS115">
        <v>0</v>
      </c>
      <c r="CT115" t="s">
        <v>3383</v>
      </c>
      <c r="CU115" t="s">
        <v>3382</v>
      </c>
      <c r="CV115" t="s">
        <v>833</v>
      </c>
      <c r="CW115" t="s">
        <v>834</v>
      </c>
      <c r="CX115" t="s">
        <v>3376</v>
      </c>
      <c r="CY115">
        <v>1</v>
      </c>
      <c r="CZ115">
        <v>1</v>
      </c>
      <c r="DA115" t="s">
        <v>833</v>
      </c>
      <c r="DB115" t="s">
        <v>865</v>
      </c>
      <c r="DC115">
        <v>46033</v>
      </c>
      <c r="DD115">
        <v>10.2667</v>
      </c>
      <c r="DE115" t="s">
        <v>866</v>
      </c>
      <c r="DG115" t="s">
        <v>867</v>
      </c>
      <c r="DH115" t="s">
        <v>851</v>
      </c>
      <c r="DI115" t="s">
        <v>3384</v>
      </c>
      <c r="DK115" t="s">
        <v>918</v>
      </c>
      <c r="DL115" t="s">
        <v>869</v>
      </c>
      <c r="DM115">
        <v>0</v>
      </c>
      <c r="DN115">
        <v>0</v>
      </c>
      <c r="DO115">
        <v>11</v>
      </c>
      <c r="DP115" t="s">
        <v>1010</v>
      </c>
      <c r="DQ115">
        <v>16</v>
      </c>
      <c r="DR115">
        <v>616</v>
      </c>
      <c r="DS115">
        <v>1336</v>
      </c>
      <c r="DT115">
        <v>0.36670000000000003</v>
      </c>
      <c r="DU115">
        <v>4</v>
      </c>
      <c r="DV115">
        <v>1</v>
      </c>
      <c r="DW115">
        <v>2</v>
      </c>
      <c r="DX115" t="s">
        <v>594</v>
      </c>
      <c r="DY115" t="s">
        <v>3376</v>
      </c>
      <c r="DZ115">
        <v>0</v>
      </c>
      <c r="EA115">
        <v>0</v>
      </c>
      <c r="EB115">
        <v>0</v>
      </c>
      <c r="EC115">
        <v>0</v>
      </c>
      <c r="ED115">
        <v>0</v>
      </c>
      <c r="EE115">
        <v>0</v>
      </c>
      <c r="EF115" t="s">
        <v>920</v>
      </c>
      <c r="EG115" t="s">
        <v>595</v>
      </c>
      <c r="EH115" t="s">
        <v>872</v>
      </c>
      <c r="EI115" t="s">
        <v>872</v>
      </c>
      <c r="EJ115" t="s">
        <v>134</v>
      </c>
      <c r="EK115">
        <v>9090</v>
      </c>
      <c r="EL115">
        <v>1</v>
      </c>
      <c r="EM115" t="s">
        <v>1011</v>
      </c>
      <c r="EN115">
        <v>1.6167</v>
      </c>
      <c r="EO115">
        <v>22.266666699999998</v>
      </c>
      <c r="EP115">
        <v>99991120</v>
      </c>
      <c r="EQ115" t="s">
        <v>874</v>
      </c>
      <c r="ER115" t="s">
        <v>875</v>
      </c>
      <c r="ES115" t="s">
        <v>876</v>
      </c>
      <c r="ET115" t="s">
        <v>877</v>
      </c>
      <c r="EU115" t="s">
        <v>877</v>
      </c>
      <c r="EV115" t="s">
        <v>920</v>
      </c>
      <c r="EX115" t="s">
        <v>900</v>
      </c>
      <c r="EY115" t="s">
        <v>1012</v>
      </c>
      <c r="EZ115" t="s">
        <v>1013</v>
      </c>
      <c r="FA115" t="s">
        <v>925</v>
      </c>
      <c r="FB115">
        <v>1</v>
      </c>
      <c r="FC115">
        <v>2</v>
      </c>
      <c r="FD115" s="41">
        <v>46193</v>
      </c>
      <c r="FE115" t="s">
        <v>1315</v>
      </c>
      <c r="FF115">
        <v>9</v>
      </c>
      <c r="FG115" t="s">
        <v>3385</v>
      </c>
      <c r="FH115" t="s">
        <v>3386</v>
      </c>
      <c r="FI115">
        <v>1</v>
      </c>
      <c r="FJ115" t="s">
        <v>3385</v>
      </c>
      <c r="FK115" t="s">
        <v>3386</v>
      </c>
      <c r="FL115">
        <v>1</v>
      </c>
      <c r="FM115" t="s">
        <v>3387</v>
      </c>
      <c r="FN115" t="s">
        <v>3388</v>
      </c>
      <c r="FO115">
        <v>1</v>
      </c>
      <c r="FP115" t="s">
        <v>3389</v>
      </c>
      <c r="FQ115" t="s">
        <v>3390</v>
      </c>
      <c r="FR115">
        <v>1</v>
      </c>
      <c r="FS115" t="s">
        <v>1984</v>
      </c>
      <c r="FT115" t="s">
        <v>3391</v>
      </c>
      <c r="FU115">
        <v>1</v>
      </c>
      <c r="FV115" t="s">
        <v>3392</v>
      </c>
      <c r="FW115" t="s">
        <v>3393</v>
      </c>
      <c r="FX115">
        <v>1</v>
      </c>
      <c r="FY115" t="s">
        <v>890</v>
      </c>
      <c r="FZ115" t="s">
        <v>3394</v>
      </c>
      <c r="GA115" t="s">
        <v>3385</v>
      </c>
      <c r="GB115">
        <v>1</v>
      </c>
      <c r="GD115">
        <v>0</v>
      </c>
      <c r="GF115">
        <v>0</v>
      </c>
      <c r="GG115">
        <v>1</v>
      </c>
      <c r="GH115" t="s">
        <v>892</v>
      </c>
      <c r="GI115" t="s">
        <v>893</v>
      </c>
      <c r="GJ115" t="s">
        <v>3386</v>
      </c>
      <c r="GM115">
        <v>1</v>
      </c>
      <c r="GN115">
        <v>0</v>
      </c>
      <c r="GO115">
        <v>0</v>
      </c>
      <c r="GP115">
        <v>1</v>
      </c>
      <c r="GQ115">
        <v>1</v>
      </c>
      <c r="GR115">
        <v>0</v>
      </c>
      <c r="GS115">
        <v>1</v>
      </c>
      <c r="GT115">
        <v>0</v>
      </c>
      <c r="GU115">
        <v>1</v>
      </c>
      <c r="GV115">
        <v>0</v>
      </c>
      <c r="GW115">
        <v>1</v>
      </c>
      <c r="GX115">
        <v>0</v>
      </c>
      <c r="GY115">
        <v>1</v>
      </c>
      <c r="GZ115">
        <v>0</v>
      </c>
      <c r="HA115" t="s">
        <v>317</v>
      </c>
      <c r="HB115" t="s">
        <v>894</v>
      </c>
      <c r="HC115" t="s">
        <v>935</v>
      </c>
      <c r="HD115" t="s">
        <v>845</v>
      </c>
      <c r="HE115" t="s">
        <v>900</v>
      </c>
      <c r="HF115" t="s">
        <v>1012</v>
      </c>
      <c r="HG115" t="s">
        <v>894</v>
      </c>
      <c r="HH115" t="s">
        <v>935</v>
      </c>
      <c r="HI115" t="s">
        <v>845</v>
      </c>
      <c r="HJ115" t="s">
        <v>900</v>
      </c>
      <c r="HK115" t="s">
        <v>1011</v>
      </c>
      <c r="HL115" t="s">
        <v>144</v>
      </c>
      <c r="HM115" t="s">
        <v>854</v>
      </c>
      <c r="HN115">
        <v>36805</v>
      </c>
      <c r="HP115" t="s">
        <v>134</v>
      </c>
      <c r="HQ115" t="s">
        <v>896</v>
      </c>
      <c r="HR115" t="s">
        <v>896</v>
      </c>
      <c r="HS115" t="s">
        <v>896</v>
      </c>
    </row>
    <row r="116" spans="1:227" x14ac:dyDescent="0.2">
      <c r="A116">
        <v>8702</v>
      </c>
      <c r="B116">
        <v>7521807483</v>
      </c>
      <c r="C116">
        <v>36</v>
      </c>
      <c r="D116" t="s">
        <v>1302</v>
      </c>
      <c r="E116" t="s">
        <v>897</v>
      </c>
      <c r="F116">
        <v>0</v>
      </c>
      <c r="G116" t="s">
        <v>3395</v>
      </c>
      <c r="H116" t="s">
        <v>3395</v>
      </c>
      <c r="I116">
        <v>0</v>
      </c>
      <c r="J116" t="s">
        <v>833</v>
      </c>
      <c r="K116" t="s">
        <v>834</v>
      </c>
      <c r="L116">
        <v>153195494</v>
      </c>
      <c r="M116" t="s">
        <v>3396</v>
      </c>
      <c r="N116" t="s">
        <v>900</v>
      </c>
      <c r="O116" t="s">
        <v>837</v>
      </c>
      <c r="P116" t="s">
        <v>1302</v>
      </c>
      <c r="Q116" t="s">
        <v>1517</v>
      </c>
      <c r="R116" t="s">
        <v>3397</v>
      </c>
      <c r="S116" t="s">
        <v>3398</v>
      </c>
      <c r="T116">
        <v>41477124032</v>
      </c>
      <c r="V116" t="s">
        <v>232</v>
      </c>
      <c r="W116" s="41">
        <v>45880</v>
      </c>
      <c r="X116" t="s">
        <v>3399</v>
      </c>
      <c r="Y116" t="s">
        <v>3400</v>
      </c>
      <c r="Z116" t="s">
        <v>3401</v>
      </c>
      <c r="AA116">
        <v>0</v>
      </c>
      <c r="AB116" t="s">
        <v>845</v>
      </c>
      <c r="AC116" t="s">
        <v>846</v>
      </c>
      <c r="AD116" t="s">
        <v>847</v>
      </c>
      <c r="AE116" t="s">
        <v>848</v>
      </c>
      <c r="AF116">
        <v>1</v>
      </c>
      <c r="AG116">
        <v>452210</v>
      </c>
      <c r="AH116" t="s">
        <v>849</v>
      </c>
      <c r="AI116" t="s">
        <v>850</v>
      </c>
      <c r="AJ116" t="s">
        <v>851</v>
      </c>
      <c r="AK116" t="s">
        <v>367</v>
      </c>
      <c r="AL116" t="s">
        <v>3402</v>
      </c>
      <c r="AM116" t="s">
        <v>3403</v>
      </c>
      <c r="AN116" t="s">
        <v>854</v>
      </c>
      <c r="AO116">
        <v>36805</v>
      </c>
      <c r="AP116">
        <v>923</v>
      </c>
      <c r="AQ116" t="s">
        <v>855</v>
      </c>
      <c r="AR116">
        <v>66065213</v>
      </c>
      <c r="AS116" t="s">
        <v>856</v>
      </c>
      <c r="AU116" t="s">
        <v>3404</v>
      </c>
      <c r="AV116" t="s">
        <v>3405</v>
      </c>
      <c r="AW116" t="s">
        <v>859</v>
      </c>
      <c r="AX116" t="s">
        <v>860</v>
      </c>
      <c r="AY116" t="s">
        <v>861</v>
      </c>
      <c r="AZ116" t="s">
        <v>367</v>
      </c>
      <c r="BA116" t="s">
        <v>368</v>
      </c>
      <c r="BB116">
        <v>0</v>
      </c>
      <c r="BC116">
        <v>0</v>
      </c>
      <c r="BD116">
        <v>0</v>
      </c>
      <c r="BE116" t="s">
        <v>3396</v>
      </c>
      <c r="BF116">
        <v>0</v>
      </c>
      <c r="BG116">
        <v>0</v>
      </c>
      <c r="BH116" t="s">
        <v>862</v>
      </c>
      <c r="BI116">
        <v>0</v>
      </c>
      <c r="BJ116" t="s">
        <v>862</v>
      </c>
      <c r="BK116">
        <v>1</v>
      </c>
      <c r="BL116">
        <v>0</v>
      </c>
      <c r="BM116">
        <v>0</v>
      </c>
      <c r="BN116" t="s">
        <v>596</v>
      </c>
      <c r="BO116">
        <v>153195494</v>
      </c>
      <c r="BP116" t="s">
        <v>3395</v>
      </c>
      <c r="BR116">
        <v>42793647</v>
      </c>
      <c r="BT116">
        <v>1</v>
      </c>
      <c r="BU116" t="s">
        <v>3406</v>
      </c>
      <c r="CI116">
        <v>11</v>
      </c>
      <c r="CJ116" t="s">
        <v>94</v>
      </c>
      <c r="CM116">
        <v>4010</v>
      </c>
      <c r="CO116">
        <v>7360</v>
      </c>
      <c r="CP116">
        <v>0.56669999999999998</v>
      </c>
      <c r="CQ116">
        <v>0.56669999999999998</v>
      </c>
      <c r="CR116">
        <v>0.26669999999999999</v>
      </c>
      <c r="CS116">
        <v>2</v>
      </c>
      <c r="CT116" t="s">
        <v>3405</v>
      </c>
      <c r="CU116" t="s">
        <v>3404</v>
      </c>
      <c r="CV116" t="s">
        <v>833</v>
      </c>
      <c r="CW116" t="s">
        <v>834</v>
      </c>
      <c r="CX116" t="s">
        <v>3396</v>
      </c>
      <c r="CY116">
        <v>0</v>
      </c>
      <c r="CZ116">
        <v>0</v>
      </c>
      <c r="DA116" t="s">
        <v>833</v>
      </c>
      <c r="DB116" t="s">
        <v>865</v>
      </c>
      <c r="DC116">
        <v>43085</v>
      </c>
      <c r="DD116">
        <v>61.3</v>
      </c>
      <c r="DE116" t="s">
        <v>866</v>
      </c>
      <c r="DG116" t="s">
        <v>867</v>
      </c>
      <c r="DH116" t="s">
        <v>851</v>
      </c>
      <c r="DI116" t="s">
        <v>3407</v>
      </c>
      <c r="DK116" t="s">
        <v>1155</v>
      </c>
      <c r="DL116" t="s">
        <v>869</v>
      </c>
      <c r="DM116">
        <v>0</v>
      </c>
      <c r="DN116">
        <v>0</v>
      </c>
      <c r="DO116">
        <v>53</v>
      </c>
      <c r="DP116" t="s">
        <v>1156</v>
      </c>
      <c r="DQ116">
        <v>16</v>
      </c>
      <c r="DR116">
        <v>3678</v>
      </c>
      <c r="DS116">
        <v>7278</v>
      </c>
      <c r="DT116">
        <v>60.7333</v>
      </c>
      <c r="DU116">
        <v>4</v>
      </c>
      <c r="DV116">
        <v>1</v>
      </c>
      <c r="DW116">
        <v>2</v>
      </c>
      <c r="DX116" t="s">
        <v>594</v>
      </c>
      <c r="DY116" t="s">
        <v>3396</v>
      </c>
      <c r="DZ116">
        <v>0</v>
      </c>
      <c r="EA116">
        <v>0</v>
      </c>
      <c r="EB116">
        <v>0</v>
      </c>
      <c r="EC116">
        <v>0</v>
      </c>
      <c r="ED116">
        <v>0</v>
      </c>
      <c r="EE116">
        <v>0</v>
      </c>
      <c r="EF116" t="s">
        <v>871</v>
      </c>
      <c r="EG116" t="s">
        <v>595</v>
      </c>
      <c r="EH116" t="s">
        <v>872</v>
      </c>
      <c r="EI116" t="s">
        <v>872</v>
      </c>
      <c r="EJ116" t="s">
        <v>226</v>
      </c>
      <c r="EK116">
        <v>9090</v>
      </c>
      <c r="EL116">
        <v>0</v>
      </c>
      <c r="EM116" t="s">
        <v>1157</v>
      </c>
      <c r="EN116">
        <v>0.26669999999999999</v>
      </c>
      <c r="EO116">
        <v>121.3</v>
      </c>
      <c r="EP116">
        <v>99991120</v>
      </c>
      <c r="EQ116" t="s">
        <v>874</v>
      </c>
      <c r="ER116" t="s">
        <v>875</v>
      </c>
      <c r="ES116" t="s">
        <v>876</v>
      </c>
      <c r="ET116" t="s">
        <v>877</v>
      </c>
      <c r="EU116" t="s">
        <v>877</v>
      </c>
      <c r="EV116" t="s">
        <v>871</v>
      </c>
      <c r="EX116" t="s">
        <v>953</v>
      </c>
      <c r="EY116" t="s">
        <v>986</v>
      </c>
      <c r="EZ116" t="s">
        <v>1158</v>
      </c>
      <c r="FA116" t="s">
        <v>925</v>
      </c>
      <c r="FB116">
        <v>1</v>
      </c>
      <c r="FC116">
        <v>1</v>
      </c>
      <c r="FD116" s="41">
        <v>45885</v>
      </c>
      <c r="FE116" t="s">
        <v>987</v>
      </c>
      <c r="FF116">
        <v>17</v>
      </c>
      <c r="FG116" t="s">
        <v>3408</v>
      </c>
      <c r="FH116" t="s">
        <v>3409</v>
      </c>
      <c r="FI116">
        <v>1</v>
      </c>
      <c r="FJ116" t="s">
        <v>3410</v>
      </c>
      <c r="FK116" t="s">
        <v>3411</v>
      </c>
      <c r="FL116">
        <v>1</v>
      </c>
      <c r="FM116" t="s">
        <v>3412</v>
      </c>
      <c r="FN116" t="s">
        <v>3413</v>
      </c>
      <c r="FO116">
        <v>1</v>
      </c>
      <c r="FP116" t="s">
        <v>3414</v>
      </c>
      <c r="FQ116" t="s">
        <v>3415</v>
      </c>
      <c r="FR116">
        <v>1</v>
      </c>
      <c r="FS116" t="s">
        <v>3416</v>
      </c>
      <c r="FT116" t="s">
        <v>3417</v>
      </c>
      <c r="FU116">
        <v>1</v>
      </c>
      <c r="FV116" t="s">
        <v>3418</v>
      </c>
      <c r="FW116" t="s">
        <v>3419</v>
      </c>
      <c r="FX116">
        <v>1</v>
      </c>
      <c r="FY116" t="s">
        <v>890</v>
      </c>
      <c r="FZ116" t="s">
        <v>3420</v>
      </c>
      <c r="GA116" t="s">
        <v>3410</v>
      </c>
      <c r="GB116">
        <v>1</v>
      </c>
      <c r="GD116">
        <v>0</v>
      </c>
      <c r="GF116">
        <v>0</v>
      </c>
      <c r="GG116">
        <v>1</v>
      </c>
      <c r="GH116" t="s">
        <v>892</v>
      </c>
      <c r="GI116" t="s">
        <v>893</v>
      </c>
      <c r="GJ116" t="s">
        <v>3411</v>
      </c>
      <c r="GM116">
        <v>1</v>
      </c>
      <c r="GN116">
        <v>1</v>
      </c>
      <c r="GO116">
        <v>0</v>
      </c>
      <c r="GP116">
        <v>1</v>
      </c>
      <c r="GQ116">
        <v>1</v>
      </c>
      <c r="GR116">
        <v>0</v>
      </c>
      <c r="GS116">
        <v>1</v>
      </c>
      <c r="GT116">
        <v>0</v>
      </c>
      <c r="GU116">
        <v>1</v>
      </c>
      <c r="GV116">
        <v>0</v>
      </c>
      <c r="GW116">
        <v>1</v>
      </c>
      <c r="GX116">
        <v>0</v>
      </c>
      <c r="GY116">
        <v>1</v>
      </c>
      <c r="GZ116">
        <v>0</v>
      </c>
      <c r="HA116" t="s">
        <v>367</v>
      </c>
      <c r="HB116" t="s">
        <v>894</v>
      </c>
      <c r="HC116" t="s">
        <v>935</v>
      </c>
      <c r="HD116" t="s">
        <v>845</v>
      </c>
      <c r="HE116" t="s">
        <v>900</v>
      </c>
      <c r="HF116" t="s">
        <v>923</v>
      </c>
      <c r="HG116" t="s">
        <v>894</v>
      </c>
      <c r="HH116" t="s">
        <v>935</v>
      </c>
      <c r="HI116" t="s">
        <v>845</v>
      </c>
      <c r="HJ116" t="s">
        <v>900</v>
      </c>
      <c r="HK116" t="s">
        <v>922</v>
      </c>
      <c r="HL116" t="s">
        <v>232</v>
      </c>
      <c r="HM116" t="s">
        <v>854</v>
      </c>
      <c r="HN116">
        <v>36805</v>
      </c>
      <c r="HO116">
        <v>1</v>
      </c>
      <c r="HP116" t="s">
        <v>226</v>
      </c>
      <c r="HQ116" t="s">
        <v>896</v>
      </c>
      <c r="HR116" t="s">
        <v>896</v>
      </c>
      <c r="HS116" t="s">
        <v>896</v>
      </c>
    </row>
    <row r="117" spans="1:227" x14ac:dyDescent="0.2">
      <c r="A117">
        <v>8702</v>
      </c>
      <c r="B117">
        <v>7532608934</v>
      </c>
      <c r="C117" t="s">
        <v>936</v>
      </c>
      <c r="D117" t="s">
        <v>937</v>
      </c>
      <c r="E117" t="s">
        <v>831</v>
      </c>
      <c r="F117">
        <v>0</v>
      </c>
      <c r="G117" t="s">
        <v>3421</v>
      </c>
      <c r="H117" t="s">
        <v>3421</v>
      </c>
      <c r="I117">
        <v>0</v>
      </c>
      <c r="J117" t="s">
        <v>833</v>
      </c>
      <c r="K117" t="s">
        <v>834</v>
      </c>
      <c r="L117">
        <v>152949084</v>
      </c>
      <c r="M117" t="s">
        <v>3422</v>
      </c>
      <c r="N117" t="s">
        <v>836</v>
      </c>
      <c r="O117" t="s">
        <v>837</v>
      </c>
      <c r="P117" t="s">
        <v>940</v>
      </c>
      <c r="Q117" t="s">
        <v>2404</v>
      </c>
      <c r="R117" t="s">
        <v>3423</v>
      </c>
      <c r="S117" t="s">
        <v>3424</v>
      </c>
      <c r="T117">
        <v>41477075231</v>
      </c>
      <c r="V117" t="s">
        <v>121</v>
      </c>
      <c r="W117" s="41">
        <v>45983</v>
      </c>
      <c r="X117" t="s">
        <v>3425</v>
      </c>
      <c r="Y117" t="s">
        <v>3426</v>
      </c>
      <c r="AA117">
        <v>0</v>
      </c>
      <c r="AB117" t="s">
        <v>845</v>
      </c>
      <c r="AC117" t="s">
        <v>846</v>
      </c>
      <c r="AD117" t="s">
        <v>847</v>
      </c>
      <c r="AE117" t="s">
        <v>848</v>
      </c>
      <c r="AF117">
        <v>1</v>
      </c>
      <c r="AG117">
        <v>452210</v>
      </c>
      <c r="AH117" t="s">
        <v>849</v>
      </c>
      <c r="AI117" t="s">
        <v>850</v>
      </c>
      <c r="AJ117" t="s">
        <v>851</v>
      </c>
      <c r="AK117" t="s">
        <v>289</v>
      </c>
      <c r="AL117" t="s">
        <v>2443</v>
      </c>
      <c r="AM117" t="s">
        <v>3266</v>
      </c>
      <c r="AN117" t="s">
        <v>854</v>
      </c>
      <c r="AO117">
        <v>36805</v>
      </c>
      <c r="AP117">
        <v>495</v>
      </c>
      <c r="AQ117" t="s">
        <v>855</v>
      </c>
      <c r="AR117">
        <v>66213643</v>
      </c>
      <c r="AS117" t="s">
        <v>856</v>
      </c>
      <c r="AU117" t="s">
        <v>3427</v>
      </c>
      <c r="AV117" t="s">
        <v>3428</v>
      </c>
      <c r="AX117" t="s">
        <v>913</v>
      </c>
      <c r="AY117" t="s">
        <v>861</v>
      </c>
      <c r="AZ117" t="s">
        <v>289</v>
      </c>
      <c r="BA117" t="s">
        <v>290</v>
      </c>
      <c r="BB117">
        <v>0</v>
      </c>
      <c r="BC117">
        <v>0</v>
      </c>
      <c r="BD117">
        <v>0</v>
      </c>
      <c r="BE117" t="s">
        <v>3422</v>
      </c>
      <c r="BF117">
        <v>0</v>
      </c>
      <c r="BG117">
        <v>0</v>
      </c>
      <c r="BH117" t="s">
        <v>862</v>
      </c>
      <c r="BI117">
        <v>0</v>
      </c>
      <c r="BJ117" t="s">
        <v>862</v>
      </c>
      <c r="BK117">
        <v>1</v>
      </c>
      <c r="BL117">
        <v>1</v>
      </c>
      <c r="BM117">
        <v>0</v>
      </c>
      <c r="BN117" t="s">
        <v>596</v>
      </c>
      <c r="BO117">
        <v>152949084</v>
      </c>
      <c r="BP117" t="s">
        <v>3421</v>
      </c>
      <c r="BQ117">
        <v>38.7469568</v>
      </c>
      <c r="BR117">
        <v>42789062</v>
      </c>
      <c r="BS117">
        <v>-90.584874999999997</v>
      </c>
      <c r="BT117">
        <v>0</v>
      </c>
      <c r="CM117">
        <v>4010</v>
      </c>
      <c r="CO117">
        <v>7360</v>
      </c>
      <c r="CP117">
        <v>0.31669999999999998</v>
      </c>
      <c r="CQ117">
        <v>0.31669999999999998</v>
      </c>
      <c r="CR117">
        <v>0.26669999999999999</v>
      </c>
      <c r="CS117">
        <v>12</v>
      </c>
      <c r="CT117" t="s">
        <v>3428</v>
      </c>
      <c r="CU117" t="s">
        <v>3427</v>
      </c>
      <c r="CV117" t="s">
        <v>833</v>
      </c>
      <c r="CW117" t="s">
        <v>834</v>
      </c>
      <c r="CX117" t="s">
        <v>3422</v>
      </c>
      <c r="CY117">
        <v>0</v>
      </c>
      <c r="CZ117">
        <v>0</v>
      </c>
      <c r="DA117" t="s">
        <v>833</v>
      </c>
      <c r="DB117" t="s">
        <v>865</v>
      </c>
      <c r="DC117">
        <v>63304</v>
      </c>
      <c r="DD117">
        <v>2.35</v>
      </c>
      <c r="DE117" t="s">
        <v>866</v>
      </c>
      <c r="DG117" t="s">
        <v>867</v>
      </c>
      <c r="DH117" t="s">
        <v>851</v>
      </c>
      <c r="DI117" t="s">
        <v>2828</v>
      </c>
      <c r="DJ117" t="s">
        <v>3429</v>
      </c>
      <c r="DL117" t="s">
        <v>869</v>
      </c>
      <c r="DM117">
        <v>0</v>
      </c>
      <c r="DN117">
        <v>0</v>
      </c>
      <c r="DO117">
        <v>3</v>
      </c>
      <c r="DP117" t="s">
        <v>919</v>
      </c>
      <c r="DQ117">
        <v>16</v>
      </c>
      <c r="DR117">
        <v>141</v>
      </c>
      <c r="DS117">
        <v>141</v>
      </c>
      <c r="DT117">
        <v>2.0333000000000001</v>
      </c>
      <c r="DU117">
        <v>4</v>
      </c>
      <c r="DW117">
        <v>2</v>
      </c>
      <c r="DX117" t="s">
        <v>596</v>
      </c>
      <c r="DY117" t="s">
        <v>3422</v>
      </c>
      <c r="DZ117">
        <v>1</v>
      </c>
      <c r="EA117">
        <v>1</v>
      </c>
      <c r="EB117">
        <v>1</v>
      </c>
      <c r="EC117">
        <v>1</v>
      </c>
      <c r="ED117">
        <v>1</v>
      </c>
      <c r="EE117">
        <v>1</v>
      </c>
      <c r="EF117" t="s">
        <v>920</v>
      </c>
      <c r="EG117" t="s">
        <v>595</v>
      </c>
      <c r="EH117" t="s">
        <v>921</v>
      </c>
      <c r="EI117" t="s">
        <v>921</v>
      </c>
      <c r="EJ117" t="s">
        <v>111</v>
      </c>
      <c r="EK117">
        <v>9090</v>
      </c>
      <c r="EL117">
        <v>0</v>
      </c>
      <c r="EM117" t="s">
        <v>1037</v>
      </c>
      <c r="EN117">
        <v>0.26669999999999999</v>
      </c>
      <c r="EO117">
        <v>2.35</v>
      </c>
      <c r="EP117">
        <v>99991120</v>
      </c>
      <c r="EQ117" t="s">
        <v>874</v>
      </c>
      <c r="ER117" t="s">
        <v>875</v>
      </c>
      <c r="ES117" t="s">
        <v>876</v>
      </c>
      <c r="ET117" t="s">
        <v>877</v>
      </c>
      <c r="EU117" t="s">
        <v>877</v>
      </c>
      <c r="EV117" t="s">
        <v>920</v>
      </c>
      <c r="EX117" t="s">
        <v>900</v>
      </c>
      <c r="EY117" t="s">
        <v>923</v>
      </c>
      <c r="EZ117" t="s">
        <v>1038</v>
      </c>
      <c r="FA117" t="s">
        <v>925</v>
      </c>
      <c r="FB117">
        <v>1</v>
      </c>
      <c r="FC117">
        <v>1</v>
      </c>
      <c r="FD117" s="41">
        <v>45983</v>
      </c>
      <c r="FE117" t="s">
        <v>1438</v>
      </c>
      <c r="FF117">
        <v>4</v>
      </c>
      <c r="FI117">
        <v>0</v>
      </c>
      <c r="FL117">
        <v>0</v>
      </c>
      <c r="FM117" t="s">
        <v>3430</v>
      </c>
      <c r="FN117" t="s">
        <v>3431</v>
      </c>
      <c r="FO117">
        <v>1</v>
      </c>
      <c r="FP117" t="s">
        <v>3432</v>
      </c>
      <c r="FQ117" t="s">
        <v>3433</v>
      </c>
      <c r="FR117">
        <v>1</v>
      </c>
      <c r="FS117" t="s">
        <v>2453</v>
      </c>
      <c r="FT117" t="s">
        <v>3434</v>
      </c>
      <c r="FU117">
        <v>1</v>
      </c>
      <c r="FV117" t="s">
        <v>3435</v>
      </c>
      <c r="FW117" t="s">
        <v>3436</v>
      </c>
      <c r="FX117">
        <v>1</v>
      </c>
      <c r="FY117" t="s">
        <v>890</v>
      </c>
      <c r="FZ117" t="s">
        <v>3437</v>
      </c>
      <c r="GA117" t="s">
        <v>3435</v>
      </c>
      <c r="GB117">
        <v>1</v>
      </c>
      <c r="GD117">
        <v>0</v>
      </c>
      <c r="GF117">
        <v>0</v>
      </c>
      <c r="GG117">
        <v>1</v>
      </c>
      <c r="GH117" t="s">
        <v>892</v>
      </c>
      <c r="GI117" t="s">
        <v>893</v>
      </c>
      <c r="GJ117" t="s">
        <v>3436</v>
      </c>
      <c r="GM117">
        <v>1</v>
      </c>
      <c r="GN117">
        <v>1</v>
      </c>
      <c r="GO117">
        <v>0</v>
      </c>
      <c r="GP117">
        <v>1</v>
      </c>
      <c r="GQ117">
        <v>1</v>
      </c>
      <c r="GR117">
        <v>0</v>
      </c>
      <c r="GS117">
        <v>1</v>
      </c>
      <c r="GT117">
        <v>0</v>
      </c>
      <c r="GU117">
        <v>1</v>
      </c>
      <c r="GV117">
        <v>0</v>
      </c>
      <c r="GW117">
        <v>1</v>
      </c>
      <c r="GX117">
        <v>0</v>
      </c>
      <c r="GY117">
        <v>1</v>
      </c>
      <c r="GZ117">
        <v>0</v>
      </c>
      <c r="HA117" t="s">
        <v>289</v>
      </c>
      <c r="HB117" t="s">
        <v>894</v>
      </c>
      <c r="HC117" t="s">
        <v>895</v>
      </c>
      <c r="HD117" t="s">
        <v>845</v>
      </c>
      <c r="HE117" t="s">
        <v>836</v>
      </c>
      <c r="HF117" t="s">
        <v>1051</v>
      </c>
      <c r="HG117" t="s">
        <v>894</v>
      </c>
      <c r="HH117" t="s">
        <v>895</v>
      </c>
      <c r="HI117" t="s">
        <v>845</v>
      </c>
      <c r="HJ117" t="s">
        <v>836</v>
      </c>
      <c r="HK117" t="s">
        <v>1037</v>
      </c>
      <c r="HL117" t="s">
        <v>121</v>
      </c>
      <c r="HM117" t="s">
        <v>854</v>
      </c>
      <c r="HN117">
        <v>36805</v>
      </c>
      <c r="HP117" t="s">
        <v>111</v>
      </c>
      <c r="HQ117" t="s">
        <v>896</v>
      </c>
      <c r="HR117" t="s">
        <v>896</v>
      </c>
      <c r="HS117" t="s">
        <v>896</v>
      </c>
    </row>
    <row r="118" spans="1:227" x14ac:dyDescent="0.2">
      <c r="A118">
        <v>8702</v>
      </c>
      <c r="B118">
        <v>7621903257</v>
      </c>
      <c r="C118" t="s">
        <v>936</v>
      </c>
      <c r="D118" t="s">
        <v>937</v>
      </c>
      <c r="E118" t="s">
        <v>897</v>
      </c>
      <c r="F118">
        <v>0</v>
      </c>
      <c r="G118" t="s">
        <v>3438</v>
      </c>
      <c r="H118" t="s">
        <v>3438</v>
      </c>
      <c r="I118">
        <v>0</v>
      </c>
      <c r="J118" t="s">
        <v>833</v>
      </c>
      <c r="K118" t="s">
        <v>834</v>
      </c>
      <c r="L118">
        <v>153524524</v>
      </c>
      <c r="M118" t="s">
        <v>3439</v>
      </c>
      <c r="N118" t="s">
        <v>900</v>
      </c>
      <c r="O118" t="s">
        <v>837</v>
      </c>
      <c r="P118" t="s">
        <v>940</v>
      </c>
      <c r="Q118" t="s">
        <v>1080</v>
      </c>
      <c r="R118" t="s">
        <v>3440</v>
      </c>
      <c r="S118" t="s">
        <v>3441</v>
      </c>
      <c r="T118">
        <v>41477128951</v>
      </c>
      <c r="V118" t="s">
        <v>138</v>
      </c>
      <c r="W118" s="41">
        <v>46241</v>
      </c>
      <c r="X118" t="s">
        <v>3442</v>
      </c>
      <c r="Y118" t="s">
        <v>3443</v>
      </c>
      <c r="AA118">
        <v>0</v>
      </c>
      <c r="AB118" t="s">
        <v>845</v>
      </c>
      <c r="AC118" t="s">
        <v>846</v>
      </c>
      <c r="AD118" t="s">
        <v>907</v>
      </c>
      <c r="AE118" t="s">
        <v>908</v>
      </c>
      <c r="AF118">
        <v>1</v>
      </c>
      <c r="AG118">
        <v>452210</v>
      </c>
      <c r="AH118" t="s">
        <v>849</v>
      </c>
      <c r="AI118" t="s">
        <v>850</v>
      </c>
      <c r="AJ118" t="s">
        <v>851</v>
      </c>
      <c r="AK118" t="s">
        <v>421</v>
      </c>
      <c r="AL118" t="s">
        <v>3444</v>
      </c>
      <c r="AM118" t="s">
        <v>1575</v>
      </c>
      <c r="AN118" t="s">
        <v>854</v>
      </c>
      <c r="AO118">
        <v>36805</v>
      </c>
      <c r="AP118">
        <v>524</v>
      </c>
      <c r="AQ118" t="s">
        <v>855</v>
      </c>
      <c r="AR118">
        <v>66585092</v>
      </c>
      <c r="AS118" t="s">
        <v>856</v>
      </c>
      <c r="AU118" t="s">
        <v>3445</v>
      </c>
      <c r="AV118" t="s">
        <v>3446</v>
      </c>
      <c r="AW118" t="s">
        <v>859</v>
      </c>
      <c r="AX118" t="s">
        <v>860</v>
      </c>
      <c r="AY118" t="s">
        <v>861</v>
      </c>
      <c r="AZ118" t="s">
        <v>421</v>
      </c>
      <c r="BA118" t="s">
        <v>422</v>
      </c>
      <c r="BB118">
        <v>0</v>
      </c>
      <c r="BC118">
        <v>0</v>
      </c>
      <c r="BD118">
        <v>0</v>
      </c>
      <c r="BE118" t="s">
        <v>3439</v>
      </c>
      <c r="BF118">
        <v>0</v>
      </c>
      <c r="BG118">
        <v>0</v>
      </c>
      <c r="BH118" t="s">
        <v>862</v>
      </c>
      <c r="BI118">
        <v>0</v>
      </c>
      <c r="BJ118" t="s">
        <v>862</v>
      </c>
      <c r="BK118">
        <v>1</v>
      </c>
      <c r="BL118">
        <v>0</v>
      </c>
      <c r="BM118">
        <v>0</v>
      </c>
      <c r="BN118" t="s">
        <v>596</v>
      </c>
      <c r="BO118">
        <v>153524524</v>
      </c>
      <c r="BP118" t="s">
        <v>3438</v>
      </c>
      <c r="BQ118">
        <v>41.117538000000003</v>
      </c>
      <c r="BR118">
        <v>42791434</v>
      </c>
      <c r="BS118">
        <v>-85.134338099999994</v>
      </c>
      <c r="BT118">
        <v>2</v>
      </c>
      <c r="BU118" t="s">
        <v>914</v>
      </c>
      <c r="BY118">
        <v>16</v>
      </c>
      <c r="CA118">
        <v>6</v>
      </c>
      <c r="CE118">
        <v>1</v>
      </c>
      <c r="CI118">
        <v>11</v>
      </c>
      <c r="CJ118" t="s">
        <v>94</v>
      </c>
      <c r="CM118">
        <v>4010</v>
      </c>
      <c r="CO118">
        <v>7360</v>
      </c>
      <c r="CP118">
        <v>1.67E-2</v>
      </c>
      <c r="CQ118">
        <v>1.67E-2</v>
      </c>
      <c r="CR118">
        <v>0</v>
      </c>
      <c r="CS118">
        <v>1</v>
      </c>
      <c r="CT118" t="s">
        <v>3447</v>
      </c>
      <c r="CU118" t="s">
        <v>3448</v>
      </c>
      <c r="CV118" t="s">
        <v>833</v>
      </c>
      <c r="CW118" t="s">
        <v>834</v>
      </c>
      <c r="CX118" t="s">
        <v>3439</v>
      </c>
      <c r="CY118">
        <v>0</v>
      </c>
      <c r="CZ118">
        <v>0</v>
      </c>
      <c r="DA118" t="s">
        <v>833</v>
      </c>
      <c r="DB118" t="s">
        <v>865</v>
      </c>
      <c r="DC118">
        <v>46805</v>
      </c>
      <c r="DD118">
        <v>5.6</v>
      </c>
      <c r="DE118" t="s">
        <v>866</v>
      </c>
      <c r="DG118" t="s">
        <v>867</v>
      </c>
      <c r="DH118" t="s">
        <v>851</v>
      </c>
      <c r="DI118" t="s">
        <v>1291</v>
      </c>
      <c r="DK118" t="s">
        <v>918</v>
      </c>
      <c r="DL118" t="s">
        <v>869</v>
      </c>
      <c r="DM118">
        <v>0</v>
      </c>
      <c r="DN118">
        <v>0</v>
      </c>
      <c r="DO118">
        <v>53</v>
      </c>
      <c r="DP118" t="s">
        <v>1156</v>
      </c>
      <c r="DQ118">
        <v>16</v>
      </c>
      <c r="DR118">
        <v>336</v>
      </c>
      <c r="DS118">
        <v>336</v>
      </c>
      <c r="DT118">
        <v>5.5833000000000004</v>
      </c>
      <c r="DU118">
        <v>4</v>
      </c>
      <c r="DV118">
        <v>1</v>
      </c>
      <c r="DW118">
        <v>2</v>
      </c>
      <c r="DX118" t="s">
        <v>596</v>
      </c>
      <c r="DY118" t="s">
        <v>3439</v>
      </c>
      <c r="DZ118">
        <v>0</v>
      </c>
      <c r="EA118">
        <v>0</v>
      </c>
      <c r="EB118">
        <v>0</v>
      </c>
      <c r="EC118">
        <v>0</v>
      </c>
      <c r="ED118">
        <v>0</v>
      </c>
      <c r="EE118">
        <v>0</v>
      </c>
      <c r="EF118" t="s">
        <v>920</v>
      </c>
      <c r="EG118" t="s">
        <v>595</v>
      </c>
      <c r="EH118" t="s">
        <v>921</v>
      </c>
      <c r="EI118" t="s">
        <v>921</v>
      </c>
      <c r="EJ118" t="s">
        <v>134</v>
      </c>
      <c r="EK118">
        <v>9090</v>
      </c>
      <c r="EL118">
        <v>0</v>
      </c>
      <c r="EM118" t="s">
        <v>1011</v>
      </c>
      <c r="EN118">
        <v>0</v>
      </c>
      <c r="EO118">
        <v>5.6</v>
      </c>
      <c r="EP118">
        <v>99991120</v>
      </c>
      <c r="EQ118" t="s">
        <v>874</v>
      </c>
      <c r="ER118" t="s">
        <v>875</v>
      </c>
      <c r="ES118" t="s">
        <v>876</v>
      </c>
      <c r="ET118" t="s">
        <v>877</v>
      </c>
      <c r="EU118" t="s">
        <v>877</v>
      </c>
      <c r="EV118" t="s">
        <v>920</v>
      </c>
      <c r="EX118" t="s">
        <v>900</v>
      </c>
      <c r="EY118" t="s">
        <v>1012</v>
      </c>
      <c r="EZ118" t="s">
        <v>1578</v>
      </c>
      <c r="FA118" t="s">
        <v>879</v>
      </c>
      <c r="FB118">
        <v>1</v>
      </c>
      <c r="FC118">
        <v>1</v>
      </c>
      <c r="FD118" s="41">
        <v>46242</v>
      </c>
      <c r="FE118" t="s">
        <v>926</v>
      </c>
      <c r="FF118">
        <v>8</v>
      </c>
      <c r="FG118" t="s">
        <v>3449</v>
      </c>
      <c r="FH118" t="s">
        <v>3450</v>
      </c>
      <c r="FI118">
        <v>1</v>
      </c>
      <c r="FJ118" t="s">
        <v>3451</v>
      </c>
      <c r="FK118" t="s">
        <v>3452</v>
      </c>
      <c r="FL118">
        <v>1</v>
      </c>
      <c r="FM118" t="s">
        <v>3453</v>
      </c>
      <c r="FN118" t="s">
        <v>3454</v>
      </c>
      <c r="FO118">
        <v>1</v>
      </c>
      <c r="FP118" t="s">
        <v>3455</v>
      </c>
      <c r="FQ118" t="s">
        <v>3448</v>
      </c>
      <c r="FR118">
        <v>1</v>
      </c>
      <c r="FS118" t="s">
        <v>2417</v>
      </c>
      <c r="FT118" t="s">
        <v>3456</v>
      </c>
      <c r="FU118">
        <v>1</v>
      </c>
      <c r="FV118" t="s">
        <v>3457</v>
      </c>
      <c r="FW118" t="s">
        <v>3458</v>
      </c>
      <c r="FX118">
        <v>1</v>
      </c>
      <c r="FY118" t="s">
        <v>890</v>
      </c>
      <c r="FZ118" t="s">
        <v>3459</v>
      </c>
      <c r="GA118" t="s">
        <v>3449</v>
      </c>
      <c r="GB118">
        <v>1</v>
      </c>
      <c r="GD118">
        <v>0</v>
      </c>
      <c r="GF118">
        <v>0</v>
      </c>
      <c r="GG118">
        <v>1</v>
      </c>
      <c r="GH118" t="s">
        <v>892</v>
      </c>
      <c r="GI118" t="s">
        <v>893</v>
      </c>
      <c r="GJ118" t="s">
        <v>3450</v>
      </c>
      <c r="GM118">
        <v>1</v>
      </c>
      <c r="GN118">
        <v>1</v>
      </c>
      <c r="GO118">
        <v>0</v>
      </c>
      <c r="GP118">
        <v>1</v>
      </c>
      <c r="GQ118">
        <v>1</v>
      </c>
      <c r="GR118">
        <v>0</v>
      </c>
      <c r="GS118">
        <v>1</v>
      </c>
      <c r="GT118">
        <v>0</v>
      </c>
      <c r="GU118">
        <v>1</v>
      </c>
      <c r="GV118">
        <v>0</v>
      </c>
      <c r="GW118">
        <v>1</v>
      </c>
      <c r="GX118">
        <v>0</v>
      </c>
      <c r="GY118">
        <v>1</v>
      </c>
      <c r="GZ118">
        <v>0</v>
      </c>
      <c r="HA118" t="s">
        <v>421</v>
      </c>
      <c r="HB118" t="s">
        <v>894</v>
      </c>
      <c r="HC118" t="s">
        <v>935</v>
      </c>
      <c r="HD118" t="s">
        <v>845</v>
      </c>
      <c r="HE118" t="s">
        <v>900</v>
      </c>
      <c r="HF118" t="s">
        <v>1012</v>
      </c>
      <c r="HG118" t="s">
        <v>894</v>
      </c>
      <c r="HH118" t="s">
        <v>935</v>
      </c>
      <c r="HI118" t="s">
        <v>845</v>
      </c>
      <c r="HJ118" t="s">
        <v>900</v>
      </c>
      <c r="HK118" t="s">
        <v>1011</v>
      </c>
      <c r="HL118" t="s">
        <v>138</v>
      </c>
      <c r="HM118" t="s">
        <v>854</v>
      </c>
      <c r="HN118">
        <v>36805</v>
      </c>
      <c r="HP118" t="s">
        <v>134</v>
      </c>
      <c r="HQ118" t="s">
        <v>896</v>
      </c>
      <c r="HR118" t="s">
        <v>896</v>
      </c>
      <c r="HS118" t="s">
        <v>896</v>
      </c>
    </row>
    <row r="119" spans="1:227" x14ac:dyDescent="0.2">
      <c r="A119">
        <v>8702</v>
      </c>
      <c r="B119">
        <v>7609501684</v>
      </c>
      <c r="C119" t="s">
        <v>936</v>
      </c>
      <c r="D119" t="s">
        <v>937</v>
      </c>
      <c r="E119" t="s">
        <v>831</v>
      </c>
      <c r="F119">
        <v>0</v>
      </c>
      <c r="G119" t="s">
        <v>3460</v>
      </c>
      <c r="H119" t="s">
        <v>3460</v>
      </c>
      <c r="I119">
        <v>0</v>
      </c>
      <c r="J119" t="s">
        <v>833</v>
      </c>
      <c r="K119" t="s">
        <v>834</v>
      </c>
      <c r="L119">
        <v>156587992</v>
      </c>
      <c r="M119" t="s">
        <v>2116</v>
      </c>
      <c r="N119" t="s">
        <v>836</v>
      </c>
      <c r="O119" t="s">
        <v>837</v>
      </c>
      <c r="P119" t="s">
        <v>940</v>
      </c>
      <c r="Q119" t="s">
        <v>1080</v>
      </c>
      <c r="R119" t="s">
        <v>3461</v>
      </c>
      <c r="S119" t="s">
        <v>3462</v>
      </c>
      <c r="T119">
        <v>41477124347</v>
      </c>
      <c r="V119" t="s">
        <v>196</v>
      </c>
      <c r="W119" s="41">
        <v>46117</v>
      </c>
      <c r="X119" t="s">
        <v>3463</v>
      </c>
      <c r="Y119" t="s">
        <v>3464</v>
      </c>
      <c r="AA119">
        <v>0</v>
      </c>
      <c r="AB119" t="s">
        <v>845</v>
      </c>
      <c r="AC119" t="s">
        <v>846</v>
      </c>
      <c r="AD119" t="s">
        <v>1113</v>
      </c>
      <c r="AE119" t="s">
        <v>1114</v>
      </c>
      <c r="AF119">
        <v>1</v>
      </c>
      <c r="AG119">
        <v>452210</v>
      </c>
      <c r="AH119" t="s">
        <v>849</v>
      </c>
      <c r="AI119" t="s">
        <v>850</v>
      </c>
      <c r="AJ119" t="s">
        <v>851</v>
      </c>
      <c r="AK119" t="s">
        <v>383</v>
      </c>
      <c r="AL119" t="s">
        <v>2121</v>
      </c>
      <c r="AM119" t="s">
        <v>1712</v>
      </c>
      <c r="AN119" t="s">
        <v>854</v>
      </c>
      <c r="AO119">
        <v>36805</v>
      </c>
      <c r="AP119">
        <v>639</v>
      </c>
      <c r="AQ119" t="s">
        <v>855</v>
      </c>
      <c r="AR119">
        <v>66406800</v>
      </c>
      <c r="AS119" t="s">
        <v>856</v>
      </c>
      <c r="AU119" t="s">
        <v>3465</v>
      </c>
      <c r="AV119" t="s">
        <v>3466</v>
      </c>
      <c r="AX119" t="s">
        <v>913</v>
      </c>
      <c r="AY119" t="s">
        <v>861</v>
      </c>
      <c r="AZ119" t="s">
        <v>383</v>
      </c>
      <c r="BA119" t="s">
        <v>384</v>
      </c>
      <c r="BB119">
        <v>0</v>
      </c>
      <c r="BC119">
        <v>0</v>
      </c>
      <c r="BD119">
        <v>0</v>
      </c>
      <c r="BE119" t="s">
        <v>2116</v>
      </c>
      <c r="BF119">
        <v>0</v>
      </c>
      <c r="BG119">
        <v>0</v>
      </c>
      <c r="BH119" t="s">
        <v>862</v>
      </c>
      <c r="BI119">
        <v>0</v>
      </c>
      <c r="BJ119" t="s">
        <v>862</v>
      </c>
      <c r="BK119">
        <v>1</v>
      </c>
      <c r="BL119">
        <v>1</v>
      </c>
      <c r="BM119">
        <v>0</v>
      </c>
      <c r="BN119" t="s">
        <v>596</v>
      </c>
      <c r="BO119">
        <v>156587992</v>
      </c>
      <c r="BP119" t="s">
        <v>3460</v>
      </c>
      <c r="BR119">
        <v>42791771</v>
      </c>
      <c r="BT119">
        <v>2</v>
      </c>
      <c r="BU119" t="s">
        <v>1119</v>
      </c>
      <c r="BY119">
        <v>16</v>
      </c>
      <c r="CA119">
        <v>2</v>
      </c>
      <c r="CE119">
        <v>1</v>
      </c>
      <c r="CI119">
        <v>11</v>
      </c>
      <c r="CJ119" t="s">
        <v>94</v>
      </c>
      <c r="CM119">
        <v>4010</v>
      </c>
      <c r="CO119">
        <v>7360</v>
      </c>
      <c r="CP119">
        <v>0.2167</v>
      </c>
      <c r="CQ119">
        <v>0.2167</v>
      </c>
      <c r="CR119">
        <v>1.6167</v>
      </c>
      <c r="CS119">
        <v>2</v>
      </c>
      <c r="CT119" t="s">
        <v>3466</v>
      </c>
      <c r="CU119" t="s">
        <v>3465</v>
      </c>
      <c r="CV119" t="s">
        <v>833</v>
      </c>
      <c r="CW119" t="s">
        <v>834</v>
      </c>
      <c r="CX119" t="s">
        <v>2116</v>
      </c>
      <c r="CY119">
        <v>0</v>
      </c>
      <c r="CZ119">
        <v>0</v>
      </c>
      <c r="DA119" t="s">
        <v>833</v>
      </c>
      <c r="DB119" t="s">
        <v>865</v>
      </c>
      <c r="DC119">
        <v>60134</v>
      </c>
      <c r="DD119">
        <v>2.0832999999999999</v>
      </c>
      <c r="DE119" t="s">
        <v>866</v>
      </c>
      <c r="DG119" t="s">
        <v>867</v>
      </c>
      <c r="DH119" t="s">
        <v>851</v>
      </c>
      <c r="DK119" t="s">
        <v>918</v>
      </c>
      <c r="DL119" t="s">
        <v>869</v>
      </c>
      <c r="DM119">
        <v>0</v>
      </c>
      <c r="DN119">
        <v>0</v>
      </c>
      <c r="DO119">
        <v>1</v>
      </c>
      <c r="DP119" t="s">
        <v>985</v>
      </c>
      <c r="DQ119">
        <v>0</v>
      </c>
      <c r="DR119">
        <v>125</v>
      </c>
      <c r="DS119">
        <v>125</v>
      </c>
      <c r="DT119">
        <v>1.8667</v>
      </c>
      <c r="DU119">
        <v>0</v>
      </c>
      <c r="DV119">
        <v>1</v>
      </c>
      <c r="DW119">
        <v>2</v>
      </c>
      <c r="DX119" t="s">
        <v>596</v>
      </c>
      <c r="DY119" t="s">
        <v>2116</v>
      </c>
      <c r="DZ119">
        <v>1</v>
      </c>
      <c r="EA119">
        <v>1</v>
      </c>
      <c r="EB119">
        <v>1</v>
      </c>
      <c r="EC119">
        <v>1</v>
      </c>
      <c r="ED119">
        <v>1</v>
      </c>
      <c r="EE119">
        <v>1</v>
      </c>
      <c r="EF119" t="s">
        <v>871</v>
      </c>
      <c r="EG119" t="s">
        <v>595</v>
      </c>
      <c r="EH119" t="s">
        <v>921</v>
      </c>
      <c r="EI119" t="s">
        <v>921</v>
      </c>
      <c r="EJ119" t="s">
        <v>181</v>
      </c>
      <c r="EK119">
        <v>9090</v>
      </c>
      <c r="EL119">
        <v>0</v>
      </c>
      <c r="EM119" t="s">
        <v>1436</v>
      </c>
      <c r="EN119">
        <v>1.6167</v>
      </c>
      <c r="EO119">
        <v>2.0833333000000001</v>
      </c>
      <c r="EP119">
        <v>99991120</v>
      </c>
      <c r="EQ119" t="s">
        <v>874</v>
      </c>
      <c r="ER119" t="s">
        <v>875</v>
      </c>
      <c r="ES119" t="s">
        <v>876</v>
      </c>
      <c r="ET119" t="s">
        <v>877</v>
      </c>
      <c r="EU119" t="s">
        <v>877</v>
      </c>
      <c r="EV119" t="s">
        <v>871</v>
      </c>
      <c r="EX119" t="s">
        <v>836</v>
      </c>
      <c r="EY119" t="s">
        <v>873</v>
      </c>
      <c r="EZ119" t="s">
        <v>1437</v>
      </c>
      <c r="FA119" t="s">
        <v>956</v>
      </c>
      <c r="FB119">
        <v>1</v>
      </c>
      <c r="FC119">
        <v>1</v>
      </c>
      <c r="FD119" s="41">
        <v>46123</v>
      </c>
      <c r="FE119" t="s">
        <v>1123</v>
      </c>
      <c r="FF119">
        <v>4</v>
      </c>
      <c r="FI119">
        <v>0</v>
      </c>
      <c r="FL119">
        <v>0</v>
      </c>
      <c r="FM119" t="s">
        <v>2126</v>
      </c>
      <c r="FN119" t="s">
        <v>3467</v>
      </c>
      <c r="FO119">
        <v>1</v>
      </c>
      <c r="FP119" t="s">
        <v>3468</v>
      </c>
      <c r="FQ119" t="s">
        <v>3465</v>
      </c>
      <c r="FR119">
        <v>1</v>
      </c>
      <c r="FS119" t="s">
        <v>2129</v>
      </c>
      <c r="FT119" t="s">
        <v>3469</v>
      </c>
      <c r="FU119">
        <v>1</v>
      </c>
      <c r="FV119" t="s">
        <v>3470</v>
      </c>
      <c r="FW119" t="s">
        <v>3471</v>
      </c>
      <c r="FX119">
        <v>1</v>
      </c>
      <c r="FY119" t="s">
        <v>890</v>
      </c>
      <c r="FZ119" t="s">
        <v>3472</v>
      </c>
      <c r="GA119" t="s">
        <v>3470</v>
      </c>
      <c r="GB119">
        <v>1</v>
      </c>
      <c r="GD119">
        <v>0</v>
      </c>
      <c r="GF119">
        <v>0</v>
      </c>
      <c r="GG119">
        <v>1</v>
      </c>
      <c r="GH119" t="s">
        <v>892</v>
      </c>
      <c r="GI119" t="s">
        <v>893</v>
      </c>
      <c r="GJ119" t="s">
        <v>3471</v>
      </c>
      <c r="GM119">
        <v>1</v>
      </c>
      <c r="GN119">
        <v>1</v>
      </c>
      <c r="GO119">
        <v>0</v>
      </c>
      <c r="GP119">
        <v>1</v>
      </c>
      <c r="GQ119">
        <v>1</v>
      </c>
      <c r="GR119">
        <v>0</v>
      </c>
      <c r="GS119">
        <v>1</v>
      </c>
      <c r="GT119">
        <v>0</v>
      </c>
      <c r="GU119">
        <v>1</v>
      </c>
      <c r="GV119">
        <v>0</v>
      </c>
      <c r="GW119">
        <v>1</v>
      </c>
      <c r="GX119">
        <v>0</v>
      </c>
      <c r="GY119">
        <v>1</v>
      </c>
      <c r="GZ119">
        <v>0</v>
      </c>
      <c r="HA119" t="s">
        <v>383</v>
      </c>
      <c r="HB119" t="s">
        <v>894</v>
      </c>
      <c r="HC119" t="s">
        <v>895</v>
      </c>
      <c r="HD119" t="s">
        <v>845</v>
      </c>
      <c r="HE119" t="s">
        <v>836</v>
      </c>
      <c r="HF119" t="s">
        <v>873</v>
      </c>
      <c r="HG119" t="s">
        <v>894</v>
      </c>
      <c r="HH119" t="s">
        <v>895</v>
      </c>
      <c r="HI119" t="s">
        <v>845</v>
      </c>
      <c r="HJ119" t="s">
        <v>836</v>
      </c>
      <c r="HK119" t="s">
        <v>1436</v>
      </c>
      <c r="HL119" t="s">
        <v>196</v>
      </c>
      <c r="HM119" t="s">
        <v>854</v>
      </c>
      <c r="HN119">
        <v>36805</v>
      </c>
      <c r="HP119" t="s">
        <v>181</v>
      </c>
      <c r="HQ119" t="s">
        <v>896</v>
      </c>
      <c r="HR119" t="s">
        <v>896</v>
      </c>
      <c r="HS119" t="s">
        <v>896</v>
      </c>
    </row>
    <row r="120" spans="1:227" x14ac:dyDescent="0.2">
      <c r="A120">
        <v>8702</v>
      </c>
      <c r="B120">
        <v>7532101218</v>
      </c>
      <c r="C120">
        <v>34</v>
      </c>
      <c r="D120" t="s">
        <v>996</v>
      </c>
      <c r="E120" t="s">
        <v>831</v>
      </c>
      <c r="F120">
        <v>0</v>
      </c>
      <c r="G120" t="s">
        <v>3473</v>
      </c>
      <c r="H120" t="s">
        <v>3473</v>
      </c>
      <c r="I120">
        <v>0</v>
      </c>
      <c r="J120" t="s">
        <v>833</v>
      </c>
      <c r="K120" t="s">
        <v>834</v>
      </c>
      <c r="L120">
        <v>153402684</v>
      </c>
      <c r="M120" t="s">
        <v>3321</v>
      </c>
      <c r="N120" t="s">
        <v>836</v>
      </c>
      <c r="O120" t="s">
        <v>837</v>
      </c>
      <c r="P120" t="s">
        <v>999</v>
      </c>
      <c r="Q120" t="s">
        <v>1027</v>
      </c>
      <c r="R120" t="s">
        <v>3474</v>
      </c>
      <c r="S120" t="s">
        <v>3475</v>
      </c>
      <c r="T120">
        <v>41477011864</v>
      </c>
      <c r="V120" t="s">
        <v>189</v>
      </c>
      <c r="W120" s="41">
        <v>45978</v>
      </c>
      <c r="X120" t="s">
        <v>3476</v>
      </c>
      <c r="Y120" t="s">
        <v>3477</v>
      </c>
      <c r="AA120">
        <v>0</v>
      </c>
      <c r="AB120" t="s">
        <v>845</v>
      </c>
      <c r="AC120" t="s">
        <v>846</v>
      </c>
      <c r="AD120" t="s">
        <v>847</v>
      </c>
      <c r="AE120" t="s">
        <v>848</v>
      </c>
      <c r="AF120">
        <v>1</v>
      </c>
      <c r="AG120">
        <v>452210</v>
      </c>
      <c r="AH120" t="s">
        <v>849</v>
      </c>
      <c r="AI120" t="s">
        <v>850</v>
      </c>
      <c r="AJ120" t="s">
        <v>851</v>
      </c>
      <c r="AK120" t="s">
        <v>321</v>
      </c>
      <c r="AL120" t="s">
        <v>3326</v>
      </c>
      <c r="AM120" t="s">
        <v>2646</v>
      </c>
      <c r="AN120" t="s">
        <v>854</v>
      </c>
      <c r="AO120">
        <v>36805</v>
      </c>
      <c r="AP120">
        <v>635</v>
      </c>
      <c r="AQ120" t="s">
        <v>855</v>
      </c>
      <c r="AR120">
        <v>66206469</v>
      </c>
      <c r="AS120" t="s">
        <v>856</v>
      </c>
      <c r="AU120" t="s">
        <v>3478</v>
      </c>
      <c r="AV120" t="s">
        <v>3479</v>
      </c>
      <c r="AX120" t="s">
        <v>913</v>
      </c>
      <c r="AY120" t="s">
        <v>861</v>
      </c>
      <c r="AZ120" t="s">
        <v>321</v>
      </c>
      <c r="BA120" t="s">
        <v>322</v>
      </c>
      <c r="BB120">
        <v>0</v>
      </c>
      <c r="BC120">
        <v>0</v>
      </c>
      <c r="BD120">
        <v>1</v>
      </c>
      <c r="BE120" t="s">
        <v>3321</v>
      </c>
      <c r="BF120">
        <v>0</v>
      </c>
      <c r="BG120">
        <v>0</v>
      </c>
      <c r="BH120" t="s">
        <v>862</v>
      </c>
      <c r="BI120">
        <v>0</v>
      </c>
      <c r="BJ120" t="s">
        <v>862</v>
      </c>
      <c r="BK120">
        <v>1</v>
      </c>
      <c r="BL120">
        <v>1</v>
      </c>
      <c r="BM120">
        <v>0</v>
      </c>
      <c r="BN120" t="s">
        <v>596</v>
      </c>
      <c r="BO120">
        <v>153402684</v>
      </c>
      <c r="BP120" t="s">
        <v>3473</v>
      </c>
      <c r="BR120">
        <v>42791757</v>
      </c>
      <c r="BT120">
        <v>0</v>
      </c>
      <c r="CM120">
        <v>4010</v>
      </c>
      <c r="CO120">
        <v>7360</v>
      </c>
      <c r="CP120">
        <v>0.61670000000000003</v>
      </c>
      <c r="CQ120">
        <v>0.61670000000000003</v>
      </c>
      <c r="CR120">
        <v>0.61670000000000003</v>
      </c>
      <c r="CS120">
        <v>2</v>
      </c>
      <c r="CT120" t="s">
        <v>3479</v>
      </c>
      <c r="CU120" t="s">
        <v>3478</v>
      </c>
      <c r="CV120" t="s">
        <v>833</v>
      </c>
      <c r="CW120" t="s">
        <v>834</v>
      </c>
      <c r="CX120" t="s">
        <v>3321</v>
      </c>
      <c r="CY120">
        <v>1</v>
      </c>
      <c r="CZ120">
        <v>1</v>
      </c>
      <c r="DA120" t="s">
        <v>833</v>
      </c>
      <c r="DB120" t="s">
        <v>865</v>
      </c>
      <c r="DC120">
        <v>60647</v>
      </c>
      <c r="DD120">
        <v>3.3</v>
      </c>
      <c r="DE120" t="s">
        <v>866</v>
      </c>
      <c r="DG120" t="s">
        <v>867</v>
      </c>
      <c r="DH120" t="s">
        <v>851</v>
      </c>
      <c r="DI120" t="s">
        <v>1154</v>
      </c>
      <c r="DL120" t="s">
        <v>869</v>
      </c>
      <c r="DM120">
        <v>0</v>
      </c>
      <c r="DN120">
        <v>0</v>
      </c>
      <c r="DO120">
        <v>11</v>
      </c>
      <c r="DP120" t="s">
        <v>1010</v>
      </c>
      <c r="DQ120">
        <v>16</v>
      </c>
      <c r="DR120">
        <v>198</v>
      </c>
      <c r="DS120">
        <v>198</v>
      </c>
      <c r="DT120">
        <v>2.6833</v>
      </c>
      <c r="DU120">
        <v>4</v>
      </c>
      <c r="DW120">
        <v>2</v>
      </c>
      <c r="DX120" t="s">
        <v>596</v>
      </c>
      <c r="DY120" t="s">
        <v>3321</v>
      </c>
      <c r="DZ120">
        <v>1</v>
      </c>
      <c r="EA120">
        <v>1</v>
      </c>
      <c r="EB120">
        <v>1</v>
      </c>
      <c r="EC120">
        <v>1</v>
      </c>
      <c r="ED120">
        <v>1</v>
      </c>
      <c r="EE120">
        <v>1</v>
      </c>
      <c r="EF120" t="s">
        <v>920</v>
      </c>
      <c r="EG120" t="s">
        <v>595</v>
      </c>
      <c r="EH120" t="s">
        <v>921</v>
      </c>
      <c r="EI120" t="s">
        <v>921</v>
      </c>
      <c r="EJ120" t="s">
        <v>181</v>
      </c>
      <c r="EK120">
        <v>9090</v>
      </c>
      <c r="EL120">
        <v>0</v>
      </c>
      <c r="EM120" t="s">
        <v>1436</v>
      </c>
      <c r="EN120">
        <v>0.61670000000000003</v>
      </c>
      <c r="EO120">
        <v>3.3</v>
      </c>
      <c r="EP120">
        <v>99991120</v>
      </c>
      <c r="EQ120" t="s">
        <v>874</v>
      </c>
      <c r="ER120" t="s">
        <v>875</v>
      </c>
      <c r="ES120" t="s">
        <v>876</v>
      </c>
      <c r="ET120" t="s">
        <v>877</v>
      </c>
      <c r="EU120" t="s">
        <v>877</v>
      </c>
      <c r="EV120" t="s">
        <v>920</v>
      </c>
      <c r="EX120" t="s">
        <v>836</v>
      </c>
      <c r="EY120" t="s">
        <v>873</v>
      </c>
      <c r="EZ120" t="s">
        <v>1437</v>
      </c>
      <c r="FA120" t="s">
        <v>956</v>
      </c>
      <c r="FB120">
        <v>1</v>
      </c>
      <c r="FC120">
        <v>1</v>
      </c>
      <c r="FD120" s="41">
        <v>45983</v>
      </c>
      <c r="FE120" t="s">
        <v>1438</v>
      </c>
      <c r="FF120">
        <v>4</v>
      </c>
      <c r="FI120">
        <v>0</v>
      </c>
      <c r="FL120">
        <v>0</v>
      </c>
      <c r="FM120" t="s">
        <v>3329</v>
      </c>
      <c r="FN120" t="s">
        <v>3480</v>
      </c>
      <c r="FO120">
        <v>1</v>
      </c>
      <c r="FP120" t="s">
        <v>3481</v>
      </c>
      <c r="FQ120" t="s">
        <v>3478</v>
      </c>
      <c r="FR120">
        <v>1</v>
      </c>
      <c r="FS120" t="s">
        <v>3332</v>
      </c>
      <c r="FT120" t="s">
        <v>3482</v>
      </c>
      <c r="FU120">
        <v>1</v>
      </c>
      <c r="FV120" t="s">
        <v>3483</v>
      </c>
      <c r="FW120" t="s">
        <v>3484</v>
      </c>
      <c r="FX120">
        <v>1</v>
      </c>
      <c r="FY120" t="s">
        <v>890</v>
      </c>
      <c r="FZ120" t="s">
        <v>3485</v>
      </c>
      <c r="GA120" t="s">
        <v>3483</v>
      </c>
      <c r="GB120">
        <v>1</v>
      </c>
      <c r="GD120">
        <v>0</v>
      </c>
      <c r="GF120">
        <v>0</v>
      </c>
      <c r="GG120">
        <v>1</v>
      </c>
      <c r="GH120" t="s">
        <v>892</v>
      </c>
      <c r="GI120" t="s">
        <v>893</v>
      </c>
      <c r="GJ120" t="s">
        <v>3484</v>
      </c>
      <c r="GM120">
        <v>1</v>
      </c>
      <c r="GN120">
        <v>1</v>
      </c>
      <c r="GO120">
        <v>0</v>
      </c>
      <c r="GP120">
        <v>1</v>
      </c>
      <c r="GQ120">
        <v>1</v>
      </c>
      <c r="GR120">
        <v>0</v>
      </c>
      <c r="GS120">
        <v>1</v>
      </c>
      <c r="GT120">
        <v>0</v>
      </c>
      <c r="GU120">
        <v>1</v>
      </c>
      <c r="GV120">
        <v>0</v>
      </c>
      <c r="GW120">
        <v>1</v>
      </c>
      <c r="GX120">
        <v>0</v>
      </c>
      <c r="GY120">
        <v>1</v>
      </c>
      <c r="GZ120">
        <v>0</v>
      </c>
      <c r="HA120" t="s">
        <v>321</v>
      </c>
      <c r="HB120" t="s">
        <v>894</v>
      </c>
      <c r="HC120" t="s">
        <v>895</v>
      </c>
      <c r="HD120" t="s">
        <v>845</v>
      </c>
      <c r="HE120" t="s">
        <v>836</v>
      </c>
      <c r="HF120" t="s">
        <v>873</v>
      </c>
      <c r="HG120" t="s">
        <v>894</v>
      </c>
      <c r="HH120" t="s">
        <v>895</v>
      </c>
      <c r="HI120" t="s">
        <v>845</v>
      </c>
      <c r="HJ120" t="s">
        <v>836</v>
      </c>
      <c r="HK120" t="s">
        <v>1436</v>
      </c>
      <c r="HL120" t="s">
        <v>189</v>
      </c>
      <c r="HM120" t="s">
        <v>854</v>
      </c>
      <c r="HN120">
        <v>36805</v>
      </c>
      <c r="HP120" t="s">
        <v>181</v>
      </c>
      <c r="HQ120" t="s">
        <v>896</v>
      </c>
      <c r="HR120" t="s">
        <v>896</v>
      </c>
      <c r="HS120" t="s">
        <v>896</v>
      </c>
    </row>
    <row r="121" spans="1:227" x14ac:dyDescent="0.2">
      <c r="A121">
        <v>8702</v>
      </c>
      <c r="B121">
        <v>7527904149</v>
      </c>
      <c r="C121" t="s">
        <v>829</v>
      </c>
      <c r="D121" t="s">
        <v>830</v>
      </c>
      <c r="E121" t="s">
        <v>897</v>
      </c>
      <c r="F121">
        <v>1</v>
      </c>
      <c r="G121" t="s">
        <v>3486</v>
      </c>
      <c r="H121" t="s">
        <v>3486</v>
      </c>
      <c r="I121">
        <v>0</v>
      </c>
      <c r="J121" t="s">
        <v>833</v>
      </c>
      <c r="K121" t="s">
        <v>834</v>
      </c>
      <c r="L121">
        <v>153008222</v>
      </c>
      <c r="M121" t="s">
        <v>3487</v>
      </c>
      <c r="N121" t="s">
        <v>900</v>
      </c>
      <c r="O121" t="s">
        <v>837</v>
      </c>
      <c r="P121" t="s">
        <v>838</v>
      </c>
      <c r="Q121" t="s">
        <v>839</v>
      </c>
      <c r="R121" t="s">
        <v>3488</v>
      </c>
      <c r="S121" t="s">
        <v>3489</v>
      </c>
      <c r="T121">
        <v>41477122128</v>
      </c>
      <c r="V121" t="s">
        <v>133</v>
      </c>
      <c r="W121" s="41">
        <v>45936</v>
      </c>
      <c r="X121" t="s">
        <v>3490</v>
      </c>
      <c r="Y121" t="s">
        <v>3491</v>
      </c>
      <c r="AA121">
        <v>0</v>
      </c>
      <c r="AB121" t="s">
        <v>845</v>
      </c>
      <c r="AC121" t="s">
        <v>846</v>
      </c>
      <c r="AD121" t="s">
        <v>847</v>
      </c>
      <c r="AE121" t="s">
        <v>848</v>
      </c>
      <c r="AF121">
        <v>1</v>
      </c>
      <c r="AG121">
        <v>452210</v>
      </c>
      <c r="AH121" t="s">
        <v>849</v>
      </c>
      <c r="AI121" t="s">
        <v>850</v>
      </c>
      <c r="AJ121" t="s">
        <v>851</v>
      </c>
      <c r="AK121" t="s">
        <v>263</v>
      </c>
      <c r="AL121" t="s">
        <v>2230</v>
      </c>
      <c r="AM121" t="s">
        <v>2208</v>
      </c>
      <c r="AN121" t="s">
        <v>854</v>
      </c>
      <c r="AO121">
        <v>36805</v>
      </c>
      <c r="AP121">
        <v>525</v>
      </c>
      <c r="AQ121" t="s">
        <v>855</v>
      </c>
      <c r="AR121">
        <v>66145843</v>
      </c>
      <c r="AS121" t="s">
        <v>856</v>
      </c>
      <c r="AU121" t="s">
        <v>3492</v>
      </c>
      <c r="AV121" t="s">
        <v>3493</v>
      </c>
      <c r="AX121" t="s">
        <v>913</v>
      </c>
      <c r="AY121" t="s">
        <v>861</v>
      </c>
      <c r="AZ121" t="s">
        <v>263</v>
      </c>
      <c r="BA121" t="s">
        <v>264</v>
      </c>
      <c r="BB121">
        <v>0</v>
      </c>
      <c r="BC121">
        <v>0</v>
      </c>
      <c r="BD121">
        <v>1</v>
      </c>
      <c r="BE121" t="s">
        <v>3487</v>
      </c>
      <c r="BF121">
        <v>0</v>
      </c>
      <c r="BG121">
        <v>0</v>
      </c>
      <c r="BH121" t="s">
        <v>862</v>
      </c>
      <c r="BI121">
        <v>0</v>
      </c>
      <c r="BJ121" t="s">
        <v>862</v>
      </c>
      <c r="BK121">
        <v>1</v>
      </c>
      <c r="BL121">
        <v>1</v>
      </c>
      <c r="BM121">
        <v>0</v>
      </c>
      <c r="BN121" t="s">
        <v>596</v>
      </c>
      <c r="BO121">
        <v>153008222</v>
      </c>
      <c r="BP121" t="s">
        <v>3486</v>
      </c>
      <c r="BQ121">
        <v>39.906529499999998</v>
      </c>
      <c r="BR121">
        <v>42791436</v>
      </c>
      <c r="BS121">
        <v>-86.095016599999994</v>
      </c>
      <c r="BT121">
        <v>0</v>
      </c>
      <c r="CM121">
        <v>4010</v>
      </c>
      <c r="CO121">
        <v>7360</v>
      </c>
      <c r="CP121">
        <v>0.7</v>
      </c>
      <c r="CQ121">
        <v>0.7</v>
      </c>
      <c r="CR121">
        <v>0.6</v>
      </c>
      <c r="CS121">
        <v>32</v>
      </c>
      <c r="CT121" t="s">
        <v>3493</v>
      </c>
      <c r="CU121" t="s">
        <v>3492</v>
      </c>
      <c r="CV121" t="s">
        <v>833</v>
      </c>
      <c r="CW121" t="s">
        <v>834</v>
      </c>
      <c r="CX121" t="s">
        <v>3487</v>
      </c>
      <c r="CY121">
        <v>1</v>
      </c>
      <c r="CZ121">
        <v>1</v>
      </c>
      <c r="DA121" t="s">
        <v>833</v>
      </c>
      <c r="DB121" t="s">
        <v>865</v>
      </c>
      <c r="DC121">
        <v>46250</v>
      </c>
      <c r="DD121">
        <v>5.3167</v>
      </c>
      <c r="DE121" t="s">
        <v>866</v>
      </c>
      <c r="DG121" t="s">
        <v>867</v>
      </c>
      <c r="DH121" t="s">
        <v>851</v>
      </c>
      <c r="DL121" t="s">
        <v>869</v>
      </c>
      <c r="DM121">
        <v>0</v>
      </c>
      <c r="DN121">
        <v>0</v>
      </c>
      <c r="DO121">
        <v>11</v>
      </c>
      <c r="DP121" t="s">
        <v>1010</v>
      </c>
      <c r="DQ121">
        <v>16</v>
      </c>
      <c r="DR121">
        <v>319</v>
      </c>
      <c r="DS121">
        <v>319</v>
      </c>
      <c r="DT121">
        <v>4.6166999999999998</v>
      </c>
      <c r="DU121">
        <v>4</v>
      </c>
      <c r="DW121">
        <v>2</v>
      </c>
      <c r="DX121" t="s">
        <v>596</v>
      </c>
      <c r="DY121" t="s">
        <v>3487</v>
      </c>
      <c r="DZ121">
        <v>1</v>
      </c>
      <c r="EA121">
        <v>1</v>
      </c>
      <c r="EB121">
        <v>1</v>
      </c>
      <c r="EC121">
        <v>0</v>
      </c>
      <c r="ED121">
        <v>0</v>
      </c>
      <c r="EE121">
        <v>1</v>
      </c>
      <c r="EF121" t="s">
        <v>920</v>
      </c>
      <c r="EG121" t="s">
        <v>595</v>
      </c>
      <c r="EH121" t="s">
        <v>921</v>
      </c>
      <c r="EI121" t="s">
        <v>921</v>
      </c>
      <c r="EJ121" t="s">
        <v>134</v>
      </c>
      <c r="EK121">
        <v>9090</v>
      </c>
      <c r="EL121">
        <v>0</v>
      </c>
      <c r="EM121" t="s">
        <v>1011</v>
      </c>
      <c r="EN121">
        <v>0.6</v>
      </c>
      <c r="EO121">
        <v>5.3166665999999996</v>
      </c>
      <c r="EP121">
        <v>99991120</v>
      </c>
      <c r="EQ121" t="s">
        <v>874</v>
      </c>
      <c r="ER121" t="s">
        <v>875</v>
      </c>
      <c r="ES121" t="s">
        <v>876</v>
      </c>
      <c r="ET121" t="s">
        <v>877</v>
      </c>
      <c r="EU121" t="s">
        <v>877</v>
      </c>
      <c r="EV121" t="s">
        <v>920</v>
      </c>
      <c r="EX121" t="s">
        <v>953</v>
      </c>
      <c r="EY121" t="s">
        <v>1555</v>
      </c>
      <c r="EZ121" t="s">
        <v>1013</v>
      </c>
      <c r="FA121" t="s">
        <v>925</v>
      </c>
      <c r="FB121">
        <v>1</v>
      </c>
      <c r="FC121">
        <v>1</v>
      </c>
      <c r="FD121" s="41">
        <v>45941</v>
      </c>
      <c r="FE121" t="s">
        <v>1039</v>
      </c>
      <c r="FF121">
        <v>5</v>
      </c>
      <c r="FI121">
        <v>0</v>
      </c>
      <c r="FJ121" t="s">
        <v>3494</v>
      </c>
      <c r="FK121" t="s">
        <v>3495</v>
      </c>
      <c r="FL121">
        <v>1</v>
      </c>
      <c r="FM121" t="s">
        <v>3496</v>
      </c>
      <c r="FN121" t="s">
        <v>3497</v>
      </c>
      <c r="FO121">
        <v>1</v>
      </c>
      <c r="FP121" t="s">
        <v>3498</v>
      </c>
      <c r="FQ121" t="s">
        <v>3492</v>
      </c>
      <c r="FR121">
        <v>1</v>
      </c>
      <c r="FS121" t="s">
        <v>2325</v>
      </c>
      <c r="FT121" t="s">
        <v>3499</v>
      </c>
      <c r="FU121">
        <v>1</v>
      </c>
      <c r="FV121" t="s">
        <v>3500</v>
      </c>
      <c r="FW121" t="s">
        <v>3495</v>
      </c>
      <c r="FX121">
        <v>1</v>
      </c>
      <c r="FY121" t="s">
        <v>890</v>
      </c>
      <c r="FZ121" t="s">
        <v>3501</v>
      </c>
      <c r="GA121" t="s">
        <v>3494</v>
      </c>
      <c r="GB121">
        <v>1</v>
      </c>
      <c r="GD121">
        <v>0</v>
      </c>
      <c r="GF121">
        <v>0</v>
      </c>
      <c r="GG121">
        <v>1</v>
      </c>
      <c r="GH121" t="s">
        <v>892</v>
      </c>
      <c r="GI121" t="s">
        <v>893</v>
      </c>
      <c r="GJ121" t="s">
        <v>3495</v>
      </c>
      <c r="GM121">
        <v>1</v>
      </c>
      <c r="GN121">
        <v>1</v>
      </c>
      <c r="GO121">
        <v>0</v>
      </c>
      <c r="GP121">
        <v>1</v>
      </c>
      <c r="GQ121">
        <v>1</v>
      </c>
      <c r="GR121">
        <v>0</v>
      </c>
      <c r="GS121">
        <v>1</v>
      </c>
      <c r="GT121">
        <v>0</v>
      </c>
      <c r="GU121">
        <v>1</v>
      </c>
      <c r="GV121">
        <v>0</v>
      </c>
      <c r="GW121">
        <v>1</v>
      </c>
      <c r="GX121">
        <v>0</v>
      </c>
      <c r="GY121">
        <v>1</v>
      </c>
      <c r="GZ121">
        <v>0</v>
      </c>
      <c r="HA121" t="s">
        <v>263</v>
      </c>
      <c r="HB121" t="s">
        <v>894</v>
      </c>
      <c r="HC121" t="s">
        <v>935</v>
      </c>
      <c r="HD121" t="s">
        <v>845</v>
      </c>
      <c r="HE121" t="s">
        <v>900</v>
      </c>
      <c r="HF121" t="s">
        <v>1012</v>
      </c>
      <c r="HG121" t="s">
        <v>894</v>
      </c>
      <c r="HH121" t="s">
        <v>935</v>
      </c>
      <c r="HI121" t="s">
        <v>845</v>
      </c>
      <c r="HJ121" t="s">
        <v>900</v>
      </c>
      <c r="HK121" t="s">
        <v>1011</v>
      </c>
      <c r="HL121" t="s">
        <v>133</v>
      </c>
      <c r="HM121" t="s">
        <v>854</v>
      </c>
      <c r="HN121">
        <v>36805</v>
      </c>
      <c r="HP121" t="s">
        <v>134</v>
      </c>
      <c r="HQ121" t="s">
        <v>896</v>
      </c>
      <c r="HR121" t="s">
        <v>896</v>
      </c>
      <c r="HS121" t="s">
        <v>896</v>
      </c>
    </row>
    <row r="122" spans="1:227" x14ac:dyDescent="0.2">
      <c r="A122">
        <v>8702</v>
      </c>
      <c r="B122">
        <v>7603002358</v>
      </c>
      <c r="C122" t="s">
        <v>936</v>
      </c>
      <c r="D122" t="s">
        <v>937</v>
      </c>
      <c r="E122" t="s">
        <v>897</v>
      </c>
      <c r="F122">
        <v>0</v>
      </c>
      <c r="G122" t="s">
        <v>3502</v>
      </c>
      <c r="H122" t="s">
        <v>3502</v>
      </c>
      <c r="I122">
        <v>0</v>
      </c>
      <c r="J122" t="s">
        <v>833</v>
      </c>
      <c r="K122" t="s">
        <v>834</v>
      </c>
      <c r="L122">
        <v>153195488</v>
      </c>
      <c r="M122" t="s">
        <v>3503</v>
      </c>
      <c r="N122" t="s">
        <v>900</v>
      </c>
      <c r="O122" t="s">
        <v>837</v>
      </c>
      <c r="P122" t="s">
        <v>940</v>
      </c>
      <c r="Q122" t="s">
        <v>2404</v>
      </c>
      <c r="R122" t="s">
        <v>3504</v>
      </c>
      <c r="S122" t="s">
        <v>3505</v>
      </c>
      <c r="T122">
        <v>41477056288</v>
      </c>
      <c r="V122" t="s">
        <v>142</v>
      </c>
      <c r="W122" s="41">
        <v>46053</v>
      </c>
      <c r="X122" t="s">
        <v>3506</v>
      </c>
      <c r="Y122" t="s">
        <v>3507</v>
      </c>
      <c r="Z122" t="s">
        <v>3508</v>
      </c>
      <c r="AA122">
        <v>0</v>
      </c>
      <c r="AB122" t="s">
        <v>845</v>
      </c>
      <c r="AC122" t="s">
        <v>846</v>
      </c>
      <c r="AD122" t="s">
        <v>847</v>
      </c>
      <c r="AE122" t="s">
        <v>848</v>
      </c>
      <c r="AF122">
        <v>1</v>
      </c>
      <c r="AG122">
        <v>452210</v>
      </c>
      <c r="AH122" t="s">
        <v>849</v>
      </c>
      <c r="AI122" t="s">
        <v>850</v>
      </c>
      <c r="AJ122" t="s">
        <v>851</v>
      </c>
      <c r="AK122" t="s">
        <v>279</v>
      </c>
      <c r="AL122" t="s">
        <v>1181</v>
      </c>
      <c r="AM122" t="s">
        <v>3288</v>
      </c>
      <c r="AN122" t="s">
        <v>854</v>
      </c>
      <c r="AO122">
        <v>36805</v>
      </c>
      <c r="AP122">
        <v>527</v>
      </c>
      <c r="AQ122" t="s">
        <v>855</v>
      </c>
      <c r="AR122">
        <v>66314265</v>
      </c>
      <c r="AS122" t="s">
        <v>856</v>
      </c>
      <c r="AU122" t="s">
        <v>3509</v>
      </c>
      <c r="AV122" t="s">
        <v>3510</v>
      </c>
      <c r="AW122" t="s">
        <v>859</v>
      </c>
      <c r="AX122" t="s">
        <v>860</v>
      </c>
      <c r="AY122" t="s">
        <v>861</v>
      </c>
      <c r="AZ122" t="s">
        <v>279</v>
      </c>
      <c r="BA122" t="s">
        <v>280</v>
      </c>
      <c r="BB122">
        <v>0</v>
      </c>
      <c r="BC122">
        <v>0</v>
      </c>
      <c r="BD122">
        <v>0</v>
      </c>
      <c r="BE122" t="s">
        <v>3503</v>
      </c>
      <c r="BF122">
        <v>0</v>
      </c>
      <c r="BG122">
        <v>0</v>
      </c>
      <c r="BH122" t="s">
        <v>862</v>
      </c>
      <c r="BI122">
        <v>0</v>
      </c>
      <c r="BJ122" t="s">
        <v>862</v>
      </c>
      <c r="BK122">
        <v>1</v>
      </c>
      <c r="BL122">
        <v>0</v>
      </c>
      <c r="BM122">
        <v>0</v>
      </c>
      <c r="BN122" t="s">
        <v>596</v>
      </c>
      <c r="BO122">
        <v>153195488</v>
      </c>
      <c r="BP122" t="s">
        <v>3502</v>
      </c>
      <c r="BQ122">
        <v>39.956768099999998</v>
      </c>
      <c r="BR122">
        <v>42791440</v>
      </c>
      <c r="BS122">
        <v>-85.960885599999997</v>
      </c>
      <c r="BT122">
        <v>1</v>
      </c>
      <c r="BU122" t="s">
        <v>1367</v>
      </c>
      <c r="CI122">
        <v>11</v>
      </c>
      <c r="CJ122" t="s">
        <v>94</v>
      </c>
      <c r="CM122">
        <v>4010</v>
      </c>
      <c r="CO122">
        <v>7360</v>
      </c>
      <c r="CP122">
        <v>0.26669999999999999</v>
      </c>
      <c r="CQ122">
        <v>0.26669999999999999</v>
      </c>
      <c r="CR122">
        <v>0.25</v>
      </c>
      <c r="CS122">
        <v>248</v>
      </c>
      <c r="CT122" t="s">
        <v>3510</v>
      </c>
      <c r="CU122" t="s">
        <v>3509</v>
      </c>
      <c r="CV122" t="s">
        <v>833</v>
      </c>
      <c r="CW122" t="s">
        <v>834</v>
      </c>
      <c r="CX122" t="s">
        <v>3503</v>
      </c>
      <c r="CY122">
        <v>0</v>
      </c>
      <c r="CZ122">
        <v>0</v>
      </c>
      <c r="DA122" t="s">
        <v>833</v>
      </c>
      <c r="DB122" t="s">
        <v>865</v>
      </c>
      <c r="DC122">
        <v>46037</v>
      </c>
      <c r="DD122">
        <v>18.033300000000001</v>
      </c>
      <c r="DE122" t="s">
        <v>866</v>
      </c>
      <c r="DG122" t="s">
        <v>867</v>
      </c>
      <c r="DH122" t="s">
        <v>851</v>
      </c>
      <c r="DI122" t="s">
        <v>1189</v>
      </c>
      <c r="DK122" t="s">
        <v>918</v>
      </c>
      <c r="DL122" t="s">
        <v>869</v>
      </c>
      <c r="DM122">
        <v>0</v>
      </c>
      <c r="DN122">
        <v>0</v>
      </c>
      <c r="DO122">
        <v>53</v>
      </c>
      <c r="DP122" t="s">
        <v>1156</v>
      </c>
      <c r="DQ122">
        <v>16</v>
      </c>
      <c r="DR122">
        <v>1082</v>
      </c>
      <c r="DS122">
        <v>1807</v>
      </c>
      <c r="DT122">
        <v>17.7667</v>
      </c>
      <c r="DU122">
        <v>4</v>
      </c>
      <c r="DV122">
        <v>1</v>
      </c>
      <c r="DW122">
        <v>2</v>
      </c>
      <c r="DX122" t="s">
        <v>594</v>
      </c>
      <c r="DY122" t="s">
        <v>3503</v>
      </c>
      <c r="DZ122">
        <v>0</v>
      </c>
      <c r="EA122">
        <v>0</v>
      </c>
      <c r="EB122">
        <v>0</v>
      </c>
      <c r="EC122">
        <v>0</v>
      </c>
      <c r="ED122">
        <v>0</v>
      </c>
      <c r="EE122">
        <v>0</v>
      </c>
      <c r="EF122" t="s">
        <v>920</v>
      </c>
      <c r="EG122" t="s">
        <v>595</v>
      </c>
      <c r="EH122" t="s">
        <v>872</v>
      </c>
      <c r="EI122" t="s">
        <v>872</v>
      </c>
      <c r="EJ122" t="s">
        <v>134</v>
      </c>
      <c r="EK122">
        <v>9090</v>
      </c>
      <c r="EL122">
        <v>0</v>
      </c>
      <c r="EM122" t="s">
        <v>1011</v>
      </c>
      <c r="EN122">
        <v>0.25</v>
      </c>
      <c r="EO122">
        <v>30.116666599999999</v>
      </c>
      <c r="EP122">
        <v>99991120</v>
      </c>
      <c r="EQ122" t="s">
        <v>874</v>
      </c>
      <c r="ER122" t="s">
        <v>875</v>
      </c>
      <c r="ES122" t="s">
        <v>876</v>
      </c>
      <c r="ET122" t="s">
        <v>877</v>
      </c>
      <c r="EU122" t="s">
        <v>877</v>
      </c>
      <c r="EV122" t="s">
        <v>920</v>
      </c>
      <c r="EX122" t="s">
        <v>953</v>
      </c>
      <c r="EY122" t="s">
        <v>1555</v>
      </c>
      <c r="EZ122" t="s">
        <v>1013</v>
      </c>
      <c r="FA122" t="s">
        <v>925</v>
      </c>
      <c r="FB122">
        <v>1</v>
      </c>
      <c r="FC122">
        <v>1</v>
      </c>
      <c r="FD122" s="41">
        <v>46053</v>
      </c>
      <c r="FE122" t="s">
        <v>1370</v>
      </c>
      <c r="FF122">
        <v>5</v>
      </c>
      <c r="FI122">
        <v>0</v>
      </c>
      <c r="FJ122" t="s">
        <v>3511</v>
      </c>
      <c r="FK122" t="s">
        <v>3512</v>
      </c>
      <c r="FL122">
        <v>1</v>
      </c>
      <c r="FM122" t="s">
        <v>3513</v>
      </c>
      <c r="FN122" t="s">
        <v>3514</v>
      </c>
      <c r="FO122">
        <v>1</v>
      </c>
      <c r="FP122" t="s">
        <v>3515</v>
      </c>
      <c r="FQ122" t="s">
        <v>3516</v>
      </c>
      <c r="FR122">
        <v>1</v>
      </c>
      <c r="FS122" t="s">
        <v>1196</v>
      </c>
      <c r="FT122" t="s">
        <v>3517</v>
      </c>
      <c r="FU122">
        <v>1</v>
      </c>
      <c r="FV122" t="s">
        <v>3511</v>
      </c>
      <c r="FW122" t="s">
        <v>3512</v>
      </c>
      <c r="FX122">
        <v>1</v>
      </c>
      <c r="FY122" t="s">
        <v>890</v>
      </c>
      <c r="FZ122" t="s">
        <v>3518</v>
      </c>
      <c r="GA122" t="s">
        <v>3511</v>
      </c>
      <c r="GB122">
        <v>1</v>
      </c>
      <c r="GD122">
        <v>0</v>
      </c>
      <c r="GF122">
        <v>0</v>
      </c>
      <c r="GG122">
        <v>1</v>
      </c>
      <c r="GH122" t="s">
        <v>892</v>
      </c>
      <c r="GI122" t="s">
        <v>893</v>
      </c>
      <c r="GJ122" t="s">
        <v>3512</v>
      </c>
      <c r="GM122">
        <v>1</v>
      </c>
      <c r="GN122">
        <v>1</v>
      </c>
      <c r="GO122">
        <v>0</v>
      </c>
      <c r="GP122">
        <v>1</v>
      </c>
      <c r="GQ122">
        <v>1</v>
      </c>
      <c r="GR122">
        <v>0</v>
      </c>
      <c r="GS122">
        <v>1</v>
      </c>
      <c r="GT122">
        <v>0</v>
      </c>
      <c r="GU122">
        <v>1</v>
      </c>
      <c r="GV122">
        <v>0</v>
      </c>
      <c r="GW122">
        <v>1</v>
      </c>
      <c r="GX122">
        <v>0</v>
      </c>
      <c r="GY122">
        <v>1</v>
      </c>
      <c r="GZ122">
        <v>0</v>
      </c>
      <c r="HA122" t="s">
        <v>279</v>
      </c>
      <c r="HB122" t="s">
        <v>894</v>
      </c>
      <c r="HC122" t="s">
        <v>935</v>
      </c>
      <c r="HD122" t="s">
        <v>845</v>
      </c>
      <c r="HE122" t="s">
        <v>900</v>
      </c>
      <c r="HF122" t="s">
        <v>1012</v>
      </c>
      <c r="HG122" t="s">
        <v>894</v>
      </c>
      <c r="HH122" t="s">
        <v>935</v>
      </c>
      <c r="HI122" t="s">
        <v>845</v>
      </c>
      <c r="HJ122" t="s">
        <v>900</v>
      </c>
      <c r="HK122" t="s">
        <v>1011</v>
      </c>
      <c r="HL122" t="s">
        <v>142</v>
      </c>
      <c r="HM122" t="s">
        <v>854</v>
      </c>
      <c r="HN122">
        <v>36805</v>
      </c>
      <c r="HO122">
        <v>1</v>
      </c>
      <c r="HP122" t="s">
        <v>134</v>
      </c>
      <c r="HQ122" t="s">
        <v>896</v>
      </c>
      <c r="HR122" t="s">
        <v>896</v>
      </c>
      <c r="HS122" t="s">
        <v>896</v>
      </c>
    </row>
    <row r="123" spans="1:227" x14ac:dyDescent="0.2">
      <c r="A123">
        <v>8702</v>
      </c>
      <c r="B123">
        <v>7600503305</v>
      </c>
      <c r="C123" t="s">
        <v>829</v>
      </c>
      <c r="D123" t="s">
        <v>830</v>
      </c>
      <c r="E123" t="s">
        <v>897</v>
      </c>
      <c r="F123">
        <v>0</v>
      </c>
      <c r="G123" t="s">
        <v>3519</v>
      </c>
      <c r="H123" t="s">
        <v>3519</v>
      </c>
      <c r="I123">
        <v>0</v>
      </c>
      <c r="J123" t="s">
        <v>833</v>
      </c>
      <c r="K123" t="s">
        <v>834</v>
      </c>
      <c r="L123">
        <v>152832692</v>
      </c>
      <c r="M123" t="s">
        <v>2097</v>
      </c>
      <c r="N123" t="s">
        <v>900</v>
      </c>
      <c r="O123" t="s">
        <v>837</v>
      </c>
      <c r="P123" t="s">
        <v>838</v>
      </c>
      <c r="Q123" t="s">
        <v>1251</v>
      </c>
      <c r="R123" t="s">
        <v>3520</v>
      </c>
      <c r="S123" t="s">
        <v>3521</v>
      </c>
      <c r="T123">
        <v>41477059287</v>
      </c>
      <c r="V123" t="s">
        <v>239</v>
      </c>
      <c r="W123" s="41">
        <v>46027</v>
      </c>
      <c r="X123" t="s">
        <v>3522</v>
      </c>
      <c r="Y123" t="s">
        <v>3523</v>
      </c>
      <c r="Z123">
        <v>1</v>
      </c>
      <c r="AA123">
        <v>0</v>
      </c>
      <c r="AB123" t="s">
        <v>845</v>
      </c>
      <c r="AC123" t="s">
        <v>846</v>
      </c>
      <c r="AD123" t="s">
        <v>847</v>
      </c>
      <c r="AE123" t="s">
        <v>848</v>
      </c>
      <c r="AF123">
        <v>1</v>
      </c>
      <c r="AG123">
        <v>452210</v>
      </c>
      <c r="AH123" t="s">
        <v>849</v>
      </c>
      <c r="AI123" t="s">
        <v>850</v>
      </c>
      <c r="AJ123" t="s">
        <v>851</v>
      </c>
      <c r="AK123" t="s">
        <v>313</v>
      </c>
      <c r="AL123" t="s">
        <v>3524</v>
      </c>
      <c r="AM123" t="s">
        <v>1645</v>
      </c>
      <c r="AN123" t="s">
        <v>854</v>
      </c>
      <c r="AO123">
        <v>36805</v>
      </c>
      <c r="AP123">
        <v>928</v>
      </c>
      <c r="AQ123" t="s">
        <v>855</v>
      </c>
      <c r="AR123">
        <v>66276493</v>
      </c>
      <c r="AS123" t="s">
        <v>856</v>
      </c>
      <c r="AU123" t="s">
        <v>3525</v>
      </c>
      <c r="AV123" t="s">
        <v>3526</v>
      </c>
      <c r="AX123" t="s">
        <v>913</v>
      </c>
      <c r="AY123" t="s">
        <v>861</v>
      </c>
      <c r="AZ123" t="s">
        <v>313</v>
      </c>
      <c r="BA123" t="s">
        <v>314</v>
      </c>
      <c r="BB123">
        <v>0</v>
      </c>
      <c r="BC123">
        <v>0</v>
      </c>
      <c r="BD123">
        <v>0</v>
      </c>
      <c r="BE123" t="s">
        <v>2097</v>
      </c>
      <c r="BF123">
        <v>0</v>
      </c>
      <c r="BG123">
        <v>0</v>
      </c>
      <c r="BH123" t="s">
        <v>862</v>
      </c>
      <c r="BI123">
        <v>0</v>
      </c>
      <c r="BJ123" t="s">
        <v>862</v>
      </c>
      <c r="BK123">
        <v>1</v>
      </c>
      <c r="BL123">
        <v>1</v>
      </c>
      <c r="BM123">
        <v>0</v>
      </c>
      <c r="BN123" t="s">
        <v>596</v>
      </c>
      <c r="BO123">
        <v>152832692</v>
      </c>
      <c r="BP123" t="s">
        <v>3519</v>
      </c>
      <c r="BR123">
        <v>42793653</v>
      </c>
      <c r="BT123">
        <v>2</v>
      </c>
      <c r="BU123" t="s">
        <v>1367</v>
      </c>
      <c r="CE123">
        <v>1</v>
      </c>
      <c r="CI123">
        <v>11</v>
      </c>
      <c r="CJ123" t="s">
        <v>94</v>
      </c>
      <c r="CM123">
        <v>4010</v>
      </c>
      <c r="CO123">
        <v>7360</v>
      </c>
      <c r="CP123">
        <v>1.67E-2</v>
      </c>
      <c r="CQ123">
        <v>1.67E-2</v>
      </c>
      <c r="CR123">
        <v>0</v>
      </c>
      <c r="CS123">
        <v>1</v>
      </c>
      <c r="CT123" t="s">
        <v>3526</v>
      </c>
      <c r="CU123" t="s">
        <v>3525</v>
      </c>
      <c r="CV123" t="s">
        <v>833</v>
      </c>
      <c r="CW123" t="s">
        <v>834</v>
      </c>
      <c r="CX123" t="s">
        <v>2097</v>
      </c>
      <c r="CY123">
        <v>0</v>
      </c>
      <c r="CZ123">
        <v>0</v>
      </c>
      <c r="DA123" t="s">
        <v>833</v>
      </c>
      <c r="DB123" t="s">
        <v>865</v>
      </c>
      <c r="DC123">
        <v>44145</v>
      </c>
      <c r="DD123">
        <v>0.2</v>
      </c>
      <c r="DE123" t="s">
        <v>866</v>
      </c>
      <c r="DG123" t="s">
        <v>867</v>
      </c>
      <c r="DH123" t="s">
        <v>851</v>
      </c>
      <c r="DI123" t="s">
        <v>2105</v>
      </c>
      <c r="DK123" t="s">
        <v>918</v>
      </c>
      <c r="DL123" t="s">
        <v>869</v>
      </c>
      <c r="DM123">
        <v>0</v>
      </c>
      <c r="DN123">
        <v>0</v>
      </c>
      <c r="DO123">
        <v>2</v>
      </c>
      <c r="DP123" t="s">
        <v>870</v>
      </c>
      <c r="DQ123">
        <v>16</v>
      </c>
      <c r="DR123">
        <v>12</v>
      </c>
      <c r="DS123">
        <v>49</v>
      </c>
      <c r="DT123">
        <v>0.18329999999999999</v>
      </c>
      <c r="DU123">
        <v>4</v>
      </c>
      <c r="DV123">
        <v>1</v>
      </c>
      <c r="DW123">
        <v>2</v>
      </c>
      <c r="DX123" t="s">
        <v>596</v>
      </c>
      <c r="DY123" t="s">
        <v>2097</v>
      </c>
      <c r="DZ123">
        <v>1</v>
      </c>
      <c r="EA123">
        <v>1</v>
      </c>
      <c r="EB123">
        <v>1</v>
      </c>
      <c r="EC123">
        <v>1</v>
      </c>
      <c r="ED123">
        <v>1</v>
      </c>
      <c r="EE123">
        <v>1</v>
      </c>
      <c r="EF123" t="s">
        <v>871</v>
      </c>
      <c r="EG123" t="s">
        <v>595</v>
      </c>
      <c r="EH123" t="s">
        <v>921</v>
      </c>
      <c r="EI123" t="s">
        <v>921</v>
      </c>
      <c r="EJ123" t="s">
        <v>226</v>
      </c>
      <c r="EK123">
        <v>9090</v>
      </c>
      <c r="EL123">
        <v>0</v>
      </c>
      <c r="EM123" t="s">
        <v>1157</v>
      </c>
      <c r="EN123">
        <v>0</v>
      </c>
      <c r="EO123">
        <v>0.81666660000000002</v>
      </c>
      <c r="EP123">
        <v>99991120</v>
      </c>
      <c r="EQ123" t="s">
        <v>874</v>
      </c>
      <c r="ER123" t="s">
        <v>875</v>
      </c>
      <c r="ES123" t="s">
        <v>876</v>
      </c>
      <c r="ET123" t="s">
        <v>877</v>
      </c>
      <c r="EU123" t="s">
        <v>877</v>
      </c>
      <c r="EV123" t="s">
        <v>871</v>
      </c>
      <c r="EX123" t="s">
        <v>953</v>
      </c>
      <c r="EY123" t="s">
        <v>986</v>
      </c>
      <c r="EZ123" t="s">
        <v>1236</v>
      </c>
      <c r="FA123" t="s">
        <v>956</v>
      </c>
      <c r="FB123">
        <v>1</v>
      </c>
      <c r="FC123">
        <v>1</v>
      </c>
      <c r="FD123" s="41">
        <v>46032</v>
      </c>
      <c r="FE123" t="s">
        <v>1370</v>
      </c>
      <c r="FF123">
        <v>9</v>
      </c>
      <c r="FG123" t="s">
        <v>1656</v>
      </c>
      <c r="FH123" t="s">
        <v>3527</v>
      </c>
      <c r="FI123">
        <v>1</v>
      </c>
      <c r="FJ123" t="s">
        <v>3528</v>
      </c>
      <c r="FK123" t="s">
        <v>3529</v>
      </c>
      <c r="FL123">
        <v>1</v>
      </c>
      <c r="FM123" t="s">
        <v>2109</v>
      </c>
      <c r="FN123" t="s">
        <v>3530</v>
      </c>
      <c r="FO123">
        <v>1</v>
      </c>
      <c r="FP123" t="s">
        <v>3531</v>
      </c>
      <c r="FQ123" t="s">
        <v>3532</v>
      </c>
      <c r="FR123">
        <v>1</v>
      </c>
      <c r="FS123" t="s">
        <v>1656</v>
      </c>
      <c r="FT123" t="s">
        <v>3533</v>
      </c>
      <c r="FU123">
        <v>1</v>
      </c>
      <c r="FV123" t="s">
        <v>1658</v>
      </c>
      <c r="FW123" t="s">
        <v>3534</v>
      </c>
      <c r="FX123">
        <v>1</v>
      </c>
      <c r="FY123" t="s">
        <v>890</v>
      </c>
      <c r="FZ123" t="s">
        <v>3535</v>
      </c>
      <c r="GA123" t="s">
        <v>3528</v>
      </c>
      <c r="GB123">
        <v>1</v>
      </c>
      <c r="GD123">
        <v>0</v>
      </c>
      <c r="GF123">
        <v>0</v>
      </c>
      <c r="GG123">
        <v>1</v>
      </c>
      <c r="GH123" t="s">
        <v>892</v>
      </c>
      <c r="GI123" t="s">
        <v>893</v>
      </c>
      <c r="GJ123" t="s">
        <v>3529</v>
      </c>
      <c r="GM123">
        <v>1</v>
      </c>
      <c r="GN123">
        <v>0</v>
      </c>
      <c r="GO123">
        <v>1</v>
      </c>
      <c r="GP123">
        <v>1</v>
      </c>
      <c r="GQ123">
        <v>1</v>
      </c>
      <c r="GR123">
        <v>0</v>
      </c>
      <c r="GS123">
        <v>1</v>
      </c>
      <c r="GT123">
        <v>1</v>
      </c>
      <c r="GU123">
        <v>1</v>
      </c>
      <c r="GV123">
        <v>0</v>
      </c>
      <c r="GW123">
        <v>1</v>
      </c>
      <c r="GX123">
        <v>1</v>
      </c>
      <c r="GY123">
        <v>1</v>
      </c>
      <c r="GZ123">
        <v>0</v>
      </c>
      <c r="HA123" t="s">
        <v>313</v>
      </c>
      <c r="HB123" t="s">
        <v>894</v>
      </c>
      <c r="HC123" t="s">
        <v>935</v>
      </c>
      <c r="HD123" t="s">
        <v>845</v>
      </c>
      <c r="HE123" t="s">
        <v>900</v>
      </c>
      <c r="HF123" t="s">
        <v>923</v>
      </c>
      <c r="HG123" t="s">
        <v>894</v>
      </c>
      <c r="HH123" t="s">
        <v>935</v>
      </c>
      <c r="HI123" t="s">
        <v>845</v>
      </c>
      <c r="HJ123" t="s">
        <v>900</v>
      </c>
      <c r="HK123" t="s">
        <v>922</v>
      </c>
      <c r="HL123" t="s">
        <v>239</v>
      </c>
      <c r="HM123" t="s">
        <v>854</v>
      </c>
      <c r="HN123">
        <v>36805</v>
      </c>
      <c r="HP123" t="s">
        <v>226</v>
      </c>
      <c r="HQ123" t="s">
        <v>896</v>
      </c>
      <c r="HR123" t="s">
        <v>896</v>
      </c>
      <c r="HS123" t="s">
        <v>896</v>
      </c>
    </row>
    <row r="124" spans="1:227" x14ac:dyDescent="0.2">
      <c r="A124">
        <v>8702</v>
      </c>
      <c r="B124">
        <v>7522306048</v>
      </c>
      <c r="C124" t="s">
        <v>829</v>
      </c>
      <c r="D124" t="s">
        <v>830</v>
      </c>
      <c r="E124" t="s">
        <v>897</v>
      </c>
      <c r="F124">
        <v>3</v>
      </c>
      <c r="G124" t="s">
        <v>3536</v>
      </c>
      <c r="H124" t="s">
        <v>3536</v>
      </c>
      <c r="I124">
        <v>0</v>
      </c>
      <c r="J124" t="s">
        <v>833</v>
      </c>
      <c r="K124" t="s">
        <v>834</v>
      </c>
      <c r="L124">
        <v>152832700</v>
      </c>
      <c r="M124" t="s">
        <v>3537</v>
      </c>
      <c r="N124" t="s">
        <v>900</v>
      </c>
      <c r="O124" t="s">
        <v>837</v>
      </c>
      <c r="P124" t="s">
        <v>838</v>
      </c>
      <c r="Q124" t="s">
        <v>1251</v>
      </c>
      <c r="R124" t="s">
        <v>3538</v>
      </c>
      <c r="S124" t="s">
        <v>3539</v>
      </c>
      <c r="T124">
        <v>41477095626</v>
      </c>
      <c r="V124" t="s">
        <v>239</v>
      </c>
      <c r="W124" s="41">
        <v>45888</v>
      </c>
      <c r="X124" t="s">
        <v>3540</v>
      </c>
      <c r="Y124" t="s">
        <v>3541</v>
      </c>
      <c r="Z124" t="s">
        <v>3401</v>
      </c>
      <c r="AA124">
        <v>0</v>
      </c>
      <c r="AB124" t="s">
        <v>845</v>
      </c>
      <c r="AC124" t="s">
        <v>846</v>
      </c>
      <c r="AD124" t="s">
        <v>847</v>
      </c>
      <c r="AE124" t="s">
        <v>848</v>
      </c>
      <c r="AF124">
        <v>1</v>
      </c>
      <c r="AG124">
        <v>452210</v>
      </c>
      <c r="AH124" t="s">
        <v>849</v>
      </c>
      <c r="AI124" t="s">
        <v>850</v>
      </c>
      <c r="AJ124" t="s">
        <v>851</v>
      </c>
      <c r="AK124" t="s">
        <v>277</v>
      </c>
      <c r="AL124" t="s">
        <v>1229</v>
      </c>
      <c r="AM124" t="s">
        <v>1645</v>
      </c>
      <c r="AN124" t="s">
        <v>854</v>
      </c>
      <c r="AO124">
        <v>36805</v>
      </c>
      <c r="AP124">
        <v>928</v>
      </c>
      <c r="AQ124" t="s">
        <v>855</v>
      </c>
      <c r="AR124">
        <v>66076651</v>
      </c>
      <c r="AS124" t="s">
        <v>856</v>
      </c>
      <c r="AU124" t="s">
        <v>3542</v>
      </c>
      <c r="AV124" t="s">
        <v>3543</v>
      </c>
      <c r="AW124" t="s">
        <v>1185</v>
      </c>
      <c r="AX124" t="s">
        <v>1186</v>
      </c>
      <c r="AY124" t="s">
        <v>861</v>
      </c>
      <c r="AZ124" t="s">
        <v>277</v>
      </c>
      <c r="BA124" t="s">
        <v>278</v>
      </c>
      <c r="BB124">
        <v>1</v>
      </c>
      <c r="BC124">
        <v>0</v>
      </c>
      <c r="BD124">
        <v>0</v>
      </c>
      <c r="BE124" t="s">
        <v>3537</v>
      </c>
      <c r="BF124">
        <v>0</v>
      </c>
      <c r="BG124">
        <v>0</v>
      </c>
      <c r="BH124" t="s">
        <v>862</v>
      </c>
      <c r="BI124">
        <v>0</v>
      </c>
      <c r="BJ124" t="s">
        <v>862</v>
      </c>
      <c r="BK124">
        <v>1</v>
      </c>
      <c r="BL124">
        <v>0</v>
      </c>
      <c r="BM124">
        <v>0</v>
      </c>
      <c r="BN124" t="s">
        <v>596</v>
      </c>
      <c r="BO124">
        <v>152832700</v>
      </c>
      <c r="BP124" t="s">
        <v>3536</v>
      </c>
      <c r="BQ124">
        <v>41.465651200000003</v>
      </c>
      <c r="BR124">
        <v>42793653</v>
      </c>
      <c r="BS124">
        <v>-81.952495400000004</v>
      </c>
      <c r="BT124">
        <v>1</v>
      </c>
      <c r="BU124" t="s">
        <v>3406</v>
      </c>
      <c r="CI124">
        <v>11</v>
      </c>
      <c r="CJ124" t="s">
        <v>94</v>
      </c>
      <c r="CM124">
        <v>4010</v>
      </c>
      <c r="CO124">
        <v>7360</v>
      </c>
      <c r="CP124">
        <v>5.0833000000000004</v>
      </c>
      <c r="CQ124">
        <v>5.0833000000000004</v>
      </c>
      <c r="CR124">
        <v>0.55000000000000004</v>
      </c>
      <c r="CS124">
        <v>2618</v>
      </c>
      <c r="CT124" t="s">
        <v>3543</v>
      </c>
      <c r="CU124" t="s">
        <v>3542</v>
      </c>
      <c r="CV124" t="s">
        <v>833</v>
      </c>
      <c r="CW124" t="s">
        <v>834</v>
      </c>
      <c r="CX124" t="s">
        <v>3537</v>
      </c>
      <c r="CY124">
        <v>1</v>
      </c>
      <c r="CZ124">
        <v>1</v>
      </c>
      <c r="DA124" t="s">
        <v>833</v>
      </c>
      <c r="DB124" t="s">
        <v>865</v>
      </c>
      <c r="DC124">
        <v>44145</v>
      </c>
      <c r="DD124">
        <v>98.683300000000003</v>
      </c>
      <c r="DE124" t="s">
        <v>866</v>
      </c>
      <c r="DG124" t="s">
        <v>867</v>
      </c>
      <c r="DH124" t="s">
        <v>851</v>
      </c>
      <c r="DI124" t="s">
        <v>2105</v>
      </c>
      <c r="DK124" t="s">
        <v>1155</v>
      </c>
      <c r="DL124" t="s">
        <v>869</v>
      </c>
      <c r="DM124">
        <v>0</v>
      </c>
      <c r="DN124">
        <v>0</v>
      </c>
      <c r="DO124">
        <v>11</v>
      </c>
      <c r="DP124" t="s">
        <v>1010</v>
      </c>
      <c r="DQ124">
        <v>16</v>
      </c>
      <c r="DR124">
        <v>549</v>
      </c>
      <c r="DS124">
        <v>11681</v>
      </c>
      <c r="DT124">
        <v>5.1833</v>
      </c>
      <c r="DU124">
        <v>4</v>
      </c>
      <c r="DV124">
        <v>1</v>
      </c>
      <c r="DW124">
        <v>2</v>
      </c>
      <c r="DX124" t="s">
        <v>594</v>
      </c>
      <c r="DY124" t="s">
        <v>3537</v>
      </c>
      <c r="DZ124">
        <v>0</v>
      </c>
      <c r="EA124">
        <v>0</v>
      </c>
      <c r="EB124">
        <v>0</v>
      </c>
      <c r="EC124">
        <v>0</v>
      </c>
      <c r="ED124">
        <v>0</v>
      </c>
      <c r="EE124">
        <v>0</v>
      </c>
      <c r="EF124" t="s">
        <v>920</v>
      </c>
      <c r="EG124" t="s">
        <v>595</v>
      </c>
      <c r="EH124" t="s">
        <v>872</v>
      </c>
      <c r="EI124" t="s">
        <v>872</v>
      </c>
      <c r="EJ124" t="s">
        <v>226</v>
      </c>
      <c r="EK124">
        <v>9090</v>
      </c>
      <c r="EL124">
        <v>0</v>
      </c>
      <c r="EM124" t="s">
        <v>1157</v>
      </c>
      <c r="EN124">
        <v>0.55000000000000004</v>
      </c>
      <c r="EO124">
        <v>194.68333329999999</v>
      </c>
      <c r="EP124">
        <v>99991120</v>
      </c>
      <c r="EQ124" t="s">
        <v>874</v>
      </c>
      <c r="ER124" t="s">
        <v>875</v>
      </c>
      <c r="ES124" t="s">
        <v>876</v>
      </c>
      <c r="ET124" t="s">
        <v>877</v>
      </c>
      <c r="EU124" t="s">
        <v>877</v>
      </c>
      <c r="EV124" t="s">
        <v>920</v>
      </c>
      <c r="EX124" t="s">
        <v>953</v>
      </c>
      <c r="EY124" t="s">
        <v>986</v>
      </c>
      <c r="EZ124" t="s">
        <v>1236</v>
      </c>
      <c r="FA124" t="s">
        <v>956</v>
      </c>
      <c r="FB124">
        <v>1</v>
      </c>
      <c r="FC124">
        <v>2</v>
      </c>
      <c r="FD124" s="41">
        <v>45892</v>
      </c>
      <c r="FE124" t="s">
        <v>987</v>
      </c>
      <c r="FF124">
        <v>34</v>
      </c>
      <c r="FG124" t="s">
        <v>3544</v>
      </c>
      <c r="FH124" t="s">
        <v>3545</v>
      </c>
      <c r="FI124">
        <v>1</v>
      </c>
      <c r="FJ124" t="s">
        <v>3546</v>
      </c>
      <c r="FK124" t="s">
        <v>3545</v>
      </c>
      <c r="FL124">
        <v>1</v>
      </c>
      <c r="FM124" t="s">
        <v>3547</v>
      </c>
      <c r="FN124" t="s">
        <v>3548</v>
      </c>
      <c r="FO124">
        <v>1</v>
      </c>
      <c r="FP124" t="s">
        <v>3549</v>
      </c>
      <c r="FQ124" t="s">
        <v>3542</v>
      </c>
      <c r="FR124">
        <v>1</v>
      </c>
      <c r="FS124" t="s">
        <v>1244</v>
      </c>
      <c r="FT124" t="s">
        <v>3550</v>
      </c>
      <c r="FU124">
        <v>1</v>
      </c>
      <c r="FV124" t="s">
        <v>3551</v>
      </c>
      <c r="FW124" t="s">
        <v>3552</v>
      </c>
      <c r="FX124">
        <v>1</v>
      </c>
      <c r="FY124" t="s">
        <v>890</v>
      </c>
      <c r="FZ124" t="s">
        <v>3553</v>
      </c>
      <c r="GA124" t="s">
        <v>3546</v>
      </c>
      <c r="GB124">
        <v>1</v>
      </c>
      <c r="GD124">
        <v>0</v>
      </c>
      <c r="GF124">
        <v>0</v>
      </c>
      <c r="GG124">
        <v>1</v>
      </c>
      <c r="GH124" t="s">
        <v>892</v>
      </c>
      <c r="GI124" t="s">
        <v>893</v>
      </c>
      <c r="GJ124" t="s">
        <v>3545</v>
      </c>
      <c r="GM124">
        <v>1</v>
      </c>
      <c r="GN124">
        <v>0</v>
      </c>
      <c r="GO124">
        <v>0</v>
      </c>
      <c r="GP124">
        <v>1</v>
      </c>
      <c r="GQ124">
        <v>1</v>
      </c>
      <c r="GR124">
        <v>0</v>
      </c>
      <c r="GS124">
        <v>1</v>
      </c>
      <c r="GT124">
        <v>0</v>
      </c>
      <c r="GU124">
        <v>1</v>
      </c>
      <c r="GV124">
        <v>0</v>
      </c>
      <c r="GW124">
        <v>1</v>
      </c>
      <c r="GX124">
        <v>0</v>
      </c>
      <c r="GY124">
        <v>1</v>
      </c>
      <c r="GZ124">
        <v>0</v>
      </c>
      <c r="HA124" t="s">
        <v>277</v>
      </c>
      <c r="HB124" t="s">
        <v>894</v>
      </c>
      <c r="HC124" t="s">
        <v>935</v>
      </c>
      <c r="HD124" t="s">
        <v>845</v>
      </c>
      <c r="HE124" t="s">
        <v>900</v>
      </c>
      <c r="HF124" t="s">
        <v>923</v>
      </c>
      <c r="HG124" t="s">
        <v>894</v>
      </c>
      <c r="HH124" t="s">
        <v>935</v>
      </c>
      <c r="HI124" t="s">
        <v>845</v>
      </c>
      <c r="HJ124" t="s">
        <v>900</v>
      </c>
      <c r="HK124" t="s">
        <v>922</v>
      </c>
      <c r="HL124" t="s">
        <v>239</v>
      </c>
      <c r="HM124" t="s">
        <v>854</v>
      </c>
      <c r="HN124">
        <v>36805</v>
      </c>
      <c r="HO124">
        <v>1</v>
      </c>
      <c r="HP124" t="s">
        <v>226</v>
      </c>
      <c r="HQ124" t="s">
        <v>896</v>
      </c>
      <c r="HR124" t="s">
        <v>896</v>
      </c>
      <c r="HS124" t="s">
        <v>896</v>
      </c>
    </row>
    <row r="125" spans="1:227" x14ac:dyDescent="0.2">
      <c r="A125">
        <v>8702</v>
      </c>
      <c r="B125">
        <v>7532803915</v>
      </c>
      <c r="C125">
        <v>34</v>
      </c>
      <c r="D125" t="s">
        <v>996</v>
      </c>
      <c r="E125" t="s">
        <v>831</v>
      </c>
      <c r="F125">
        <v>0</v>
      </c>
      <c r="G125" t="s">
        <v>3554</v>
      </c>
      <c r="H125" t="s">
        <v>3554</v>
      </c>
      <c r="I125">
        <v>0</v>
      </c>
      <c r="J125" t="s">
        <v>833</v>
      </c>
      <c r="K125" t="s">
        <v>834</v>
      </c>
      <c r="L125">
        <v>153524588</v>
      </c>
      <c r="M125" t="s">
        <v>3555</v>
      </c>
      <c r="N125" t="s">
        <v>836</v>
      </c>
      <c r="O125" t="s">
        <v>837</v>
      </c>
      <c r="P125" t="s">
        <v>999</v>
      </c>
      <c r="Q125" t="s">
        <v>1027</v>
      </c>
      <c r="R125" t="s">
        <v>3556</v>
      </c>
      <c r="S125" t="s">
        <v>3557</v>
      </c>
      <c r="T125">
        <v>41477093921</v>
      </c>
      <c r="V125" t="s">
        <v>2903</v>
      </c>
      <c r="W125" s="41">
        <v>45993</v>
      </c>
      <c r="X125" t="s">
        <v>3558</v>
      </c>
      <c r="Y125" t="s">
        <v>3559</v>
      </c>
      <c r="Z125" t="s">
        <v>3560</v>
      </c>
      <c r="AA125">
        <v>0</v>
      </c>
      <c r="AB125" t="s">
        <v>845</v>
      </c>
      <c r="AC125" t="s">
        <v>846</v>
      </c>
      <c r="AD125" t="s">
        <v>847</v>
      </c>
      <c r="AE125" t="s">
        <v>848</v>
      </c>
      <c r="AF125">
        <v>1</v>
      </c>
      <c r="AG125">
        <v>452210</v>
      </c>
      <c r="AH125" t="s">
        <v>849</v>
      </c>
      <c r="AI125" t="s">
        <v>850</v>
      </c>
      <c r="AJ125" t="s">
        <v>851</v>
      </c>
      <c r="AK125" t="s">
        <v>377</v>
      </c>
      <c r="AL125" t="s">
        <v>3561</v>
      </c>
      <c r="AM125" t="s">
        <v>2907</v>
      </c>
      <c r="AN125" t="s">
        <v>854</v>
      </c>
      <c r="AO125">
        <v>36805</v>
      </c>
      <c r="AP125">
        <v>563</v>
      </c>
      <c r="AQ125" t="s">
        <v>855</v>
      </c>
      <c r="AR125">
        <v>66227768</v>
      </c>
      <c r="AS125" t="s">
        <v>856</v>
      </c>
      <c r="AU125" t="s">
        <v>3562</v>
      </c>
      <c r="AV125" t="s">
        <v>3563</v>
      </c>
      <c r="AX125" t="s">
        <v>913</v>
      </c>
      <c r="AY125" t="s">
        <v>861</v>
      </c>
      <c r="AZ125" t="s">
        <v>377</v>
      </c>
      <c r="BA125" t="s">
        <v>378</v>
      </c>
      <c r="BB125">
        <v>0</v>
      </c>
      <c r="BC125">
        <v>0</v>
      </c>
      <c r="BD125">
        <v>0</v>
      </c>
      <c r="BE125" t="s">
        <v>3555</v>
      </c>
      <c r="BF125">
        <v>0</v>
      </c>
      <c r="BG125">
        <v>0</v>
      </c>
      <c r="BH125" t="s">
        <v>862</v>
      </c>
      <c r="BI125">
        <v>0</v>
      </c>
      <c r="BJ125" t="s">
        <v>862</v>
      </c>
      <c r="BK125">
        <v>1</v>
      </c>
      <c r="BL125">
        <v>1</v>
      </c>
      <c r="BM125">
        <v>0</v>
      </c>
      <c r="BN125" t="s">
        <v>596</v>
      </c>
      <c r="BO125">
        <v>153524588</v>
      </c>
      <c r="BP125" t="s">
        <v>3554</v>
      </c>
      <c r="BQ125">
        <v>44.023167399999998</v>
      </c>
      <c r="BR125">
        <v>42791465</v>
      </c>
      <c r="BS125">
        <v>-92.486601100000001</v>
      </c>
      <c r="BT125">
        <v>1</v>
      </c>
      <c r="BU125" t="s">
        <v>3226</v>
      </c>
      <c r="CI125">
        <v>11</v>
      </c>
      <c r="CJ125" t="s">
        <v>94</v>
      </c>
      <c r="CM125">
        <v>4010</v>
      </c>
      <c r="CO125">
        <v>7360</v>
      </c>
      <c r="CP125">
        <v>0.38329999999999997</v>
      </c>
      <c r="CQ125">
        <v>0.38329999999999997</v>
      </c>
      <c r="CR125">
        <v>4.0332999999999997</v>
      </c>
      <c r="CS125">
        <v>510</v>
      </c>
      <c r="CT125" t="s">
        <v>3563</v>
      </c>
      <c r="CU125" t="s">
        <v>3562</v>
      </c>
      <c r="CV125" t="s">
        <v>833</v>
      </c>
      <c r="CW125" t="s">
        <v>834</v>
      </c>
      <c r="CX125" t="s">
        <v>3555</v>
      </c>
      <c r="CY125">
        <v>0</v>
      </c>
      <c r="CZ125">
        <v>0</v>
      </c>
      <c r="DA125" t="s">
        <v>833</v>
      </c>
      <c r="DB125" t="s">
        <v>865</v>
      </c>
      <c r="DC125">
        <v>55902</v>
      </c>
      <c r="DD125">
        <v>96.7667</v>
      </c>
      <c r="DE125" t="s">
        <v>866</v>
      </c>
      <c r="DG125" t="s">
        <v>867</v>
      </c>
      <c r="DH125" t="s">
        <v>851</v>
      </c>
      <c r="DI125" t="s">
        <v>1266</v>
      </c>
      <c r="DK125" t="s">
        <v>918</v>
      </c>
      <c r="DL125" t="s">
        <v>869</v>
      </c>
      <c r="DM125">
        <v>0</v>
      </c>
      <c r="DN125">
        <v>0</v>
      </c>
      <c r="DO125">
        <v>14</v>
      </c>
      <c r="DP125" t="s">
        <v>3564</v>
      </c>
      <c r="DQ125">
        <v>12</v>
      </c>
      <c r="DR125">
        <v>5806</v>
      </c>
      <c r="DS125">
        <v>11566</v>
      </c>
      <c r="DT125">
        <v>2.65</v>
      </c>
      <c r="DU125">
        <v>4</v>
      </c>
      <c r="DV125">
        <v>1</v>
      </c>
      <c r="DW125">
        <v>1</v>
      </c>
      <c r="DX125" t="s">
        <v>596</v>
      </c>
      <c r="DY125" t="s">
        <v>3555</v>
      </c>
      <c r="DZ125">
        <v>0</v>
      </c>
      <c r="EA125">
        <v>0</v>
      </c>
      <c r="EB125">
        <v>1</v>
      </c>
      <c r="EC125">
        <v>1</v>
      </c>
      <c r="ED125">
        <v>1</v>
      </c>
      <c r="EE125">
        <v>1</v>
      </c>
      <c r="EF125" t="s">
        <v>871</v>
      </c>
      <c r="EG125" t="s">
        <v>595</v>
      </c>
      <c r="EH125" t="s">
        <v>1036</v>
      </c>
      <c r="EI125" t="s">
        <v>1036</v>
      </c>
      <c r="EJ125" t="s">
        <v>159</v>
      </c>
      <c r="EK125">
        <v>9090</v>
      </c>
      <c r="EL125">
        <v>1</v>
      </c>
      <c r="EM125" t="s">
        <v>1436</v>
      </c>
      <c r="EN125">
        <v>4.0332999999999997</v>
      </c>
      <c r="EO125">
        <v>192.76666660000001</v>
      </c>
      <c r="EP125">
        <v>99991120</v>
      </c>
      <c r="EQ125" t="s">
        <v>874</v>
      </c>
      <c r="ER125" t="s">
        <v>875</v>
      </c>
      <c r="ES125" t="s">
        <v>876</v>
      </c>
      <c r="ET125" t="s">
        <v>877</v>
      </c>
      <c r="EU125" t="s">
        <v>877</v>
      </c>
      <c r="EV125" t="s">
        <v>871</v>
      </c>
      <c r="EX125" t="s">
        <v>836</v>
      </c>
      <c r="EY125" t="s">
        <v>1121</v>
      </c>
      <c r="EZ125" t="s">
        <v>2913</v>
      </c>
      <c r="FA125" t="s">
        <v>1212</v>
      </c>
      <c r="FB125">
        <v>1</v>
      </c>
      <c r="FC125">
        <v>1</v>
      </c>
      <c r="FD125" s="41">
        <v>45997</v>
      </c>
      <c r="FE125" t="s">
        <v>957</v>
      </c>
      <c r="FF125">
        <v>22</v>
      </c>
      <c r="FG125" t="s">
        <v>3565</v>
      </c>
      <c r="FH125" t="s">
        <v>3566</v>
      </c>
      <c r="FI125">
        <v>1</v>
      </c>
      <c r="FJ125" t="s">
        <v>3567</v>
      </c>
      <c r="FK125" t="s">
        <v>3568</v>
      </c>
      <c r="FL125">
        <v>1</v>
      </c>
      <c r="FM125" t="s">
        <v>3569</v>
      </c>
      <c r="FN125" t="s">
        <v>3570</v>
      </c>
      <c r="FO125">
        <v>1</v>
      </c>
      <c r="FP125" t="s">
        <v>3571</v>
      </c>
      <c r="FQ125" t="s">
        <v>3572</v>
      </c>
      <c r="FR125">
        <v>1</v>
      </c>
      <c r="FS125" t="s">
        <v>2287</v>
      </c>
      <c r="FT125" t="s">
        <v>3573</v>
      </c>
      <c r="FU125">
        <v>1</v>
      </c>
      <c r="FV125" t="s">
        <v>3574</v>
      </c>
      <c r="FW125" t="s">
        <v>3575</v>
      </c>
      <c r="FX125">
        <v>1</v>
      </c>
      <c r="FY125" t="s">
        <v>890</v>
      </c>
      <c r="FZ125" t="s">
        <v>3576</v>
      </c>
      <c r="GA125" t="s">
        <v>3567</v>
      </c>
      <c r="GB125">
        <v>1</v>
      </c>
      <c r="GD125">
        <v>0</v>
      </c>
      <c r="GF125">
        <v>0</v>
      </c>
      <c r="GG125">
        <v>1</v>
      </c>
      <c r="GH125" t="s">
        <v>892</v>
      </c>
      <c r="GI125" t="s">
        <v>893</v>
      </c>
      <c r="GJ125" t="s">
        <v>3568</v>
      </c>
      <c r="GM125">
        <v>1</v>
      </c>
      <c r="GN125">
        <v>0</v>
      </c>
      <c r="GO125">
        <v>1</v>
      </c>
      <c r="GP125">
        <v>1</v>
      </c>
      <c r="GQ125">
        <v>1</v>
      </c>
      <c r="GR125">
        <v>1</v>
      </c>
      <c r="GS125">
        <v>1</v>
      </c>
      <c r="GT125">
        <v>1</v>
      </c>
      <c r="GU125">
        <v>1</v>
      </c>
      <c r="GV125">
        <v>1</v>
      </c>
      <c r="GW125">
        <v>1</v>
      </c>
      <c r="GX125">
        <v>1</v>
      </c>
      <c r="GY125">
        <v>1</v>
      </c>
      <c r="GZ125">
        <v>1</v>
      </c>
      <c r="HA125" t="s">
        <v>377</v>
      </c>
      <c r="HB125" t="s">
        <v>894</v>
      </c>
      <c r="HC125" t="s">
        <v>895</v>
      </c>
      <c r="HD125" t="s">
        <v>845</v>
      </c>
      <c r="HE125" t="s">
        <v>836</v>
      </c>
      <c r="HF125" t="s">
        <v>873</v>
      </c>
      <c r="HG125" t="s">
        <v>894</v>
      </c>
      <c r="HH125" t="s">
        <v>895</v>
      </c>
      <c r="HI125" t="s">
        <v>845</v>
      </c>
      <c r="HJ125" t="s">
        <v>836</v>
      </c>
      <c r="HK125" t="s">
        <v>1436</v>
      </c>
      <c r="HL125" t="s">
        <v>2903</v>
      </c>
      <c r="HM125" t="s">
        <v>854</v>
      </c>
      <c r="HN125">
        <v>36805</v>
      </c>
      <c r="HO125">
        <v>1</v>
      </c>
      <c r="HP125" t="s">
        <v>159</v>
      </c>
      <c r="HQ125" t="s">
        <v>896</v>
      </c>
      <c r="HR125" t="s">
        <v>896</v>
      </c>
      <c r="HS125" t="s">
        <v>896</v>
      </c>
    </row>
    <row r="126" spans="1:227" x14ac:dyDescent="0.2">
      <c r="A126">
        <v>8702</v>
      </c>
      <c r="B126">
        <v>7609800392</v>
      </c>
      <c r="C126">
        <v>34</v>
      </c>
      <c r="D126" t="s">
        <v>996</v>
      </c>
      <c r="E126" t="s">
        <v>897</v>
      </c>
      <c r="F126">
        <v>0</v>
      </c>
      <c r="G126" t="s">
        <v>3577</v>
      </c>
      <c r="H126" t="s">
        <v>3577</v>
      </c>
      <c r="I126">
        <v>0</v>
      </c>
      <c r="J126" t="s">
        <v>833</v>
      </c>
      <c r="K126" t="s">
        <v>834</v>
      </c>
      <c r="L126">
        <v>156046201</v>
      </c>
      <c r="M126" t="s">
        <v>1341</v>
      </c>
      <c r="N126" t="s">
        <v>900</v>
      </c>
      <c r="O126" t="s">
        <v>837</v>
      </c>
      <c r="P126" t="s">
        <v>999</v>
      </c>
      <c r="Q126" t="s">
        <v>2459</v>
      </c>
      <c r="R126" t="s">
        <v>3578</v>
      </c>
      <c r="S126" t="s">
        <v>3579</v>
      </c>
      <c r="T126">
        <v>30300117806</v>
      </c>
      <c r="V126" t="s">
        <v>1332</v>
      </c>
      <c r="W126" s="41">
        <v>46121</v>
      </c>
      <c r="X126" t="s">
        <v>3580</v>
      </c>
      <c r="Y126" t="s">
        <v>3581</v>
      </c>
      <c r="Z126" t="s">
        <v>3582</v>
      </c>
      <c r="AA126">
        <v>0</v>
      </c>
      <c r="AB126" t="s">
        <v>845</v>
      </c>
      <c r="AC126" t="s">
        <v>846</v>
      </c>
      <c r="AD126" t="s">
        <v>1113</v>
      </c>
      <c r="AE126" t="s">
        <v>1114</v>
      </c>
      <c r="AF126">
        <v>1</v>
      </c>
      <c r="AG126">
        <v>452210</v>
      </c>
      <c r="AH126" t="s">
        <v>849</v>
      </c>
      <c r="AI126" t="s">
        <v>850</v>
      </c>
      <c r="AJ126" t="s">
        <v>851</v>
      </c>
      <c r="AK126" t="s">
        <v>287</v>
      </c>
      <c r="AL126" t="s">
        <v>2767</v>
      </c>
      <c r="AM126" t="s">
        <v>1338</v>
      </c>
      <c r="AN126" t="s">
        <v>854</v>
      </c>
      <c r="AO126">
        <v>36805</v>
      </c>
      <c r="AP126">
        <v>929</v>
      </c>
      <c r="AQ126" t="s">
        <v>855</v>
      </c>
      <c r="AR126">
        <v>66412172</v>
      </c>
      <c r="AS126" t="s">
        <v>856</v>
      </c>
      <c r="AU126" t="s">
        <v>3583</v>
      </c>
      <c r="AV126" t="s">
        <v>3584</v>
      </c>
      <c r="AW126" t="s">
        <v>2669</v>
      </c>
      <c r="AX126" t="s">
        <v>2670</v>
      </c>
      <c r="AY126" t="s">
        <v>861</v>
      </c>
      <c r="AZ126" t="s">
        <v>287</v>
      </c>
      <c r="BA126" t="s">
        <v>288</v>
      </c>
      <c r="BB126">
        <v>0</v>
      </c>
      <c r="BC126">
        <v>0</v>
      </c>
      <c r="BD126">
        <v>0</v>
      </c>
      <c r="BE126" t="s">
        <v>1341</v>
      </c>
      <c r="BF126">
        <v>0</v>
      </c>
      <c r="BG126">
        <v>0</v>
      </c>
      <c r="BH126" t="s">
        <v>862</v>
      </c>
      <c r="BI126">
        <v>0</v>
      </c>
      <c r="BJ126" t="s">
        <v>862</v>
      </c>
      <c r="BK126">
        <v>1</v>
      </c>
      <c r="BL126">
        <v>0</v>
      </c>
      <c r="BM126">
        <v>0</v>
      </c>
      <c r="BN126" t="s">
        <v>596</v>
      </c>
      <c r="BO126">
        <v>156046201</v>
      </c>
      <c r="BP126" t="s">
        <v>3577</v>
      </c>
      <c r="BQ126">
        <v>41.699194400000003</v>
      </c>
      <c r="BR126">
        <v>42793654</v>
      </c>
      <c r="BS126">
        <v>-83.6477565</v>
      </c>
      <c r="BT126">
        <v>1</v>
      </c>
      <c r="BU126" t="s">
        <v>1119</v>
      </c>
      <c r="CI126">
        <v>11</v>
      </c>
      <c r="CJ126" t="s">
        <v>94</v>
      </c>
      <c r="CM126">
        <v>4010</v>
      </c>
      <c r="CO126">
        <v>7360</v>
      </c>
      <c r="CP126">
        <v>0.41670000000000001</v>
      </c>
      <c r="CQ126">
        <v>0.41670000000000001</v>
      </c>
      <c r="CR126">
        <v>0</v>
      </c>
      <c r="CS126">
        <v>1</v>
      </c>
      <c r="CT126" t="s">
        <v>3585</v>
      </c>
      <c r="CU126" t="s">
        <v>3586</v>
      </c>
      <c r="CV126" t="s">
        <v>833</v>
      </c>
      <c r="CW126" t="s">
        <v>834</v>
      </c>
      <c r="CX126" t="s">
        <v>1341</v>
      </c>
      <c r="CY126">
        <v>0</v>
      </c>
      <c r="CZ126">
        <v>0</v>
      </c>
      <c r="DA126" t="s">
        <v>833</v>
      </c>
      <c r="DB126" t="s">
        <v>865</v>
      </c>
      <c r="DC126">
        <v>43623</v>
      </c>
      <c r="DD126">
        <v>8.5667000000000009</v>
      </c>
      <c r="DE126" t="s">
        <v>866</v>
      </c>
      <c r="DG126" t="s">
        <v>867</v>
      </c>
      <c r="DH126" t="s">
        <v>851</v>
      </c>
      <c r="DI126" t="s">
        <v>984</v>
      </c>
      <c r="DK126" t="s">
        <v>918</v>
      </c>
      <c r="DL126" t="s">
        <v>869</v>
      </c>
      <c r="DM126">
        <v>0</v>
      </c>
      <c r="DN126">
        <v>0</v>
      </c>
      <c r="DO126">
        <v>1</v>
      </c>
      <c r="DP126" t="s">
        <v>985</v>
      </c>
      <c r="DQ126">
        <v>0</v>
      </c>
      <c r="DR126">
        <v>514</v>
      </c>
      <c r="DS126">
        <v>1234</v>
      </c>
      <c r="DT126">
        <v>8.15</v>
      </c>
      <c r="DU126">
        <v>0</v>
      </c>
      <c r="DV126">
        <v>1</v>
      </c>
      <c r="DW126">
        <v>2</v>
      </c>
      <c r="DX126" t="s">
        <v>599</v>
      </c>
      <c r="DY126" t="s">
        <v>1341</v>
      </c>
      <c r="DZ126">
        <v>1</v>
      </c>
      <c r="EA126">
        <v>1</v>
      </c>
      <c r="EB126">
        <v>1</v>
      </c>
      <c r="EC126">
        <v>1</v>
      </c>
      <c r="ED126">
        <v>1</v>
      </c>
      <c r="EE126">
        <v>1</v>
      </c>
      <c r="EF126" t="s">
        <v>920</v>
      </c>
      <c r="EG126" t="s">
        <v>595</v>
      </c>
      <c r="EH126" t="s">
        <v>3582</v>
      </c>
      <c r="EI126" t="s">
        <v>3582</v>
      </c>
      <c r="EJ126" t="s">
        <v>226</v>
      </c>
      <c r="EK126">
        <v>9090</v>
      </c>
      <c r="EL126">
        <v>0</v>
      </c>
      <c r="EM126" t="s">
        <v>952</v>
      </c>
      <c r="EN126">
        <v>0</v>
      </c>
      <c r="EO126">
        <v>20.566666699999999</v>
      </c>
      <c r="EP126">
        <v>99991120</v>
      </c>
      <c r="EQ126" t="s">
        <v>874</v>
      </c>
      <c r="ER126" t="s">
        <v>875</v>
      </c>
      <c r="ES126" t="s">
        <v>876</v>
      </c>
      <c r="ET126" t="s">
        <v>877</v>
      </c>
      <c r="EU126" t="s">
        <v>877</v>
      </c>
      <c r="EV126" t="s">
        <v>920</v>
      </c>
      <c r="EX126" t="s">
        <v>953</v>
      </c>
      <c r="EY126" t="s">
        <v>986</v>
      </c>
      <c r="EZ126" t="s">
        <v>1342</v>
      </c>
      <c r="FA126" t="s">
        <v>879</v>
      </c>
      <c r="FB126">
        <v>1</v>
      </c>
      <c r="FC126">
        <v>1</v>
      </c>
      <c r="FD126" s="41">
        <v>46123</v>
      </c>
      <c r="FE126" t="s">
        <v>1123</v>
      </c>
      <c r="FF126">
        <v>7</v>
      </c>
      <c r="FG126" t="s">
        <v>3587</v>
      </c>
      <c r="FH126" t="s">
        <v>3588</v>
      </c>
      <c r="FI126">
        <v>1</v>
      </c>
      <c r="FJ126" t="s">
        <v>3589</v>
      </c>
      <c r="FK126" t="s">
        <v>3588</v>
      </c>
      <c r="FL126">
        <v>1</v>
      </c>
      <c r="FM126" t="s">
        <v>3590</v>
      </c>
      <c r="FN126" t="s">
        <v>3591</v>
      </c>
      <c r="FO126">
        <v>1</v>
      </c>
      <c r="FP126" t="s">
        <v>3592</v>
      </c>
      <c r="FQ126" t="s">
        <v>3586</v>
      </c>
      <c r="FR126">
        <v>1</v>
      </c>
      <c r="FS126" t="s">
        <v>1350</v>
      </c>
      <c r="FT126" t="s">
        <v>3593</v>
      </c>
      <c r="FU126">
        <v>1</v>
      </c>
      <c r="FV126" t="s">
        <v>3594</v>
      </c>
      <c r="FW126" t="s">
        <v>3595</v>
      </c>
      <c r="FX126">
        <v>1</v>
      </c>
      <c r="FY126" t="s">
        <v>890</v>
      </c>
      <c r="FZ126" t="s">
        <v>3596</v>
      </c>
      <c r="GA126" t="s">
        <v>3589</v>
      </c>
      <c r="GB126">
        <v>1</v>
      </c>
      <c r="GD126">
        <v>0</v>
      </c>
      <c r="GF126">
        <v>0</v>
      </c>
      <c r="GG126">
        <v>1</v>
      </c>
      <c r="GH126" t="s">
        <v>892</v>
      </c>
      <c r="GI126" t="s">
        <v>893</v>
      </c>
      <c r="GJ126" t="s">
        <v>3588</v>
      </c>
      <c r="GM126">
        <v>1</v>
      </c>
      <c r="GN126">
        <v>1</v>
      </c>
      <c r="GO126">
        <v>0</v>
      </c>
      <c r="GP126">
        <v>1</v>
      </c>
      <c r="GQ126">
        <v>1</v>
      </c>
      <c r="GR126">
        <v>0</v>
      </c>
      <c r="GS126">
        <v>1</v>
      </c>
      <c r="GT126">
        <v>0</v>
      </c>
      <c r="GU126">
        <v>1</v>
      </c>
      <c r="GV126">
        <v>0</v>
      </c>
      <c r="GW126">
        <v>1</v>
      </c>
      <c r="GX126">
        <v>0</v>
      </c>
      <c r="GY126">
        <v>1</v>
      </c>
      <c r="GZ126">
        <v>0</v>
      </c>
      <c r="HA126" t="s">
        <v>287</v>
      </c>
      <c r="HB126" t="s">
        <v>894</v>
      </c>
      <c r="HC126" t="s">
        <v>935</v>
      </c>
      <c r="HD126" t="s">
        <v>845</v>
      </c>
      <c r="HE126" t="s">
        <v>900</v>
      </c>
      <c r="HF126" t="s">
        <v>923</v>
      </c>
      <c r="HG126" t="s">
        <v>894</v>
      </c>
      <c r="HH126" t="s">
        <v>935</v>
      </c>
      <c r="HI126" t="s">
        <v>845</v>
      </c>
      <c r="HJ126" t="s">
        <v>900</v>
      </c>
      <c r="HK126" t="s">
        <v>952</v>
      </c>
      <c r="HL126" t="s">
        <v>1332</v>
      </c>
      <c r="HM126" t="s">
        <v>854</v>
      </c>
      <c r="HN126">
        <v>36805</v>
      </c>
      <c r="HO126">
        <v>1</v>
      </c>
      <c r="HP126" t="s">
        <v>226</v>
      </c>
      <c r="HQ126" t="s">
        <v>896</v>
      </c>
      <c r="HR126" t="s">
        <v>896</v>
      </c>
      <c r="HS126" t="s">
        <v>896</v>
      </c>
    </row>
    <row r="127" spans="1:227" x14ac:dyDescent="0.2">
      <c r="A127">
        <v>8702</v>
      </c>
      <c r="B127">
        <v>7618505532</v>
      </c>
      <c r="D127" t="s">
        <v>913</v>
      </c>
      <c r="E127" t="s">
        <v>897</v>
      </c>
      <c r="F127">
        <v>0</v>
      </c>
      <c r="G127" t="s">
        <v>3597</v>
      </c>
      <c r="H127" t="s">
        <v>3597</v>
      </c>
      <c r="I127">
        <v>0</v>
      </c>
      <c r="J127" t="s">
        <v>833</v>
      </c>
      <c r="K127" t="s">
        <v>834</v>
      </c>
      <c r="L127">
        <v>153008218</v>
      </c>
      <c r="M127" t="s">
        <v>2293</v>
      </c>
      <c r="N127" t="s">
        <v>900</v>
      </c>
      <c r="O127" t="s">
        <v>837</v>
      </c>
      <c r="P127" t="s">
        <v>913</v>
      </c>
      <c r="V127" t="s">
        <v>1476</v>
      </c>
      <c r="W127" s="41">
        <v>46207</v>
      </c>
      <c r="X127" t="s">
        <v>3598</v>
      </c>
      <c r="Y127" t="s">
        <v>3597</v>
      </c>
      <c r="Z127" t="s">
        <v>3599</v>
      </c>
      <c r="AA127">
        <v>0</v>
      </c>
      <c r="AB127" t="s">
        <v>845</v>
      </c>
      <c r="AC127" t="s">
        <v>846</v>
      </c>
      <c r="AD127" t="s">
        <v>907</v>
      </c>
      <c r="AE127" t="s">
        <v>908</v>
      </c>
      <c r="AF127">
        <v>1</v>
      </c>
      <c r="AG127">
        <v>452210</v>
      </c>
      <c r="AH127" t="s">
        <v>849</v>
      </c>
      <c r="AI127" t="s">
        <v>850</v>
      </c>
      <c r="AJ127" t="s">
        <v>851</v>
      </c>
      <c r="AM127" t="s">
        <v>1480</v>
      </c>
      <c r="AN127" t="s">
        <v>854</v>
      </c>
      <c r="AO127">
        <v>36805</v>
      </c>
      <c r="AP127">
        <v>931</v>
      </c>
      <c r="AQ127" t="s">
        <v>855</v>
      </c>
      <c r="AR127">
        <v>0</v>
      </c>
      <c r="AS127" t="s">
        <v>856</v>
      </c>
      <c r="AU127" t="s">
        <v>3600</v>
      </c>
      <c r="AV127" t="s">
        <v>3601</v>
      </c>
      <c r="AX127" t="s">
        <v>913</v>
      </c>
      <c r="AY127" t="s">
        <v>861</v>
      </c>
      <c r="BB127">
        <v>0</v>
      </c>
      <c r="BC127">
        <v>0</v>
      </c>
      <c r="BD127">
        <v>0</v>
      </c>
      <c r="BE127" t="s">
        <v>2293</v>
      </c>
      <c r="BF127">
        <v>0</v>
      </c>
      <c r="BG127">
        <v>0</v>
      </c>
      <c r="BH127" t="s">
        <v>862</v>
      </c>
      <c r="BI127">
        <v>0</v>
      </c>
      <c r="BJ127" t="s">
        <v>862</v>
      </c>
      <c r="BK127">
        <v>0</v>
      </c>
      <c r="BL127">
        <v>1</v>
      </c>
      <c r="BM127">
        <v>0</v>
      </c>
      <c r="BN127" t="s">
        <v>596</v>
      </c>
      <c r="BO127">
        <v>153008218</v>
      </c>
      <c r="BP127" t="s">
        <v>3597</v>
      </c>
      <c r="BR127">
        <v>42793655</v>
      </c>
      <c r="BT127">
        <v>1</v>
      </c>
      <c r="BU127" t="s">
        <v>1062</v>
      </c>
      <c r="CI127">
        <v>11</v>
      </c>
      <c r="CJ127" t="s">
        <v>94</v>
      </c>
      <c r="CM127">
        <v>4010</v>
      </c>
      <c r="CO127">
        <v>7360</v>
      </c>
      <c r="CP127">
        <v>0</v>
      </c>
      <c r="CQ127">
        <v>0</v>
      </c>
      <c r="CR127">
        <v>0</v>
      </c>
      <c r="CS127">
        <v>0</v>
      </c>
      <c r="CT127" t="s">
        <v>3601</v>
      </c>
      <c r="CU127" t="s">
        <v>3600</v>
      </c>
      <c r="CV127" t="s">
        <v>833</v>
      </c>
      <c r="CW127" t="s">
        <v>834</v>
      </c>
      <c r="CX127" t="s">
        <v>2293</v>
      </c>
      <c r="CY127">
        <v>0</v>
      </c>
      <c r="CZ127">
        <v>0</v>
      </c>
      <c r="DA127" t="s">
        <v>833</v>
      </c>
      <c r="DB127" t="s">
        <v>865</v>
      </c>
      <c r="DC127">
        <v>44720</v>
      </c>
      <c r="DD127">
        <v>3.7</v>
      </c>
      <c r="DE127" t="s">
        <v>866</v>
      </c>
      <c r="DG127" t="s">
        <v>867</v>
      </c>
      <c r="DH127" t="s">
        <v>851</v>
      </c>
      <c r="DK127" t="s">
        <v>918</v>
      </c>
      <c r="DL127" t="s">
        <v>869</v>
      </c>
      <c r="DM127">
        <v>1</v>
      </c>
      <c r="DN127">
        <v>0</v>
      </c>
      <c r="DP127" t="s">
        <v>913</v>
      </c>
      <c r="DQ127">
        <v>16</v>
      </c>
      <c r="DR127">
        <v>222</v>
      </c>
      <c r="DS127">
        <v>222</v>
      </c>
      <c r="DT127">
        <v>0</v>
      </c>
      <c r="DU127">
        <v>4</v>
      </c>
      <c r="DV127">
        <v>1</v>
      </c>
      <c r="DW127">
        <v>2</v>
      </c>
      <c r="DX127" t="s">
        <v>596</v>
      </c>
      <c r="DY127" t="s">
        <v>2293</v>
      </c>
      <c r="DZ127">
        <v>0</v>
      </c>
      <c r="EA127">
        <v>0</v>
      </c>
      <c r="EB127">
        <v>0</v>
      </c>
      <c r="EC127">
        <v>0</v>
      </c>
      <c r="ED127">
        <v>0</v>
      </c>
      <c r="EE127">
        <v>0</v>
      </c>
      <c r="EG127" t="s">
        <v>600</v>
      </c>
      <c r="EH127" t="s">
        <v>921</v>
      </c>
      <c r="EI127" t="s">
        <v>921</v>
      </c>
      <c r="EJ127" t="s">
        <v>226</v>
      </c>
      <c r="EK127">
        <v>9090</v>
      </c>
      <c r="EL127">
        <v>0</v>
      </c>
      <c r="EM127" t="s">
        <v>923</v>
      </c>
      <c r="EN127">
        <v>0</v>
      </c>
      <c r="EO127">
        <v>3.7</v>
      </c>
      <c r="EP127">
        <v>99991120</v>
      </c>
      <c r="EQ127" t="s">
        <v>874</v>
      </c>
      <c r="ER127" t="s">
        <v>875</v>
      </c>
      <c r="ES127" t="s">
        <v>876</v>
      </c>
      <c r="ET127" t="s">
        <v>877</v>
      </c>
      <c r="EU127" t="s">
        <v>877</v>
      </c>
      <c r="EX127" t="s">
        <v>900</v>
      </c>
      <c r="EY127" t="s">
        <v>923</v>
      </c>
      <c r="EZ127" t="s">
        <v>1236</v>
      </c>
      <c r="FA127" t="s">
        <v>956</v>
      </c>
      <c r="FB127">
        <v>1</v>
      </c>
      <c r="FC127">
        <v>0</v>
      </c>
      <c r="FD127" s="41">
        <v>46207</v>
      </c>
      <c r="FE127" t="s">
        <v>1066</v>
      </c>
      <c r="FF127">
        <v>4</v>
      </c>
      <c r="FI127">
        <v>0</v>
      </c>
      <c r="FL127">
        <v>0</v>
      </c>
      <c r="FM127" t="s">
        <v>3602</v>
      </c>
      <c r="FN127" t="s">
        <v>3598</v>
      </c>
      <c r="FO127">
        <v>1</v>
      </c>
      <c r="FP127" t="s">
        <v>3603</v>
      </c>
      <c r="FQ127" t="s">
        <v>3604</v>
      </c>
      <c r="FR127">
        <v>1</v>
      </c>
      <c r="FS127" t="s">
        <v>3098</v>
      </c>
      <c r="FT127" t="s">
        <v>3605</v>
      </c>
      <c r="FU127">
        <v>1</v>
      </c>
      <c r="FV127" t="s">
        <v>3606</v>
      </c>
      <c r="FW127" t="s">
        <v>3598</v>
      </c>
      <c r="FX127">
        <v>1</v>
      </c>
      <c r="FY127" t="s">
        <v>890</v>
      </c>
      <c r="FZ127" t="s">
        <v>3607</v>
      </c>
      <c r="GB127">
        <v>0</v>
      </c>
      <c r="GD127">
        <v>0</v>
      </c>
      <c r="GF127">
        <v>0</v>
      </c>
      <c r="GG127">
        <v>0</v>
      </c>
      <c r="GM127">
        <v>0</v>
      </c>
      <c r="GN127">
        <v>0</v>
      </c>
      <c r="GO127">
        <v>0</v>
      </c>
      <c r="GP127">
        <v>0</v>
      </c>
      <c r="GQ127">
        <v>0</v>
      </c>
      <c r="GR127">
        <v>0</v>
      </c>
      <c r="GS127">
        <v>0</v>
      </c>
      <c r="GT127">
        <v>0</v>
      </c>
      <c r="GU127">
        <v>0</v>
      </c>
      <c r="GV127">
        <v>0</v>
      </c>
      <c r="GW127">
        <v>0</v>
      </c>
      <c r="GX127">
        <v>0</v>
      </c>
      <c r="GY127">
        <v>0</v>
      </c>
      <c r="GZ127">
        <v>0</v>
      </c>
      <c r="HB127" t="s">
        <v>894</v>
      </c>
      <c r="HC127" t="s">
        <v>935</v>
      </c>
      <c r="HD127" t="s">
        <v>845</v>
      </c>
      <c r="HE127" t="s">
        <v>900</v>
      </c>
      <c r="HF127" t="s">
        <v>923</v>
      </c>
      <c r="HG127" t="s">
        <v>894</v>
      </c>
      <c r="HH127" t="s">
        <v>935</v>
      </c>
      <c r="HI127" t="s">
        <v>845</v>
      </c>
      <c r="HJ127" t="s">
        <v>900</v>
      </c>
      <c r="HK127" t="s">
        <v>923</v>
      </c>
      <c r="HL127" t="s">
        <v>1476</v>
      </c>
      <c r="HM127" t="s">
        <v>854</v>
      </c>
      <c r="HN127">
        <v>36805</v>
      </c>
      <c r="HO127">
        <v>1</v>
      </c>
      <c r="HP127" t="s">
        <v>226</v>
      </c>
      <c r="HQ127" t="s">
        <v>896</v>
      </c>
      <c r="HR127" t="s">
        <v>896</v>
      </c>
      <c r="HS127" t="s">
        <v>896</v>
      </c>
    </row>
    <row r="128" spans="1:227" x14ac:dyDescent="0.2">
      <c r="A128">
        <v>8702</v>
      </c>
      <c r="B128">
        <v>7612805459</v>
      </c>
      <c r="C128">
        <v>34</v>
      </c>
      <c r="D128" t="s">
        <v>996</v>
      </c>
      <c r="E128" t="s">
        <v>897</v>
      </c>
      <c r="F128">
        <v>2</v>
      </c>
      <c r="G128" t="s">
        <v>3608</v>
      </c>
      <c r="H128" t="s">
        <v>3608</v>
      </c>
      <c r="I128">
        <v>0</v>
      </c>
      <c r="J128" t="s">
        <v>833</v>
      </c>
      <c r="K128" t="s">
        <v>834</v>
      </c>
      <c r="L128">
        <v>152946701</v>
      </c>
      <c r="M128" t="s">
        <v>3609</v>
      </c>
      <c r="N128" t="s">
        <v>900</v>
      </c>
      <c r="O128" t="s">
        <v>837</v>
      </c>
      <c r="P128" t="s">
        <v>999</v>
      </c>
      <c r="Q128" t="s">
        <v>1027</v>
      </c>
      <c r="R128" t="s">
        <v>3610</v>
      </c>
      <c r="S128" t="s">
        <v>3611</v>
      </c>
      <c r="T128">
        <v>30300136758</v>
      </c>
      <c r="V128" t="s">
        <v>200</v>
      </c>
      <c r="W128" s="41">
        <v>46151</v>
      </c>
      <c r="X128" t="s">
        <v>3612</v>
      </c>
      <c r="Y128" t="s">
        <v>3613</v>
      </c>
      <c r="AA128">
        <v>0</v>
      </c>
      <c r="AB128" t="s">
        <v>845</v>
      </c>
      <c r="AC128" t="s">
        <v>846</v>
      </c>
      <c r="AD128" t="s">
        <v>1113</v>
      </c>
      <c r="AE128" t="s">
        <v>1114</v>
      </c>
      <c r="AF128">
        <v>1</v>
      </c>
      <c r="AG128">
        <v>452210</v>
      </c>
      <c r="AH128" t="s">
        <v>849</v>
      </c>
      <c r="AI128" t="s">
        <v>850</v>
      </c>
      <c r="AJ128" t="s">
        <v>851</v>
      </c>
      <c r="AK128" t="s">
        <v>267</v>
      </c>
      <c r="AL128" t="s">
        <v>3244</v>
      </c>
      <c r="AM128" t="s">
        <v>3245</v>
      </c>
      <c r="AN128" t="s">
        <v>854</v>
      </c>
      <c r="AO128">
        <v>36805</v>
      </c>
      <c r="AP128">
        <v>642</v>
      </c>
      <c r="AQ128" t="s">
        <v>855</v>
      </c>
      <c r="AR128">
        <v>66455070</v>
      </c>
      <c r="AS128" t="s">
        <v>856</v>
      </c>
      <c r="AU128" t="s">
        <v>3614</v>
      </c>
      <c r="AV128" t="s">
        <v>3615</v>
      </c>
      <c r="AX128" t="s">
        <v>913</v>
      </c>
      <c r="AY128" t="s">
        <v>861</v>
      </c>
      <c r="AZ128" t="s">
        <v>267</v>
      </c>
      <c r="BA128" t="s">
        <v>268</v>
      </c>
      <c r="BB128">
        <v>1</v>
      </c>
      <c r="BC128">
        <v>0</v>
      </c>
      <c r="BD128">
        <v>0</v>
      </c>
      <c r="BE128" t="s">
        <v>3609</v>
      </c>
      <c r="BF128">
        <v>0</v>
      </c>
      <c r="BG128">
        <v>0</v>
      </c>
      <c r="BH128" t="s">
        <v>862</v>
      </c>
      <c r="BI128">
        <v>0</v>
      </c>
      <c r="BJ128" t="s">
        <v>862</v>
      </c>
      <c r="BK128">
        <v>1</v>
      </c>
      <c r="BL128">
        <v>1</v>
      </c>
      <c r="BM128">
        <v>0</v>
      </c>
      <c r="BN128" t="s">
        <v>596</v>
      </c>
      <c r="BO128">
        <v>152946701</v>
      </c>
      <c r="BP128" t="s">
        <v>3608</v>
      </c>
      <c r="BQ128">
        <v>42.397353600000002</v>
      </c>
      <c r="BR128">
        <v>42791773</v>
      </c>
      <c r="BS128">
        <v>-83.480395799999997</v>
      </c>
      <c r="BT128">
        <v>2</v>
      </c>
      <c r="BU128" t="s">
        <v>1803</v>
      </c>
      <c r="BY128">
        <v>16</v>
      </c>
      <c r="CA128">
        <v>5</v>
      </c>
      <c r="CE128">
        <v>1</v>
      </c>
      <c r="CI128">
        <v>11</v>
      </c>
      <c r="CJ128" t="s">
        <v>94</v>
      </c>
      <c r="CM128">
        <v>4010</v>
      </c>
      <c r="CO128">
        <v>7360</v>
      </c>
      <c r="CP128">
        <v>2.5167000000000002</v>
      </c>
      <c r="CQ128">
        <v>2.5167000000000002</v>
      </c>
      <c r="CR128">
        <v>0</v>
      </c>
      <c r="CS128">
        <v>1</v>
      </c>
      <c r="CT128" t="s">
        <v>3615</v>
      </c>
      <c r="CU128" t="s">
        <v>3614</v>
      </c>
      <c r="CV128" t="s">
        <v>833</v>
      </c>
      <c r="CW128" t="s">
        <v>834</v>
      </c>
      <c r="CX128" t="s">
        <v>3609</v>
      </c>
      <c r="CY128">
        <v>1</v>
      </c>
      <c r="CZ128">
        <v>1</v>
      </c>
      <c r="DA128" t="s">
        <v>833</v>
      </c>
      <c r="DB128" t="s">
        <v>865</v>
      </c>
      <c r="DC128">
        <v>48168</v>
      </c>
      <c r="DD128">
        <v>5.2832999999999997</v>
      </c>
      <c r="DE128" t="s">
        <v>866</v>
      </c>
      <c r="DG128" t="s">
        <v>867</v>
      </c>
      <c r="DH128" t="s">
        <v>851</v>
      </c>
      <c r="DI128" t="s">
        <v>3616</v>
      </c>
      <c r="DK128" t="s">
        <v>918</v>
      </c>
      <c r="DL128" t="s">
        <v>869</v>
      </c>
      <c r="DM128">
        <v>0</v>
      </c>
      <c r="DN128">
        <v>0</v>
      </c>
      <c r="DO128">
        <v>11</v>
      </c>
      <c r="DP128" t="s">
        <v>1010</v>
      </c>
      <c r="DQ128">
        <v>0</v>
      </c>
      <c r="DR128">
        <v>317</v>
      </c>
      <c r="DS128">
        <v>1037</v>
      </c>
      <c r="DT128">
        <v>2.7667000000000002</v>
      </c>
      <c r="DU128">
        <v>0</v>
      </c>
      <c r="DV128">
        <v>1</v>
      </c>
      <c r="DW128">
        <v>2</v>
      </c>
      <c r="DX128" t="s">
        <v>596</v>
      </c>
      <c r="DY128" t="s">
        <v>3609</v>
      </c>
      <c r="DZ128">
        <v>1</v>
      </c>
      <c r="EA128">
        <v>1</v>
      </c>
      <c r="EB128">
        <v>1</v>
      </c>
      <c r="EC128">
        <v>1</v>
      </c>
      <c r="ED128">
        <v>1</v>
      </c>
      <c r="EE128">
        <v>1</v>
      </c>
      <c r="EF128" t="s">
        <v>920</v>
      </c>
      <c r="EG128" t="s">
        <v>595</v>
      </c>
      <c r="EH128" t="s">
        <v>921</v>
      </c>
      <c r="EI128" t="s">
        <v>921</v>
      </c>
      <c r="EJ128" t="s">
        <v>178</v>
      </c>
      <c r="EK128">
        <v>9090</v>
      </c>
      <c r="EL128">
        <v>0</v>
      </c>
      <c r="EM128" t="s">
        <v>952</v>
      </c>
      <c r="EN128">
        <v>0</v>
      </c>
      <c r="EO128">
        <v>17.283333299999999</v>
      </c>
      <c r="EP128">
        <v>99991120</v>
      </c>
      <c r="EQ128" t="s">
        <v>874</v>
      </c>
      <c r="ER128" t="s">
        <v>875</v>
      </c>
      <c r="ES128" t="s">
        <v>876</v>
      </c>
      <c r="ET128" t="s">
        <v>877</v>
      </c>
      <c r="EU128" t="s">
        <v>877</v>
      </c>
      <c r="EV128" t="s">
        <v>920</v>
      </c>
      <c r="EX128" t="s">
        <v>953</v>
      </c>
      <c r="EY128" t="s">
        <v>954</v>
      </c>
      <c r="EZ128" t="s">
        <v>955</v>
      </c>
      <c r="FA128" t="s">
        <v>956</v>
      </c>
      <c r="FB128">
        <v>1</v>
      </c>
      <c r="FC128">
        <v>1</v>
      </c>
      <c r="FD128" s="41">
        <v>46151</v>
      </c>
      <c r="FE128" t="s">
        <v>1808</v>
      </c>
      <c r="FF128">
        <v>13</v>
      </c>
      <c r="FG128" t="s">
        <v>3617</v>
      </c>
      <c r="FH128" t="s">
        <v>3618</v>
      </c>
      <c r="FI128">
        <v>1</v>
      </c>
      <c r="FJ128" t="s">
        <v>3619</v>
      </c>
      <c r="FK128" t="s">
        <v>3620</v>
      </c>
      <c r="FL128">
        <v>1</v>
      </c>
      <c r="FM128" t="s">
        <v>3621</v>
      </c>
      <c r="FN128" t="s">
        <v>3622</v>
      </c>
      <c r="FO128">
        <v>1</v>
      </c>
      <c r="FP128" t="s">
        <v>3623</v>
      </c>
      <c r="FQ128" t="s">
        <v>3614</v>
      </c>
      <c r="FR128">
        <v>1</v>
      </c>
      <c r="FS128" t="s">
        <v>2196</v>
      </c>
      <c r="FT128" t="s">
        <v>3624</v>
      </c>
      <c r="FU128">
        <v>1</v>
      </c>
      <c r="FV128" t="s">
        <v>2701</v>
      </c>
      <c r="FW128" t="s">
        <v>3625</v>
      </c>
      <c r="FX128">
        <v>1</v>
      </c>
      <c r="FY128" t="s">
        <v>890</v>
      </c>
      <c r="FZ128" t="s">
        <v>3626</v>
      </c>
      <c r="GA128" t="s">
        <v>3619</v>
      </c>
      <c r="GB128">
        <v>1</v>
      </c>
      <c r="GD128">
        <v>0</v>
      </c>
      <c r="GF128">
        <v>0</v>
      </c>
      <c r="GG128">
        <v>1</v>
      </c>
      <c r="GH128" t="s">
        <v>892</v>
      </c>
      <c r="GI128" t="s">
        <v>893</v>
      </c>
      <c r="GJ128" t="s">
        <v>3620</v>
      </c>
      <c r="GM128">
        <v>1</v>
      </c>
      <c r="GN128">
        <v>1</v>
      </c>
      <c r="GO128">
        <v>0</v>
      </c>
      <c r="GP128">
        <v>1</v>
      </c>
      <c r="GQ128">
        <v>1</v>
      </c>
      <c r="GR128">
        <v>0</v>
      </c>
      <c r="GS128">
        <v>1</v>
      </c>
      <c r="GT128">
        <v>0</v>
      </c>
      <c r="GU128">
        <v>1</v>
      </c>
      <c r="GV128">
        <v>0</v>
      </c>
      <c r="GW128">
        <v>1</v>
      </c>
      <c r="GX128">
        <v>0</v>
      </c>
      <c r="GY128">
        <v>1</v>
      </c>
      <c r="GZ128">
        <v>0</v>
      </c>
      <c r="HA128" t="s">
        <v>267</v>
      </c>
      <c r="HB128" t="s">
        <v>894</v>
      </c>
      <c r="HC128" t="s">
        <v>935</v>
      </c>
      <c r="HD128" t="s">
        <v>845</v>
      </c>
      <c r="HE128" t="s">
        <v>900</v>
      </c>
      <c r="HF128" t="s">
        <v>923</v>
      </c>
      <c r="HG128" t="s">
        <v>894</v>
      </c>
      <c r="HH128" t="s">
        <v>935</v>
      </c>
      <c r="HI128" t="s">
        <v>845</v>
      </c>
      <c r="HJ128" t="s">
        <v>900</v>
      </c>
      <c r="HK128" t="s">
        <v>952</v>
      </c>
      <c r="HL128" t="s">
        <v>200</v>
      </c>
      <c r="HM128" t="s">
        <v>854</v>
      </c>
      <c r="HN128">
        <v>36805</v>
      </c>
      <c r="HP128" t="s">
        <v>178</v>
      </c>
      <c r="HQ128" t="s">
        <v>896</v>
      </c>
      <c r="HR128" t="s">
        <v>896</v>
      </c>
      <c r="HS128" t="s">
        <v>896</v>
      </c>
    </row>
    <row r="129" spans="1:227" x14ac:dyDescent="0.2">
      <c r="A129">
        <v>8702</v>
      </c>
      <c r="B129">
        <v>7523105351</v>
      </c>
      <c r="C129" t="s">
        <v>1171</v>
      </c>
      <c r="D129" t="s">
        <v>1172</v>
      </c>
      <c r="E129" t="s">
        <v>831</v>
      </c>
      <c r="F129">
        <v>1</v>
      </c>
      <c r="G129" t="s">
        <v>3627</v>
      </c>
      <c r="H129" t="s">
        <v>3627</v>
      </c>
      <c r="I129">
        <v>0</v>
      </c>
      <c r="J129" t="s">
        <v>833</v>
      </c>
      <c r="K129" t="s">
        <v>834</v>
      </c>
      <c r="L129">
        <v>156046223</v>
      </c>
      <c r="M129" t="s">
        <v>2546</v>
      </c>
      <c r="N129" t="s">
        <v>836</v>
      </c>
      <c r="O129" t="s">
        <v>837</v>
      </c>
      <c r="P129" t="s">
        <v>1175</v>
      </c>
      <c r="Q129" t="s">
        <v>1176</v>
      </c>
      <c r="R129" t="s">
        <v>3628</v>
      </c>
      <c r="S129" t="s">
        <v>3629</v>
      </c>
      <c r="T129">
        <v>41477057122</v>
      </c>
      <c r="V129" t="s">
        <v>187</v>
      </c>
      <c r="W129" s="41">
        <v>45889</v>
      </c>
      <c r="X129" t="s">
        <v>3630</v>
      </c>
      <c r="Y129" t="s">
        <v>3631</v>
      </c>
      <c r="AA129">
        <v>0</v>
      </c>
      <c r="AB129" t="s">
        <v>845</v>
      </c>
      <c r="AC129" t="s">
        <v>846</v>
      </c>
      <c r="AD129" t="s">
        <v>847</v>
      </c>
      <c r="AE129" t="s">
        <v>848</v>
      </c>
      <c r="AF129">
        <v>1</v>
      </c>
      <c r="AG129">
        <v>452210</v>
      </c>
      <c r="AH129" t="s">
        <v>849</v>
      </c>
      <c r="AI129" t="s">
        <v>850</v>
      </c>
      <c r="AJ129" t="s">
        <v>851</v>
      </c>
      <c r="AK129" t="s">
        <v>433</v>
      </c>
      <c r="AL129" t="s">
        <v>2552</v>
      </c>
      <c r="AM129" t="s">
        <v>2553</v>
      </c>
      <c r="AN129" t="s">
        <v>854</v>
      </c>
      <c r="AO129">
        <v>36805</v>
      </c>
      <c r="AP129">
        <v>634</v>
      </c>
      <c r="AQ129" t="s">
        <v>855</v>
      </c>
      <c r="AR129">
        <v>66078002</v>
      </c>
      <c r="AS129" t="s">
        <v>856</v>
      </c>
      <c r="AU129" t="s">
        <v>3632</v>
      </c>
      <c r="AV129" t="s">
        <v>3633</v>
      </c>
      <c r="AX129" t="s">
        <v>913</v>
      </c>
      <c r="AY129" t="s">
        <v>861</v>
      </c>
      <c r="AZ129" t="s">
        <v>433</v>
      </c>
      <c r="BA129" t="s">
        <v>434</v>
      </c>
      <c r="BB129">
        <v>0</v>
      </c>
      <c r="BC129">
        <v>0</v>
      </c>
      <c r="BD129">
        <v>1</v>
      </c>
      <c r="BE129" t="s">
        <v>2546</v>
      </c>
      <c r="BF129">
        <v>0</v>
      </c>
      <c r="BG129">
        <v>0</v>
      </c>
      <c r="BH129" t="s">
        <v>862</v>
      </c>
      <c r="BI129">
        <v>0</v>
      </c>
      <c r="BJ129" t="s">
        <v>862</v>
      </c>
      <c r="BK129">
        <v>1</v>
      </c>
      <c r="BL129">
        <v>1</v>
      </c>
      <c r="BM129">
        <v>0</v>
      </c>
      <c r="BN129" t="s">
        <v>596</v>
      </c>
      <c r="BO129">
        <v>156046223</v>
      </c>
      <c r="BP129" t="s">
        <v>3627</v>
      </c>
      <c r="BR129">
        <v>42791756</v>
      </c>
      <c r="BT129">
        <v>0</v>
      </c>
      <c r="CM129">
        <v>4010</v>
      </c>
      <c r="CO129">
        <v>7360</v>
      </c>
      <c r="CP129">
        <v>1.1667000000000001</v>
      </c>
      <c r="CQ129">
        <v>1.1667000000000001</v>
      </c>
      <c r="CR129">
        <v>1.5</v>
      </c>
      <c r="CS129">
        <v>20</v>
      </c>
      <c r="CT129" t="s">
        <v>3633</v>
      </c>
      <c r="CU129" t="s">
        <v>3632</v>
      </c>
      <c r="CV129" t="s">
        <v>833</v>
      </c>
      <c r="CW129" t="s">
        <v>834</v>
      </c>
      <c r="CX129" t="s">
        <v>2546</v>
      </c>
      <c r="CY129">
        <v>1</v>
      </c>
      <c r="CZ129">
        <v>1</v>
      </c>
      <c r="DA129" t="s">
        <v>833</v>
      </c>
      <c r="DB129" t="s">
        <v>865</v>
      </c>
      <c r="DC129">
        <v>60435</v>
      </c>
      <c r="DD129">
        <v>10.1333</v>
      </c>
      <c r="DE129" t="s">
        <v>866</v>
      </c>
      <c r="DG129" t="s">
        <v>867</v>
      </c>
      <c r="DH129" t="s">
        <v>851</v>
      </c>
      <c r="DI129" t="s">
        <v>984</v>
      </c>
      <c r="DJ129" t="s">
        <v>2556</v>
      </c>
      <c r="DL129" t="s">
        <v>869</v>
      </c>
      <c r="DM129">
        <v>0</v>
      </c>
      <c r="DN129">
        <v>0</v>
      </c>
      <c r="DO129">
        <v>11</v>
      </c>
      <c r="DP129" t="s">
        <v>1010</v>
      </c>
      <c r="DQ129">
        <v>12</v>
      </c>
      <c r="DR129">
        <v>608</v>
      </c>
      <c r="DS129">
        <v>1328</v>
      </c>
      <c r="DT129">
        <v>8.9666999999999994</v>
      </c>
      <c r="DU129">
        <v>4</v>
      </c>
      <c r="DW129">
        <v>1</v>
      </c>
      <c r="DX129" t="s">
        <v>596</v>
      </c>
      <c r="DY129" t="s">
        <v>2546</v>
      </c>
      <c r="DZ129">
        <v>1</v>
      </c>
      <c r="EA129">
        <v>1</v>
      </c>
      <c r="EB129">
        <v>1</v>
      </c>
      <c r="EC129">
        <v>0</v>
      </c>
      <c r="ED129">
        <v>0</v>
      </c>
      <c r="EE129">
        <v>1</v>
      </c>
      <c r="EF129" t="s">
        <v>871</v>
      </c>
      <c r="EG129" t="s">
        <v>595</v>
      </c>
      <c r="EH129" t="s">
        <v>1036</v>
      </c>
      <c r="EI129" t="s">
        <v>1036</v>
      </c>
      <c r="EJ129" t="s">
        <v>181</v>
      </c>
      <c r="EK129">
        <v>9090</v>
      </c>
      <c r="EL129">
        <v>0</v>
      </c>
      <c r="EM129" t="s">
        <v>1436</v>
      </c>
      <c r="EN129">
        <v>1.5</v>
      </c>
      <c r="EO129">
        <v>22.1333333</v>
      </c>
      <c r="EP129">
        <v>99991120</v>
      </c>
      <c r="EQ129" t="s">
        <v>874</v>
      </c>
      <c r="ER129" t="s">
        <v>875</v>
      </c>
      <c r="ES129" t="s">
        <v>876</v>
      </c>
      <c r="ET129" t="s">
        <v>877</v>
      </c>
      <c r="EU129" t="s">
        <v>877</v>
      </c>
      <c r="EV129" t="s">
        <v>871</v>
      </c>
      <c r="EX129" t="s">
        <v>836</v>
      </c>
      <c r="EY129" t="s">
        <v>873</v>
      </c>
      <c r="EZ129" t="s">
        <v>1437</v>
      </c>
      <c r="FA129" t="s">
        <v>956</v>
      </c>
      <c r="FB129">
        <v>1</v>
      </c>
      <c r="FC129">
        <v>1</v>
      </c>
      <c r="FD129" s="41">
        <v>45892</v>
      </c>
      <c r="FE129" t="s">
        <v>987</v>
      </c>
      <c r="FF129">
        <v>5</v>
      </c>
      <c r="FI129">
        <v>0</v>
      </c>
      <c r="FJ129" t="s">
        <v>3634</v>
      </c>
      <c r="FK129" t="s">
        <v>3635</v>
      </c>
      <c r="FL129">
        <v>1</v>
      </c>
      <c r="FM129" t="s">
        <v>2561</v>
      </c>
      <c r="FN129" t="s">
        <v>3636</v>
      </c>
      <c r="FO129">
        <v>1</v>
      </c>
      <c r="FP129" t="s">
        <v>3637</v>
      </c>
      <c r="FQ129" t="s">
        <v>3632</v>
      </c>
      <c r="FR129">
        <v>1</v>
      </c>
      <c r="FS129" t="s">
        <v>3638</v>
      </c>
      <c r="FT129" t="s">
        <v>3639</v>
      </c>
      <c r="FU129">
        <v>1</v>
      </c>
      <c r="FV129" t="s">
        <v>3640</v>
      </c>
      <c r="FW129" t="s">
        <v>3641</v>
      </c>
      <c r="FX129">
        <v>1</v>
      </c>
      <c r="FY129" t="s">
        <v>890</v>
      </c>
      <c r="FZ129" t="s">
        <v>3642</v>
      </c>
      <c r="GA129" t="s">
        <v>3634</v>
      </c>
      <c r="GB129">
        <v>1</v>
      </c>
      <c r="GD129">
        <v>0</v>
      </c>
      <c r="GF129">
        <v>0</v>
      </c>
      <c r="GG129">
        <v>1</v>
      </c>
      <c r="GH129" t="s">
        <v>892</v>
      </c>
      <c r="GI129" t="s">
        <v>893</v>
      </c>
      <c r="GJ129" t="s">
        <v>3635</v>
      </c>
      <c r="GM129">
        <v>1</v>
      </c>
      <c r="GN129">
        <v>1</v>
      </c>
      <c r="GO129">
        <v>0</v>
      </c>
      <c r="GP129">
        <v>1</v>
      </c>
      <c r="GQ129">
        <v>1</v>
      </c>
      <c r="GR129">
        <v>0</v>
      </c>
      <c r="GS129">
        <v>1</v>
      </c>
      <c r="GT129">
        <v>0</v>
      </c>
      <c r="GU129">
        <v>1</v>
      </c>
      <c r="GV129">
        <v>0</v>
      </c>
      <c r="GW129">
        <v>1</v>
      </c>
      <c r="GX129">
        <v>0</v>
      </c>
      <c r="GY129">
        <v>1</v>
      </c>
      <c r="GZ129">
        <v>0</v>
      </c>
      <c r="HA129" t="s">
        <v>433</v>
      </c>
      <c r="HB129" t="s">
        <v>894</v>
      </c>
      <c r="HC129" t="s">
        <v>895</v>
      </c>
      <c r="HD129" t="s">
        <v>845</v>
      </c>
      <c r="HE129" t="s">
        <v>836</v>
      </c>
      <c r="HF129" t="s">
        <v>873</v>
      </c>
      <c r="HG129" t="s">
        <v>894</v>
      </c>
      <c r="HH129" t="s">
        <v>895</v>
      </c>
      <c r="HI129" t="s">
        <v>845</v>
      </c>
      <c r="HJ129" t="s">
        <v>836</v>
      </c>
      <c r="HK129" t="s">
        <v>1436</v>
      </c>
      <c r="HL129" t="s">
        <v>187</v>
      </c>
      <c r="HM129" t="s">
        <v>854</v>
      </c>
      <c r="HN129">
        <v>36805</v>
      </c>
      <c r="HP129" t="s">
        <v>181</v>
      </c>
      <c r="HQ129" t="s">
        <v>896</v>
      </c>
      <c r="HR129" t="s">
        <v>896</v>
      </c>
      <c r="HS129" t="s">
        <v>896</v>
      </c>
    </row>
    <row r="130" spans="1:227" x14ac:dyDescent="0.2">
      <c r="A130">
        <v>8702</v>
      </c>
      <c r="B130">
        <v>7600401494</v>
      </c>
      <c r="C130" t="s">
        <v>936</v>
      </c>
      <c r="D130" t="s">
        <v>937</v>
      </c>
      <c r="E130" t="s">
        <v>831</v>
      </c>
      <c r="F130">
        <v>0</v>
      </c>
      <c r="G130" t="s">
        <v>3643</v>
      </c>
      <c r="H130" t="s">
        <v>3643</v>
      </c>
      <c r="I130">
        <v>0</v>
      </c>
      <c r="J130" t="s">
        <v>833</v>
      </c>
      <c r="K130" t="s">
        <v>834</v>
      </c>
      <c r="L130">
        <v>156046199</v>
      </c>
      <c r="M130" t="s">
        <v>3644</v>
      </c>
      <c r="N130" t="s">
        <v>836</v>
      </c>
      <c r="O130" t="s">
        <v>837</v>
      </c>
      <c r="P130" t="s">
        <v>940</v>
      </c>
      <c r="Q130" t="s">
        <v>1473</v>
      </c>
      <c r="R130" t="s">
        <v>3645</v>
      </c>
      <c r="S130" t="s">
        <v>3646</v>
      </c>
      <c r="T130">
        <v>41477093921</v>
      </c>
      <c r="V130" t="s">
        <v>187</v>
      </c>
      <c r="W130" s="41">
        <v>46026</v>
      </c>
      <c r="X130" t="s">
        <v>3647</v>
      </c>
      <c r="Y130" t="s">
        <v>3648</v>
      </c>
      <c r="Z130" t="s">
        <v>1144</v>
      </c>
      <c r="AA130">
        <v>0</v>
      </c>
      <c r="AB130" t="s">
        <v>845</v>
      </c>
      <c r="AC130" t="s">
        <v>846</v>
      </c>
      <c r="AD130" t="s">
        <v>847</v>
      </c>
      <c r="AE130" t="s">
        <v>848</v>
      </c>
      <c r="AF130">
        <v>1</v>
      </c>
      <c r="AG130">
        <v>452210</v>
      </c>
      <c r="AH130" t="s">
        <v>849</v>
      </c>
      <c r="AI130" t="s">
        <v>850</v>
      </c>
      <c r="AJ130" t="s">
        <v>851</v>
      </c>
      <c r="AK130" t="s">
        <v>377</v>
      </c>
      <c r="AL130" t="s">
        <v>3561</v>
      </c>
      <c r="AM130" t="s">
        <v>2553</v>
      </c>
      <c r="AN130" t="s">
        <v>854</v>
      </c>
      <c r="AO130">
        <v>36805</v>
      </c>
      <c r="AP130">
        <v>634</v>
      </c>
      <c r="AQ130" t="s">
        <v>855</v>
      </c>
      <c r="AR130">
        <v>66275342</v>
      </c>
      <c r="AS130" t="s">
        <v>856</v>
      </c>
      <c r="AU130" t="s">
        <v>3649</v>
      </c>
      <c r="AV130" t="s">
        <v>3650</v>
      </c>
      <c r="AW130" t="s">
        <v>1185</v>
      </c>
      <c r="AX130" t="s">
        <v>1186</v>
      </c>
      <c r="AY130" t="s">
        <v>861</v>
      </c>
      <c r="AZ130" t="s">
        <v>377</v>
      </c>
      <c r="BA130" t="s">
        <v>378</v>
      </c>
      <c r="BB130">
        <v>0</v>
      </c>
      <c r="BC130">
        <v>0</v>
      </c>
      <c r="BD130">
        <v>1</v>
      </c>
      <c r="BE130" t="s">
        <v>3644</v>
      </c>
      <c r="BF130">
        <v>0</v>
      </c>
      <c r="BG130">
        <v>0</v>
      </c>
      <c r="BH130" t="s">
        <v>862</v>
      </c>
      <c r="BI130">
        <v>0</v>
      </c>
      <c r="BJ130" t="s">
        <v>862</v>
      </c>
      <c r="BK130">
        <v>1</v>
      </c>
      <c r="BL130">
        <v>0</v>
      </c>
      <c r="BM130">
        <v>0</v>
      </c>
      <c r="BN130" t="s">
        <v>596</v>
      </c>
      <c r="BO130">
        <v>156046199</v>
      </c>
      <c r="BP130" t="s">
        <v>3643</v>
      </c>
      <c r="BQ130">
        <v>41.574788400000003</v>
      </c>
      <c r="BR130">
        <v>42791756</v>
      </c>
      <c r="BS130">
        <v>-88.155596299999999</v>
      </c>
      <c r="BT130">
        <v>1</v>
      </c>
      <c r="BU130" t="s">
        <v>1367</v>
      </c>
      <c r="CI130">
        <v>11</v>
      </c>
      <c r="CJ130" t="s">
        <v>94</v>
      </c>
      <c r="CM130">
        <v>4010</v>
      </c>
      <c r="CO130">
        <v>7360</v>
      </c>
      <c r="CP130">
        <v>1.2833000000000001</v>
      </c>
      <c r="CQ130">
        <v>1.2833000000000001</v>
      </c>
      <c r="CR130">
        <v>3.6333000000000002</v>
      </c>
      <c r="CS130">
        <v>0</v>
      </c>
      <c r="CT130" t="s">
        <v>3650</v>
      </c>
      <c r="CU130" t="s">
        <v>3649</v>
      </c>
      <c r="CV130" t="s">
        <v>833</v>
      </c>
      <c r="CW130" t="s">
        <v>834</v>
      </c>
      <c r="CX130" t="s">
        <v>3644</v>
      </c>
      <c r="CY130">
        <v>1</v>
      </c>
      <c r="CZ130">
        <v>1</v>
      </c>
      <c r="DA130" t="s">
        <v>833</v>
      </c>
      <c r="DB130" t="s">
        <v>865</v>
      </c>
      <c r="DC130">
        <v>60435</v>
      </c>
      <c r="DD130">
        <v>5.5</v>
      </c>
      <c r="DE130" t="s">
        <v>866</v>
      </c>
      <c r="DG130" t="s">
        <v>867</v>
      </c>
      <c r="DH130" t="s">
        <v>851</v>
      </c>
      <c r="DI130" t="s">
        <v>984</v>
      </c>
      <c r="DK130" t="s">
        <v>918</v>
      </c>
      <c r="DL130" t="s">
        <v>869</v>
      </c>
      <c r="DM130">
        <v>0</v>
      </c>
      <c r="DN130">
        <v>0</v>
      </c>
      <c r="DO130">
        <v>48</v>
      </c>
      <c r="DP130" t="s">
        <v>3651</v>
      </c>
      <c r="DQ130">
        <v>12</v>
      </c>
      <c r="DR130">
        <v>330</v>
      </c>
      <c r="DS130">
        <v>1040</v>
      </c>
      <c r="DT130">
        <v>1.7333000000000001</v>
      </c>
      <c r="DU130">
        <v>4</v>
      </c>
      <c r="DV130">
        <v>1</v>
      </c>
      <c r="DW130">
        <v>1</v>
      </c>
      <c r="DX130" t="s">
        <v>594</v>
      </c>
      <c r="DY130" t="s">
        <v>3644</v>
      </c>
      <c r="DZ130">
        <v>0</v>
      </c>
      <c r="EA130">
        <v>0</v>
      </c>
      <c r="EB130">
        <v>0</v>
      </c>
      <c r="EC130">
        <v>0</v>
      </c>
      <c r="ED130">
        <v>0</v>
      </c>
      <c r="EE130">
        <v>0</v>
      </c>
      <c r="EF130" t="s">
        <v>920</v>
      </c>
      <c r="EG130" t="s">
        <v>595</v>
      </c>
      <c r="EH130" t="s">
        <v>1695</v>
      </c>
      <c r="EI130" t="s">
        <v>1695</v>
      </c>
      <c r="EJ130" t="s">
        <v>181</v>
      </c>
      <c r="EK130">
        <v>9090</v>
      </c>
      <c r="EL130">
        <v>1</v>
      </c>
      <c r="EM130" t="s">
        <v>1436</v>
      </c>
      <c r="EN130">
        <v>3.6333000000000002</v>
      </c>
      <c r="EO130">
        <v>17.3333333</v>
      </c>
      <c r="EP130">
        <v>99991120</v>
      </c>
      <c r="EQ130" t="s">
        <v>874</v>
      </c>
      <c r="ER130" t="s">
        <v>875</v>
      </c>
      <c r="ES130" t="s">
        <v>876</v>
      </c>
      <c r="ET130" t="s">
        <v>877</v>
      </c>
      <c r="EU130" t="s">
        <v>877</v>
      </c>
      <c r="EV130" t="s">
        <v>920</v>
      </c>
      <c r="EX130" t="s">
        <v>836</v>
      </c>
      <c r="EY130" t="s">
        <v>873</v>
      </c>
      <c r="EZ130" t="s">
        <v>1437</v>
      </c>
      <c r="FA130" t="s">
        <v>956</v>
      </c>
      <c r="FB130">
        <v>1</v>
      </c>
      <c r="FC130">
        <v>2</v>
      </c>
      <c r="FD130" s="41">
        <v>46032</v>
      </c>
      <c r="FE130" t="s">
        <v>1370</v>
      </c>
      <c r="FF130">
        <v>10</v>
      </c>
      <c r="FG130" t="s">
        <v>3652</v>
      </c>
      <c r="FH130" t="s">
        <v>3653</v>
      </c>
      <c r="FI130">
        <v>1</v>
      </c>
      <c r="FJ130" t="s">
        <v>3654</v>
      </c>
      <c r="FK130" t="s">
        <v>3653</v>
      </c>
      <c r="FL130">
        <v>1</v>
      </c>
      <c r="FM130" t="s">
        <v>3655</v>
      </c>
      <c r="FN130" t="s">
        <v>3656</v>
      </c>
      <c r="FO130">
        <v>1</v>
      </c>
      <c r="FP130" t="s">
        <v>3657</v>
      </c>
      <c r="FQ130" t="s">
        <v>3649</v>
      </c>
      <c r="FR130">
        <v>1</v>
      </c>
      <c r="FS130" t="s">
        <v>3565</v>
      </c>
      <c r="FT130" t="s">
        <v>3658</v>
      </c>
      <c r="FU130">
        <v>1</v>
      </c>
      <c r="FV130" t="s">
        <v>3659</v>
      </c>
      <c r="FW130" t="s">
        <v>3660</v>
      </c>
      <c r="FX130">
        <v>1</v>
      </c>
      <c r="FY130" t="s">
        <v>890</v>
      </c>
      <c r="FZ130" t="s">
        <v>3661</v>
      </c>
      <c r="GA130" t="s">
        <v>3654</v>
      </c>
      <c r="GB130">
        <v>1</v>
      </c>
      <c r="GC130" t="s">
        <v>3662</v>
      </c>
      <c r="GD130">
        <v>1</v>
      </c>
      <c r="GF130">
        <v>0</v>
      </c>
      <c r="GG130">
        <v>1</v>
      </c>
      <c r="GH130" t="s">
        <v>892</v>
      </c>
      <c r="GI130" t="s">
        <v>893</v>
      </c>
      <c r="GJ130" t="s">
        <v>3653</v>
      </c>
      <c r="GK130" t="s">
        <v>3663</v>
      </c>
      <c r="GM130">
        <v>1</v>
      </c>
      <c r="GN130">
        <v>0</v>
      </c>
      <c r="GO130">
        <v>0</v>
      </c>
      <c r="GP130">
        <v>1</v>
      </c>
      <c r="GQ130">
        <v>1</v>
      </c>
      <c r="GR130">
        <v>0</v>
      </c>
      <c r="GS130">
        <v>1</v>
      </c>
      <c r="GT130">
        <v>0</v>
      </c>
      <c r="GU130">
        <v>1</v>
      </c>
      <c r="GV130">
        <v>0</v>
      </c>
      <c r="GW130">
        <v>1</v>
      </c>
      <c r="GX130">
        <v>0</v>
      </c>
      <c r="GY130">
        <v>1</v>
      </c>
      <c r="GZ130">
        <v>0</v>
      </c>
      <c r="HA130" t="s">
        <v>377</v>
      </c>
      <c r="HB130" t="s">
        <v>894</v>
      </c>
      <c r="HC130" t="s">
        <v>895</v>
      </c>
      <c r="HD130" t="s">
        <v>845</v>
      </c>
      <c r="HE130" t="s">
        <v>836</v>
      </c>
      <c r="HF130" t="s">
        <v>873</v>
      </c>
      <c r="HG130" t="s">
        <v>894</v>
      </c>
      <c r="HH130" t="s">
        <v>895</v>
      </c>
      <c r="HI130" t="s">
        <v>845</v>
      </c>
      <c r="HJ130" t="s">
        <v>836</v>
      </c>
      <c r="HK130" t="s">
        <v>1436</v>
      </c>
      <c r="HL130" t="s">
        <v>187</v>
      </c>
      <c r="HM130" t="s">
        <v>854</v>
      </c>
      <c r="HN130">
        <v>36805</v>
      </c>
      <c r="HO130">
        <v>1</v>
      </c>
      <c r="HP130" t="s">
        <v>181</v>
      </c>
      <c r="HQ130" t="s">
        <v>896</v>
      </c>
      <c r="HR130" t="s">
        <v>896</v>
      </c>
      <c r="HS130" t="s">
        <v>896</v>
      </c>
    </row>
    <row r="131" spans="1:227" x14ac:dyDescent="0.2">
      <c r="A131">
        <v>8702</v>
      </c>
      <c r="B131">
        <v>7528214369</v>
      </c>
      <c r="C131">
        <v>36</v>
      </c>
      <c r="D131" t="s">
        <v>1302</v>
      </c>
      <c r="E131" t="s">
        <v>831</v>
      </c>
      <c r="F131">
        <v>1</v>
      </c>
      <c r="G131" t="s">
        <v>3664</v>
      </c>
      <c r="H131" t="s">
        <v>3664</v>
      </c>
      <c r="I131">
        <v>0</v>
      </c>
      <c r="J131" t="s">
        <v>833</v>
      </c>
      <c r="K131" t="s">
        <v>834</v>
      </c>
      <c r="L131">
        <v>153406521</v>
      </c>
      <c r="M131" t="s">
        <v>1106</v>
      </c>
      <c r="N131" t="s">
        <v>836</v>
      </c>
      <c r="O131" t="s">
        <v>837</v>
      </c>
      <c r="P131" t="s">
        <v>1302</v>
      </c>
      <c r="Q131" t="s">
        <v>1305</v>
      </c>
      <c r="R131" t="s">
        <v>3665</v>
      </c>
      <c r="S131" t="s">
        <v>3666</v>
      </c>
      <c r="T131">
        <v>30300134878</v>
      </c>
      <c r="V131" t="s">
        <v>1109</v>
      </c>
      <c r="W131" s="41">
        <v>45952</v>
      </c>
      <c r="X131" t="s">
        <v>3667</v>
      </c>
      <c r="Y131" t="s">
        <v>3668</v>
      </c>
      <c r="AA131">
        <v>0</v>
      </c>
      <c r="AB131" t="s">
        <v>845</v>
      </c>
      <c r="AC131" t="s">
        <v>846</v>
      </c>
      <c r="AD131" t="s">
        <v>847</v>
      </c>
      <c r="AE131" t="s">
        <v>848</v>
      </c>
      <c r="AF131">
        <v>1</v>
      </c>
      <c r="AG131">
        <v>452210</v>
      </c>
      <c r="AH131" t="s">
        <v>849</v>
      </c>
      <c r="AI131" t="s">
        <v>850</v>
      </c>
      <c r="AJ131" t="s">
        <v>851</v>
      </c>
      <c r="AK131" t="s">
        <v>285</v>
      </c>
      <c r="AL131" t="s">
        <v>1667</v>
      </c>
      <c r="AM131" t="s">
        <v>1116</v>
      </c>
      <c r="AN131" t="s">
        <v>854</v>
      </c>
      <c r="AO131">
        <v>36805</v>
      </c>
      <c r="AP131">
        <v>545</v>
      </c>
      <c r="AQ131" t="s">
        <v>855</v>
      </c>
      <c r="AR131">
        <v>66168821</v>
      </c>
      <c r="AS131" t="s">
        <v>856</v>
      </c>
      <c r="AU131" t="s">
        <v>3669</v>
      </c>
      <c r="AV131" t="s">
        <v>3670</v>
      </c>
      <c r="AX131" t="s">
        <v>913</v>
      </c>
      <c r="AY131" t="s">
        <v>861</v>
      </c>
      <c r="AZ131" t="s">
        <v>285</v>
      </c>
      <c r="BA131" t="s">
        <v>286</v>
      </c>
      <c r="BB131">
        <v>0</v>
      </c>
      <c r="BC131">
        <v>0</v>
      </c>
      <c r="BD131">
        <v>0</v>
      </c>
      <c r="BE131" t="s">
        <v>1106</v>
      </c>
      <c r="BF131">
        <v>0</v>
      </c>
      <c r="BG131">
        <v>0</v>
      </c>
      <c r="BH131" t="s">
        <v>862</v>
      </c>
      <c r="BI131">
        <v>0</v>
      </c>
      <c r="BJ131" t="s">
        <v>862</v>
      </c>
      <c r="BK131">
        <v>1</v>
      </c>
      <c r="BL131">
        <v>1</v>
      </c>
      <c r="BM131">
        <v>0</v>
      </c>
      <c r="BN131" t="s">
        <v>596</v>
      </c>
      <c r="BO131">
        <v>153406521</v>
      </c>
      <c r="BP131" t="s">
        <v>3664</v>
      </c>
      <c r="BR131">
        <v>42791461</v>
      </c>
      <c r="BT131">
        <v>0</v>
      </c>
      <c r="CM131">
        <v>4010</v>
      </c>
      <c r="CO131">
        <v>7360</v>
      </c>
      <c r="CP131">
        <v>1.3</v>
      </c>
      <c r="CQ131">
        <v>1.3</v>
      </c>
      <c r="CR131">
        <v>1</v>
      </c>
      <c r="CS131">
        <v>10698</v>
      </c>
      <c r="CT131" t="s">
        <v>3671</v>
      </c>
      <c r="CU131" t="s">
        <v>3672</v>
      </c>
      <c r="CV131" t="s">
        <v>833</v>
      </c>
      <c r="CW131" t="s">
        <v>834</v>
      </c>
      <c r="CX131" t="s">
        <v>1106</v>
      </c>
      <c r="CY131">
        <v>0</v>
      </c>
      <c r="CZ131">
        <v>0</v>
      </c>
      <c r="DA131" t="s">
        <v>833</v>
      </c>
      <c r="DB131" t="s">
        <v>865</v>
      </c>
      <c r="DC131">
        <v>55127</v>
      </c>
      <c r="DD131">
        <v>162.30000000000001</v>
      </c>
      <c r="DE131" t="s">
        <v>866</v>
      </c>
      <c r="DG131" t="s">
        <v>867</v>
      </c>
      <c r="DH131" t="s">
        <v>851</v>
      </c>
      <c r="DJ131" t="s">
        <v>1120</v>
      </c>
      <c r="DL131" t="s">
        <v>869</v>
      </c>
      <c r="DM131">
        <v>0</v>
      </c>
      <c r="DN131">
        <v>0</v>
      </c>
      <c r="DO131">
        <v>2</v>
      </c>
      <c r="DP131" t="s">
        <v>870</v>
      </c>
      <c r="DQ131">
        <v>16</v>
      </c>
      <c r="DR131">
        <v>9738</v>
      </c>
      <c r="DS131">
        <v>19098</v>
      </c>
      <c r="DT131">
        <v>14.8667</v>
      </c>
      <c r="DU131">
        <v>4</v>
      </c>
      <c r="DW131">
        <v>2</v>
      </c>
      <c r="DX131" t="s">
        <v>596</v>
      </c>
      <c r="DY131" t="s">
        <v>1106</v>
      </c>
      <c r="DZ131">
        <v>0</v>
      </c>
      <c r="EA131">
        <v>0</v>
      </c>
      <c r="EB131">
        <v>1</v>
      </c>
      <c r="EC131">
        <v>0</v>
      </c>
      <c r="ED131">
        <v>0</v>
      </c>
      <c r="EE131">
        <v>1</v>
      </c>
      <c r="EF131" t="s">
        <v>871</v>
      </c>
      <c r="EG131" t="s">
        <v>595</v>
      </c>
      <c r="EH131" t="s">
        <v>921</v>
      </c>
      <c r="EI131" t="s">
        <v>921</v>
      </c>
      <c r="EJ131" t="s">
        <v>159</v>
      </c>
      <c r="EK131">
        <v>9090</v>
      </c>
      <c r="EL131">
        <v>1</v>
      </c>
      <c r="EM131" t="s">
        <v>873</v>
      </c>
      <c r="EN131">
        <v>1</v>
      </c>
      <c r="EO131">
        <v>318.3</v>
      </c>
      <c r="EP131">
        <v>99991120</v>
      </c>
      <c r="EQ131" t="s">
        <v>874</v>
      </c>
      <c r="ER131" t="s">
        <v>875</v>
      </c>
      <c r="ES131" t="s">
        <v>876</v>
      </c>
      <c r="ET131" t="s">
        <v>877</v>
      </c>
      <c r="EU131" t="s">
        <v>877</v>
      </c>
      <c r="EV131" t="s">
        <v>871</v>
      </c>
      <c r="EX131" t="s">
        <v>836</v>
      </c>
      <c r="EY131" t="s">
        <v>1121</v>
      </c>
      <c r="EZ131" t="s">
        <v>1122</v>
      </c>
      <c r="FA131" t="s">
        <v>956</v>
      </c>
      <c r="FB131">
        <v>1</v>
      </c>
      <c r="FC131">
        <v>3</v>
      </c>
      <c r="FD131" s="41">
        <v>45955</v>
      </c>
      <c r="FE131" t="s">
        <v>1039</v>
      </c>
      <c r="FF131">
        <v>21</v>
      </c>
      <c r="FG131" t="s">
        <v>1672</v>
      </c>
      <c r="FH131" t="s">
        <v>3673</v>
      </c>
      <c r="FI131">
        <v>1</v>
      </c>
      <c r="FJ131" t="s">
        <v>3674</v>
      </c>
      <c r="FK131" t="s">
        <v>3675</v>
      </c>
      <c r="FL131">
        <v>1</v>
      </c>
      <c r="FM131" t="s">
        <v>1127</v>
      </c>
      <c r="FN131" t="s">
        <v>3676</v>
      </c>
      <c r="FO131">
        <v>1</v>
      </c>
      <c r="FP131" t="s">
        <v>3677</v>
      </c>
      <c r="FQ131" t="s">
        <v>3678</v>
      </c>
      <c r="FR131">
        <v>1</v>
      </c>
      <c r="FS131" t="s">
        <v>2287</v>
      </c>
      <c r="FT131" t="s">
        <v>3679</v>
      </c>
      <c r="FU131">
        <v>1</v>
      </c>
      <c r="FV131" t="s">
        <v>2289</v>
      </c>
      <c r="FW131" t="s">
        <v>3680</v>
      </c>
      <c r="FX131">
        <v>1</v>
      </c>
      <c r="FY131" t="s">
        <v>890</v>
      </c>
      <c r="FZ131" t="s">
        <v>3681</v>
      </c>
      <c r="GA131" t="s">
        <v>3674</v>
      </c>
      <c r="GB131">
        <v>1</v>
      </c>
      <c r="GD131">
        <v>0</v>
      </c>
      <c r="GF131">
        <v>0</v>
      </c>
      <c r="GG131">
        <v>1</v>
      </c>
      <c r="GH131" t="s">
        <v>892</v>
      </c>
      <c r="GI131" t="s">
        <v>893</v>
      </c>
      <c r="GJ131" t="s">
        <v>3675</v>
      </c>
      <c r="GM131">
        <v>1</v>
      </c>
      <c r="GN131">
        <v>0</v>
      </c>
      <c r="GO131">
        <v>0</v>
      </c>
      <c r="GP131">
        <v>1</v>
      </c>
      <c r="GQ131">
        <v>1</v>
      </c>
      <c r="GR131">
        <v>0</v>
      </c>
      <c r="GS131">
        <v>1</v>
      </c>
      <c r="GT131">
        <v>0</v>
      </c>
      <c r="GU131">
        <v>1</v>
      </c>
      <c r="GV131">
        <v>0</v>
      </c>
      <c r="GW131">
        <v>1</v>
      </c>
      <c r="GX131">
        <v>0</v>
      </c>
      <c r="GY131">
        <v>1</v>
      </c>
      <c r="GZ131">
        <v>0</v>
      </c>
      <c r="HA131" t="s">
        <v>285</v>
      </c>
      <c r="HB131" t="s">
        <v>894</v>
      </c>
      <c r="HC131" t="s">
        <v>895</v>
      </c>
      <c r="HD131" t="s">
        <v>845</v>
      </c>
      <c r="HE131" t="s">
        <v>836</v>
      </c>
      <c r="HF131" t="s">
        <v>873</v>
      </c>
      <c r="HG131" t="s">
        <v>894</v>
      </c>
      <c r="HH131" t="s">
        <v>895</v>
      </c>
      <c r="HI131" t="s">
        <v>845</v>
      </c>
      <c r="HJ131" t="s">
        <v>836</v>
      </c>
      <c r="HK131" t="s">
        <v>873</v>
      </c>
      <c r="HL131" t="s">
        <v>1109</v>
      </c>
      <c r="HM131" t="s">
        <v>854</v>
      </c>
      <c r="HN131">
        <v>36805</v>
      </c>
      <c r="HP131" t="s">
        <v>159</v>
      </c>
      <c r="HQ131" t="s">
        <v>896</v>
      </c>
      <c r="HR131" t="s">
        <v>896</v>
      </c>
      <c r="HS131" t="s">
        <v>896</v>
      </c>
    </row>
    <row r="132" spans="1:227" x14ac:dyDescent="0.2">
      <c r="A132">
        <v>8702</v>
      </c>
      <c r="B132">
        <v>7617608240</v>
      </c>
      <c r="C132">
        <v>34</v>
      </c>
      <c r="D132" t="s">
        <v>996</v>
      </c>
      <c r="E132" t="s">
        <v>831</v>
      </c>
      <c r="F132">
        <v>0</v>
      </c>
      <c r="G132" t="s">
        <v>3682</v>
      </c>
      <c r="H132" t="s">
        <v>3682</v>
      </c>
      <c r="I132">
        <v>0</v>
      </c>
      <c r="J132" t="s">
        <v>833</v>
      </c>
      <c r="K132" t="s">
        <v>834</v>
      </c>
      <c r="L132">
        <v>152858771</v>
      </c>
      <c r="M132" t="s">
        <v>1516</v>
      </c>
      <c r="N132" t="s">
        <v>836</v>
      </c>
      <c r="O132" t="s">
        <v>837</v>
      </c>
      <c r="P132" t="s">
        <v>999</v>
      </c>
      <c r="Q132" t="s">
        <v>2459</v>
      </c>
      <c r="R132" t="s">
        <v>3683</v>
      </c>
      <c r="S132" t="s">
        <v>3684</v>
      </c>
      <c r="T132">
        <v>30300127006</v>
      </c>
      <c r="V132" t="s">
        <v>185</v>
      </c>
      <c r="W132" s="41">
        <v>46200</v>
      </c>
      <c r="X132" t="s">
        <v>3685</v>
      </c>
      <c r="Y132" t="s">
        <v>3686</v>
      </c>
      <c r="Z132" t="s">
        <v>919</v>
      </c>
      <c r="AA132">
        <v>0</v>
      </c>
      <c r="AB132" t="s">
        <v>845</v>
      </c>
      <c r="AC132" t="s">
        <v>846</v>
      </c>
      <c r="AD132" t="s">
        <v>907</v>
      </c>
      <c r="AE132" t="s">
        <v>908</v>
      </c>
      <c r="AF132">
        <v>1</v>
      </c>
      <c r="AG132">
        <v>452210</v>
      </c>
      <c r="AH132" t="s">
        <v>849</v>
      </c>
      <c r="AI132" t="s">
        <v>850</v>
      </c>
      <c r="AJ132" t="s">
        <v>851</v>
      </c>
      <c r="AK132" t="s">
        <v>255</v>
      </c>
      <c r="AL132" t="s">
        <v>2605</v>
      </c>
      <c r="AM132" t="s">
        <v>1522</v>
      </c>
      <c r="AN132" t="s">
        <v>854</v>
      </c>
      <c r="AO132">
        <v>36805</v>
      </c>
      <c r="AP132">
        <v>633</v>
      </c>
      <c r="AQ132" t="s">
        <v>855</v>
      </c>
      <c r="AR132">
        <v>66525895</v>
      </c>
      <c r="AS132" t="s">
        <v>856</v>
      </c>
      <c r="AU132" t="s">
        <v>3687</v>
      </c>
      <c r="AV132" t="s">
        <v>3688</v>
      </c>
      <c r="AX132" t="s">
        <v>913</v>
      </c>
      <c r="AY132" t="s">
        <v>861</v>
      </c>
      <c r="AZ132" t="s">
        <v>255</v>
      </c>
      <c r="BA132" t="s">
        <v>256</v>
      </c>
      <c r="BB132">
        <v>0</v>
      </c>
      <c r="BC132">
        <v>0</v>
      </c>
      <c r="BD132">
        <v>0</v>
      </c>
      <c r="BE132" t="s">
        <v>1516</v>
      </c>
      <c r="BF132">
        <v>0</v>
      </c>
      <c r="BG132">
        <v>0</v>
      </c>
      <c r="BH132" t="s">
        <v>862</v>
      </c>
      <c r="BI132">
        <v>0</v>
      </c>
      <c r="BJ132" t="s">
        <v>862</v>
      </c>
      <c r="BK132">
        <v>1</v>
      </c>
      <c r="BL132">
        <v>1</v>
      </c>
      <c r="BM132">
        <v>0</v>
      </c>
      <c r="BN132" t="s">
        <v>596</v>
      </c>
      <c r="BO132">
        <v>152858771</v>
      </c>
      <c r="BP132" t="s">
        <v>3682</v>
      </c>
      <c r="BR132">
        <v>42791751</v>
      </c>
      <c r="BT132">
        <v>1</v>
      </c>
      <c r="BU132" t="s">
        <v>1314</v>
      </c>
      <c r="BY132">
        <v>16</v>
      </c>
      <c r="CA132">
        <v>23</v>
      </c>
      <c r="CI132">
        <v>11</v>
      </c>
      <c r="CJ132" t="s">
        <v>94</v>
      </c>
      <c r="CM132">
        <v>4010</v>
      </c>
      <c r="CO132">
        <v>7360</v>
      </c>
      <c r="CP132">
        <v>0.16669999999999999</v>
      </c>
      <c r="CQ132">
        <v>0.16669999999999999</v>
      </c>
      <c r="CR132">
        <v>0.31669999999999998</v>
      </c>
      <c r="CS132">
        <v>1</v>
      </c>
      <c r="CT132" t="s">
        <v>3688</v>
      </c>
      <c r="CU132" t="s">
        <v>3687</v>
      </c>
      <c r="CV132" t="s">
        <v>833</v>
      </c>
      <c r="CW132" t="s">
        <v>834</v>
      </c>
      <c r="CX132" t="s">
        <v>1516</v>
      </c>
      <c r="CY132">
        <v>0</v>
      </c>
      <c r="CZ132">
        <v>0</v>
      </c>
      <c r="DA132" t="s">
        <v>833</v>
      </c>
      <c r="DB132" t="s">
        <v>865</v>
      </c>
      <c r="DC132">
        <v>60563</v>
      </c>
      <c r="DD132">
        <v>22.716699999999999</v>
      </c>
      <c r="DE132" t="s">
        <v>866</v>
      </c>
      <c r="DG132" t="s">
        <v>867</v>
      </c>
      <c r="DH132" t="s">
        <v>851</v>
      </c>
      <c r="DI132" t="s">
        <v>1525</v>
      </c>
      <c r="DK132" t="s">
        <v>918</v>
      </c>
      <c r="DL132" t="s">
        <v>869</v>
      </c>
      <c r="DM132">
        <v>0</v>
      </c>
      <c r="DN132">
        <v>0</v>
      </c>
      <c r="DO132">
        <v>2</v>
      </c>
      <c r="DP132" t="s">
        <v>870</v>
      </c>
      <c r="DQ132">
        <v>16</v>
      </c>
      <c r="DR132">
        <v>1363</v>
      </c>
      <c r="DS132">
        <v>2803</v>
      </c>
      <c r="DT132">
        <v>22.55</v>
      </c>
      <c r="DU132">
        <v>4</v>
      </c>
      <c r="DV132">
        <v>1</v>
      </c>
      <c r="DW132">
        <v>2</v>
      </c>
      <c r="DX132" t="s">
        <v>596</v>
      </c>
      <c r="DY132" t="s">
        <v>1516</v>
      </c>
      <c r="DZ132">
        <v>0</v>
      </c>
      <c r="EA132">
        <v>0</v>
      </c>
      <c r="EB132">
        <v>1</v>
      </c>
      <c r="EC132">
        <v>0</v>
      </c>
      <c r="ED132">
        <v>0</v>
      </c>
      <c r="EE132">
        <v>1</v>
      </c>
      <c r="EF132" t="s">
        <v>871</v>
      </c>
      <c r="EG132" t="s">
        <v>595</v>
      </c>
      <c r="EH132" t="s">
        <v>921</v>
      </c>
      <c r="EI132" t="s">
        <v>921</v>
      </c>
      <c r="EJ132" t="s">
        <v>181</v>
      </c>
      <c r="EK132">
        <v>9090</v>
      </c>
      <c r="EL132">
        <v>0</v>
      </c>
      <c r="EM132" t="s">
        <v>1436</v>
      </c>
      <c r="EN132">
        <v>0.31669999999999998</v>
      </c>
      <c r="EO132">
        <v>46.716666699999998</v>
      </c>
      <c r="EP132">
        <v>99991120</v>
      </c>
      <c r="EQ132" t="s">
        <v>874</v>
      </c>
      <c r="ER132" t="s">
        <v>875</v>
      </c>
      <c r="ES132" t="s">
        <v>876</v>
      </c>
      <c r="ET132" t="s">
        <v>877</v>
      </c>
      <c r="EU132" t="s">
        <v>877</v>
      </c>
      <c r="EV132" t="s">
        <v>871</v>
      </c>
      <c r="EX132" t="s">
        <v>836</v>
      </c>
      <c r="EY132" t="s">
        <v>873</v>
      </c>
      <c r="EZ132" t="s">
        <v>1437</v>
      </c>
      <c r="FA132" t="s">
        <v>956</v>
      </c>
      <c r="FB132">
        <v>1</v>
      </c>
      <c r="FC132">
        <v>1</v>
      </c>
      <c r="FD132" s="41">
        <v>46200</v>
      </c>
      <c r="FE132" t="s">
        <v>1315</v>
      </c>
      <c r="FF132">
        <v>8</v>
      </c>
      <c r="FG132" t="s">
        <v>2610</v>
      </c>
      <c r="FH132" t="s">
        <v>3689</v>
      </c>
      <c r="FI132">
        <v>1</v>
      </c>
      <c r="FJ132" t="s">
        <v>3690</v>
      </c>
      <c r="FK132" t="s">
        <v>3691</v>
      </c>
      <c r="FL132">
        <v>1</v>
      </c>
      <c r="FM132" t="s">
        <v>1531</v>
      </c>
      <c r="FN132" t="s">
        <v>3692</v>
      </c>
      <c r="FO132">
        <v>1</v>
      </c>
      <c r="FP132" t="s">
        <v>3693</v>
      </c>
      <c r="FQ132" t="s">
        <v>3687</v>
      </c>
      <c r="FR132">
        <v>1</v>
      </c>
      <c r="FS132" t="s">
        <v>1534</v>
      </c>
      <c r="FT132" t="s">
        <v>3694</v>
      </c>
      <c r="FU132">
        <v>1</v>
      </c>
      <c r="FV132" t="s">
        <v>1536</v>
      </c>
      <c r="FW132" t="s">
        <v>3695</v>
      </c>
      <c r="FX132">
        <v>1</v>
      </c>
      <c r="FY132" t="s">
        <v>890</v>
      </c>
      <c r="FZ132" t="s">
        <v>3696</v>
      </c>
      <c r="GA132" t="s">
        <v>3690</v>
      </c>
      <c r="GB132">
        <v>1</v>
      </c>
      <c r="GD132">
        <v>0</v>
      </c>
      <c r="GF132">
        <v>0</v>
      </c>
      <c r="GG132">
        <v>1</v>
      </c>
      <c r="GH132" t="s">
        <v>892</v>
      </c>
      <c r="GI132" t="s">
        <v>893</v>
      </c>
      <c r="GJ132" t="s">
        <v>3691</v>
      </c>
      <c r="GM132">
        <v>1</v>
      </c>
      <c r="GN132">
        <v>1</v>
      </c>
      <c r="GO132">
        <v>0</v>
      </c>
      <c r="GP132">
        <v>1</v>
      </c>
      <c r="GQ132">
        <v>1</v>
      </c>
      <c r="GR132">
        <v>0</v>
      </c>
      <c r="GS132">
        <v>1</v>
      </c>
      <c r="GT132">
        <v>0</v>
      </c>
      <c r="GU132">
        <v>1</v>
      </c>
      <c r="GV132">
        <v>0</v>
      </c>
      <c r="GW132">
        <v>1</v>
      </c>
      <c r="GX132">
        <v>0</v>
      </c>
      <c r="GY132">
        <v>1</v>
      </c>
      <c r="GZ132">
        <v>0</v>
      </c>
      <c r="HA132" t="s">
        <v>255</v>
      </c>
      <c r="HB132" t="s">
        <v>894</v>
      </c>
      <c r="HC132" t="s">
        <v>895</v>
      </c>
      <c r="HD132" t="s">
        <v>845</v>
      </c>
      <c r="HE132" t="s">
        <v>836</v>
      </c>
      <c r="HF132" t="s">
        <v>873</v>
      </c>
      <c r="HG132" t="s">
        <v>894</v>
      </c>
      <c r="HH132" t="s">
        <v>895</v>
      </c>
      <c r="HI132" t="s">
        <v>845</v>
      </c>
      <c r="HJ132" t="s">
        <v>836</v>
      </c>
      <c r="HK132" t="s">
        <v>1436</v>
      </c>
      <c r="HL132" t="s">
        <v>185</v>
      </c>
      <c r="HM132" t="s">
        <v>854</v>
      </c>
      <c r="HN132">
        <v>36805</v>
      </c>
      <c r="HO132">
        <v>1</v>
      </c>
      <c r="HP132" t="s">
        <v>181</v>
      </c>
      <c r="HQ132" t="s">
        <v>896</v>
      </c>
      <c r="HR132" t="s">
        <v>896</v>
      </c>
      <c r="HS132" t="s">
        <v>896</v>
      </c>
    </row>
    <row r="133" spans="1:227" x14ac:dyDescent="0.2">
      <c r="A133">
        <v>8702</v>
      </c>
      <c r="B133">
        <v>7608303802</v>
      </c>
      <c r="C133" t="s">
        <v>829</v>
      </c>
      <c r="D133" t="s">
        <v>830</v>
      </c>
      <c r="E133" t="s">
        <v>831</v>
      </c>
      <c r="F133">
        <v>1</v>
      </c>
      <c r="G133" t="s">
        <v>3697</v>
      </c>
      <c r="H133" t="s">
        <v>3697</v>
      </c>
      <c r="I133">
        <v>0</v>
      </c>
      <c r="J133" t="s">
        <v>833</v>
      </c>
      <c r="K133" t="s">
        <v>834</v>
      </c>
      <c r="L133">
        <v>153294154</v>
      </c>
      <c r="M133" t="s">
        <v>3698</v>
      </c>
      <c r="N133" t="s">
        <v>836</v>
      </c>
      <c r="O133" t="s">
        <v>837</v>
      </c>
      <c r="P133" t="s">
        <v>838</v>
      </c>
      <c r="Q133" t="s">
        <v>839</v>
      </c>
      <c r="R133" t="s">
        <v>3699</v>
      </c>
      <c r="S133" t="s">
        <v>3700</v>
      </c>
      <c r="T133">
        <v>41477124844</v>
      </c>
      <c r="V133" t="s">
        <v>3701</v>
      </c>
      <c r="W133" s="41">
        <v>46105</v>
      </c>
      <c r="X133" t="s">
        <v>3702</v>
      </c>
      <c r="Y133" t="s">
        <v>3703</v>
      </c>
      <c r="AA133">
        <v>0</v>
      </c>
      <c r="AB133" t="s">
        <v>845</v>
      </c>
      <c r="AC133" t="s">
        <v>846</v>
      </c>
      <c r="AD133" t="s">
        <v>1113</v>
      </c>
      <c r="AE133" t="s">
        <v>1114</v>
      </c>
      <c r="AF133">
        <v>1</v>
      </c>
      <c r="AG133">
        <v>452210</v>
      </c>
      <c r="AH133" t="s">
        <v>849</v>
      </c>
      <c r="AI133" t="s">
        <v>850</v>
      </c>
      <c r="AJ133" t="s">
        <v>851</v>
      </c>
      <c r="AK133" t="s">
        <v>454</v>
      </c>
      <c r="AL133" t="s">
        <v>3704</v>
      </c>
      <c r="AM133" t="s">
        <v>3705</v>
      </c>
      <c r="AN133" t="s">
        <v>854</v>
      </c>
      <c r="AO133">
        <v>36805</v>
      </c>
      <c r="AP133">
        <v>968</v>
      </c>
      <c r="AQ133" t="s">
        <v>855</v>
      </c>
      <c r="AR133">
        <v>66389144</v>
      </c>
      <c r="AS133" t="s">
        <v>856</v>
      </c>
      <c r="AU133" t="s">
        <v>3706</v>
      </c>
      <c r="AV133" t="s">
        <v>3707</v>
      </c>
      <c r="AX133" t="s">
        <v>913</v>
      </c>
      <c r="AY133" t="s">
        <v>861</v>
      </c>
      <c r="AZ133" t="s">
        <v>454</v>
      </c>
      <c r="BA133" t="s">
        <v>455</v>
      </c>
      <c r="BB133">
        <v>0</v>
      </c>
      <c r="BC133">
        <v>0</v>
      </c>
      <c r="BD133">
        <v>0</v>
      </c>
      <c r="BE133" t="s">
        <v>3698</v>
      </c>
      <c r="BF133">
        <v>0</v>
      </c>
      <c r="BG133">
        <v>0</v>
      </c>
      <c r="BH133" t="s">
        <v>862</v>
      </c>
      <c r="BI133">
        <v>0</v>
      </c>
      <c r="BJ133" t="s">
        <v>862</v>
      </c>
      <c r="BK133">
        <v>1</v>
      </c>
      <c r="BL133">
        <v>1</v>
      </c>
      <c r="BM133">
        <v>0</v>
      </c>
      <c r="BN133" t="s">
        <v>596</v>
      </c>
      <c r="BO133">
        <v>153294154</v>
      </c>
      <c r="BP133" t="s">
        <v>3697</v>
      </c>
      <c r="BR133">
        <v>42793658</v>
      </c>
      <c r="BT133">
        <v>2</v>
      </c>
      <c r="BU133" t="s">
        <v>1715</v>
      </c>
      <c r="BY133">
        <v>16</v>
      </c>
      <c r="CA133">
        <v>4</v>
      </c>
      <c r="CE133">
        <v>1</v>
      </c>
      <c r="CI133">
        <v>11</v>
      </c>
      <c r="CJ133" t="s">
        <v>94</v>
      </c>
      <c r="CM133">
        <v>4010</v>
      </c>
      <c r="CO133">
        <v>7360</v>
      </c>
      <c r="CP133">
        <v>1.1000000000000001</v>
      </c>
      <c r="CQ133">
        <v>1.1000000000000001</v>
      </c>
      <c r="CR133">
        <v>1.1167</v>
      </c>
      <c r="CS133">
        <v>0</v>
      </c>
      <c r="CT133" t="s">
        <v>3707</v>
      </c>
      <c r="CU133" t="s">
        <v>3706</v>
      </c>
      <c r="CV133" t="s">
        <v>833</v>
      </c>
      <c r="CW133" t="s">
        <v>834</v>
      </c>
      <c r="CX133" t="s">
        <v>3698</v>
      </c>
      <c r="CY133">
        <v>0</v>
      </c>
      <c r="CZ133">
        <v>0</v>
      </c>
      <c r="DA133" t="s">
        <v>833</v>
      </c>
      <c r="DB133" t="s">
        <v>865</v>
      </c>
      <c r="DC133">
        <v>52807</v>
      </c>
      <c r="DD133">
        <v>4.4166999999999996</v>
      </c>
      <c r="DE133" t="s">
        <v>866</v>
      </c>
      <c r="DG133" t="s">
        <v>867</v>
      </c>
      <c r="DH133" t="s">
        <v>851</v>
      </c>
      <c r="DI133" t="s">
        <v>3708</v>
      </c>
      <c r="DK133" t="s">
        <v>918</v>
      </c>
      <c r="DL133" t="s">
        <v>869</v>
      </c>
      <c r="DM133">
        <v>0</v>
      </c>
      <c r="DN133">
        <v>0.91669999999999996</v>
      </c>
      <c r="DO133">
        <v>3</v>
      </c>
      <c r="DP133" t="s">
        <v>919</v>
      </c>
      <c r="DQ133">
        <v>0</v>
      </c>
      <c r="DR133">
        <v>265</v>
      </c>
      <c r="DS133">
        <v>265</v>
      </c>
      <c r="DT133">
        <v>3.3167</v>
      </c>
      <c r="DU133">
        <v>0</v>
      </c>
      <c r="DV133">
        <v>1</v>
      </c>
      <c r="DW133">
        <v>2</v>
      </c>
      <c r="DX133" t="s">
        <v>596</v>
      </c>
      <c r="DY133" t="s">
        <v>3698</v>
      </c>
      <c r="DZ133">
        <v>1</v>
      </c>
      <c r="EA133">
        <v>1</v>
      </c>
      <c r="EB133">
        <v>1</v>
      </c>
      <c r="EC133">
        <v>1</v>
      </c>
      <c r="ED133">
        <v>1</v>
      </c>
      <c r="EE133">
        <v>1</v>
      </c>
      <c r="EF133" t="s">
        <v>871</v>
      </c>
      <c r="EG133" t="s">
        <v>595</v>
      </c>
      <c r="EH133" t="s">
        <v>921</v>
      </c>
      <c r="EI133" t="s">
        <v>921</v>
      </c>
      <c r="EJ133" t="s">
        <v>246</v>
      </c>
      <c r="EK133">
        <v>9090</v>
      </c>
      <c r="EL133">
        <v>1</v>
      </c>
      <c r="EM133" t="s">
        <v>873</v>
      </c>
      <c r="EN133">
        <v>1.1167</v>
      </c>
      <c r="EO133">
        <v>4.4166667000000004</v>
      </c>
      <c r="EP133">
        <v>99991120</v>
      </c>
      <c r="EQ133" t="s">
        <v>874</v>
      </c>
      <c r="ER133" t="s">
        <v>875</v>
      </c>
      <c r="ES133" t="s">
        <v>876</v>
      </c>
      <c r="ET133" t="s">
        <v>877</v>
      </c>
      <c r="EU133" t="s">
        <v>877</v>
      </c>
      <c r="EV133" t="s">
        <v>871</v>
      </c>
      <c r="EX133" t="s">
        <v>836</v>
      </c>
      <c r="EY133" t="s">
        <v>873</v>
      </c>
      <c r="EZ133" t="s">
        <v>3709</v>
      </c>
      <c r="FA133" t="s">
        <v>879</v>
      </c>
      <c r="FB133">
        <v>1</v>
      </c>
      <c r="FC133">
        <v>1</v>
      </c>
      <c r="FD133" s="41">
        <v>46109</v>
      </c>
      <c r="FE133" t="s">
        <v>1719</v>
      </c>
      <c r="FF133">
        <v>8</v>
      </c>
      <c r="FG133" t="s">
        <v>3710</v>
      </c>
      <c r="FH133" t="s">
        <v>3711</v>
      </c>
      <c r="FI133">
        <v>1</v>
      </c>
      <c r="FJ133" t="s">
        <v>3712</v>
      </c>
      <c r="FK133" t="s">
        <v>3713</v>
      </c>
      <c r="FL133">
        <v>1</v>
      </c>
      <c r="FM133" t="s">
        <v>3714</v>
      </c>
      <c r="FN133" t="s">
        <v>3715</v>
      </c>
      <c r="FO133">
        <v>1</v>
      </c>
      <c r="FP133" t="s">
        <v>3716</v>
      </c>
      <c r="FQ133" t="s">
        <v>3717</v>
      </c>
      <c r="FR133">
        <v>1</v>
      </c>
      <c r="FS133" t="s">
        <v>3718</v>
      </c>
      <c r="FT133" t="s">
        <v>3719</v>
      </c>
      <c r="FU133">
        <v>1</v>
      </c>
      <c r="FV133" t="s">
        <v>3720</v>
      </c>
      <c r="FW133" t="s">
        <v>3721</v>
      </c>
      <c r="FX133">
        <v>1</v>
      </c>
      <c r="FY133" t="s">
        <v>890</v>
      </c>
      <c r="FZ133" t="s">
        <v>3722</v>
      </c>
      <c r="GA133" t="s">
        <v>3712</v>
      </c>
      <c r="GB133">
        <v>1</v>
      </c>
      <c r="GD133">
        <v>0</v>
      </c>
      <c r="GF133">
        <v>0</v>
      </c>
      <c r="GG133">
        <v>1</v>
      </c>
      <c r="GH133" t="s">
        <v>892</v>
      </c>
      <c r="GI133" t="s">
        <v>893</v>
      </c>
      <c r="GJ133" t="s">
        <v>3713</v>
      </c>
      <c r="GM133">
        <v>1</v>
      </c>
      <c r="GN133">
        <v>1</v>
      </c>
      <c r="GO133">
        <v>0</v>
      </c>
      <c r="GP133">
        <v>1</v>
      </c>
      <c r="GQ133">
        <v>1</v>
      </c>
      <c r="GR133">
        <v>0</v>
      </c>
      <c r="GS133">
        <v>1</v>
      </c>
      <c r="GT133">
        <v>0</v>
      </c>
      <c r="GU133">
        <v>1</v>
      </c>
      <c r="GV133">
        <v>0</v>
      </c>
      <c r="GW133">
        <v>1</v>
      </c>
      <c r="GX133">
        <v>0</v>
      </c>
      <c r="GY133">
        <v>1</v>
      </c>
      <c r="GZ133">
        <v>0</v>
      </c>
      <c r="HA133" t="s">
        <v>454</v>
      </c>
      <c r="HB133" t="s">
        <v>894</v>
      </c>
      <c r="HC133" t="s">
        <v>895</v>
      </c>
      <c r="HD133" t="s">
        <v>845</v>
      </c>
      <c r="HE133" t="s">
        <v>836</v>
      </c>
      <c r="HF133" t="s">
        <v>873</v>
      </c>
      <c r="HG133" t="s">
        <v>894</v>
      </c>
      <c r="HH133" t="s">
        <v>895</v>
      </c>
      <c r="HI133" t="s">
        <v>845</v>
      </c>
      <c r="HJ133" t="s">
        <v>836</v>
      </c>
      <c r="HK133" t="s">
        <v>873</v>
      </c>
      <c r="HL133" t="s">
        <v>3701</v>
      </c>
      <c r="HM133" t="s">
        <v>854</v>
      </c>
      <c r="HN133">
        <v>36805</v>
      </c>
      <c r="HP133" t="s">
        <v>246</v>
      </c>
      <c r="HQ133" t="s">
        <v>896</v>
      </c>
      <c r="HR133" t="s">
        <v>896</v>
      </c>
      <c r="HS133" t="s">
        <v>896</v>
      </c>
    </row>
    <row r="134" spans="1:227" x14ac:dyDescent="0.2">
      <c r="A134">
        <v>8702</v>
      </c>
      <c r="B134">
        <v>7618212830</v>
      </c>
      <c r="C134" t="s">
        <v>829</v>
      </c>
      <c r="D134" t="s">
        <v>830</v>
      </c>
      <c r="E134" t="s">
        <v>897</v>
      </c>
      <c r="F134">
        <v>1</v>
      </c>
      <c r="G134" t="s">
        <v>3723</v>
      </c>
      <c r="H134" t="s">
        <v>3723</v>
      </c>
      <c r="I134">
        <v>0</v>
      </c>
      <c r="J134" t="s">
        <v>833</v>
      </c>
      <c r="K134" t="s">
        <v>834</v>
      </c>
      <c r="L134">
        <v>155403179</v>
      </c>
      <c r="M134" t="s">
        <v>3724</v>
      </c>
      <c r="N134" t="s">
        <v>900</v>
      </c>
      <c r="O134" t="s">
        <v>837</v>
      </c>
      <c r="P134" t="s">
        <v>838</v>
      </c>
      <c r="Q134" t="s">
        <v>839</v>
      </c>
      <c r="R134" t="s">
        <v>3725</v>
      </c>
      <c r="S134" t="s">
        <v>3726</v>
      </c>
      <c r="T134">
        <v>41477095563</v>
      </c>
      <c r="V134" t="s">
        <v>904</v>
      </c>
      <c r="W134" s="41">
        <v>46204</v>
      </c>
      <c r="X134" t="s">
        <v>3727</v>
      </c>
      <c r="Y134" t="s">
        <v>3728</v>
      </c>
      <c r="AA134">
        <v>0</v>
      </c>
      <c r="AB134" t="s">
        <v>845</v>
      </c>
      <c r="AC134" t="s">
        <v>846</v>
      </c>
      <c r="AD134" t="s">
        <v>907</v>
      </c>
      <c r="AE134" t="s">
        <v>908</v>
      </c>
      <c r="AF134">
        <v>1</v>
      </c>
      <c r="AG134">
        <v>452210</v>
      </c>
      <c r="AH134" t="s">
        <v>849</v>
      </c>
      <c r="AI134" t="s">
        <v>850</v>
      </c>
      <c r="AJ134" t="s">
        <v>851</v>
      </c>
      <c r="AK134" t="s">
        <v>291</v>
      </c>
      <c r="AL134" t="s">
        <v>909</v>
      </c>
      <c r="AM134" t="s">
        <v>910</v>
      </c>
      <c r="AN134" t="s">
        <v>854</v>
      </c>
      <c r="AO134">
        <v>36805</v>
      </c>
      <c r="AP134">
        <v>606</v>
      </c>
      <c r="AQ134" t="s">
        <v>855</v>
      </c>
      <c r="AR134">
        <v>66531740</v>
      </c>
      <c r="AS134" t="s">
        <v>856</v>
      </c>
      <c r="AU134" t="s">
        <v>3729</v>
      </c>
      <c r="AV134" t="s">
        <v>3730</v>
      </c>
      <c r="AW134" t="s">
        <v>950</v>
      </c>
      <c r="AX134" t="s">
        <v>951</v>
      </c>
      <c r="AY134" t="s">
        <v>861</v>
      </c>
      <c r="AZ134" t="s">
        <v>291</v>
      </c>
      <c r="BA134" t="s">
        <v>292</v>
      </c>
      <c r="BB134">
        <v>1</v>
      </c>
      <c r="BC134">
        <v>0</v>
      </c>
      <c r="BD134">
        <v>0</v>
      </c>
      <c r="BE134" t="s">
        <v>3724</v>
      </c>
      <c r="BF134">
        <v>0</v>
      </c>
      <c r="BG134">
        <v>0</v>
      </c>
      <c r="BH134" t="s">
        <v>862</v>
      </c>
      <c r="BI134">
        <v>0</v>
      </c>
      <c r="BJ134" t="s">
        <v>862</v>
      </c>
      <c r="BK134">
        <v>1</v>
      </c>
      <c r="BL134">
        <v>0</v>
      </c>
      <c r="BM134">
        <v>0</v>
      </c>
      <c r="BN134" t="s">
        <v>596</v>
      </c>
      <c r="BO134">
        <v>155403179</v>
      </c>
      <c r="BP134" t="s">
        <v>3723</v>
      </c>
      <c r="BQ134">
        <v>42.925950399999998</v>
      </c>
      <c r="BR134">
        <v>42810759</v>
      </c>
      <c r="BS134">
        <v>-85.605973500000005</v>
      </c>
      <c r="BT134">
        <v>2</v>
      </c>
      <c r="BU134" t="s">
        <v>1062</v>
      </c>
      <c r="BY134">
        <v>12</v>
      </c>
      <c r="CA134">
        <v>2</v>
      </c>
      <c r="CE134">
        <v>1</v>
      </c>
      <c r="CI134">
        <v>11</v>
      </c>
      <c r="CJ134" t="s">
        <v>94</v>
      </c>
      <c r="CM134">
        <v>4010</v>
      </c>
      <c r="CO134">
        <v>7360</v>
      </c>
      <c r="CP134">
        <v>1.3167</v>
      </c>
      <c r="CQ134">
        <v>1.3167</v>
      </c>
      <c r="CR134">
        <v>0.51670000000000005</v>
      </c>
      <c r="CS134">
        <v>1</v>
      </c>
      <c r="CT134" t="s">
        <v>3731</v>
      </c>
      <c r="CU134" t="s">
        <v>3732</v>
      </c>
      <c r="CV134" t="s">
        <v>833</v>
      </c>
      <c r="CW134" t="s">
        <v>834</v>
      </c>
      <c r="CX134" t="s">
        <v>3724</v>
      </c>
      <c r="CY134">
        <v>1</v>
      </c>
      <c r="CZ134">
        <v>1</v>
      </c>
      <c r="DA134" t="s">
        <v>833</v>
      </c>
      <c r="DB134" t="s">
        <v>865</v>
      </c>
      <c r="DC134">
        <v>49546</v>
      </c>
      <c r="DD134">
        <v>2.0667</v>
      </c>
      <c r="DE134" t="s">
        <v>866</v>
      </c>
      <c r="DG134" t="s">
        <v>867</v>
      </c>
      <c r="DH134" t="s">
        <v>851</v>
      </c>
      <c r="DI134" t="s">
        <v>3733</v>
      </c>
      <c r="DK134" t="s">
        <v>918</v>
      </c>
      <c r="DL134" t="s">
        <v>869</v>
      </c>
      <c r="DM134">
        <v>0</v>
      </c>
      <c r="DN134">
        <v>0</v>
      </c>
      <c r="DO134">
        <v>48</v>
      </c>
      <c r="DP134" t="s">
        <v>3651</v>
      </c>
      <c r="DQ134">
        <v>12</v>
      </c>
      <c r="DR134">
        <v>124</v>
      </c>
      <c r="DS134">
        <v>124</v>
      </c>
      <c r="DT134">
        <v>0.75</v>
      </c>
      <c r="DU134">
        <v>4</v>
      </c>
      <c r="DV134">
        <v>1</v>
      </c>
      <c r="DW134">
        <v>1</v>
      </c>
      <c r="DX134" t="s">
        <v>594</v>
      </c>
      <c r="DY134" t="s">
        <v>3724</v>
      </c>
      <c r="DZ134">
        <v>0</v>
      </c>
      <c r="EA134">
        <v>0</v>
      </c>
      <c r="EB134">
        <v>0</v>
      </c>
      <c r="EC134">
        <v>0</v>
      </c>
      <c r="ED134">
        <v>0</v>
      </c>
      <c r="EE134">
        <v>0</v>
      </c>
      <c r="EF134" t="s">
        <v>920</v>
      </c>
      <c r="EG134" t="s">
        <v>595</v>
      </c>
      <c r="EH134" t="s">
        <v>1695</v>
      </c>
      <c r="EI134" t="s">
        <v>1695</v>
      </c>
      <c r="EJ134" t="s">
        <v>178</v>
      </c>
      <c r="EK134">
        <v>9090</v>
      </c>
      <c r="EL134">
        <v>0</v>
      </c>
      <c r="EM134" t="s">
        <v>922</v>
      </c>
      <c r="EN134">
        <v>0.51670000000000005</v>
      </c>
      <c r="EO134">
        <v>2.0666666999999999</v>
      </c>
      <c r="EP134">
        <v>99991120</v>
      </c>
      <c r="EQ134" t="s">
        <v>874</v>
      </c>
      <c r="ER134" t="s">
        <v>875</v>
      </c>
      <c r="ES134" t="s">
        <v>876</v>
      </c>
      <c r="ET134" t="s">
        <v>877</v>
      </c>
      <c r="EU134" t="s">
        <v>877</v>
      </c>
      <c r="EV134" t="s">
        <v>920</v>
      </c>
      <c r="EX134" t="s">
        <v>900</v>
      </c>
      <c r="EY134" t="s">
        <v>923</v>
      </c>
      <c r="EZ134" t="s">
        <v>924</v>
      </c>
      <c r="FA134" t="s">
        <v>925</v>
      </c>
      <c r="FB134">
        <v>1</v>
      </c>
      <c r="FC134">
        <v>1</v>
      </c>
      <c r="FD134" s="41">
        <v>46207</v>
      </c>
      <c r="FE134" t="s">
        <v>1066</v>
      </c>
      <c r="FF134">
        <v>11</v>
      </c>
      <c r="FG134" t="s">
        <v>3734</v>
      </c>
      <c r="FH134" t="s">
        <v>3735</v>
      </c>
      <c r="FI134">
        <v>1</v>
      </c>
      <c r="FJ134" t="s">
        <v>3736</v>
      </c>
      <c r="FK134" t="s">
        <v>3735</v>
      </c>
      <c r="FL134">
        <v>1</v>
      </c>
      <c r="FM134" t="s">
        <v>3737</v>
      </c>
      <c r="FN134" t="s">
        <v>3738</v>
      </c>
      <c r="FO134">
        <v>1</v>
      </c>
      <c r="FP134" t="s">
        <v>3739</v>
      </c>
      <c r="FQ134" t="s">
        <v>3732</v>
      </c>
      <c r="FR134">
        <v>1</v>
      </c>
      <c r="FS134" t="s">
        <v>3740</v>
      </c>
      <c r="FT134" t="s">
        <v>3741</v>
      </c>
      <c r="FU134">
        <v>1</v>
      </c>
      <c r="FV134" t="s">
        <v>3742</v>
      </c>
      <c r="FW134" t="s">
        <v>3743</v>
      </c>
      <c r="FX134">
        <v>1</v>
      </c>
      <c r="FY134" t="s">
        <v>890</v>
      </c>
      <c r="FZ134" t="s">
        <v>3744</v>
      </c>
      <c r="GA134" t="s">
        <v>3736</v>
      </c>
      <c r="GB134">
        <v>1</v>
      </c>
      <c r="GD134">
        <v>0</v>
      </c>
      <c r="GF134">
        <v>0</v>
      </c>
      <c r="GG134">
        <v>1</v>
      </c>
      <c r="GH134" t="s">
        <v>892</v>
      </c>
      <c r="GI134" t="s">
        <v>893</v>
      </c>
      <c r="GJ134" t="s">
        <v>3735</v>
      </c>
      <c r="GM134">
        <v>1</v>
      </c>
      <c r="GN134">
        <v>1</v>
      </c>
      <c r="GO134">
        <v>0</v>
      </c>
      <c r="GP134">
        <v>1</v>
      </c>
      <c r="GQ134">
        <v>1</v>
      </c>
      <c r="GR134">
        <v>0</v>
      </c>
      <c r="GS134">
        <v>1</v>
      </c>
      <c r="GT134">
        <v>0</v>
      </c>
      <c r="GU134">
        <v>1</v>
      </c>
      <c r="GV134">
        <v>0</v>
      </c>
      <c r="GW134">
        <v>1</v>
      </c>
      <c r="GX134">
        <v>0</v>
      </c>
      <c r="GY134">
        <v>1</v>
      </c>
      <c r="GZ134">
        <v>0</v>
      </c>
      <c r="HA134" t="s">
        <v>291</v>
      </c>
      <c r="HB134" t="s">
        <v>894</v>
      </c>
      <c r="HC134" t="s">
        <v>935</v>
      </c>
      <c r="HD134" t="s">
        <v>845</v>
      </c>
      <c r="HE134" t="s">
        <v>900</v>
      </c>
      <c r="HF134" t="s">
        <v>923</v>
      </c>
      <c r="HG134" t="s">
        <v>894</v>
      </c>
      <c r="HH134" t="s">
        <v>935</v>
      </c>
      <c r="HI134" t="s">
        <v>845</v>
      </c>
      <c r="HJ134" t="s">
        <v>900</v>
      </c>
      <c r="HK134" t="s">
        <v>922</v>
      </c>
      <c r="HL134" t="s">
        <v>904</v>
      </c>
      <c r="HM134" t="s">
        <v>854</v>
      </c>
      <c r="HN134">
        <v>36805</v>
      </c>
      <c r="HP134" t="s">
        <v>178</v>
      </c>
      <c r="HQ134" t="s">
        <v>896</v>
      </c>
      <c r="HR134" t="s">
        <v>896</v>
      </c>
      <c r="HS134" t="s">
        <v>896</v>
      </c>
    </row>
    <row r="135" spans="1:227" x14ac:dyDescent="0.2">
      <c r="A135">
        <v>8702</v>
      </c>
      <c r="B135">
        <v>7613900425</v>
      </c>
      <c r="C135">
        <v>36</v>
      </c>
      <c r="D135" t="s">
        <v>1302</v>
      </c>
      <c r="E135" t="s">
        <v>831</v>
      </c>
      <c r="F135">
        <v>1</v>
      </c>
      <c r="G135" t="s">
        <v>3745</v>
      </c>
      <c r="H135" t="s">
        <v>3745</v>
      </c>
      <c r="I135">
        <v>0</v>
      </c>
      <c r="J135" t="s">
        <v>833</v>
      </c>
      <c r="K135" t="s">
        <v>834</v>
      </c>
      <c r="L135">
        <v>156046213</v>
      </c>
      <c r="M135" t="s">
        <v>2984</v>
      </c>
      <c r="N135" t="s">
        <v>836</v>
      </c>
      <c r="O135" t="s">
        <v>837</v>
      </c>
      <c r="P135" t="s">
        <v>1302</v>
      </c>
      <c r="Q135" t="s">
        <v>1305</v>
      </c>
      <c r="R135" t="s">
        <v>3746</v>
      </c>
      <c r="S135" t="s">
        <v>3747</v>
      </c>
      <c r="T135">
        <v>41477066044</v>
      </c>
      <c r="V135" t="s">
        <v>187</v>
      </c>
      <c r="W135" s="41">
        <v>46162</v>
      </c>
      <c r="X135" t="s">
        <v>3748</v>
      </c>
      <c r="Y135" t="s">
        <v>3749</v>
      </c>
      <c r="AA135">
        <v>0</v>
      </c>
      <c r="AB135" t="s">
        <v>845</v>
      </c>
      <c r="AC135" t="s">
        <v>846</v>
      </c>
      <c r="AD135" t="s">
        <v>907</v>
      </c>
      <c r="AE135" t="s">
        <v>908</v>
      </c>
      <c r="AF135">
        <v>1</v>
      </c>
      <c r="AG135">
        <v>452210</v>
      </c>
      <c r="AH135" t="s">
        <v>849</v>
      </c>
      <c r="AI135" t="s">
        <v>850</v>
      </c>
      <c r="AJ135" t="s">
        <v>851</v>
      </c>
      <c r="AK135" t="s">
        <v>350</v>
      </c>
      <c r="AL135" t="s">
        <v>3750</v>
      </c>
      <c r="AM135" t="s">
        <v>2553</v>
      </c>
      <c r="AN135" t="s">
        <v>854</v>
      </c>
      <c r="AO135">
        <v>36805</v>
      </c>
      <c r="AP135">
        <v>634</v>
      </c>
      <c r="AQ135" t="s">
        <v>855</v>
      </c>
      <c r="AR135">
        <v>66471116</v>
      </c>
      <c r="AS135" t="s">
        <v>856</v>
      </c>
      <c r="AU135" t="s">
        <v>3751</v>
      </c>
      <c r="AV135" t="s">
        <v>3752</v>
      </c>
      <c r="AW135" t="s">
        <v>950</v>
      </c>
      <c r="AX135" t="s">
        <v>951</v>
      </c>
      <c r="AY135" t="s">
        <v>861</v>
      </c>
      <c r="AZ135" t="s">
        <v>350</v>
      </c>
      <c r="BA135" t="s">
        <v>351</v>
      </c>
      <c r="BB135">
        <v>0</v>
      </c>
      <c r="BC135">
        <v>0</v>
      </c>
      <c r="BD135">
        <v>0</v>
      </c>
      <c r="BE135" t="s">
        <v>2984</v>
      </c>
      <c r="BF135">
        <v>0</v>
      </c>
      <c r="BG135">
        <v>0</v>
      </c>
      <c r="BH135" t="s">
        <v>862</v>
      </c>
      <c r="BI135">
        <v>0</v>
      </c>
      <c r="BJ135" t="s">
        <v>862</v>
      </c>
      <c r="BK135">
        <v>1</v>
      </c>
      <c r="BL135">
        <v>0</v>
      </c>
      <c r="BM135">
        <v>0</v>
      </c>
      <c r="BN135" t="s">
        <v>596</v>
      </c>
      <c r="BO135">
        <v>156046213</v>
      </c>
      <c r="BP135" t="s">
        <v>3745</v>
      </c>
      <c r="BR135">
        <v>42791756</v>
      </c>
      <c r="BT135">
        <v>2</v>
      </c>
      <c r="BU135" t="s">
        <v>1803</v>
      </c>
      <c r="BY135">
        <v>16</v>
      </c>
      <c r="CA135">
        <v>9</v>
      </c>
      <c r="CE135">
        <v>1</v>
      </c>
      <c r="CI135">
        <v>11</v>
      </c>
      <c r="CJ135" t="s">
        <v>94</v>
      </c>
      <c r="CM135">
        <v>4010</v>
      </c>
      <c r="CO135">
        <v>7360</v>
      </c>
      <c r="CP135">
        <v>0.8</v>
      </c>
      <c r="CQ135">
        <v>0.8</v>
      </c>
      <c r="CR135">
        <v>0.66669999999999996</v>
      </c>
      <c r="CS135">
        <v>3</v>
      </c>
      <c r="CT135" t="s">
        <v>3752</v>
      </c>
      <c r="CU135" t="s">
        <v>3751</v>
      </c>
      <c r="CV135" t="s">
        <v>833</v>
      </c>
      <c r="CW135" t="s">
        <v>834</v>
      </c>
      <c r="CX135" t="s">
        <v>2984</v>
      </c>
      <c r="CY135">
        <v>0</v>
      </c>
      <c r="CZ135">
        <v>0</v>
      </c>
      <c r="DA135" t="s">
        <v>833</v>
      </c>
      <c r="DB135" t="s">
        <v>865</v>
      </c>
      <c r="DC135">
        <v>60435</v>
      </c>
      <c r="DD135">
        <v>8.75</v>
      </c>
      <c r="DE135" t="s">
        <v>866</v>
      </c>
      <c r="DG135" t="s">
        <v>867</v>
      </c>
      <c r="DH135" t="s">
        <v>851</v>
      </c>
      <c r="DI135" t="s">
        <v>984</v>
      </c>
      <c r="DK135" t="s">
        <v>918</v>
      </c>
      <c r="DL135" t="s">
        <v>869</v>
      </c>
      <c r="DM135">
        <v>0</v>
      </c>
      <c r="DN135">
        <v>0</v>
      </c>
      <c r="DO135">
        <v>12</v>
      </c>
      <c r="DP135" t="s">
        <v>1190</v>
      </c>
      <c r="DQ135">
        <v>16</v>
      </c>
      <c r="DR135">
        <v>525</v>
      </c>
      <c r="DS135">
        <v>1245</v>
      </c>
      <c r="DT135">
        <v>7.95</v>
      </c>
      <c r="DU135">
        <v>4</v>
      </c>
      <c r="DV135">
        <v>1</v>
      </c>
      <c r="DW135">
        <v>2</v>
      </c>
      <c r="DX135" t="s">
        <v>594</v>
      </c>
      <c r="DY135" t="s">
        <v>2984</v>
      </c>
      <c r="DZ135">
        <v>0</v>
      </c>
      <c r="EA135">
        <v>0</v>
      </c>
      <c r="EB135">
        <v>0</v>
      </c>
      <c r="EC135">
        <v>0</v>
      </c>
      <c r="ED135">
        <v>0</v>
      </c>
      <c r="EE135">
        <v>0</v>
      </c>
      <c r="EF135" t="s">
        <v>871</v>
      </c>
      <c r="EG135" t="s">
        <v>595</v>
      </c>
      <c r="EH135" t="s">
        <v>872</v>
      </c>
      <c r="EI135" t="s">
        <v>872</v>
      </c>
      <c r="EJ135" t="s">
        <v>181</v>
      </c>
      <c r="EK135">
        <v>9090</v>
      </c>
      <c r="EL135">
        <v>0</v>
      </c>
      <c r="EM135" t="s">
        <v>1436</v>
      </c>
      <c r="EN135">
        <v>1.6833</v>
      </c>
      <c r="EO135">
        <v>20.75</v>
      </c>
      <c r="EP135">
        <v>99991120</v>
      </c>
      <c r="EQ135" t="s">
        <v>874</v>
      </c>
      <c r="ER135" t="s">
        <v>875</v>
      </c>
      <c r="ES135" t="s">
        <v>876</v>
      </c>
      <c r="ET135" t="s">
        <v>877</v>
      </c>
      <c r="EU135" t="s">
        <v>877</v>
      </c>
      <c r="EV135" t="s">
        <v>871</v>
      </c>
      <c r="EX135" t="s">
        <v>836</v>
      </c>
      <c r="EY135" t="s">
        <v>873</v>
      </c>
      <c r="EZ135" t="s">
        <v>1437</v>
      </c>
      <c r="FA135" t="s">
        <v>956</v>
      </c>
      <c r="FB135">
        <v>1</v>
      </c>
      <c r="FC135">
        <v>1</v>
      </c>
      <c r="FD135" s="41">
        <v>46165</v>
      </c>
      <c r="FE135" t="s">
        <v>1808</v>
      </c>
      <c r="FF135">
        <v>10</v>
      </c>
      <c r="FG135" t="s">
        <v>3753</v>
      </c>
      <c r="FH135" t="s">
        <v>3754</v>
      </c>
      <c r="FI135">
        <v>1</v>
      </c>
      <c r="FJ135" t="s">
        <v>3753</v>
      </c>
      <c r="FK135" t="s">
        <v>3754</v>
      </c>
      <c r="FL135">
        <v>1</v>
      </c>
      <c r="FM135" t="s">
        <v>2997</v>
      </c>
      <c r="FN135" t="s">
        <v>3755</v>
      </c>
      <c r="FO135">
        <v>1</v>
      </c>
      <c r="FP135" t="s">
        <v>3756</v>
      </c>
      <c r="FQ135" t="s">
        <v>3757</v>
      </c>
      <c r="FR135">
        <v>1</v>
      </c>
      <c r="FS135" t="s">
        <v>1527</v>
      </c>
      <c r="FT135" t="s">
        <v>3758</v>
      </c>
      <c r="FU135">
        <v>1</v>
      </c>
      <c r="FV135" t="s">
        <v>3001</v>
      </c>
      <c r="FW135" t="s">
        <v>3759</v>
      </c>
      <c r="FX135">
        <v>1</v>
      </c>
      <c r="FY135" t="s">
        <v>890</v>
      </c>
      <c r="FZ135" t="s">
        <v>3760</v>
      </c>
      <c r="GA135" t="s">
        <v>3753</v>
      </c>
      <c r="GB135">
        <v>1</v>
      </c>
      <c r="GD135">
        <v>0</v>
      </c>
      <c r="GF135">
        <v>0</v>
      </c>
      <c r="GG135">
        <v>1</v>
      </c>
      <c r="GH135" t="s">
        <v>892</v>
      </c>
      <c r="GI135" t="s">
        <v>893</v>
      </c>
      <c r="GJ135" t="s">
        <v>3754</v>
      </c>
      <c r="GM135">
        <v>1</v>
      </c>
      <c r="GN135">
        <v>1</v>
      </c>
      <c r="GO135">
        <v>0</v>
      </c>
      <c r="GP135">
        <v>1</v>
      </c>
      <c r="GQ135">
        <v>1</v>
      </c>
      <c r="GR135">
        <v>0</v>
      </c>
      <c r="GS135">
        <v>1</v>
      </c>
      <c r="GT135">
        <v>0</v>
      </c>
      <c r="GU135">
        <v>1</v>
      </c>
      <c r="GV135">
        <v>0</v>
      </c>
      <c r="GW135">
        <v>1</v>
      </c>
      <c r="GX135">
        <v>0</v>
      </c>
      <c r="GY135">
        <v>1</v>
      </c>
      <c r="GZ135">
        <v>0</v>
      </c>
      <c r="HA135" t="s">
        <v>350</v>
      </c>
      <c r="HB135" t="s">
        <v>894</v>
      </c>
      <c r="HC135" t="s">
        <v>895</v>
      </c>
      <c r="HD135" t="s">
        <v>845</v>
      </c>
      <c r="HE135" t="s">
        <v>836</v>
      </c>
      <c r="HF135" t="s">
        <v>873</v>
      </c>
      <c r="HG135" t="s">
        <v>894</v>
      </c>
      <c r="HH135" t="s">
        <v>895</v>
      </c>
      <c r="HI135" t="s">
        <v>845</v>
      </c>
      <c r="HJ135" t="s">
        <v>836</v>
      </c>
      <c r="HK135" t="s">
        <v>1436</v>
      </c>
      <c r="HL135" t="s">
        <v>187</v>
      </c>
      <c r="HM135" t="s">
        <v>854</v>
      </c>
      <c r="HN135">
        <v>36805</v>
      </c>
      <c r="HP135" t="s">
        <v>181</v>
      </c>
      <c r="HQ135" t="s">
        <v>896</v>
      </c>
      <c r="HR135" t="s">
        <v>896</v>
      </c>
      <c r="HS135" t="s">
        <v>896</v>
      </c>
    </row>
    <row r="136" spans="1:227" x14ac:dyDescent="0.2">
      <c r="A136">
        <v>8702</v>
      </c>
      <c r="B136">
        <v>7527701221</v>
      </c>
      <c r="C136" t="s">
        <v>936</v>
      </c>
      <c r="D136" t="s">
        <v>937</v>
      </c>
      <c r="E136" t="s">
        <v>831</v>
      </c>
      <c r="F136">
        <v>0</v>
      </c>
      <c r="G136" t="s">
        <v>3761</v>
      </c>
      <c r="H136" t="s">
        <v>3761</v>
      </c>
      <c r="I136">
        <v>0</v>
      </c>
      <c r="J136" t="s">
        <v>833</v>
      </c>
      <c r="K136" t="s">
        <v>834</v>
      </c>
      <c r="L136">
        <v>153406509</v>
      </c>
      <c r="M136" t="s">
        <v>3762</v>
      </c>
      <c r="N136" t="s">
        <v>836</v>
      </c>
      <c r="O136" t="s">
        <v>837</v>
      </c>
      <c r="P136" t="s">
        <v>940</v>
      </c>
      <c r="Q136" t="s">
        <v>1080</v>
      </c>
      <c r="R136" t="s">
        <v>3763</v>
      </c>
      <c r="S136" t="s">
        <v>3764</v>
      </c>
      <c r="T136">
        <v>41477086390</v>
      </c>
      <c r="V136" t="s">
        <v>117</v>
      </c>
      <c r="W136" s="41">
        <v>45936</v>
      </c>
      <c r="X136" t="s">
        <v>3765</v>
      </c>
      <c r="Y136" t="s">
        <v>3766</v>
      </c>
      <c r="AA136">
        <v>0</v>
      </c>
      <c r="AB136" t="s">
        <v>845</v>
      </c>
      <c r="AC136" t="s">
        <v>846</v>
      </c>
      <c r="AD136" t="s">
        <v>847</v>
      </c>
      <c r="AE136" t="s">
        <v>848</v>
      </c>
      <c r="AF136">
        <v>1</v>
      </c>
      <c r="AG136">
        <v>452210</v>
      </c>
      <c r="AH136" t="s">
        <v>849</v>
      </c>
      <c r="AI136" t="s">
        <v>850</v>
      </c>
      <c r="AJ136" t="s">
        <v>851</v>
      </c>
      <c r="AK136" t="s">
        <v>301</v>
      </c>
      <c r="AL136" t="s">
        <v>1086</v>
      </c>
      <c r="AM136" t="s">
        <v>1364</v>
      </c>
      <c r="AN136" t="s">
        <v>854</v>
      </c>
      <c r="AO136">
        <v>36805</v>
      </c>
      <c r="AP136">
        <v>493</v>
      </c>
      <c r="AQ136" t="s">
        <v>855</v>
      </c>
      <c r="AR136">
        <v>66146146</v>
      </c>
      <c r="AS136" t="s">
        <v>856</v>
      </c>
      <c r="AU136" t="s">
        <v>3767</v>
      </c>
      <c r="AV136" t="s">
        <v>3768</v>
      </c>
      <c r="AX136" t="s">
        <v>913</v>
      </c>
      <c r="AY136" t="s">
        <v>861</v>
      </c>
      <c r="AZ136" t="s">
        <v>301</v>
      </c>
      <c r="BA136" t="s">
        <v>302</v>
      </c>
      <c r="BB136">
        <v>0</v>
      </c>
      <c r="BC136">
        <v>1</v>
      </c>
      <c r="BD136">
        <v>0</v>
      </c>
      <c r="BE136" t="s">
        <v>3762</v>
      </c>
      <c r="BF136">
        <v>0</v>
      </c>
      <c r="BG136">
        <v>0</v>
      </c>
      <c r="BH136" t="s">
        <v>862</v>
      </c>
      <c r="BI136">
        <v>0</v>
      </c>
      <c r="BJ136" t="s">
        <v>862</v>
      </c>
      <c r="BK136">
        <v>1</v>
      </c>
      <c r="BL136">
        <v>1</v>
      </c>
      <c r="BM136">
        <v>0</v>
      </c>
      <c r="BN136" t="s">
        <v>596</v>
      </c>
      <c r="BO136">
        <v>153406509</v>
      </c>
      <c r="BP136" t="s">
        <v>3761</v>
      </c>
      <c r="BR136">
        <v>42789054</v>
      </c>
      <c r="BT136">
        <v>0</v>
      </c>
      <c r="CM136">
        <v>4010</v>
      </c>
      <c r="CO136">
        <v>7360</v>
      </c>
      <c r="CP136">
        <v>0.61670000000000003</v>
      </c>
      <c r="CQ136">
        <v>0.61670000000000003</v>
      </c>
      <c r="CR136">
        <v>0.76670000000000005</v>
      </c>
      <c r="CS136">
        <v>0</v>
      </c>
      <c r="CT136" t="s">
        <v>3768</v>
      </c>
      <c r="CU136" t="s">
        <v>3767</v>
      </c>
      <c r="CV136" t="s">
        <v>833</v>
      </c>
      <c r="CW136" t="s">
        <v>834</v>
      </c>
      <c r="CX136" t="s">
        <v>3762</v>
      </c>
      <c r="CY136">
        <v>1</v>
      </c>
      <c r="CZ136">
        <v>1</v>
      </c>
      <c r="DA136" t="s">
        <v>833</v>
      </c>
      <c r="DB136" t="s">
        <v>865</v>
      </c>
      <c r="DC136">
        <v>63368</v>
      </c>
      <c r="DD136">
        <v>28.883299999999998</v>
      </c>
      <c r="DE136" t="s">
        <v>866</v>
      </c>
      <c r="DG136" t="s">
        <v>867</v>
      </c>
      <c r="DH136" t="s">
        <v>851</v>
      </c>
      <c r="DL136" t="s">
        <v>869</v>
      </c>
      <c r="DM136">
        <v>0</v>
      </c>
      <c r="DN136">
        <v>0</v>
      </c>
      <c r="DO136">
        <v>11</v>
      </c>
      <c r="DP136" t="s">
        <v>1010</v>
      </c>
      <c r="DQ136">
        <v>16</v>
      </c>
      <c r="DR136">
        <v>1733</v>
      </c>
      <c r="DS136">
        <v>3179</v>
      </c>
      <c r="DT136">
        <v>16.883299999999998</v>
      </c>
      <c r="DU136">
        <v>4</v>
      </c>
      <c r="DW136">
        <v>2</v>
      </c>
      <c r="DX136" t="s">
        <v>596</v>
      </c>
      <c r="DY136" t="s">
        <v>3762</v>
      </c>
      <c r="DZ136">
        <v>0</v>
      </c>
      <c r="EA136">
        <v>0</v>
      </c>
      <c r="EB136">
        <v>1</v>
      </c>
      <c r="EC136">
        <v>0</v>
      </c>
      <c r="ED136">
        <v>0</v>
      </c>
      <c r="EE136">
        <v>1</v>
      </c>
      <c r="EF136" t="s">
        <v>920</v>
      </c>
      <c r="EG136" t="s">
        <v>595</v>
      </c>
      <c r="EH136" t="s">
        <v>921</v>
      </c>
      <c r="EI136" t="s">
        <v>921</v>
      </c>
      <c r="EJ136" t="s">
        <v>111</v>
      </c>
      <c r="EK136">
        <v>9090</v>
      </c>
      <c r="EL136">
        <v>1</v>
      </c>
      <c r="EM136" t="s">
        <v>1037</v>
      </c>
      <c r="EN136">
        <v>0.76670000000000005</v>
      </c>
      <c r="EO136">
        <v>52.983333299999998</v>
      </c>
      <c r="EP136">
        <v>99991120</v>
      </c>
      <c r="EQ136" t="s">
        <v>874</v>
      </c>
      <c r="ER136" t="s">
        <v>875</v>
      </c>
      <c r="ES136" t="s">
        <v>876</v>
      </c>
      <c r="ET136" t="s">
        <v>877</v>
      </c>
      <c r="EU136" t="s">
        <v>877</v>
      </c>
      <c r="EV136" t="s">
        <v>920</v>
      </c>
      <c r="EX136" t="s">
        <v>900</v>
      </c>
      <c r="EY136" t="s">
        <v>923</v>
      </c>
      <c r="EZ136" t="s">
        <v>1038</v>
      </c>
      <c r="FA136" t="s">
        <v>925</v>
      </c>
      <c r="FB136">
        <v>1</v>
      </c>
      <c r="FC136">
        <v>2</v>
      </c>
      <c r="FD136" s="41">
        <v>45941</v>
      </c>
      <c r="FE136" t="s">
        <v>1039</v>
      </c>
      <c r="FF136">
        <v>13</v>
      </c>
      <c r="FG136" t="s">
        <v>3769</v>
      </c>
      <c r="FH136" t="s">
        <v>3770</v>
      </c>
      <c r="FI136">
        <v>1</v>
      </c>
      <c r="FJ136" t="s">
        <v>3771</v>
      </c>
      <c r="FK136" t="s">
        <v>3770</v>
      </c>
      <c r="FL136">
        <v>1</v>
      </c>
      <c r="FM136" t="s">
        <v>3772</v>
      </c>
      <c r="FN136" t="s">
        <v>3773</v>
      </c>
      <c r="FO136">
        <v>1</v>
      </c>
      <c r="FP136" t="s">
        <v>3774</v>
      </c>
      <c r="FQ136" t="s">
        <v>3767</v>
      </c>
      <c r="FR136">
        <v>1</v>
      </c>
      <c r="FS136" t="s">
        <v>2453</v>
      </c>
      <c r="FT136" t="s">
        <v>3775</v>
      </c>
      <c r="FU136">
        <v>1</v>
      </c>
      <c r="FV136" t="s">
        <v>3278</v>
      </c>
      <c r="FW136" t="s">
        <v>3776</v>
      </c>
      <c r="FX136">
        <v>1</v>
      </c>
      <c r="FY136" t="s">
        <v>890</v>
      </c>
      <c r="FZ136" t="s">
        <v>3777</v>
      </c>
      <c r="GA136" t="s">
        <v>3771</v>
      </c>
      <c r="GB136">
        <v>1</v>
      </c>
      <c r="GD136">
        <v>0</v>
      </c>
      <c r="GF136">
        <v>0</v>
      </c>
      <c r="GG136">
        <v>1</v>
      </c>
      <c r="GH136" t="s">
        <v>892</v>
      </c>
      <c r="GI136" t="s">
        <v>893</v>
      </c>
      <c r="GJ136" t="s">
        <v>3770</v>
      </c>
      <c r="GM136">
        <v>1</v>
      </c>
      <c r="GN136">
        <v>0</v>
      </c>
      <c r="GO136">
        <v>0</v>
      </c>
      <c r="GP136">
        <v>1</v>
      </c>
      <c r="GQ136">
        <v>1</v>
      </c>
      <c r="GR136">
        <v>0</v>
      </c>
      <c r="GS136">
        <v>1</v>
      </c>
      <c r="GT136">
        <v>0</v>
      </c>
      <c r="GU136">
        <v>1</v>
      </c>
      <c r="GV136">
        <v>0</v>
      </c>
      <c r="GW136">
        <v>1</v>
      </c>
      <c r="GX136">
        <v>0</v>
      </c>
      <c r="GY136">
        <v>1</v>
      </c>
      <c r="GZ136">
        <v>0</v>
      </c>
      <c r="HA136" t="s">
        <v>301</v>
      </c>
      <c r="HB136" t="s">
        <v>894</v>
      </c>
      <c r="HC136" t="s">
        <v>895</v>
      </c>
      <c r="HD136" t="s">
        <v>845</v>
      </c>
      <c r="HE136" t="s">
        <v>836</v>
      </c>
      <c r="HF136" t="s">
        <v>1051</v>
      </c>
      <c r="HG136" t="s">
        <v>894</v>
      </c>
      <c r="HH136" t="s">
        <v>895</v>
      </c>
      <c r="HI136" t="s">
        <v>845</v>
      </c>
      <c r="HJ136" t="s">
        <v>836</v>
      </c>
      <c r="HK136" t="s">
        <v>1037</v>
      </c>
      <c r="HL136" t="s">
        <v>117</v>
      </c>
      <c r="HM136" t="s">
        <v>854</v>
      </c>
      <c r="HN136">
        <v>36805</v>
      </c>
      <c r="HP136" t="s">
        <v>111</v>
      </c>
      <c r="HQ136" t="s">
        <v>896</v>
      </c>
      <c r="HR136" t="s">
        <v>896</v>
      </c>
      <c r="HS136" t="s">
        <v>896</v>
      </c>
    </row>
    <row r="137" spans="1:227" x14ac:dyDescent="0.2">
      <c r="A137">
        <v>8702</v>
      </c>
      <c r="B137">
        <v>7602301381</v>
      </c>
      <c r="C137" t="s">
        <v>829</v>
      </c>
      <c r="D137" t="s">
        <v>830</v>
      </c>
      <c r="E137" t="s">
        <v>831</v>
      </c>
      <c r="F137">
        <v>1</v>
      </c>
      <c r="G137" t="s">
        <v>3778</v>
      </c>
      <c r="H137" t="s">
        <v>3778</v>
      </c>
      <c r="I137">
        <v>0</v>
      </c>
      <c r="J137" t="s">
        <v>833</v>
      </c>
      <c r="K137" t="s">
        <v>834</v>
      </c>
      <c r="L137">
        <v>153406451</v>
      </c>
      <c r="M137" t="s">
        <v>1818</v>
      </c>
      <c r="N137" t="s">
        <v>836</v>
      </c>
      <c r="O137" t="s">
        <v>837</v>
      </c>
      <c r="P137" t="s">
        <v>838</v>
      </c>
      <c r="Q137" t="s">
        <v>839</v>
      </c>
      <c r="R137" t="s">
        <v>3779</v>
      </c>
      <c r="S137" t="s">
        <v>3780</v>
      </c>
      <c r="T137">
        <v>41477088992</v>
      </c>
      <c r="V137" t="s">
        <v>1254</v>
      </c>
      <c r="W137" s="41">
        <v>46046</v>
      </c>
      <c r="X137" t="s">
        <v>3781</v>
      </c>
      <c r="Y137" t="s">
        <v>3782</v>
      </c>
      <c r="Z137">
        <v>1</v>
      </c>
      <c r="AA137">
        <v>0</v>
      </c>
      <c r="AB137" t="s">
        <v>845</v>
      </c>
      <c r="AC137" t="s">
        <v>846</v>
      </c>
      <c r="AD137" t="s">
        <v>847</v>
      </c>
      <c r="AE137" t="s">
        <v>848</v>
      </c>
      <c r="AF137">
        <v>1</v>
      </c>
      <c r="AG137">
        <v>452210</v>
      </c>
      <c r="AH137" t="s">
        <v>849</v>
      </c>
      <c r="AI137" t="s">
        <v>850</v>
      </c>
      <c r="AJ137" t="s">
        <v>851</v>
      </c>
      <c r="AK137" t="s">
        <v>303</v>
      </c>
      <c r="AL137" t="s">
        <v>1115</v>
      </c>
      <c r="AM137" t="s">
        <v>1258</v>
      </c>
      <c r="AN137" t="s">
        <v>854</v>
      </c>
      <c r="AO137">
        <v>36805</v>
      </c>
      <c r="AP137">
        <v>546</v>
      </c>
      <c r="AQ137" t="s">
        <v>855</v>
      </c>
      <c r="AR137">
        <v>66304319</v>
      </c>
      <c r="AS137" t="s">
        <v>856</v>
      </c>
      <c r="AU137" t="s">
        <v>3783</v>
      </c>
      <c r="AV137" t="s">
        <v>3784</v>
      </c>
      <c r="AX137" t="s">
        <v>913</v>
      </c>
      <c r="AY137" t="s">
        <v>861</v>
      </c>
      <c r="AZ137" t="s">
        <v>303</v>
      </c>
      <c r="BA137" t="s">
        <v>304</v>
      </c>
      <c r="BB137">
        <v>1</v>
      </c>
      <c r="BC137">
        <v>0</v>
      </c>
      <c r="BD137">
        <v>0</v>
      </c>
      <c r="BE137" t="s">
        <v>1818</v>
      </c>
      <c r="BF137">
        <v>0</v>
      </c>
      <c r="BG137">
        <v>0</v>
      </c>
      <c r="BH137" t="s">
        <v>862</v>
      </c>
      <c r="BI137">
        <v>0</v>
      </c>
      <c r="BJ137" t="s">
        <v>862</v>
      </c>
      <c r="BK137">
        <v>1</v>
      </c>
      <c r="BL137">
        <v>1</v>
      </c>
      <c r="BM137">
        <v>0</v>
      </c>
      <c r="BN137" t="s">
        <v>596</v>
      </c>
      <c r="BO137">
        <v>153406451</v>
      </c>
      <c r="BP137" t="s">
        <v>3778</v>
      </c>
      <c r="BR137">
        <v>42791462</v>
      </c>
      <c r="BT137">
        <v>2</v>
      </c>
      <c r="BU137" t="s">
        <v>1367</v>
      </c>
      <c r="CE137">
        <v>1</v>
      </c>
      <c r="CI137">
        <v>11</v>
      </c>
      <c r="CJ137" t="s">
        <v>94</v>
      </c>
      <c r="CM137">
        <v>4010</v>
      </c>
      <c r="CO137">
        <v>7360</v>
      </c>
      <c r="CP137">
        <v>2.2332999999999998</v>
      </c>
      <c r="CQ137">
        <v>2.2332999999999998</v>
      </c>
      <c r="CR137">
        <v>4.5167000000000002</v>
      </c>
      <c r="CS137">
        <v>0</v>
      </c>
      <c r="CT137" t="s">
        <v>3785</v>
      </c>
      <c r="CU137" t="s">
        <v>3786</v>
      </c>
      <c r="CV137" t="s">
        <v>833</v>
      </c>
      <c r="CW137" t="s">
        <v>834</v>
      </c>
      <c r="CX137" t="s">
        <v>1818</v>
      </c>
      <c r="CY137">
        <v>1</v>
      </c>
      <c r="CZ137">
        <v>1</v>
      </c>
      <c r="DA137" t="s">
        <v>833</v>
      </c>
      <c r="DB137" t="s">
        <v>865</v>
      </c>
      <c r="DC137">
        <v>55447</v>
      </c>
      <c r="DD137">
        <v>13.3833</v>
      </c>
      <c r="DE137" t="s">
        <v>866</v>
      </c>
      <c r="DG137" t="s">
        <v>867</v>
      </c>
      <c r="DH137" t="s">
        <v>851</v>
      </c>
      <c r="DK137" t="s">
        <v>918</v>
      </c>
      <c r="DL137" t="s">
        <v>869</v>
      </c>
      <c r="DM137">
        <v>0</v>
      </c>
      <c r="DN137">
        <v>0</v>
      </c>
      <c r="DO137">
        <v>2</v>
      </c>
      <c r="DP137" t="s">
        <v>870</v>
      </c>
      <c r="DQ137">
        <v>16</v>
      </c>
      <c r="DR137">
        <v>803</v>
      </c>
      <c r="DS137">
        <v>1523</v>
      </c>
      <c r="DT137">
        <v>4</v>
      </c>
      <c r="DU137">
        <v>4</v>
      </c>
      <c r="DV137">
        <v>1</v>
      </c>
      <c r="DW137">
        <v>2</v>
      </c>
      <c r="DX137" t="s">
        <v>596</v>
      </c>
      <c r="DY137" t="s">
        <v>1818</v>
      </c>
      <c r="DZ137">
        <v>1</v>
      </c>
      <c r="EA137">
        <v>1</v>
      </c>
      <c r="EB137">
        <v>1</v>
      </c>
      <c r="EC137">
        <v>1</v>
      </c>
      <c r="ED137">
        <v>1</v>
      </c>
      <c r="EE137">
        <v>1</v>
      </c>
      <c r="EF137" t="s">
        <v>871</v>
      </c>
      <c r="EG137" t="s">
        <v>595</v>
      </c>
      <c r="EH137" t="s">
        <v>921</v>
      </c>
      <c r="EI137" t="s">
        <v>921</v>
      </c>
      <c r="EJ137" t="s">
        <v>159</v>
      </c>
      <c r="EK137">
        <v>9090</v>
      </c>
      <c r="EL137">
        <v>1</v>
      </c>
      <c r="EM137" t="s">
        <v>873</v>
      </c>
      <c r="EN137">
        <v>4.5167000000000002</v>
      </c>
      <c r="EO137">
        <v>25.3833333</v>
      </c>
      <c r="EP137">
        <v>99991120</v>
      </c>
      <c r="EQ137" t="s">
        <v>874</v>
      </c>
      <c r="ER137" t="s">
        <v>875</v>
      </c>
      <c r="ES137" t="s">
        <v>876</v>
      </c>
      <c r="ET137" t="s">
        <v>877</v>
      </c>
      <c r="EU137" t="s">
        <v>877</v>
      </c>
      <c r="EV137" t="s">
        <v>871</v>
      </c>
      <c r="EX137" t="s">
        <v>836</v>
      </c>
      <c r="EY137" t="s">
        <v>1121</v>
      </c>
      <c r="EZ137" t="s">
        <v>1122</v>
      </c>
      <c r="FA137" t="s">
        <v>956</v>
      </c>
      <c r="FB137">
        <v>1</v>
      </c>
      <c r="FC137">
        <v>2</v>
      </c>
      <c r="FD137" s="41">
        <v>46046</v>
      </c>
      <c r="FE137" t="s">
        <v>1370</v>
      </c>
      <c r="FF137">
        <v>8</v>
      </c>
      <c r="FG137" t="s">
        <v>3787</v>
      </c>
      <c r="FH137" t="s">
        <v>3788</v>
      </c>
      <c r="FI137">
        <v>1</v>
      </c>
      <c r="FJ137" t="s">
        <v>3789</v>
      </c>
      <c r="FK137" t="s">
        <v>3788</v>
      </c>
      <c r="FL137">
        <v>1</v>
      </c>
      <c r="FM137" t="s">
        <v>1830</v>
      </c>
      <c r="FN137" t="s">
        <v>3790</v>
      </c>
      <c r="FO137">
        <v>1</v>
      </c>
      <c r="FP137" t="s">
        <v>3791</v>
      </c>
      <c r="FQ137" t="s">
        <v>3786</v>
      </c>
      <c r="FR137">
        <v>1</v>
      </c>
      <c r="FS137" t="s">
        <v>1502</v>
      </c>
      <c r="FT137" t="s">
        <v>3792</v>
      </c>
      <c r="FU137">
        <v>1</v>
      </c>
      <c r="FV137" t="s">
        <v>3793</v>
      </c>
      <c r="FW137" t="s">
        <v>3794</v>
      </c>
      <c r="FX137">
        <v>1</v>
      </c>
      <c r="FY137" t="s">
        <v>890</v>
      </c>
      <c r="FZ137" t="s">
        <v>3795</v>
      </c>
      <c r="GA137" t="s">
        <v>3789</v>
      </c>
      <c r="GB137">
        <v>1</v>
      </c>
      <c r="GD137">
        <v>0</v>
      </c>
      <c r="GF137">
        <v>0</v>
      </c>
      <c r="GG137">
        <v>1</v>
      </c>
      <c r="GH137" t="s">
        <v>892</v>
      </c>
      <c r="GI137" t="s">
        <v>893</v>
      </c>
      <c r="GJ137" t="s">
        <v>3788</v>
      </c>
      <c r="GM137">
        <v>1</v>
      </c>
      <c r="GN137">
        <v>0</v>
      </c>
      <c r="GO137">
        <v>0</v>
      </c>
      <c r="GP137">
        <v>1</v>
      </c>
      <c r="GQ137">
        <v>1</v>
      </c>
      <c r="GR137">
        <v>0</v>
      </c>
      <c r="GS137">
        <v>1</v>
      </c>
      <c r="GT137">
        <v>0</v>
      </c>
      <c r="GU137">
        <v>1</v>
      </c>
      <c r="GV137">
        <v>0</v>
      </c>
      <c r="GW137">
        <v>1</v>
      </c>
      <c r="GX137">
        <v>0</v>
      </c>
      <c r="GY137">
        <v>1</v>
      </c>
      <c r="GZ137">
        <v>0</v>
      </c>
      <c r="HA137" t="s">
        <v>303</v>
      </c>
      <c r="HB137" t="s">
        <v>894</v>
      </c>
      <c r="HC137" t="s">
        <v>895</v>
      </c>
      <c r="HD137" t="s">
        <v>845</v>
      </c>
      <c r="HE137" t="s">
        <v>836</v>
      </c>
      <c r="HF137" t="s">
        <v>873</v>
      </c>
      <c r="HG137" t="s">
        <v>894</v>
      </c>
      <c r="HH137" t="s">
        <v>895</v>
      </c>
      <c r="HI137" t="s">
        <v>845</v>
      </c>
      <c r="HJ137" t="s">
        <v>836</v>
      </c>
      <c r="HK137" t="s">
        <v>873</v>
      </c>
      <c r="HL137" t="s">
        <v>1254</v>
      </c>
      <c r="HM137" t="s">
        <v>854</v>
      </c>
      <c r="HN137">
        <v>36805</v>
      </c>
      <c r="HP137" t="s">
        <v>159</v>
      </c>
      <c r="HQ137" t="s">
        <v>896</v>
      </c>
      <c r="HR137" t="s">
        <v>896</v>
      </c>
      <c r="HS137" t="s">
        <v>896</v>
      </c>
    </row>
    <row r="138" spans="1:227" x14ac:dyDescent="0.2">
      <c r="A138">
        <v>8702</v>
      </c>
      <c r="B138">
        <v>7602702930</v>
      </c>
      <c r="C138">
        <v>34</v>
      </c>
      <c r="D138" t="s">
        <v>996</v>
      </c>
      <c r="E138" t="s">
        <v>831</v>
      </c>
      <c r="F138">
        <v>0</v>
      </c>
      <c r="G138" t="s">
        <v>3796</v>
      </c>
      <c r="H138" t="s">
        <v>3796</v>
      </c>
      <c r="I138">
        <v>0</v>
      </c>
      <c r="J138" t="s">
        <v>833</v>
      </c>
      <c r="K138" t="s">
        <v>834</v>
      </c>
      <c r="L138">
        <v>153294174</v>
      </c>
      <c r="M138" t="s">
        <v>2959</v>
      </c>
      <c r="N138" t="s">
        <v>836</v>
      </c>
      <c r="O138" t="s">
        <v>837</v>
      </c>
      <c r="P138" t="s">
        <v>999</v>
      </c>
      <c r="Q138" t="s">
        <v>2459</v>
      </c>
      <c r="R138" t="s">
        <v>3797</v>
      </c>
      <c r="S138" t="s">
        <v>3798</v>
      </c>
      <c r="T138">
        <v>30300127006</v>
      </c>
      <c r="V138" t="s">
        <v>2962</v>
      </c>
      <c r="W138" s="41">
        <v>46051</v>
      </c>
      <c r="X138" t="s">
        <v>3799</v>
      </c>
      <c r="Y138" t="s">
        <v>3800</v>
      </c>
      <c r="Z138" t="s">
        <v>2965</v>
      </c>
      <c r="AA138">
        <v>0</v>
      </c>
      <c r="AB138" t="s">
        <v>845</v>
      </c>
      <c r="AC138" t="s">
        <v>846</v>
      </c>
      <c r="AD138" t="s">
        <v>847</v>
      </c>
      <c r="AE138" t="s">
        <v>848</v>
      </c>
      <c r="AF138">
        <v>1</v>
      </c>
      <c r="AG138">
        <v>452210</v>
      </c>
      <c r="AH138" t="s">
        <v>849</v>
      </c>
      <c r="AI138" t="s">
        <v>850</v>
      </c>
      <c r="AJ138" t="s">
        <v>851</v>
      </c>
      <c r="AK138" t="s">
        <v>255</v>
      </c>
      <c r="AL138" t="s">
        <v>2605</v>
      </c>
      <c r="AM138" t="s">
        <v>2966</v>
      </c>
      <c r="AN138" t="s">
        <v>854</v>
      </c>
      <c r="AO138">
        <v>36805</v>
      </c>
      <c r="AP138">
        <v>715</v>
      </c>
      <c r="AQ138" t="s">
        <v>855</v>
      </c>
      <c r="AR138">
        <v>66311391</v>
      </c>
      <c r="AS138" t="s">
        <v>856</v>
      </c>
      <c r="AU138" t="s">
        <v>3801</v>
      </c>
      <c r="AV138" t="s">
        <v>3802</v>
      </c>
      <c r="AX138" t="s">
        <v>913</v>
      </c>
      <c r="AY138" t="s">
        <v>861</v>
      </c>
      <c r="AZ138" t="s">
        <v>255</v>
      </c>
      <c r="BA138" t="s">
        <v>256</v>
      </c>
      <c r="BB138">
        <v>0</v>
      </c>
      <c r="BC138">
        <v>1</v>
      </c>
      <c r="BD138">
        <v>0</v>
      </c>
      <c r="BE138" t="s">
        <v>2959</v>
      </c>
      <c r="BF138">
        <v>0</v>
      </c>
      <c r="BG138">
        <v>0</v>
      </c>
      <c r="BH138" t="s">
        <v>862</v>
      </c>
      <c r="BI138">
        <v>0</v>
      </c>
      <c r="BJ138" t="s">
        <v>862</v>
      </c>
      <c r="BK138">
        <v>1</v>
      </c>
      <c r="BL138">
        <v>1</v>
      </c>
      <c r="BM138">
        <v>0</v>
      </c>
      <c r="BN138" t="s">
        <v>596</v>
      </c>
      <c r="BO138">
        <v>153294174</v>
      </c>
      <c r="BP138" t="s">
        <v>3796</v>
      </c>
      <c r="BR138">
        <v>42793503</v>
      </c>
      <c r="BT138">
        <v>1</v>
      </c>
      <c r="BU138" t="s">
        <v>1367</v>
      </c>
      <c r="CI138">
        <v>11</v>
      </c>
      <c r="CJ138" t="s">
        <v>94</v>
      </c>
      <c r="CM138">
        <v>4010</v>
      </c>
      <c r="CO138">
        <v>7360</v>
      </c>
      <c r="CP138">
        <v>1.67E-2</v>
      </c>
      <c r="CQ138">
        <v>1.67E-2</v>
      </c>
      <c r="CR138">
        <v>1.67E-2</v>
      </c>
      <c r="CS138">
        <v>1</v>
      </c>
      <c r="CT138" t="s">
        <v>3803</v>
      </c>
      <c r="CU138" t="s">
        <v>3804</v>
      </c>
      <c r="CV138" t="s">
        <v>833</v>
      </c>
      <c r="CW138" t="s">
        <v>834</v>
      </c>
      <c r="CX138" t="s">
        <v>2959</v>
      </c>
      <c r="CY138">
        <v>1</v>
      </c>
      <c r="CZ138">
        <v>1</v>
      </c>
      <c r="DA138" t="s">
        <v>833</v>
      </c>
      <c r="DB138" t="s">
        <v>865</v>
      </c>
      <c r="DC138">
        <v>54304</v>
      </c>
      <c r="DD138">
        <v>29.366700000000002</v>
      </c>
      <c r="DE138" t="s">
        <v>866</v>
      </c>
      <c r="DG138" t="s">
        <v>867</v>
      </c>
      <c r="DH138" t="s">
        <v>851</v>
      </c>
      <c r="DI138" t="s">
        <v>2971</v>
      </c>
      <c r="DK138" t="s">
        <v>918</v>
      </c>
      <c r="DL138" t="s">
        <v>869</v>
      </c>
      <c r="DM138">
        <v>0</v>
      </c>
      <c r="DN138">
        <v>0</v>
      </c>
      <c r="DO138">
        <v>11</v>
      </c>
      <c r="DP138" t="s">
        <v>1010</v>
      </c>
      <c r="DQ138">
        <v>16</v>
      </c>
      <c r="DR138">
        <v>1762</v>
      </c>
      <c r="DS138">
        <v>3202</v>
      </c>
      <c r="DT138">
        <v>29.35</v>
      </c>
      <c r="DU138">
        <v>4</v>
      </c>
      <c r="DV138">
        <v>1</v>
      </c>
      <c r="DW138">
        <v>2</v>
      </c>
      <c r="DX138" t="s">
        <v>596</v>
      </c>
      <c r="DY138" t="s">
        <v>2959</v>
      </c>
      <c r="DZ138">
        <v>0</v>
      </c>
      <c r="EA138">
        <v>0</v>
      </c>
      <c r="EB138">
        <v>1</v>
      </c>
      <c r="EC138">
        <v>0</v>
      </c>
      <c r="ED138">
        <v>0</v>
      </c>
      <c r="EE138">
        <v>1</v>
      </c>
      <c r="EF138" t="s">
        <v>871</v>
      </c>
      <c r="EG138" t="s">
        <v>595</v>
      </c>
      <c r="EH138" t="s">
        <v>921</v>
      </c>
      <c r="EI138" t="s">
        <v>921</v>
      </c>
      <c r="EJ138" t="s">
        <v>215</v>
      </c>
      <c r="EK138">
        <v>9090</v>
      </c>
      <c r="EL138">
        <v>0</v>
      </c>
      <c r="EM138" t="s">
        <v>1436</v>
      </c>
      <c r="EN138">
        <v>1.67E-2</v>
      </c>
      <c r="EO138">
        <v>53.366666600000002</v>
      </c>
      <c r="EP138">
        <v>99991120</v>
      </c>
      <c r="EQ138" t="s">
        <v>874</v>
      </c>
      <c r="ER138" t="s">
        <v>875</v>
      </c>
      <c r="ES138" t="s">
        <v>876</v>
      </c>
      <c r="ET138" t="s">
        <v>877</v>
      </c>
      <c r="EU138" t="s">
        <v>877</v>
      </c>
      <c r="EV138" t="s">
        <v>871</v>
      </c>
      <c r="EX138" t="s">
        <v>836</v>
      </c>
      <c r="EY138" t="s">
        <v>873</v>
      </c>
      <c r="EZ138" t="s">
        <v>2972</v>
      </c>
      <c r="FA138" t="s">
        <v>879</v>
      </c>
      <c r="FB138">
        <v>1</v>
      </c>
      <c r="FC138">
        <v>1</v>
      </c>
      <c r="FD138" s="41">
        <v>46053</v>
      </c>
      <c r="FE138" t="s">
        <v>1370</v>
      </c>
      <c r="FF138">
        <v>7</v>
      </c>
      <c r="FG138" t="s">
        <v>3805</v>
      </c>
      <c r="FH138" t="s">
        <v>3806</v>
      </c>
      <c r="FI138">
        <v>1</v>
      </c>
      <c r="FJ138" t="s">
        <v>2975</v>
      </c>
      <c r="FK138" t="s">
        <v>3807</v>
      </c>
      <c r="FL138">
        <v>1</v>
      </c>
      <c r="FM138" t="s">
        <v>2976</v>
      </c>
      <c r="FN138" t="s">
        <v>3808</v>
      </c>
      <c r="FO138">
        <v>1</v>
      </c>
      <c r="FP138" t="s">
        <v>3809</v>
      </c>
      <c r="FQ138" t="s">
        <v>3810</v>
      </c>
      <c r="FR138">
        <v>1</v>
      </c>
      <c r="FS138" t="s">
        <v>2610</v>
      </c>
      <c r="FT138" t="s">
        <v>3811</v>
      </c>
      <c r="FU138">
        <v>1</v>
      </c>
      <c r="FV138" t="s">
        <v>3812</v>
      </c>
      <c r="FW138" t="s">
        <v>3813</v>
      </c>
      <c r="FX138">
        <v>1</v>
      </c>
      <c r="FY138" t="s">
        <v>890</v>
      </c>
      <c r="FZ138" t="s">
        <v>3814</v>
      </c>
      <c r="GA138" t="s">
        <v>2975</v>
      </c>
      <c r="GB138">
        <v>1</v>
      </c>
      <c r="GD138">
        <v>0</v>
      </c>
      <c r="GF138">
        <v>0</v>
      </c>
      <c r="GG138">
        <v>1</v>
      </c>
      <c r="GH138" t="s">
        <v>892</v>
      </c>
      <c r="GI138" t="s">
        <v>893</v>
      </c>
      <c r="GJ138" t="s">
        <v>3807</v>
      </c>
      <c r="GM138">
        <v>1</v>
      </c>
      <c r="GN138">
        <v>1</v>
      </c>
      <c r="GO138">
        <v>0</v>
      </c>
      <c r="GP138">
        <v>1</v>
      </c>
      <c r="GQ138">
        <v>1</v>
      </c>
      <c r="GR138">
        <v>0</v>
      </c>
      <c r="GS138">
        <v>1</v>
      </c>
      <c r="GT138">
        <v>0</v>
      </c>
      <c r="GU138">
        <v>1</v>
      </c>
      <c r="GV138">
        <v>0</v>
      </c>
      <c r="GW138">
        <v>1</v>
      </c>
      <c r="GX138">
        <v>0</v>
      </c>
      <c r="GY138">
        <v>1</v>
      </c>
      <c r="GZ138">
        <v>0</v>
      </c>
      <c r="HA138" t="s">
        <v>255</v>
      </c>
      <c r="HB138" t="s">
        <v>894</v>
      </c>
      <c r="HC138" t="s">
        <v>895</v>
      </c>
      <c r="HD138" t="s">
        <v>845</v>
      </c>
      <c r="HE138" t="s">
        <v>836</v>
      </c>
      <c r="HF138" t="s">
        <v>873</v>
      </c>
      <c r="HG138" t="s">
        <v>894</v>
      </c>
      <c r="HH138" t="s">
        <v>895</v>
      </c>
      <c r="HI138" t="s">
        <v>845</v>
      </c>
      <c r="HJ138" t="s">
        <v>836</v>
      </c>
      <c r="HK138" t="s">
        <v>1436</v>
      </c>
      <c r="HL138" t="s">
        <v>2962</v>
      </c>
      <c r="HM138" t="s">
        <v>854</v>
      </c>
      <c r="HN138">
        <v>36805</v>
      </c>
      <c r="HO138">
        <v>1</v>
      </c>
      <c r="HP138" t="s">
        <v>215</v>
      </c>
      <c r="HQ138" t="s">
        <v>896</v>
      </c>
      <c r="HR138" t="s">
        <v>896</v>
      </c>
      <c r="HS138" t="s">
        <v>896</v>
      </c>
    </row>
    <row r="139" spans="1:227" x14ac:dyDescent="0.2">
      <c r="A139">
        <v>8702</v>
      </c>
      <c r="B139">
        <v>7612700009</v>
      </c>
      <c r="C139" t="s">
        <v>1171</v>
      </c>
      <c r="D139" t="s">
        <v>1172</v>
      </c>
      <c r="E139" t="s">
        <v>831</v>
      </c>
      <c r="F139">
        <v>0</v>
      </c>
      <c r="G139" t="s">
        <v>3815</v>
      </c>
      <c r="H139" t="s">
        <v>3815</v>
      </c>
      <c r="I139">
        <v>0</v>
      </c>
      <c r="J139" t="s">
        <v>833</v>
      </c>
      <c r="K139" t="s">
        <v>834</v>
      </c>
      <c r="L139">
        <v>153524606</v>
      </c>
      <c r="M139" t="s">
        <v>1250</v>
      </c>
      <c r="N139" t="s">
        <v>836</v>
      </c>
      <c r="O139" t="s">
        <v>837</v>
      </c>
      <c r="P139" t="s">
        <v>1175</v>
      </c>
      <c r="Q139" t="s">
        <v>1176</v>
      </c>
      <c r="R139" t="s">
        <v>3816</v>
      </c>
      <c r="S139" t="s">
        <v>3817</v>
      </c>
      <c r="T139">
        <v>41477092613</v>
      </c>
      <c r="V139" t="s">
        <v>1254</v>
      </c>
      <c r="W139" s="41">
        <v>46149</v>
      </c>
      <c r="X139" t="s">
        <v>3818</v>
      </c>
      <c r="Y139" t="s">
        <v>3819</v>
      </c>
      <c r="AA139">
        <v>0</v>
      </c>
      <c r="AB139" t="s">
        <v>845</v>
      </c>
      <c r="AC139" t="s">
        <v>846</v>
      </c>
      <c r="AD139" t="s">
        <v>1113</v>
      </c>
      <c r="AE139" t="s">
        <v>1114</v>
      </c>
      <c r="AF139">
        <v>1</v>
      </c>
      <c r="AG139">
        <v>452210</v>
      </c>
      <c r="AH139" t="s">
        <v>849</v>
      </c>
      <c r="AI139" t="s">
        <v>850</v>
      </c>
      <c r="AJ139" t="s">
        <v>851</v>
      </c>
      <c r="AK139" t="s">
        <v>359</v>
      </c>
      <c r="AL139" t="s">
        <v>1257</v>
      </c>
      <c r="AM139" t="s">
        <v>1258</v>
      </c>
      <c r="AN139" t="s">
        <v>854</v>
      </c>
      <c r="AO139">
        <v>36805</v>
      </c>
      <c r="AP139">
        <v>546</v>
      </c>
      <c r="AQ139" t="s">
        <v>855</v>
      </c>
      <c r="AR139">
        <v>66452592</v>
      </c>
      <c r="AS139" t="s">
        <v>856</v>
      </c>
      <c r="AU139" t="s">
        <v>3820</v>
      </c>
      <c r="AV139" t="s">
        <v>3821</v>
      </c>
      <c r="AW139" t="s">
        <v>1149</v>
      </c>
      <c r="AX139" t="s">
        <v>1150</v>
      </c>
      <c r="AY139" t="s">
        <v>861</v>
      </c>
      <c r="AZ139" t="s">
        <v>359</v>
      </c>
      <c r="BA139" t="s">
        <v>254</v>
      </c>
      <c r="BB139">
        <v>0</v>
      </c>
      <c r="BC139">
        <v>0</v>
      </c>
      <c r="BD139">
        <v>0</v>
      </c>
      <c r="BE139" t="s">
        <v>1250</v>
      </c>
      <c r="BF139">
        <v>0</v>
      </c>
      <c r="BG139">
        <v>0</v>
      </c>
      <c r="BH139" t="s">
        <v>862</v>
      </c>
      <c r="BI139">
        <v>0</v>
      </c>
      <c r="BJ139" t="s">
        <v>862</v>
      </c>
      <c r="BK139">
        <v>1</v>
      </c>
      <c r="BL139">
        <v>0</v>
      </c>
      <c r="BM139">
        <v>0</v>
      </c>
      <c r="BN139" t="s">
        <v>596</v>
      </c>
      <c r="BO139">
        <v>153524606</v>
      </c>
      <c r="BP139" t="s">
        <v>3815</v>
      </c>
      <c r="BR139">
        <v>42791462</v>
      </c>
      <c r="BT139">
        <v>2</v>
      </c>
      <c r="BU139" t="s">
        <v>1803</v>
      </c>
      <c r="BY139">
        <v>12</v>
      </c>
      <c r="CA139">
        <v>1</v>
      </c>
      <c r="CE139">
        <v>1</v>
      </c>
      <c r="CI139">
        <v>11</v>
      </c>
      <c r="CJ139" t="s">
        <v>94</v>
      </c>
      <c r="CM139">
        <v>4010</v>
      </c>
      <c r="CO139">
        <v>7360</v>
      </c>
      <c r="CP139">
        <v>0.36670000000000003</v>
      </c>
      <c r="CQ139">
        <v>0.36670000000000003</v>
      </c>
      <c r="CR139">
        <v>0.26669999999999999</v>
      </c>
      <c r="CS139">
        <v>4</v>
      </c>
      <c r="CT139" t="s">
        <v>3821</v>
      </c>
      <c r="CU139" t="s">
        <v>3820</v>
      </c>
      <c r="CV139" t="s">
        <v>833</v>
      </c>
      <c r="CW139" t="s">
        <v>834</v>
      </c>
      <c r="CX139" t="s">
        <v>1250</v>
      </c>
      <c r="CY139">
        <v>0</v>
      </c>
      <c r="CZ139">
        <v>0</v>
      </c>
      <c r="DA139" t="s">
        <v>833</v>
      </c>
      <c r="DB139" t="s">
        <v>865</v>
      </c>
      <c r="DC139">
        <v>55447</v>
      </c>
      <c r="DD139">
        <v>1.4666999999999999</v>
      </c>
      <c r="DE139" t="s">
        <v>866</v>
      </c>
      <c r="DG139" t="s">
        <v>867</v>
      </c>
      <c r="DH139" t="s">
        <v>851</v>
      </c>
      <c r="DI139" t="s">
        <v>1266</v>
      </c>
      <c r="DK139" t="s">
        <v>918</v>
      </c>
      <c r="DL139" t="s">
        <v>869</v>
      </c>
      <c r="DM139">
        <v>0</v>
      </c>
      <c r="DN139">
        <v>0</v>
      </c>
      <c r="DO139">
        <v>3</v>
      </c>
      <c r="DP139" t="s">
        <v>919</v>
      </c>
      <c r="DQ139">
        <v>0</v>
      </c>
      <c r="DR139">
        <v>88</v>
      </c>
      <c r="DS139">
        <v>88</v>
      </c>
      <c r="DT139">
        <v>1.1000000000000001</v>
      </c>
      <c r="DU139">
        <v>0</v>
      </c>
      <c r="DV139">
        <v>1</v>
      </c>
      <c r="DW139">
        <v>1</v>
      </c>
      <c r="DX139" t="s">
        <v>594</v>
      </c>
      <c r="DY139" t="s">
        <v>1250</v>
      </c>
      <c r="DZ139">
        <v>1</v>
      </c>
      <c r="EA139">
        <v>1</v>
      </c>
      <c r="EB139">
        <v>1</v>
      </c>
      <c r="EC139">
        <v>1</v>
      </c>
      <c r="ED139">
        <v>1</v>
      </c>
      <c r="EE139">
        <v>1</v>
      </c>
      <c r="EF139" t="s">
        <v>871</v>
      </c>
      <c r="EG139" t="s">
        <v>595</v>
      </c>
      <c r="EH139" t="s">
        <v>1695</v>
      </c>
      <c r="EI139" t="s">
        <v>1695</v>
      </c>
      <c r="EJ139" t="s">
        <v>159</v>
      </c>
      <c r="EK139">
        <v>9090</v>
      </c>
      <c r="EL139">
        <v>0</v>
      </c>
      <c r="EM139" t="s">
        <v>873</v>
      </c>
      <c r="EN139">
        <v>0.26669999999999999</v>
      </c>
      <c r="EO139">
        <v>1.4666667</v>
      </c>
      <c r="EP139">
        <v>99991120</v>
      </c>
      <c r="EQ139" t="s">
        <v>874</v>
      </c>
      <c r="ER139" t="s">
        <v>875</v>
      </c>
      <c r="ES139" t="s">
        <v>876</v>
      </c>
      <c r="ET139" t="s">
        <v>877</v>
      </c>
      <c r="EU139" t="s">
        <v>877</v>
      </c>
      <c r="EV139" t="s">
        <v>871</v>
      </c>
      <c r="EX139" t="s">
        <v>836</v>
      </c>
      <c r="EY139" t="s">
        <v>1121</v>
      </c>
      <c r="EZ139" t="s">
        <v>1122</v>
      </c>
      <c r="FA139" t="s">
        <v>956</v>
      </c>
      <c r="FB139">
        <v>1</v>
      </c>
      <c r="FC139">
        <v>1</v>
      </c>
      <c r="FD139" s="41">
        <v>46151</v>
      </c>
      <c r="FE139" t="s">
        <v>1808</v>
      </c>
      <c r="FF139">
        <v>7</v>
      </c>
      <c r="FG139" t="s">
        <v>3822</v>
      </c>
      <c r="FH139" t="s">
        <v>3823</v>
      </c>
      <c r="FI139">
        <v>1</v>
      </c>
      <c r="FJ139" t="s">
        <v>3824</v>
      </c>
      <c r="FK139" t="s">
        <v>3823</v>
      </c>
      <c r="FL139">
        <v>1</v>
      </c>
      <c r="FM139" t="s">
        <v>1270</v>
      </c>
      <c r="FN139" t="s">
        <v>3825</v>
      </c>
      <c r="FO139">
        <v>1</v>
      </c>
      <c r="FP139" t="s">
        <v>3826</v>
      </c>
      <c r="FQ139" t="s">
        <v>3827</v>
      </c>
      <c r="FR139">
        <v>1</v>
      </c>
      <c r="FS139" t="s">
        <v>3828</v>
      </c>
      <c r="FT139" t="s">
        <v>3829</v>
      </c>
      <c r="FU139">
        <v>1</v>
      </c>
      <c r="FV139" t="s">
        <v>3830</v>
      </c>
      <c r="FW139" t="s">
        <v>3831</v>
      </c>
      <c r="FX139">
        <v>1</v>
      </c>
      <c r="FY139" t="s">
        <v>890</v>
      </c>
      <c r="FZ139" t="s">
        <v>3832</v>
      </c>
      <c r="GA139" t="s">
        <v>3824</v>
      </c>
      <c r="GB139">
        <v>1</v>
      </c>
      <c r="GD139">
        <v>0</v>
      </c>
      <c r="GF139">
        <v>0</v>
      </c>
      <c r="GG139">
        <v>1</v>
      </c>
      <c r="GH139" t="s">
        <v>892</v>
      </c>
      <c r="GI139" t="s">
        <v>893</v>
      </c>
      <c r="GJ139" t="s">
        <v>3823</v>
      </c>
      <c r="GM139">
        <v>1</v>
      </c>
      <c r="GN139">
        <v>1</v>
      </c>
      <c r="GO139">
        <v>0</v>
      </c>
      <c r="GP139">
        <v>1</v>
      </c>
      <c r="GQ139">
        <v>1</v>
      </c>
      <c r="GR139">
        <v>0</v>
      </c>
      <c r="GS139">
        <v>1</v>
      </c>
      <c r="GT139">
        <v>0</v>
      </c>
      <c r="GU139">
        <v>1</v>
      </c>
      <c r="GV139">
        <v>0</v>
      </c>
      <c r="GW139">
        <v>1</v>
      </c>
      <c r="GX139">
        <v>0</v>
      </c>
      <c r="GY139">
        <v>1</v>
      </c>
      <c r="GZ139">
        <v>0</v>
      </c>
      <c r="HA139" t="s">
        <v>359</v>
      </c>
      <c r="HB139" t="s">
        <v>894</v>
      </c>
      <c r="HC139" t="s">
        <v>895</v>
      </c>
      <c r="HD139" t="s">
        <v>845</v>
      </c>
      <c r="HE139" t="s">
        <v>836</v>
      </c>
      <c r="HF139" t="s">
        <v>873</v>
      </c>
      <c r="HG139" t="s">
        <v>894</v>
      </c>
      <c r="HH139" t="s">
        <v>895</v>
      </c>
      <c r="HI139" t="s">
        <v>845</v>
      </c>
      <c r="HJ139" t="s">
        <v>836</v>
      </c>
      <c r="HK139" t="s">
        <v>873</v>
      </c>
      <c r="HL139" t="s">
        <v>1254</v>
      </c>
      <c r="HM139" t="s">
        <v>854</v>
      </c>
      <c r="HN139">
        <v>36805</v>
      </c>
      <c r="HP139" t="s">
        <v>159</v>
      </c>
      <c r="HQ139" t="s">
        <v>896</v>
      </c>
      <c r="HR139" t="s">
        <v>896</v>
      </c>
      <c r="HS139" t="s">
        <v>896</v>
      </c>
    </row>
    <row r="140" spans="1:227" x14ac:dyDescent="0.2">
      <c r="A140">
        <v>8702</v>
      </c>
      <c r="B140">
        <v>7613200075</v>
      </c>
      <c r="C140" t="s">
        <v>829</v>
      </c>
      <c r="D140" t="s">
        <v>830</v>
      </c>
      <c r="E140" t="s">
        <v>831</v>
      </c>
      <c r="F140">
        <v>0</v>
      </c>
      <c r="G140" t="s">
        <v>3833</v>
      </c>
      <c r="H140" t="s">
        <v>3833</v>
      </c>
      <c r="I140">
        <v>0</v>
      </c>
      <c r="J140" t="s">
        <v>833</v>
      </c>
      <c r="K140" t="s">
        <v>834</v>
      </c>
      <c r="L140">
        <v>148874673</v>
      </c>
      <c r="M140" t="s">
        <v>3834</v>
      </c>
      <c r="N140" t="s">
        <v>836</v>
      </c>
      <c r="O140" t="s">
        <v>837</v>
      </c>
      <c r="P140" t="s">
        <v>838</v>
      </c>
      <c r="Q140" t="s">
        <v>3835</v>
      </c>
      <c r="R140" t="s">
        <v>3836</v>
      </c>
      <c r="S140" t="s">
        <v>3837</v>
      </c>
      <c r="T140">
        <v>41477130300</v>
      </c>
      <c r="V140" t="s">
        <v>2903</v>
      </c>
      <c r="W140" s="41">
        <v>46154</v>
      </c>
      <c r="X140" t="s">
        <v>3838</v>
      </c>
      <c r="Y140" t="s">
        <v>3839</v>
      </c>
      <c r="AA140">
        <v>0</v>
      </c>
      <c r="AB140" t="s">
        <v>845</v>
      </c>
      <c r="AC140" t="s">
        <v>846</v>
      </c>
      <c r="AD140" t="s">
        <v>1335</v>
      </c>
      <c r="AE140" t="s">
        <v>1336</v>
      </c>
      <c r="AF140">
        <v>1</v>
      </c>
      <c r="AG140">
        <v>452210</v>
      </c>
      <c r="AH140" t="s">
        <v>849</v>
      </c>
      <c r="AI140" t="s">
        <v>850</v>
      </c>
      <c r="AJ140" t="s">
        <v>851</v>
      </c>
      <c r="AK140" t="s">
        <v>449</v>
      </c>
      <c r="AL140" t="s">
        <v>2906</v>
      </c>
      <c r="AM140" t="s">
        <v>2907</v>
      </c>
      <c r="AN140" t="s">
        <v>854</v>
      </c>
      <c r="AO140">
        <v>36805</v>
      </c>
      <c r="AP140">
        <v>563</v>
      </c>
      <c r="AQ140" t="s">
        <v>855</v>
      </c>
      <c r="AR140">
        <v>66460073</v>
      </c>
      <c r="AS140" t="s">
        <v>856</v>
      </c>
      <c r="AU140" t="s">
        <v>3840</v>
      </c>
      <c r="AV140" t="s">
        <v>3841</v>
      </c>
      <c r="AX140" t="s">
        <v>913</v>
      </c>
      <c r="AY140" t="s">
        <v>861</v>
      </c>
      <c r="AZ140" t="s">
        <v>449</v>
      </c>
      <c r="BA140" t="s">
        <v>450</v>
      </c>
      <c r="BB140">
        <v>0</v>
      </c>
      <c r="BC140">
        <v>0</v>
      </c>
      <c r="BD140">
        <v>0</v>
      </c>
      <c r="BE140" t="s">
        <v>3834</v>
      </c>
      <c r="BF140">
        <v>0</v>
      </c>
      <c r="BG140">
        <v>0</v>
      </c>
      <c r="BH140" t="s">
        <v>862</v>
      </c>
      <c r="BI140">
        <v>0</v>
      </c>
      <c r="BJ140" t="s">
        <v>862</v>
      </c>
      <c r="BK140">
        <v>1</v>
      </c>
      <c r="BL140">
        <v>1</v>
      </c>
      <c r="BM140">
        <v>0</v>
      </c>
      <c r="BN140" t="s">
        <v>596</v>
      </c>
      <c r="BP140" t="s">
        <v>3833</v>
      </c>
      <c r="BR140">
        <v>42791465</v>
      </c>
      <c r="BT140">
        <v>2</v>
      </c>
      <c r="BU140" t="s">
        <v>1803</v>
      </c>
      <c r="BY140">
        <v>12</v>
      </c>
      <c r="CA140">
        <v>5</v>
      </c>
      <c r="CE140">
        <v>1</v>
      </c>
      <c r="CI140">
        <v>11</v>
      </c>
      <c r="CJ140" t="s">
        <v>94</v>
      </c>
      <c r="CM140">
        <v>4010</v>
      </c>
      <c r="CO140">
        <v>7360</v>
      </c>
      <c r="CP140">
        <v>0.51670000000000005</v>
      </c>
      <c r="CQ140">
        <v>0.51670000000000005</v>
      </c>
      <c r="CR140">
        <v>0.2167</v>
      </c>
      <c r="CS140">
        <v>6</v>
      </c>
      <c r="CT140" t="s">
        <v>3841</v>
      </c>
      <c r="CU140" t="s">
        <v>3840</v>
      </c>
      <c r="CV140" t="s">
        <v>833</v>
      </c>
      <c r="CW140" t="s">
        <v>834</v>
      </c>
      <c r="CX140" t="s">
        <v>3555</v>
      </c>
      <c r="CY140">
        <v>0</v>
      </c>
      <c r="CZ140">
        <v>0</v>
      </c>
      <c r="DA140" t="s">
        <v>833</v>
      </c>
      <c r="DB140" t="s">
        <v>865</v>
      </c>
      <c r="DC140">
        <v>55902</v>
      </c>
      <c r="DD140">
        <v>5.1166999999999998</v>
      </c>
      <c r="DE140" t="s">
        <v>866</v>
      </c>
      <c r="DG140" t="s">
        <v>867</v>
      </c>
      <c r="DH140" t="s">
        <v>851</v>
      </c>
      <c r="DK140" t="s">
        <v>918</v>
      </c>
      <c r="DL140" t="s">
        <v>869</v>
      </c>
      <c r="DM140">
        <v>0</v>
      </c>
      <c r="DN140">
        <v>0</v>
      </c>
      <c r="DO140">
        <v>2</v>
      </c>
      <c r="DP140" t="s">
        <v>870</v>
      </c>
      <c r="DQ140">
        <v>12</v>
      </c>
      <c r="DR140">
        <v>307</v>
      </c>
      <c r="DS140">
        <v>332</v>
      </c>
      <c r="DT140">
        <v>5.0167000000000002</v>
      </c>
      <c r="DU140">
        <v>4</v>
      </c>
      <c r="DV140">
        <v>1</v>
      </c>
      <c r="DW140">
        <v>1</v>
      </c>
      <c r="DX140" t="s">
        <v>596</v>
      </c>
      <c r="DY140" t="s">
        <v>3834</v>
      </c>
      <c r="DZ140">
        <v>1</v>
      </c>
      <c r="EA140">
        <v>1</v>
      </c>
      <c r="EB140">
        <v>1</v>
      </c>
      <c r="EC140">
        <v>0</v>
      </c>
      <c r="ED140">
        <v>0</v>
      </c>
      <c r="EE140">
        <v>1</v>
      </c>
      <c r="EF140" t="s">
        <v>871</v>
      </c>
      <c r="EG140" t="s">
        <v>595</v>
      </c>
      <c r="EH140" t="s">
        <v>1036</v>
      </c>
      <c r="EI140" t="s">
        <v>1036</v>
      </c>
      <c r="EJ140" t="s">
        <v>159</v>
      </c>
      <c r="EK140">
        <v>9090</v>
      </c>
      <c r="EL140">
        <v>0</v>
      </c>
      <c r="EM140" t="s">
        <v>873</v>
      </c>
      <c r="EN140">
        <v>0.2167</v>
      </c>
      <c r="EO140">
        <v>5.5333332999999998</v>
      </c>
      <c r="EP140">
        <v>99991120</v>
      </c>
      <c r="EQ140" t="s">
        <v>874</v>
      </c>
      <c r="ER140" t="s">
        <v>875</v>
      </c>
      <c r="ES140" t="s">
        <v>876</v>
      </c>
      <c r="ET140" t="s">
        <v>877</v>
      </c>
      <c r="EU140" t="s">
        <v>877</v>
      </c>
      <c r="EV140" t="s">
        <v>871</v>
      </c>
      <c r="EX140" t="s">
        <v>836</v>
      </c>
      <c r="EY140" t="s">
        <v>1121</v>
      </c>
      <c r="EZ140" t="s">
        <v>2913</v>
      </c>
      <c r="FA140" t="s">
        <v>1212</v>
      </c>
      <c r="FB140">
        <v>1</v>
      </c>
      <c r="FC140">
        <v>1</v>
      </c>
      <c r="FD140" s="41">
        <v>46158</v>
      </c>
      <c r="FE140" t="s">
        <v>1808</v>
      </c>
      <c r="FF140">
        <v>4</v>
      </c>
      <c r="FI140">
        <v>0</v>
      </c>
      <c r="FL140">
        <v>0</v>
      </c>
      <c r="FM140" t="s">
        <v>3842</v>
      </c>
      <c r="FN140" t="s">
        <v>3843</v>
      </c>
      <c r="FO140">
        <v>1</v>
      </c>
      <c r="FP140" t="s">
        <v>3844</v>
      </c>
      <c r="FQ140" t="s">
        <v>3845</v>
      </c>
      <c r="FR140">
        <v>1</v>
      </c>
      <c r="FS140" t="s">
        <v>2917</v>
      </c>
      <c r="FT140" t="s">
        <v>3846</v>
      </c>
      <c r="FU140">
        <v>1</v>
      </c>
      <c r="FV140" t="s">
        <v>3847</v>
      </c>
      <c r="FW140" t="s">
        <v>3848</v>
      </c>
      <c r="FX140">
        <v>1</v>
      </c>
      <c r="FY140" t="s">
        <v>890</v>
      </c>
      <c r="FZ140" t="s">
        <v>3849</v>
      </c>
      <c r="GA140" t="s">
        <v>3847</v>
      </c>
      <c r="GB140">
        <v>1</v>
      </c>
      <c r="GD140">
        <v>0</v>
      </c>
      <c r="GF140">
        <v>0</v>
      </c>
      <c r="GG140">
        <v>1</v>
      </c>
      <c r="GH140" t="s">
        <v>892</v>
      </c>
      <c r="GI140" t="s">
        <v>893</v>
      </c>
      <c r="GJ140" t="s">
        <v>3848</v>
      </c>
      <c r="GM140">
        <v>1</v>
      </c>
      <c r="GN140">
        <v>1</v>
      </c>
      <c r="GO140">
        <v>0</v>
      </c>
      <c r="GP140">
        <v>1</v>
      </c>
      <c r="GQ140">
        <v>1</v>
      </c>
      <c r="GR140">
        <v>0</v>
      </c>
      <c r="GS140">
        <v>1</v>
      </c>
      <c r="GT140">
        <v>0</v>
      </c>
      <c r="GU140">
        <v>1</v>
      </c>
      <c r="GV140">
        <v>0</v>
      </c>
      <c r="GW140">
        <v>1</v>
      </c>
      <c r="GX140">
        <v>0</v>
      </c>
      <c r="GY140">
        <v>1</v>
      </c>
      <c r="GZ140">
        <v>0</v>
      </c>
      <c r="HA140" t="s">
        <v>449</v>
      </c>
      <c r="HB140" t="s">
        <v>894</v>
      </c>
      <c r="HC140" t="s">
        <v>895</v>
      </c>
      <c r="HD140" t="s">
        <v>845</v>
      </c>
      <c r="HE140" t="s">
        <v>836</v>
      </c>
      <c r="HF140" t="s">
        <v>873</v>
      </c>
      <c r="HG140" t="s">
        <v>894</v>
      </c>
      <c r="HH140" t="s">
        <v>895</v>
      </c>
      <c r="HI140" t="s">
        <v>845</v>
      </c>
      <c r="HJ140" t="s">
        <v>836</v>
      </c>
      <c r="HK140" t="s">
        <v>873</v>
      </c>
      <c r="HL140" t="s">
        <v>2903</v>
      </c>
      <c r="HM140" t="s">
        <v>854</v>
      </c>
      <c r="HN140">
        <v>36805</v>
      </c>
      <c r="HP140" t="s">
        <v>159</v>
      </c>
      <c r="HQ140" t="s">
        <v>896</v>
      </c>
      <c r="HR140" t="s">
        <v>896</v>
      </c>
      <c r="HS140" t="s">
        <v>896</v>
      </c>
    </row>
    <row r="141" spans="1:227" x14ac:dyDescent="0.2">
      <c r="A141">
        <v>8702</v>
      </c>
      <c r="B141">
        <v>7617902771</v>
      </c>
      <c r="C141" t="s">
        <v>936</v>
      </c>
      <c r="D141" t="s">
        <v>937</v>
      </c>
      <c r="E141" t="s">
        <v>897</v>
      </c>
      <c r="F141">
        <v>0</v>
      </c>
      <c r="G141" t="s">
        <v>3850</v>
      </c>
      <c r="H141" t="s">
        <v>3850</v>
      </c>
      <c r="I141">
        <v>0</v>
      </c>
      <c r="J141" t="s">
        <v>833</v>
      </c>
      <c r="K141" t="s">
        <v>834</v>
      </c>
      <c r="L141">
        <v>153524524</v>
      </c>
      <c r="M141" t="s">
        <v>3439</v>
      </c>
      <c r="N141" t="s">
        <v>900</v>
      </c>
      <c r="O141" t="s">
        <v>837</v>
      </c>
      <c r="P141" t="s">
        <v>940</v>
      </c>
      <c r="Q141" t="s">
        <v>1473</v>
      </c>
      <c r="R141" t="s">
        <v>3851</v>
      </c>
      <c r="S141" t="s">
        <v>3852</v>
      </c>
      <c r="T141">
        <v>41477061773</v>
      </c>
      <c r="V141" t="s">
        <v>138</v>
      </c>
      <c r="W141" s="41">
        <v>46201</v>
      </c>
      <c r="X141" t="s">
        <v>3853</v>
      </c>
      <c r="Y141" t="s">
        <v>3854</v>
      </c>
      <c r="AA141">
        <v>0</v>
      </c>
      <c r="AB141" t="s">
        <v>845</v>
      </c>
      <c r="AC141" t="s">
        <v>846</v>
      </c>
      <c r="AD141" t="s">
        <v>907</v>
      </c>
      <c r="AE141" t="s">
        <v>908</v>
      </c>
      <c r="AF141">
        <v>1</v>
      </c>
      <c r="AG141">
        <v>452210</v>
      </c>
      <c r="AH141" t="s">
        <v>849</v>
      </c>
      <c r="AI141" t="s">
        <v>850</v>
      </c>
      <c r="AJ141" t="s">
        <v>851</v>
      </c>
      <c r="AK141" t="s">
        <v>293</v>
      </c>
      <c r="AL141" t="s">
        <v>1574</v>
      </c>
      <c r="AM141" t="s">
        <v>1575</v>
      </c>
      <c r="AN141" t="s">
        <v>854</v>
      </c>
      <c r="AO141">
        <v>36805</v>
      </c>
      <c r="AP141">
        <v>524</v>
      </c>
      <c r="AQ141" t="s">
        <v>855</v>
      </c>
      <c r="AR141">
        <v>66527046</v>
      </c>
      <c r="AS141" t="s">
        <v>856</v>
      </c>
      <c r="AU141" t="s">
        <v>3855</v>
      </c>
      <c r="AV141" t="s">
        <v>3856</v>
      </c>
      <c r="AX141" t="s">
        <v>913</v>
      </c>
      <c r="AY141" t="s">
        <v>861</v>
      </c>
      <c r="AZ141" t="s">
        <v>293</v>
      </c>
      <c r="BA141" t="s">
        <v>294</v>
      </c>
      <c r="BB141">
        <v>0</v>
      </c>
      <c r="BC141">
        <v>0</v>
      </c>
      <c r="BD141">
        <v>1</v>
      </c>
      <c r="BE141" t="s">
        <v>3439</v>
      </c>
      <c r="BF141">
        <v>0</v>
      </c>
      <c r="BG141">
        <v>0</v>
      </c>
      <c r="BH141" t="s">
        <v>862</v>
      </c>
      <c r="BI141">
        <v>0</v>
      </c>
      <c r="BJ141" t="s">
        <v>862</v>
      </c>
      <c r="BK141">
        <v>1</v>
      </c>
      <c r="BL141">
        <v>1</v>
      </c>
      <c r="BM141">
        <v>0</v>
      </c>
      <c r="BN141" t="s">
        <v>596</v>
      </c>
      <c r="BO141">
        <v>153524524</v>
      </c>
      <c r="BP141" t="s">
        <v>3850</v>
      </c>
      <c r="BR141">
        <v>42791434</v>
      </c>
      <c r="BT141">
        <v>2</v>
      </c>
      <c r="BU141" t="s">
        <v>1314</v>
      </c>
      <c r="BY141">
        <v>12</v>
      </c>
      <c r="CA141">
        <v>0</v>
      </c>
      <c r="CE141">
        <v>1</v>
      </c>
      <c r="CI141">
        <v>11</v>
      </c>
      <c r="CJ141" t="s">
        <v>94</v>
      </c>
      <c r="CM141">
        <v>4010</v>
      </c>
      <c r="CO141">
        <v>7360</v>
      </c>
      <c r="CP141">
        <v>0.3</v>
      </c>
      <c r="CQ141">
        <v>0.3</v>
      </c>
      <c r="CR141">
        <v>6.6699999999999995E-2</v>
      </c>
      <c r="CS141">
        <v>9</v>
      </c>
      <c r="CT141" t="s">
        <v>3856</v>
      </c>
      <c r="CU141" t="s">
        <v>3855</v>
      </c>
      <c r="CV141" t="s">
        <v>833</v>
      </c>
      <c r="CW141" t="s">
        <v>834</v>
      </c>
      <c r="CX141" t="s">
        <v>3439</v>
      </c>
      <c r="CY141">
        <v>1</v>
      </c>
      <c r="CZ141">
        <v>1</v>
      </c>
      <c r="DA141" t="s">
        <v>833</v>
      </c>
      <c r="DB141" t="s">
        <v>865</v>
      </c>
      <c r="DC141">
        <v>46805</v>
      </c>
      <c r="DD141">
        <v>0.41670000000000001</v>
      </c>
      <c r="DE141" t="s">
        <v>866</v>
      </c>
      <c r="DG141" t="s">
        <v>867</v>
      </c>
      <c r="DH141" t="s">
        <v>851</v>
      </c>
      <c r="DI141" t="s">
        <v>1291</v>
      </c>
      <c r="DK141" t="s">
        <v>918</v>
      </c>
      <c r="DL141" t="s">
        <v>869</v>
      </c>
      <c r="DM141">
        <v>0</v>
      </c>
      <c r="DN141">
        <v>0</v>
      </c>
      <c r="DO141">
        <v>11</v>
      </c>
      <c r="DP141" t="s">
        <v>1010</v>
      </c>
      <c r="DQ141">
        <v>12</v>
      </c>
      <c r="DR141">
        <v>25</v>
      </c>
      <c r="DS141">
        <v>696</v>
      </c>
      <c r="DT141">
        <v>0.1167</v>
      </c>
      <c r="DU141">
        <v>4</v>
      </c>
      <c r="DV141">
        <v>1</v>
      </c>
      <c r="DW141">
        <v>1</v>
      </c>
      <c r="DX141" t="s">
        <v>596</v>
      </c>
      <c r="DY141" t="s">
        <v>3439</v>
      </c>
      <c r="DZ141">
        <v>1</v>
      </c>
      <c r="EA141">
        <v>1</v>
      </c>
      <c r="EB141">
        <v>1</v>
      </c>
      <c r="EC141">
        <v>1</v>
      </c>
      <c r="ED141">
        <v>1</v>
      </c>
      <c r="EE141">
        <v>1</v>
      </c>
      <c r="EF141" t="s">
        <v>920</v>
      </c>
      <c r="EG141" t="s">
        <v>595</v>
      </c>
      <c r="EH141" t="s">
        <v>1036</v>
      </c>
      <c r="EI141" t="s">
        <v>1036</v>
      </c>
      <c r="EJ141" t="s">
        <v>134</v>
      </c>
      <c r="EK141">
        <v>9090</v>
      </c>
      <c r="EL141">
        <v>0</v>
      </c>
      <c r="EM141" t="s">
        <v>1011</v>
      </c>
      <c r="EN141">
        <v>6.6699999999999995E-2</v>
      </c>
      <c r="EO141">
        <v>11.6</v>
      </c>
      <c r="EP141">
        <v>99991120</v>
      </c>
      <c r="EQ141" t="s">
        <v>874</v>
      </c>
      <c r="ER141" t="s">
        <v>875</v>
      </c>
      <c r="ES141" t="s">
        <v>876</v>
      </c>
      <c r="ET141" t="s">
        <v>877</v>
      </c>
      <c r="EU141" t="s">
        <v>877</v>
      </c>
      <c r="EV141" t="s">
        <v>920</v>
      </c>
      <c r="EX141" t="s">
        <v>900</v>
      </c>
      <c r="EY141" t="s">
        <v>1012</v>
      </c>
      <c r="EZ141" t="s">
        <v>1578</v>
      </c>
      <c r="FA141" t="s">
        <v>879</v>
      </c>
      <c r="FB141">
        <v>1</v>
      </c>
      <c r="FC141">
        <v>1</v>
      </c>
      <c r="FD141" s="41">
        <v>46207</v>
      </c>
      <c r="FE141" t="s">
        <v>1315</v>
      </c>
      <c r="FF141">
        <v>5</v>
      </c>
      <c r="FI141">
        <v>0</v>
      </c>
      <c r="FJ141" t="s">
        <v>3857</v>
      </c>
      <c r="FK141" t="s">
        <v>3858</v>
      </c>
      <c r="FL141">
        <v>1</v>
      </c>
      <c r="FM141" t="s">
        <v>3453</v>
      </c>
      <c r="FN141" t="s">
        <v>3859</v>
      </c>
      <c r="FO141">
        <v>1</v>
      </c>
      <c r="FP141" t="s">
        <v>3860</v>
      </c>
      <c r="FQ141" t="s">
        <v>3855</v>
      </c>
      <c r="FR141">
        <v>1</v>
      </c>
      <c r="FS141" t="s">
        <v>2171</v>
      </c>
      <c r="FT141" t="s">
        <v>3861</v>
      </c>
      <c r="FU141">
        <v>1</v>
      </c>
      <c r="FV141" t="s">
        <v>3862</v>
      </c>
      <c r="FW141" t="s">
        <v>3863</v>
      </c>
      <c r="FX141">
        <v>1</v>
      </c>
      <c r="FY141" t="s">
        <v>890</v>
      </c>
      <c r="FZ141" t="s">
        <v>3864</v>
      </c>
      <c r="GA141" t="s">
        <v>3857</v>
      </c>
      <c r="GB141">
        <v>1</v>
      </c>
      <c r="GD141">
        <v>0</v>
      </c>
      <c r="GF141">
        <v>0</v>
      </c>
      <c r="GG141">
        <v>1</v>
      </c>
      <c r="GH141" t="s">
        <v>892</v>
      </c>
      <c r="GI141" t="s">
        <v>893</v>
      </c>
      <c r="GJ141" t="s">
        <v>3858</v>
      </c>
      <c r="GM141">
        <v>1</v>
      </c>
      <c r="GN141">
        <v>1</v>
      </c>
      <c r="GO141">
        <v>0</v>
      </c>
      <c r="GP141">
        <v>1</v>
      </c>
      <c r="GQ141">
        <v>1</v>
      </c>
      <c r="GR141">
        <v>0</v>
      </c>
      <c r="GS141">
        <v>1</v>
      </c>
      <c r="GT141">
        <v>0</v>
      </c>
      <c r="GU141">
        <v>1</v>
      </c>
      <c r="GV141">
        <v>0</v>
      </c>
      <c r="GW141">
        <v>1</v>
      </c>
      <c r="GX141">
        <v>0</v>
      </c>
      <c r="GY141">
        <v>1</v>
      </c>
      <c r="GZ141">
        <v>0</v>
      </c>
      <c r="HA141" t="s">
        <v>293</v>
      </c>
      <c r="HB141" t="s">
        <v>894</v>
      </c>
      <c r="HC141" t="s">
        <v>935</v>
      </c>
      <c r="HD141" t="s">
        <v>845</v>
      </c>
      <c r="HE141" t="s">
        <v>900</v>
      </c>
      <c r="HF141" t="s">
        <v>1012</v>
      </c>
      <c r="HG141" t="s">
        <v>894</v>
      </c>
      <c r="HH141" t="s">
        <v>935</v>
      </c>
      <c r="HI141" t="s">
        <v>845</v>
      </c>
      <c r="HJ141" t="s">
        <v>900</v>
      </c>
      <c r="HK141" t="s">
        <v>1011</v>
      </c>
      <c r="HL141" t="s">
        <v>138</v>
      </c>
      <c r="HM141" t="s">
        <v>854</v>
      </c>
      <c r="HN141">
        <v>36805</v>
      </c>
      <c r="HP141" t="s">
        <v>134</v>
      </c>
      <c r="HQ141" t="s">
        <v>896</v>
      </c>
      <c r="HR141" t="s">
        <v>896</v>
      </c>
      <c r="HS141" t="s">
        <v>896</v>
      </c>
    </row>
    <row r="142" spans="1:227" x14ac:dyDescent="0.2">
      <c r="A142">
        <v>8702</v>
      </c>
      <c r="B142">
        <v>7533002901</v>
      </c>
      <c r="C142">
        <v>36</v>
      </c>
      <c r="D142" t="s">
        <v>1302</v>
      </c>
      <c r="E142" t="s">
        <v>831</v>
      </c>
      <c r="F142">
        <v>1</v>
      </c>
      <c r="G142" t="s">
        <v>3865</v>
      </c>
      <c r="H142" t="s">
        <v>3865</v>
      </c>
      <c r="I142">
        <v>0</v>
      </c>
      <c r="J142" t="s">
        <v>833</v>
      </c>
      <c r="K142" t="s">
        <v>834</v>
      </c>
      <c r="L142">
        <v>153406521</v>
      </c>
      <c r="M142" t="s">
        <v>1106</v>
      </c>
      <c r="N142" t="s">
        <v>836</v>
      </c>
      <c r="O142" t="s">
        <v>837</v>
      </c>
      <c r="P142" t="s">
        <v>1302</v>
      </c>
      <c r="Q142" t="s">
        <v>1305</v>
      </c>
      <c r="R142" t="s">
        <v>3866</v>
      </c>
      <c r="S142" t="s">
        <v>3867</v>
      </c>
      <c r="T142">
        <v>30300130770</v>
      </c>
      <c r="V142" t="s">
        <v>1109</v>
      </c>
      <c r="W142" s="41">
        <v>45991</v>
      </c>
      <c r="X142" t="s">
        <v>3868</v>
      </c>
      <c r="Y142" t="s">
        <v>3869</v>
      </c>
      <c r="AA142">
        <v>0</v>
      </c>
      <c r="AB142" t="s">
        <v>845</v>
      </c>
      <c r="AC142" t="s">
        <v>846</v>
      </c>
      <c r="AD142" t="s">
        <v>847</v>
      </c>
      <c r="AE142" t="s">
        <v>848</v>
      </c>
      <c r="AF142">
        <v>1</v>
      </c>
      <c r="AG142">
        <v>452210</v>
      </c>
      <c r="AH142" t="s">
        <v>849</v>
      </c>
      <c r="AI142" t="s">
        <v>850</v>
      </c>
      <c r="AJ142" t="s">
        <v>851</v>
      </c>
      <c r="AK142" t="s">
        <v>395</v>
      </c>
      <c r="AL142" t="s">
        <v>3870</v>
      </c>
      <c r="AM142" t="s">
        <v>1116</v>
      </c>
      <c r="AN142" t="s">
        <v>854</v>
      </c>
      <c r="AO142">
        <v>36805</v>
      </c>
      <c r="AP142">
        <v>545</v>
      </c>
      <c r="AQ142" t="s">
        <v>855</v>
      </c>
      <c r="AR142">
        <v>66225175</v>
      </c>
      <c r="AS142" t="s">
        <v>856</v>
      </c>
      <c r="AU142" t="s">
        <v>3871</v>
      </c>
      <c r="AV142" t="s">
        <v>3872</v>
      </c>
      <c r="AX142" t="s">
        <v>913</v>
      </c>
      <c r="AY142" t="s">
        <v>861</v>
      </c>
      <c r="AZ142" t="s">
        <v>395</v>
      </c>
      <c r="BA142" t="s">
        <v>396</v>
      </c>
      <c r="BB142">
        <v>1</v>
      </c>
      <c r="BC142">
        <v>0</v>
      </c>
      <c r="BD142">
        <v>0</v>
      </c>
      <c r="BE142" t="s">
        <v>1106</v>
      </c>
      <c r="BF142">
        <v>0</v>
      </c>
      <c r="BG142">
        <v>0</v>
      </c>
      <c r="BH142" t="s">
        <v>862</v>
      </c>
      <c r="BI142">
        <v>0</v>
      </c>
      <c r="BJ142" t="s">
        <v>862</v>
      </c>
      <c r="BK142">
        <v>1</v>
      </c>
      <c r="BL142">
        <v>0</v>
      </c>
      <c r="BM142">
        <v>0</v>
      </c>
      <c r="BN142" t="s">
        <v>596</v>
      </c>
      <c r="BO142">
        <v>153406521</v>
      </c>
      <c r="BP142" t="s">
        <v>3865</v>
      </c>
      <c r="BR142">
        <v>42791461</v>
      </c>
      <c r="BT142">
        <v>0</v>
      </c>
      <c r="CM142">
        <v>4010</v>
      </c>
      <c r="CO142">
        <v>7360</v>
      </c>
      <c r="CP142">
        <v>1.3667</v>
      </c>
      <c r="CQ142">
        <v>1.3667</v>
      </c>
      <c r="CR142">
        <v>2.4167000000000001</v>
      </c>
      <c r="CS142">
        <v>6005</v>
      </c>
      <c r="CT142" t="s">
        <v>3873</v>
      </c>
      <c r="CU142" t="s">
        <v>3874</v>
      </c>
      <c r="CV142" t="s">
        <v>833</v>
      </c>
      <c r="CW142" t="s">
        <v>834</v>
      </c>
      <c r="CX142" t="s">
        <v>1106</v>
      </c>
      <c r="CY142">
        <v>1</v>
      </c>
      <c r="CZ142">
        <v>1</v>
      </c>
      <c r="DA142" t="s">
        <v>833</v>
      </c>
      <c r="DB142" t="s">
        <v>865</v>
      </c>
      <c r="DC142">
        <v>55127</v>
      </c>
      <c r="DD142">
        <v>57.533299999999997</v>
      </c>
      <c r="DE142" t="s">
        <v>866</v>
      </c>
      <c r="DG142" t="s">
        <v>867</v>
      </c>
      <c r="DH142" t="s">
        <v>851</v>
      </c>
      <c r="DJ142">
        <v>545</v>
      </c>
      <c r="DL142" t="s">
        <v>869</v>
      </c>
      <c r="DM142">
        <v>0</v>
      </c>
      <c r="DN142">
        <v>0.1</v>
      </c>
      <c r="DO142">
        <v>11</v>
      </c>
      <c r="DP142" t="s">
        <v>1010</v>
      </c>
      <c r="DQ142">
        <v>16</v>
      </c>
      <c r="DR142">
        <v>3452</v>
      </c>
      <c r="DS142">
        <v>6332</v>
      </c>
      <c r="DT142">
        <v>10.5167</v>
      </c>
      <c r="DU142">
        <v>4</v>
      </c>
      <c r="DW142">
        <v>2</v>
      </c>
      <c r="DX142" t="s">
        <v>596</v>
      </c>
      <c r="DY142" t="s">
        <v>1106</v>
      </c>
      <c r="DZ142">
        <v>0</v>
      </c>
      <c r="EA142">
        <v>0</v>
      </c>
      <c r="EB142">
        <v>0</v>
      </c>
      <c r="EC142">
        <v>0</v>
      </c>
      <c r="ED142">
        <v>0</v>
      </c>
      <c r="EE142">
        <v>0</v>
      </c>
      <c r="EF142" t="s">
        <v>871</v>
      </c>
      <c r="EG142" t="s">
        <v>595</v>
      </c>
      <c r="EH142" t="s">
        <v>921</v>
      </c>
      <c r="EI142" t="s">
        <v>921</v>
      </c>
      <c r="EJ142" t="s">
        <v>159</v>
      </c>
      <c r="EK142">
        <v>9090</v>
      </c>
      <c r="EL142">
        <v>1</v>
      </c>
      <c r="EM142" t="s">
        <v>873</v>
      </c>
      <c r="EN142">
        <v>2.4167000000000001</v>
      </c>
      <c r="EO142">
        <v>105.5333333</v>
      </c>
      <c r="EP142">
        <v>99991120</v>
      </c>
      <c r="EQ142" t="s">
        <v>874</v>
      </c>
      <c r="ER142" t="s">
        <v>875</v>
      </c>
      <c r="ES142" t="s">
        <v>876</v>
      </c>
      <c r="ET142" t="s">
        <v>877</v>
      </c>
      <c r="EU142" t="s">
        <v>877</v>
      </c>
      <c r="EV142" t="s">
        <v>871</v>
      </c>
      <c r="EX142" t="s">
        <v>836</v>
      </c>
      <c r="EY142" t="s">
        <v>1121</v>
      </c>
      <c r="EZ142" t="s">
        <v>1122</v>
      </c>
      <c r="FA142" t="s">
        <v>956</v>
      </c>
      <c r="FB142">
        <v>1</v>
      </c>
      <c r="FC142">
        <v>2</v>
      </c>
      <c r="FD142" s="41">
        <v>45997</v>
      </c>
      <c r="FE142" t="s">
        <v>1438</v>
      </c>
      <c r="FF142">
        <v>16</v>
      </c>
      <c r="FG142" t="s">
        <v>3875</v>
      </c>
      <c r="FH142" t="s">
        <v>3876</v>
      </c>
      <c r="FI142">
        <v>1</v>
      </c>
      <c r="FJ142" t="s">
        <v>3875</v>
      </c>
      <c r="FK142" t="s">
        <v>3877</v>
      </c>
      <c r="FL142">
        <v>1</v>
      </c>
      <c r="FM142" t="s">
        <v>1127</v>
      </c>
      <c r="FN142" t="s">
        <v>3878</v>
      </c>
      <c r="FO142">
        <v>1</v>
      </c>
      <c r="FP142" t="s">
        <v>3879</v>
      </c>
      <c r="FQ142" t="s">
        <v>3874</v>
      </c>
      <c r="FR142">
        <v>1</v>
      </c>
      <c r="FS142" t="s">
        <v>3880</v>
      </c>
      <c r="FT142" t="s">
        <v>3881</v>
      </c>
      <c r="FU142">
        <v>1</v>
      </c>
      <c r="FV142" t="s">
        <v>3882</v>
      </c>
      <c r="FW142" t="s">
        <v>3883</v>
      </c>
      <c r="FX142">
        <v>1</v>
      </c>
      <c r="FY142" t="s">
        <v>890</v>
      </c>
      <c r="FZ142" t="s">
        <v>3884</v>
      </c>
      <c r="GA142" t="s">
        <v>3875</v>
      </c>
      <c r="GB142">
        <v>1</v>
      </c>
      <c r="GD142">
        <v>0</v>
      </c>
      <c r="GF142">
        <v>0</v>
      </c>
      <c r="GG142">
        <v>1</v>
      </c>
      <c r="GH142" t="s">
        <v>892</v>
      </c>
      <c r="GI142" t="s">
        <v>893</v>
      </c>
      <c r="GJ142" t="s">
        <v>3876</v>
      </c>
      <c r="GM142">
        <v>1</v>
      </c>
      <c r="GN142">
        <v>0</v>
      </c>
      <c r="GO142">
        <v>0</v>
      </c>
      <c r="GP142">
        <v>1</v>
      </c>
      <c r="GQ142">
        <v>1</v>
      </c>
      <c r="GR142">
        <v>0</v>
      </c>
      <c r="GS142">
        <v>1</v>
      </c>
      <c r="GT142">
        <v>0</v>
      </c>
      <c r="GU142">
        <v>1</v>
      </c>
      <c r="GV142">
        <v>0</v>
      </c>
      <c r="GW142">
        <v>1</v>
      </c>
      <c r="GX142">
        <v>0</v>
      </c>
      <c r="GY142">
        <v>1</v>
      </c>
      <c r="GZ142">
        <v>0</v>
      </c>
      <c r="HA142" t="s">
        <v>395</v>
      </c>
      <c r="HB142" t="s">
        <v>894</v>
      </c>
      <c r="HC142" t="s">
        <v>895</v>
      </c>
      <c r="HD142" t="s">
        <v>845</v>
      </c>
      <c r="HE142" t="s">
        <v>836</v>
      </c>
      <c r="HF142" t="s">
        <v>873</v>
      </c>
      <c r="HG142" t="s">
        <v>894</v>
      </c>
      <c r="HH142" t="s">
        <v>895</v>
      </c>
      <c r="HI142" t="s">
        <v>845</v>
      </c>
      <c r="HJ142" t="s">
        <v>836</v>
      </c>
      <c r="HK142" t="s">
        <v>873</v>
      </c>
      <c r="HL142" t="s">
        <v>1109</v>
      </c>
      <c r="HM142" t="s">
        <v>854</v>
      </c>
      <c r="HN142">
        <v>36805</v>
      </c>
      <c r="HP142" t="s">
        <v>159</v>
      </c>
      <c r="HQ142" t="s">
        <v>896</v>
      </c>
      <c r="HR142" t="s">
        <v>896</v>
      </c>
      <c r="HS142" t="s">
        <v>896</v>
      </c>
    </row>
    <row r="143" spans="1:227" x14ac:dyDescent="0.2">
      <c r="A143">
        <v>8702</v>
      </c>
      <c r="B143">
        <v>7600619523</v>
      </c>
      <c r="C143">
        <v>34</v>
      </c>
      <c r="D143" t="s">
        <v>996</v>
      </c>
      <c r="E143" t="s">
        <v>897</v>
      </c>
      <c r="F143">
        <v>1</v>
      </c>
      <c r="G143" t="s">
        <v>3885</v>
      </c>
      <c r="H143" t="s">
        <v>3885</v>
      </c>
      <c r="I143">
        <v>0</v>
      </c>
      <c r="J143" t="s">
        <v>833</v>
      </c>
      <c r="K143" t="s">
        <v>834</v>
      </c>
      <c r="L143">
        <v>152946619</v>
      </c>
      <c r="M143" t="s">
        <v>3886</v>
      </c>
      <c r="N143" t="s">
        <v>900</v>
      </c>
      <c r="O143" t="s">
        <v>837</v>
      </c>
      <c r="P143" t="s">
        <v>999</v>
      </c>
      <c r="Q143" t="s">
        <v>1027</v>
      </c>
      <c r="R143" t="s">
        <v>3887</v>
      </c>
      <c r="S143" t="s">
        <v>3888</v>
      </c>
      <c r="T143">
        <v>30300136758</v>
      </c>
      <c r="V143" t="s">
        <v>200</v>
      </c>
      <c r="W143" s="41">
        <v>46028</v>
      </c>
      <c r="X143" t="s">
        <v>3889</v>
      </c>
      <c r="Y143" t="s">
        <v>3890</v>
      </c>
      <c r="Z143">
        <v>1</v>
      </c>
      <c r="AA143">
        <v>0</v>
      </c>
      <c r="AB143" t="s">
        <v>845</v>
      </c>
      <c r="AC143" t="s">
        <v>846</v>
      </c>
      <c r="AD143" t="s">
        <v>847</v>
      </c>
      <c r="AE143" t="s">
        <v>848</v>
      </c>
      <c r="AF143">
        <v>1</v>
      </c>
      <c r="AG143">
        <v>452210</v>
      </c>
      <c r="AH143" t="s">
        <v>849</v>
      </c>
      <c r="AI143" t="s">
        <v>850</v>
      </c>
      <c r="AJ143" t="s">
        <v>851</v>
      </c>
      <c r="AK143" t="s">
        <v>267</v>
      </c>
      <c r="AL143" t="s">
        <v>3244</v>
      </c>
      <c r="AM143" t="s">
        <v>3245</v>
      </c>
      <c r="AN143" t="s">
        <v>854</v>
      </c>
      <c r="AO143">
        <v>36805</v>
      </c>
      <c r="AP143">
        <v>642</v>
      </c>
      <c r="AQ143" t="s">
        <v>855</v>
      </c>
      <c r="AR143">
        <v>66278318</v>
      </c>
      <c r="AS143" t="s">
        <v>856</v>
      </c>
      <c r="AU143" t="s">
        <v>3891</v>
      </c>
      <c r="AV143" t="s">
        <v>3892</v>
      </c>
      <c r="AX143" t="s">
        <v>913</v>
      </c>
      <c r="AY143" t="s">
        <v>861</v>
      </c>
      <c r="AZ143" t="s">
        <v>267</v>
      </c>
      <c r="BA143" t="s">
        <v>268</v>
      </c>
      <c r="BB143">
        <v>0</v>
      </c>
      <c r="BC143">
        <v>0</v>
      </c>
      <c r="BD143">
        <v>1</v>
      </c>
      <c r="BE143" t="s">
        <v>3886</v>
      </c>
      <c r="BF143">
        <v>0</v>
      </c>
      <c r="BG143">
        <v>0</v>
      </c>
      <c r="BH143" t="s">
        <v>862</v>
      </c>
      <c r="BI143">
        <v>0</v>
      </c>
      <c r="BJ143" t="s">
        <v>862</v>
      </c>
      <c r="BK143">
        <v>1</v>
      </c>
      <c r="BL143">
        <v>1</v>
      </c>
      <c r="BM143">
        <v>0</v>
      </c>
      <c r="BN143" t="s">
        <v>596</v>
      </c>
      <c r="BO143">
        <v>152946619</v>
      </c>
      <c r="BP143" t="s">
        <v>3885</v>
      </c>
      <c r="BR143">
        <v>42791773</v>
      </c>
      <c r="BT143">
        <v>2</v>
      </c>
      <c r="BU143" t="s">
        <v>1367</v>
      </c>
      <c r="CE143">
        <v>1</v>
      </c>
      <c r="CI143">
        <v>11</v>
      </c>
      <c r="CJ143" t="s">
        <v>94</v>
      </c>
      <c r="CM143">
        <v>4010</v>
      </c>
      <c r="CO143">
        <v>7360</v>
      </c>
      <c r="CP143">
        <v>1.0166999999999999</v>
      </c>
      <c r="CQ143">
        <v>1.0166999999999999</v>
      </c>
      <c r="CR143">
        <v>0.31669999999999998</v>
      </c>
      <c r="CS143">
        <v>1</v>
      </c>
      <c r="CT143" t="s">
        <v>3893</v>
      </c>
      <c r="CU143" t="s">
        <v>3894</v>
      </c>
      <c r="CV143" t="s">
        <v>833</v>
      </c>
      <c r="CW143" t="s">
        <v>834</v>
      </c>
      <c r="CX143" t="s">
        <v>3886</v>
      </c>
      <c r="CY143">
        <v>1</v>
      </c>
      <c r="CZ143">
        <v>1</v>
      </c>
      <c r="DA143" t="s">
        <v>833</v>
      </c>
      <c r="DB143" t="s">
        <v>865</v>
      </c>
      <c r="DC143">
        <v>48168</v>
      </c>
      <c r="DD143">
        <v>2.65</v>
      </c>
      <c r="DE143" t="s">
        <v>866</v>
      </c>
      <c r="DG143" t="s">
        <v>867</v>
      </c>
      <c r="DH143" t="s">
        <v>851</v>
      </c>
      <c r="DI143" t="s">
        <v>3895</v>
      </c>
      <c r="DK143" t="s">
        <v>918</v>
      </c>
      <c r="DL143" t="s">
        <v>869</v>
      </c>
      <c r="DM143">
        <v>0</v>
      </c>
      <c r="DN143">
        <v>0</v>
      </c>
      <c r="DO143">
        <v>11</v>
      </c>
      <c r="DP143" t="s">
        <v>1010</v>
      </c>
      <c r="DQ143">
        <v>12</v>
      </c>
      <c r="DR143">
        <v>159</v>
      </c>
      <c r="DS143">
        <v>159</v>
      </c>
      <c r="DT143">
        <v>1.6333</v>
      </c>
      <c r="DU143">
        <v>4</v>
      </c>
      <c r="DV143">
        <v>1</v>
      </c>
      <c r="DW143">
        <v>1</v>
      </c>
      <c r="DX143" t="s">
        <v>596</v>
      </c>
      <c r="DY143" t="s">
        <v>3886</v>
      </c>
      <c r="DZ143">
        <v>1</v>
      </c>
      <c r="EA143">
        <v>1</v>
      </c>
      <c r="EB143">
        <v>1</v>
      </c>
      <c r="EC143">
        <v>1</v>
      </c>
      <c r="ED143">
        <v>1</v>
      </c>
      <c r="EE143">
        <v>1</v>
      </c>
      <c r="EF143" t="s">
        <v>920</v>
      </c>
      <c r="EG143" t="s">
        <v>595</v>
      </c>
      <c r="EH143" t="s">
        <v>1036</v>
      </c>
      <c r="EI143" t="s">
        <v>1036</v>
      </c>
      <c r="EJ143" t="s">
        <v>178</v>
      </c>
      <c r="EK143">
        <v>9090</v>
      </c>
      <c r="EL143">
        <v>0</v>
      </c>
      <c r="EM143" t="s">
        <v>952</v>
      </c>
      <c r="EN143">
        <v>0.31669999999999998</v>
      </c>
      <c r="EO143">
        <v>2.65</v>
      </c>
      <c r="EP143">
        <v>99991120</v>
      </c>
      <c r="EQ143" t="s">
        <v>874</v>
      </c>
      <c r="ER143" t="s">
        <v>875</v>
      </c>
      <c r="ES143" t="s">
        <v>876</v>
      </c>
      <c r="ET143" t="s">
        <v>877</v>
      </c>
      <c r="EU143" t="s">
        <v>877</v>
      </c>
      <c r="EV143" t="s">
        <v>920</v>
      </c>
      <c r="EX143" t="s">
        <v>953</v>
      </c>
      <c r="EY143" t="s">
        <v>954</v>
      </c>
      <c r="EZ143" t="s">
        <v>955</v>
      </c>
      <c r="FA143" t="s">
        <v>956</v>
      </c>
      <c r="FB143">
        <v>1</v>
      </c>
      <c r="FC143">
        <v>1</v>
      </c>
      <c r="FD143" s="41">
        <v>46032</v>
      </c>
      <c r="FE143" t="s">
        <v>1370</v>
      </c>
      <c r="FF143">
        <v>4</v>
      </c>
      <c r="FI143">
        <v>0</v>
      </c>
      <c r="FL143">
        <v>0</v>
      </c>
      <c r="FM143" t="s">
        <v>3896</v>
      </c>
      <c r="FN143" t="s">
        <v>3897</v>
      </c>
      <c r="FO143">
        <v>1</v>
      </c>
      <c r="FP143" t="s">
        <v>3898</v>
      </c>
      <c r="FQ143" t="s">
        <v>3894</v>
      </c>
      <c r="FR143">
        <v>1</v>
      </c>
      <c r="FS143" t="s">
        <v>3249</v>
      </c>
      <c r="FT143" t="s">
        <v>3899</v>
      </c>
      <c r="FU143">
        <v>1</v>
      </c>
      <c r="FV143" t="s">
        <v>3900</v>
      </c>
      <c r="FW143" t="s">
        <v>3901</v>
      </c>
      <c r="FX143">
        <v>1</v>
      </c>
      <c r="FY143" t="s">
        <v>890</v>
      </c>
      <c r="FZ143" t="s">
        <v>3902</v>
      </c>
      <c r="GA143" t="s">
        <v>3900</v>
      </c>
      <c r="GB143">
        <v>1</v>
      </c>
      <c r="GD143">
        <v>0</v>
      </c>
      <c r="GF143">
        <v>0</v>
      </c>
      <c r="GG143">
        <v>1</v>
      </c>
      <c r="GH143" t="s">
        <v>892</v>
      </c>
      <c r="GI143" t="s">
        <v>893</v>
      </c>
      <c r="GJ143" t="s">
        <v>3901</v>
      </c>
      <c r="GM143">
        <v>1</v>
      </c>
      <c r="GN143">
        <v>1</v>
      </c>
      <c r="GO143">
        <v>0</v>
      </c>
      <c r="GP143">
        <v>1</v>
      </c>
      <c r="GQ143">
        <v>1</v>
      </c>
      <c r="GR143">
        <v>0</v>
      </c>
      <c r="GS143">
        <v>1</v>
      </c>
      <c r="GT143">
        <v>0</v>
      </c>
      <c r="GU143">
        <v>1</v>
      </c>
      <c r="GV143">
        <v>0</v>
      </c>
      <c r="GW143">
        <v>1</v>
      </c>
      <c r="GX143">
        <v>0</v>
      </c>
      <c r="GY143">
        <v>1</v>
      </c>
      <c r="GZ143">
        <v>0</v>
      </c>
      <c r="HA143" t="s">
        <v>267</v>
      </c>
      <c r="HB143" t="s">
        <v>894</v>
      </c>
      <c r="HC143" t="s">
        <v>935</v>
      </c>
      <c r="HD143" t="s">
        <v>845</v>
      </c>
      <c r="HE143" t="s">
        <v>900</v>
      </c>
      <c r="HF143" t="s">
        <v>923</v>
      </c>
      <c r="HG143" t="s">
        <v>894</v>
      </c>
      <c r="HH143" t="s">
        <v>935</v>
      </c>
      <c r="HI143" t="s">
        <v>845</v>
      </c>
      <c r="HJ143" t="s">
        <v>900</v>
      </c>
      <c r="HK143" t="s">
        <v>952</v>
      </c>
      <c r="HL143" t="s">
        <v>200</v>
      </c>
      <c r="HM143" t="s">
        <v>854</v>
      </c>
      <c r="HN143">
        <v>36805</v>
      </c>
      <c r="HP143" t="s">
        <v>178</v>
      </c>
      <c r="HQ143" t="s">
        <v>896</v>
      </c>
      <c r="HR143" t="s">
        <v>896</v>
      </c>
      <c r="HS143" t="s">
        <v>896</v>
      </c>
    </row>
    <row r="144" spans="1:227" x14ac:dyDescent="0.2">
      <c r="A144">
        <v>8702</v>
      </c>
      <c r="B144">
        <v>7600701669</v>
      </c>
      <c r="C144" t="s">
        <v>829</v>
      </c>
      <c r="D144" t="s">
        <v>830</v>
      </c>
      <c r="E144" t="s">
        <v>831</v>
      </c>
      <c r="F144">
        <v>1</v>
      </c>
      <c r="G144" t="s">
        <v>3903</v>
      </c>
      <c r="H144" t="s">
        <v>3903</v>
      </c>
      <c r="I144">
        <v>0</v>
      </c>
      <c r="J144" t="s">
        <v>833</v>
      </c>
      <c r="K144" t="s">
        <v>834</v>
      </c>
      <c r="L144">
        <v>153402684</v>
      </c>
      <c r="M144" t="s">
        <v>3321</v>
      </c>
      <c r="N144" t="s">
        <v>836</v>
      </c>
      <c r="O144" t="s">
        <v>837</v>
      </c>
      <c r="P144" t="s">
        <v>838</v>
      </c>
      <c r="Q144" t="s">
        <v>901</v>
      </c>
      <c r="R144" t="s">
        <v>3904</v>
      </c>
      <c r="S144" t="s">
        <v>3905</v>
      </c>
      <c r="T144">
        <v>41477124347</v>
      </c>
      <c r="V144" t="s">
        <v>189</v>
      </c>
      <c r="W144" s="41">
        <v>46030</v>
      </c>
      <c r="X144" t="s">
        <v>3906</v>
      </c>
      <c r="Y144" t="s">
        <v>3907</v>
      </c>
      <c r="Z144" t="s">
        <v>3908</v>
      </c>
      <c r="AA144">
        <v>0</v>
      </c>
      <c r="AB144" t="s">
        <v>845</v>
      </c>
      <c r="AC144" t="s">
        <v>846</v>
      </c>
      <c r="AD144" t="s">
        <v>847</v>
      </c>
      <c r="AE144" t="s">
        <v>848</v>
      </c>
      <c r="AF144">
        <v>1</v>
      </c>
      <c r="AG144">
        <v>452210</v>
      </c>
      <c r="AH144" t="s">
        <v>849</v>
      </c>
      <c r="AI144" t="s">
        <v>850</v>
      </c>
      <c r="AJ144" t="s">
        <v>851</v>
      </c>
      <c r="AK144" t="s">
        <v>383</v>
      </c>
      <c r="AL144" t="s">
        <v>2121</v>
      </c>
      <c r="AM144" t="s">
        <v>2646</v>
      </c>
      <c r="AN144" t="s">
        <v>854</v>
      </c>
      <c r="AO144">
        <v>36805</v>
      </c>
      <c r="AP144">
        <v>635</v>
      </c>
      <c r="AQ144" t="s">
        <v>855</v>
      </c>
      <c r="AR144">
        <v>66281325</v>
      </c>
      <c r="AS144" t="s">
        <v>856</v>
      </c>
      <c r="AU144" t="s">
        <v>3909</v>
      </c>
      <c r="AV144" t="s">
        <v>3910</v>
      </c>
      <c r="AX144" t="s">
        <v>913</v>
      </c>
      <c r="AY144" t="s">
        <v>861</v>
      </c>
      <c r="AZ144" t="s">
        <v>383</v>
      </c>
      <c r="BA144" t="s">
        <v>384</v>
      </c>
      <c r="BB144">
        <v>0</v>
      </c>
      <c r="BC144">
        <v>1</v>
      </c>
      <c r="BD144">
        <v>0</v>
      </c>
      <c r="BE144" t="s">
        <v>3321</v>
      </c>
      <c r="BF144">
        <v>0</v>
      </c>
      <c r="BG144">
        <v>0</v>
      </c>
      <c r="BH144" t="s">
        <v>862</v>
      </c>
      <c r="BI144">
        <v>0</v>
      </c>
      <c r="BJ144" t="s">
        <v>862</v>
      </c>
      <c r="BK144">
        <v>1</v>
      </c>
      <c r="BL144">
        <v>1</v>
      </c>
      <c r="BM144">
        <v>0</v>
      </c>
      <c r="BN144" t="s">
        <v>596</v>
      </c>
      <c r="BO144">
        <v>153402684</v>
      </c>
      <c r="BP144" t="s">
        <v>3903</v>
      </c>
      <c r="BQ144">
        <v>41.926820800000002</v>
      </c>
      <c r="BR144">
        <v>42791757</v>
      </c>
      <c r="BS144">
        <v>-87.680578999999994</v>
      </c>
      <c r="BT144">
        <v>1</v>
      </c>
      <c r="BU144" t="s">
        <v>1367</v>
      </c>
      <c r="CI144">
        <v>11</v>
      </c>
      <c r="CJ144" t="s">
        <v>94</v>
      </c>
      <c r="CM144">
        <v>4010</v>
      </c>
      <c r="CO144">
        <v>7360</v>
      </c>
      <c r="CP144">
        <v>2.9333</v>
      </c>
      <c r="CQ144">
        <v>2.9333</v>
      </c>
      <c r="CR144">
        <v>3.0667</v>
      </c>
      <c r="CS144">
        <v>0</v>
      </c>
      <c r="CT144" t="s">
        <v>3910</v>
      </c>
      <c r="CU144" t="s">
        <v>3909</v>
      </c>
      <c r="CV144" t="s">
        <v>833</v>
      </c>
      <c r="CW144" t="s">
        <v>834</v>
      </c>
      <c r="CX144" t="s">
        <v>3321</v>
      </c>
      <c r="CY144">
        <v>1</v>
      </c>
      <c r="CZ144">
        <v>1</v>
      </c>
      <c r="DA144" t="s">
        <v>833</v>
      </c>
      <c r="DB144" t="s">
        <v>865</v>
      </c>
      <c r="DC144">
        <v>60647</v>
      </c>
      <c r="DD144">
        <v>23.366700000000002</v>
      </c>
      <c r="DE144" t="s">
        <v>866</v>
      </c>
      <c r="DG144" t="s">
        <v>867</v>
      </c>
      <c r="DH144" t="s">
        <v>851</v>
      </c>
      <c r="DI144" t="s">
        <v>1154</v>
      </c>
      <c r="DK144" t="s">
        <v>918</v>
      </c>
      <c r="DL144" t="s">
        <v>869</v>
      </c>
      <c r="DM144">
        <v>0</v>
      </c>
      <c r="DN144">
        <v>0</v>
      </c>
      <c r="DO144">
        <v>11</v>
      </c>
      <c r="DP144" t="s">
        <v>1010</v>
      </c>
      <c r="DQ144">
        <v>16</v>
      </c>
      <c r="DR144">
        <v>1402</v>
      </c>
      <c r="DS144">
        <v>2842</v>
      </c>
      <c r="DT144">
        <v>2.6333000000000002</v>
      </c>
      <c r="DU144">
        <v>4</v>
      </c>
      <c r="DV144">
        <v>1</v>
      </c>
      <c r="DW144">
        <v>2</v>
      </c>
      <c r="DX144" t="s">
        <v>596</v>
      </c>
      <c r="DY144" t="s">
        <v>3321</v>
      </c>
      <c r="DZ144">
        <v>0</v>
      </c>
      <c r="EA144">
        <v>0</v>
      </c>
      <c r="EB144">
        <v>1</v>
      </c>
      <c r="EC144">
        <v>1</v>
      </c>
      <c r="ED144">
        <v>1</v>
      </c>
      <c r="EE144">
        <v>1</v>
      </c>
      <c r="EF144" t="s">
        <v>920</v>
      </c>
      <c r="EG144" t="s">
        <v>595</v>
      </c>
      <c r="EH144" t="s">
        <v>921</v>
      </c>
      <c r="EI144" t="s">
        <v>921</v>
      </c>
      <c r="EJ144" t="s">
        <v>181</v>
      </c>
      <c r="EK144">
        <v>9090</v>
      </c>
      <c r="EL144">
        <v>1</v>
      </c>
      <c r="EM144" t="s">
        <v>1436</v>
      </c>
      <c r="EN144">
        <v>3.0667</v>
      </c>
      <c r="EO144">
        <v>47.366666600000002</v>
      </c>
      <c r="EP144">
        <v>99991120</v>
      </c>
      <c r="EQ144" t="s">
        <v>874</v>
      </c>
      <c r="ER144" t="s">
        <v>875</v>
      </c>
      <c r="ES144" t="s">
        <v>876</v>
      </c>
      <c r="ET144" t="s">
        <v>877</v>
      </c>
      <c r="EU144" t="s">
        <v>877</v>
      </c>
      <c r="EV144" t="s">
        <v>920</v>
      </c>
      <c r="EX144" t="s">
        <v>836</v>
      </c>
      <c r="EY144" t="s">
        <v>873</v>
      </c>
      <c r="EZ144" t="s">
        <v>1437</v>
      </c>
      <c r="FA144" t="s">
        <v>956</v>
      </c>
      <c r="FB144">
        <v>1</v>
      </c>
      <c r="FC144">
        <v>2</v>
      </c>
      <c r="FD144" s="41">
        <v>46032</v>
      </c>
      <c r="FE144" t="s">
        <v>1370</v>
      </c>
      <c r="FF144">
        <v>13</v>
      </c>
      <c r="FG144" t="s">
        <v>3911</v>
      </c>
      <c r="FH144" t="s">
        <v>3912</v>
      </c>
      <c r="FI144">
        <v>1</v>
      </c>
      <c r="FJ144" t="s">
        <v>3913</v>
      </c>
      <c r="FK144" t="s">
        <v>3912</v>
      </c>
      <c r="FL144">
        <v>1</v>
      </c>
      <c r="FM144" t="s">
        <v>3329</v>
      </c>
      <c r="FN144" t="s">
        <v>3914</v>
      </c>
      <c r="FO144">
        <v>1</v>
      </c>
      <c r="FP144" t="s">
        <v>3915</v>
      </c>
      <c r="FQ144" t="s">
        <v>3909</v>
      </c>
      <c r="FR144">
        <v>1</v>
      </c>
      <c r="FS144" t="s">
        <v>2129</v>
      </c>
      <c r="FT144" t="s">
        <v>3916</v>
      </c>
      <c r="FU144">
        <v>1</v>
      </c>
      <c r="FV144" t="s">
        <v>3235</v>
      </c>
      <c r="FW144" t="s">
        <v>3917</v>
      </c>
      <c r="FX144">
        <v>1</v>
      </c>
      <c r="FY144" t="s">
        <v>890</v>
      </c>
      <c r="FZ144" t="s">
        <v>3918</v>
      </c>
      <c r="GA144" t="s">
        <v>3913</v>
      </c>
      <c r="GB144">
        <v>1</v>
      </c>
      <c r="GD144">
        <v>0</v>
      </c>
      <c r="GF144">
        <v>0</v>
      </c>
      <c r="GG144">
        <v>1</v>
      </c>
      <c r="GH144" t="s">
        <v>892</v>
      </c>
      <c r="GI144" t="s">
        <v>893</v>
      </c>
      <c r="GJ144" t="s">
        <v>3912</v>
      </c>
      <c r="GM144">
        <v>1</v>
      </c>
      <c r="GN144">
        <v>0</v>
      </c>
      <c r="GO144">
        <v>0</v>
      </c>
      <c r="GP144">
        <v>1</v>
      </c>
      <c r="GQ144">
        <v>1</v>
      </c>
      <c r="GR144">
        <v>0</v>
      </c>
      <c r="GS144">
        <v>1</v>
      </c>
      <c r="GT144">
        <v>0</v>
      </c>
      <c r="GU144">
        <v>1</v>
      </c>
      <c r="GV144">
        <v>0</v>
      </c>
      <c r="GW144">
        <v>1</v>
      </c>
      <c r="GX144">
        <v>0</v>
      </c>
      <c r="GY144">
        <v>1</v>
      </c>
      <c r="GZ144">
        <v>0</v>
      </c>
      <c r="HA144" t="s">
        <v>383</v>
      </c>
      <c r="HB144" t="s">
        <v>894</v>
      </c>
      <c r="HC144" t="s">
        <v>895</v>
      </c>
      <c r="HD144" t="s">
        <v>845</v>
      </c>
      <c r="HE144" t="s">
        <v>836</v>
      </c>
      <c r="HF144" t="s">
        <v>873</v>
      </c>
      <c r="HG144" t="s">
        <v>894</v>
      </c>
      <c r="HH144" t="s">
        <v>895</v>
      </c>
      <c r="HI144" t="s">
        <v>845</v>
      </c>
      <c r="HJ144" t="s">
        <v>836</v>
      </c>
      <c r="HK144" t="s">
        <v>1436</v>
      </c>
      <c r="HL144" t="s">
        <v>189</v>
      </c>
      <c r="HM144" t="s">
        <v>854</v>
      </c>
      <c r="HN144">
        <v>36805</v>
      </c>
      <c r="HO144">
        <v>1</v>
      </c>
      <c r="HP144" t="s">
        <v>181</v>
      </c>
      <c r="HQ144" t="s">
        <v>896</v>
      </c>
      <c r="HR144" t="s">
        <v>896</v>
      </c>
      <c r="HS144" t="s">
        <v>896</v>
      </c>
    </row>
    <row r="145" spans="1:227" x14ac:dyDescent="0.2">
      <c r="A145">
        <v>8702</v>
      </c>
      <c r="B145">
        <v>7528502232</v>
      </c>
      <c r="C145" t="s">
        <v>936</v>
      </c>
      <c r="D145" t="s">
        <v>937</v>
      </c>
      <c r="E145" t="s">
        <v>831</v>
      </c>
      <c r="F145">
        <v>0</v>
      </c>
      <c r="G145" t="s">
        <v>3919</v>
      </c>
      <c r="H145" t="s">
        <v>3919</v>
      </c>
      <c r="I145">
        <v>0</v>
      </c>
      <c r="J145" t="s">
        <v>833</v>
      </c>
      <c r="K145" t="s">
        <v>834</v>
      </c>
      <c r="L145">
        <v>156046177</v>
      </c>
      <c r="M145" t="s">
        <v>1729</v>
      </c>
      <c r="N145" t="s">
        <v>836</v>
      </c>
      <c r="O145" t="s">
        <v>837</v>
      </c>
      <c r="P145" t="s">
        <v>940</v>
      </c>
      <c r="Q145" t="s">
        <v>2404</v>
      </c>
      <c r="R145" t="s">
        <v>3920</v>
      </c>
      <c r="S145" t="s">
        <v>3921</v>
      </c>
      <c r="T145">
        <v>41477086390</v>
      </c>
      <c r="V145" t="s">
        <v>1732</v>
      </c>
      <c r="W145" s="41">
        <v>45943</v>
      </c>
      <c r="X145" t="s">
        <v>3922</v>
      </c>
      <c r="Y145" t="s">
        <v>3923</v>
      </c>
      <c r="AA145">
        <v>0</v>
      </c>
      <c r="AB145" t="s">
        <v>845</v>
      </c>
      <c r="AC145" t="s">
        <v>846</v>
      </c>
      <c r="AD145" t="s">
        <v>847</v>
      </c>
      <c r="AE145" t="s">
        <v>848</v>
      </c>
      <c r="AF145">
        <v>1</v>
      </c>
      <c r="AG145">
        <v>452210</v>
      </c>
      <c r="AH145" t="s">
        <v>849</v>
      </c>
      <c r="AI145" t="s">
        <v>850</v>
      </c>
      <c r="AJ145" t="s">
        <v>851</v>
      </c>
      <c r="AK145" t="s">
        <v>301</v>
      </c>
      <c r="AL145" t="s">
        <v>1086</v>
      </c>
      <c r="AM145" t="s">
        <v>1736</v>
      </c>
      <c r="AN145" t="s">
        <v>854</v>
      </c>
      <c r="AO145">
        <v>36805</v>
      </c>
      <c r="AP145">
        <v>494</v>
      </c>
      <c r="AQ145" t="s">
        <v>855</v>
      </c>
      <c r="AR145">
        <v>66156023</v>
      </c>
      <c r="AS145" t="s">
        <v>856</v>
      </c>
      <c r="AU145" t="s">
        <v>3924</v>
      </c>
      <c r="AV145" t="s">
        <v>3925</v>
      </c>
      <c r="AX145" t="s">
        <v>913</v>
      </c>
      <c r="AY145" t="s">
        <v>861</v>
      </c>
      <c r="AZ145" t="s">
        <v>301</v>
      </c>
      <c r="BA145" t="s">
        <v>302</v>
      </c>
      <c r="BB145">
        <v>0</v>
      </c>
      <c r="BC145">
        <v>0</v>
      </c>
      <c r="BD145">
        <v>0</v>
      </c>
      <c r="BE145" t="s">
        <v>1729</v>
      </c>
      <c r="BF145">
        <v>0</v>
      </c>
      <c r="BG145">
        <v>0</v>
      </c>
      <c r="BH145" t="s">
        <v>862</v>
      </c>
      <c r="BI145">
        <v>0</v>
      </c>
      <c r="BJ145" t="s">
        <v>862</v>
      </c>
      <c r="BK145">
        <v>1</v>
      </c>
      <c r="BL145">
        <v>1</v>
      </c>
      <c r="BM145">
        <v>0</v>
      </c>
      <c r="BN145" t="s">
        <v>596</v>
      </c>
      <c r="BO145">
        <v>156046177</v>
      </c>
      <c r="BP145" t="s">
        <v>3919</v>
      </c>
      <c r="BR145">
        <v>42789059</v>
      </c>
      <c r="BT145">
        <v>0</v>
      </c>
      <c r="CM145">
        <v>4010</v>
      </c>
      <c r="CO145">
        <v>7360</v>
      </c>
      <c r="CP145">
        <v>0.16669999999999999</v>
      </c>
      <c r="CQ145">
        <v>0.16669999999999999</v>
      </c>
      <c r="CR145">
        <v>0.2</v>
      </c>
      <c r="CS145">
        <v>4</v>
      </c>
      <c r="CT145" t="s">
        <v>3926</v>
      </c>
      <c r="CU145" t="s">
        <v>3927</v>
      </c>
      <c r="CV145" t="s">
        <v>833</v>
      </c>
      <c r="CW145" t="s">
        <v>834</v>
      </c>
      <c r="CX145" t="s">
        <v>1729</v>
      </c>
      <c r="CY145">
        <v>0</v>
      </c>
      <c r="CZ145">
        <v>0</v>
      </c>
      <c r="DA145" t="s">
        <v>833</v>
      </c>
      <c r="DB145" t="s">
        <v>865</v>
      </c>
      <c r="DC145">
        <v>63123</v>
      </c>
      <c r="DD145">
        <v>14.283300000000001</v>
      </c>
      <c r="DE145" t="s">
        <v>866</v>
      </c>
      <c r="DG145" t="s">
        <v>867</v>
      </c>
      <c r="DH145" t="s">
        <v>851</v>
      </c>
      <c r="DI145" t="s">
        <v>984</v>
      </c>
      <c r="DL145" t="s">
        <v>869</v>
      </c>
      <c r="DM145">
        <v>0</v>
      </c>
      <c r="DN145">
        <v>0</v>
      </c>
      <c r="DO145">
        <v>3</v>
      </c>
      <c r="DP145" t="s">
        <v>919</v>
      </c>
      <c r="DQ145">
        <v>16</v>
      </c>
      <c r="DR145">
        <v>857</v>
      </c>
      <c r="DS145">
        <v>1577</v>
      </c>
      <c r="DT145">
        <v>14.1167</v>
      </c>
      <c r="DU145">
        <v>4</v>
      </c>
      <c r="DW145">
        <v>2</v>
      </c>
      <c r="DX145" t="s">
        <v>596</v>
      </c>
      <c r="DY145" t="s">
        <v>1729</v>
      </c>
      <c r="DZ145">
        <v>1</v>
      </c>
      <c r="EA145">
        <v>1</v>
      </c>
      <c r="EB145">
        <v>1</v>
      </c>
      <c r="EC145">
        <v>0</v>
      </c>
      <c r="ED145">
        <v>0</v>
      </c>
      <c r="EE145">
        <v>1</v>
      </c>
      <c r="EF145" t="s">
        <v>920</v>
      </c>
      <c r="EG145" t="s">
        <v>595</v>
      </c>
      <c r="EH145" t="s">
        <v>921</v>
      </c>
      <c r="EI145" t="s">
        <v>921</v>
      </c>
      <c r="EJ145" t="s">
        <v>111</v>
      </c>
      <c r="EK145">
        <v>9090</v>
      </c>
      <c r="EL145">
        <v>0</v>
      </c>
      <c r="EM145" t="s">
        <v>1037</v>
      </c>
      <c r="EN145">
        <v>0.2</v>
      </c>
      <c r="EO145">
        <v>26.283333299999999</v>
      </c>
      <c r="EP145">
        <v>99991120</v>
      </c>
      <c r="EQ145" t="s">
        <v>874</v>
      </c>
      <c r="ER145" t="s">
        <v>875</v>
      </c>
      <c r="ES145" t="s">
        <v>876</v>
      </c>
      <c r="ET145" t="s">
        <v>877</v>
      </c>
      <c r="EU145" t="s">
        <v>877</v>
      </c>
      <c r="EV145" t="s">
        <v>920</v>
      </c>
      <c r="EX145" t="s">
        <v>900</v>
      </c>
      <c r="EY145" t="s">
        <v>923</v>
      </c>
      <c r="EZ145" t="s">
        <v>1038</v>
      </c>
      <c r="FA145" t="s">
        <v>925</v>
      </c>
      <c r="FB145">
        <v>1</v>
      </c>
      <c r="FC145">
        <v>1</v>
      </c>
      <c r="FD145" s="41">
        <v>45948</v>
      </c>
      <c r="FE145" t="s">
        <v>1039</v>
      </c>
      <c r="FF145">
        <v>7</v>
      </c>
      <c r="FG145" t="s">
        <v>3928</v>
      </c>
      <c r="FH145" t="s">
        <v>3929</v>
      </c>
      <c r="FI145">
        <v>1</v>
      </c>
      <c r="FJ145" t="s">
        <v>3930</v>
      </c>
      <c r="FK145" t="s">
        <v>3931</v>
      </c>
      <c r="FL145">
        <v>1</v>
      </c>
      <c r="FM145" t="s">
        <v>2676</v>
      </c>
      <c r="FN145" t="s">
        <v>3932</v>
      </c>
      <c r="FO145">
        <v>1</v>
      </c>
      <c r="FP145" t="s">
        <v>3933</v>
      </c>
      <c r="FQ145" t="s">
        <v>3927</v>
      </c>
      <c r="FR145">
        <v>1</v>
      </c>
      <c r="FS145" t="s">
        <v>3934</v>
      </c>
      <c r="FT145" t="s">
        <v>3935</v>
      </c>
      <c r="FU145">
        <v>1</v>
      </c>
      <c r="FV145" t="s">
        <v>3936</v>
      </c>
      <c r="FW145" t="s">
        <v>3937</v>
      </c>
      <c r="FX145">
        <v>1</v>
      </c>
      <c r="FY145" t="s">
        <v>890</v>
      </c>
      <c r="FZ145" t="s">
        <v>3938</v>
      </c>
      <c r="GA145" t="s">
        <v>3930</v>
      </c>
      <c r="GB145">
        <v>1</v>
      </c>
      <c r="GD145">
        <v>0</v>
      </c>
      <c r="GF145">
        <v>0</v>
      </c>
      <c r="GG145">
        <v>1</v>
      </c>
      <c r="GH145" t="s">
        <v>892</v>
      </c>
      <c r="GI145" t="s">
        <v>893</v>
      </c>
      <c r="GJ145" t="s">
        <v>3931</v>
      </c>
      <c r="GM145">
        <v>1</v>
      </c>
      <c r="GN145">
        <v>1</v>
      </c>
      <c r="GO145">
        <v>0</v>
      </c>
      <c r="GP145">
        <v>1</v>
      </c>
      <c r="GQ145">
        <v>1</v>
      </c>
      <c r="GR145">
        <v>0</v>
      </c>
      <c r="GS145">
        <v>1</v>
      </c>
      <c r="GT145">
        <v>0</v>
      </c>
      <c r="GU145">
        <v>1</v>
      </c>
      <c r="GV145">
        <v>0</v>
      </c>
      <c r="GW145">
        <v>1</v>
      </c>
      <c r="GX145">
        <v>0</v>
      </c>
      <c r="GY145">
        <v>1</v>
      </c>
      <c r="GZ145">
        <v>0</v>
      </c>
      <c r="HA145" t="s">
        <v>301</v>
      </c>
      <c r="HB145" t="s">
        <v>894</v>
      </c>
      <c r="HC145" t="s">
        <v>895</v>
      </c>
      <c r="HD145" t="s">
        <v>845</v>
      </c>
      <c r="HE145" t="s">
        <v>836</v>
      </c>
      <c r="HF145" t="s">
        <v>1051</v>
      </c>
      <c r="HG145" t="s">
        <v>894</v>
      </c>
      <c r="HH145" t="s">
        <v>895</v>
      </c>
      <c r="HI145" t="s">
        <v>845</v>
      </c>
      <c r="HJ145" t="s">
        <v>836</v>
      </c>
      <c r="HK145" t="s">
        <v>1037</v>
      </c>
      <c r="HL145" t="s">
        <v>1732</v>
      </c>
      <c r="HM145" t="s">
        <v>854</v>
      </c>
      <c r="HN145">
        <v>36805</v>
      </c>
      <c r="HP145" t="s">
        <v>111</v>
      </c>
      <c r="HQ145" t="s">
        <v>896</v>
      </c>
      <c r="HR145" t="s">
        <v>896</v>
      </c>
      <c r="HS145" t="s">
        <v>896</v>
      </c>
    </row>
    <row r="146" spans="1:227" x14ac:dyDescent="0.2">
      <c r="A146">
        <v>8702</v>
      </c>
      <c r="B146">
        <v>7609301223</v>
      </c>
      <c r="C146" t="s">
        <v>936</v>
      </c>
      <c r="D146" t="s">
        <v>937</v>
      </c>
      <c r="E146" t="s">
        <v>831</v>
      </c>
      <c r="F146">
        <v>0</v>
      </c>
      <c r="G146" t="s">
        <v>3939</v>
      </c>
      <c r="H146" t="s">
        <v>3939</v>
      </c>
      <c r="I146">
        <v>0</v>
      </c>
      <c r="J146" t="s">
        <v>833</v>
      </c>
      <c r="K146" t="s">
        <v>834</v>
      </c>
      <c r="L146">
        <v>153406480</v>
      </c>
      <c r="M146" t="s">
        <v>1940</v>
      </c>
      <c r="N146" t="s">
        <v>836</v>
      </c>
      <c r="O146" t="s">
        <v>837</v>
      </c>
      <c r="P146" t="s">
        <v>940</v>
      </c>
      <c r="Q146" t="s">
        <v>941</v>
      </c>
      <c r="R146" t="s">
        <v>3940</v>
      </c>
      <c r="S146" t="s">
        <v>3941</v>
      </c>
      <c r="T146">
        <v>30300131301</v>
      </c>
      <c r="V146" t="s">
        <v>1943</v>
      </c>
      <c r="W146" s="41">
        <v>46115</v>
      </c>
      <c r="X146" t="s">
        <v>3942</v>
      </c>
      <c r="Y146" t="s">
        <v>3943</v>
      </c>
      <c r="AA146">
        <v>0</v>
      </c>
      <c r="AB146" t="s">
        <v>845</v>
      </c>
      <c r="AC146" t="s">
        <v>846</v>
      </c>
      <c r="AD146" t="s">
        <v>1113</v>
      </c>
      <c r="AE146" t="s">
        <v>1114</v>
      </c>
      <c r="AF146">
        <v>1</v>
      </c>
      <c r="AG146">
        <v>452210</v>
      </c>
      <c r="AH146" t="s">
        <v>849</v>
      </c>
      <c r="AI146" t="s">
        <v>850</v>
      </c>
      <c r="AJ146" t="s">
        <v>851</v>
      </c>
      <c r="AK146" t="s">
        <v>325</v>
      </c>
      <c r="AL146" t="s">
        <v>1946</v>
      </c>
      <c r="AM146" t="s">
        <v>1947</v>
      </c>
      <c r="AN146" t="s">
        <v>854</v>
      </c>
      <c r="AO146">
        <v>36805</v>
      </c>
      <c r="AP146">
        <v>562</v>
      </c>
      <c r="AQ146" t="s">
        <v>855</v>
      </c>
      <c r="AR146">
        <v>66403788</v>
      </c>
      <c r="AS146" t="s">
        <v>856</v>
      </c>
      <c r="AU146" t="s">
        <v>3944</v>
      </c>
      <c r="AV146" t="s">
        <v>3945</v>
      </c>
      <c r="AW146" t="s">
        <v>3946</v>
      </c>
      <c r="AX146" t="s">
        <v>3947</v>
      </c>
      <c r="AY146" t="s">
        <v>861</v>
      </c>
      <c r="AZ146" t="s">
        <v>325</v>
      </c>
      <c r="BA146" t="s">
        <v>306</v>
      </c>
      <c r="BB146">
        <v>0</v>
      </c>
      <c r="BC146">
        <v>0</v>
      </c>
      <c r="BD146">
        <v>0</v>
      </c>
      <c r="BE146" t="s">
        <v>1940</v>
      </c>
      <c r="BF146">
        <v>0</v>
      </c>
      <c r="BG146">
        <v>0</v>
      </c>
      <c r="BH146" t="s">
        <v>862</v>
      </c>
      <c r="BI146">
        <v>0</v>
      </c>
      <c r="BJ146" t="s">
        <v>862</v>
      </c>
      <c r="BK146">
        <v>1</v>
      </c>
      <c r="BL146">
        <v>0</v>
      </c>
      <c r="BM146">
        <v>0</v>
      </c>
      <c r="BN146" t="s">
        <v>596</v>
      </c>
      <c r="BO146">
        <v>153406480</v>
      </c>
      <c r="BP146" t="s">
        <v>3939</v>
      </c>
      <c r="BQ146">
        <v>45.548605299999998</v>
      </c>
      <c r="BR146">
        <v>42791464</v>
      </c>
      <c r="BS146">
        <v>-94.215500700000007</v>
      </c>
      <c r="BT146">
        <v>2</v>
      </c>
      <c r="BU146" t="s">
        <v>1119</v>
      </c>
      <c r="BY146">
        <v>16</v>
      </c>
      <c r="CA146">
        <v>3</v>
      </c>
      <c r="CE146">
        <v>1</v>
      </c>
      <c r="CI146">
        <v>11</v>
      </c>
      <c r="CJ146" t="s">
        <v>94</v>
      </c>
      <c r="CM146">
        <v>4010</v>
      </c>
      <c r="CO146">
        <v>7360</v>
      </c>
      <c r="CP146">
        <v>0.7167</v>
      </c>
      <c r="CQ146">
        <v>0.7167</v>
      </c>
      <c r="CR146">
        <v>1.7166999999999999</v>
      </c>
      <c r="CS146">
        <v>4</v>
      </c>
      <c r="CT146" t="s">
        <v>3948</v>
      </c>
      <c r="CU146" t="s">
        <v>3949</v>
      </c>
      <c r="CV146" t="s">
        <v>833</v>
      </c>
      <c r="CW146" t="s">
        <v>834</v>
      </c>
      <c r="CX146" t="s">
        <v>1940</v>
      </c>
      <c r="CY146">
        <v>0</v>
      </c>
      <c r="CZ146">
        <v>0</v>
      </c>
      <c r="DA146" t="s">
        <v>833</v>
      </c>
      <c r="DB146" t="s">
        <v>865</v>
      </c>
      <c r="DC146">
        <v>56387</v>
      </c>
      <c r="DD146">
        <v>3.3833000000000002</v>
      </c>
      <c r="DE146" t="s">
        <v>866</v>
      </c>
      <c r="DG146" t="s">
        <v>867</v>
      </c>
      <c r="DH146" t="s">
        <v>851</v>
      </c>
      <c r="DK146" t="s">
        <v>918</v>
      </c>
      <c r="DL146" t="s">
        <v>869</v>
      </c>
      <c r="DM146">
        <v>0</v>
      </c>
      <c r="DN146">
        <v>0</v>
      </c>
      <c r="DO146">
        <v>3</v>
      </c>
      <c r="DP146" t="s">
        <v>919</v>
      </c>
      <c r="DQ146">
        <v>0</v>
      </c>
      <c r="DR146">
        <v>203</v>
      </c>
      <c r="DS146">
        <v>203</v>
      </c>
      <c r="DT146">
        <v>2.6667000000000001</v>
      </c>
      <c r="DU146">
        <v>0</v>
      </c>
      <c r="DV146">
        <v>1</v>
      </c>
      <c r="DW146">
        <v>2</v>
      </c>
      <c r="DX146" t="s">
        <v>594</v>
      </c>
      <c r="DY146" t="s">
        <v>1940</v>
      </c>
      <c r="DZ146">
        <v>1</v>
      </c>
      <c r="EA146">
        <v>1</v>
      </c>
      <c r="EB146">
        <v>1</v>
      </c>
      <c r="EC146">
        <v>1</v>
      </c>
      <c r="ED146">
        <v>1</v>
      </c>
      <c r="EE146">
        <v>1</v>
      </c>
      <c r="EF146" t="s">
        <v>920</v>
      </c>
      <c r="EG146" t="s">
        <v>595</v>
      </c>
      <c r="EH146" t="s">
        <v>872</v>
      </c>
      <c r="EI146" t="s">
        <v>872</v>
      </c>
      <c r="EJ146" t="s">
        <v>159</v>
      </c>
      <c r="EK146">
        <v>9090</v>
      </c>
      <c r="EL146">
        <v>0</v>
      </c>
      <c r="EM146" t="s">
        <v>873</v>
      </c>
      <c r="EN146">
        <v>2.1333000000000002</v>
      </c>
      <c r="EO146">
        <v>3.3833332999999999</v>
      </c>
      <c r="EP146">
        <v>99991120</v>
      </c>
      <c r="EQ146" t="s">
        <v>874</v>
      </c>
      <c r="ER146" t="s">
        <v>875</v>
      </c>
      <c r="ES146" t="s">
        <v>876</v>
      </c>
      <c r="ET146" t="s">
        <v>877</v>
      </c>
      <c r="EU146" t="s">
        <v>877</v>
      </c>
      <c r="EV146" t="s">
        <v>920</v>
      </c>
      <c r="EX146" t="s">
        <v>836</v>
      </c>
      <c r="EY146" t="s">
        <v>1121</v>
      </c>
      <c r="EZ146" t="s">
        <v>1122</v>
      </c>
      <c r="FA146" t="s">
        <v>956</v>
      </c>
      <c r="FB146">
        <v>1</v>
      </c>
      <c r="FC146">
        <v>1</v>
      </c>
      <c r="FD146" s="41">
        <v>46116</v>
      </c>
      <c r="FE146" t="s">
        <v>1123</v>
      </c>
      <c r="FF146">
        <v>5</v>
      </c>
      <c r="FI146">
        <v>0</v>
      </c>
      <c r="FJ146" t="s">
        <v>3950</v>
      </c>
      <c r="FK146" t="s">
        <v>3951</v>
      </c>
      <c r="FL146">
        <v>1</v>
      </c>
      <c r="FM146" t="s">
        <v>3952</v>
      </c>
      <c r="FN146" t="s">
        <v>3953</v>
      </c>
      <c r="FO146">
        <v>1</v>
      </c>
      <c r="FP146" t="s">
        <v>3954</v>
      </c>
      <c r="FQ146" t="s">
        <v>3949</v>
      </c>
      <c r="FR146">
        <v>1</v>
      </c>
      <c r="FS146" t="s">
        <v>1958</v>
      </c>
      <c r="FT146" t="s">
        <v>3955</v>
      </c>
      <c r="FU146">
        <v>1</v>
      </c>
      <c r="FV146" t="s">
        <v>3956</v>
      </c>
      <c r="FW146" t="s">
        <v>3951</v>
      </c>
      <c r="FX146">
        <v>1</v>
      </c>
      <c r="FY146" t="s">
        <v>890</v>
      </c>
      <c r="FZ146" t="s">
        <v>3957</v>
      </c>
      <c r="GA146" t="s">
        <v>3950</v>
      </c>
      <c r="GB146">
        <v>1</v>
      </c>
      <c r="GD146">
        <v>0</v>
      </c>
      <c r="GF146">
        <v>0</v>
      </c>
      <c r="GG146">
        <v>1</v>
      </c>
      <c r="GH146" t="s">
        <v>892</v>
      </c>
      <c r="GI146" t="s">
        <v>893</v>
      </c>
      <c r="GJ146" t="s">
        <v>3951</v>
      </c>
      <c r="GM146">
        <v>1</v>
      </c>
      <c r="GN146">
        <v>1</v>
      </c>
      <c r="GO146">
        <v>0</v>
      </c>
      <c r="GP146">
        <v>1</v>
      </c>
      <c r="GQ146">
        <v>1</v>
      </c>
      <c r="GR146">
        <v>0</v>
      </c>
      <c r="GS146">
        <v>1</v>
      </c>
      <c r="GT146">
        <v>0</v>
      </c>
      <c r="GU146">
        <v>1</v>
      </c>
      <c r="GV146">
        <v>0</v>
      </c>
      <c r="GW146">
        <v>1</v>
      </c>
      <c r="GX146">
        <v>0</v>
      </c>
      <c r="GY146">
        <v>1</v>
      </c>
      <c r="GZ146">
        <v>0</v>
      </c>
      <c r="HA146" t="s">
        <v>325</v>
      </c>
      <c r="HB146" t="s">
        <v>894</v>
      </c>
      <c r="HC146" t="s">
        <v>895</v>
      </c>
      <c r="HD146" t="s">
        <v>845</v>
      </c>
      <c r="HE146" t="s">
        <v>836</v>
      </c>
      <c r="HF146" t="s">
        <v>873</v>
      </c>
      <c r="HG146" t="s">
        <v>894</v>
      </c>
      <c r="HH146" t="s">
        <v>895</v>
      </c>
      <c r="HI146" t="s">
        <v>845</v>
      </c>
      <c r="HJ146" t="s">
        <v>836</v>
      </c>
      <c r="HK146" t="s">
        <v>873</v>
      </c>
      <c r="HL146" t="s">
        <v>1943</v>
      </c>
      <c r="HM146" t="s">
        <v>854</v>
      </c>
      <c r="HN146">
        <v>36805</v>
      </c>
      <c r="HP146" t="s">
        <v>159</v>
      </c>
      <c r="HQ146" t="s">
        <v>896</v>
      </c>
      <c r="HR146" t="s">
        <v>896</v>
      </c>
      <c r="HS146" t="s">
        <v>896</v>
      </c>
    </row>
    <row r="147" spans="1:227" x14ac:dyDescent="0.2">
      <c r="A147">
        <v>8702</v>
      </c>
      <c r="B147">
        <v>7612005838</v>
      </c>
      <c r="C147" t="s">
        <v>936</v>
      </c>
      <c r="D147" t="s">
        <v>937</v>
      </c>
      <c r="E147" t="s">
        <v>897</v>
      </c>
      <c r="F147">
        <v>1</v>
      </c>
      <c r="G147" t="s">
        <v>3958</v>
      </c>
      <c r="H147" t="s">
        <v>3958</v>
      </c>
      <c r="I147">
        <v>0</v>
      </c>
      <c r="J147" t="s">
        <v>833</v>
      </c>
      <c r="K147" t="s">
        <v>834</v>
      </c>
      <c r="L147">
        <v>153517090</v>
      </c>
      <c r="M147" t="s">
        <v>3959</v>
      </c>
      <c r="N147" t="s">
        <v>900</v>
      </c>
      <c r="O147" t="s">
        <v>837</v>
      </c>
      <c r="P147" t="s">
        <v>940</v>
      </c>
      <c r="Q147" t="s">
        <v>1080</v>
      </c>
      <c r="R147" t="s">
        <v>3960</v>
      </c>
      <c r="S147" t="s">
        <v>3961</v>
      </c>
      <c r="T147">
        <v>41477124629</v>
      </c>
      <c r="V147" t="s">
        <v>123</v>
      </c>
      <c r="W147" s="41">
        <v>46142</v>
      </c>
      <c r="X147" t="s">
        <v>3962</v>
      </c>
      <c r="Y147" t="s">
        <v>3963</v>
      </c>
      <c r="AA147">
        <v>0</v>
      </c>
      <c r="AB147" t="s">
        <v>845</v>
      </c>
      <c r="AC147" t="s">
        <v>846</v>
      </c>
      <c r="AD147" t="s">
        <v>1113</v>
      </c>
      <c r="AE147" t="s">
        <v>1114</v>
      </c>
      <c r="AF147">
        <v>1</v>
      </c>
      <c r="AG147">
        <v>452210</v>
      </c>
      <c r="AH147" t="s">
        <v>849</v>
      </c>
      <c r="AI147" t="s">
        <v>850</v>
      </c>
      <c r="AJ147" t="s">
        <v>851</v>
      </c>
      <c r="AK147" t="s">
        <v>269</v>
      </c>
      <c r="AL147" t="s">
        <v>2928</v>
      </c>
      <c r="AM147" t="s">
        <v>3964</v>
      </c>
      <c r="AN147" t="s">
        <v>854</v>
      </c>
      <c r="AO147">
        <v>36805</v>
      </c>
      <c r="AP147">
        <v>496</v>
      </c>
      <c r="AQ147" t="s">
        <v>855</v>
      </c>
      <c r="AR147">
        <v>66442549</v>
      </c>
      <c r="AS147" t="s">
        <v>856</v>
      </c>
      <c r="AU147" t="s">
        <v>3965</v>
      </c>
      <c r="AV147" t="s">
        <v>3966</v>
      </c>
      <c r="AX147" t="s">
        <v>913</v>
      </c>
      <c r="AY147" t="s">
        <v>861</v>
      </c>
      <c r="AZ147" t="s">
        <v>269</v>
      </c>
      <c r="BA147" t="s">
        <v>270</v>
      </c>
      <c r="BB147">
        <v>0</v>
      </c>
      <c r="BC147">
        <v>0</v>
      </c>
      <c r="BD147">
        <v>0</v>
      </c>
      <c r="BE147" t="s">
        <v>3959</v>
      </c>
      <c r="BF147">
        <v>0</v>
      </c>
      <c r="BG147">
        <v>0</v>
      </c>
      <c r="BH147" t="s">
        <v>862</v>
      </c>
      <c r="BI147">
        <v>0</v>
      </c>
      <c r="BJ147" t="s">
        <v>862</v>
      </c>
      <c r="BK147">
        <v>1</v>
      </c>
      <c r="BL147">
        <v>1</v>
      </c>
      <c r="BM147">
        <v>0</v>
      </c>
      <c r="BN147" t="s">
        <v>596</v>
      </c>
      <c r="BO147">
        <v>153517090</v>
      </c>
      <c r="BP147" t="s">
        <v>3958</v>
      </c>
      <c r="BQ147">
        <v>40.369687999999996</v>
      </c>
      <c r="BR147">
        <v>42789074</v>
      </c>
      <c r="BS147">
        <v>-80.104618799999997</v>
      </c>
      <c r="BT147">
        <v>2</v>
      </c>
      <c r="BU147" t="s">
        <v>1119</v>
      </c>
      <c r="BY147">
        <v>16</v>
      </c>
      <c r="CA147">
        <v>4</v>
      </c>
      <c r="CE147">
        <v>1</v>
      </c>
      <c r="CI147">
        <v>11</v>
      </c>
      <c r="CJ147" t="s">
        <v>94</v>
      </c>
      <c r="CM147">
        <v>4010</v>
      </c>
      <c r="CO147">
        <v>7360</v>
      </c>
      <c r="CP147">
        <v>0.91669999999999996</v>
      </c>
      <c r="CQ147">
        <v>0.91669999999999996</v>
      </c>
      <c r="CR147">
        <v>1.3167</v>
      </c>
      <c r="CS147">
        <v>1</v>
      </c>
      <c r="CT147" t="s">
        <v>3966</v>
      </c>
      <c r="CU147" t="s">
        <v>3965</v>
      </c>
      <c r="CV147" t="s">
        <v>833</v>
      </c>
      <c r="CW147" t="s">
        <v>834</v>
      </c>
      <c r="CX147" t="s">
        <v>3959</v>
      </c>
      <c r="CY147">
        <v>0</v>
      </c>
      <c r="CZ147">
        <v>0</v>
      </c>
      <c r="DA147" t="s">
        <v>833</v>
      </c>
      <c r="DB147" t="s">
        <v>865</v>
      </c>
      <c r="DC147">
        <v>15017</v>
      </c>
      <c r="DD147">
        <v>4.0167000000000002</v>
      </c>
      <c r="DE147" t="s">
        <v>866</v>
      </c>
      <c r="DG147" t="s">
        <v>867</v>
      </c>
      <c r="DH147" t="s">
        <v>851</v>
      </c>
      <c r="DI147" t="s">
        <v>3967</v>
      </c>
      <c r="DK147" t="s">
        <v>918</v>
      </c>
      <c r="DL147" t="s">
        <v>869</v>
      </c>
      <c r="DM147">
        <v>0</v>
      </c>
      <c r="DN147">
        <v>0</v>
      </c>
      <c r="DO147">
        <v>1</v>
      </c>
      <c r="DP147" t="s">
        <v>985</v>
      </c>
      <c r="DQ147">
        <v>0</v>
      </c>
      <c r="DR147">
        <v>241</v>
      </c>
      <c r="DS147">
        <v>241</v>
      </c>
      <c r="DT147">
        <v>3.1</v>
      </c>
      <c r="DU147">
        <v>0</v>
      </c>
      <c r="DV147">
        <v>1</v>
      </c>
      <c r="DW147">
        <v>2</v>
      </c>
      <c r="DX147" t="s">
        <v>596</v>
      </c>
      <c r="DY147" t="s">
        <v>3959</v>
      </c>
      <c r="DZ147">
        <v>1</v>
      </c>
      <c r="EA147">
        <v>1</v>
      </c>
      <c r="EB147">
        <v>1</v>
      </c>
      <c r="EC147">
        <v>1</v>
      </c>
      <c r="ED147">
        <v>1</v>
      </c>
      <c r="EE147">
        <v>1</v>
      </c>
      <c r="EF147" t="s">
        <v>920</v>
      </c>
      <c r="EG147" t="s">
        <v>595</v>
      </c>
      <c r="EH147" t="s">
        <v>921</v>
      </c>
      <c r="EI147" t="s">
        <v>921</v>
      </c>
      <c r="EJ147" t="s">
        <v>124</v>
      </c>
      <c r="EK147">
        <v>9090</v>
      </c>
      <c r="EL147">
        <v>0</v>
      </c>
      <c r="EM147" t="s">
        <v>923</v>
      </c>
      <c r="EN147">
        <v>1.8167</v>
      </c>
      <c r="EO147">
        <v>4.0166667</v>
      </c>
      <c r="EP147">
        <v>99991120</v>
      </c>
      <c r="EQ147" t="s">
        <v>874</v>
      </c>
      <c r="ER147" t="s">
        <v>875</v>
      </c>
      <c r="ES147" t="s">
        <v>876</v>
      </c>
      <c r="ET147" t="s">
        <v>877</v>
      </c>
      <c r="EU147" t="s">
        <v>877</v>
      </c>
      <c r="EV147" t="s">
        <v>920</v>
      </c>
      <c r="EX147" t="s">
        <v>953</v>
      </c>
      <c r="EY147" t="s">
        <v>1292</v>
      </c>
      <c r="EZ147" t="s">
        <v>1293</v>
      </c>
      <c r="FA147" t="s">
        <v>925</v>
      </c>
      <c r="FB147">
        <v>1</v>
      </c>
      <c r="FC147">
        <v>1</v>
      </c>
      <c r="FD147" s="41">
        <v>46144</v>
      </c>
      <c r="FE147" t="s">
        <v>1123</v>
      </c>
      <c r="FF147">
        <v>6</v>
      </c>
      <c r="FG147" t="s">
        <v>2938</v>
      </c>
      <c r="FH147" t="s">
        <v>3968</v>
      </c>
      <c r="FI147">
        <v>1</v>
      </c>
      <c r="FJ147" t="s">
        <v>3969</v>
      </c>
      <c r="FK147" t="s">
        <v>3970</v>
      </c>
      <c r="FL147">
        <v>1</v>
      </c>
      <c r="FM147" t="s">
        <v>3971</v>
      </c>
      <c r="FN147" t="s">
        <v>3972</v>
      </c>
      <c r="FO147">
        <v>1</v>
      </c>
      <c r="FP147" t="s">
        <v>3973</v>
      </c>
      <c r="FQ147" t="s">
        <v>3965</v>
      </c>
      <c r="FR147">
        <v>1</v>
      </c>
      <c r="FS147" t="s">
        <v>3974</v>
      </c>
      <c r="FT147" t="s">
        <v>3975</v>
      </c>
      <c r="FU147">
        <v>1</v>
      </c>
      <c r="FV147" t="s">
        <v>3976</v>
      </c>
      <c r="FW147" t="s">
        <v>3977</v>
      </c>
      <c r="FX147">
        <v>1</v>
      </c>
      <c r="FY147" t="s">
        <v>890</v>
      </c>
      <c r="FZ147" t="s">
        <v>3978</v>
      </c>
      <c r="GA147" t="s">
        <v>3969</v>
      </c>
      <c r="GB147">
        <v>1</v>
      </c>
      <c r="GD147">
        <v>0</v>
      </c>
      <c r="GF147">
        <v>0</v>
      </c>
      <c r="GG147">
        <v>1</v>
      </c>
      <c r="GH147" t="s">
        <v>892</v>
      </c>
      <c r="GI147" t="s">
        <v>893</v>
      </c>
      <c r="GJ147" t="s">
        <v>3970</v>
      </c>
      <c r="GM147">
        <v>1</v>
      </c>
      <c r="GN147">
        <v>1</v>
      </c>
      <c r="GO147">
        <v>0</v>
      </c>
      <c r="GP147">
        <v>1</v>
      </c>
      <c r="GQ147">
        <v>1</v>
      </c>
      <c r="GR147">
        <v>0</v>
      </c>
      <c r="GS147">
        <v>1</v>
      </c>
      <c r="GT147">
        <v>0</v>
      </c>
      <c r="GU147">
        <v>1</v>
      </c>
      <c r="GV147">
        <v>0</v>
      </c>
      <c r="GW147">
        <v>1</v>
      </c>
      <c r="GX147">
        <v>0</v>
      </c>
      <c r="GY147">
        <v>1</v>
      </c>
      <c r="GZ147">
        <v>0</v>
      </c>
      <c r="HA147" t="s">
        <v>269</v>
      </c>
      <c r="HB147" t="s">
        <v>894</v>
      </c>
      <c r="HC147" t="s">
        <v>935</v>
      </c>
      <c r="HD147" t="s">
        <v>845</v>
      </c>
      <c r="HE147" t="s">
        <v>900</v>
      </c>
      <c r="HF147" t="s">
        <v>923</v>
      </c>
      <c r="HG147" t="s">
        <v>894</v>
      </c>
      <c r="HH147" t="s">
        <v>935</v>
      </c>
      <c r="HI147" t="s">
        <v>845</v>
      </c>
      <c r="HJ147" t="s">
        <v>900</v>
      </c>
      <c r="HK147" t="s">
        <v>923</v>
      </c>
      <c r="HL147" t="s">
        <v>123</v>
      </c>
      <c r="HM147" t="s">
        <v>854</v>
      </c>
      <c r="HN147">
        <v>36805</v>
      </c>
      <c r="HP147" t="s">
        <v>124</v>
      </c>
      <c r="HQ147" t="s">
        <v>896</v>
      </c>
      <c r="HR147" t="s">
        <v>896</v>
      </c>
      <c r="HS147" t="s">
        <v>896</v>
      </c>
    </row>
    <row r="148" spans="1:227" x14ac:dyDescent="0.2">
      <c r="A148">
        <v>8702</v>
      </c>
      <c r="B148">
        <v>7617101156</v>
      </c>
      <c r="C148" t="s">
        <v>936</v>
      </c>
      <c r="D148" t="s">
        <v>937</v>
      </c>
      <c r="E148" t="s">
        <v>897</v>
      </c>
      <c r="F148">
        <v>0</v>
      </c>
      <c r="G148" t="s">
        <v>3979</v>
      </c>
      <c r="H148" t="s">
        <v>3979</v>
      </c>
      <c r="I148">
        <v>0</v>
      </c>
      <c r="J148" t="s">
        <v>833</v>
      </c>
      <c r="K148" t="s">
        <v>834</v>
      </c>
      <c r="L148">
        <v>153195455</v>
      </c>
      <c r="M148" t="s">
        <v>3980</v>
      </c>
      <c r="N148" t="s">
        <v>900</v>
      </c>
      <c r="O148" t="s">
        <v>837</v>
      </c>
      <c r="P148" t="s">
        <v>940</v>
      </c>
      <c r="Q148" t="s">
        <v>2404</v>
      </c>
      <c r="R148" t="s">
        <v>3981</v>
      </c>
      <c r="S148" t="s">
        <v>3982</v>
      </c>
      <c r="T148">
        <v>41477124210</v>
      </c>
      <c r="V148" t="s">
        <v>1543</v>
      </c>
      <c r="W148" s="41">
        <v>46194</v>
      </c>
      <c r="X148" t="s">
        <v>3983</v>
      </c>
      <c r="Y148" t="s">
        <v>3984</v>
      </c>
      <c r="AA148">
        <v>0</v>
      </c>
      <c r="AB148" t="s">
        <v>845</v>
      </c>
      <c r="AC148" t="s">
        <v>846</v>
      </c>
      <c r="AD148" t="s">
        <v>907</v>
      </c>
      <c r="AE148" t="s">
        <v>908</v>
      </c>
      <c r="AF148">
        <v>1</v>
      </c>
      <c r="AG148">
        <v>452210</v>
      </c>
      <c r="AH148" t="s">
        <v>849</v>
      </c>
      <c r="AI148" t="s">
        <v>850</v>
      </c>
      <c r="AJ148" t="s">
        <v>851</v>
      </c>
      <c r="AK148" t="s">
        <v>344</v>
      </c>
      <c r="AL148" t="s">
        <v>3985</v>
      </c>
      <c r="AM148" t="s">
        <v>1548</v>
      </c>
      <c r="AN148" t="s">
        <v>854</v>
      </c>
      <c r="AO148">
        <v>36805</v>
      </c>
      <c r="AP148">
        <v>522</v>
      </c>
      <c r="AQ148" t="s">
        <v>855</v>
      </c>
      <c r="AR148">
        <v>66517096</v>
      </c>
      <c r="AS148" t="s">
        <v>856</v>
      </c>
      <c r="AU148" t="s">
        <v>3986</v>
      </c>
      <c r="AV148" t="s">
        <v>3987</v>
      </c>
      <c r="AX148" t="s">
        <v>913</v>
      </c>
      <c r="AY148" t="s">
        <v>861</v>
      </c>
      <c r="AZ148" t="s">
        <v>344</v>
      </c>
      <c r="BA148" t="s">
        <v>345</v>
      </c>
      <c r="BB148">
        <v>0</v>
      </c>
      <c r="BC148">
        <v>0</v>
      </c>
      <c r="BD148">
        <v>0</v>
      </c>
      <c r="BE148" t="s">
        <v>3980</v>
      </c>
      <c r="BF148">
        <v>0</v>
      </c>
      <c r="BG148">
        <v>0</v>
      </c>
      <c r="BH148" t="s">
        <v>862</v>
      </c>
      <c r="BI148">
        <v>0</v>
      </c>
      <c r="BJ148" t="s">
        <v>862</v>
      </c>
      <c r="BK148">
        <v>1</v>
      </c>
      <c r="BL148">
        <v>1</v>
      </c>
      <c r="BM148">
        <v>0</v>
      </c>
      <c r="BN148" t="s">
        <v>596</v>
      </c>
      <c r="BO148">
        <v>153195455</v>
      </c>
      <c r="BP148" t="s">
        <v>3979</v>
      </c>
      <c r="BR148">
        <v>42791431</v>
      </c>
      <c r="BT148">
        <v>2</v>
      </c>
      <c r="BU148" t="s">
        <v>1314</v>
      </c>
      <c r="BY148">
        <v>16</v>
      </c>
      <c r="CA148">
        <v>7</v>
      </c>
      <c r="CE148">
        <v>1</v>
      </c>
      <c r="CI148">
        <v>11</v>
      </c>
      <c r="CJ148" t="s">
        <v>94</v>
      </c>
      <c r="CM148">
        <v>4010</v>
      </c>
      <c r="CO148">
        <v>7360</v>
      </c>
      <c r="CP148">
        <v>0.7</v>
      </c>
      <c r="CQ148">
        <v>0.7</v>
      </c>
      <c r="CR148">
        <v>6.6699999999999995E-2</v>
      </c>
      <c r="CS148">
        <v>5</v>
      </c>
      <c r="CT148" t="s">
        <v>3987</v>
      </c>
      <c r="CU148" t="s">
        <v>3986</v>
      </c>
      <c r="CV148" t="s">
        <v>833</v>
      </c>
      <c r="CW148" t="s">
        <v>834</v>
      </c>
      <c r="CX148" t="s">
        <v>3980</v>
      </c>
      <c r="CY148">
        <v>0</v>
      </c>
      <c r="CZ148">
        <v>0</v>
      </c>
      <c r="DA148" t="s">
        <v>833</v>
      </c>
      <c r="DB148" t="s">
        <v>865</v>
      </c>
      <c r="DC148">
        <v>46227</v>
      </c>
      <c r="DD148">
        <v>7.3</v>
      </c>
      <c r="DE148" t="s">
        <v>866</v>
      </c>
      <c r="DG148" t="s">
        <v>867</v>
      </c>
      <c r="DH148" t="s">
        <v>851</v>
      </c>
      <c r="DI148" t="s">
        <v>1189</v>
      </c>
      <c r="DJ148" t="s">
        <v>3988</v>
      </c>
      <c r="DK148" t="s">
        <v>918</v>
      </c>
      <c r="DL148" t="s">
        <v>869</v>
      </c>
      <c r="DM148">
        <v>0</v>
      </c>
      <c r="DN148">
        <v>0</v>
      </c>
      <c r="DO148">
        <v>3</v>
      </c>
      <c r="DP148" t="s">
        <v>919</v>
      </c>
      <c r="DQ148">
        <v>16</v>
      </c>
      <c r="DR148">
        <v>438</v>
      </c>
      <c r="DS148">
        <v>1158</v>
      </c>
      <c r="DT148">
        <v>6.6</v>
      </c>
      <c r="DU148">
        <v>4</v>
      </c>
      <c r="DV148">
        <v>1</v>
      </c>
      <c r="DW148">
        <v>2</v>
      </c>
      <c r="DX148" t="s">
        <v>596</v>
      </c>
      <c r="DY148" t="s">
        <v>3980</v>
      </c>
      <c r="DZ148">
        <v>1</v>
      </c>
      <c r="EA148">
        <v>1</v>
      </c>
      <c r="EB148">
        <v>1</v>
      </c>
      <c r="EC148">
        <v>0</v>
      </c>
      <c r="ED148">
        <v>0</v>
      </c>
      <c r="EE148">
        <v>1</v>
      </c>
      <c r="EF148" t="s">
        <v>920</v>
      </c>
      <c r="EG148" t="s">
        <v>595</v>
      </c>
      <c r="EH148" t="s">
        <v>921</v>
      </c>
      <c r="EI148" t="s">
        <v>921</v>
      </c>
      <c r="EJ148" t="s">
        <v>134</v>
      </c>
      <c r="EK148">
        <v>9090</v>
      </c>
      <c r="EL148">
        <v>0</v>
      </c>
      <c r="EM148" t="s">
        <v>1011</v>
      </c>
      <c r="EN148">
        <v>6.6699999999999995E-2</v>
      </c>
      <c r="EO148">
        <v>19.3</v>
      </c>
      <c r="EP148">
        <v>99991120</v>
      </c>
      <c r="EQ148" t="s">
        <v>874</v>
      </c>
      <c r="ER148" t="s">
        <v>875</v>
      </c>
      <c r="ES148" t="s">
        <v>876</v>
      </c>
      <c r="ET148" t="s">
        <v>877</v>
      </c>
      <c r="EU148" t="s">
        <v>877</v>
      </c>
      <c r="EV148" t="s">
        <v>920</v>
      </c>
      <c r="EX148" t="s">
        <v>900</v>
      </c>
      <c r="EY148" t="s">
        <v>1012</v>
      </c>
      <c r="EZ148" t="s">
        <v>1013</v>
      </c>
      <c r="FA148" t="s">
        <v>925</v>
      </c>
      <c r="FB148">
        <v>1</v>
      </c>
      <c r="FC148">
        <v>1</v>
      </c>
      <c r="FD148" s="41">
        <v>46200</v>
      </c>
      <c r="FE148" t="s">
        <v>1315</v>
      </c>
      <c r="FF148">
        <v>4</v>
      </c>
      <c r="FI148">
        <v>0</v>
      </c>
      <c r="FL148">
        <v>0</v>
      </c>
      <c r="FM148" t="s">
        <v>3989</v>
      </c>
      <c r="FN148" t="s">
        <v>3990</v>
      </c>
      <c r="FO148">
        <v>1</v>
      </c>
      <c r="FP148" t="s">
        <v>3991</v>
      </c>
      <c r="FQ148" t="s">
        <v>3986</v>
      </c>
      <c r="FR148">
        <v>1</v>
      </c>
      <c r="FS148" t="s">
        <v>1020</v>
      </c>
      <c r="FT148" t="s">
        <v>3992</v>
      </c>
      <c r="FU148">
        <v>1</v>
      </c>
      <c r="FV148" t="s">
        <v>3993</v>
      </c>
      <c r="FW148" t="s">
        <v>3994</v>
      </c>
      <c r="FX148">
        <v>1</v>
      </c>
      <c r="FY148" t="s">
        <v>890</v>
      </c>
      <c r="FZ148" t="s">
        <v>3995</v>
      </c>
      <c r="GA148" t="s">
        <v>3993</v>
      </c>
      <c r="GB148">
        <v>1</v>
      </c>
      <c r="GD148">
        <v>0</v>
      </c>
      <c r="GF148">
        <v>0</v>
      </c>
      <c r="GG148">
        <v>1</v>
      </c>
      <c r="GH148" t="s">
        <v>892</v>
      </c>
      <c r="GI148" t="s">
        <v>893</v>
      </c>
      <c r="GJ148" t="s">
        <v>3994</v>
      </c>
      <c r="GM148">
        <v>1</v>
      </c>
      <c r="GN148">
        <v>1</v>
      </c>
      <c r="GO148">
        <v>0</v>
      </c>
      <c r="GP148">
        <v>1</v>
      </c>
      <c r="GQ148">
        <v>1</v>
      </c>
      <c r="GR148">
        <v>0</v>
      </c>
      <c r="GS148">
        <v>1</v>
      </c>
      <c r="GT148">
        <v>0</v>
      </c>
      <c r="GU148">
        <v>1</v>
      </c>
      <c r="GV148">
        <v>0</v>
      </c>
      <c r="GW148">
        <v>1</v>
      </c>
      <c r="GX148">
        <v>0</v>
      </c>
      <c r="GY148">
        <v>1</v>
      </c>
      <c r="GZ148">
        <v>0</v>
      </c>
      <c r="HA148" t="s">
        <v>344</v>
      </c>
      <c r="HB148" t="s">
        <v>894</v>
      </c>
      <c r="HC148" t="s">
        <v>935</v>
      </c>
      <c r="HD148" t="s">
        <v>845</v>
      </c>
      <c r="HE148" t="s">
        <v>900</v>
      </c>
      <c r="HF148" t="s">
        <v>1012</v>
      </c>
      <c r="HG148" t="s">
        <v>894</v>
      </c>
      <c r="HH148" t="s">
        <v>935</v>
      </c>
      <c r="HI148" t="s">
        <v>845</v>
      </c>
      <c r="HJ148" t="s">
        <v>900</v>
      </c>
      <c r="HK148" t="s">
        <v>1011</v>
      </c>
      <c r="HL148" t="s">
        <v>1543</v>
      </c>
      <c r="HM148" t="s">
        <v>854</v>
      </c>
      <c r="HN148">
        <v>36805</v>
      </c>
      <c r="HP148" t="s">
        <v>134</v>
      </c>
      <c r="HQ148" t="s">
        <v>896</v>
      </c>
      <c r="HR148" t="s">
        <v>896</v>
      </c>
      <c r="HS148" t="s">
        <v>896</v>
      </c>
    </row>
    <row r="149" spans="1:227" x14ac:dyDescent="0.2">
      <c r="A149">
        <v>8702</v>
      </c>
      <c r="B149">
        <v>7522903316</v>
      </c>
      <c r="C149">
        <v>34</v>
      </c>
      <c r="D149" t="s">
        <v>996</v>
      </c>
      <c r="E149" t="s">
        <v>831</v>
      </c>
      <c r="F149">
        <v>0</v>
      </c>
      <c r="G149" t="s">
        <v>3996</v>
      </c>
      <c r="H149" t="s">
        <v>3996</v>
      </c>
      <c r="I149">
        <v>0</v>
      </c>
      <c r="J149" t="s">
        <v>833</v>
      </c>
      <c r="K149" t="s">
        <v>834</v>
      </c>
      <c r="L149">
        <v>153406499</v>
      </c>
      <c r="M149" t="s">
        <v>3997</v>
      </c>
      <c r="N149" t="s">
        <v>836</v>
      </c>
      <c r="O149" t="s">
        <v>837</v>
      </c>
      <c r="P149" t="s">
        <v>999</v>
      </c>
      <c r="Q149" t="s">
        <v>3998</v>
      </c>
      <c r="R149" t="s">
        <v>3999</v>
      </c>
      <c r="S149" t="s">
        <v>4000</v>
      </c>
      <c r="T149">
        <v>41477010629</v>
      </c>
      <c r="V149" t="s">
        <v>4001</v>
      </c>
      <c r="W149" s="41">
        <v>45889</v>
      </c>
      <c r="X149" t="s">
        <v>4002</v>
      </c>
      <c r="Y149" t="s">
        <v>4003</v>
      </c>
      <c r="AA149">
        <v>0</v>
      </c>
      <c r="AB149" t="s">
        <v>845</v>
      </c>
      <c r="AC149" t="s">
        <v>846</v>
      </c>
      <c r="AD149" t="s">
        <v>847</v>
      </c>
      <c r="AE149" t="s">
        <v>848</v>
      </c>
      <c r="AF149">
        <v>1</v>
      </c>
      <c r="AG149">
        <v>452210</v>
      </c>
      <c r="AH149" t="s">
        <v>849</v>
      </c>
      <c r="AI149" t="s">
        <v>850</v>
      </c>
      <c r="AJ149" t="s">
        <v>851</v>
      </c>
      <c r="AK149" t="s">
        <v>326</v>
      </c>
      <c r="AL149" t="s">
        <v>4004</v>
      </c>
      <c r="AM149" t="s">
        <v>4005</v>
      </c>
      <c r="AN149" t="s">
        <v>854</v>
      </c>
      <c r="AO149">
        <v>36805</v>
      </c>
      <c r="AP149">
        <v>543</v>
      </c>
      <c r="AQ149" t="s">
        <v>855</v>
      </c>
      <c r="AR149">
        <v>66078105</v>
      </c>
      <c r="AS149" t="s">
        <v>856</v>
      </c>
      <c r="AU149" t="s">
        <v>4006</v>
      </c>
      <c r="AV149" t="s">
        <v>4007</v>
      </c>
      <c r="AX149" t="s">
        <v>913</v>
      </c>
      <c r="AY149" t="s">
        <v>861</v>
      </c>
      <c r="AZ149" t="s">
        <v>326</v>
      </c>
      <c r="BA149" t="s">
        <v>327</v>
      </c>
      <c r="BB149">
        <v>1</v>
      </c>
      <c r="BC149">
        <v>0</v>
      </c>
      <c r="BD149">
        <v>0</v>
      </c>
      <c r="BE149" t="s">
        <v>3997</v>
      </c>
      <c r="BF149">
        <v>0</v>
      </c>
      <c r="BG149">
        <v>0</v>
      </c>
      <c r="BH149" t="s">
        <v>862</v>
      </c>
      <c r="BI149">
        <v>0</v>
      </c>
      <c r="BJ149" t="s">
        <v>862</v>
      </c>
      <c r="BK149">
        <v>1</v>
      </c>
      <c r="BL149">
        <v>1</v>
      </c>
      <c r="BM149">
        <v>0</v>
      </c>
      <c r="BN149" t="s">
        <v>596</v>
      </c>
      <c r="BO149">
        <v>153406499</v>
      </c>
      <c r="BP149" t="s">
        <v>3996</v>
      </c>
      <c r="BR149">
        <v>42791458</v>
      </c>
      <c r="BT149">
        <v>0</v>
      </c>
      <c r="CM149">
        <v>4010</v>
      </c>
      <c r="CO149">
        <v>7360</v>
      </c>
      <c r="CP149">
        <v>2.35</v>
      </c>
      <c r="CQ149">
        <v>2.35</v>
      </c>
      <c r="CR149">
        <v>3.6333000000000002</v>
      </c>
      <c r="CS149">
        <v>0</v>
      </c>
      <c r="CT149" t="s">
        <v>4007</v>
      </c>
      <c r="CU149" t="s">
        <v>4006</v>
      </c>
      <c r="CV149" t="s">
        <v>833</v>
      </c>
      <c r="CW149" t="s">
        <v>834</v>
      </c>
      <c r="CX149" t="s">
        <v>3997</v>
      </c>
      <c r="CY149">
        <v>1</v>
      </c>
      <c r="CZ149">
        <v>1</v>
      </c>
      <c r="DA149" t="s">
        <v>833</v>
      </c>
      <c r="DB149" t="s">
        <v>865</v>
      </c>
      <c r="DC149">
        <v>55416</v>
      </c>
      <c r="DD149">
        <v>37.166699999999999</v>
      </c>
      <c r="DE149" t="s">
        <v>866</v>
      </c>
      <c r="DG149" t="s">
        <v>867</v>
      </c>
      <c r="DH149" t="s">
        <v>851</v>
      </c>
      <c r="DJ149">
        <v>543</v>
      </c>
      <c r="DL149" t="s">
        <v>869</v>
      </c>
      <c r="DM149">
        <v>0</v>
      </c>
      <c r="DN149">
        <v>0</v>
      </c>
      <c r="DO149">
        <v>11</v>
      </c>
      <c r="DP149" t="s">
        <v>1010</v>
      </c>
      <c r="DQ149">
        <v>12</v>
      </c>
      <c r="DR149">
        <v>2230</v>
      </c>
      <c r="DS149">
        <v>4390</v>
      </c>
      <c r="DT149">
        <v>6.5</v>
      </c>
      <c r="DU149">
        <v>4</v>
      </c>
      <c r="DW149">
        <v>1</v>
      </c>
      <c r="DX149" t="s">
        <v>596</v>
      </c>
      <c r="DY149" t="s">
        <v>3997</v>
      </c>
      <c r="DZ149">
        <v>0</v>
      </c>
      <c r="EA149">
        <v>0</v>
      </c>
      <c r="EB149">
        <v>1</v>
      </c>
      <c r="EC149">
        <v>0</v>
      </c>
      <c r="ED149">
        <v>0</v>
      </c>
      <c r="EE149">
        <v>1</v>
      </c>
      <c r="EF149" t="s">
        <v>871</v>
      </c>
      <c r="EG149" t="s">
        <v>595</v>
      </c>
      <c r="EH149" t="s">
        <v>1036</v>
      </c>
      <c r="EI149" t="s">
        <v>1036</v>
      </c>
      <c r="EJ149" t="s">
        <v>159</v>
      </c>
      <c r="EK149">
        <v>9090</v>
      </c>
      <c r="EL149">
        <v>1</v>
      </c>
      <c r="EM149" t="s">
        <v>873</v>
      </c>
      <c r="EN149">
        <v>4.5332999999999997</v>
      </c>
      <c r="EO149">
        <v>73.166666599999999</v>
      </c>
      <c r="EP149">
        <v>99991120</v>
      </c>
      <c r="EQ149" t="s">
        <v>874</v>
      </c>
      <c r="ER149" t="s">
        <v>875</v>
      </c>
      <c r="ES149" t="s">
        <v>876</v>
      </c>
      <c r="ET149" t="s">
        <v>877</v>
      </c>
      <c r="EU149" t="s">
        <v>877</v>
      </c>
      <c r="EV149" t="s">
        <v>871</v>
      </c>
      <c r="EX149" t="s">
        <v>836</v>
      </c>
      <c r="EY149" t="s">
        <v>1121</v>
      </c>
      <c r="EZ149" t="s">
        <v>1122</v>
      </c>
      <c r="FA149" t="s">
        <v>956</v>
      </c>
      <c r="FB149">
        <v>1</v>
      </c>
      <c r="FC149">
        <v>3</v>
      </c>
      <c r="FD149" s="41">
        <v>45892</v>
      </c>
      <c r="FE149" t="s">
        <v>987</v>
      </c>
      <c r="FF149">
        <v>16</v>
      </c>
      <c r="FG149" t="s">
        <v>4008</v>
      </c>
      <c r="FH149" t="s">
        <v>4009</v>
      </c>
      <c r="FI149">
        <v>1</v>
      </c>
      <c r="FJ149" t="s">
        <v>4010</v>
      </c>
      <c r="FK149" t="s">
        <v>4011</v>
      </c>
      <c r="FL149">
        <v>1</v>
      </c>
      <c r="FM149" t="s">
        <v>4012</v>
      </c>
      <c r="FN149" t="s">
        <v>4013</v>
      </c>
      <c r="FO149">
        <v>1</v>
      </c>
      <c r="FP149" t="s">
        <v>4014</v>
      </c>
      <c r="FQ149" t="s">
        <v>4015</v>
      </c>
      <c r="FR149">
        <v>1</v>
      </c>
      <c r="FS149" t="s">
        <v>1679</v>
      </c>
      <c r="FT149" t="s">
        <v>4016</v>
      </c>
      <c r="FU149">
        <v>1</v>
      </c>
      <c r="FV149" t="s">
        <v>1681</v>
      </c>
      <c r="FW149" t="s">
        <v>4017</v>
      </c>
      <c r="FX149">
        <v>1</v>
      </c>
      <c r="FY149" t="s">
        <v>890</v>
      </c>
      <c r="FZ149" t="s">
        <v>4018</v>
      </c>
      <c r="GA149" t="s">
        <v>4010</v>
      </c>
      <c r="GB149">
        <v>1</v>
      </c>
      <c r="GC149" t="s">
        <v>4019</v>
      </c>
      <c r="GD149">
        <v>1</v>
      </c>
      <c r="GF149">
        <v>0</v>
      </c>
      <c r="GG149">
        <v>1</v>
      </c>
      <c r="GH149" t="s">
        <v>892</v>
      </c>
      <c r="GI149" t="s">
        <v>893</v>
      </c>
      <c r="GJ149" t="s">
        <v>4011</v>
      </c>
      <c r="GK149" t="s">
        <v>4020</v>
      </c>
      <c r="GM149">
        <v>1</v>
      </c>
      <c r="GN149">
        <v>0</v>
      </c>
      <c r="GO149">
        <v>0</v>
      </c>
      <c r="GP149">
        <v>1</v>
      </c>
      <c r="GQ149">
        <v>1</v>
      </c>
      <c r="GR149">
        <v>0</v>
      </c>
      <c r="GS149">
        <v>1</v>
      </c>
      <c r="GT149">
        <v>0</v>
      </c>
      <c r="GU149">
        <v>1</v>
      </c>
      <c r="GV149">
        <v>0</v>
      </c>
      <c r="GW149">
        <v>1</v>
      </c>
      <c r="GX149">
        <v>0</v>
      </c>
      <c r="GY149">
        <v>1</v>
      </c>
      <c r="GZ149">
        <v>0</v>
      </c>
      <c r="HA149" t="s">
        <v>326</v>
      </c>
      <c r="HB149" t="s">
        <v>894</v>
      </c>
      <c r="HC149" t="s">
        <v>895</v>
      </c>
      <c r="HD149" t="s">
        <v>845</v>
      </c>
      <c r="HE149" t="s">
        <v>836</v>
      </c>
      <c r="HF149" t="s">
        <v>873</v>
      </c>
      <c r="HG149" t="s">
        <v>894</v>
      </c>
      <c r="HH149" t="s">
        <v>895</v>
      </c>
      <c r="HI149" t="s">
        <v>845</v>
      </c>
      <c r="HJ149" t="s">
        <v>836</v>
      </c>
      <c r="HK149" t="s">
        <v>873</v>
      </c>
      <c r="HL149" t="s">
        <v>4001</v>
      </c>
      <c r="HM149" t="s">
        <v>854</v>
      </c>
      <c r="HN149">
        <v>36805</v>
      </c>
      <c r="HP149" t="s">
        <v>159</v>
      </c>
      <c r="HQ149" t="s">
        <v>896</v>
      </c>
      <c r="HR149" t="s">
        <v>896</v>
      </c>
      <c r="HS149" t="s">
        <v>896</v>
      </c>
    </row>
    <row r="150" spans="1:227" x14ac:dyDescent="0.2">
      <c r="A150">
        <v>8702</v>
      </c>
      <c r="B150">
        <v>7617414032</v>
      </c>
      <c r="C150" t="s">
        <v>1916</v>
      </c>
      <c r="D150" t="s">
        <v>1917</v>
      </c>
      <c r="E150" t="s">
        <v>831</v>
      </c>
      <c r="F150">
        <v>1</v>
      </c>
      <c r="G150" t="s">
        <v>4021</v>
      </c>
      <c r="H150" t="s">
        <v>4021</v>
      </c>
      <c r="I150">
        <v>0</v>
      </c>
      <c r="J150" t="s">
        <v>833</v>
      </c>
      <c r="K150" t="s">
        <v>834</v>
      </c>
      <c r="L150">
        <v>153294179</v>
      </c>
      <c r="M150" t="s">
        <v>3145</v>
      </c>
      <c r="N150" t="s">
        <v>836</v>
      </c>
      <c r="O150" t="s">
        <v>837</v>
      </c>
      <c r="P150" t="s">
        <v>1920</v>
      </c>
      <c r="Q150" t="s">
        <v>4022</v>
      </c>
      <c r="R150" t="s">
        <v>4023</v>
      </c>
      <c r="S150" t="s">
        <v>4024</v>
      </c>
      <c r="T150">
        <v>41477059751</v>
      </c>
      <c r="V150" t="s">
        <v>2032</v>
      </c>
      <c r="W150" s="41">
        <v>46196</v>
      </c>
      <c r="X150" t="s">
        <v>4025</v>
      </c>
      <c r="Y150" t="s">
        <v>4026</v>
      </c>
      <c r="AA150">
        <v>0</v>
      </c>
      <c r="AB150" t="s">
        <v>845</v>
      </c>
      <c r="AC150" t="s">
        <v>846</v>
      </c>
      <c r="AD150" t="s">
        <v>907</v>
      </c>
      <c r="AE150" t="s">
        <v>908</v>
      </c>
      <c r="AF150">
        <v>1</v>
      </c>
      <c r="AG150">
        <v>452210</v>
      </c>
      <c r="AH150" t="s">
        <v>849</v>
      </c>
      <c r="AI150" t="s">
        <v>850</v>
      </c>
      <c r="AJ150" t="s">
        <v>851</v>
      </c>
      <c r="AK150" t="s">
        <v>362</v>
      </c>
      <c r="AL150" t="s">
        <v>2035</v>
      </c>
      <c r="AM150" t="s">
        <v>2036</v>
      </c>
      <c r="AN150" t="s">
        <v>854</v>
      </c>
      <c r="AO150">
        <v>36805</v>
      </c>
      <c r="AP150">
        <v>537</v>
      </c>
      <c r="AQ150" t="s">
        <v>855</v>
      </c>
      <c r="AR150">
        <v>66520418</v>
      </c>
      <c r="AS150" t="s">
        <v>856</v>
      </c>
      <c r="AU150" t="s">
        <v>4027</v>
      </c>
      <c r="AV150" t="s">
        <v>4028</v>
      </c>
      <c r="AW150" t="s">
        <v>950</v>
      </c>
      <c r="AX150" t="s">
        <v>951</v>
      </c>
      <c r="AY150" t="s">
        <v>861</v>
      </c>
      <c r="AZ150" t="s">
        <v>362</v>
      </c>
      <c r="BA150" t="s">
        <v>300</v>
      </c>
      <c r="BB150">
        <v>0</v>
      </c>
      <c r="BC150">
        <v>0</v>
      </c>
      <c r="BD150">
        <v>0</v>
      </c>
      <c r="BE150" t="s">
        <v>3145</v>
      </c>
      <c r="BF150">
        <v>0</v>
      </c>
      <c r="BG150">
        <v>0</v>
      </c>
      <c r="BH150" t="s">
        <v>862</v>
      </c>
      <c r="BI150">
        <v>0</v>
      </c>
      <c r="BJ150" t="s">
        <v>862</v>
      </c>
      <c r="BK150">
        <v>1</v>
      </c>
      <c r="BL150">
        <v>0</v>
      </c>
      <c r="BM150">
        <v>0</v>
      </c>
      <c r="BN150" t="s">
        <v>596</v>
      </c>
      <c r="BO150">
        <v>153294179</v>
      </c>
      <c r="BP150" t="s">
        <v>4021</v>
      </c>
      <c r="BR150">
        <v>42791480</v>
      </c>
      <c r="BT150">
        <v>2</v>
      </c>
      <c r="BU150" t="s">
        <v>1314</v>
      </c>
      <c r="BY150">
        <v>16</v>
      </c>
      <c r="CA150">
        <v>9</v>
      </c>
      <c r="CE150">
        <v>1</v>
      </c>
      <c r="CI150">
        <v>11</v>
      </c>
      <c r="CJ150" t="s">
        <v>94</v>
      </c>
      <c r="CM150">
        <v>4010</v>
      </c>
      <c r="CO150">
        <v>7360</v>
      </c>
      <c r="CP150">
        <v>0.76670000000000005</v>
      </c>
      <c r="CQ150">
        <v>0.76670000000000005</v>
      </c>
      <c r="CR150">
        <v>0.15</v>
      </c>
      <c r="CS150">
        <v>42</v>
      </c>
      <c r="CT150" t="s">
        <v>4029</v>
      </c>
      <c r="CU150" t="s">
        <v>4030</v>
      </c>
      <c r="CV150" t="s">
        <v>833</v>
      </c>
      <c r="CW150" t="s">
        <v>834</v>
      </c>
      <c r="CX150" t="s">
        <v>3145</v>
      </c>
      <c r="CY150">
        <v>0</v>
      </c>
      <c r="CZ150">
        <v>0</v>
      </c>
      <c r="DA150" t="s">
        <v>833</v>
      </c>
      <c r="DB150" t="s">
        <v>865</v>
      </c>
      <c r="DC150">
        <v>47906</v>
      </c>
      <c r="DD150">
        <v>9.15</v>
      </c>
      <c r="DE150" t="s">
        <v>866</v>
      </c>
      <c r="DG150" t="s">
        <v>867</v>
      </c>
      <c r="DH150" t="s">
        <v>851</v>
      </c>
      <c r="DI150" t="s">
        <v>3154</v>
      </c>
      <c r="DK150" t="s">
        <v>918</v>
      </c>
      <c r="DL150" t="s">
        <v>869</v>
      </c>
      <c r="DM150">
        <v>0</v>
      </c>
      <c r="DN150">
        <v>0</v>
      </c>
      <c r="DO150">
        <v>2</v>
      </c>
      <c r="DP150" t="s">
        <v>870</v>
      </c>
      <c r="DQ150">
        <v>16</v>
      </c>
      <c r="DR150">
        <v>549</v>
      </c>
      <c r="DS150">
        <v>549</v>
      </c>
      <c r="DT150">
        <v>8.3833000000000002</v>
      </c>
      <c r="DU150">
        <v>4</v>
      </c>
      <c r="DV150">
        <v>1</v>
      </c>
      <c r="DW150">
        <v>2</v>
      </c>
      <c r="DX150" t="s">
        <v>594</v>
      </c>
      <c r="DY150" t="s">
        <v>3145</v>
      </c>
      <c r="DZ150">
        <v>0</v>
      </c>
      <c r="EA150">
        <v>0</v>
      </c>
      <c r="EB150">
        <v>0</v>
      </c>
      <c r="EC150">
        <v>0</v>
      </c>
      <c r="ED150">
        <v>0</v>
      </c>
      <c r="EE150">
        <v>0</v>
      </c>
      <c r="EF150" t="s">
        <v>920</v>
      </c>
      <c r="EG150" t="s">
        <v>595</v>
      </c>
      <c r="EH150" t="s">
        <v>872</v>
      </c>
      <c r="EI150" t="s">
        <v>872</v>
      </c>
      <c r="EJ150" t="s">
        <v>134</v>
      </c>
      <c r="EK150">
        <v>9090</v>
      </c>
      <c r="EL150">
        <v>0</v>
      </c>
      <c r="EM150" t="s">
        <v>873</v>
      </c>
      <c r="EN150">
        <v>1.2</v>
      </c>
      <c r="EO150">
        <v>9.15</v>
      </c>
      <c r="EP150">
        <v>99991120</v>
      </c>
      <c r="EQ150" t="s">
        <v>874</v>
      </c>
      <c r="ER150" t="s">
        <v>875</v>
      </c>
      <c r="ES150" t="s">
        <v>876</v>
      </c>
      <c r="ET150" t="s">
        <v>877</v>
      </c>
      <c r="EU150" t="s">
        <v>877</v>
      </c>
      <c r="EV150" t="s">
        <v>920</v>
      </c>
      <c r="EX150" t="s">
        <v>836</v>
      </c>
      <c r="EY150" t="s">
        <v>873</v>
      </c>
      <c r="EZ150" t="s">
        <v>1211</v>
      </c>
      <c r="FA150" t="s">
        <v>1212</v>
      </c>
      <c r="FB150">
        <v>1</v>
      </c>
      <c r="FC150">
        <v>1</v>
      </c>
      <c r="FD150" s="41">
        <v>46200</v>
      </c>
      <c r="FE150" t="s">
        <v>1315</v>
      </c>
      <c r="FF150">
        <v>6</v>
      </c>
      <c r="FG150" t="s">
        <v>4031</v>
      </c>
      <c r="FH150" t="s">
        <v>4032</v>
      </c>
      <c r="FI150">
        <v>1</v>
      </c>
      <c r="FJ150" t="s">
        <v>4033</v>
      </c>
      <c r="FK150" t="s">
        <v>4034</v>
      </c>
      <c r="FL150">
        <v>1</v>
      </c>
      <c r="FM150" t="s">
        <v>3157</v>
      </c>
      <c r="FN150" t="s">
        <v>4035</v>
      </c>
      <c r="FO150">
        <v>1</v>
      </c>
      <c r="FP150" t="s">
        <v>4036</v>
      </c>
      <c r="FQ150" t="s">
        <v>4030</v>
      </c>
      <c r="FR150">
        <v>1</v>
      </c>
      <c r="FS150" t="s">
        <v>3160</v>
      </c>
      <c r="FT150" t="s">
        <v>4037</v>
      </c>
      <c r="FU150">
        <v>1</v>
      </c>
      <c r="FV150" t="s">
        <v>3145</v>
      </c>
      <c r="FW150" t="s">
        <v>4032</v>
      </c>
      <c r="FX150">
        <v>1</v>
      </c>
      <c r="FY150" t="s">
        <v>890</v>
      </c>
      <c r="FZ150" t="s">
        <v>4038</v>
      </c>
      <c r="GA150" t="s">
        <v>4031</v>
      </c>
      <c r="GB150">
        <v>1</v>
      </c>
      <c r="GD150">
        <v>0</v>
      </c>
      <c r="GF150">
        <v>0</v>
      </c>
      <c r="GG150">
        <v>1</v>
      </c>
      <c r="GH150" t="s">
        <v>892</v>
      </c>
      <c r="GI150" t="s">
        <v>893</v>
      </c>
      <c r="GJ150" t="s">
        <v>4032</v>
      </c>
      <c r="GM150">
        <v>1</v>
      </c>
      <c r="GN150">
        <v>1</v>
      </c>
      <c r="GO150">
        <v>0</v>
      </c>
      <c r="GP150">
        <v>1</v>
      </c>
      <c r="GQ150">
        <v>1</v>
      </c>
      <c r="GR150">
        <v>0</v>
      </c>
      <c r="GS150">
        <v>1</v>
      </c>
      <c r="GT150">
        <v>0</v>
      </c>
      <c r="GU150">
        <v>1</v>
      </c>
      <c r="GV150">
        <v>0</v>
      </c>
      <c r="GW150">
        <v>1</v>
      </c>
      <c r="GX150">
        <v>0</v>
      </c>
      <c r="GY150">
        <v>1</v>
      </c>
      <c r="GZ150">
        <v>0</v>
      </c>
      <c r="HA150" t="s">
        <v>362</v>
      </c>
      <c r="HB150" t="s">
        <v>894</v>
      </c>
      <c r="HC150" t="s">
        <v>895</v>
      </c>
      <c r="HD150" t="s">
        <v>845</v>
      </c>
      <c r="HE150" t="s">
        <v>836</v>
      </c>
      <c r="HF150" t="s">
        <v>873</v>
      </c>
      <c r="HG150" t="s">
        <v>894</v>
      </c>
      <c r="HH150" t="s">
        <v>895</v>
      </c>
      <c r="HI150" t="s">
        <v>845</v>
      </c>
      <c r="HJ150" t="s">
        <v>836</v>
      </c>
      <c r="HK150" t="s">
        <v>873</v>
      </c>
      <c r="HL150" t="s">
        <v>2032</v>
      </c>
      <c r="HM150" t="s">
        <v>854</v>
      </c>
      <c r="HN150">
        <v>36805</v>
      </c>
      <c r="HP150" t="s">
        <v>134</v>
      </c>
      <c r="HQ150" t="s">
        <v>896</v>
      </c>
      <c r="HR150" t="s">
        <v>896</v>
      </c>
      <c r="HS150" t="s">
        <v>896</v>
      </c>
    </row>
    <row r="151" spans="1:227" x14ac:dyDescent="0.2">
      <c r="A151">
        <v>8702</v>
      </c>
      <c r="B151">
        <v>7526204864</v>
      </c>
      <c r="C151" t="s">
        <v>829</v>
      </c>
      <c r="D151" t="s">
        <v>830</v>
      </c>
      <c r="E151" t="s">
        <v>831</v>
      </c>
      <c r="F151">
        <v>1</v>
      </c>
      <c r="G151" t="s">
        <v>4039</v>
      </c>
      <c r="H151" t="s">
        <v>4039</v>
      </c>
      <c r="I151">
        <v>0</v>
      </c>
      <c r="J151" t="s">
        <v>833</v>
      </c>
      <c r="K151" t="s">
        <v>834</v>
      </c>
      <c r="L151">
        <v>142427789</v>
      </c>
      <c r="M151" t="s">
        <v>2483</v>
      </c>
      <c r="N151" t="s">
        <v>836</v>
      </c>
      <c r="O151" t="s">
        <v>837</v>
      </c>
      <c r="P151" t="s">
        <v>838</v>
      </c>
      <c r="Q151" t="s">
        <v>1251</v>
      </c>
      <c r="R151" t="s">
        <v>4040</v>
      </c>
      <c r="S151" t="s">
        <v>4041</v>
      </c>
      <c r="T151">
        <v>41477047363</v>
      </c>
      <c r="V151" t="s">
        <v>1083</v>
      </c>
      <c r="W151" s="41">
        <v>45920</v>
      </c>
      <c r="X151" t="s">
        <v>4042</v>
      </c>
      <c r="Y151" t="s">
        <v>4043</v>
      </c>
      <c r="AA151">
        <v>0</v>
      </c>
      <c r="AB151" t="s">
        <v>845</v>
      </c>
      <c r="AC151" t="s">
        <v>846</v>
      </c>
      <c r="AD151" t="s">
        <v>847</v>
      </c>
      <c r="AE151" t="s">
        <v>848</v>
      </c>
      <c r="AF151">
        <v>1</v>
      </c>
      <c r="AG151">
        <v>452210</v>
      </c>
      <c r="AH151" t="s">
        <v>849</v>
      </c>
      <c r="AI151" t="s">
        <v>850</v>
      </c>
      <c r="AJ151" t="s">
        <v>851</v>
      </c>
      <c r="AK151" t="s">
        <v>261</v>
      </c>
      <c r="AL151" t="s">
        <v>1363</v>
      </c>
      <c r="AM151" t="s">
        <v>1087</v>
      </c>
      <c r="AN151" t="s">
        <v>854</v>
      </c>
      <c r="AO151">
        <v>36805</v>
      </c>
      <c r="AP151">
        <v>448</v>
      </c>
      <c r="AQ151" t="s">
        <v>855</v>
      </c>
      <c r="AR151">
        <v>66122961</v>
      </c>
      <c r="AS151" t="s">
        <v>856</v>
      </c>
      <c r="AU151" t="s">
        <v>4044</v>
      </c>
      <c r="AV151" t="s">
        <v>4045</v>
      </c>
      <c r="AW151" t="s">
        <v>1185</v>
      </c>
      <c r="AX151" t="s">
        <v>1186</v>
      </c>
      <c r="AY151" t="s">
        <v>861</v>
      </c>
      <c r="AZ151" t="s">
        <v>261</v>
      </c>
      <c r="BA151" t="s">
        <v>262</v>
      </c>
      <c r="BB151">
        <v>1</v>
      </c>
      <c r="BC151">
        <v>0</v>
      </c>
      <c r="BD151">
        <v>0</v>
      </c>
      <c r="BE151" t="s">
        <v>2483</v>
      </c>
      <c r="BF151">
        <v>0</v>
      </c>
      <c r="BG151">
        <v>0</v>
      </c>
      <c r="BH151" t="s">
        <v>862</v>
      </c>
      <c r="BI151">
        <v>0</v>
      </c>
      <c r="BJ151" t="s">
        <v>862</v>
      </c>
      <c r="BK151">
        <v>1</v>
      </c>
      <c r="BL151">
        <v>0</v>
      </c>
      <c r="BM151">
        <v>0</v>
      </c>
      <c r="BN151" t="s">
        <v>596</v>
      </c>
      <c r="BO151">
        <v>142427789</v>
      </c>
      <c r="BP151" t="s">
        <v>4039</v>
      </c>
      <c r="BQ151">
        <v>38.633324399999999</v>
      </c>
      <c r="BR151">
        <v>42511030</v>
      </c>
      <c r="BS151">
        <v>-90.238495700000001</v>
      </c>
      <c r="BT151">
        <v>0</v>
      </c>
      <c r="CM151">
        <v>4010</v>
      </c>
      <c r="CO151">
        <v>7360</v>
      </c>
      <c r="CP151">
        <v>2.5333000000000001</v>
      </c>
      <c r="CQ151">
        <v>2.5333000000000001</v>
      </c>
      <c r="CR151">
        <v>2.0167000000000002</v>
      </c>
      <c r="CS151">
        <v>0</v>
      </c>
      <c r="CT151" t="s">
        <v>4046</v>
      </c>
      <c r="CU151" t="s">
        <v>4047</v>
      </c>
      <c r="CV151" t="s">
        <v>833</v>
      </c>
      <c r="CW151" t="s">
        <v>834</v>
      </c>
      <c r="CX151" t="s">
        <v>2483</v>
      </c>
      <c r="CY151">
        <v>1</v>
      </c>
      <c r="CZ151">
        <v>1</v>
      </c>
      <c r="DA151" t="s">
        <v>833</v>
      </c>
      <c r="DB151" t="s">
        <v>865</v>
      </c>
      <c r="DC151">
        <v>63110</v>
      </c>
      <c r="DD151">
        <v>16.683299999999999</v>
      </c>
      <c r="DE151" t="s">
        <v>866</v>
      </c>
      <c r="DG151" t="s">
        <v>867</v>
      </c>
      <c r="DH151" t="s">
        <v>851</v>
      </c>
      <c r="DI151" t="s">
        <v>1092</v>
      </c>
      <c r="DL151" t="s">
        <v>869</v>
      </c>
      <c r="DM151">
        <v>0</v>
      </c>
      <c r="DN151">
        <v>0</v>
      </c>
      <c r="DO151">
        <v>11</v>
      </c>
      <c r="DP151" t="s">
        <v>1010</v>
      </c>
      <c r="DQ151">
        <v>16</v>
      </c>
      <c r="DR151">
        <v>1001</v>
      </c>
      <c r="DS151">
        <v>1721</v>
      </c>
      <c r="DT151">
        <v>3.2166999999999999</v>
      </c>
      <c r="DU151">
        <v>4</v>
      </c>
      <c r="DW151">
        <v>2</v>
      </c>
      <c r="DX151" t="s">
        <v>594</v>
      </c>
      <c r="DY151" t="s">
        <v>2483</v>
      </c>
      <c r="DZ151">
        <v>0</v>
      </c>
      <c r="EA151">
        <v>0</v>
      </c>
      <c r="EB151">
        <v>0</v>
      </c>
      <c r="EC151">
        <v>0</v>
      </c>
      <c r="ED151">
        <v>0</v>
      </c>
      <c r="EE151">
        <v>0</v>
      </c>
      <c r="EF151" t="s">
        <v>920</v>
      </c>
      <c r="EG151" t="s">
        <v>595</v>
      </c>
      <c r="EH151" t="s">
        <v>872</v>
      </c>
      <c r="EI151" t="s">
        <v>872</v>
      </c>
      <c r="EJ151" t="s">
        <v>111</v>
      </c>
      <c r="EK151">
        <v>9090</v>
      </c>
      <c r="EL151">
        <v>1</v>
      </c>
      <c r="EM151" t="s">
        <v>1037</v>
      </c>
      <c r="EN151">
        <v>2.0167000000000002</v>
      </c>
      <c r="EO151">
        <v>28.683333300000001</v>
      </c>
      <c r="EP151">
        <v>99991120</v>
      </c>
      <c r="EQ151" t="s">
        <v>874</v>
      </c>
      <c r="ER151" t="s">
        <v>875</v>
      </c>
      <c r="ES151" t="s">
        <v>876</v>
      </c>
      <c r="ET151" t="s">
        <v>877</v>
      </c>
      <c r="EU151" t="s">
        <v>877</v>
      </c>
      <c r="EV151" t="s">
        <v>920</v>
      </c>
      <c r="EX151" t="s">
        <v>900</v>
      </c>
      <c r="EY151" t="s">
        <v>923</v>
      </c>
      <c r="EZ151" t="s">
        <v>1038</v>
      </c>
      <c r="FA151" t="s">
        <v>925</v>
      </c>
      <c r="FB151">
        <v>1</v>
      </c>
      <c r="FC151">
        <v>2</v>
      </c>
      <c r="FD151" s="41">
        <v>45920</v>
      </c>
      <c r="FE151" t="s">
        <v>880</v>
      </c>
      <c r="FF151">
        <v>21</v>
      </c>
      <c r="FG151" t="s">
        <v>4048</v>
      </c>
      <c r="FH151" t="s">
        <v>4049</v>
      </c>
      <c r="FI151">
        <v>1</v>
      </c>
      <c r="FJ151" t="s">
        <v>4050</v>
      </c>
      <c r="FK151" t="s">
        <v>4049</v>
      </c>
      <c r="FL151">
        <v>1</v>
      </c>
      <c r="FM151" t="s">
        <v>4051</v>
      </c>
      <c r="FN151" t="s">
        <v>4052</v>
      </c>
      <c r="FO151">
        <v>1</v>
      </c>
      <c r="FP151" t="s">
        <v>4053</v>
      </c>
      <c r="FQ151" t="s">
        <v>4047</v>
      </c>
      <c r="FR151">
        <v>1</v>
      </c>
      <c r="FS151" t="s">
        <v>1376</v>
      </c>
      <c r="FT151" t="s">
        <v>4054</v>
      </c>
      <c r="FU151">
        <v>1</v>
      </c>
      <c r="FV151" t="s">
        <v>4055</v>
      </c>
      <c r="FW151" t="s">
        <v>4056</v>
      </c>
      <c r="FX151">
        <v>1</v>
      </c>
      <c r="FY151" t="s">
        <v>890</v>
      </c>
      <c r="FZ151" t="s">
        <v>4057</v>
      </c>
      <c r="GA151" t="s">
        <v>4050</v>
      </c>
      <c r="GB151">
        <v>1</v>
      </c>
      <c r="GD151">
        <v>0</v>
      </c>
      <c r="GF151">
        <v>0</v>
      </c>
      <c r="GG151">
        <v>1</v>
      </c>
      <c r="GH151" t="s">
        <v>892</v>
      </c>
      <c r="GI151" t="s">
        <v>893</v>
      </c>
      <c r="GJ151" t="s">
        <v>4049</v>
      </c>
      <c r="GM151">
        <v>1</v>
      </c>
      <c r="GN151">
        <v>0</v>
      </c>
      <c r="GO151">
        <v>0</v>
      </c>
      <c r="GP151">
        <v>1</v>
      </c>
      <c r="GQ151">
        <v>1</v>
      </c>
      <c r="GR151">
        <v>0</v>
      </c>
      <c r="GS151">
        <v>1</v>
      </c>
      <c r="GT151">
        <v>0</v>
      </c>
      <c r="GU151">
        <v>1</v>
      </c>
      <c r="GV151">
        <v>0</v>
      </c>
      <c r="GW151">
        <v>1</v>
      </c>
      <c r="GX151">
        <v>0</v>
      </c>
      <c r="GY151">
        <v>1</v>
      </c>
      <c r="GZ151">
        <v>0</v>
      </c>
      <c r="HA151" t="s">
        <v>261</v>
      </c>
      <c r="HB151" t="s">
        <v>894</v>
      </c>
      <c r="HC151" t="s">
        <v>895</v>
      </c>
      <c r="HD151" t="s">
        <v>845</v>
      </c>
      <c r="HE151" t="s">
        <v>836</v>
      </c>
      <c r="HF151" t="s">
        <v>1051</v>
      </c>
      <c r="HG151" t="s">
        <v>894</v>
      </c>
      <c r="HH151" t="s">
        <v>895</v>
      </c>
      <c r="HI151" t="s">
        <v>845</v>
      </c>
      <c r="HJ151" t="s">
        <v>836</v>
      </c>
      <c r="HK151" t="s">
        <v>1037</v>
      </c>
      <c r="HL151" t="s">
        <v>1083</v>
      </c>
      <c r="HM151" t="s">
        <v>854</v>
      </c>
      <c r="HN151">
        <v>36805</v>
      </c>
      <c r="HP151" t="s">
        <v>111</v>
      </c>
      <c r="HQ151" t="s">
        <v>896</v>
      </c>
      <c r="HR151" t="s">
        <v>896</v>
      </c>
      <c r="HS151" t="s">
        <v>896</v>
      </c>
    </row>
    <row r="152" spans="1:227" x14ac:dyDescent="0.2">
      <c r="A152">
        <v>8702</v>
      </c>
      <c r="B152">
        <v>7529606402</v>
      </c>
      <c r="C152" t="s">
        <v>829</v>
      </c>
      <c r="D152" t="s">
        <v>830</v>
      </c>
      <c r="E152" t="s">
        <v>831</v>
      </c>
      <c r="F152">
        <v>1</v>
      </c>
      <c r="G152" t="s">
        <v>4058</v>
      </c>
      <c r="H152" t="s">
        <v>4058</v>
      </c>
      <c r="I152">
        <v>0</v>
      </c>
      <c r="J152" t="s">
        <v>833</v>
      </c>
      <c r="K152" t="s">
        <v>834</v>
      </c>
      <c r="L152">
        <v>156586328</v>
      </c>
      <c r="M152" t="s">
        <v>4059</v>
      </c>
      <c r="N152" t="s">
        <v>836</v>
      </c>
      <c r="O152" t="s">
        <v>837</v>
      </c>
      <c r="P152" t="s">
        <v>838</v>
      </c>
      <c r="Q152" t="s">
        <v>839</v>
      </c>
      <c r="R152" t="s">
        <v>4060</v>
      </c>
      <c r="S152" t="s">
        <v>4061</v>
      </c>
      <c r="T152">
        <v>41477047363</v>
      </c>
      <c r="V152" t="s">
        <v>4062</v>
      </c>
      <c r="W152" s="41">
        <v>45956</v>
      </c>
      <c r="X152" t="s">
        <v>4063</v>
      </c>
      <c r="Y152" t="s">
        <v>4064</v>
      </c>
      <c r="AA152">
        <v>0</v>
      </c>
      <c r="AB152" t="s">
        <v>845</v>
      </c>
      <c r="AC152" t="s">
        <v>846</v>
      </c>
      <c r="AD152" t="s">
        <v>847</v>
      </c>
      <c r="AE152" t="s">
        <v>848</v>
      </c>
      <c r="AF152">
        <v>1</v>
      </c>
      <c r="AG152">
        <v>452210</v>
      </c>
      <c r="AH152" t="s">
        <v>849</v>
      </c>
      <c r="AI152" t="s">
        <v>850</v>
      </c>
      <c r="AJ152" t="s">
        <v>851</v>
      </c>
      <c r="AK152" t="s">
        <v>261</v>
      </c>
      <c r="AL152" t="s">
        <v>1363</v>
      </c>
      <c r="AM152" t="s">
        <v>4065</v>
      </c>
      <c r="AN152" t="s">
        <v>854</v>
      </c>
      <c r="AO152">
        <v>36805</v>
      </c>
      <c r="AP152">
        <v>491</v>
      </c>
      <c r="AQ152" t="s">
        <v>855</v>
      </c>
      <c r="AR152">
        <v>66174989</v>
      </c>
      <c r="AS152" t="s">
        <v>856</v>
      </c>
      <c r="AU152" t="s">
        <v>4066</v>
      </c>
      <c r="AV152" t="s">
        <v>4067</v>
      </c>
      <c r="AW152" t="s">
        <v>859</v>
      </c>
      <c r="AX152" t="s">
        <v>860</v>
      </c>
      <c r="AY152" t="s">
        <v>861</v>
      </c>
      <c r="AZ152" t="s">
        <v>261</v>
      </c>
      <c r="BA152" t="s">
        <v>262</v>
      </c>
      <c r="BB152">
        <v>0</v>
      </c>
      <c r="BC152">
        <v>0</v>
      </c>
      <c r="BD152">
        <v>0</v>
      </c>
      <c r="BE152" t="s">
        <v>4059</v>
      </c>
      <c r="BF152">
        <v>0</v>
      </c>
      <c r="BG152">
        <v>0</v>
      </c>
      <c r="BH152" t="s">
        <v>862</v>
      </c>
      <c r="BI152">
        <v>0</v>
      </c>
      <c r="BJ152" t="s">
        <v>862</v>
      </c>
      <c r="BK152">
        <v>1</v>
      </c>
      <c r="BL152">
        <v>0</v>
      </c>
      <c r="BM152">
        <v>0</v>
      </c>
      <c r="BN152" t="s">
        <v>596</v>
      </c>
      <c r="BO152">
        <v>156586328</v>
      </c>
      <c r="BP152" t="s">
        <v>4058</v>
      </c>
      <c r="BR152">
        <v>42789012</v>
      </c>
      <c r="BT152">
        <v>0</v>
      </c>
      <c r="CM152">
        <v>4010</v>
      </c>
      <c r="CO152">
        <v>7360</v>
      </c>
      <c r="CP152">
        <v>1.0667</v>
      </c>
      <c r="CQ152">
        <v>1.0667</v>
      </c>
      <c r="CR152">
        <v>0.3</v>
      </c>
      <c r="CS152">
        <v>4</v>
      </c>
      <c r="CT152" t="s">
        <v>4067</v>
      </c>
      <c r="CU152" t="s">
        <v>4066</v>
      </c>
      <c r="CV152" t="s">
        <v>833</v>
      </c>
      <c r="CW152" t="s">
        <v>834</v>
      </c>
      <c r="CX152" t="s">
        <v>4059</v>
      </c>
      <c r="CY152">
        <v>0</v>
      </c>
      <c r="CZ152">
        <v>0</v>
      </c>
      <c r="DA152" t="s">
        <v>833</v>
      </c>
      <c r="DB152" t="s">
        <v>865</v>
      </c>
      <c r="DC152">
        <v>63122</v>
      </c>
      <c r="DD152">
        <v>47.716700000000003</v>
      </c>
      <c r="DE152" t="s">
        <v>866</v>
      </c>
      <c r="DG152" t="s">
        <v>867</v>
      </c>
      <c r="DH152" t="s">
        <v>851</v>
      </c>
      <c r="DL152" t="s">
        <v>869</v>
      </c>
      <c r="DM152">
        <v>0</v>
      </c>
      <c r="DN152">
        <v>0</v>
      </c>
      <c r="DO152">
        <v>1</v>
      </c>
      <c r="DP152" t="s">
        <v>985</v>
      </c>
      <c r="DQ152">
        <v>16</v>
      </c>
      <c r="DR152">
        <v>2863</v>
      </c>
      <c r="DS152">
        <v>5117</v>
      </c>
      <c r="DT152">
        <v>47.716700000000003</v>
      </c>
      <c r="DU152">
        <v>4</v>
      </c>
      <c r="DW152">
        <v>2</v>
      </c>
      <c r="DX152" t="s">
        <v>594</v>
      </c>
      <c r="DY152" t="s">
        <v>4059</v>
      </c>
      <c r="DZ152">
        <v>0</v>
      </c>
      <c r="EA152">
        <v>0</v>
      </c>
      <c r="EB152">
        <v>0</v>
      </c>
      <c r="EC152">
        <v>0</v>
      </c>
      <c r="ED152">
        <v>0</v>
      </c>
      <c r="EE152">
        <v>0</v>
      </c>
      <c r="EF152" t="s">
        <v>920</v>
      </c>
      <c r="EG152" t="s">
        <v>595</v>
      </c>
      <c r="EH152" t="s">
        <v>872</v>
      </c>
      <c r="EI152" t="s">
        <v>872</v>
      </c>
      <c r="EJ152" t="s">
        <v>111</v>
      </c>
      <c r="EK152">
        <v>9090</v>
      </c>
      <c r="EL152">
        <v>0</v>
      </c>
      <c r="EM152" t="s">
        <v>1037</v>
      </c>
      <c r="EN152">
        <v>0.3</v>
      </c>
      <c r="EO152">
        <v>85.283333299999995</v>
      </c>
      <c r="EP152">
        <v>99991120</v>
      </c>
      <c r="EQ152" t="s">
        <v>874</v>
      </c>
      <c r="ER152" t="s">
        <v>875</v>
      </c>
      <c r="ES152" t="s">
        <v>876</v>
      </c>
      <c r="ET152" t="s">
        <v>877</v>
      </c>
      <c r="EU152" t="s">
        <v>877</v>
      </c>
      <c r="EV152" t="s">
        <v>920</v>
      </c>
      <c r="EX152" t="s">
        <v>900</v>
      </c>
      <c r="EY152" t="s">
        <v>923</v>
      </c>
      <c r="EZ152" t="s">
        <v>1038</v>
      </c>
      <c r="FA152" t="s">
        <v>925</v>
      </c>
      <c r="FB152">
        <v>1</v>
      </c>
      <c r="FC152">
        <v>1</v>
      </c>
      <c r="FD152" s="41">
        <v>45962</v>
      </c>
      <c r="FE152" t="s">
        <v>1039</v>
      </c>
      <c r="FF152">
        <v>13</v>
      </c>
      <c r="FG152" t="s">
        <v>4068</v>
      </c>
      <c r="FH152" t="s">
        <v>4069</v>
      </c>
      <c r="FI152">
        <v>1</v>
      </c>
      <c r="FJ152" t="s">
        <v>4070</v>
      </c>
      <c r="FK152" t="s">
        <v>4069</v>
      </c>
      <c r="FL152">
        <v>1</v>
      </c>
      <c r="FM152" t="s">
        <v>4071</v>
      </c>
      <c r="FN152" t="s">
        <v>4072</v>
      </c>
      <c r="FO152">
        <v>1</v>
      </c>
      <c r="FP152" t="s">
        <v>4073</v>
      </c>
      <c r="FQ152" t="s">
        <v>4074</v>
      </c>
      <c r="FR152">
        <v>1</v>
      </c>
      <c r="FS152" t="s">
        <v>4075</v>
      </c>
      <c r="FT152" t="s">
        <v>4076</v>
      </c>
      <c r="FU152">
        <v>1</v>
      </c>
      <c r="FV152" t="s">
        <v>4077</v>
      </c>
      <c r="FW152" t="s">
        <v>4078</v>
      </c>
      <c r="FX152">
        <v>1</v>
      </c>
      <c r="FY152" t="s">
        <v>890</v>
      </c>
      <c r="FZ152" t="s">
        <v>4079</v>
      </c>
      <c r="GA152" t="s">
        <v>4068</v>
      </c>
      <c r="GB152">
        <v>1</v>
      </c>
      <c r="GD152">
        <v>0</v>
      </c>
      <c r="GF152">
        <v>0</v>
      </c>
      <c r="GG152">
        <v>1</v>
      </c>
      <c r="GH152" t="s">
        <v>892</v>
      </c>
      <c r="GI152" t="s">
        <v>893</v>
      </c>
      <c r="GJ152" t="s">
        <v>4069</v>
      </c>
      <c r="GM152">
        <v>1</v>
      </c>
      <c r="GN152">
        <v>1</v>
      </c>
      <c r="GO152">
        <v>0</v>
      </c>
      <c r="GP152">
        <v>1</v>
      </c>
      <c r="GQ152">
        <v>1</v>
      </c>
      <c r="GR152">
        <v>0</v>
      </c>
      <c r="GS152">
        <v>1</v>
      </c>
      <c r="GT152">
        <v>0</v>
      </c>
      <c r="GU152">
        <v>1</v>
      </c>
      <c r="GV152">
        <v>0</v>
      </c>
      <c r="GW152">
        <v>1</v>
      </c>
      <c r="GX152">
        <v>0</v>
      </c>
      <c r="GY152">
        <v>1</v>
      </c>
      <c r="GZ152">
        <v>0</v>
      </c>
      <c r="HA152" t="s">
        <v>261</v>
      </c>
      <c r="HB152" t="s">
        <v>894</v>
      </c>
      <c r="HC152" t="s">
        <v>895</v>
      </c>
      <c r="HD152" t="s">
        <v>845</v>
      </c>
      <c r="HE152" t="s">
        <v>836</v>
      </c>
      <c r="HF152" t="s">
        <v>1051</v>
      </c>
      <c r="HG152" t="s">
        <v>894</v>
      </c>
      <c r="HH152" t="s">
        <v>895</v>
      </c>
      <c r="HI152" t="s">
        <v>845</v>
      </c>
      <c r="HJ152" t="s">
        <v>836</v>
      </c>
      <c r="HK152" t="s">
        <v>1037</v>
      </c>
      <c r="HL152" t="s">
        <v>4062</v>
      </c>
      <c r="HM152" t="s">
        <v>854</v>
      </c>
      <c r="HN152">
        <v>36805</v>
      </c>
      <c r="HP152" t="s">
        <v>111</v>
      </c>
      <c r="HQ152" t="s">
        <v>896</v>
      </c>
      <c r="HR152" t="s">
        <v>896</v>
      </c>
      <c r="HS152" t="s">
        <v>896</v>
      </c>
    </row>
    <row r="153" spans="1:227" x14ac:dyDescent="0.2">
      <c r="A153">
        <v>8702</v>
      </c>
      <c r="B153">
        <v>7618001041</v>
      </c>
      <c r="C153" t="s">
        <v>829</v>
      </c>
      <c r="D153" t="s">
        <v>830</v>
      </c>
      <c r="E153" t="s">
        <v>897</v>
      </c>
      <c r="F153">
        <v>1</v>
      </c>
      <c r="G153" t="s">
        <v>4080</v>
      </c>
      <c r="H153" t="s">
        <v>4080</v>
      </c>
      <c r="I153">
        <v>0</v>
      </c>
      <c r="J153" t="s">
        <v>833</v>
      </c>
      <c r="K153" t="s">
        <v>834</v>
      </c>
      <c r="L153">
        <v>152946690</v>
      </c>
      <c r="M153" t="s">
        <v>2797</v>
      </c>
      <c r="N153" t="s">
        <v>900</v>
      </c>
      <c r="O153" t="s">
        <v>837</v>
      </c>
      <c r="P153" t="s">
        <v>838</v>
      </c>
      <c r="Q153" t="s">
        <v>1251</v>
      </c>
      <c r="R153" t="s">
        <v>4081</v>
      </c>
      <c r="S153" t="s">
        <v>4082</v>
      </c>
      <c r="T153">
        <v>41477085454</v>
      </c>
      <c r="V153" t="s">
        <v>212</v>
      </c>
      <c r="W153" s="41">
        <v>46203</v>
      </c>
      <c r="X153" t="s">
        <v>4083</v>
      </c>
      <c r="Y153" t="s">
        <v>4084</v>
      </c>
      <c r="AA153">
        <v>0</v>
      </c>
      <c r="AB153" t="s">
        <v>845</v>
      </c>
      <c r="AC153" t="s">
        <v>846</v>
      </c>
      <c r="AD153" t="s">
        <v>907</v>
      </c>
      <c r="AE153" t="s">
        <v>908</v>
      </c>
      <c r="AF153">
        <v>1</v>
      </c>
      <c r="AG153">
        <v>452210</v>
      </c>
      <c r="AH153" t="s">
        <v>849</v>
      </c>
      <c r="AI153" t="s">
        <v>850</v>
      </c>
      <c r="AJ153" t="s">
        <v>851</v>
      </c>
      <c r="AK153" t="s">
        <v>281</v>
      </c>
      <c r="AL153" t="s">
        <v>1407</v>
      </c>
      <c r="AM153" t="s">
        <v>2689</v>
      </c>
      <c r="AN153" t="s">
        <v>854</v>
      </c>
      <c r="AO153">
        <v>36805</v>
      </c>
      <c r="AP153">
        <v>649</v>
      </c>
      <c r="AQ153" t="s">
        <v>855</v>
      </c>
      <c r="AR153">
        <v>66529930</v>
      </c>
      <c r="AS153" t="s">
        <v>856</v>
      </c>
      <c r="AU153" t="s">
        <v>4085</v>
      </c>
      <c r="AV153" t="s">
        <v>4086</v>
      </c>
      <c r="AW153" t="s">
        <v>1185</v>
      </c>
      <c r="AX153" t="s">
        <v>1186</v>
      </c>
      <c r="AY153" t="s">
        <v>861</v>
      </c>
      <c r="AZ153" t="s">
        <v>281</v>
      </c>
      <c r="BA153" t="s">
        <v>282</v>
      </c>
      <c r="BB153">
        <v>0</v>
      </c>
      <c r="BC153">
        <v>0</v>
      </c>
      <c r="BD153">
        <v>0</v>
      </c>
      <c r="BE153" t="s">
        <v>2797</v>
      </c>
      <c r="BF153">
        <v>0</v>
      </c>
      <c r="BG153">
        <v>0</v>
      </c>
      <c r="BH153" t="s">
        <v>862</v>
      </c>
      <c r="BI153">
        <v>0</v>
      </c>
      <c r="BJ153" t="s">
        <v>862</v>
      </c>
      <c r="BK153">
        <v>1</v>
      </c>
      <c r="BL153">
        <v>0</v>
      </c>
      <c r="BM153">
        <v>0</v>
      </c>
      <c r="BN153" t="s">
        <v>596</v>
      </c>
      <c r="BO153">
        <v>152946690</v>
      </c>
      <c r="BP153" t="s">
        <v>4080</v>
      </c>
      <c r="BQ153">
        <v>42.323765899999998</v>
      </c>
      <c r="BR153">
        <v>42791782</v>
      </c>
      <c r="BS153">
        <v>-83.469013899999993</v>
      </c>
      <c r="BT153">
        <v>2</v>
      </c>
      <c r="BU153" t="s">
        <v>1314</v>
      </c>
      <c r="BY153">
        <v>16</v>
      </c>
      <c r="CA153">
        <v>6</v>
      </c>
      <c r="CE153">
        <v>1</v>
      </c>
      <c r="CI153">
        <v>11</v>
      </c>
      <c r="CJ153" t="s">
        <v>94</v>
      </c>
      <c r="CM153">
        <v>4010</v>
      </c>
      <c r="CO153">
        <v>7360</v>
      </c>
      <c r="CP153">
        <v>1.1167</v>
      </c>
      <c r="CQ153">
        <v>1.1167</v>
      </c>
      <c r="CR153">
        <v>0.7167</v>
      </c>
      <c r="CS153">
        <v>4</v>
      </c>
      <c r="CT153" t="s">
        <v>4086</v>
      </c>
      <c r="CU153" t="s">
        <v>4085</v>
      </c>
      <c r="CV153" t="s">
        <v>833</v>
      </c>
      <c r="CW153" t="s">
        <v>834</v>
      </c>
      <c r="CX153" t="s">
        <v>2797</v>
      </c>
      <c r="CY153">
        <v>0</v>
      </c>
      <c r="CZ153">
        <v>0</v>
      </c>
      <c r="DA153" t="s">
        <v>833</v>
      </c>
      <c r="DB153" t="s">
        <v>865</v>
      </c>
      <c r="DC153">
        <v>48187</v>
      </c>
      <c r="DD153">
        <v>5.85</v>
      </c>
      <c r="DE153" t="s">
        <v>866</v>
      </c>
      <c r="DG153" t="s">
        <v>867</v>
      </c>
      <c r="DH153" t="s">
        <v>851</v>
      </c>
      <c r="DI153" t="s">
        <v>2323</v>
      </c>
      <c r="DK153" t="s">
        <v>918</v>
      </c>
      <c r="DL153" t="s">
        <v>869</v>
      </c>
      <c r="DM153">
        <v>0</v>
      </c>
      <c r="DN153">
        <v>0</v>
      </c>
      <c r="DO153">
        <v>48</v>
      </c>
      <c r="DP153" t="s">
        <v>3651</v>
      </c>
      <c r="DQ153">
        <v>16</v>
      </c>
      <c r="DR153">
        <v>351</v>
      </c>
      <c r="DS153">
        <v>1071</v>
      </c>
      <c r="DT153">
        <v>4.7332999999999998</v>
      </c>
      <c r="DU153">
        <v>4</v>
      </c>
      <c r="DV153">
        <v>1</v>
      </c>
      <c r="DW153">
        <v>2</v>
      </c>
      <c r="DX153" t="s">
        <v>594</v>
      </c>
      <c r="DY153" t="s">
        <v>2797</v>
      </c>
      <c r="DZ153">
        <v>0</v>
      </c>
      <c r="EA153">
        <v>0</v>
      </c>
      <c r="EB153">
        <v>0</v>
      </c>
      <c r="EC153">
        <v>0</v>
      </c>
      <c r="ED153">
        <v>0</v>
      </c>
      <c r="EE153">
        <v>0</v>
      </c>
      <c r="EF153" t="s">
        <v>920</v>
      </c>
      <c r="EG153" t="s">
        <v>595</v>
      </c>
      <c r="EH153" t="s">
        <v>872</v>
      </c>
      <c r="EI153" t="s">
        <v>872</v>
      </c>
      <c r="EJ153" t="s">
        <v>178</v>
      </c>
      <c r="EK153">
        <v>9090</v>
      </c>
      <c r="EL153">
        <v>0</v>
      </c>
      <c r="EM153" t="s">
        <v>952</v>
      </c>
      <c r="EN153">
        <v>0.7167</v>
      </c>
      <c r="EO153">
        <v>17.850000000000001</v>
      </c>
      <c r="EP153">
        <v>99991120</v>
      </c>
      <c r="EQ153" t="s">
        <v>874</v>
      </c>
      <c r="ER153" t="s">
        <v>875</v>
      </c>
      <c r="ES153" t="s">
        <v>876</v>
      </c>
      <c r="ET153" t="s">
        <v>877</v>
      </c>
      <c r="EU153" t="s">
        <v>877</v>
      </c>
      <c r="EV153" t="s">
        <v>920</v>
      </c>
      <c r="EX153" t="s">
        <v>900</v>
      </c>
      <c r="EY153" t="s">
        <v>923</v>
      </c>
      <c r="EZ153" t="s">
        <v>955</v>
      </c>
      <c r="FA153" t="s">
        <v>956</v>
      </c>
      <c r="FB153">
        <v>1</v>
      </c>
      <c r="FC153">
        <v>1</v>
      </c>
      <c r="FD153" s="41">
        <v>46207</v>
      </c>
      <c r="FE153" t="s">
        <v>1315</v>
      </c>
      <c r="FF153">
        <v>9</v>
      </c>
      <c r="FG153" t="s">
        <v>4087</v>
      </c>
      <c r="FH153" t="s">
        <v>4088</v>
      </c>
      <c r="FI153">
        <v>1</v>
      </c>
      <c r="FJ153" t="s">
        <v>4089</v>
      </c>
      <c r="FK153" t="s">
        <v>4090</v>
      </c>
      <c r="FL153">
        <v>1</v>
      </c>
      <c r="FM153" t="s">
        <v>4091</v>
      </c>
      <c r="FN153" t="s">
        <v>4092</v>
      </c>
      <c r="FO153">
        <v>1</v>
      </c>
      <c r="FP153" t="s">
        <v>4093</v>
      </c>
      <c r="FQ153" t="s">
        <v>4085</v>
      </c>
      <c r="FR153">
        <v>1</v>
      </c>
      <c r="FS153" t="s">
        <v>964</v>
      </c>
      <c r="FT153" t="s">
        <v>4094</v>
      </c>
      <c r="FU153">
        <v>1</v>
      </c>
      <c r="FV153" t="s">
        <v>966</v>
      </c>
      <c r="FW153" t="s">
        <v>4095</v>
      </c>
      <c r="FX153">
        <v>1</v>
      </c>
      <c r="FY153" t="s">
        <v>890</v>
      </c>
      <c r="FZ153" t="s">
        <v>4096</v>
      </c>
      <c r="GA153" t="s">
        <v>4089</v>
      </c>
      <c r="GB153">
        <v>1</v>
      </c>
      <c r="GD153">
        <v>0</v>
      </c>
      <c r="GF153">
        <v>0</v>
      </c>
      <c r="GG153">
        <v>1</v>
      </c>
      <c r="GH153" t="s">
        <v>892</v>
      </c>
      <c r="GI153" t="s">
        <v>893</v>
      </c>
      <c r="GJ153" t="s">
        <v>4090</v>
      </c>
      <c r="GM153">
        <v>1</v>
      </c>
      <c r="GN153">
        <v>1</v>
      </c>
      <c r="GO153">
        <v>0</v>
      </c>
      <c r="GP153">
        <v>1</v>
      </c>
      <c r="GQ153">
        <v>1</v>
      </c>
      <c r="GR153">
        <v>0</v>
      </c>
      <c r="GS153">
        <v>1</v>
      </c>
      <c r="GT153">
        <v>0</v>
      </c>
      <c r="GU153">
        <v>1</v>
      </c>
      <c r="GV153">
        <v>0</v>
      </c>
      <c r="GW153">
        <v>1</v>
      </c>
      <c r="GX153">
        <v>0</v>
      </c>
      <c r="GY153">
        <v>1</v>
      </c>
      <c r="GZ153">
        <v>0</v>
      </c>
      <c r="HA153" t="s">
        <v>281</v>
      </c>
      <c r="HB153" t="s">
        <v>894</v>
      </c>
      <c r="HC153" t="s">
        <v>935</v>
      </c>
      <c r="HD153" t="s">
        <v>845</v>
      </c>
      <c r="HE153" t="s">
        <v>900</v>
      </c>
      <c r="HF153" t="s">
        <v>923</v>
      </c>
      <c r="HG153" t="s">
        <v>894</v>
      </c>
      <c r="HH153" t="s">
        <v>935</v>
      </c>
      <c r="HI153" t="s">
        <v>845</v>
      </c>
      <c r="HJ153" t="s">
        <v>900</v>
      </c>
      <c r="HK153" t="s">
        <v>952</v>
      </c>
      <c r="HL153" t="s">
        <v>212</v>
      </c>
      <c r="HM153" t="s">
        <v>854</v>
      </c>
      <c r="HN153">
        <v>36805</v>
      </c>
      <c r="HP153" t="s">
        <v>178</v>
      </c>
      <c r="HQ153" t="s">
        <v>896</v>
      </c>
      <c r="HR153" t="s">
        <v>896</v>
      </c>
      <c r="HS153" t="s">
        <v>896</v>
      </c>
    </row>
    <row r="154" spans="1:227" x14ac:dyDescent="0.2">
      <c r="A154">
        <v>8702</v>
      </c>
      <c r="B154">
        <v>7529400408</v>
      </c>
      <c r="C154">
        <v>34</v>
      </c>
      <c r="D154" t="s">
        <v>996</v>
      </c>
      <c r="E154" t="s">
        <v>897</v>
      </c>
      <c r="F154">
        <v>0</v>
      </c>
      <c r="G154" t="s">
        <v>4097</v>
      </c>
      <c r="H154" t="s">
        <v>4097</v>
      </c>
      <c r="I154">
        <v>0</v>
      </c>
      <c r="J154" t="s">
        <v>833</v>
      </c>
      <c r="K154" t="s">
        <v>834</v>
      </c>
      <c r="L154">
        <v>153195499</v>
      </c>
      <c r="M154" t="s">
        <v>4098</v>
      </c>
      <c r="N154" t="s">
        <v>900</v>
      </c>
      <c r="O154" t="s">
        <v>837</v>
      </c>
      <c r="P154" t="s">
        <v>999</v>
      </c>
      <c r="Q154" t="s">
        <v>2459</v>
      </c>
      <c r="R154" t="s">
        <v>4099</v>
      </c>
      <c r="S154" t="s">
        <v>4100</v>
      </c>
      <c r="T154">
        <v>41477095626</v>
      </c>
      <c r="V154" t="s">
        <v>1226</v>
      </c>
      <c r="W154" s="41">
        <v>45953</v>
      </c>
      <c r="X154" t="s">
        <v>4101</v>
      </c>
      <c r="Y154" t="s">
        <v>4102</v>
      </c>
      <c r="Z154" t="s">
        <v>1144</v>
      </c>
      <c r="AA154">
        <v>0</v>
      </c>
      <c r="AB154" t="s">
        <v>845</v>
      </c>
      <c r="AC154" t="s">
        <v>846</v>
      </c>
      <c r="AD154" t="s">
        <v>847</v>
      </c>
      <c r="AE154" t="s">
        <v>848</v>
      </c>
      <c r="AF154">
        <v>1</v>
      </c>
      <c r="AG154">
        <v>452210</v>
      </c>
      <c r="AH154" t="s">
        <v>849</v>
      </c>
      <c r="AI154" t="s">
        <v>850</v>
      </c>
      <c r="AJ154" t="s">
        <v>851</v>
      </c>
      <c r="AK154" t="s">
        <v>277</v>
      </c>
      <c r="AL154" t="s">
        <v>1229</v>
      </c>
      <c r="AM154" t="s">
        <v>1230</v>
      </c>
      <c r="AN154" t="s">
        <v>854</v>
      </c>
      <c r="AO154">
        <v>36805</v>
      </c>
      <c r="AP154">
        <v>925</v>
      </c>
      <c r="AQ154" t="s">
        <v>855</v>
      </c>
      <c r="AR154">
        <v>66170153</v>
      </c>
      <c r="AS154" t="s">
        <v>856</v>
      </c>
      <c r="AU154" t="s">
        <v>4103</v>
      </c>
      <c r="AV154" t="s">
        <v>4104</v>
      </c>
      <c r="AW154" t="s">
        <v>1149</v>
      </c>
      <c r="AX154" t="s">
        <v>1150</v>
      </c>
      <c r="AY154" t="s">
        <v>861</v>
      </c>
      <c r="AZ154" t="s">
        <v>277</v>
      </c>
      <c r="BA154" t="s">
        <v>278</v>
      </c>
      <c r="BB154">
        <v>0</v>
      </c>
      <c r="BC154">
        <v>0</v>
      </c>
      <c r="BD154">
        <v>0</v>
      </c>
      <c r="BE154" t="s">
        <v>4098</v>
      </c>
      <c r="BF154">
        <v>0</v>
      </c>
      <c r="BG154">
        <v>0</v>
      </c>
      <c r="BH154" t="s">
        <v>862</v>
      </c>
      <c r="BI154">
        <v>0</v>
      </c>
      <c r="BJ154" t="s">
        <v>862</v>
      </c>
      <c r="BK154">
        <v>1</v>
      </c>
      <c r="BL154">
        <v>0</v>
      </c>
      <c r="BM154">
        <v>0</v>
      </c>
      <c r="BN154" t="s">
        <v>596</v>
      </c>
      <c r="BO154">
        <v>153195499</v>
      </c>
      <c r="BP154" t="s">
        <v>4097</v>
      </c>
      <c r="BQ154">
        <v>41.518294900000001</v>
      </c>
      <c r="BR154">
        <v>42793649</v>
      </c>
      <c r="BS154">
        <v>-81.449493399999994</v>
      </c>
      <c r="BT154">
        <v>1</v>
      </c>
      <c r="BU154" t="s">
        <v>2280</v>
      </c>
      <c r="CI154">
        <v>11</v>
      </c>
      <c r="CJ154" t="s">
        <v>94</v>
      </c>
      <c r="CM154">
        <v>4010</v>
      </c>
      <c r="CO154">
        <v>7360</v>
      </c>
      <c r="CP154">
        <v>0.51670000000000005</v>
      </c>
      <c r="CQ154">
        <v>0.51670000000000005</v>
      </c>
      <c r="CR154">
        <v>0.76670000000000005</v>
      </c>
      <c r="CS154">
        <v>44</v>
      </c>
      <c r="CT154" t="s">
        <v>4105</v>
      </c>
      <c r="CU154" t="s">
        <v>4106</v>
      </c>
      <c r="CV154" t="s">
        <v>833</v>
      </c>
      <c r="CW154" t="s">
        <v>834</v>
      </c>
      <c r="CX154" t="s">
        <v>4098</v>
      </c>
      <c r="CY154">
        <v>0</v>
      </c>
      <c r="CZ154">
        <v>0</v>
      </c>
      <c r="DA154" t="s">
        <v>833</v>
      </c>
      <c r="DB154" t="s">
        <v>865</v>
      </c>
      <c r="DC154">
        <v>44124</v>
      </c>
      <c r="DD154">
        <v>18.416699999999999</v>
      </c>
      <c r="DE154" t="s">
        <v>866</v>
      </c>
      <c r="DG154" t="s">
        <v>867</v>
      </c>
      <c r="DH154" t="s">
        <v>851</v>
      </c>
      <c r="DI154" t="s">
        <v>3407</v>
      </c>
      <c r="DK154" t="s">
        <v>1155</v>
      </c>
      <c r="DL154" t="s">
        <v>869</v>
      </c>
      <c r="DM154">
        <v>0</v>
      </c>
      <c r="DN154">
        <v>0</v>
      </c>
      <c r="DO154">
        <v>12</v>
      </c>
      <c r="DP154" t="s">
        <v>1190</v>
      </c>
      <c r="DQ154">
        <v>16</v>
      </c>
      <c r="DR154">
        <v>1105</v>
      </c>
      <c r="DS154">
        <v>2545</v>
      </c>
      <c r="DT154">
        <v>17.899999999999999</v>
      </c>
      <c r="DU154">
        <v>4</v>
      </c>
      <c r="DV154">
        <v>1</v>
      </c>
      <c r="DW154">
        <v>2</v>
      </c>
      <c r="DX154" t="s">
        <v>594</v>
      </c>
      <c r="DY154" t="s">
        <v>4098</v>
      </c>
      <c r="DZ154">
        <v>0</v>
      </c>
      <c r="EA154">
        <v>0</v>
      </c>
      <c r="EB154">
        <v>0</v>
      </c>
      <c r="EC154">
        <v>0</v>
      </c>
      <c r="ED154">
        <v>0</v>
      </c>
      <c r="EE154">
        <v>0</v>
      </c>
      <c r="EF154" t="s">
        <v>920</v>
      </c>
      <c r="EG154" t="s">
        <v>595</v>
      </c>
      <c r="EH154" t="s">
        <v>872</v>
      </c>
      <c r="EI154" t="s">
        <v>872</v>
      </c>
      <c r="EJ154" t="s">
        <v>226</v>
      </c>
      <c r="EK154">
        <v>9090</v>
      </c>
      <c r="EL154">
        <v>0</v>
      </c>
      <c r="EM154" t="s">
        <v>1157</v>
      </c>
      <c r="EN154">
        <v>0.76670000000000005</v>
      </c>
      <c r="EO154">
        <v>42.416666599999999</v>
      </c>
      <c r="EP154">
        <v>99991120</v>
      </c>
      <c r="EQ154" t="s">
        <v>874</v>
      </c>
      <c r="ER154" t="s">
        <v>875</v>
      </c>
      <c r="ES154" t="s">
        <v>876</v>
      </c>
      <c r="ET154" t="s">
        <v>877</v>
      </c>
      <c r="EU154" t="s">
        <v>877</v>
      </c>
      <c r="EV154" t="s">
        <v>920</v>
      </c>
      <c r="EX154" t="s">
        <v>953</v>
      </c>
      <c r="EY154" t="s">
        <v>986</v>
      </c>
      <c r="EZ154" t="s">
        <v>1236</v>
      </c>
      <c r="FA154" t="s">
        <v>956</v>
      </c>
      <c r="FB154">
        <v>1</v>
      </c>
      <c r="FC154">
        <v>1</v>
      </c>
      <c r="FD154" s="41">
        <v>45955</v>
      </c>
      <c r="FE154" t="s">
        <v>1039</v>
      </c>
      <c r="FF154">
        <v>7</v>
      </c>
      <c r="FG154" t="s">
        <v>4107</v>
      </c>
      <c r="FH154" t="s">
        <v>4108</v>
      </c>
      <c r="FI154">
        <v>1</v>
      </c>
      <c r="FJ154" t="s">
        <v>4109</v>
      </c>
      <c r="FK154" t="s">
        <v>4108</v>
      </c>
      <c r="FL154">
        <v>1</v>
      </c>
      <c r="FM154" t="s">
        <v>4110</v>
      </c>
      <c r="FN154" t="s">
        <v>4111</v>
      </c>
      <c r="FO154">
        <v>1</v>
      </c>
      <c r="FP154" t="s">
        <v>4112</v>
      </c>
      <c r="FQ154" t="s">
        <v>4106</v>
      </c>
      <c r="FR154">
        <v>1</v>
      </c>
      <c r="FS154" t="s">
        <v>4113</v>
      </c>
      <c r="FT154" t="s">
        <v>4114</v>
      </c>
      <c r="FU154">
        <v>1</v>
      </c>
      <c r="FV154" t="s">
        <v>4115</v>
      </c>
      <c r="FW154" t="s">
        <v>4116</v>
      </c>
      <c r="FX154">
        <v>1</v>
      </c>
      <c r="FY154" t="s">
        <v>890</v>
      </c>
      <c r="FZ154" t="s">
        <v>4117</v>
      </c>
      <c r="GA154" t="s">
        <v>4109</v>
      </c>
      <c r="GB154">
        <v>1</v>
      </c>
      <c r="GD154">
        <v>0</v>
      </c>
      <c r="GF154">
        <v>0</v>
      </c>
      <c r="GG154">
        <v>1</v>
      </c>
      <c r="GH154" t="s">
        <v>892</v>
      </c>
      <c r="GI154" t="s">
        <v>893</v>
      </c>
      <c r="GJ154" t="s">
        <v>4108</v>
      </c>
      <c r="GM154">
        <v>1</v>
      </c>
      <c r="GN154">
        <v>1</v>
      </c>
      <c r="GO154">
        <v>0</v>
      </c>
      <c r="GP154">
        <v>1</v>
      </c>
      <c r="GQ154">
        <v>1</v>
      </c>
      <c r="GR154">
        <v>0</v>
      </c>
      <c r="GS154">
        <v>1</v>
      </c>
      <c r="GT154">
        <v>0</v>
      </c>
      <c r="GU154">
        <v>1</v>
      </c>
      <c r="GV154">
        <v>0</v>
      </c>
      <c r="GW154">
        <v>1</v>
      </c>
      <c r="GX154">
        <v>0</v>
      </c>
      <c r="GY154">
        <v>1</v>
      </c>
      <c r="GZ154">
        <v>0</v>
      </c>
      <c r="HA154" t="s">
        <v>277</v>
      </c>
      <c r="HB154" t="s">
        <v>894</v>
      </c>
      <c r="HC154" t="s">
        <v>935</v>
      </c>
      <c r="HD154" t="s">
        <v>845</v>
      </c>
      <c r="HE154" t="s">
        <v>900</v>
      </c>
      <c r="HF154" t="s">
        <v>923</v>
      </c>
      <c r="HG154" t="s">
        <v>894</v>
      </c>
      <c r="HH154" t="s">
        <v>935</v>
      </c>
      <c r="HI154" t="s">
        <v>845</v>
      </c>
      <c r="HJ154" t="s">
        <v>900</v>
      </c>
      <c r="HK154" t="s">
        <v>922</v>
      </c>
      <c r="HL154" t="s">
        <v>1226</v>
      </c>
      <c r="HM154" t="s">
        <v>854</v>
      </c>
      <c r="HN154">
        <v>36805</v>
      </c>
      <c r="HO154">
        <v>1</v>
      </c>
      <c r="HP154" t="s">
        <v>226</v>
      </c>
      <c r="HQ154" t="s">
        <v>896</v>
      </c>
      <c r="HR154" t="s">
        <v>896</v>
      </c>
      <c r="HS154" t="s">
        <v>896</v>
      </c>
    </row>
    <row r="155" spans="1:227" x14ac:dyDescent="0.2">
      <c r="A155">
        <v>8702</v>
      </c>
      <c r="B155">
        <v>7529209222</v>
      </c>
      <c r="C155">
        <v>34</v>
      </c>
      <c r="D155" t="s">
        <v>996</v>
      </c>
      <c r="E155" t="s">
        <v>831</v>
      </c>
      <c r="F155">
        <v>0</v>
      </c>
      <c r="G155" t="s">
        <v>4118</v>
      </c>
      <c r="H155" t="s">
        <v>4118</v>
      </c>
      <c r="I155">
        <v>0</v>
      </c>
      <c r="J155" t="s">
        <v>833</v>
      </c>
      <c r="K155" t="s">
        <v>834</v>
      </c>
      <c r="L155">
        <v>156046219</v>
      </c>
      <c r="M155" t="s">
        <v>4119</v>
      </c>
      <c r="N155" t="s">
        <v>836</v>
      </c>
      <c r="O155" t="s">
        <v>837</v>
      </c>
      <c r="P155" t="s">
        <v>999</v>
      </c>
      <c r="Q155" t="s">
        <v>1027</v>
      </c>
      <c r="R155" t="s">
        <v>4120</v>
      </c>
      <c r="S155" t="s">
        <v>4121</v>
      </c>
      <c r="T155">
        <v>30300105488</v>
      </c>
      <c r="V155" t="s">
        <v>1732</v>
      </c>
      <c r="W155" s="41">
        <v>45950</v>
      </c>
      <c r="X155" t="s">
        <v>4122</v>
      </c>
      <c r="Y155" t="s">
        <v>4123</v>
      </c>
      <c r="AA155">
        <v>0</v>
      </c>
      <c r="AB155" t="s">
        <v>845</v>
      </c>
      <c r="AC155" t="s">
        <v>846</v>
      </c>
      <c r="AD155" t="s">
        <v>847</v>
      </c>
      <c r="AE155" t="s">
        <v>848</v>
      </c>
      <c r="AF155">
        <v>1</v>
      </c>
      <c r="AG155">
        <v>452210</v>
      </c>
      <c r="AH155" t="s">
        <v>849</v>
      </c>
      <c r="AI155" t="s">
        <v>850</v>
      </c>
      <c r="AJ155" t="s">
        <v>851</v>
      </c>
      <c r="AK155" t="s">
        <v>273</v>
      </c>
      <c r="AL155" t="s">
        <v>2846</v>
      </c>
      <c r="AM155" t="s">
        <v>1736</v>
      </c>
      <c r="AN155" t="s">
        <v>854</v>
      </c>
      <c r="AO155">
        <v>36805</v>
      </c>
      <c r="AP155">
        <v>494</v>
      </c>
      <c r="AQ155" t="s">
        <v>855</v>
      </c>
      <c r="AR155">
        <v>66165893</v>
      </c>
      <c r="AS155" t="s">
        <v>856</v>
      </c>
      <c r="AU155" t="s">
        <v>4124</v>
      </c>
      <c r="AV155" t="s">
        <v>4125</v>
      </c>
      <c r="AX155" t="s">
        <v>913</v>
      </c>
      <c r="AY155" t="s">
        <v>861</v>
      </c>
      <c r="AZ155" t="s">
        <v>273</v>
      </c>
      <c r="BA155" t="s">
        <v>274</v>
      </c>
      <c r="BB155">
        <v>1</v>
      </c>
      <c r="BC155">
        <v>0</v>
      </c>
      <c r="BD155">
        <v>0</v>
      </c>
      <c r="BE155" t="s">
        <v>4119</v>
      </c>
      <c r="BF155">
        <v>0</v>
      </c>
      <c r="BG155">
        <v>0</v>
      </c>
      <c r="BH155" t="s">
        <v>862</v>
      </c>
      <c r="BI155">
        <v>0</v>
      </c>
      <c r="BJ155" t="s">
        <v>862</v>
      </c>
      <c r="BK155">
        <v>1</v>
      </c>
      <c r="BL155">
        <v>1</v>
      </c>
      <c r="BM155">
        <v>0</v>
      </c>
      <c r="BN155" t="s">
        <v>596</v>
      </c>
      <c r="BO155">
        <v>156046219</v>
      </c>
      <c r="BP155" t="s">
        <v>4118</v>
      </c>
      <c r="BR155">
        <v>42789059</v>
      </c>
      <c r="BT155">
        <v>0</v>
      </c>
      <c r="CM155">
        <v>4010</v>
      </c>
      <c r="CO155">
        <v>7360</v>
      </c>
      <c r="CP155">
        <v>0.4</v>
      </c>
      <c r="CQ155">
        <v>0.4</v>
      </c>
      <c r="CR155">
        <v>1.85</v>
      </c>
      <c r="CS155">
        <v>6</v>
      </c>
      <c r="CT155" t="s">
        <v>4125</v>
      </c>
      <c r="CU155" t="s">
        <v>4124</v>
      </c>
      <c r="CV155" t="s">
        <v>833</v>
      </c>
      <c r="CW155" t="s">
        <v>834</v>
      </c>
      <c r="CX155" t="s">
        <v>4119</v>
      </c>
      <c r="CY155">
        <v>1</v>
      </c>
      <c r="CZ155">
        <v>1</v>
      </c>
      <c r="DA155" t="s">
        <v>833</v>
      </c>
      <c r="DB155" t="s">
        <v>865</v>
      </c>
      <c r="DC155">
        <v>63123</v>
      </c>
      <c r="DD155">
        <v>14.216699999999999</v>
      </c>
      <c r="DE155" t="s">
        <v>866</v>
      </c>
      <c r="DG155" t="s">
        <v>867</v>
      </c>
      <c r="DH155" t="s">
        <v>851</v>
      </c>
      <c r="DI155" t="s">
        <v>984</v>
      </c>
      <c r="DL155" t="s">
        <v>869</v>
      </c>
      <c r="DM155">
        <v>0</v>
      </c>
      <c r="DN155">
        <v>0</v>
      </c>
      <c r="DO155">
        <v>11</v>
      </c>
      <c r="DP155" t="s">
        <v>1010</v>
      </c>
      <c r="DQ155">
        <v>16</v>
      </c>
      <c r="DR155">
        <v>853</v>
      </c>
      <c r="DS155">
        <v>1573</v>
      </c>
      <c r="DT155">
        <v>13.816700000000001</v>
      </c>
      <c r="DU155">
        <v>4</v>
      </c>
      <c r="DW155">
        <v>2</v>
      </c>
      <c r="DX155" t="s">
        <v>596</v>
      </c>
      <c r="DY155" t="s">
        <v>4119</v>
      </c>
      <c r="DZ155">
        <v>1</v>
      </c>
      <c r="EA155">
        <v>1</v>
      </c>
      <c r="EB155">
        <v>1</v>
      </c>
      <c r="EC155">
        <v>0</v>
      </c>
      <c r="ED155">
        <v>0</v>
      </c>
      <c r="EE155">
        <v>1</v>
      </c>
      <c r="EF155" t="s">
        <v>920</v>
      </c>
      <c r="EG155" t="s">
        <v>595</v>
      </c>
      <c r="EH155" t="s">
        <v>921</v>
      </c>
      <c r="EI155" t="s">
        <v>921</v>
      </c>
      <c r="EJ155" t="s">
        <v>111</v>
      </c>
      <c r="EK155">
        <v>9090</v>
      </c>
      <c r="EL155">
        <v>0</v>
      </c>
      <c r="EM155" t="s">
        <v>1037</v>
      </c>
      <c r="EN155">
        <v>1.85</v>
      </c>
      <c r="EO155">
        <v>26.2166666</v>
      </c>
      <c r="EP155">
        <v>99991120</v>
      </c>
      <c r="EQ155" t="s">
        <v>874</v>
      </c>
      <c r="ER155" t="s">
        <v>875</v>
      </c>
      <c r="ES155" t="s">
        <v>876</v>
      </c>
      <c r="ET155" t="s">
        <v>877</v>
      </c>
      <c r="EU155" t="s">
        <v>877</v>
      </c>
      <c r="EV155" t="s">
        <v>920</v>
      </c>
      <c r="EX155" t="s">
        <v>900</v>
      </c>
      <c r="EY155" t="s">
        <v>923</v>
      </c>
      <c r="EZ155" t="s">
        <v>1038</v>
      </c>
      <c r="FA155" t="s">
        <v>925</v>
      </c>
      <c r="FB155">
        <v>1</v>
      </c>
      <c r="FC155">
        <v>1</v>
      </c>
      <c r="FD155" s="41">
        <v>45955</v>
      </c>
      <c r="FE155" t="s">
        <v>1039</v>
      </c>
      <c r="FF155">
        <v>9</v>
      </c>
      <c r="FG155" t="s">
        <v>4075</v>
      </c>
      <c r="FH155" t="s">
        <v>4126</v>
      </c>
      <c r="FI155">
        <v>1</v>
      </c>
      <c r="FJ155" t="s">
        <v>4127</v>
      </c>
      <c r="FK155" t="s">
        <v>4128</v>
      </c>
      <c r="FL155">
        <v>1</v>
      </c>
      <c r="FM155" t="s">
        <v>4129</v>
      </c>
      <c r="FN155" t="s">
        <v>4130</v>
      </c>
      <c r="FO155">
        <v>1</v>
      </c>
      <c r="FP155" t="s">
        <v>4131</v>
      </c>
      <c r="FQ155" t="s">
        <v>4124</v>
      </c>
      <c r="FR155">
        <v>1</v>
      </c>
      <c r="FS155" t="s">
        <v>1376</v>
      </c>
      <c r="FT155" t="s">
        <v>4132</v>
      </c>
      <c r="FU155">
        <v>1</v>
      </c>
      <c r="FV155" t="s">
        <v>4133</v>
      </c>
      <c r="FW155" t="s">
        <v>4134</v>
      </c>
      <c r="FX155">
        <v>1</v>
      </c>
      <c r="FY155" t="s">
        <v>890</v>
      </c>
      <c r="FZ155" t="s">
        <v>4135</v>
      </c>
      <c r="GA155" t="s">
        <v>4127</v>
      </c>
      <c r="GB155">
        <v>1</v>
      </c>
      <c r="GD155">
        <v>0</v>
      </c>
      <c r="GF155">
        <v>0</v>
      </c>
      <c r="GG155">
        <v>1</v>
      </c>
      <c r="GH155" t="s">
        <v>892</v>
      </c>
      <c r="GI155" t="s">
        <v>893</v>
      </c>
      <c r="GJ155" t="s">
        <v>4128</v>
      </c>
      <c r="GM155">
        <v>1</v>
      </c>
      <c r="GN155">
        <v>1</v>
      </c>
      <c r="GO155">
        <v>0</v>
      </c>
      <c r="GP155">
        <v>1</v>
      </c>
      <c r="GQ155">
        <v>1</v>
      </c>
      <c r="GR155">
        <v>0</v>
      </c>
      <c r="GS155">
        <v>1</v>
      </c>
      <c r="GT155">
        <v>0</v>
      </c>
      <c r="GU155">
        <v>1</v>
      </c>
      <c r="GV155">
        <v>0</v>
      </c>
      <c r="GW155">
        <v>1</v>
      </c>
      <c r="GX155">
        <v>0</v>
      </c>
      <c r="GY155">
        <v>1</v>
      </c>
      <c r="GZ155">
        <v>0</v>
      </c>
      <c r="HA155" t="s">
        <v>273</v>
      </c>
      <c r="HB155" t="s">
        <v>894</v>
      </c>
      <c r="HC155" t="s">
        <v>895</v>
      </c>
      <c r="HD155" t="s">
        <v>845</v>
      </c>
      <c r="HE155" t="s">
        <v>836</v>
      </c>
      <c r="HF155" t="s">
        <v>1051</v>
      </c>
      <c r="HG155" t="s">
        <v>894</v>
      </c>
      <c r="HH155" t="s">
        <v>895</v>
      </c>
      <c r="HI155" t="s">
        <v>845</v>
      </c>
      <c r="HJ155" t="s">
        <v>836</v>
      </c>
      <c r="HK155" t="s">
        <v>1037</v>
      </c>
      <c r="HL155" t="s">
        <v>1732</v>
      </c>
      <c r="HM155" t="s">
        <v>854</v>
      </c>
      <c r="HN155">
        <v>36805</v>
      </c>
      <c r="HP155" t="s">
        <v>111</v>
      </c>
      <c r="HQ155" t="s">
        <v>896</v>
      </c>
      <c r="HR155" t="s">
        <v>896</v>
      </c>
      <c r="HS155" t="s">
        <v>896</v>
      </c>
    </row>
    <row r="156" spans="1:227" x14ac:dyDescent="0.2">
      <c r="A156">
        <v>8702</v>
      </c>
      <c r="B156">
        <v>7523303552</v>
      </c>
      <c r="C156" t="s">
        <v>829</v>
      </c>
      <c r="D156" t="s">
        <v>830</v>
      </c>
      <c r="E156" t="s">
        <v>831</v>
      </c>
      <c r="F156">
        <v>0</v>
      </c>
      <c r="G156" t="s">
        <v>4136</v>
      </c>
      <c r="H156" t="s">
        <v>4136</v>
      </c>
      <c r="I156">
        <v>0</v>
      </c>
      <c r="J156" t="s">
        <v>833</v>
      </c>
      <c r="K156" t="s">
        <v>834</v>
      </c>
      <c r="L156">
        <v>152946631</v>
      </c>
      <c r="M156" t="s">
        <v>4137</v>
      </c>
      <c r="N156" t="s">
        <v>836</v>
      </c>
      <c r="O156" t="s">
        <v>837</v>
      </c>
      <c r="P156" t="s">
        <v>838</v>
      </c>
      <c r="Q156" t="s">
        <v>901</v>
      </c>
      <c r="R156" t="s">
        <v>4138</v>
      </c>
      <c r="S156" t="s">
        <v>4139</v>
      </c>
      <c r="T156">
        <v>41477063346</v>
      </c>
      <c r="V156" t="s">
        <v>842</v>
      </c>
      <c r="W156" s="41">
        <v>45890</v>
      </c>
      <c r="X156" t="s">
        <v>4140</v>
      </c>
      <c r="Y156" t="s">
        <v>4141</v>
      </c>
      <c r="AA156">
        <v>0</v>
      </c>
      <c r="AB156" t="s">
        <v>845</v>
      </c>
      <c r="AC156" t="s">
        <v>846</v>
      </c>
      <c r="AD156" t="s">
        <v>847</v>
      </c>
      <c r="AE156" t="s">
        <v>848</v>
      </c>
      <c r="AF156">
        <v>1</v>
      </c>
      <c r="AG156">
        <v>452210</v>
      </c>
      <c r="AH156" t="s">
        <v>849</v>
      </c>
      <c r="AI156" t="s">
        <v>850</v>
      </c>
      <c r="AJ156" t="s">
        <v>851</v>
      </c>
      <c r="AK156" t="s">
        <v>393</v>
      </c>
      <c r="AL156" t="s">
        <v>4142</v>
      </c>
      <c r="AM156" t="s">
        <v>853</v>
      </c>
      <c r="AN156" t="s">
        <v>854</v>
      </c>
      <c r="AO156">
        <v>36805</v>
      </c>
      <c r="AP156">
        <v>962</v>
      </c>
      <c r="AQ156" t="s">
        <v>855</v>
      </c>
      <c r="AR156">
        <v>66079630</v>
      </c>
      <c r="AS156" t="s">
        <v>856</v>
      </c>
      <c r="AU156" t="s">
        <v>4143</v>
      </c>
      <c r="AV156" t="s">
        <v>4144</v>
      </c>
      <c r="AX156" t="s">
        <v>913</v>
      </c>
      <c r="AY156" t="s">
        <v>861</v>
      </c>
      <c r="AZ156" t="s">
        <v>393</v>
      </c>
      <c r="BA156" t="s">
        <v>394</v>
      </c>
      <c r="BB156">
        <v>0</v>
      </c>
      <c r="BC156">
        <v>0</v>
      </c>
      <c r="BD156">
        <v>0</v>
      </c>
      <c r="BE156" t="s">
        <v>4137</v>
      </c>
      <c r="BF156">
        <v>0</v>
      </c>
      <c r="BG156">
        <v>0</v>
      </c>
      <c r="BH156" t="s">
        <v>862</v>
      </c>
      <c r="BI156">
        <v>0</v>
      </c>
      <c r="BJ156" t="s">
        <v>862</v>
      </c>
      <c r="BK156">
        <v>1</v>
      </c>
      <c r="BL156">
        <v>1</v>
      </c>
      <c r="BM156">
        <v>0</v>
      </c>
      <c r="BN156" t="s">
        <v>596</v>
      </c>
      <c r="BO156">
        <v>152946631</v>
      </c>
      <c r="BP156" t="s">
        <v>4136</v>
      </c>
      <c r="BQ156">
        <v>41.599474899999997</v>
      </c>
      <c r="BR156">
        <v>42793657</v>
      </c>
      <c r="BS156">
        <v>-93.744133899999994</v>
      </c>
      <c r="BT156">
        <v>0</v>
      </c>
      <c r="CM156">
        <v>4010</v>
      </c>
      <c r="CO156">
        <v>7360</v>
      </c>
      <c r="CP156">
        <v>0.31669999999999998</v>
      </c>
      <c r="CQ156">
        <v>0.31669999999999998</v>
      </c>
      <c r="CR156">
        <v>0.31669999999999998</v>
      </c>
      <c r="CS156">
        <v>3</v>
      </c>
      <c r="CT156" t="s">
        <v>4145</v>
      </c>
      <c r="CU156" t="s">
        <v>4146</v>
      </c>
      <c r="CV156" t="s">
        <v>833</v>
      </c>
      <c r="CW156" t="s">
        <v>834</v>
      </c>
      <c r="CX156" t="s">
        <v>4137</v>
      </c>
      <c r="CY156">
        <v>0</v>
      </c>
      <c r="CZ156">
        <v>0</v>
      </c>
      <c r="DA156" t="s">
        <v>833</v>
      </c>
      <c r="DB156" t="s">
        <v>865</v>
      </c>
      <c r="DC156">
        <v>50266</v>
      </c>
      <c r="DD156">
        <v>5.8</v>
      </c>
      <c r="DE156" t="s">
        <v>866</v>
      </c>
      <c r="DG156" t="s">
        <v>867</v>
      </c>
      <c r="DH156" t="s">
        <v>851</v>
      </c>
      <c r="DI156" t="s">
        <v>4147</v>
      </c>
      <c r="DL156" t="s">
        <v>869</v>
      </c>
      <c r="DM156">
        <v>0</v>
      </c>
      <c r="DN156">
        <v>0</v>
      </c>
      <c r="DO156">
        <v>12</v>
      </c>
      <c r="DP156" t="s">
        <v>1190</v>
      </c>
      <c r="DQ156">
        <v>16</v>
      </c>
      <c r="DR156">
        <v>348</v>
      </c>
      <c r="DS156">
        <v>348</v>
      </c>
      <c r="DT156">
        <v>5.4832999999999998</v>
      </c>
      <c r="DU156">
        <v>4</v>
      </c>
      <c r="DW156">
        <v>2</v>
      </c>
      <c r="DX156" t="s">
        <v>596</v>
      </c>
      <c r="DY156" t="s">
        <v>4137</v>
      </c>
      <c r="DZ156">
        <v>1</v>
      </c>
      <c r="EA156">
        <v>1</v>
      </c>
      <c r="EB156">
        <v>1</v>
      </c>
      <c r="EC156">
        <v>0</v>
      </c>
      <c r="ED156">
        <v>0</v>
      </c>
      <c r="EE156">
        <v>1</v>
      </c>
      <c r="EF156" t="s">
        <v>920</v>
      </c>
      <c r="EG156" t="s">
        <v>595</v>
      </c>
      <c r="EH156" t="s">
        <v>921</v>
      </c>
      <c r="EI156" t="s">
        <v>921</v>
      </c>
      <c r="EJ156" t="s">
        <v>246</v>
      </c>
      <c r="EK156">
        <v>9090</v>
      </c>
      <c r="EL156">
        <v>0</v>
      </c>
      <c r="EM156" t="s">
        <v>873</v>
      </c>
      <c r="EN156">
        <v>0.31669999999999998</v>
      </c>
      <c r="EO156">
        <v>5.8</v>
      </c>
      <c r="EP156">
        <v>99991120</v>
      </c>
      <c r="EQ156" t="s">
        <v>874</v>
      </c>
      <c r="ER156" t="s">
        <v>875</v>
      </c>
      <c r="ES156" t="s">
        <v>876</v>
      </c>
      <c r="ET156" t="s">
        <v>877</v>
      </c>
      <c r="EU156" t="s">
        <v>877</v>
      </c>
      <c r="EV156" t="s">
        <v>920</v>
      </c>
      <c r="EX156" t="s">
        <v>836</v>
      </c>
      <c r="EY156" t="s">
        <v>873</v>
      </c>
      <c r="EZ156" t="s">
        <v>878</v>
      </c>
      <c r="FA156" t="s">
        <v>879</v>
      </c>
      <c r="FB156">
        <v>1</v>
      </c>
      <c r="FC156">
        <v>1</v>
      </c>
      <c r="FD156" s="41">
        <v>45892</v>
      </c>
      <c r="FE156" t="s">
        <v>987</v>
      </c>
      <c r="FF156">
        <v>4</v>
      </c>
      <c r="FI156">
        <v>0</v>
      </c>
      <c r="FL156">
        <v>0</v>
      </c>
      <c r="FM156" t="s">
        <v>4148</v>
      </c>
      <c r="FN156" t="s">
        <v>4149</v>
      </c>
      <c r="FO156">
        <v>1</v>
      </c>
      <c r="FP156" t="s">
        <v>4150</v>
      </c>
      <c r="FQ156" t="s">
        <v>4146</v>
      </c>
      <c r="FR156">
        <v>1</v>
      </c>
      <c r="FS156" t="s">
        <v>4151</v>
      </c>
      <c r="FT156" t="s">
        <v>4152</v>
      </c>
      <c r="FU156">
        <v>1</v>
      </c>
      <c r="FV156" t="s">
        <v>4153</v>
      </c>
      <c r="FW156" t="s">
        <v>4154</v>
      </c>
      <c r="FX156">
        <v>1</v>
      </c>
      <c r="FY156" t="s">
        <v>890</v>
      </c>
      <c r="FZ156" t="s">
        <v>4155</v>
      </c>
      <c r="GA156" t="s">
        <v>4153</v>
      </c>
      <c r="GB156">
        <v>1</v>
      </c>
      <c r="GD156">
        <v>0</v>
      </c>
      <c r="GF156">
        <v>0</v>
      </c>
      <c r="GG156">
        <v>1</v>
      </c>
      <c r="GH156" t="s">
        <v>892</v>
      </c>
      <c r="GI156" t="s">
        <v>893</v>
      </c>
      <c r="GJ156" t="s">
        <v>4154</v>
      </c>
      <c r="GM156">
        <v>1</v>
      </c>
      <c r="GN156">
        <v>1</v>
      </c>
      <c r="GO156">
        <v>0</v>
      </c>
      <c r="GP156">
        <v>1</v>
      </c>
      <c r="GQ156">
        <v>1</v>
      </c>
      <c r="GR156">
        <v>0</v>
      </c>
      <c r="GS156">
        <v>1</v>
      </c>
      <c r="GT156">
        <v>0</v>
      </c>
      <c r="GU156">
        <v>1</v>
      </c>
      <c r="GV156">
        <v>0</v>
      </c>
      <c r="GW156">
        <v>1</v>
      </c>
      <c r="GX156">
        <v>0</v>
      </c>
      <c r="GY156">
        <v>1</v>
      </c>
      <c r="GZ156">
        <v>0</v>
      </c>
      <c r="HA156" t="s">
        <v>393</v>
      </c>
      <c r="HB156" t="s">
        <v>894</v>
      </c>
      <c r="HC156" t="s">
        <v>895</v>
      </c>
      <c r="HD156" t="s">
        <v>845</v>
      </c>
      <c r="HE156" t="s">
        <v>836</v>
      </c>
      <c r="HF156" t="s">
        <v>873</v>
      </c>
      <c r="HG156" t="s">
        <v>894</v>
      </c>
      <c r="HH156" t="s">
        <v>895</v>
      </c>
      <c r="HI156" t="s">
        <v>845</v>
      </c>
      <c r="HJ156" t="s">
        <v>836</v>
      </c>
      <c r="HK156" t="s">
        <v>873</v>
      </c>
      <c r="HL156" t="s">
        <v>842</v>
      </c>
      <c r="HM156" t="s">
        <v>854</v>
      </c>
      <c r="HN156">
        <v>36805</v>
      </c>
      <c r="HP156" t="s">
        <v>246</v>
      </c>
      <c r="HQ156" t="s">
        <v>896</v>
      </c>
      <c r="HR156" t="s">
        <v>896</v>
      </c>
      <c r="HS156" t="s">
        <v>896</v>
      </c>
    </row>
    <row r="157" spans="1:227" x14ac:dyDescent="0.2">
      <c r="A157">
        <v>8702</v>
      </c>
      <c r="B157">
        <v>7527700470</v>
      </c>
      <c r="C157" t="s">
        <v>829</v>
      </c>
      <c r="D157" t="s">
        <v>830</v>
      </c>
      <c r="E157" t="s">
        <v>897</v>
      </c>
      <c r="F157">
        <v>0</v>
      </c>
      <c r="G157" t="s">
        <v>4156</v>
      </c>
      <c r="H157" t="s">
        <v>4156</v>
      </c>
      <c r="I157">
        <v>0</v>
      </c>
      <c r="J157" t="s">
        <v>833</v>
      </c>
      <c r="K157" t="s">
        <v>834</v>
      </c>
      <c r="L157">
        <v>156046195</v>
      </c>
      <c r="M157" t="s">
        <v>4157</v>
      </c>
      <c r="N157" t="s">
        <v>900</v>
      </c>
      <c r="O157" t="s">
        <v>837</v>
      </c>
      <c r="P157" t="s">
        <v>838</v>
      </c>
      <c r="Q157" t="s">
        <v>839</v>
      </c>
      <c r="R157" t="s">
        <v>4158</v>
      </c>
      <c r="S157" t="s">
        <v>4159</v>
      </c>
      <c r="T157">
        <v>41477014545</v>
      </c>
      <c r="V157" t="s">
        <v>206</v>
      </c>
      <c r="W157" s="41">
        <v>45934</v>
      </c>
      <c r="X157" t="s">
        <v>4160</v>
      </c>
      <c r="Y157" t="s">
        <v>4161</v>
      </c>
      <c r="AA157">
        <v>0</v>
      </c>
      <c r="AB157" t="s">
        <v>845</v>
      </c>
      <c r="AC157" t="s">
        <v>846</v>
      </c>
      <c r="AD157" t="s">
        <v>847</v>
      </c>
      <c r="AE157" t="s">
        <v>848</v>
      </c>
      <c r="AF157">
        <v>1</v>
      </c>
      <c r="AG157">
        <v>452210</v>
      </c>
      <c r="AH157" t="s">
        <v>849</v>
      </c>
      <c r="AI157" t="s">
        <v>850</v>
      </c>
      <c r="AJ157" t="s">
        <v>851</v>
      </c>
      <c r="AK157" t="s">
        <v>319</v>
      </c>
      <c r="AL157" t="s">
        <v>946</v>
      </c>
      <c r="AM157" t="s">
        <v>4162</v>
      </c>
      <c r="AN157" t="s">
        <v>854</v>
      </c>
      <c r="AO157">
        <v>36805</v>
      </c>
      <c r="AP157">
        <v>645</v>
      </c>
      <c r="AQ157" t="s">
        <v>855</v>
      </c>
      <c r="AR157">
        <v>66142720</v>
      </c>
      <c r="AS157" t="s">
        <v>856</v>
      </c>
      <c r="AU157" t="s">
        <v>4163</v>
      </c>
      <c r="AV157" t="s">
        <v>4164</v>
      </c>
      <c r="AX157" t="s">
        <v>913</v>
      </c>
      <c r="AY157" t="s">
        <v>861</v>
      </c>
      <c r="AZ157" t="s">
        <v>319</v>
      </c>
      <c r="BA157" t="s">
        <v>320</v>
      </c>
      <c r="BB157">
        <v>0</v>
      </c>
      <c r="BC157">
        <v>0</v>
      </c>
      <c r="BD157">
        <v>1</v>
      </c>
      <c r="BE157" t="s">
        <v>4157</v>
      </c>
      <c r="BF157">
        <v>0</v>
      </c>
      <c r="BG157">
        <v>0</v>
      </c>
      <c r="BH157" t="s">
        <v>862</v>
      </c>
      <c r="BI157">
        <v>0</v>
      </c>
      <c r="BJ157" t="s">
        <v>862</v>
      </c>
      <c r="BK157">
        <v>1</v>
      </c>
      <c r="BL157">
        <v>1</v>
      </c>
      <c r="BM157">
        <v>0</v>
      </c>
      <c r="BN157" t="s">
        <v>596</v>
      </c>
      <c r="BO157">
        <v>156046195</v>
      </c>
      <c r="BP157" t="s">
        <v>4156</v>
      </c>
      <c r="BQ157">
        <v>42.462717599999998</v>
      </c>
      <c r="BR157">
        <v>42791778</v>
      </c>
      <c r="BS157">
        <v>-83.375458600000002</v>
      </c>
      <c r="BT157">
        <v>0</v>
      </c>
      <c r="CM157">
        <v>4010</v>
      </c>
      <c r="CO157">
        <v>7360</v>
      </c>
      <c r="CP157">
        <v>0.4</v>
      </c>
      <c r="CQ157">
        <v>0.4</v>
      </c>
      <c r="CR157">
        <v>2.1166999999999998</v>
      </c>
      <c r="CS157">
        <v>3</v>
      </c>
      <c r="CT157" t="s">
        <v>4164</v>
      </c>
      <c r="CU157" t="s">
        <v>4163</v>
      </c>
      <c r="CV157" t="s">
        <v>833</v>
      </c>
      <c r="CW157" t="s">
        <v>834</v>
      </c>
      <c r="CX157" t="s">
        <v>4157</v>
      </c>
      <c r="CY157">
        <v>1</v>
      </c>
      <c r="CZ157">
        <v>1</v>
      </c>
      <c r="DA157" t="s">
        <v>833</v>
      </c>
      <c r="DB157" t="s">
        <v>865</v>
      </c>
      <c r="DC157">
        <v>48336</v>
      </c>
      <c r="DD157">
        <v>3.0832999999999999</v>
      </c>
      <c r="DE157" t="s">
        <v>866</v>
      </c>
      <c r="DG157" t="s">
        <v>867</v>
      </c>
      <c r="DH157" t="s">
        <v>851</v>
      </c>
      <c r="DI157" t="s">
        <v>984</v>
      </c>
      <c r="DL157" t="s">
        <v>869</v>
      </c>
      <c r="DM157">
        <v>0</v>
      </c>
      <c r="DN157">
        <v>0</v>
      </c>
      <c r="DO157">
        <v>11</v>
      </c>
      <c r="DP157" t="s">
        <v>1010</v>
      </c>
      <c r="DQ157">
        <v>16</v>
      </c>
      <c r="DR157">
        <v>185</v>
      </c>
      <c r="DS157">
        <v>899</v>
      </c>
      <c r="DT157">
        <v>2.6833</v>
      </c>
      <c r="DU157">
        <v>4</v>
      </c>
      <c r="DW157">
        <v>2</v>
      </c>
      <c r="DX157" t="s">
        <v>596</v>
      </c>
      <c r="DY157" t="s">
        <v>4157</v>
      </c>
      <c r="DZ157">
        <v>1</v>
      </c>
      <c r="EA157">
        <v>1</v>
      </c>
      <c r="EB157">
        <v>1</v>
      </c>
      <c r="EC157">
        <v>1</v>
      </c>
      <c r="ED157">
        <v>1</v>
      </c>
      <c r="EE157">
        <v>1</v>
      </c>
      <c r="EF157" t="s">
        <v>920</v>
      </c>
      <c r="EG157" t="s">
        <v>595</v>
      </c>
      <c r="EH157" t="s">
        <v>921</v>
      </c>
      <c r="EI157" t="s">
        <v>921</v>
      </c>
      <c r="EJ157" t="s">
        <v>178</v>
      </c>
      <c r="EK157">
        <v>9090</v>
      </c>
      <c r="EL157">
        <v>0</v>
      </c>
      <c r="EM157" t="s">
        <v>952</v>
      </c>
      <c r="EN157">
        <v>2.1166999999999998</v>
      </c>
      <c r="EO157">
        <v>14.9833333</v>
      </c>
      <c r="EP157">
        <v>99991120</v>
      </c>
      <c r="EQ157" t="s">
        <v>874</v>
      </c>
      <c r="ER157" t="s">
        <v>875</v>
      </c>
      <c r="ES157" t="s">
        <v>876</v>
      </c>
      <c r="ET157" t="s">
        <v>877</v>
      </c>
      <c r="EU157" t="s">
        <v>877</v>
      </c>
      <c r="EV157" t="s">
        <v>920</v>
      </c>
      <c r="EX157" t="s">
        <v>953</v>
      </c>
      <c r="EY157" t="s">
        <v>954</v>
      </c>
      <c r="EZ157" t="s">
        <v>955</v>
      </c>
      <c r="FA157" t="s">
        <v>956</v>
      </c>
      <c r="FB157">
        <v>1</v>
      </c>
      <c r="FC157">
        <v>1</v>
      </c>
      <c r="FD157" s="41">
        <v>45934</v>
      </c>
      <c r="FE157" t="s">
        <v>1039</v>
      </c>
      <c r="FF157">
        <v>5</v>
      </c>
      <c r="FI157">
        <v>0</v>
      </c>
      <c r="FJ157" t="s">
        <v>4165</v>
      </c>
      <c r="FK157" t="s">
        <v>4166</v>
      </c>
      <c r="FL157">
        <v>1</v>
      </c>
      <c r="FM157" t="s">
        <v>4167</v>
      </c>
      <c r="FN157" t="s">
        <v>4168</v>
      </c>
      <c r="FO157">
        <v>1</v>
      </c>
      <c r="FP157" t="s">
        <v>4169</v>
      </c>
      <c r="FQ157" t="s">
        <v>4170</v>
      </c>
      <c r="FR157">
        <v>1</v>
      </c>
      <c r="FS157" t="s">
        <v>4171</v>
      </c>
      <c r="FT157" t="s">
        <v>4172</v>
      </c>
      <c r="FU157">
        <v>1</v>
      </c>
      <c r="FV157" t="s">
        <v>4173</v>
      </c>
      <c r="FW157" t="s">
        <v>4166</v>
      </c>
      <c r="FX157">
        <v>1</v>
      </c>
      <c r="FY157" t="s">
        <v>890</v>
      </c>
      <c r="FZ157" t="s">
        <v>4174</v>
      </c>
      <c r="GA157" t="s">
        <v>4165</v>
      </c>
      <c r="GB157">
        <v>1</v>
      </c>
      <c r="GD157">
        <v>0</v>
      </c>
      <c r="GF157">
        <v>0</v>
      </c>
      <c r="GG157">
        <v>1</v>
      </c>
      <c r="GH157" t="s">
        <v>892</v>
      </c>
      <c r="GI157" t="s">
        <v>893</v>
      </c>
      <c r="GJ157" t="s">
        <v>4166</v>
      </c>
      <c r="GM157">
        <v>1</v>
      </c>
      <c r="GN157">
        <v>1</v>
      </c>
      <c r="GO157">
        <v>0</v>
      </c>
      <c r="GP157">
        <v>1</v>
      </c>
      <c r="GQ157">
        <v>1</v>
      </c>
      <c r="GR157">
        <v>0</v>
      </c>
      <c r="GS157">
        <v>1</v>
      </c>
      <c r="GT157">
        <v>0</v>
      </c>
      <c r="GU157">
        <v>1</v>
      </c>
      <c r="GV157">
        <v>0</v>
      </c>
      <c r="GW157">
        <v>1</v>
      </c>
      <c r="GX157">
        <v>0</v>
      </c>
      <c r="GY157">
        <v>1</v>
      </c>
      <c r="GZ157">
        <v>0</v>
      </c>
      <c r="HA157" t="s">
        <v>319</v>
      </c>
      <c r="HB157" t="s">
        <v>894</v>
      </c>
      <c r="HC157" t="s">
        <v>935</v>
      </c>
      <c r="HD157" t="s">
        <v>845</v>
      </c>
      <c r="HE157" t="s">
        <v>900</v>
      </c>
      <c r="HF157" t="s">
        <v>923</v>
      </c>
      <c r="HG157" t="s">
        <v>894</v>
      </c>
      <c r="HH157" t="s">
        <v>935</v>
      </c>
      <c r="HI157" t="s">
        <v>845</v>
      </c>
      <c r="HJ157" t="s">
        <v>900</v>
      </c>
      <c r="HK157" t="s">
        <v>952</v>
      </c>
      <c r="HL157" t="s">
        <v>206</v>
      </c>
      <c r="HM157" t="s">
        <v>854</v>
      </c>
      <c r="HN157">
        <v>36805</v>
      </c>
      <c r="HP157" t="s">
        <v>178</v>
      </c>
      <c r="HQ157" t="s">
        <v>896</v>
      </c>
      <c r="HR157" t="s">
        <v>896</v>
      </c>
      <c r="HS157" t="s">
        <v>896</v>
      </c>
    </row>
    <row r="158" spans="1:227" x14ac:dyDescent="0.2">
      <c r="A158">
        <v>8702</v>
      </c>
      <c r="B158">
        <v>7530800762</v>
      </c>
      <c r="C158" t="s">
        <v>829</v>
      </c>
      <c r="D158" t="s">
        <v>830</v>
      </c>
      <c r="E158" t="s">
        <v>831</v>
      </c>
      <c r="F158">
        <v>0</v>
      </c>
      <c r="G158" t="s">
        <v>4175</v>
      </c>
      <c r="H158" t="s">
        <v>4175</v>
      </c>
      <c r="I158">
        <v>0</v>
      </c>
      <c r="J158" t="s">
        <v>833</v>
      </c>
      <c r="K158" t="s">
        <v>834</v>
      </c>
      <c r="L158">
        <v>148748243</v>
      </c>
      <c r="M158" t="s">
        <v>4176</v>
      </c>
      <c r="N158" t="s">
        <v>836</v>
      </c>
      <c r="O158" t="s">
        <v>837</v>
      </c>
      <c r="P158" t="s">
        <v>838</v>
      </c>
      <c r="Q158" t="s">
        <v>1279</v>
      </c>
      <c r="R158" t="s">
        <v>4177</v>
      </c>
      <c r="S158" t="s">
        <v>4178</v>
      </c>
      <c r="T158">
        <v>41477097026</v>
      </c>
      <c r="V158" t="s">
        <v>183</v>
      </c>
      <c r="W158" s="41">
        <v>45964</v>
      </c>
      <c r="X158" t="s">
        <v>4179</v>
      </c>
      <c r="Y158" t="s">
        <v>4180</v>
      </c>
      <c r="AA158">
        <v>0</v>
      </c>
      <c r="AB158" t="s">
        <v>845</v>
      </c>
      <c r="AC158" t="s">
        <v>846</v>
      </c>
      <c r="AD158" t="s">
        <v>1335</v>
      </c>
      <c r="AE158" t="s">
        <v>1336</v>
      </c>
      <c r="AF158">
        <v>1</v>
      </c>
      <c r="AG158">
        <v>452210</v>
      </c>
      <c r="AH158" t="s">
        <v>849</v>
      </c>
      <c r="AI158" t="s">
        <v>850</v>
      </c>
      <c r="AJ158" t="s">
        <v>851</v>
      </c>
      <c r="AK158" t="s">
        <v>427</v>
      </c>
      <c r="AL158" t="s">
        <v>4181</v>
      </c>
      <c r="AM158" t="s">
        <v>1429</v>
      </c>
      <c r="AN158" t="s">
        <v>854</v>
      </c>
      <c r="AO158">
        <v>36805</v>
      </c>
      <c r="AP158">
        <v>632</v>
      </c>
      <c r="AQ158" t="s">
        <v>855</v>
      </c>
      <c r="AR158">
        <v>66186405</v>
      </c>
      <c r="AS158" t="s">
        <v>856</v>
      </c>
      <c r="AU158" t="s">
        <v>4182</v>
      </c>
      <c r="AV158" t="s">
        <v>4183</v>
      </c>
      <c r="AW158" t="s">
        <v>950</v>
      </c>
      <c r="AX158" t="s">
        <v>951</v>
      </c>
      <c r="AY158" t="s">
        <v>861</v>
      </c>
      <c r="AZ158" t="s">
        <v>427</v>
      </c>
      <c r="BA158" t="s">
        <v>428</v>
      </c>
      <c r="BB158">
        <v>0</v>
      </c>
      <c r="BC158">
        <v>0</v>
      </c>
      <c r="BD158">
        <v>0</v>
      </c>
      <c r="BE158" t="s">
        <v>4176</v>
      </c>
      <c r="BF158">
        <v>0</v>
      </c>
      <c r="BG158">
        <v>0</v>
      </c>
      <c r="BH158" t="s">
        <v>862</v>
      </c>
      <c r="BI158">
        <v>0</v>
      </c>
      <c r="BJ158" t="s">
        <v>862</v>
      </c>
      <c r="BK158">
        <v>1</v>
      </c>
      <c r="BL158">
        <v>0</v>
      </c>
      <c r="BM158">
        <v>0</v>
      </c>
      <c r="BN158" t="s">
        <v>596</v>
      </c>
      <c r="BP158" t="s">
        <v>4175</v>
      </c>
      <c r="BR158">
        <v>42791748</v>
      </c>
      <c r="BT158">
        <v>0</v>
      </c>
      <c r="CM158">
        <v>4010</v>
      </c>
      <c r="CO158">
        <v>7360</v>
      </c>
      <c r="CP158">
        <v>0.2167</v>
      </c>
      <c r="CQ158">
        <v>0.2167</v>
      </c>
      <c r="CR158">
        <v>0.16669999999999999</v>
      </c>
      <c r="CS158">
        <v>3</v>
      </c>
      <c r="CT158" t="s">
        <v>4184</v>
      </c>
      <c r="CU158" t="s">
        <v>4185</v>
      </c>
      <c r="CV158" t="s">
        <v>833</v>
      </c>
      <c r="CW158" t="s">
        <v>834</v>
      </c>
      <c r="CX158" t="s">
        <v>1423</v>
      </c>
      <c r="CY158">
        <v>0</v>
      </c>
      <c r="CZ158">
        <v>0</v>
      </c>
      <c r="DA158" t="s">
        <v>833</v>
      </c>
      <c r="DB158" t="s">
        <v>865</v>
      </c>
      <c r="DC158">
        <v>60515</v>
      </c>
      <c r="DD158">
        <v>0.55000000000000004</v>
      </c>
      <c r="DE158" t="s">
        <v>866</v>
      </c>
      <c r="DG158" t="s">
        <v>867</v>
      </c>
      <c r="DH158" t="s">
        <v>851</v>
      </c>
      <c r="DL158" t="s">
        <v>869</v>
      </c>
      <c r="DM158">
        <v>0</v>
      </c>
      <c r="DN158">
        <v>0</v>
      </c>
      <c r="DO158">
        <v>3</v>
      </c>
      <c r="DP158" t="s">
        <v>919</v>
      </c>
      <c r="DQ158">
        <v>12</v>
      </c>
      <c r="DR158">
        <v>33</v>
      </c>
      <c r="DS158">
        <v>33</v>
      </c>
      <c r="DT158">
        <v>0.33329999999999999</v>
      </c>
      <c r="DU158">
        <v>4</v>
      </c>
      <c r="DW158">
        <v>1</v>
      </c>
      <c r="DX158" t="s">
        <v>596</v>
      </c>
      <c r="DY158" t="s">
        <v>4176</v>
      </c>
      <c r="DZ158">
        <v>0</v>
      </c>
      <c r="EA158">
        <v>0</v>
      </c>
      <c r="EB158">
        <v>0</v>
      </c>
      <c r="EC158">
        <v>0</v>
      </c>
      <c r="ED158">
        <v>0</v>
      </c>
      <c r="EE158">
        <v>0</v>
      </c>
      <c r="EF158" t="s">
        <v>920</v>
      </c>
      <c r="EG158" t="s">
        <v>595</v>
      </c>
      <c r="EH158" t="s">
        <v>1036</v>
      </c>
      <c r="EI158" t="s">
        <v>1036</v>
      </c>
      <c r="EJ158" t="s">
        <v>181</v>
      </c>
      <c r="EK158">
        <v>9090</v>
      </c>
      <c r="EL158">
        <v>0</v>
      </c>
      <c r="EM158" t="s">
        <v>1436</v>
      </c>
      <c r="EN158">
        <v>0.16669999999999999</v>
      </c>
      <c r="EO158">
        <v>0.55000000000000004</v>
      </c>
      <c r="EP158">
        <v>99991120</v>
      </c>
      <c r="EQ158" t="s">
        <v>874</v>
      </c>
      <c r="ER158" t="s">
        <v>875</v>
      </c>
      <c r="ES158" t="s">
        <v>876</v>
      </c>
      <c r="ET158" t="s">
        <v>877</v>
      </c>
      <c r="EU158" t="s">
        <v>877</v>
      </c>
      <c r="EV158" t="s">
        <v>920</v>
      </c>
      <c r="EX158" t="s">
        <v>836</v>
      </c>
      <c r="EY158" t="s">
        <v>873</v>
      </c>
      <c r="EZ158" t="s">
        <v>1437</v>
      </c>
      <c r="FA158" t="s">
        <v>956</v>
      </c>
      <c r="FB158">
        <v>1</v>
      </c>
      <c r="FC158">
        <v>1</v>
      </c>
      <c r="FD158" s="41">
        <v>45969</v>
      </c>
      <c r="FE158" t="s">
        <v>1438</v>
      </c>
      <c r="FF158">
        <v>5</v>
      </c>
      <c r="FI158">
        <v>0</v>
      </c>
      <c r="FJ158" t="s">
        <v>4186</v>
      </c>
      <c r="FK158" t="s">
        <v>4187</v>
      </c>
      <c r="FL158">
        <v>1</v>
      </c>
      <c r="FM158" t="s">
        <v>4188</v>
      </c>
      <c r="FN158" t="s">
        <v>4189</v>
      </c>
      <c r="FO158">
        <v>1</v>
      </c>
      <c r="FP158" t="s">
        <v>4190</v>
      </c>
      <c r="FQ158" t="s">
        <v>4185</v>
      </c>
      <c r="FR158">
        <v>1</v>
      </c>
      <c r="FS158" t="s">
        <v>2565</v>
      </c>
      <c r="FT158" t="s">
        <v>4191</v>
      </c>
      <c r="FU158">
        <v>1</v>
      </c>
      <c r="FV158" t="s">
        <v>4192</v>
      </c>
      <c r="FW158" t="s">
        <v>4193</v>
      </c>
      <c r="FX158">
        <v>1</v>
      </c>
      <c r="FY158" t="s">
        <v>890</v>
      </c>
      <c r="FZ158" t="s">
        <v>4194</v>
      </c>
      <c r="GA158" t="s">
        <v>4192</v>
      </c>
      <c r="GB158">
        <v>1</v>
      </c>
      <c r="GD158">
        <v>0</v>
      </c>
      <c r="GF158">
        <v>0</v>
      </c>
      <c r="GG158">
        <v>1</v>
      </c>
      <c r="GH158" t="s">
        <v>892</v>
      </c>
      <c r="GI158" t="s">
        <v>893</v>
      </c>
      <c r="GJ158" t="s">
        <v>4193</v>
      </c>
      <c r="GM158">
        <v>1</v>
      </c>
      <c r="GN158">
        <v>1</v>
      </c>
      <c r="GO158">
        <v>0</v>
      </c>
      <c r="GP158">
        <v>1</v>
      </c>
      <c r="GQ158">
        <v>1</v>
      </c>
      <c r="GR158">
        <v>0</v>
      </c>
      <c r="GS158">
        <v>1</v>
      </c>
      <c r="GT158">
        <v>0</v>
      </c>
      <c r="GU158">
        <v>1</v>
      </c>
      <c r="GV158">
        <v>0</v>
      </c>
      <c r="GW158">
        <v>1</v>
      </c>
      <c r="GX158">
        <v>0</v>
      </c>
      <c r="GY158">
        <v>1</v>
      </c>
      <c r="GZ158">
        <v>0</v>
      </c>
      <c r="HA158" t="s">
        <v>427</v>
      </c>
      <c r="HB158" t="s">
        <v>894</v>
      </c>
      <c r="HC158" t="s">
        <v>895</v>
      </c>
      <c r="HD158" t="s">
        <v>845</v>
      </c>
      <c r="HE158" t="s">
        <v>836</v>
      </c>
      <c r="HF158" t="s">
        <v>873</v>
      </c>
      <c r="HG158" t="s">
        <v>894</v>
      </c>
      <c r="HH158" t="s">
        <v>895</v>
      </c>
      <c r="HI158" t="s">
        <v>845</v>
      </c>
      <c r="HJ158" t="s">
        <v>836</v>
      </c>
      <c r="HK158" t="s">
        <v>1436</v>
      </c>
      <c r="HL158" t="s">
        <v>183</v>
      </c>
      <c r="HM158" t="s">
        <v>854</v>
      </c>
      <c r="HN158">
        <v>36805</v>
      </c>
      <c r="HP158" t="s">
        <v>181</v>
      </c>
      <c r="HQ158" t="s">
        <v>896</v>
      </c>
      <c r="HR158" t="s">
        <v>896</v>
      </c>
      <c r="HS158" t="s">
        <v>896</v>
      </c>
    </row>
    <row r="159" spans="1:227" x14ac:dyDescent="0.2">
      <c r="A159">
        <v>8702</v>
      </c>
      <c r="B159">
        <v>7611004650</v>
      </c>
      <c r="C159">
        <v>82</v>
      </c>
      <c r="D159" t="s">
        <v>969</v>
      </c>
      <c r="E159" t="s">
        <v>897</v>
      </c>
      <c r="F159">
        <v>0</v>
      </c>
      <c r="G159" t="s">
        <v>4195</v>
      </c>
      <c r="H159" t="s">
        <v>4195</v>
      </c>
      <c r="I159">
        <v>0</v>
      </c>
      <c r="J159" t="s">
        <v>833</v>
      </c>
      <c r="K159" t="s">
        <v>834</v>
      </c>
      <c r="L159">
        <v>153195455</v>
      </c>
      <c r="M159" t="s">
        <v>3980</v>
      </c>
      <c r="N159" t="s">
        <v>900</v>
      </c>
      <c r="O159" t="s">
        <v>837</v>
      </c>
      <c r="P159" t="s">
        <v>2178</v>
      </c>
      <c r="Q159" t="s">
        <v>4196</v>
      </c>
      <c r="R159" t="s">
        <v>4197</v>
      </c>
      <c r="S159" t="s">
        <v>4198</v>
      </c>
      <c r="T159">
        <v>41477122910</v>
      </c>
      <c r="V159" t="s">
        <v>1543</v>
      </c>
      <c r="W159" s="41">
        <v>46132</v>
      </c>
      <c r="X159" t="s">
        <v>4199</v>
      </c>
      <c r="Y159" t="s">
        <v>4200</v>
      </c>
      <c r="AA159">
        <v>0</v>
      </c>
      <c r="AB159" t="s">
        <v>845</v>
      </c>
      <c r="AC159" t="s">
        <v>846</v>
      </c>
      <c r="AD159" t="s">
        <v>1113</v>
      </c>
      <c r="AE159" t="s">
        <v>1114</v>
      </c>
      <c r="AF159">
        <v>1</v>
      </c>
      <c r="AG159">
        <v>452210</v>
      </c>
      <c r="AH159" t="s">
        <v>849</v>
      </c>
      <c r="AI159" t="s">
        <v>850</v>
      </c>
      <c r="AJ159" t="s">
        <v>851</v>
      </c>
      <c r="AK159" t="s">
        <v>259</v>
      </c>
      <c r="AL159" t="s">
        <v>1547</v>
      </c>
      <c r="AM159" t="s">
        <v>1548</v>
      </c>
      <c r="AN159" t="s">
        <v>854</v>
      </c>
      <c r="AO159">
        <v>36805</v>
      </c>
      <c r="AP159">
        <v>522</v>
      </c>
      <c r="AQ159" t="s">
        <v>855</v>
      </c>
      <c r="AR159">
        <v>66428191</v>
      </c>
      <c r="AS159" t="s">
        <v>856</v>
      </c>
      <c r="AU159" t="s">
        <v>4201</v>
      </c>
      <c r="AV159" t="s">
        <v>4202</v>
      </c>
      <c r="AX159" t="s">
        <v>913</v>
      </c>
      <c r="AY159" t="s">
        <v>861</v>
      </c>
      <c r="AZ159" t="s">
        <v>259</v>
      </c>
      <c r="BA159" t="s">
        <v>260</v>
      </c>
      <c r="BB159">
        <v>1</v>
      </c>
      <c r="BC159">
        <v>0</v>
      </c>
      <c r="BD159">
        <v>0</v>
      </c>
      <c r="BE159" t="s">
        <v>3980</v>
      </c>
      <c r="BF159">
        <v>0</v>
      </c>
      <c r="BG159">
        <v>0</v>
      </c>
      <c r="BH159" t="s">
        <v>862</v>
      </c>
      <c r="BI159">
        <v>0</v>
      </c>
      <c r="BJ159" t="s">
        <v>862</v>
      </c>
      <c r="BK159">
        <v>1</v>
      </c>
      <c r="BL159">
        <v>1</v>
      </c>
      <c r="BM159">
        <v>0</v>
      </c>
      <c r="BN159" t="s">
        <v>596</v>
      </c>
      <c r="BO159">
        <v>153195455</v>
      </c>
      <c r="BP159" t="s">
        <v>4195</v>
      </c>
      <c r="BR159">
        <v>42791431</v>
      </c>
      <c r="BT159">
        <v>2</v>
      </c>
      <c r="BU159" t="s">
        <v>1119</v>
      </c>
      <c r="BY159">
        <v>12</v>
      </c>
      <c r="CA159">
        <v>7</v>
      </c>
      <c r="CE159">
        <v>1</v>
      </c>
      <c r="CI159">
        <v>11</v>
      </c>
      <c r="CJ159" t="s">
        <v>94</v>
      </c>
      <c r="CM159">
        <v>4010</v>
      </c>
      <c r="CO159">
        <v>7360</v>
      </c>
      <c r="CP159">
        <v>1.7333000000000001</v>
      </c>
      <c r="CQ159">
        <v>1.7333000000000001</v>
      </c>
      <c r="CR159">
        <v>0.83330000000000004</v>
      </c>
      <c r="CS159">
        <v>0</v>
      </c>
      <c r="CT159" t="s">
        <v>4203</v>
      </c>
      <c r="CU159" t="s">
        <v>4204</v>
      </c>
      <c r="CV159" t="s">
        <v>833</v>
      </c>
      <c r="CW159" t="s">
        <v>834</v>
      </c>
      <c r="CX159" t="s">
        <v>3980</v>
      </c>
      <c r="CY159">
        <v>1</v>
      </c>
      <c r="CZ159">
        <v>1</v>
      </c>
      <c r="DA159" t="s">
        <v>833</v>
      </c>
      <c r="DB159" t="s">
        <v>865</v>
      </c>
      <c r="DC159">
        <v>46227</v>
      </c>
      <c r="DD159">
        <v>7.1</v>
      </c>
      <c r="DE159" t="s">
        <v>866</v>
      </c>
      <c r="DG159" t="s">
        <v>867</v>
      </c>
      <c r="DH159" t="s">
        <v>851</v>
      </c>
      <c r="DI159" t="s">
        <v>1189</v>
      </c>
      <c r="DJ159" t="s">
        <v>3988</v>
      </c>
      <c r="DK159" t="s">
        <v>918</v>
      </c>
      <c r="DL159" t="s">
        <v>869</v>
      </c>
      <c r="DM159">
        <v>0</v>
      </c>
      <c r="DN159">
        <v>0</v>
      </c>
      <c r="DO159">
        <v>11</v>
      </c>
      <c r="DP159" t="s">
        <v>1010</v>
      </c>
      <c r="DQ159">
        <v>0</v>
      </c>
      <c r="DR159">
        <v>426</v>
      </c>
      <c r="DS159">
        <v>426</v>
      </c>
      <c r="DT159">
        <v>1.25</v>
      </c>
      <c r="DU159">
        <v>0</v>
      </c>
      <c r="DV159">
        <v>1</v>
      </c>
      <c r="DW159">
        <v>1</v>
      </c>
      <c r="DX159" t="s">
        <v>596</v>
      </c>
      <c r="DY159" t="s">
        <v>3980</v>
      </c>
      <c r="DZ159">
        <v>1</v>
      </c>
      <c r="EA159">
        <v>1</v>
      </c>
      <c r="EB159">
        <v>1</v>
      </c>
      <c r="EC159">
        <v>1</v>
      </c>
      <c r="ED159">
        <v>1</v>
      </c>
      <c r="EE159">
        <v>1</v>
      </c>
      <c r="EF159" t="s">
        <v>871</v>
      </c>
      <c r="EG159" t="s">
        <v>595</v>
      </c>
      <c r="EH159" t="s">
        <v>1036</v>
      </c>
      <c r="EI159" t="s">
        <v>1036</v>
      </c>
      <c r="EJ159" t="s">
        <v>134</v>
      </c>
      <c r="EK159">
        <v>9090</v>
      </c>
      <c r="EL159">
        <v>1</v>
      </c>
      <c r="EM159" t="s">
        <v>1011</v>
      </c>
      <c r="EN159">
        <v>0.83330000000000004</v>
      </c>
      <c r="EO159">
        <v>7.1</v>
      </c>
      <c r="EP159">
        <v>99991120</v>
      </c>
      <c r="EQ159" t="s">
        <v>874</v>
      </c>
      <c r="ER159" t="s">
        <v>875</v>
      </c>
      <c r="ES159" t="s">
        <v>876</v>
      </c>
      <c r="ET159" t="s">
        <v>877</v>
      </c>
      <c r="EU159" t="s">
        <v>877</v>
      </c>
      <c r="EV159" t="s">
        <v>871</v>
      </c>
      <c r="EX159" t="s">
        <v>953</v>
      </c>
      <c r="EY159" t="s">
        <v>1555</v>
      </c>
      <c r="EZ159" t="s">
        <v>1013</v>
      </c>
      <c r="FA159" t="s">
        <v>925</v>
      </c>
      <c r="FB159">
        <v>1</v>
      </c>
      <c r="FC159">
        <v>2</v>
      </c>
      <c r="FD159" s="41">
        <v>46137</v>
      </c>
      <c r="FE159" t="s">
        <v>1123</v>
      </c>
      <c r="FF159">
        <v>7</v>
      </c>
      <c r="FG159" t="s">
        <v>4205</v>
      </c>
      <c r="FH159" t="s">
        <v>4206</v>
      </c>
      <c r="FI159">
        <v>1</v>
      </c>
      <c r="FJ159" t="s">
        <v>4207</v>
      </c>
      <c r="FK159" t="s">
        <v>4208</v>
      </c>
      <c r="FL159">
        <v>1</v>
      </c>
      <c r="FM159" t="s">
        <v>4209</v>
      </c>
      <c r="FN159" t="s">
        <v>4210</v>
      </c>
      <c r="FO159">
        <v>1</v>
      </c>
      <c r="FP159" t="s">
        <v>4211</v>
      </c>
      <c r="FQ159" t="s">
        <v>4204</v>
      </c>
      <c r="FR159">
        <v>1</v>
      </c>
      <c r="FS159" t="s">
        <v>1934</v>
      </c>
      <c r="FT159" t="s">
        <v>4212</v>
      </c>
      <c r="FU159">
        <v>1</v>
      </c>
      <c r="FV159" t="s">
        <v>4213</v>
      </c>
      <c r="FW159" t="s">
        <v>4214</v>
      </c>
      <c r="FX159">
        <v>1</v>
      </c>
      <c r="FY159" t="s">
        <v>890</v>
      </c>
      <c r="FZ159" t="s">
        <v>4215</v>
      </c>
      <c r="GA159" t="s">
        <v>4207</v>
      </c>
      <c r="GB159">
        <v>1</v>
      </c>
      <c r="GD159">
        <v>0</v>
      </c>
      <c r="GF159">
        <v>0</v>
      </c>
      <c r="GG159">
        <v>1</v>
      </c>
      <c r="GH159" t="s">
        <v>892</v>
      </c>
      <c r="GI159" t="s">
        <v>893</v>
      </c>
      <c r="GJ159" t="s">
        <v>4208</v>
      </c>
      <c r="GM159">
        <v>1</v>
      </c>
      <c r="GN159">
        <v>0</v>
      </c>
      <c r="GO159">
        <v>0</v>
      </c>
      <c r="GP159">
        <v>1</v>
      </c>
      <c r="GQ159">
        <v>1</v>
      </c>
      <c r="GR159">
        <v>0</v>
      </c>
      <c r="GS159">
        <v>1</v>
      </c>
      <c r="GT159">
        <v>0</v>
      </c>
      <c r="GU159">
        <v>1</v>
      </c>
      <c r="GV159">
        <v>0</v>
      </c>
      <c r="GW159">
        <v>1</v>
      </c>
      <c r="GX159">
        <v>0</v>
      </c>
      <c r="GY159">
        <v>1</v>
      </c>
      <c r="GZ159">
        <v>0</v>
      </c>
      <c r="HA159" t="s">
        <v>259</v>
      </c>
      <c r="HB159" t="s">
        <v>894</v>
      </c>
      <c r="HC159" t="s">
        <v>935</v>
      </c>
      <c r="HD159" t="s">
        <v>845</v>
      </c>
      <c r="HE159" t="s">
        <v>900</v>
      </c>
      <c r="HF159" t="s">
        <v>1012</v>
      </c>
      <c r="HG159" t="s">
        <v>894</v>
      </c>
      <c r="HH159" t="s">
        <v>935</v>
      </c>
      <c r="HI159" t="s">
        <v>845</v>
      </c>
      <c r="HJ159" t="s">
        <v>900</v>
      </c>
      <c r="HK159" t="s">
        <v>1011</v>
      </c>
      <c r="HL159" t="s">
        <v>1543</v>
      </c>
      <c r="HM159" t="s">
        <v>854</v>
      </c>
      <c r="HN159">
        <v>36805</v>
      </c>
      <c r="HP159" t="s">
        <v>134</v>
      </c>
      <c r="HQ159" t="s">
        <v>896</v>
      </c>
      <c r="HR159" t="s">
        <v>896</v>
      </c>
      <c r="HS159" t="s">
        <v>896</v>
      </c>
    </row>
    <row r="160" spans="1:227" x14ac:dyDescent="0.2">
      <c r="A160">
        <v>8702</v>
      </c>
      <c r="B160">
        <v>7620906361</v>
      </c>
      <c r="C160" t="s">
        <v>936</v>
      </c>
      <c r="D160" t="s">
        <v>937</v>
      </c>
      <c r="E160" t="s">
        <v>831</v>
      </c>
      <c r="F160">
        <v>0</v>
      </c>
      <c r="G160" t="s">
        <v>4216</v>
      </c>
      <c r="H160" t="s">
        <v>4216</v>
      </c>
      <c r="I160">
        <v>0</v>
      </c>
      <c r="J160" t="s">
        <v>833</v>
      </c>
      <c r="K160" t="s">
        <v>834</v>
      </c>
      <c r="L160">
        <v>156046203</v>
      </c>
      <c r="M160" t="s">
        <v>4217</v>
      </c>
      <c r="N160" t="s">
        <v>836</v>
      </c>
      <c r="O160" t="s">
        <v>837</v>
      </c>
      <c r="P160" t="s">
        <v>940</v>
      </c>
      <c r="Q160" t="s">
        <v>1080</v>
      </c>
      <c r="R160" t="s">
        <v>4218</v>
      </c>
      <c r="S160" t="s">
        <v>4219</v>
      </c>
      <c r="T160">
        <v>41477075231</v>
      </c>
      <c r="V160" t="s">
        <v>117</v>
      </c>
      <c r="W160" s="41">
        <v>46231</v>
      </c>
      <c r="X160" t="s">
        <v>4220</v>
      </c>
      <c r="Y160" t="s">
        <v>4221</v>
      </c>
      <c r="AA160">
        <v>0</v>
      </c>
      <c r="AB160" t="s">
        <v>845</v>
      </c>
      <c r="AC160" t="s">
        <v>846</v>
      </c>
      <c r="AD160" t="s">
        <v>907</v>
      </c>
      <c r="AE160" t="s">
        <v>908</v>
      </c>
      <c r="AF160">
        <v>1</v>
      </c>
      <c r="AG160">
        <v>452210</v>
      </c>
      <c r="AH160" t="s">
        <v>849</v>
      </c>
      <c r="AI160" t="s">
        <v>850</v>
      </c>
      <c r="AJ160" t="s">
        <v>851</v>
      </c>
      <c r="AK160" t="s">
        <v>289</v>
      </c>
      <c r="AL160" t="s">
        <v>2443</v>
      </c>
      <c r="AM160" t="s">
        <v>1364</v>
      </c>
      <c r="AN160" t="s">
        <v>854</v>
      </c>
      <c r="AO160">
        <v>36805</v>
      </c>
      <c r="AP160">
        <v>493</v>
      </c>
      <c r="AQ160" t="s">
        <v>855</v>
      </c>
      <c r="AR160">
        <v>66570653</v>
      </c>
      <c r="AS160" t="s">
        <v>856</v>
      </c>
      <c r="AU160" t="s">
        <v>4222</v>
      </c>
      <c r="AV160" t="s">
        <v>4223</v>
      </c>
      <c r="AW160" t="s">
        <v>1149</v>
      </c>
      <c r="AX160" t="s">
        <v>1150</v>
      </c>
      <c r="AY160" t="s">
        <v>861</v>
      </c>
      <c r="AZ160" t="s">
        <v>289</v>
      </c>
      <c r="BA160" t="s">
        <v>290</v>
      </c>
      <c r="BB160">
        <v>0</v>
      </c>
      <c r="BC160">
        <v>0</v>
      </c>
      <c r="BD160">
        <v>0</v>
      </c>
      <c r="BE160" t="s">
        <v>4217</v>
      </c>
      <c r="BF160">
        <v>0</v>
      </c>
      <c r="BG160">
        <v>0</v>
      </c>
      <c r="BH160" t="s">
        <v>862</v>
      </c>
      <c r="BI160">
        <v>0</v>
      </c>
      <c r="BJ160" t="s">
        <v>862</v>
      </c>
      <c r="BK160">
        <v>1</v>
      </c>
      <c r="BL160">
        <v>0</v>
      </c>
      <c r="BM160">
        <v>0</v>
      </c>
      <c r="BN160" t="s">
        <v>596</v>
      </c>
      <c r="BO160">
        <v>156046203</v>
      </c>
      <c r="BP160" t="s">
        <v>4216</v>
      </c>
      <c r="BR160">
        <v>42789054</v>
      </c>
      <c r="BT160">
        <v>2</v>
      </c>
      <c r="BU160" t="s">
        <v>1062</v>
      </c>
      <c r="BY160">
        <v>16</v>
      </c>
      <c r="CA160">
        <v>7</v>
      </c>
      <c r="CE160">
        <v>1</v>
      </c>
      <c r="CI160">
        <v>11</v>
      </c>
      <c r="CJ160" t="s">
        <v>94</v>
      </c>
      <c r="CM160">
        <v>4010</v>
      </c>
      <c r="CO160">
        <v>7360</v>
      </c>
      <c r="CP160">
        <v>0.56669999999999998</v>
      </c>
      <c r="CQ160">
        <v>0.56669999999999998</v>
      </c>
      <c r="CR160">
        <v>2.4</v>
      </c>
      <c r="CS160">
        <v>11</v>
      </c>
      <c r="CT160" t="s">
        <v>4223</v>
      </c>
      <c r="CU160" t="s">
        <v>4222</v>
      </c>
      <c r="CV160" t="s">
        <v>833</v>
      </c>
      <c r="CW160" t="s">
        <v>834</v>
      </c>
      <c r="CX160" t="s">
        <v>4217</v>
      </c>
      <c r="CY160">
        <v>0</v>
      </c>
      <c r="CZ160">
        <v>0</v>
      </c>
      <c r="DA160" t="s">
        <v>833</v>
      </c>
      <c r="DB160" t="s">
        <v>865</v>
      </c>
      <c r="DC160">
        <v>63368</v>
      </c>
      <c r="DD160">
        <v>7.4667000000000003</v>
      </c>
      <c r="DE160" t="s">
        <v>866</v>
      </c>
      <c r="DG160" t="s">
        <v>867</v>
      </c>
      <c r="DH160" t="s">
        <v>851</v>
      </c>
      <c r="DI160" t="s">
        <v>984</v>
      </c>
      <c r="DK160" t="s">
        <v>918</v>
      </c>
      <c r="DL160" t="s">
        <v>869</v>
      </c>
      <c r="DM160">
        <v>0</v>
      </c>
      <c r="DN160">
        <v>0</v>
      </c>
      <c r="DO160">
        <v>1</v>
      </c>
      <c r="DP160" t="s">
        <v>985</v>
      </c>
      <c r="DQ160">
        <v>16</v>
      </c>
      <c r="DR160">
        <v>448</v>
      </c>
      <c r="DS160">
        <v>1046</v>
      </c>
      <c r="DT160">
        <v>6.9</v>
      </c>
      <c r="DU160">
        <v>4</v>
      </c>
      <c r="DV160">
        <v>1</v>
      </c>
      <c r="DW160">
        <v>2</v>
      </c>
      <c r="DX160" t="s">
        <v>594</v>
      </c>
      <c r="DY160" t="s">
        <v>4217</v>
      </c>
      <c r="DZ160">
        <v>0</v>
      </c>
      <c r="EA160">
        <v>0</v>
      </c>
      <c r="EB160">
        <v>0</v>
      </c>
      <c r="EC160">
        <v>0</v>
      </c>
      <c r="ED160">
        <v>0</v>
      </c>
      <c r="EE160">
        <v>0</v>
      </c>
      <c r="EF160" t="s">
        <v>920</v>
      </c>
      <c r="EG160" t="s">
        <v>595</v>
      </c>
      <c r="EH160" t="s">
        <v>872</v>
      </c>
      <c r="EI160" t="s">
        <v>872</v>
      </c>
      <c r="EJ160" t="s">
        <v>111</v>
      </c>
      <c r="EK160">
        <v>9090</v>
      </c>
      <c r="EL160">
        <v>0</v>
      </c>
      <c r="EM160" t="s">
        <v>1037</v>
      </c>
      <c r="EN160">
        <v>2.4</v>
      </c>
      <c r="EO160">
        <v>17.433333300000001</v>
      </c>
      <c r="EP160">
        <v>99991120</v>
      </c>
      <c r="EQ160" t="s">
        <v>874</v>
      </c>
      <c r="ER160" t="s">
        <v>875</v>
      </c>
      <c r="ES160" t="s">
        <v>876</v>
      </c>
      <c r="ET160" t="s">
        <v>877</v>
      </c>
      <c r="EU160" t="s">
        <v>877</v>
      </c>
      <c r="EV160" t="s">
        <v>920</v>
      </c>
      <c r="EX160" t="s">
        <v>836</v>
      </c>
      <c r="EY160" t="s">
        <v>1051</v>
      </c>
      <c r="EZ160" t="s">
        <v>1038</v>
      </c>
      <c r="FA160" t="s">
        <v>925</v>
      </c>
      <c r="FB160">
        <v>1</v>
      </c>
      <c r="FC160">
        <v>1</v>
      </c>
      <c r="FD160" s="41">
        <v>46235</v>
      </c>
      <c r="FE160" t="s">
        <v>1066</v>
      </c>
      <c r="FF160">
        <v>5</v>
      </c>
      <c r="FI160">
        <v>0</v>
      </c>
      <c r="FJ160" t="s">
        <v>4224</v>
      </c>
      <c r="FK160" t="s">
        <v>4225</v>
      </c>
      <c r="FL160">
        <v>1</v>
      </c>
      <c r="FM160" t="s">
        <v>4226</v>
      </c>
      <c r="FN160" t="s">
        <v>4227</v>
      </c>
      <c r="FO160">
        <v>1</v>
      </c>
      <c r="FP160" t="s">
        <v>4228</v>
      </c>
      <c r="FQ160" t="s">
        <v>4222</v>
      </c>
      <c r="FR160">
        <v>1</v>
      </c>
      <c r="FS160" t="s">
        <v>2453</v>
      </c>
      <c r="FT160" t="s">
        <v>4229</v>
      </c>
      <c r="FU160">
        <v>1</v>
      </c>
      <c r="FV160" t="s">
        <v>4224</v>
      </c>
      <c r="FW160" t="s">
        <v>4225</v>
      </c>
      <c r="FX160">
        <v>1</v>
      </c>
      <c r="FY160" t="s">
        <v>890</v>
      </c>
      <c r="FZ160" t="s">
        <v>4230</v>
      </c>
      <c r="GA160" t="s">
        <v>4224</v>
      </c>
      <c r="GB160">
        <v>1</v>
      </c>
      <c r="GD160">
        <v>0</v>
      </c>
      <c r="GF160">
        <v>0</v>
      </c>
      <c r="GG160">
        <v>1</v>
      </c>
      <c r="GH160" t="s">
        <v>892</v>
      </c>
      <c r="GI160" t="s">
        <v>893</v>
      </c>
      <c r="GJ160" t="s">
        <v>4225</v>
      </c>
      <c r="GM160">
        <v>1</v>
      </c>
      <c r="GN160">
        <v>1</v>
      </c>
      <c r="GO160">
        <v>0</v>
      </c>
      <c r="GP160">
        <v>1</v>
      </c>
      <c r="GQ160">
        <v>1</v>
      </c>
      <c r="GR160">
        <v>0</v>
      </c>
      <c r="GS160">
        <v>1</v>
      </c>
      <c r="GT160">
        <v>0</v>
      </c>
      <c r="GU160">
        <v>1</v>
      </c>
      <c r="GV160">
        <v>0</v>
      </c>
      <c r="GW160">
        <v>1</v>
      </c>
      <c r="GX160">
        <v>0</v>
      </c>
      <c r="GY160">
        <v>1</v>
      </c>
      <c r="GZ160">
        <v>0</v>
      </c>
      <c r="HA160" t="s">
        <v>289</v>
      </c>
      <c r="HB160" t="s">
        <v>894</v>
      </c>
      <c r="HC160" t="s">
        <v>895</v>
      </c>
      <c r="HD160" t="s">
        <v>845</v>
      </c>
      <c r="HE160" t="s">
        <v>836</v>
      </c>
      <c r="HF160" t="s">
        <v>1051</v>
      </c>
      <c r="HG160" t="s">
        <v>894</v>
      </c>
      <c r="HH160" t="s">
        <v>895</v>
      </c>
      <c r="HI160" t="s">
        <v>845</v>
      </c>
      <c r="HJ160" t="s">
        <v>836</v>
      </c>
      <c r="HK160" t="s">
        <v>1037</v>
      </c>
      <c r="HL160" t="s">
        <v>117</v>
      </c>
      <c r="HM160" t="s">
        <v>854</v>
      </c>
      <c r="HN160">
        <v>36805</v>
      </c>
      <c r="HP160" t="s">
        <v>111</v>
      </c>
      <c r="HQ160" t="s">
        <v>896</v>
      </c>
      <c r="HR160" t="s">
        <v>896</v>
      </c>
      <c r="HS160" t="s">
        <v>896</v>
      </c>
    </row>
    <row r="161" spans="1:227" x14ac:dyDescent="0.2">
      <c r="A161">
        <v>8702</v>
      </c>
      <c r="B161">
        <v>7536304574</v>
      </c>
      <c r="C161" t="s">
        <v>829</v>
      </c>
      <c r="D161" t="s">
        <v>830</v>
      </c>
      <c r="E161" t="s">
        <v>897</v>
      </c>
      <c r="F161">
        <v>1</v>
      </c>
      <c r="G161" t="s">
        <v>4231</v>
      </c>
      <c r="H161" t="s">
        <v>4231</v>
      </c>
      <c r="I161">
        <v>0</v>
      </c>
      <c r="J161" t="s">
        <v>833</v>
      </c>
      <c r="K161" t="s">
        <v>834</v>
      </c>
      <c r="L161">
        <v>148844753</v>
      </c>
      <c r="M161">
        <v>3111806</v>
      </c>
      <c r="N161" t="s">
        <v>900</v>
      </c>
      <c r="O161" t="s">
        <v>837</v>
      </c>
      <c r="P161" t="s">
        <v>838</v>
      </c>
      <c r="Q161" t="s">
        <v>839</v>
      </c>
      <c r="R161" t="s">
        <v>4232</v>
      </c>
      <c r="S161" t="s">
        <v>4233</v>
      </c>
      <c r="T161">
        <v>41477092607</v>
      </c>
      <c r="V161" t="s">
        <v>130</v>
      </c>
      <c r="W161" s="41">
        <v>46020</v>
      </c>
      <c r="X161" t="s">
        <v>4234</v>
      </c>
      <c r="Y161" t="s">
        <v>4235</v>
      </c>
      <c r="AA161">
        <v>0</v>
      </c>
      <c r="AB161" t="s">
        <v>845</v>
      </c>
      <c r="AC161" t="s">
        <v>846</v>
      </c>
      <c r="AD161" t="s">
        <v>1335</v>
      </c>
      <c r="AE161" t="s">
        <v>1336</v>
      </c>
      <c r="AF161">
        <v>1</v>
      </c>
      <c r="AG161">
        <v>452210</v>
      </c>
      <c r="AH161" t="s">
        <v>849</v>
      </c>
      <c r="AI161" t="s">
        <v>850</v>
      </c>
      <c r="AJ161" t="s">
        <v>851</v>
      </c>
      <c r="AK161" t="s">
        <v>369</v>
      </c>
      <c r="AL161" t="s">
        <v>4236</v>
      </c>
      <c r="AM161" t="s">
        <v>4237</v>
      </c>
      <c r="AN161" t="s">
        <v>854</v>
      </c>
      <c r="AO161">
        <v>36805</v>
      </c>
      <c r="AP161">
        <v>499</v>
      </c>
      <c r="AQ161" t="s">
        <v>855</v>
      </c>
      <c r="AR161">
        <v>66266311</v>
      </c>
      <c r="AS161" t="s">
        <v>856</v>
      </c>
      <c r="AU161" t="s">
        <v>4238</v>
      </c>
      <c r="AV161" t="s">
        <v>4239</v>
      </c>
      <c r="AX161" t="s">
        <v>913</v>
      </c>
      <c r="AY161" t="s">
        <v>861</v>
      </c>
      <c r="AZ161" t="s">
        <v>369</v>
      </c>
      <c r="BA161" t="s">
        <v>370</v>
      </c>
      <c r="BB161">
        <v>0</v>
      </c>
      <c r="BC161">
        <v>0</v>
      </c>
      <c r="BD161">
        <v>0</v>
      </c>
      <c r="BE161">
        <v>3111806</v>
      </c>
      <c r="BF161">
        <v>0</v>
      </c>
      <c r="BG161">
        <v>0</v>
      </c>
      <c r="BH161" t="s">
        <v>862</v>
      </c>
      <c r="BI161">
        <v>0</v>
      </c>
      <c r="BJ161" t="s">
        <v>862</v>
      </c>
      <c r="BK161">
        <v>1</v>
      </c>
      <c r="BL161">
        <v>1</v>
      </c>
      <c r="BM161">
        <v>0</v>
      </c>
      <c r="BN161" t="s">
        <v>596</v>
      </c>
      <c r="BP161" t="s">
        <v>4231</v>
      </c>
      <c r="BR161">
        <v>42789136</v>
      </c>
      <c r="BT161">
        <v>0</v>
      </c>
      <c r="CM161">
        <v>4010</v>
      </c>
      <c r="CO161">
        <v>7360</v>
      </c>
      <c r="CP161">
        <v>1.3167</v>
      </c>
      <c r="CQ161">
        <v>1.3167</v>
      </c>
      <c r="CR161">
        <v>1.0166999999999999</v>
      </c>
      <c r="CS161">
        <v>2</v>
      </c>
      <c r="CT161" t="s">
        <v>4239</v>
      </c>
      <c r="CU161" t="s">
        <v>4238</v>
      </c>
      <c r="CV161" t="s">
        <v>833</v>
      </c>
      <c r="CW161" t="s">
        <v>834</v>
      </c>
      <c r="CX161" t="s">
        <v>4240</v>
      </c>
      <c r="CY161">
        <v>0</v>
      </c>
      <c r="CZ161">
        <v>0</v>
      </c>
      <c r="DA161" t="s">
        <v>833</v>
      </c>
      <c r="DB161" t="s">
        <v>865</v>
      </c>
      <c r="DC161">
        <v>41071</v>
      </c>
      <c r="DD161">
        <v>0</v>
      </c>
      <c r="DE161" t="s">
        <v>866</v>
      </c>
      <c r="DG161" t="s">
        <v>867</v>
      </c>
      <c r="DH161" t="s">
        <v>851</v>
      </c>
      <c r="DL161" t="s">
        <v>869</v>
      </c>
      <c r="DM161">
        <v>0</v>
      </c>
      <c r="DN161">
        <v>0</v>
      </c>
      <c r="DO161">
        <v>1</v>
      </c>
      <c r="DP161" t="s">
        <v>985</v>
      </c>
      <c r="DQ161">
        <v>16</v>
      </c>
      <c r="DR161">
        <v>0</v>
      </c>
      <c r="DS161">
        <v>652</v>
      </c>
      <c r="DT161">
        <v>0</v>
      </c>
      <c r="DU161">
        <v>4</v>
      </c>
      <c r="DW161">
        <v>2</v>
      </c>
      <c r="DX161" t="s">
        <v>596</v>
      </c>
      <c r="DY161">
        <v>3111806</v>
      </c>
      <c r="DZ161">
        <v>1</v>
      </c>
      <c r="EA161">
        <v>1</v>
      </c>
      <c r="EB161">
        <v>1</v>
      </c>
      <c r="EC161">
        <v>1</v>
      </c>
      <c r="ED161">
        <v>1</v>
      </c>
      <c r="EE161">
        <v>1</v>
      </c>
      <c r="EF161" t="s">
        <v>920</v>
      </c>
      <c r="EG161" t="s">
        <v>595</v>
      </c>
      <c r="EH161" t="s">
        <v>921</v>
      </c>
      <c r="EI161" t="s">
        <v>921</v>
      </c>
      <c r="EJ161" t="s">
        <v>131</v>
      </c>
      <c r="EK161">
        <v>9090</v>
      </c>
      <c r="EL161">
        <v>0</v>
      </c>
      <c r="EM161" t="s">
        <v>1157</v>
      </c>
      <c r="EN161">
        <v>1.0166999999999999</v>
      </c>
      <c r="EO161">
        <v>10.8666666</v>
      </c>
      <c r="EP161">
        <v>99991120</v>
      </c>
      <c r="EQ161" t="s">
        <v>874</v>
      </c>
      <c r="ER161" t="s">
        <v>875</v>
      </c>
      <c r="ES161" t="s">
        <v>876</v>
      </c>
      <c r="ET161" t="s">
        <v>877</v>
      </c>
      <c r="EU161" t="s">
        <v>877</v>
      </c>
      <c r="EV161" t="s">
        <v>920</v>
      </c>
      <c r="EX161" t="s">
        <v>953</v>
      </c>
      <c r="EY161" t="s">
        <v>1555</v>
      </c>
      <c r="EZ161" t="s">
        <v>3116</v>
      </c>
      <c r="FA161" t="s">
        <v>925</v>
      </c>
      <c r="FB161">
        <v>1</v>
      </c>
      <c r="FC161">
        <v>1</v>
      </c>
      <c r="FD161" s="41">
        <v>46025</v>
      </c>
      <c r="FE161" t="s">
        <v>957</v>
      </c>
      <c r="FF161">
        <v>6</v>
      </c>
      <c r="FG161" t="s">
        <v>4241</v>
      </c>
      <c r="FH161" t="s">
        <v>4242</v>
      </c>
      <c r="FI161">
        <v>1</v>
      </c>
      <c r="FJ161" t="s">
        <v>4243</v>
      </c>
      <c r="FK161" t="s">
        <v>4244</v>
      </c>
      <c r="FL161">
        <v>1</v>
      </c>
      <c r="FM161" t="s">
        <v>4245</v>
      </c>
      <c r="FN161" t="s">
        <v>4246</v>
      </c>
      <c r="FO161">
        <v>1</v>
      </c>
      <c r="FP161" t="s">
        <v>4247</v>
      </c>
      <c r="FQ161" t="s">
        <v>4248</v>
      </c>
      <c r="FR161">
        <v>1</v>
      </c>
      <c r="FS161" t="s">
        <v>4249</v>
      </c>
      <c r="FT161" t="s">
        <v>4250</v>
      </c>
      <c r="FU161">
        <v>1</v>
      </c>
      <c r="FV161" t="s">
        <v>4251</v>
      </c>
      <c r="FW161" t="s">
        <v>4252</v>
      </c>
      <c r="FX161">
        <v>1</v>
      </c>
      <c r="FY161" t="s">
        <v>890</v>
      </c>
      <c r="FZ161" t="s">
        <v>4253</v>
      </c>
      <c r="GA161" t="s">
        <v>4243</v>
      </c>
      <c r="GB161">
        <v>1</v>
      </c>
      <c r="GD161">
        <v>0</v>
      </c>
      <c r="GF161">
        <v>0</v>
      </c>
      <c r="GG161">
        <v>1</v>
      </c>
      <c r="GH161" t="s">
        <v>892</v>
      </c>
      <c r="GI161" t="s">
        <v>893</v>
      </c>
      <c r="GJ161" t="s">
        <v>4244</v>
      </c>
      <c r="GM161">
        <v>1</v>
      </c>
      <c r="GN161">
        <v>1</v>
      </c>
      <c r="GO161">
        <v>0</v>
      </c>
      <c r="GP161">
        <v>1</v>
      </c>
      <c r="GQ161">
        <v>1</v>
      </c>
      <c r="GR161">
        <v>0</v>
      </c>
      <c r="GS161">
        <v>1</v>
      </c>
      <c r="GT161">
        <v>0</v>
      </c>
      <c r="GU161">
        <v>1</v>
      </c>
      <c r="GV161">
        <v>0</v>
      </c>
      <c r="GW161">
        <v>1</v>
      </c>
      <c r="GX161">
        <v>0</v>
      </c>
      <c r="GY161">
        <v>1</v>
      </c>
      <c r="GZ161">
        <v>0</v>
      </c>
      <c r="HA161" t="s">
        <v>369</v>
      </c>
      <c r="HB161" t="s">
        <v>894</v>
      </c>
      <c r="HC161" t="s">
        <v>935</v>
      </c>
      <c r="HD161" t="s">
        <v>845</v>
      </c>
      <c r="HE161" t="s">
        <v>900</v>
      </c>
      <c r="HF161" t="s">
        <v>923</v>
      </c>
      <c r="HG161" t="s">
        <v>894</v>
      </c>
      <c r="HH161" t="s">
        <v>935</v>
      </c>
      <c r="HI161" t="s">
        <v>845</v>
      </c>
      <c r="HJ161" t="s">
        <v>900</v>
      </c>
      <c r="HK161" t="s">
        <v>922</v>
      </c>
      <c r="HL161" t="s">
        <v>130</v>
      </c>
      <c r="HM161" t="s">
        <v>854</v>
      </c>
      <c r="HN161">
        <v>36805</v>
      </c>
      <c r="HP161" t="s">
        <v>131</v>
      </c>
      <c r="HQ161" t="s">
        <v>896</v>
      </c>
      <c r="HR161" t="s">
        <v>896</v>
      </c>
      <c r="HS161" t="s">
        <v>896</v>
      </c>
    </row>
    <row r="162" spans="1:227" x14ac:dyDescent="0.2">
      <c r="A162">
        <v>8702</v>
      </c>
      <c r="B162">
        <v>7609800379</v>
      </c>
      <c r="C162">
        <v>34</v>
      </c>
      <c r="D162" t="s">
        <v>996</v>
      </c>
      <c r="E162" t="s">
        <v>897</v>
      </c>
      <c r="F162">
        <v>1</v>
      </c>
      <c r="G162" t="s">
        <v>4254</v>
      </c>
      <c r="H162" t="s">
        <v>4254</v>
      </c>
      <c r="I162">
        <v>0</v>
      </c>
      <c r="J162" t="s">
        <v>833</v>
      </c>
      <c r="K162" t="s">
        <v>834</v>
      </c>
      <c r="L162">
        <v>156057607</v>
      </c>
      <c r="M162" t="s">
        <v>4255</v>
      </c>
      <c r="N162" t="s">
        <v>900</v>
      </c>
      <c r="O162" t="s">
        <v>837</v>
      </c>
      <c r="P162" t="s">
        <v>999</v>
      </c>
      <c r="Q162" t="s">
        <v>2459</v>
      </c>
      <c r="R162" t="s">
        <v>4256</v>
      </c>
      <c r="S162" t="s">
        <v>4257</v>
      </c>
      <c r="T162">
        <v>30300117806</v>
      </c>
      <c r="V162" t="s">
        <v>1332</v>
      </c>
      <c r="W162" s="41">
        <v>46121</v>
      </c>
      <c r="X162" t="s">
        <v>4258</v>
      </c>
      <c r="Y162" t="s">
        <v>4259</v>
      </c>
      <c r="Z162" t="s">
        <v>4260</v>
      </c>
      <c r="AA162">
        <v>0</v>
      </c>
      <c r="AB162" t="s">
        <v>845</v>
      </c>
      <c r="AC162" t="s">
        <v>846</v>
      </c>
      <c r="AD162" t="s">
        <v>1113</v>
      </c>
      <c r="AE162" t="s">
        <v>1114</v>
      </c>
      <c r="AF162">
        <v>1</v>
      </c>
      <c r="AG162">
        <v>452210</v>
      </c>
      <c r="AH162" t="s">
        <v>849</v>
      </c>
      <c r="AI162" t="s">
        <v>850</v>
      </c>
      <c r="AJ162" t="s">
        <v>851</v>
      </c>
      <c r="AK162" t="s">
        <v>287</v>
      </c>
      <c r="AL162" t="s">
        <v>2767</v>
      </c>
      <c r="AM162" t="s">
        <v>1338</v>
      </c>
      <c r="AN162" t="s">
        <v>854</v>
      </c>
      <c r="AO162">
        <v>36805</v>
      </c>
      <c r="AP162">
        <v>929</v>
      </c>
      <c r="AQ162" t="s">
        <v>855</v>
      </c>
      <c r="AR162">
        <v>66412024</v>
      </c>
      <c r="AS162" t="s">
        <v>856</v>
      </c>
      <c r="AU162" t="s">
        <v>4261</v>
      </c>
      <c r="AV162" t="s">
        <v>4262</v>
      </c>
      <c r="AW162" t="s">
        <v>950</v>
      </c>
      <c r="AX162" t="s">
        <v>951</v>
      </c>
      <c r="AY162" t="s">
        <v>861</v>
      </c>
      <c r="AZ162" t="s">
        <v>287</v>
      </c>
      <c r="BA162" t="s">
        <v>288</v>
      </c>
      <c r="BB162">
        <v>0</v>
      </c>
      <c r="BC162">
        <v>0</v>
      </c>
      <c r="BD162">
        <v>0</v>
      </c>
      <c r="BE162" t="s">
        <v>4255</v>
      </c>
      <c r="BF162">
        <v>0</v>
      </c>
      <c r="BG162">
        <v>0</v>
      </c>
      <c r="BH162" t="s">
        <v>862</v>
      </c>
      <c r="BI162">
        <v>0</v>
      </c>
      <c r="BJ162" t="s">
        <v>862</v>
      </c>
      <c r="BK162">
        <v>1</v>
      </c>
      <c r="BL162">
        <v>0</v>
      </c>
      <c r="BM162">
        <v>0</v>
      </c>
      <c r="BN162" t="s">
        <v>596</v>
      </c>
      <c r="BO162">
        <v>156057607</v>
      </c>
      <c r="BP162" t="s">
        <v>4254</v>
      </c>
      <c r="BQ162">
        <v>41.699238600000001</v>
      </c>
      <c r="BR162">
        <v>42793654</v>
      </c>
      <c r="BS162">
        <v>-83.647780900000001</v>
      </c>
      <c r="BT162">
        <v>1</v>
      </c>
      <c r="BU162" t="s">
        <v>1119</v>
      </c>
      <c r="BY162">
        <v>16</v>
      </c>
      <c r="CA162">
        <v>19</v>
      </c>
      <c r="CI162">
        <v>11</v>
      </c>
      <c r="CJ162" t="s">
        <v>94</v>
      </c>
      <c r="CM162">
        <v>4010</v>
      </c>
      <c r="CO162">
        <v>7360</v>
      </c>
      <c r="CP162">
        <v>0.8</v>
      </c>
      <c r="CQ162">
        <v>0.8</v>
      </c>
      <c r="CR162">
        <v>2.3167</v>
      </c>
      <c r="CS162">
        <v>6</v>
      </c>
      <c r="CT162" t="s">
        <v>4263</v>
      </c>
      <c r="CU162" t="s">
        <v>4264</v>
      </c>
      <c r="CV162" t="s">
        <v>833</v>
      </c>
      <c r="CW162" t="s">
        <v>834</v>
      </c>
      <c r="CX162" t="s">
        <v>4255</v>
      </c>
      <c r="CY162">
        <v>0</v>
      </c>
      <c r="CZ162">
        <v>0</v>
      </c>
      <c r="DA162" t="s">
        <v>833</v>
      </c>
      <c r="DB162" t="s">
        <v>865</v>
      </c>
      <c r="DC162">
        <v>43623</v>
      </c>
      <c r="DD162">
        <v>6.5667</v>
      </c>
      <c r="DE162" t="s">
        <v>866</v>
      </c>
      <c r="DG162" t="s">
        <v>867</v>
      </c>
      <c r="DH162" t="s">
        <v>851</v>
      </c>
      <c r="DI162" t="s">
        <v>984</v>
      </c>
      <c r="DJ162" t="s">
        <v>4265</v>
      </c>
      <c r="DK162" t="s">
        <v>918</v>
      </c>
      <c r="DL162" t="s">
        <v>869</v>
      </c>
      <c r="DM162">
        <v>0</v>
      </c>
      <c r="DN162">
        <v>0</v>
      </c>
      <c r="DO162">
        <v>1</v>
      </c>
      <c r="DP162" t="s">
        <v>985</v>
      </c>
      <c r="DQ162">
        <v>0</v>
      </c>
      <c r="DR162">
        <v>394</v>
      </c>
      <c r="DS162">
        <v>1114</v>
      </c>
      <c r="DT162">
        <v>5.7667000000000002</v>
      </c>
      <c r="DU162">
        <v>0</v>
      </c>
      <c r="DV162">
        <v>1</v>
      </c>
      <c r="DW162">
        <v>2</v>
      </c>
      <c r="DX162" t="s">
        <v>594</v>
      </c>
      <c r="DY162" t="s">
        <v>4255</v>
      </c>
      <c r="DZ162">
        <v>1</v>
      </c>
      <c r="EA162">
        <v>1</v>
      </c>
      <c r="EB162">
        <v>1</v>
      </c>
      <c r="EC162">
        <v>1</v>
      </c>
      <c r="ED162">
        <v>1</v>
      </c>
      <c r="EE162">
        <v>1</v>
      </c>
      <c r="EF162" t="s">
        <v>920</v>
      </c>
      <c r="EG162" t="s">
        <v>595</v>
      </c>
      <c r="EH162" t="s">
        <v>872</v>
      </c>
      <c r="EI162" t="s">
        <v>872</v>
      </c>
      <c r="EJ162" t="s">
        <v>226</v>
      </c>
      <c r="EK162">
        <v>9090</v>
      </c>
      <c r="EL162">
        <v>0</v>
      </c>
      <c r="EM162" t="s">
        <v>952</v>
      </c>
      <c r="EN162">
        <v>2.3167</v>
      </c>
      <c r="EO162">
        <v>18.566666699999999</v>
      </c>
      <c r="EP162">
        <v>99991120</v>
      </c>
      <c r="EQ162" t="s">
        <v>874</v>
      </c>
      <c r="ER162" t="s">
        <v>875</v>
      </c>
      <c r="ES162" t="s">
        <v>876</v>
      </c>
      <c r="ET162" t="s">
        <v>877</v>
      </c>
      <c r="EU162" t="s">
        <v>877</v>
      </c>
      <c r="EV162" t="s">
        <v>920</v>
      </c>
      <c r="EX162" t="s">
        <v>953</v>
      </c>
      <c r="EY162" t="s">
        <v>986</v>
      </c>
      <c r="EZ162" t="s">
        <v>1342</v>
      </c>
      <c r="FA162" t="s">
        <v>879</v>
      </c>
      <c r="FB162">
        <v>1</v>
      </c>
      <c r="FC162">
        <v>1</v>
      </c>
      <c r="FD162" s="41">
        <v>46123</v>
      </c>
      <c r="FE162" t="s">
        <v>1123</v>
      </c>
      <c r="FF162">
        <v>7</v>
      </c>
      <c r="FG162" t="s">
        <v>4266</v>
      </c>
      <c r="FH162" t="s">
        <v>4267</v>
      </c>
      <c r="FI162">
        <v>1</v>
      </c>
      <c r="FJ162" t="s">
        <v>4268</v>
      </c>
      <c r="FK162" t="s">
        <v>4267</v>
      </c>
      <c r="FL162">
        <v>1</v>
      </c>
      <c r="FM162" t="s">
        <v>4269</v>
      </c>
      <c r="FN162" t="s">
        <v>4270</v>
      </c>
      <c r="FO162">
        <v>1</v>
      </c>
      <c r="FP162" t="s">
        <v>4271</v>
      </c>
      <c r="FQ162" t="s">
        <v>4264</v>
      </c>
      <c r="FR162">
        <v>1</v>
      </c>
      <c r="FS162" t="s">
        <v>1350</v>
      </c>
      <c r="FT162" t="s">
        <v>4272</v>
      </c>
      <c r="FU162">
        <v>1</v>
      </c>
      <c r="FV162" t="s">
        <v>3594</v>
      </c>
      <c r="FW162" t="s">
        <v>4273</v>
      </c>
      <c r="FX162">
        <v>1</v>
      </c>
      <c r="FY162" t="s">
        <v>890</v>
      </c>
      <c r="FZ162" t="s">
        <v>4274</v>
      </c>
      <c r="GA162" t="s">
        <v>4268</v>
      </c>
      <c r="GB162">
        <v>1</v>
      </c>
      <c r="GD162">
        <v>0</v>
      </c>
      <c r="GF162">
        <v>0</v>
      </c>
      <c r="GG162">
        <v>1</v>
      </c>
      <c r="GH162" t="s">
        <v>892</v>
      </c>
      <c r="GI162" t="s">
        <v>893</v>
      </c>
      <c r="GJ162" t="s">
        <v>4267</v>
      </c>
      <c r="GM162">
        <v>1</v>
      </c>
      <c r="GN162">
        <v>1</v>
      </c>
      <c r="GO162">
        <v>0</v>
      </c>
      <c r="GP162">
        <v>1</v>
      </c>
      <c r="GQ162">
        <v>1</v>
      </c>
      <c r="GR162">
        <v>0</v>
      </c>
      <c r="GS162">
        <v>1</v>
      </c>
      <c r="GT162">
        <v>0</v>
      </c>
      <c r="GU162">
        <v>1</v>
      </c>
      <c r="GV162">
        <v>0</v>
      </c>
      <c r="GW162">
        <v>1</v>
      </c>
      <c r="GX162">
        <v>0</v>
      </c>
      <c r="GY162">
        <v>1</v>
      </c>
      <c r="GZ162">
        <v>0</v>
      </c>
      <c r="HA162" t="s">
        <v>287</v>
      </c>
      <c r="HB162" t="s">
        <v>894</v>
      </c>
      <c r="HC162" t="s">
        <v>935</v>
      </c>
      <c r="HD162" t="s">
        <v>845</v>
      </c>
      <c r="HE162" t="s">
        <v>900</v>
      </c>
      <c r="HF162" t="s">
        <v>923</v>
      </c>
      <c r="HG162" t="s">
        <v>894</v>
      </c>
      <c r="HH162" t="s">
        <v>935</v>
      </c>
      <c r="HI162" t="s">
        <v>845</v>
      </c>
      <c r="HJ162" t="s">
        <v>900</v>
      </c>
      <c r="HK162" t="s">
        <v>952</v>
      </c>
      <c r="HL162" t="s">
        <v>1332</v>
      </c>
      <c r="HM162" t="s">
        <v>854</v>
      </c>
      <c r="HN162">
        <v>36805</v>
      </c>
      <c r="HO162">
        <v>1</v>
      </c>
      <c r="HP162" t="s">
        <v>226</v>
      </c>
      <c r="HQ162" t="s">
        <v>896</v>
      </c>
      <c r="HR162" t="s">
        <v>896</v>
      </c>
      <c r="HS162" t="s">
        <v>896</v>
      </c>
    </row>
    <row r="163" spans="1:227" x14ac:dyDescent="0.2">
      <c r="A163">
        <v>8702</v>
      </c>
      <c r="B163">
        <v>7526306736</v>
      </c>
      <c r="C163" t="s">
        <v>829</v>
      </c>
      <c r="D163" t="s">
        <v>830</v>
      </c>
      <c r="E163" t="s">
        <v>897</v>
      </c>
      <c r="F163">
        <v>1</v>
      </c>
      <c r="G163" t="s">
        <v>4275</v>
      </c>
      <c r="H163" t="s">
        <v>4275</v>
      </c>
      <c r="I163">
        <v>0</v>
      </c>
      <c r="J163" t="s">
        <v>833</v>
      </c>
      <c r="K163" t="s">
        <v>834</v>
      </c>
      <c r="L163">
        <v>153406439</v>
      </c>
      <c r="M163" t="s">
        <v>939</v>
      </c>
      <c r="N163" t="s">
        <v>900</v>
      </c>
      <c r="O163" t="s">
        <v>837</v>
      </c>
      <c r="P163" t="s">
        <v>838</v>
      </c>
      <c r="Q163" t="s">
        <v>901</v>
      </c>
      <c r="R163" t="s">
        <v>4276</v>
      </c>
      <c r="S163" t="s">
        <v>4277</v>
      </c>
      <c r="T163">
        <v>41477115259</v>
      </c>
      <c r="V163" t="s">
        <v>202</v>
      </c>
      <c r="W163" s="41">
        <v>45920</v>
      </c>
      <c r="X163" t="s">
        <v>4278</v>
      </c>
      <c r="Y163" t="s">
        <v>4279</v>
      </c>
      <c r="AA163">
        <v>0</v>
      </c>
      <c r="AB163" t="s">
        <v>845</v>
      </c>
      <c r="AC163" t="s">
        <v>846</v>
      </c>
      <c r="AD163" t="s">
        <v>847</v>
      </c>
      <c r="AE163" t="s">
        <v>848</v>
      </c>
      <c r="AF163">
        <v>1</v>
      </c>
      <c r="AG163">
        <v>452210</v>
      </c>
      <c r="AH163" t="s">
        <v>849</v>
      </c>
      <c r="AI163" t="s">
        <v>850</v>
      </c>
      <c r="AJ163" t="s">
        <v>851</v>
      </c>
      <c r="AK163" t="s">
        <v>297</v>
      </c>
      <c r="AL163" t="s">
        <v>2184</v>
      </c>
      <c r="AM163" t="s">
        <v>947</v>
      </c>
      <c r="AN163" t="s">
        <v>854</v>
      </c>
      <c r="AO163">
        <v>36805</v>
      </c>
      <c r="AP163">
        <v>643</v>
      </c>
      <c r="AQ163" t="s">
        <v>855</v>
      </c>
      <c r="AR163">
        <v>66122934</v>
      </c>
      <c r="AS163" t="s">
        <v>856</v>
      </c>
      <c r="AU163" t="s">
        <v>4280</v>
      </c>
      <c r="AV163" t="s">
        <v>4281</v>
      </c>
      <c r="AX163" t="s">
        <v>913</v>
      </c>
      <c r="AY163" t="s">
        <v>861</v>
      </c>
      <c r="AZ163" t="s">
        <v>297</v>
      </c>
      <c r="BA163" t="s">
        <v>298</v>
      </c>
      <c r="BB163">
        <v>0</v>
      </c>
      <c r="BC163">
        <v>0</v>
      </c>
      <c r="BD163">
        <v>1</v>
      </c>
      <c r="BE163" t="s">
        <v>939</v>
      </c>
      <c r="BF163">
        <v>0</v>
      </c>
      <c r="BG163">
        <v>0</v>
      </c>
      <c r="BH163" t="s">
        <v>862</v>
      </c>
      <c r="BI163">
        <v>0</v>
      </c>
      <c r="BJ163" t="s">
        <v>862</v>
      </c>
      <c r="BK163">
        <v>1</v>
      </c>
      <c r="BL163">
        <v>1</v>
      </c>
      <c r="BM163">
        <v>0</v>
      </c>
      <c r="BN163" t="s">
        <v>596</v>
      </c>
      <c r="BO163">
        <v>153406439</v>
      </c>
      <c r="BP163" t="s">
        <v>4275</v>
      </c>
      <c r="BR163">
        <v>42791774</v>
      </c>
      <c r="BT163">
        <v>0</v>
      </c>
      <c r="CM163">
        <v>4010</v>
      </c>
      <c r="CO163">
        <v>7360</v>
      </c>
      <c r="CP163">
        <v>1.0667</v>
      </c>
      <c r="CQ163">
        <v>1.0667</v>
      </c>
      <c r="CR163">
        <v>1.1499999999999999</v>
      </c>
      <c r="CS163">
        <v>3</v>
      </c>
      <c r="CT163" t="s">
        <v>4281</v>
      </c>
      <c r="CU163" t="s">
        <v>4280</v>
      </c>
      <c r="CV163" t="s">
        <v>833</v>
      </c>
      <c r="CW163" t="s">
        <v>834</v>
      </c>
      <c r="CX163" t="s">
        <v>939</v>
      </c>
      <c r="CY163">
        <v>1</v>
      </c>
      <c r="CZ163">
        <v>1</v>
      </c>
      <c r="DA163" t="s">
        <v>833</v>
      </c>
      <c r="DB163" t="s">
        <v>865</v>
      </c>
      <c r="DC163">
        <v>48083</v>
      </c>
      <c r="DD163">
        <v>7.6</v>
      </c>
      <c r="DE163" t="s">
        <v>866</v>
      </c>
      <c r="DG163" t="s">
        <v>867</v>
      </c>
      <c r="DH163" t="s">
        <v>851</v>
      </c>
      <c r="DL163" t="s">
        <v>869</v>
      </c>
      <c r="DM163">
        <v>0</v>
      </c>
      <c r="DN163">
        <v>0</v>
      </c>
      <c r="DO163">
        <v>3</v>
      </c>
      <c r="DP163" t="s">
        <v>919</v>
      </c>
      <c r="DQ163">
        <v>16</v>
      </c>
      <c r="DR163">
        <v>456</v>
      </c>
      <c r="DS163">
        <v>456</v>
      </c>
      <c r="DT163">
        <v>6.5332999999999997</v>
      </c>
      <c r="DU163">
        <v>4</v>
      </c>
      <c r="DW163">
        <v>2</v>
      </c>
      <c r="DX163" t="s">
        <v>596</v>
      </c>
      <c r="DY163" t="s">
        <v>939</v>
      </c>
      <c r="DZ163">
        <v>1</v>
      </c>
      <c r="EA163">
        <v>1</v>
      </c>
      <c r="EB163">
        <v>1</v>
      </c>
      <c r="EC163">
        <v>0</v>
      </c>
      <c r="ED163">
        <v>0</v>
      </c>
      <c r="EE163">
        <v>1</v>
      </c>
      <c r="EF163" t="s">
        <v>871</v>
      </c>
      <c r="EG163" t="s">
        <v>595</v>
      </c>
      <c r="EH163" t="s">
        <v>921</v>
      </c>
      <c r="EI163" t="s">
        <v>921</v>
      </c>
      <c r="EJ163" t="s">
        <v>178</v>
      </c>
      <c r="EK163">
        <v>9090</v>
      </c>
      <c r="EL163">
        <v>0</v>
      </c>
      <c r="EM163" t="s">
        <v>952</v>
      </c>
      <c r="EN163">
        <v>1.1499999999999999</v>
      </c>
      <c r="EO163">
        <v>7.6</v>
      </c>
      <c r="EP163">
        <v>99991120</v>
      </c>
      <c r="EQ163" t="s">
        <v>874</v>
      </c>
      <c r="ER163" t="s">
        <v>875</v>
      </c>
      <c r="ES163" t="s">
        <v>876</v>
      </c>
      <c r="ET163" t="s">
        <v>877</v>
      </c>
      <c r="EU163" t="s">
        <v>877</v>
      </c>
      <c r="EV163" t="s">
        <v>871</v>
      </c>
      <c r="EX163" t="s">
        <v>953</v>
      </c>
      <c r="EY163" t="s">
        <v>954</v>
      </c>
      <c r="EZ163" t="s">
        <v>955</v>
      </c>
      <c r="FA163" t="s">
        <v>956</v>
      </c>
      <c r="FB163">
        <v>1</v>
      </c>
      <c r="FC163">
        <v>1</v>
      </c>
      <c r="FD163" s="41">
        <v>45920</v>
      </c>
      <c r="FE163" t="s">
        <v>880</v>
      </c>
      <c r="FF163">
        <v>7</v>
      </c>
      <c r="FG163" t="s">
        <v>4282</v>
      </c>
      <c r="FH163" t="s">
        <v>4283</v>
      </c>
      <c r="FI163">
        <v>1</v>
      </c>
      <c r="FJ163" t="s">
        <v>4284</v>
      </c>
      <c r="FK163" t="s">
        <v>4283</v>
      </c>
      <c r="FL163">
        <v>1</v>
      </c>
      <c r="FM163" t="s">
        <v>4285</v>
      </c>
      <c r="FN163" t="s">
        <v>4286</v>
      </c>
      <c r="FO163">
        <v>1</v>
      </c>
      <c r="FP163" t="s">
        <v>4287</v>
      </c>
      <c r="FQ163" t="s">
        <v>4288</v>
      </c>
      <c r="FR163">
        <v>1</v>
      </c>
      <c r="FS163" t="s">
        <v>3249</v>
      </c>
      <c r="FT163" t="s">
        <v>4289</v>
      </c>
      <c r="FU163">
        <v>1</v>
      </c>
      <c r="FV163" t="s">
        <v>4290</v>
      </c>
      <c r="FW163" t="s">
        <v>4291</v>
      </c>
      <c r="FX163">
        <v>1</v>
      </c>
      <c r="FY163" t="s">
        <v>890</v>
      </c>
      <c r="FZ163" t="s">
        <v>4292</v>
      </c>
      <c r="GA163" t="s">
        <v>4284</v>
      </c>
      <c r="GB163">
        <v>1</v>
      </c>
      <c r="GD163">
        <v>0</v>
      </c>
      <c r="GF163">
        <v>0</v>
      </c>
      <c r="GG163">
        <v>1</v>
      </c>
      <c r="GH163" t="s">
        <v>892</v>
      </c>
      <c r="GI163" t="s">
        <v>893</v>
      </c>
      <c r="GJ163" t="s">
        <v>4283</v>
      </c>
      <c r="GM163">
        <v>1</v>
      </c>
      <c r="GN163">
        <v>1</v>
      </c>
      <c r="GO163">
        <v>0</v>
      </c>
      <c r="GP163">
        <v>1</v>
      </c>
      <c r="GQ163">
        <v>1</v>
      </c>
      <c r="GR163">
        <v>0</v>
      </c>
      <c r="GS163">
        <v>1</v>
      </c>
      <c r="GT163">
        <v>0</v>
      </c>
      <c r="GU163">
        <v>1</v>
      </c>
      <c r="GV163">
        <v>0</v>
      </c>
      <c r="GW163">
        <v>1</v>
      </c>
      <c r="GX163">
        <v>0</v>
      </c>
      <c r="GY163">
        <v>1</v>
      </c>
      <c r="GZ163">
        <v>0</v>
      </c>
      <c r="HA163" t="s">
        <v>297</v>
      </c>
      <c r="HB163" t="s">
        <v>894</v>
      </c>
      <c r="HC163" t="s">
        <v>935</v>
      </c>
      <c r="HD163" t="s">
        <v>845</v>
      </c>
      <c r="HE163" t="s">
        <v>900</v>
      </c>
      <c r="HF163" t="s">
        <v>923</v>
      </c>
      <c r="HG163" t="s">
        <v>894</v>
      </c>
      <c r="HH163" t="s">
        <v>935</v>
      </c>
      <c r="HI163" t="s">
        <v>845</v>
      </c>
      <c r="HJ163" t="s">
        <v>900</v>
      </c>
      <c r="HK163" t="s">
        <v>952</v>
      </c>
      <c r="HL163" t="s">
        <v>202</v>
      </c>
      <c r="HM163" t="s">
        <v>854</v>
      </c>
      <c r="HN163">
        <v>36805</v>
      </c>
      <c r="HP163" t="s">
        <v>178</v>
      </c>
      <c r="HQ163" t="s">
        <v>896</v>
      </c>
      <c r="HR163" t="s">
        <v>896</v>
      </c>
      <c r="HS163" t="s">
        <v>896</v>
      </c>
    </row>
    <row r="164" spans="1:227" x14ac:dyDescent="0.2">
      <c r="A164">
        <v>8702</v>
      </c>
      <c r="B164">
        <v>7530404073</v>
      </c>
      <c r="C164">
        <v>34</v>
      </c>
      <c r="D164" t="s">
        <v>996</v>
      </c>
      <c r="E164" t="s">
        <v>897</v>
      </c>
      <c r="F164">
        <v>0</v>
      </c>
      <c r="G164" t="s">
        <v>4293</v>
      </c>
      <c r="H164" t="s">
        <v>4293</v>
      </c>
      <c r="I164">
        <v>0</v>
      </c>
      <c r="J164" t="s">
        <v>833</v>
      </c>
      <c r="K164" t="s">
        <v>834</v>
      </c>
      <c r="L164">
        <v>153402711</v>
      </c>
      <c r="M164" t="s">
        <v>4294</v>
      </c>
      <c r="N164" t="s">
        <v>900</v>
      </c>
      <c r="O164" t="s">
        <v>837</v>
      </c>
      <c r="P164" t="s">
        <v>999</v>
      </c>
      <c r="Q164" t="s">
        <v>1027</v>
      </c>
      <c r="R164" t="s">
        <v>4295</v>
      </c>
      <c r="S164" t="s">
        <v>4296</v>
      </c>
      <c r="T164">
        <v>41477121725</v>
      </c>
      <c r="V164" t="s">
        <v>1003</v>
      </c>
      <c r="W164" s="41">
        <v>45966</v>
      </c>
      <c r="X164" t="s">
        <v>4297</v>
      </c>
      <c r="Y164" t="s">
        <v>4298</v>
      </c>
      <c r="AA164">
        <v>0</v>
      </c>
      <c r="AB164" t="s">
        <v>845</v>
      </c>
      <c r="AC164" t="s">
        <v>846</v>
      </c>
      <c r="AD164" t="s">
        <v>847</v>
      </c>
      <c r="AE164" t="s">
        <v>848</v>
      </c>
      <c r="AF164">
        <v>1</v>
      </c>
      <c r="AG164">
        <v>452210</v>
      </c>
      <c r="AH164" t="s">
        <v>849</v>
      </c>
      <c r="AI164" t="s">
        <v>850</v>
      </c>
      <c r="AJ164" t="s">
        <v>851</v>
      </c>
      <c r="AK164" t="s">
        <v>342</v>
      </c>
      <c r="AL164" t="s">
        <v>1006</v>
      </c>
      <c r="AM164" t="s">
        <v>1007</v>
      </c>
      <c r="AN164" t="s">
        <v>854</v>
      </c>
      <c r="AO164">
        <v>36805</v>
      </c>
      <c r="AP164">
        <v>536</v>
      </c>
      <c r="AQ164" t="s">
        <v>855</v>
      </c>
      <c r="AR164">
        <v>66188816</v>
      </c>
      <c r="AS164" t="s">
        <v>856</v>
      </c>
      <c r="AU164" t="s">
        <v>4299</v>
      </c>
      <c r="AV164" t="s">
        <v>4300</v>
      </c>
      <c r="AX164" t="s">
        <v>913</v>
      </c>
      <c r="AY164" t="s">
        <v>861</v>
      </c>
      <c r="AZ164" t="s">
        <v>342</v>
      </c>
      <c r="BA164" t="s">
        <v>343</v>
      </c>
      <c r="BB164">
        <v>0</v>
      </c>
      <c r="BC164">
        <v>1</v>
      </c>
      <c r="BD164">
        <v>0</v>
      </c>
      <c r="BE164" t="s">
        <v>4294</v>
      </c>
      <c r="BF164">
        <v>0</v>
      </c>
      <c r="BG164">
        <v>0</v>
      </c>
      <c r="BH164" t="s">
        <v>862</v>
      </c>
      <c r="BI164">
        <v>0</v>
      </c>
      <c r="BJ164" t="s">
        <v>862</v>
      </c>
      <c r="BK164">
        <v>1</v>
      </c>
      <c r="BL164">
        <v>1</v>
      </c>
      <c r="BM164">
        <v>0</v>
      </c>
      <c r="BN164" t="s">
        <v>596</v>
      </c>
      <c r="BO164">
        <v>153402711</v>
      </c>
      <c r="BP164" t="s">
        <v>4293</v>
      </c>
      <c r="BQ164">
        <v>39.163312500000004</v>
      </c>
      <c r="BR164">
        <v>42791478</v>
      </c>
      <c r="BS164">
        <v>-86.496242499999994</v>
      </c>
      <c r="BT164">
        <v>0</v>
      </c>
      <c r="CM164">
        <v>4010</v>
      </c>
      <c r="CO164">
        <v>7360</v>
      </c>
      <c r="CP164">
        <v>0.73329999999999995</v>
      </c>
      <c r="CQ164">
        <v>0.73329999999999995</v>
      </c>
      <c r="CR164">
        <v>1.5667</v>
      </c>
      <c r="CS164">
        <v>0</v>
      </c>
      <c r="CT164" t="s">
        <v>4300</v>
      </c>
      <c r="CU164" t="s">
        <v>4299</v>
      </c>
      <c r="CV164" t="s">
        <v>833</v>
      </c>
      <c r="CW164" t="s">
        <v>834</v>
      </c>
      <c r="CX164" t="s">
        <v>4294</v>
      </c>
      <c r="CY164">
        <v>1</v>
      </c>
      <c r="CZ164">
        <v>1</v>
      </c>
      <c r="DA164" t="s">
        <v>833</v>
      </c>
      <c r="DB164" t="s">
        <v>865</v>
      </c>
      <c r="DC164">
        <v>47401</v>
      </c>
      <c r="DD164">
        <v>57.633299999999998</v>
      </c>
      <c r="DE164" t="s">
        <v>866</v>
      </c>
      <c r="DG164" t="s">
        <v>867</v>
      </c>
      <c r="DH164" t="s">
        <v>851</v>
      </c>
      <c r="DI164" t="s">
        <v>1154</v>
      </c>
      <c r="DL164" t="s">
        <v>869</v>
      </c>
      <c r="DM164">
        <v>0</v>
      </c>
      <c r="DN164">
        <v>0</v>
      </c>
      <c r="DO164">
        <v>11</v>
      </c>
      <c r="DP164" t="s">
        <v>1010</v>
      </c>
      <c r="DQ164">
        <v>12</v>
      </c>
      <c r="DR164">
        <v>3458</v>
      </c>
      <c r="DS164">
        <v>7058</v>
      </c>
      <c r="DT164">
        <v>5.8167</v>
      </c>
      <c r="DU164">
        <v>4</v>
      </c>
      <c r="DW164">
        <v>1</v>
      </c>
      <c r="DX164" t="s">
        <v>596</v>
      </c>
      <c r="DY164" t="s">
        <v>4294</v>
      </c>
      <c r="DZ164">
        <v>0</v>
      </c>
      <c r="EA164">
        <v>0</v>
      </c>
      <c r="EB164">
        <v>1</v>
      </c>
      <c r="EC164">
        <v>0</v>
      </c>
      <c r="ED164">
        <v>0</v>
      </c>
      <c r="EE164">
        <v>1</v>
      </c>
      <c r="EF164" t="s">
        <v>871</v>
      </c>
      <c r="EG164" t="s">
        <v>595</v>
      </c>
      <c r="EH164" t="s">
        <v>1036</v>
      </c>
      <c r="EI164" t="s">
        <v>1036</v>
      </c>
      <c r="EJ164" t="s">
        <v>134</v>
      </c>
      <c r="EK164">
        <v>9090</v>
      </c>
      <c r="EL164">
        <v>1</v>
      </c>
      <c r="EM164" t="s">
        <v>1011</v>
      </c>
      <c r="EN164">
        <v>1.5667</v>
      </c>
      <c r="EO164">
        <v>117.6333333</v>
      </c>
      <c r="EP164">
        <v>99991120</v>
      </c>
      <c r="EQ164" t="s">
        <v>874</v>
      </c>
      <c r="ER164" t="s">
        <v>875</v>
      </c>
      <c r="ES164" t="s">
        <v>876</v>
      </c>
      <c r="ET164" t="s">
        <v>877</v>
      </c>
      <c r="EU164" t="s">
        <v>877</v>
      </c>
      <c r="EV164" t="s">
        <v>871</v>
      </c>
      <c r="EX164" t="s">
        <v>953</v>
      </c>
      <c r="EY164" t="s">
        <v>1555</v>
      </c>
      <c r="EZ164" t="s">
        <v>1013</v>
      </c>
      <c r="FA164" t="s">
        <v>925</v>
      </c>
      <c r="FB164">
        <v>1</v>
      </c>
      <c r="FC164">
        <v>2</v>
      </c>
      <c r="FD164" s="41">
        <v>45969</v>
      </c>
      <c r="FE164" t="s">
        <v>1438</v>
      </c>
      <c r="FF164">
        <v>10</v>
      </c>
      <c r="FG164" t="s">
        <v>2872</v>
      </c>
      <c r="FH164" t="s">
        <v>4301</v>
      </c>
      <c r="FI164">
        <v>1</v>
      </c>
      <c r="FJ164" t="s">
        <v>4302</v>
      </c>
      <c r="FK164" t="s">
        <v>4303</v>
      </c>
      <c r="FL164">
        <v>1</v>
      </c>
      <c r="FM164" t="s">
        <v>4304</v>
      </c>
      <c r="FN164" t="s">
        <v>4305</v>
      </c>
      <c r="FO164">
        <v>1</v>
      </c>
      <c r="FP164" t="s">
        <v>4306</v>
      </c>
      <c r="FQ164" t="s">
        <v>4299</v>
      </c>
      <c r="FR164">
        <v>1</v>
      </c>
      <c r="FS164" t="s">
        <v>1984</v>
      </c>
      <c r="FT164" t="s">
        <v>4307</v>
      </c>
      <c r="FU164">
        <v>1</v>
      </c>
      <c r="FV164" t="s">
        <v>1986</v>
      </c>
      <c r="FW164" t="s">
        <v>4308</v>
      </c>
      <c r="FX164">
        <v>1</v>
      </c>
      <c r="FY164" t="s">
        <v>890</v>
      </c>
      <c r="FZ164" t="s">
        <v>4309</v>
      </c>
      <c r="GA164" t="s">
        <v>4302</v>
      </c>
      <c r="GB164">
        <v>1</v>
      </c>
      <c r="GD164">
        <v>0</v>
      </c>
      <c r="GF164">
        <v>0</v>
      </c>
      <c r="GG164">
        <v>1</v>
      </c>
      <c r="GH164" t="s">
        <v>892</v>
      </c>
      <c r="GI164" t="s">
        <v>893</v>
      </c>
      <c r="GJ164" t="s">
        <v>4303</v>
      </c>
      <c r="GM164">
        <v>1</v>
      </c>
      <c r="GN164">
        <v>0</v>
      </c>
      <c r="GO164">
        <v>0</v>
      </c>
      <c r="GP164">
        <v>1</v>
      </c>
      <c r="GQ164">
        <v>1</v>
      </c>
      <c r="GR164">
        <v>0</v>
      </c>
      <c r="GS164">
        <v>1</v>
      </c>
      <c r="GT164">
        <v>0</v>
      </c>
      <c r="GU164">
        <v>1</v>
      </c>
      <c r="GV164">
        <v>0</v>
      </c>
      <c r="GW164">
        <v>1</v>
      </c>
      <c r="GX164">
        <v>0</v>
      </c>
      <c r="GY164">
        <v>1</v>
      </c>
      <c r="GZ164">
        <v>0</v>
      </c>
      <c r="HA164" t="s">
        <v>342</v>
      </c>
      <c r="HB164" t="s">
        <v>894</v>
      </c>
      <c r="HC164" t="s">
        <v>935</v>
      </c>
      <c r="HD164" t="s">
        <v>845</v>
      </c>
      <c r="HE164" t="s">
        <v>900</v>
      </c>
      <c r="HF164" t="s">
        <v>1012</v>
      </c>
      <c r="HG164" t="s">
        <v>894</v>
      </c>
      <c r="HH164" t="s">
        <v>935</v>
      </c>
      <c r="HI164" t="s">
        <v>845</v>
      </c>
      <c r="HJ164" t="s">
        <v>900</v>
      </c>
      <c r="HK164" t="s">
        <v>1011</v>
      </c>
      <c r="HL164" t="s">
        <v>1003</v>
      </c>
      <c r="HM164" t="s">
        <v>854</v>
      </c>
      <c r="HN164">
        <v>36805</v>
      </c>
      <c r="HP164" t="s">
        <v>134</v>
      </c>
      <c r="HQ164" t="s">
        <v>896</v>
      </c>
      <c r="HR164" t="s">
        <v>896</v>
      </c>
      <c r="HS164" t="s">
        <v>896</v>
      </c>
    </row>
    <row r="165" spans="1:227" x14ac:dyDescent="0.2">
      <c r="A165">
        <v>8702</v>
      </c>
      <c r="B165">
        <v>7611512328</v>
      </c>
      <c r="C165">
        <v>82</v>
      </c>
      <c r="D165" t="s">
        <v>969</v>
      </c>
      <c r="E165" t="s">
        <v>897</v>
      </c>
      <c r="F165">
        <v>3</v>
      </c>
      <c r="G165" t="s">
        <v>4310</v>
      </c>
      <c r="H165" t="s">
        <v>4310</v>
      </c>
      <c r="I165">
        <v>0</v>
      </c>
      <c r="J165" t="s">
        <v>833</v>
      </c>
      <c r="K165" t="s">
        <v>834</v>
      </c>
      <c r="L165">
        <v>153402680</v>
      </c>
      <c r="M165" t="s">
        <v>1136</v>
      </c>
      <c r="N165" t="s">
        <v>900</v>
      </c>
      <c r="O165" t="s">
        <v>837</v>
      </c>
      <c r="P165" t="s">
        <v>4311</v>
      </c>
      <c r="Q165" t="s">
        <v>4312</v>
      </c>
      <c r="R165" t="s">
        <v>4313</v>
      </c>
      <c r="S165" t="s">
        <v>4314</v>
      </c>
      <c r="T165">
        <v>41477127063</v>
      </c>
      <c r="V165" t="s">
        <v>1141</v>
      </c>
      <c r="W165" s="41">
        <v>46140</v>
      </c>
      <c r="X165" t="s">
        <v>4315</v>
      </c>
      <c r="Y165" t="s">
        <v>4316</v>
      </c>
      <c r="AA165">
        <v>0</v>
      </c>
      <c r="AB165" t="s">
        <v>845</v>
      </c>
      <c r="AC165" t="s">
        <v>846</v>
      </c>
      <c r="AD165" t="s">
        <v>1113</v>
      </c>
      <c r="AE165" t="s">
        <v>1114</v>
      </c>
      <c r="AF165">
        <v>1</v>
      </c>
      <c r="AG165">
        <v>452210</v>
      </c>
      <c r="AH165" t="s">
        <v>849</v>
      </c>
      <c r="AI165" t="s">
        <v>850</v>
      </c>
      <c r="AJ165" t="s">
        <v>851</v>
      </c>
      <c r="AK165" t="s">
        <v>336</v>
      </c>
      <c r="AL165" t="s">
        <v>4317</v>
      </c>
      <c r="AM165" t="s">
        <v>1146</v>
      </c>
      <c r="AN165" t="s">
        <v>854</v>
      </c>
      <c r="AO165">
        <v>36805</v>
      </c>
      <c r="AP165">
        <v>926</v>
      </c>
      <c r="AQ165" t="s">
        <v>855</v>
      </c>
      <c r="AR165">
        <v>66439467</v>
      </c>
      <c r="AS165" t="s">
        <v>856</v>
      </c>
      <c r="AU165" t="s">
        <v>4318</v>
      </c>
      <c r="AV165" t="s">
        <v>4319</v>
      </c>
      <c r="AX165" t="s">
        <v>913</v>
      </c>
      <c r="AY165" t="s">
        <v>861</v>
      </c>
      <c r="AZ165" t="s">
        <v>336</v>
      </c>
      <c r="BA165" t="s">
        <v>337</v>
      </c>
      <c r="BB165">
        <v>1</v>
      </c>
      <c r="BC165">
        <v>0</v>
      </c>
      <c r="BD165">
        <v>0</v>
      </c>
      <c r="BE165" t="s">
        <v>1136</v>
      </c>
      <c r="BF165">
        <v>0</v>
      </c>
      <c r="BG165">
        <v>0</v>
      </c>
      <c r="BH165" t="s">
        <v>862</v>
      </c>
      <c r="BI165">
        <v>0</v>
      </c>
      <c r="BJ165" t="s">
        <v>862</v>
      </c>
      <c r="BK165">
        <v>1</v>
      </c>
      <c r="BL165">
        <v>1</v>
      </c>
      <c r="BM165">
        <v>0</v>
      </c>
      <c r="BN165" t="s">
        <v>596</v>
      </c>
      <c r="BO165">
        <v>153402680</v>
      </c>
      <c r="BP165" t="s">
        <v>4310</v>
      </c>
      <c r="BQ165">
        <v>40.143993500000001</v>
      </c>
      <c r="BR165">
        <v>42793651</v>
      </c>
      <c r="BS165">
        <v>-82.958858899999996</v>
      </c>
      <c r="BT165">
        <v>0</v>
      </c>
      <c r="BU165" t="s">
        <v>1119</v>
      </c>
      <c r="BY165">
        <v>12</v>
      </c>
      <c r="CA165">
        <v>38</v>
      </c>
      <c r="CE165">
        <v>0</v>
      </c>
      <c r="CI165">
        <v>11</v>
      </c>
      <c r="CJ165" t="s">
        <v>94</v>
      </c>
      <c r="CM165">
        <v>4010</v>
      </c>
      <c r="CO165">
        <v>7360</v>
      </c>
      <c r="CP165">
        <v>2.4500000000000002</v>
      </c>
      <c r="CQ165">
        <v>2.4500000000000002</v>
      </c>
      <c r="CR165">
        <v>0.95</v>
      </c>
      <c r="CS165">
        <v>37</v>
      </c>
      <c r="CT165" t="s">
        <v>4320</v>
      </c>
      <c r="CU165" t="s">
        <v>4321</v>
      </c>
      <c r="CV165" t="s">
        <v>833</v>
      </c>
      <c r="CW165" t="s">
        <v>834</v>
      </c>
      <c r="CX165" t="s">
        <v>1136</v>
      </c>
      <c r="CY165">
        <v>1</v>
      </c>
      <c r="CZ165">
        <v>1</v>
      </c>
      <c r="DA165" t="s">
        <v>833</v>
      </c>
      <c r="DB165" t="s">
        <v>865</v>
      </c>
      <c r="DC165">
        <v>43240</v>
      </c>
      <c r="DD165">
        <v>38.216700000000003</v>
      </c>
      <c r="DE165" t="s">
        <v>866</v>
      </c>
      <c r="DG165" t="s">
        <v>867</v>
      </c>
      <c r="DH165" t="s">
        <v>851</v>
      </c>
      <c r="DI165" t="s">
        <v>1154</v>
      </c>
      <c r="DK165" t="s">
        <v>918</v>
      </c>
      <c r="DL165" t="s">
        <v>869</v>
      </c>
      <c r="DM165">
        <v>0</v>
      </c>
      <c r="DN165">
        <v>0</v>
      </c>
      <c r="DO165">
        <v>11</v>
      </c>
      <c r="DP165" t="s">
        <v>1010</v>
      </c>
      <c r="DQ165">
        <v>0</v>
      </c>
      <c r="DR165">
        <v>2293</v>
      </c>
      <c r="DS165">
        <v>4453</v>
      </c>
      <c r="DT165">
        <v>35.7667</v>
      </c>
      <c r="DU165">
        <v>0</v>
      </c>
      <c r="DV165">
        <v>1</v>
      </c>
      <c r="DW165">
        <v>1</v>
      </c>
      <c r="DX165" t="s">
        <v>596</v>
      </c>
      <c r="DY165" t="s">
        <v>1136</v>
      </c>
      <c r="DZ165">
        <v>1</v>
      </c>
      <c r="EA165">
        <v>1</v>
      </c>
      <c r="EB165">
        <v>1</v>
      </c>
      <c r="EC165">
        <v>1</v>
      </c>
      <c r="ED165">
        <v>1</v>
      </c>
      <c r="EE165">
        <v>1</v>
      </c>
      <c r="EF165" t="s">
        <v>920</v>
      </c>
      <c r="EG165" t="s">
        <v>595</v>
      </c>
      <c r="EH165" t="s">
        <v>1036</v>
      </c>
      <c r="EI165" t="s">
        <v>1036</v>
      </c>
      <c r="EJ165" t="s">
        <v>226</v>
      </c>
      <c r="EK165">
        <v>9090</v>
      </c>
      <c r="EL165">
        <v>0</v>
      </c>
      <c r="EM165" t="s">
        <v>1157</v>
      </c>
      <c r="EN165">
        <v>0.95</v>
      </c>
      <c r="EO165">
        <v>74.216666700000005</v>
      </c>
      <c r="EP165">
        <v>99991120</v>
      </c>
      <c r="EQ165" t="s">
        <v>874</v>
      </c>
      <c r="ER165" t="s">
        <v>875</v>
      </c>
      <c r="ES165" t="s">
        <v>876</v>
      </c>
      <c r="ET165" t="s">
        <v>877</v>
      </c>
      <c r="EU165" t="s">
        <v>877</v>
      </c>
      <c r="EV165" t="s">
        <v>920</v>
      </c>
      <c r="EX165" t="s">
        <v>953</v>
      </c>
      <c r="EY165" t="s">
        <v>986</v>
      </c>
      <c r="EZ165" t="s">
        <v>1158</v>
      </c>
      <c r="FA165" t="s">
        <v>925</v>
      </c>
      <c r="FB165">
        <v>1</v>
      </c>
      <c r="FC165">
        <v>1</v>
      </c>
      <c r="FD165" s="41">
        <v>46144</v>
      </c>
      <c r="FE165" t="s">
        <v>1123</v>
      </c>
      <c r="FF165">
        <v>16</v>
      </c>
      <c r="FG165" t="s">
        <v>4322</v>
      </c>
      <c r="FH165" t="s">
        <v>4323</v>
      </c>
      <c r="FI165">
        <v>1</v>
      </c>
      <c r="FJ165" t="s">
        <v>4324</v>
      </c>
      <c r="FK165" t="s">
        <v>4323</v>
      </c>
      <c r="FL165">
        <v>1</v>
      </c>
      <c r="FM165" t="s">
        <v>4325</v>
      </c>
      <c r="FN165" t="s">
        <v>4326</v>
      </c>
      <c r="FO165">
        <v>1</v>
      </c>
      <c r="FP165" t="s">
        <v>4327</v>
      </c>
      <c r="FQ165" t="s">
        <v>4321</v>
      </c>
      <c r="FR165">
        <v>1</v>
      </c>
      <c r="FS165" t="s">
        <v>4328</v>
      </c>
      <c r="FT165" t="s">
        <v>4329</v>
      </c>
      <c r="FU165">
        <v>1</v>
      </c>
      <c r="FV165" t="s">
        <v>4330</v>
      </c>
      <c r="FW165" t="s">
        <v>4331</v>
      </c>
      <c r="FX165">
        <v>1</v>
      </c>
      <c r="FY165" t="s">
        <v>890</v>
      </c>
      <c r="FZ165" t="s">
        <v>4332</v>
      </c>
      <c r="GA165" t="s">
        <v>4324</v>
      </c>
      <c r="GB165">
        <v>1</v>
      </c>
      <c r="GD165">
        <v>0</v>
      </c>
      <c r="GF165">
        <v>0</v>
      </c>
      <c r="GG165">
        <v>1</v>
      </c>
      <c r="GH165" t="s">
        <v>892</v>
      </c>
      <c r="GI165" t="s">
        <v>893</v>
      </c>
      <c r="GJ165" t="s">
        <v>4323</v>
      </c>
      <c r="GM165">
        <v>1</v>
      </c>
      <c r="GN165">
        <v>1</v>
      </c>
      <c r="GO165">
        <v>0</v>
      </c>
      <c r="GP165">
        <v>1</v>
      </c>
      <c r="GQ165">
        <v>1</v>
      </c>
      <c r="GR165">
        <v>0</v>
      </c>
      <c r="GS165">
        <v>1</v>
      </c>
      <c r="GT165">
        <v>0</v>
      </c>
      <c r="GU165">
        <v>1</v>
      </c>
      <c r="GV165">
        <v>0</v>
      </c>
      <c r="GW165">
        <v>1</v>
      </c>
      <c r="GX165">
        <v>0</v>
      </c>
      <c r="GY165">
        <v>1</v>
      </c>
      <c r="GZ165">
        <v>0</v>
      </c>
      <c r="HA165" t="s">
        <v>336</v>
      </c>
      <c r="HB165" t="s">
        <v>894</v>
      </c>
      <c r="HC165" t="s">
        <v>935</v>
      </c>
      <c r="HD165" t="s">
        <v>845</v>
      </c>
      <c r="HE165" t="s">
        <v>900</v>
      </c>
      <c r="HF165" t="s">
        <v>923</v>
      </c>
      <c r="HG165" t="s">
        <v>894</v>
      </c>
      <c r="HH165" t="s">
        <v>935</v>
      </c>
      <c r="HI165" t="s">
        <v>845</v>
      </c>
      <c r="HJ165" t="s">
        <v>900</v>
      </c>
      <c r="HK165" t="s">
        <v>922</v>
      </c>
      <c r="HL165" t="s">
        <v>1141</v>
      </c>
      <c r="HM165" t="s">
        <v>854</v>
      </c>
      <c r="HN165">
        <v>36805</v>
      </c>
      <c r="HP165" t="s">
        <v>226</v>
      </c>
      <c r="HQ165" t="s">
        <v>896</v>
      </c>
      <c r="HR165" t="s">
        <v>896</v>
      </c>
      <c r="HS165" t="s">
        <v>896</v>
      </c>
    </row>
    <row r="166" spans="1:227" x14ac:dyDescent="0.2">
      <c r="A166">
        <v>8702</v>
      </c>
      <c r="B166">
        <v>7610011553</v>
      </c>
      <c r="C166" t="s">
        <v>936</v>
      </c>
      <c r="D166" t="s">
        <v>937</v>
      </c>
      <c r="E166" t="s">
        <v>897</v>
      </c>
      <c r="F166">
        <v>0</v>
      </c>
      <c r="G166" t="s">
        <v>4333</v>
      </c>
      <c r="H166" t="s">
        <v>4333</v>
      </c>
      <c r="I166">
        <v>0</v>
      </c>
      <c r="J166" t="s">
        <v>833</v>
      </c>
      <c r="K166" t="s">
        <v>834</v>
      </c>
      <c r="L166">
        <v>152949062</v>
      </c>
      <c r="M166" t="s">
        <v>1613</v>
      </c>
      <c r="N166" t="s">
        <v>900</v>
      </c>
      <c r="O166" t="s">
        <v>837</v>
      </c>
      <c r="P166" t="s">
        <v>940</v>
      </c>
      <c r="Q166" t="s">
        <v>4334</v>
      </c>
      <c r="R166" t="s">
        <v>4335</v>
      </c>
      <c r="S166" t="s">
        <v>4336</v>
      </c>
      <c r="T166">
        <v>41477123089</v>
      </c>
      <c r="V166" t="s">
        <v>198</v>
      </c>
      <c r="W166" s="41">
        <v>46122</v>
      </c>
      <c r="X166" t="s">
        <v>4337</v>
      </c>
      <c r="Y166" t="s">
        <v>4338</v>
      </c>
      <c r="AA166">
        <v>0</v>
      </c>
      <c r="AB166" t="s">
        <v>845</v>
      </c>
      <c r="AC166" t="s">
        <v>846</v>
      </c>
      <c r="AD166" t="s">
        <v>1113</v>
      </c>
      <c r="AE166" t="s">
        <v>1114</v>
      </c>
      <c r="AF166">
        <v>1</v>
      </c>
      <c r="AG166">
        <v>452210</v>
      </c>
      <c r="AH166" t="s">
        <v>849</v>
      </c>
      <c r="AI166" t="s">
        <v>850</v>
      </c>
      <c r="AJ166" t="s">
        <v>851</v>
      </c>
      <c r="AK166" t="s">
        <v>365</v>
      </c>
      <c r="AL166" t="s">
        <v>1777</v>
      </c>
      <c r="AM166" t="s">
        <v>1619</v>
      </c>
      <c r="AN166" t="s">
        <v>854</v>
      </c>
      <c r="AO166">
        <v>36805</v>
      </c>
      <c r="AP166">
        <v>640</v>
      </c>
      <c r="AQ166" t="s">
        <v>855</v>
      </c>
      <c r="AR166">
        <v>66413982</v>
      </c>
      <c r="AS166" t="s">
        <v>856</v>
      </c>
      <c r="AU166" t="s">
        <v>4339</v>
      </c>
      <c r="AV166" t="s">
        <v>4340</v>
      </c>
      <c r="AW166" t="s">
        <v>1149</v>
      </c>
      <c r="AX166" t="s">
        <v>1150</v>
      </c>
      <c r="AY166" t="s">
        <v>861</v>
      </c>
      <c r="AZ166" t="s">
        <v>365</v>
      </c>
      <c r="BA166" t="s">
        <v>366</v>
      </c>
      <c r="BB166">
        <v>0</v>
      </c>
      <c r="BC166">
        <v>0</v>
      </c>
      <c r="BD166">
        <v>0</v>
      </c>
      <c r="BE166" t="s">
        <v>1613</v>
      </c>
      <c r="BF166">
        <v>0</v>
      </c>
      <c r="BG166">
        <v>0</v>
      </c>
      <c r="BH166" t="s">
        <v>862</v>
      </c>
      <c r="BI166">
        <v>0</v>
      </c>
      <c r="BJ166" t="s">
        <v>862</v>
      </c>
      <c r="BK166">
        <v>1</v>
      </c>
      <c r="BL166">
        <v>0</v>
      </c>
      <c r="BM166">
        <v>0</v>
      </c>
      <c r="BN166" t="s">
        <v>596</v>
      </c>
      <c r="BO166">
        <v>152949062</v>
      </c>
      <c r="BP166" t="s">
        <v>4333</v>
      </c>
      <c r="BR166">
        <v>42791772</v>
      </c>
      <c r="BT166">
        <v>2</v>
      </c>
      <c r="BU166" t="s">
        <v>1119</v>
      </c>
      <c r="BY166">
        <v>12</v>
      </c>
      <c r="CA166">
        <v>9</v>
      </c>
      <c r="CE166">
        <v>1</v>
      </c>
      <c r="CI166">
        <v>11</v>
      </c>
      <c r="CJ166" t="s">
        <v>94</v>
      </c>
      <c r="CM166">
        <v>4010</v>
      </c>
      <c r="CO166">
        <v>7360</v>
      </c>
      <c r="CP166">
        <v>0.4667</v>
      </c>
      <c r="CQ166">
        <v>0.4667</v>
      </c>
      <c r="CR166">
        <v>0.91669999999999996</v>
      </c>
      <c r="CS166">
        <v>3</v>
      </c>
      <c r="CT166" t="s">
        <v>4340</v>
      </c>
      <c r="CU166" t="s">
        <v>4339</v>
      </c>
      <c r="CV166" t="s">
        <v>833</v>
      </c>
      <c r="CW166" t="s">
        <v>834</v>
      </c>
      <c r="CX166" t="s">
        <v>1613</v>
      </c>
      <c r="CY166">
        <v>0</v>
      </c>
      <c r="CZ166">
        <v>0</v>
      </c>
      <c r="DA166" t="s">
        <v>833</v>
      </c>
      <c r="DB166" t="s">
        <v>865</v>
      </c>
      <c r="DC166">
        <v>48823</v>
      </c>
      <c r="DD166">
        <v>8.5832999999999995</v>
      </c>
      <c r="DE166" t="s">
        <v>866</v>
      </c>
      <c r="DG166" t="s">
        <v>867</v>
      </c>
      <c r="DH166" t="s">
        <v>851</v>
      </c>
      <c r="DI166" t="s">
        <v>1624</v>
      </c>
      <c r="DK166" t="s">
        <v>918</v>
      </c>
      <c r="DL166" t="s">
        <v>869</v>
      </c>
      <c r="DM166">
        <v>0</v>
      </c>
      <c r="DN166">
        <v>0</v>
      </c>
      <c r="DO166">
        <v>3</v>
      </c>
      <c r="DP166" t="s">
        <v>919</v>
      </c>
      <c r="DQ166">
        <v>0</v>
      </c>
      <c r="DR166">
        <v>515</v>
      </c>
      <c r="DS166">
        <v>526</v>
      </c>
      <c r="DT166">
        <v>8.3000000000000007</v>
      </c>
      <c r="DU166">
        <v>0</v>
      </c>
      <c r="DV166">
        <v>1</v>
      </c>
      <c r="DW166">
        <v>1</v>
      </c>
      <c r="DX166" t="s">
        <v>594</v>
      </c>
      <c r="DY166" t="s">
        <v>1613</v>
      </c>
      <c r="DZ166">
        <v>1</v>
      </c>
      <c r="EA166">
        <v>1</v>
      </c>
      <c r="EB166">
        <v>1</v>
      </c>
      <c r="EC166">
        <v>1</v>
      </c>
      <c r="ED166">
        <v>1</v>
      </c>
      <c r="EE166">
        <v>1</v>
      </c>
      <c r="EF166" t="s">
        <v>920</v>
      </c>
      <c r="EG166" t="s">
        <v>595</v>
      </c>
      <c r="EH166" t="s">
        <v>1695</v>
      </c>
      <c r="EI166" t="s">
        <v>1695</v>
      </c>
      <c r="EJ166" t="s">
        <v>178</v>
      </c>
      <c r="EK166">
        <v>9090</v>
      </c>
      <c r="EL166">
        <v>0</v>
      </c>
      <c r="EM166" t="s">
        <v>922</v>
      </c>
      <c r="EN166">
        <v>0.91669999999999996</v>
      </c>
      <c r="EO166">
        <v>8.7666667</v>
      </c>
      <c r="EP166">
        <v>99991120</v>
      </c>
      <c r="EQ166" t="s">
        <v>874</v>
      </c>
      <c r="ER166" t="s">
        <v>875</v>
      </c>
      <c r="ES166" t="s">
        <v>876</v>
      </c>
      <c r="ET166" t="s">
        <v>877</v>
      </c>
      <c r="EU166" t="s">
        <v>877</v>
      </c>
      <c r="EV166" t="s">
        <v>920</v>
      </c>
      <c r="EX166" t="s">
        <v>953</v>
      </c>
      <c r="EY166" t="s">
        <v>986</v>
      </c>
      <c r="EZ166" t="s">
        <v>1625</v>
      </c>
      <c r="FA166" t="s">
        <v>879</v>
      </c>
      <c r="FB166">
        <v>1</v>
      </c>
      <c r="FC166">
        <v>1</v>
      </c>
      <c r="FD166" s="41">
        <v>46123</v>
      </c>
      <c r="FE166" t="s">
        <v>1123</v>
      </c>
      <c r="FF166">
        <v>5</v>
      </c>
      <c r="FI166">
        <v>0</v>
      </c>
      <c r="FJ166" t="s">
        <v>4341</v>
      </c>
      <c r="FK166" t="s">
        <v>4342</v>
      </c>
      <c r="FL166">
        <v>1</v>
      </c>
      <c r="FM166" t="s">
        <v>4343</v>
      </c>
      <c r="FN166" t="s">
        <v>4344</v>
      </c>
      <c r="FO166">
        <v>1</v>
      </c>
      <c r="FP166" t="s">
        <v>4345</v>
      </c>
      <c r="FQ166" t="s">
        <v>4339</v>
      </c>
      <c r="FR166">
        <v>1</v>
      </c>
      <c r="FS166" t="s">
        <v>4346</v>
      </c>
      <c r="FT166" t="s">
        <v>4347</v>
      </c>
      <c r="FU166">
        <v>1</v>
      </c>
      <c r="FV166" t="s">
        <v>4348</v>
      </c>
      <c r="FW166" t="s">
        <v>4342</v>
      </c>
      <c r="FX166">
        <v>1</v>
      </c>
      <c r="FY166" t="s">
        <v>890</v>
      </c>
      <c r="FZ166" t="s">
        <v>4349</v>
      </c>
      <c r="GA166" t="s">
        <v>4341</v>
      </c>
      <c r="GB166">
        <v>1</v>
      </c>
      <c r="GD166">
        <v>0</v>
      </c>
      <c r="GF166">
        <v>0</v>
      </c>
      <c r="GG166">
        <v>1</v>
      </c>
      <c r="GH166" t="s">
        <v>892</v>
      </c>
      <c r="GI166" t="s">
        <v>893</v>
      </c>
      <c r="GJ166" t="s">
        <v>4342</v>
      </c>
      <c r="GM166">
        <v>1</v>
      </c>
      <c r="GN166">
        <v>1</v>
      </c>
      <c r="GO166">
        <v>0</v>
      </c>
      <c r="GP166">
        <v>1</v>
      </c>
      <c r="GQ166">
        <v>1</v>
      </c>
      <c r="GR166">
        <v>0</v>
      </c>
      <c r="GS166">
        <v>1</v>
      </c>
      <c r="GT166">
        <v>0</v>
      </c>
      <c r="GU166">
        <v>1</v>
      </c>
      <c r="GV166">
        <v>0</v>
      </c>
      <c r="GW166">
        <v>1</v>
      </c>
      <c r="GX166">
        <v>0</v>
      </c>
      <c r="GY166">
        <v>1</v>
      </c>
      <c r="GZ166">
        <v>0</v>
      </c>
      <c r="HA166" t="s">
        <v>365</v>
      </c>
      <c r="HB166" t="s">
        <v>894</v>
      </c>
      <c r="HC166" t="s">
        <v>935</v>
      </c>
      <c r="HD166" t="s">
        <v>845</v>
      </c>
      <c r="HE166" t="s">
        <v>900</v>
      </c>
      <c r="HF166" t="s">
        <v>923</v>
      </c>
      <c r="HG166" t="s">
        <v>894</v>
      </c>
      <c r="HH166" t="s">
        <v>935</v>
      </c>
      <c r="HI166" t="s">
        <v>845</v>
      </c>
      <c r="HJ166" t="s">
        <v>900</v>
      </c>
      <c r="HK166" t="s">
        <v>922</v>
      </c>
      <c r="HL166" t="s">
        <v>198</v>
      </c>
      <c r="HM166" t="s">
        <v>854</v>
      </c>
      <c r="HN166">
        <v>36805</v>
      </c>
      <c r="HP166" t="s">
        <v>178</v>
      </c>
      <c r="HQ166" t="s">
        <v>896</v>
      </c>
      <c r="HR166" t="s">
        <v>896</v>
      </c>
      <c r="HS166" t="s">
        <v>896</v>
      </c>
    </row>
    <row r="167" spans="1:227" ht="409.6" x14ac:dyDescent="0.2">
      <c r="A167">
        <v>8702</v>
      </c>
      <c r="B167">
        <v>7607314162</v>
      </c>
      <c r="C167">
        <v>50</v>
      </c>
      <c r="D167" t="s">
        <v>2052</v>
      </c>
      <c r="E167" t="s">
        <v>897</v>
      </c>
      <c r="F167">
        <v>0</v>
      </c>
      <c r="G167" t="s">
        <v>4350</v>
      </c>
      <c r="H167" t="s">
        <v>4350</v>
      </c>
      <c r="I167">
        <v>0</v>
      </c>
      <c r="J167" t="s">
        <v>833</v>
      </c>
      <c r="K167" t="s">
        <v>834</v>
      </c>
      <c r="L167">
        <v>153517123</v>
      </c>
      <c r="M167" t="s">
        <v>4351</v>
      </c>
      <c r="N167" t="s">
        <v>900</v>
      </c>
      <c r="O167" t="s">
        <v>837</v>
      </c>
      <c r="P167" t="s">
        <v>2052</v>
      </c>
      <c r="Q167" t="s">
        <v>2055</v>
      </c>
      <c r="R167" t="s">
        <v>4352</v>
      </c>
      <c r="S167" t="s">
        <v>4353</v>
      </c>
      <c r="T167">
        <v>41477129840</v>
      </c>
      <c r="V167" t="s">
        <v>237</v>
      </c>
      <c r="W167" s="41">
        <v>46095</v>
      </c>
      <c r="X167" t="s">
        <v>4354</v>
      </c>
      <c r="Y167" t="s">
        <v>4355</v>
      </c>
      <c r="AA167">
        <v>0</v>
      </c>
      <c r="AB167" t="s">
        <v>845</v>
      </c>
      <c r="AC167" t="s">
        <v>846</v>
      </c>
      <c r="AD167" t="s">
        <v>1113</v>
      </c>
      <c r="AE167" t="s">
        <v>1114</v>
      </c>
      <c r="AF167">
        <v>1</v>
      </c>
      <c r="AG167">
        <v>452210</v>
      </c>
      <c r="AH167" t="s">
        <v>849</v>
      </c>
      <c r="AI167" t="s">
        <v>850</v>
      </c>
      <c r="AJ167" t="s">
        <v>851</v>
      </c>
      <c r="AK167" t="s">
        <v>411</v>
      </c>
      <c r="AL167" t="s">
        <v>4356</v>
      </c>
      <c r="AM167" t="s">
        <v>4357</v>
      </c>
      <c r="AN167" t="s">
        <v>854</v>
      </c>
      <c r="AO167">
        <v>36805</v>
      </c>
      <c r="AP167">
        <v>927</v>
      </c>
      <c r="AQ167" t="s">
        <v>855</v>
      </c>
      <c r="AR167">
        <v>66374909</v>
      </c>
      <c r="AS167" t="s">
        <v>856</v>
      </c>
      <c r="AU167" t="s">
        <v>4358</v>
      </c>
      <c r="AV167" t="s">
        <v>4359</v>
      </c>
      <c r="AW167" t="s">
        <v>2669</v>
      </c>
      <c r="AX167" t="s">
        <v>2670</v>
      </c>
      <c r="AY167" t="s">
        <v>861</v>
      </c>
      <c r="AZ167" t="s">
        <v>411</v>
      </c>
      <c r="BA167" t="s">
        <v>412</v>
      </c>
      <c r="BB167">
        <v>0</v>
      </c>
      <c r="BC167">
        <v>0</v>
      </c>
      <c r="BD167">
        <v>0</v>
      </c>
      <c r="BE167" t="s">
        <v>4351</v>
      </c>
      <c r="BF167">
        <v>0</v>
      </c>
      <c r="BG167">
        <v>0</v>
      </c>
      <c r="BH167" t="s">
        <v>862</v>
      </c>
      <c r="BI167">
        <v>0</v>
      </c>
      <c r="BJ167" t="s">
        <v>862</v>
      </c>
      <c r="BK167">
        <v>1</v>
      </c>
      <c r="BL167">
        <v>0</v>
      </c>
      <c r="BM167">
        <v>0</v>
      </c>
      <c r="BN167" t="s">
        <v>596</v>
      </c>
      <c r="BO167">
        <v>153517123</v>
      </c>
      <c r="BP167" t="s">
        <v>4350</v>
      </c>
      <c r="BR167">
        <v>42793652</v>
      </c>
      <c r="BT167">
        <v>2</v>
      </c>
      <c r="BU167" t="s">
        <v>1715</v>
      </c>
      <c r="BY167">
        <v>12</v>
      </c>
      <c r="CA167">
        <v>8</v>
      </c>
      <c r="CE167">
        <v>1</v>
      </c>
      <c r="CI167">
        <v>11</v>
      </c>
      <c r="CJ167" t="s">
        <v>94</v>
      </c>
      <c r="CM167">
        <v>4010</v>
      </c>
      <c r="CO167">
        <v>7360</v>
      </c>
      <c r="CP167">
        <v>0.65</v>
      </c>
      <c r="CQ167">
        <v>0.65</v>
      </c>
      <c r="CR167">
        <v>0.15</v>
      </c>
      <c r="CS167">
        <v>4</v>
      </c>
      <c r="CT167" t="s">
        <v>4360</v>
      </c>
      <c r="CU167" t="s">
        <v>4361</v>
      </c>
      <c r="CV167" t="s">
        <v>833</v>
      </c>
      <c r="CW167" t="s">
        <v>834</v>
      </c>
      <c r="CX167" t="s">
        <v>4351</v>
      </c>
      <c r="CY167">
        <v>0</v>
      </c>
      <c r="CZ167">
        <v>0</v>
      </c>
      <c r="DA167" t="s">
        <v>833</v>
      </c>
      <c r="DB167" t="s">
        <v>865</v>
      </c>
      <c r="DC167">
        <v>43230</v>
      </c>
      <c r="DD167">
        <v>7.75</v>
      </c>
      <c r="DE167" t="s">
        <v>866</v>
      </c>
      <c r="DG167" t="s">
        <v>867</v>
      </c>
      <c r="DH167" t="s">
        <v>851</v>
      </c>
      <c r="DI167" t="s">
        <v>2164</v>
      </c>
      <c r="DJ167" t="s">
        <v>4362</v>
      </c>
      <c r="DK167" t="s">
        <v>918</v>
      </c>
      <c r="DL167" t="s">
        <v>869</v>
      </c>
      <c r="DM167">
        <v>0</v>
      </c>
      <c r="DN167">
        <v>0</v>
      </c>
      <c r="DO167">
        <v>59</v>
      </c>
      <c r="DP167" t="s">
        <v>2770</v>
      </c>
      <c r="DQ167">
        <v>0</v>
      </c>
      <c r="DR167">
        <v>465</v>
      </c>
      <c r="DS167">
        <v>465</v>
      </c>
      <c r="DT167">
        <v>7.1</v>
      </c>
      <c r="DU167">
        <v>0</v>
      </c>
      <c r="DV167">
        <v>1</v>
      </c>
      <c r="DW167">
        <v>1</v>
      </c>
      <c r="DX167" t="s">
        <v>596</v>
      </c>
      <c r="DY167" t="s">
        <v>4351</v>
      </c>
      <c r="DZ167">
        <v>1</v>
      </c>
      <c r="EA167">
        <v>1</v>
      </c>
      <c r="EB167">
        <v>1</v>
      </c>
      <c r="EC167">
        <v>1</v>
      </c>
      <c r="ED167">
        <v>1</v>
      </c>
      <c r="EE167">
        <v>1</v>
      </c>
      <c r="EF167" t="s">
        <v>871</v>
      </c>
      <c r="EG167" t="s">
        <v>595</v>
      </c>
      <c r="EH167" t="s">
        <v>1036</v>
      </c>
      <c r="EI167" t="s">
        <v>1036</v>
      </c>
      <c r="EJ167" t="s">
        <v>226</v>
      </c>
      <c r="EK167">
        <v>9090</v>
      </c>
      <c r="EL167">
        <v>0</v>
      </c>
      <c r="EM167" t="s">
        <v>1157</v>
      </c>
      <c r="EN167">
        <v>0.15</v>
      </c>
      <c r="EO167">
        <v>7.75</v>
      </c>
      <c r="EP167">
        <v>99991120</v>
      </c>
      <c r="EQ167" t="s">
        <v>874</v>
      </c>
      <c r="ER167" t="s">
        <v>875</v>
      </c>
      <c r="ES167" t="s">
        <v>876</v>
      </c>
      <c r="ET167" t="s">
        <v>877</v>
      </c>
      <c r="EU167" t="s">
        <v>877</v>
      </c>
      <c r="EV167" t="s">
        <v>871</v>
      </c>
      <c r="EX167" t="s">
        <v>953</v>
      </c>
      <c r="EY167" t="s">
        <v>986</v>
      </c>
      <c r="EZ167" t="s">
        <v>1158</v>
      </c>
      <c r="FA167" t="s">
        <v>925</v>
      </c>
      <c r="FB167">
        <v>1</v>
      </c>
      <c r="FC167">
        <v>1</v>
      </c>
      <c r="FD167" s="41">
        <v>46095</v>
      </c>
      <c r="FE167" t="s">
        <v>1719</v>
      </c>
      <c r="FF167">
        <v>11</v>
      </c>
      <c r="FG167" t="s">
        <v>4363</v>
      </c>
      <c r="FH167" t="s">
        <v>4364</v>
      </c>
      <c r="FI167">
        <v>1</v>
      </c>
      <c r="FJ167" t="s">
        <v>4365</v>
      </c>
      <c r="FK167" t="s">
        <v>4366</v>
      </c>
      <c r="FL167">
        <v>1</v>
      </c>
      <c r="FM167" t="s">
        <v>4367</v>
      </c>
      <c r="FN167" t="s">
        <v>4368</v>
      </c>
      <c r="FO167">
        <v>1</v>
      </c>
      <c r="FP167" t="s">
        <v>4369</v>
      </c>
      <c r="FQ167" t="s">
        <v>4370</v>
      </c>
      <c r="FR167">
        <v>1</v>
      </c>
      <c r="FS167" t="s">
        <v>3416</v>
      </c>
      <c r="FT167" t="s">
        <v>4371</v>
      </c>
      <c r="FU167">
        <v>1</v>
      </c>
      <c r="FV167" t="s">
        <v>3418</v>
      </c>
      <c r="FW167" t="s">
        <v>4372</v>
      </c>
      <c r="FX167">
        <v>1</v>
      </c>
      <c r="FY167" t="s">
        <v>890</v>
      </c>
      <c r="FZ167" s="42" t="s">
        <v>4373</v>
      </c>
      <c r="GA167" t="s">
        <v>4363</v>
      </c>
      <c r="GB167">
        <v>1</v>
      </c>
      <c r="GD167">
        <v>0</v>
      </c>
      <c r="GF167">
        <v>0</v>
      </c>
      <c r="GG167">
        <v>1</v>
      </c>
      <c r="GH167" t="s">
        <v>892</v>
      </c>
      <c r="GI167" t="s">
        <v>893</v>
      </c>
      <c r="GJ167" t="s">
        <v>4364</v>
      </c>
      <c r="GM167">
        <v>1</v>
      </c>
      <c r="GN167">
        <v>1</v>
      </c>
      <c r="GO167">
        <v>0</v>
      </c>
      <c r="GP167">
        <v>1</v>
      </c>
      <c r="GQ167">
        <v>1</v>
      </c>
      <c r="GR167">
        <v>0</v>
      </c>
      <c r="GS167">
        <v>1</v>
      </c>
      <c r="GT167">
        <v>0</v>
      </c>
      <c r="GU167">
        <v>1</v>
      </c>
      <c r="GV167">
        <v>0</v>
      </c>
      <c r="GW167">
        <v>1</v>
      </c>
      <c r="GX167">
        <v>0</v>
      </c>
      <c r="GY167">
        <v>1</v>
      </c>
      <c r="GZ167">
        <v>0</v>
      </c>
      <c r="HA167" t="s">
        <v>411</v>
      </c>
      <c r="HB167" t="s">
        <v>894</v>
      </c>
      <c r="HC167" t="s">
        <v>935</v>
      </c>
      <c r="HD167" t="s">
        <v>845</v>
      </c>
      <c r="HE167" t="s">
        <v>900</v>
      </c>
      <c r="HF167" t="s">
        <v>923</v>
      </c>
      <c r="HG167" t="s">
        <v>894</v>
      </c>
      <c r="HH167" t="s">
        <v>935</v>
      </c>
      <c r="HI167" t="s">
        <v>845</v>
      </c>
      <c r="HJ167" t="s">
        <v>900</v>
      </c>
      <c r="HK167" t="s">
        <v>922</v>
      </c>
      <c r="HL167" t="s">
        <v>237</v>
      </c>
      <c r="HM167" t="s">
        <v>854</v>
      </c>
      <c r="HN167">
        <v>36805</v>
      </c>
      <c r="HP167" t="s">
        <v>226</v>
      </c>
      <c r="HQ167" t="s">
        <v>896</v>
      </c>
      <c r="HR167" t="s">
        <v>896</v>
      </c>
      <c r="HS167" t="s">
        <v>896</v>
      </c>
    </row>
    <row r="168" spans="1:227" x14ac:dyDescent="0.2">
      <c r="A168">
        <v>8702</v>
      </c>
      <c r="B168">
        <v>7612705396</v>
      </c>
      <c r="C168" t="s">
        <v>829</v>
      </c>
      <c r="D168" t="s">
        <v>830</v>
      </c>
      <c r="E168" t="s">
        <v>831</v>
      </c>
      <c r="F168">
        <v>1</v>
      </c>
      <c r="G168" t="s">
        <v>4374</v>
      </c>
      <c r="H168" t="s">
        <v>4374</v>
      </c>
      <c r="I168">
        <v>0</v>
      </c>
      <c r="J168" t="s">
        <v>833</v>
      </c>
      <c r="K168" t="s">
        <v>834</v>
      </c>
      <c r="L168">
        <v>153008212</v>
      </c>
      <c r="M168" t="s">
        <v>1685</v>
      </c>
      <c r="N168" t="s">
        <v>836</v>
      </c>
      <c r="O168" t="s">
        <v>837</v>
      </c>
      <c r="P168" t="s">
        <v>838</v>
      </c>
      <c r="Q168" t="s">
        <v>839</v>
      </c>
      <c r="R168" t="s">
        <v>4375</v>
      </c>
      <c r="S168" t="s">
        <v>4376</v>
      </c>
      <c r="T168">
        <v>30300105488</v>
      </c>
      <c r="V168" t="s">
        <v>117</v>
      </c>
      <c r="W168" s="41">
        <v>46149</v>
      </c>
      <c r="X168" t="s">
        <v>4377</v>
      </c>
      <c r="Y168" t="s">
        <v>4378</v>
      </c>
      <c r="AA168">
        <v>0</v>
      </c>
      <c r="AB168" t="s">
        <v>845</v>
      </c>
      <c r="AC168" t="s">
        <v>846</v>
      </c>
      <c r="AD168" t="s">
        <v>1113</v>
      </c>
      <c r="AE168" t="s">
        <v>1114</v>
      </c>
      <c r="AF168">
        <v>1</v>
      </c>
      <c r="AG168">
        <v>452210</v>
      </c>
      <c r="AH168" t="s">
        <v>849</v>
      </c>
      <c r="AI168" t="s">
        <v>850</v>
      </c>
      <c r="AJ168" t="s">
        <v>851</v>
      </c>
      <c r="AK168" t="s">
        <v>273</v>
      </c>
      <c r="AL168" t="s">
        <v>2846</v>
      </c>
      <c r="AM168" t="s">
        <v>1364</v>
      </c>
      <c r="AN168" t="s">
        <v>854</v>
      </c>
      <c r="AO168">
        <v>36805</v>
      </c>
      <c r="AP168">
        <v>493</v>
      </c>
      <c r="AQ168" t="s">
        <v>855</v>
      </c>
      <c r="AR168">
        <v>66452162</v>
      </c>
      <c r="AS168" t="s">
        <v>856</v>
      </c>
      <c r="AU168" t="s">
        <v>4379</v>
      </c>
      <c r="AV168" t="s">
        <v>4380</v>
      </c>
      <c r="AW168" t="s">
        <v>1261</v>
      </c>
      <c r="AX168" t="s">
        <v>1262</v>
      </c>
      <c r="AY168" t="s">
        <v>861</v>
      </c>
      <c r="AZ168" t="s">
        <v>273</v>
      </c>
      <c r="BA168" t="s">
        <v>274</v>
      </c>
      <c r="BB168">
        <v>0</v>
      </c>
      <c r="BC168">
        <v>0</v>
      </c>
      <c r="BD168">
        <v>1</v>
      </c>
      <c r="BE168" t="s">
        <v>1685</v>
      </c>
      <c r="BF168">
        <v>0</v>
      </c>
      <c r="BG168">
        <v>0</v>
      </c>
      <c r="BH168" t="s">
        <v>862</v>
      </c>
      <c r="BI168">
        <v>0</v>
      </c>
      <c r="BJ168" t="s">
        <v>862</v>
      </c>
      <c r="BK168">
        <v>1</v>
      </c>
      <c r="BL168">
        <v>0</v>
      </c>
      <c r="BM168">
        <v>0</v>
      </c>
      <c r="BN168" t="s">
        <v>596</v>
      </c>
      <c r="BO168">
        <v>153008212</v>
      </c>
      <c r="BP168" t="s">
        <v>4374</v>
      </c>
      <c r="BR168">
        <v>42789054</v>
      </c>
      <c r="BT168">
        <v>2</v>
      </c>
      <c r="BU168" t="s">
        <v>1803</v>
      </c>
      <c r="BY168">
        <v>16</v>
      </c>
      <c r="CA168">
        <v>2</v>
      </c>
      <c r="CE168">
        <v>1</v>
      </c>
      <c r="CI168">
        <v>11</v>
      </c>
      <c r="CJ168" t="s">
        <v>94</v>
      </c>
      <c r="CM168">
        <v>4010</v>
      </c>
      <c r="CO168">
        <v>7360</v>
      </c>
      <c r="CP168">
        <v>0.86670000000000003</v>
      </c>
      <c r="CQ168">
        <v>0.86670000000000003</v>
      </c>
      <c r="CR168">
        <v>0.25</v>
      </c>
      <c r="CS168">
        <v>11</v>
      </c>
      <c r="CT168" t="s">
        <v>4381</v>
      </c>
      <c r="CU168" t="s">
        <v>4382</v>
      </c>
      <c r="CV168" t="s">
        <v>833</v>
      </c>
      <c r="CW168" t="s">
        <v>834</v>
      </c>
      <c r="CX168" t="s">
        <v>1685</v>
      </c>
      <c r="CY168">
        <v>1</v>
      </c>
      <c r="CZ168">
        <v>1</v>
      </c>
      <c r="DA168" t="s">
        <v>833</v>
      </c>
      <c r="DB168" t="s">
        <v>865</v>
      </c>
      <c r="DC168">
        <v>63368</v>
      </c>
      <c r="DD168">
        <v>1.5166999999999999</v>
      </c>
      <c r="DE168" t="s">
        <v>866</v>
      </c>
      <c r="DG168" t="s">
        <v>867</v>
      </c>
      <c r="DH168" t="s">
        <v>851</v>
      </c>
      <c r="DJ168">
        <v>493</v>
      </c>
      <c r="DK168" t="s">
        <v>918</v>
      </c>
      <c r="DL168" t="s">
        <v>869</v>
      </c>
      <c r="DM168">
        <v>0</v>
      </c>
      <c r="DN168">
        <v>0</v>
      </c>
      <c r="DO168">
        <v>11</v>
      </c>
      <c r="DP168" t="s">
        <v>1010</v>
      </c>
      <c r="DQ168">
        <v>0</v>
      </c>
      <c r="DR168">
        <v>91</v>
      </c>
      <c r="DS168">
        <v>811</v>
      </c>
      <c r="DT168">
        <v>0.65</v>
      </c>
      <c r="DU168">
        <v>0</v>
      </c>
      <c r="DV168">
        <v>1</v>
      </c>
      <c r="DW168">
        <v>2</v>
      </c>
      <c r="DX168" t="s">
        <v>594</v>
      </c>
      <c r="DY168" t="s">
        <v>1685</v>
      </c>
      <c r="DZ168">
        <v>1</v>
      </c>
      <c r="EA168">
        <v>1</v>
      </c>
      <c r="EB168">
        <v>1</v>
      </c>
      <c r="EC168">
        <v>1</v>
      </c>
      <c r="ED168">
        <v>1</v>
      </c>
      <c r="EE168">
        <v>1</v>
      </c>
      <c r="EF168" t="s">
        <v>920</v>
      </c>
      <c r="EG168" t="s">
        <v>595</v>
      </c>
      <c r="EH168" t="s">
        <v>872</v>
      </c>
      <c r="EI168" t="s">
        <v>872</v>
      </c>
      <c r="EJ168" t="s">
        <v>111</v>
      </c>
      <c r="EK168">
        <v>9090</v>
      </c>
      <c r="EL168">
        <v>0</v>
      </c>
      <c r="EM168" t="s">
        <v>1037</v>
      </c>
      <c r="EN168">
        <v>0.25</v>
      </c>
      <c r="EO168">
        <v>13.5166667</v>
      </c>
      <c r="EP168">
        <v>99991120</v>
      </c>
      <c r="EQ168" t="s">
        <v>874</v>
      </c>
      <c r="ER168" t="s">
        <v>875</v>
      </c>
      <c r="ES168" t="s">
        <v>876</v>
      </c>
      <c r="ET168" t="s">
        <v>877</v>
      </c>
      <c r="EU168" t="s">
        <v>877</v>
      </c>
      <c r="EV168" t="s">
        <v>920</v>
      </c>
      <c r="EX168" t="s">
        <v>900</v>
      </c>
      <c r="EY168" t="s">
        <v>923</v>
      </c>
      <c r="EZ168" t="s">
        <v>1038</v>
      </c>
      <c r="FA168" t="s">
        <v>925</v>
      </c>
      <c r="FB168">
        <v>1</v>
      </c>
      <c r="FC168">
        <v>1</v>
      </c>
      <c r="FD168" s="41">
        <v>46151</v>
      </c>
      <c r="FE168" t="s">
        <v>1808</v>
      </c>
      <c r="FF168">
        <v>8</v>
      </c>
      <c r="FG168" t="s">
        <v>4383</v>
      </c>
      <c r="FH168" t="s">
        <v>4384</v>
      </c>
      <c r="FI168">
        <v>1</v>
      </c>
      <c r="FJ168" t="s">
        <v>4385</v>
      </c>
      <c r="FK168" t="s">
        <v>4384</v>
      </c>
      <c r="FL168">
        <v>1</v>
      </c>
      <c r="FM168" t="s">
        <v>1698</v>
      </c>
      <c r="FN168" t="s">
        <v>4386</v>
      </c>
      <c r="FO168">
        <v>1</v>
      </c>
      <c r="FP168" t="s">
        <v>4387</v>
      </c>
      <c r="FQ168" t="s">
        <v>4382</v>
      </c>
      <c r="FR168">
        <v>1</v>
      </c>
      <c r="FS168" t="s">
        <v>2453</v>
      </c>
      <c r="FT168" t="s">
        <v>4388</v>
      </c>
      <c r="FU168">
        <v>1</v>
      </c>
      <c r="FV168" t="s">
        <v>3278</v>
      </c>
      <c r="FW168" t="s">
        <v>4389</v>
      </c>
      <c r="FX168">
        <v>1</v>
      </c>
      <c r="FY168" t="s">
        <v>890</v>
      </c>
      <c r="FZ168" t="s">
        <v>4390</v>
      </c>
      <c r="GA168" t="s">
        <v>4385</v>
      </c>
      <c r="GB168">
        <v>1</v>
      </c>
      <c r="GD168">
        <v>0</v>
      </c>
      <c r="GF168">
        <v>0</v>
      </c>
      <c r="GG168">
        <v>1</v>
      </c>
      <c r="GH168" t="s">
        <v>892</v>
      </c>
      <c r="GI168" t="s">
        <v>893</v>
      </c>
      <c r="GJ168" t="s">
        <v>4384</v>
      </c>
      <c r="GM168">
        <v>1</v>
      </c>
      <c r="GN168">
        <v>1</v>
      </c>
      <c r="GO168">
        <v>0</v>
      </c>
      <c r="GP168">
        <v>1</v>
      </c>
      <c r="GQ168">
        <v>1</v>
      </c>
      <c r="GR168">
        <v>0</v>
      </c>
      <c r="GS168">
        <v>1</v>
      </c>
      <c r="GT168">
        <v>0</v>
      </c>
      <c r="GU168">
        <v>1</v>
      </c>
      <c r="GV168">
        <v>0</v>
      </c>
      <c r="GW168">
        <v>1</v>
      </c>
      <c r="GX168">
        <v>0</v>
      </c>
      <c r="GY168">
        <v>1</v>
      </c>
      <c r="GZ168">
        <v>0</v>
      </c>
      <c r="HA168" t="s">
        <v>273</v>
      </c>
      <c r="HB168" t="s">
        <v>894</v>
      </c>
      <c r="HC168" t="s">
        <v>895</v>
      </c>
      <c r="HD168" t="s">
        <v>845</v>
      </c>
      <c r="HE168" t="s">
        <v>836</v>
      </c>
      <c r="HF168" t="s">
        <v>1051</v>
      </c>
      <c r="HG168" t="s">
        <v>894</v>
      </c>
      <c r="HH168" t="s">
        <v>895</v>
      </c>
      <c r="HI168" t="s">
        <v>845</v>
      </c>
      <c r="HJ168" t="s">
        <v>836</v>
      </c>
      <c r="HK168" t="s">
        <v>1037</v>
      </c>
      <c r="HL168" t="s">
        <v>117</v>
      </c>
      <c r="HM168" t="s">
        <v>854</v>
      </c>
      <c r="HN168">
        <v>36805</v>
      </c>
      <c r="HP168" t="s">
        <v>111</v>
      </c>
      <c r="HQ168" t="s">
        <v>896</v>
      </c>
      <c r="HR168" t="s">
        <v>896</v>
      </c>
      <c r="HS168" t="s">
        <v>896</v>
      </c>
    </row>
    <row r="169" spans="1:227" x14ac:dyDescent="0.2">
      <c r="A169">
        <v>8702</v>
      </c>
      <c r="B169">
        <v>7607605526</v>
      </c>
      <c r="C169" t="s">
        <v>829</v>
      </c>
      <c r="D169" t="s">
        <v>830</v>
      </c>
      <c r="E169" t="s">
        <v>897</v>
      </c>
      <c r="F169">
        <v>1</v>
      </c>
      <c r="G169" t="s">
        <v>4391</v>
      </c>
      <c r="H169" t="s">
        <v>4391</v>
      </c>
      <c r="I169">
        <v>0</v>
      </c>
      <c r="J169" t="s">
        <v>833</v>
      </c>
      <c r="K169" t="s">
        <v>834</v>
      </c>
      <c r="L169">
        <v>153524612</v>
      </c>
      <c r="M169" t="s">
        <v>4392</v>
      </c>
      <c r="N169" t="s">
        <v>900</v>
      </c>
      <c r="O169" t="s">
        <v>837</v>
      </c>
      <c r="P169" t="s">
        <v>838</v>
      </c>
      <c r="Q169" t="s">
        <v>839</v>
      </c>
      <c r="R169" t="s">
        <v>4393</v>
      </c>
      <c r="S169" t="s">
        <v>4394</v>
      </c>
      <c r="T169">
        <v>30300111331</v>
      </c>
      <c r="V169" t="s">
        <v>128</v>
      </c>
      <c r="W169" s="41">
        <v>46098</v>
      </c>
      <c r="X169" t="s">
        <v>4395</v>
      </c>
      <c r="Y169" t="s">
        <v>4396</v>
      </c>
      <c r="AA169">
        <v>0</v>
      </c>
      <c r="AB169" t="s">
        <v>845</v>
      </c>
      <c r="AC169" t="s">
        <v>846</v>
      </c>
      <c r="AD169" t="s">
        <v>1113</v>
      </c>
      <c r="AE169" t="s">
        <v>1114</v>
      </c>
      <c r="AF169">
        <v>1</v>
      </c>
      <c r="AG169">
        <v>452210</v>
      </c>
      <c r="AH169" t="s">
        <v>849</v>
      </c>
      <c r="AI169" t="s">
        <v>850</v>
      </c>
      <c r="AJ169" t="s">
        <v>851</v>
      </c>
      <c r="AK169" t="s">
        <v>401</v>
      </c>
      <c r="AL169" t="s">
        <v>4397</v>
      </c>
      <c r="AM169" t="s">
        <v>4398</v>
      </c>
      <c r="AN169" t="s">
        <v>854</v>
      </c>
      <c r="AO169">
        <v>36805</v>
      </c>
      <c r="AP169">
        <v>498</v>
      </c>
      <c r="AQ169" t="s">
        <v>855</v>
      </c>
      <c r="AR169">
        <v>66379107</v>
      </c>
      <c r="AS169" t="s">
        <v>856</v>
      </c>
      <c r="AU169" t="s">
        <v>4399</v>
      </c>
      <c r="AV169" t="s">
        <v>4400</v>
      </c>
      <c r="AX169" t="s">
        <v>913</v>
      </c>
      <c r="AY169" t="s">
        <v>861</v>
      </c>
      <c r="AZ169" t="s">
        <v>401</v>
      </c>
      <c r="BA169" t="s">
        <v>402</v>
      </c>
      <c r="BB169">
        <v>0</v>
      </c>
      <c r="BC169">
        <v>0</v>
      </c>
      <c r="BD169">
        <v>1</v>
      </c>
      <c r="BE169" t="s">
        <v>4392</v>
      </c>
      <c r="BF169">
        <v>0</v>
      </c>
      <c r="BG169">
        <v>0</v>
      </c>
      <c r="BH169" t="s">
        <v>862</v>
      </c>
      <c r="BI169">
        <v>0</v>
      </c>
      <c r="BJ169" t="s">
        <v>862</v>
      </c>
      <c r="BK169">
        <v>1</v>
      </c>
      <c r="BL169">
        <v>1</v>
      </c>
      <c r="BM169">
        <v>0</v>
      </c>
      <c r="BN169" t="s">
        <v>596</v>
      </c>
      <c r="BO169">
        <v>153524612</v>
      </c>
      <c r="BP169" t="s">
        <v>4391</v>
      </c>
      <c r="BR169">
        <v>42789131</v>
      </c>
      <c r="BT169">
        <v>2</v>
      </c>
      <c r="BU169" t="s">
        <v>1715</v>
      </c>
      <c r="BY169">
        <v>16</v>
      </c>
      <c r="CA169">
        <v>6</v>
      </c>
      <c r="CE169">
        <v>1</v>
      </c>
      <c r="CI169">
        <v>11</v>
      </c>
      <c r="CJ169" t="s">
        <v>94</v>
      </c>
      <c r="CM169">
        <v>4010</v>
      </c>
      <c r="CO169">
        <v>7360</v>
      </c>
      <c r="CP169">
        <v>1.45</v>
      </c>
      <c r="CQ169">
        <v>1.45</v>
      </c>
      <c r="CR169">
        <v>0.51670000000000005</v>
      </c>
      <c r="CS169">
        <v>2</v>
      </c>
      <c r="CT169" t="s">
        <v>4400</v>
      </c>
      <c r="CU169" t="s">
        <v>4399</v>
      </c>
      <c r="CV169" t="s">
        <v>833</v>
      </c>
      <c r="CW169" t="s">
        <v>834</v>
      </c>
      <c r="CX169" t="s">
        <v>4392</v>
      </c>
      <c r="CY169">
        <v>1</v>
      </c>
      <c r="CZ169">
        <v>1</v>
      </c>
      <c r="DA169" t="s">
        <v>833</v>
      </c>
      <c r="DB169" t="s">
        <v>865</v>
      </c>
      <c r="DC169">
        <v>16066</v>
      </c>
      <c r="DD169">
        <v>6.25</v>
      </c>
      <c r="DE169" t="s">
        <v>866</v>
      </c>
      <c r="DG169" t="s">
        <v>867</v>
      </c>
      <c r="DH169" t="s">
        <v>851</v>
      </c>
      <c r="DI169" t="s">
        <v>1266</v>
      </c>
      <c r="DK169" t="s">
        <v>918</v>
      </c>
      <c r="DL169" t="s">
        <v>869</v>
      </c>
      <c r="DM169">
        <v>0</v>
      </c>
      <c r="DN169">
        <v>0</v>
      </c>
      <c r="DO169">
        <v>11</v>
      </c>
      <c r="DP169" t="s">
        <v>1010</v>
      </c>
      <c r="DQ169">
        <v>0</v>
      </c>
      <c r="DR169">
        <v>375</v>
      </c>
      <c r="DS169">
        <v>375</v>
      </c>
      <c r="DT169">
        <v>4.8</v>
      </c>
      <c r="DU169">
        <v>0</v>
      </c>
      <c r="DV169">
        <v>1</v>
      </c>
      <c r="DW169">
        <v>2</v>
      </c>
      <c r="DX169" t="s">
        <v>596</v>
      </c>
      <c r="DY169" t="s">
        <v>4392</v>
      </c>
      <c r="DZ169">
        <v>1</v>
      </c>
      <c r="EA169">
        <v>1</v>
      </c>
      <c r="EB169">
        <v>1</v>
      </c>
      <c r="EC169">
        <v>1</v>
      </c>
      <c r="ED169">
        <v>1</v>
      </c>
      <c r="EE169">
        <v>1</v>
      </c>
      <c r="EF169" t="s">
        <v>920</v>
      </c>
      <c r="EG169" t="s">
        <v>595</v>
      </c>
      <c r="EH169" t="s">
        <v>921</v>
      </c>
      <c r="EI169" t="s">
        <v>921</v>
      </c>
      <c r="EJ169" t="s">
        <v>124</v>
      </c>
      <c r="EK169">
        <v>9090</v>
      </c>
      <c r="EL169">
        <v>0</v>
      </c>
      <c r="EM169" t="s">
        <v>923</v>
      </c>
      <c r="EN169">
        <v>0.51670000000000005</v>
      </c>
      <c r="EO169">
        <v>6.25</v>
      </c>
      <c r="EP169">
        <v>99991120</v>
      </c>
      <c r="EQ169" t="s">
        <v>874</v>
      </c>
      <c r="ER169" t="s">
        <v>875</v>
      </c>
      <c r="ES169" t="s">
        <v>876</v>
      </c>
      <c r="ET169" t="s">
        <v>877</v>
      </c>
      <c r="EU169" t="s">
        <v>877</v>
      </c>
      <c r="EV169" t="s">
        <v>920</v>
      </c>
      <c r="EX169" t="s">
        <v>953</v>
      </c>
      <c r="EY169" t="s">
        <v>1292</v>
      </c>
      <c r="EZ169" t="s">
        <v>1293</v>
      </c>
      <c r="FA169" t="s">
        <v>925</v>
      </c>
      <c r="FB169">
        <v>1</v>
      </c>
      <c r="FC169">
        <v>1</v>
      </c>
      <c r="FD169" s="41">
        <v>46102</v>
      </c>
      <c r="FE169" t="s">
        <v>1719</v>
      </c>
      <c r="FF169">
        <v>5</v>
      </c>
      <c r="FI169">
        <v>0</v>
      </c>
      <c r="FJ169" t="s">
        <v>4401</v>
      </c>
      <c r="FK169" t="s">
        <v>4402</v>
      </c>
      <c r="FL169">
        <v>1</v>
      </c>
      <c r="FM169" t="s">
        <v>4403</v>
      </c>
      <c r="FN169" t="s">
        <v>4404</v>
      </c>
      <c r="FO169">
        <v>1</v>
      </c>
      <c r="FP169" t="s">
        <v>4405</v>
      </c>
      <c r="FQ169" t="s">
        <v>4399</v>
      </c>
      <c r="FR169">
        <v>1</v>
      </c>
      <c r="FS169" t="s">
        <v>4406</v>
      </c>
      <c r="FT169" t="s">
        <v>4407</v>
      </c>
      <c r="FU169">
        <v>1</v>
      </c>
      <c r="FV169" t="s">
        <v>4408</v>
      </c>
      <c r="FW169" t="s">
        <v>4402</v>
      </c>
      <c r="FX169">
        <v>1</v>
      </c>
      <c r="FY169" t="s">
        <v>890</v>
      </c>
      <c r="FZ169" t="s">
        <v>4409</v>
      </c>
      <c r="GA169" t="s">
        <v>4401</v>
      </c>
      <c r="GB169">
        <v>1</v>
      </c>
      <c r="GD169">
        <v>0</v>
      </c>
      <c r="GF169">
        <v>0</v>
      </c>
      <c r="GG169">
        <v>1</v>
      </c>
      <c r="GH169" t="s">
        <v>892</v>
      </c>
      <c r="GI169" t="s">
        <v>893</v>
      </c>
      <c r="GJ169" t="s">
        <v>4402</v>
      </c>
      <c r="GM169">
        <v>1</v>
      </c>
      <c r="GN169">
        <v>0</v>
      </c>
      <c r="GO169">
        <v>1</v>
      </c>
      <c r="GP169">
        <v>1</v>
      </c>
      <c r="GQ169">
        <v>1</v>
      </c>
      <c r="GR169">
        <v>0</v>
      </c>
      <c r="GS169">
        <v>1</v>
      </c>
      <c r="GT169">
        <v>1</v>
      </c>
      <c r="GU169">
        <v>1</v>
      </c>
      <c r="GV169">
        <v>0</v>
      </c>
      <c r="GW169">
        <v>1</v>
      </c>
      <c r="GX169">
        <v>1</v>
      </c>
      <c r="GY169">
        <v>1</v>
      </c>
      <c r="GZ169">
        <v>0</v>
      </c>
      <c r="HA169" t="s">
        <v>401</v>
      </c>
      <c r="HB169" t="s">
        <v>894</v>
      </c>
      <c r="HC169" t="s">
        <v>935</v>
      </c>
      <c r="HD169" t="s">
        <v>845</v>
      </c>
      <c r="HE169" t="s">
        <v>900</v>
      </c>
      <c r="HF169" t="s">
        <v>923</v>
      </c>
      <c r="HG169" t="s">
        <v>894</v>
      </c>
      <c r="HH169" t="s">
        <v>935</v>
      </c>
      <c r="HI169" t="s">
        <v>845</v>
      </c>
      <c r="HJ169" t="s">
        <v>900</v>
      </c>
      <c r="HK169" t="s">
        <v>923</v>
      </c>
      <c r="HL169" t="s">
        <v>128</v>
      </c>
      <c r="HM169" t="s">
        <v>854</v>
      </c>
      <c r="HN169">
        <v>36805</v>
      </c>
      <c r="HP169" t="s">
        <v>124</v>
      </c>
      <c r="HQ169" t="s">
        <v>896</v>
      </c>
      <c r="HR169" t="s">
        <v>896</v>
      </c>
      <c r="HS169" t="s">
        <v>896</v>
      </c>
    </row>
    <row r="170" spans="1:227" x14ac:dyDescent="0.2">
      <c r="A170">
        <v>8702</v>
      </c>
      <c r="B170">
        <v>7615504890</v>
      </c>
      <c r="C170">
        <v>36</v>
      </c>
      <c r="D170" t="s">
        <v>1302</v>
      </c>
      <c r="E170" t="s">
        <v>831</v>
      </c>
      <c r="F170">
        <v>0</v>
      </c>
      <c r="G170" t="s">
        <v>4410</v>
      </c>
      <c r="H170" t="s">
        <v>4410</v>
      </c>
      <c r="I170">
        <v>0</v>
      </c>
      <c r="J170" t="s">
        <v>833</v>
      </c>
      <c r="K170" t="s">
        <v>834</v>
      </c>
      <c r="L170">
        <v>149860719</v>
      </c>
      <c r="M170" t="s">
        <v>4411</v>
      </c>
      <c r="N170" t="s">
        <v>836</v>
      </c>
      <c r="O170" t="s">
        <v>837</v>
      </c>
      <c r="P170" t="s">
        <v>1302</v>
      </c>
      <c r="Q170" t="s">
        <v>1517</v>
      </c>
      <c r="R170" t="s">
        <v>4412</v>
      </c>
      <c r="S170" t="s">
        <v>4413</v>
      </c>
      <c r="T170">
        <v>41477075231</v>
      </c>
      <c r="V170" t="s">
        <v>117</v>
      </c>
      <c r="W170" s="41">
        <v>46177</v>
      </c>
      <c r="X170" t="s">
        <v>4414</v>
      </c>
      <c r="Y170" t="s">
        <v>4415</v>
      </c>
      <c r="AA170">
        <v>0</v>
      </c>
      <c r="AB170" t="s">
        <v>845</v>
      </c>
      <c r="AC170" t="s">
        <v>846</v>
      </c>
      <c r="AD170" t="s">
        <v>1335</v>
      </c>
      <c r="AE170" t="s">
        <v>1336</v>
      </c>
      <c r="AF170">
        <v>1</v>
      </c>
      <c r="AG170">
        <v>452210</v>
      </c>
      <c r="AH170" t="s">
        <v>849</v>
      </c>
      <c r="AI170" t="s">
        <v>850</v>
      </c>
      <c r="AJ170" t="s">
        <v>851</v>
      </c>
      <c r="AK170" t="s">
        <v>289</v>
      </c>
      <c r="AL170" t="s">
        <v>2443</v>
      </c>
      <c r="AM170" t="s">
        <v>1364</v>
      </c>
      <c r="AN170" t="s">
        <v>854</v>
      </c>
      <c r="AO170">
        <v>36805</v>
      </c>
      <c r="AP170">
        <v>493</v>
      </c>
      <c r="AQ170" t="s">
        <v>855</v>
      </c>
      <c r="AR170">
        <v>66493183</v>
      </c>
      <c r="AS170" t="s">
        <v>856</v>
      </c>
      <c r="AU170" t="s">
        <v>4416</v>
      </c>
      <c r="AV170" t="s">
        <v>4417</v>
      </c>
      <c r="AX170" t="s">
        <v>913</v>
      </c>
      <c r="AY170" t="s">
        <v>861</v>
      </c>
      <c r="AZ170" t="s">
        <v>289</v>
      </c>
      <c r="BA170" t="s">
        <v>290</v>
      </c>
      <c r="BB170">
        <v>0</v>
      </c>
      <c r="BC170">
        <v>0</v>
      </c>
      <c r="BD170">
        <v>0</v>
      </c>
      <c r="BE170" t="s">
        <v>4411</v>
      </c>
      <c r="BF170">
        <v>0</v>
      </c>
      <c r="BG170">
        <v>0</v>
      </c>
      <c r="BH170" t="s">
        <v>862</v>
      </c>
      <c r="BI170">
        <v>0</v>
      </c>
      <c r="BJ170" t="s">
        <v>862</v>
      </c>
      <c r="BK170">
        <v>1</v>
      </c>
      <c r="BL170">
        <v>1</v>
      </c>
      <c r="BM170">
        <v>0</v>
      </c>
      <c r="BN170" t="s">
        <v>596</v>
      </c>
      <c r="BP170" t="s">
        <v>4410</v>
      </c>
      <c r="BR170">
        <v>42789054</v>
      </c>
      <c r="BT170">
        <v>2</v>
      </c>
      <c r="BU170" t="s">
        <v>1314</v>
      </c>
      <c r="BY170">
        <v>16</v>
      </c>
      <c r="CA170">
        <v>3</v>
      </c>
      <c r="CE170">
        <v>1</v>
      </c>
      <c r="CI170">
        <v>11</v>
      </c>
      <c r="CJ170" t="s">
        <v>94</v>
      </c>
      <c r="CM170">
        <v>4010</v>
      </c>
      <c r="CO170">
        <v>7360</v>
      </c>
      <c r="CP170">
        <v>0.41670000000000001</v>
      </c>
      <c r="CQ170">
        <v>0.41670000000000001</v>
      </c>
      <c r="CR170">
        <v>0.5</v>
      </c>
      <c r="CS170">
        <v>1</v>
      </c>
      <c r="CT170" t="s">
        <v>4417</v>
      </c>
      <c r="CU170" t="s">
        <v>4416</v>
      </c>
      <c r="CV170" t="s">
        <v>833</v>
      </c>
      <c r="CW170" t="s">
        <v>834</v>
      </c>
      <c r="CX170" t="s">
        <v>4217</v>
      </c>
      <c r="CY170">
        <v>0</v>
      </c>
      <c r="CZ170">
        <v>0</v>
      </c>
      <c r="DA170" t="s">
        <v>833</v>
      </c>
      <c r="DB170" t="s">
        <v>865</v>
      </c>
      <c r="DC170">
        <v>63368</v>
      </c>
      <c r="DD170">
        <v>3</v>
      </c>
      <c r="DE170" t="s">
        <v>866</v>
      </c>
      <c r="DG170" t="s">
        <v>867</v>
      </c>
      <c r="DH170" t="s">
        <v>851</v>
      </c>
      <c r="DK170" t="s">
        <v>918</v>
      </c>
      <c r="DL170" t="s">
        <v>869</v>
      </c>
      <c r="DM170">
        <v>0</v>
      </c>
      <c r="DN170">
        <v>0</v>
      </c>
      <c r="DO170">
        <v>2</v>
      </c>
      <c r="DP170" t="s">
        <v>870</v>
      </c>
      <c r="DQ170">
        <v>16</v>
      </c>
      <c r="DR170">
        <v>180</v>
      </c>
      <c r="DS170">
        <v>205</v>
      </c>
      <c r="DT170">
        <v>3</v>
      </c>
      <c r="DU170">
        <v>4</v>
      </c>
      <c r="DV170">
        <v>1</v>
      </c>
      <c r="DW170">
        <v>2</v>
      </c>
      <c r="DX170" t="s">
        <v>596</v>
      </c>
      <c r="DY170" t="s">
        <v>4411</v>
      </c>
      <c r="DZ170">
        <v>1</v>
      </c>
      <c r="EA170">
        <v>1</v>
      </c>
      <c r="EB170">
        <v>1</v>
      </c>
      <c r="EC170">
        <v>1</v>
      </c>
      <c r="ED170">
        <v>1</v>
      </c>
      <c r="EE170">
        <v>1</v>
      </c>
      <c r="EF170" t="s">
        <v>920</v>
      </c>
      <c r="EG170" t="s">
        <v>595</v>
      </c>
      <c r="EH170" t="s">
        <v>921</v>
      </c>
      <c r="EI170" t="s">
        <v>921</v>
      </c>
      <c r="EJ170" t="s">
        <v>111</v>
      </c>
      <c r="EK170">
        <v>9090</v>
      </c>
      <c r="EL170">
        <v>0</v>
      </c>
      <c r="EM170" t="s">
        <v>1037</v>
      </c>
      <c r="EN170">
        <v>0.5</v>
      </c>
      <c r="EO170">
        <v>3.4166666999999999</v>
      </c>
      <c r="EP170">
        <v>99991120</v>
      </c>
      <c r="EQ170" t="s">
        <v>874</v>
      </c>
      <c r="ER170" t="s">
        <v>875</v>
      </c>
      <c r="ES170" t="s">
        <v>876</v>
      </c>
      <c r="ET170" t="s">
        <v>877</v>
      </c>
      <c r="EU170" t="s">
        <v>877</v>
      </c>
      <c r="EV170" t="s">
        <v>920</v>
      </c>
      <c r="EX170" t="s">
        <v>836</v>
      </c>
      <c r="EY170" t="s">
        <v>1051</v>
      </c>
      <c r="EZ170" t="s">
        <v>1038</v>
      </c>
      <c r="FA170" t="s">
        <v>925</v>
      </c>
      <c r="FB170">
        <v>1</v>
      </c>
      <c r="FC170">
        <v>1</v>
      </c>
      <c r="FD170" s="41">
        <v>46179</v>
      </c>
      <c r="FE170" t="s">
        <v>1315</v>
      </c>
      <c r="FF170">
        <v>6</v>
      </c>
      <c r="FG170" t="s">
        <v>2453</v>
      </c>
      <c r="FH170" t="s">
        <v>4418</v>
      </c>
      <c r="FI170">
        <v>1</v>
      </c>
      <c r="FJ170" t="s">
        <v>4419</v>
      </c>
      <c r="FK170" t="s">
        <v>4420</v>
      </c>
      <c r="FL170">
        <v>1</v>
      </c>
      <c r="FM170" t="s">
        <v>4421</v>
      </c>
      <c r="FN170" t="s">
        <v>4422</v>
      </c>
      <c r="FO170">
        <v>1</v>
      </c>
      <c r="FP170" t="s">
        <v>4423</v>
      </c>
      <c r="FQ170" t="s">
        <v>4416</v>
      </c>
      <c r="FR170">
        <v>1</v>
      </c>
      <c r="FS170" t="s">
        <v>1100</v>
      </c>
      <c r="FT170" t="s">
        <v>4424</v>
      </c>
      <c r="FU170">
        <v>1</v>
      </c>
      <c r="FV170" t="s">
        <v>1102</v>
      </c>
      <c r="FW170" t="s">
        <v>4425</v>
      </c>
      <c r="FX170">
        <v>1</v>
      </c>
      <c r="FY170" t="s">
        <v>890</v>
      </c>
      <c r="FZ170" t="s">
        <v>4426</v>
      </c>
      <c r="GA170" t="s">
        <v>4419</v>
      </c>
      <c r="GB170">
        <v>1</v>
      </c>
      <c r="GD170">
        <v>0</v>
      </c>
      <c r="GF170">
        <v>0</v>
      </c>
      <c r="GG170">
        <v>1</v>
      </c>
      <c r="GH170" t="s">
        <v>892</v>
      </c>
      <c r="GI170" t="s">
        <v>893</v>
      </c>
      <c r="GJ170" t="s">
        <v>4420</v>
      </c>
      <c r="GM170">
        <v>1</v>
      </c>
      <c r="GN170">
        <v>1</v>
      </c>
      <c r="GO170">
        <v>0</v>
      </c>
      <c r="GP170">
        <v>1</v>
      </c>
      <c r="GQ170">
        <v>1</v>
      </c>
      <c r="GR170">
        <v>0</v>
      </c>
      <c r="GS170">
        <v>1</v>
      </c>
      <c r="GT170">
        <v>0</v>
      </c>
      <c r="GU170">
        <v>1</v>
      </c>
      <c r="GV170">
        <v>0</v>
      </c>
      <c r="GW170">
        <v>1</v>
      </c>
      <c r="GX170">
        <v>0</v>
      </c>
      <c r="GY170">
        <v>1</v>
      </c>
      <c r="GZ170">
        <v>0</v>
      </c>
      <c r="HA170" t="s">
        <v>289</v>
      </c>
      <c r="HB170" t="s">
        <v>894</v>
      </c>
      <c r="HC170" t="s">
        <v>895</v>
      </c>
      <c r="HD170" t="s">
        <v>845</v>
      </c>
      <c r="HE170" t="s">
        <v>836</v>
      </c>
      <c r="HF170" t="s">
        <v>1051</v>
      </c>
      <c r="HG170" t="s">
        <v>894</v>
      </c>
      <c r="HH170" t="s">
        <v>895</v>
      </c>
      <c r="HI170" t="s">
        <v>845</v>
      </c>
      <c r="HJ170" t="s">
        <v>836</v>
      </c>
      <c r="HK170" t="s">
        <v>1037</v>
      </c>
      <c r="HL170" t="s">
        <v>117</v>
      </c>
      <c r="HM170" t="s">
        <v>854</v>
      </c>
      <c r="HN170">
        <v>36805</v>
      </c>
      <c r="HP170" t="s">
        <v>111</v>
      </c>
      <c r="HQ170" t="s">
        <v>896</v>
      </c>
      <c r="HR170" t="s">
        <v>896</v>
      </c>
      <c r="HS170" t="s">
        <v>896</v>
      </c>
    </row>
    <row r="171" spans="1:227" x14ac:dyDescent="0.2">
      <c r="A171">
        <v>8702</v>
      </c>
      <c r="B171">
        <v>7533700128</v>
      </c>
      <c r="C171" t="s">
        <v>829</v>
      </c>
      <c r="D171" t="s">
        <v>830</v>
      </c>
      <c r="E171" t="s">
        <v>831</v>
      </c>
      <c r="F171">
        <v>1</v>
      </c>
      <c r="G171" t="s">
        <v>4427</v>
      </c>
      <c r="H171" t="s">
        <v>4427</v>
      </c>
      <c r="I171">
        <v>0</v>
      </c>
      <c r="J171" t="s">
        <v>833</v>
      </c>
      <c r="K171" t="s">
        <v>834</v>
      </c>
      <c r="L171">
        <v>153294158</v>
      </c>
      <c r="M171" t="s">
        <v>4428</v>
      </c>
      <c r="N171" t="s">
        <v>836</v>
      </c>
      <c r="O171" t="s">
        <v>837</v>
      </c>
      <c r="P171" t="s">
        <v>838</v>
      </c>
      <c r="Q171" t="s">
        <v>1251</v>
      </c>
      <c r="R171" t="s">
        <v>4429</v>
      </c>
      <c r="S171" t="s">
        <v>4430</v>
      </c>
      <c r="T171">
        <v>41477059751</v>
      </c>
      <c r="V171" t="s">
        <v>136</v>
      </c>
      <c r="W171" s="41">
        <v>45994</v>
      </c>
      <c r="X171" t="s">
        <v>4431</v>
      </c>
      <c r="Y171" t="s">
        <v>4432</v>
      </c>
      <c r="AA171">
        <v>0</v>
      </c>
      <c r="AB171" t="s">
        <v>845</v>
      </c>
      <c r="AC171" t="s">
        <v>846</v>
      </c>
      <c r="AD171" t="s">
        <v>847</v>
      </c>
      <c r="AE171" t="s">
        <v>848</v>
      </c>
      <c r="AF171">
        <v>1</v>
      </c>
      <c r="AG171">
        <v>452210</v>
      </c>
      <c r="AH171" t="s">
        <v>849</v>
      </c>
      <c r="AI171" t="s">
        <v>850</v>
      </c>
      <c r="AJ171" t="s">
        <v>851</v>
      </c>
      <c r="AK171" t="s">
        <v>299</v>
      </c>
      <c r="AL171" t="s">
        <v>2035</v>
      </c>
      <c r="AM171" t="s">
        <v>1207</v>
      </c>
      <c r="AN171" t="s">
        <v>854</v>
      </c>
      <c r="AO171">
        <v>36805</v>
      </c>
      <c r="AP171">
        <v>523</v>
      </c>
      <c r="AQ171" t="s">
        <v>855</v>
      </c>
      <c r="AR171">
        <v>66229406</v>
      </c>
      <c r="AS171" t="s">
        <v>856</v>
      </c>
      <c r="AU171" t="s">
        <v>4433</v>
      </c>
      <c r="AV171" t="s">
        <v>4434</v>
      </c>
      <c r="AX171" t="s">
        <v>913</v>
      </c>
      <c r="AY171" t="s">
        <v>861</v>
      </c>
      <c r="AZ171" t="s">
        <v>299</v>
      </c>
      <c r="BA171" t="s">
        <v>300</v>
      </c>
      <c r="BB171">
        <v>0</v>
      </c>
      <c r="BC171">
        <v>0</v>
      </c>
      <c r="BD171">
        <v>0</v>
      </c>
      <c r="BE171" t="s">
        <v>4428</v>
      </c>
      <c r="BF171">
        <v>0</v>
      </c>
      <c r="BG171">
        <v>0</v>
      </c>
      <c r="BH171" t="s">
        <v>862</v>
      </c>
      <c r="BI171">
        <v>0</v>
      </c>
      <c r="BJ171" t="s">
        <v>862</v>
      </c>
      <c r="BK171">
        <v>1</v>
      </c>
      <c r="BL171">
        <v>1</v>
      </c>
      <c r="BM171">
        <v>0</v>
      </c>
      <c r="BN171" t="s">
        <v>596</v>
      </c>
      <c r="BO171">
        <v>153294158</v>
      </c>
      <c r="BP171" t="s">
        <v>4427</v>
      </c>
      <c r="BQ171">
        <v>40.4127212</v>
      </c>
      <c r="BR171">
        <v>42791433</v>
      </c>
      <c r="BS171">
        <v>-86.839599000000007</v>
      </c>
      <c r="BT171">
        <v>0</v>
      </c>
      <c r="CM171">
        <v>4010</v>
      </c>
      <c r="CO171">
        <v>7360</v>
      </c>
      <c r="CP171">
        <v>1.0166999999999999</v>
      </c>
      <c r="CQ171">
        <v>1.0166999999999999</v>
      </c>
      <c r="CR171">
        <v>0</v>
      </c>
      <c r="CS171">
        <v>3</v>
      </c>
      <c r="CT171" t="s">
        <v>4435</v>
      </c>
      <c r="CU171" t="s">
        <v>4436</v>
      </c>
      <c r="CV171" t="s">
        <v>833</v>
      </c>
      <c r="CW171" t="s">
        <v>834</v>
      </c>
      <c r="CX171" t="s">
        <v>4428</v>
      </c>
      <c r="CY171">
        <v>0</v>
      </c>
      <c r="CZ171">
        <v>0</v>
      </c>
      <c r="DA171" t="s">
        <v>833</v>
      </c>
      <c r="DB171" t="s">
        <v>865</v>
      </c>
      <c r="DC171">
        <v>47905</v>
      </c>
      <c r="DD171">
        <v>1.1000000000000001</v>
      </c>
      <c r="DE171" t="s">
        <v>866</v>
      </c>
      <c r="DG171" t="s">
        <v>867</v>
      </c>
      <c r="DH171" t="s">
        <v>851</v>
      </c>
      <c r="DI171" t="s">
        <v>4437</v>
      </c>
      <c r="DL171" t="s">
        <v>869</v>
      </c>
      <c r="DM171">
        <v>0</v>
      </c>
      <c r="DN171">
        <v>0</v>
      </c>
      <c r="DO171">
        <v>3</v>
      </c>
      <c r="DP171" t="s">
        <v>919</v>
      </c>
      <c r="DQ171">
        <v>16</v>
      </c>
      <c r="DR171">
        <v>66</v>
      </c>
      <c r="DS171">
        <v>66</v>
      </c>
      <c r="DT171">
        <v>8.3299999999999999E-2</v>
      </c>
      <c r="DU171">
        <v>4</v>
      </c>
      <c r="DW171">
        <v>2</v>
      </c>
      <c r="DX171" t="s">
        <v>596</v>
      </c>
      <c r="DY171" t="s">
        <v>4428</v>
      </c>
      <c r="DZ171">
        <v>1</v>
      </c>
      <c r="EA171">
        <v>1</v>
      </c>
      <c r="EB171">
        <v>1</v>
      </c>
      <c r="EC171">
        <v>1</v>
      </c>
      <c r="ED171">
        <v>1</v>
      </c>
      <c r="EE171">
        <v>1</v>
      </c>
      <c r="EF171" t="s">
        <v>920</v>
      </c>
      <c r="EG171" t="s">
        <v>595</v>
      </c>
      <c r="EH171" t="s">
        <v>921</v>
      </c>
      <c r="EI171" t="s">
        <v>921</v>
      </c>
      <c r="EJ171" t="s">
        <v>134</v>
      </c>
      <c r="EK171">
        <v>9090</v>
      </c>
      <c r="EL171">
        <v>0</v>
      </c>
      <c r="EM171" t="s">
        <v>1436</v>
      </c>
      <c r="EN171">
        <v>0</v>
      </c>
      <c r="EO171">
        <v>1.1000000000000001</v>
      </c>
      <c r="EP171">
        <v>99991120</v>
      </c>
      <c r="EQ171" t="s">
        <v>874</v>
      </c>
      <c r="ER171" t="s">
        <v>875</v>
      </c>
      <c r="ES171" t="s">
        <v>876</v>
      </c>
      <c r="ET171" t="s">
        <v>877</v>
      </c>
      <c r="EU171" t="s">
        <v>877</v>
      </c>
      <c r="EV171" t="s">
        <v>920</v>
      </c>
      <c r="EX171" t="s">
        <v>953</v>
      </c>
      <c r="EY171" t="s">
        <v>1555</v>
      </c>
      <c r="EZ171" t="s">
        <v>1211</v>
      </c>
      <c r="FA171" t="s">
        <v>1212</v>
      </c>
      <c r="FB171">
        <v>1</v>
      </c>
      <c r="FC171">
        <v>1</v>
      </c>
      <c r="FD171" s="41">
        <v>45997</v>
      </c>
      <c r="FE171" t="s">
        <v>957</v>
      </c>
      <c r="FF171">
        <v>5</v>
      </c>
      <c r="FI171">
        <v>0</v>
      </c>
      <c r="FJ171" t="s">
        <v>4438</v>
      </c>
      <c r="FK171" t="s">
        <v>4439</v>
      </c>
      <c r="FL171">
        <v>1</v>
      </c>
      <c r="FM171" t="s">
        <v>4440</v>
      </c>
      <c r="FN171" t="s">
        <v>4441</v>
      </c>
      <c r="FO171">
        <v>1</v>
      </c>
      <c r="FP171" t="s">
        <v>4442</v>
      </c>
      <c r="FQ171" t="s">
        <v>4436</v>
      </c>
      <c r="FR171">
        <v>1</v>
      </c>
      <c r="FS171" t="s">
        <v>2048</v>
      </c>
      <c r="FT171" t="s">
        <v>4443</v>
      </c>
      <c r="FU171">
        <v>1</v>
      </c>
      <c r="FV171" t="s">
        <v>4428</v>
      </c>
      <c r="FW171" t="s">
        <v>4444</v>
      </c>
      <c r="FX171">
        <v>1</v>
      </c>
      <c r="FY171" t="s">
        <v>890</v>
      </c>
      <c r="FZ171" t="s">
        <v>4445</v>
      </c>
      <c r="GA171" t="s">
        <v>4438</v>
      </c>
      <c r="GB171">
        <v>1</v>
      </c>
      <c r="GD171">
        <v>0</v>
      </c>
      <c r="GF171">
        <v>0</v>
      </c>
      <c r="GG171">
        <v>1</v>
      </c>
      <c r="GH171" t="s">
        <v>892</v>
      </c>
      <c r="GI171" t="s">
        <v>893</v>
      </c>
      <c r="GJ171" t="s">
        <v>4439</v>
      </c>
      <c r="GM171">
        <v>1</v>
      </c>
      <c r="GN171">
        <v>1</v>
      </c>
      <c r="GO171">
        <v>0</v>
      </c>
      <c r="GP171">
        <v>1</v>
      </c>
      <c r="GQ171">
        <v>1</v>
      </c>
      <c r="GR171">
        <v>0</v>
      </c>
      <c r="GS171">
        <v>1</v>
      </c>
      <c r="GT171">
        <v>0</v>
      </c>
      <c r="GU171">
        <v>1</v>
      </c>
      <c r="GV171">
        <v>0</v>
      </c>
      <c r="GW171">
        <v>1</v>
      </c>
      <c r="GX171">
        <v>0</v>
      </c>
      <c r="GY171">
        <v>1</v>
      </c>
      <c r="GZ171">
        <v>0</v>
      </c>
      <c r="HA171" t="s">
        <v>299</v>
      </c>
      <c r="HB171" t="s">
        <v>894</v>
      </c>
      <c r="HC171" t="s">
        <v>895</v>
      </c>
      <c r="HD171" t="s">
        <v>845</v>
      </c>
      <c r="HE171" t="s">
        <v>836</v>
      </c>
      <c r="HF171" t="s">
        <v>873</v>
      </c>
      <c r="HG171" t="s">
        <v>894</v>
      </c>
      <c r="HH171" t="s">
        <v>895</v>
      </c>
      <c r="HI171" t="s">
        <v>845</v>
      </c>
      <c r="HJ171" t="s">
        <v>836</v>
      </c>
      <c r="HK171" t="s">
        <v>1436</v>
      </c>
      <c r="HL171" t="s">
        <v>136</v>
      </c>
      <c r="HM171" t="s">
        <v>854</v>
      </c>
      <c r="HN171">
        <v>36805</v>
      </c>
      <c r="HP171" t="s">
        <v>134</v>
      </c>
      <c r="HQ171" t="s">
        <v>896</v>
      </c>
      <c r="HR171" t="s">
        <v>896</v>
      </c>
      <c r="HS171" t="s">
        <v>896</v>
      </c>
    </row>
    <row r="172" spans="1:227" x14ac:dyDescent="0.2">
      <c r="A172">
        <v>8702</v>
      </c>
      <c r="B172">
        <v>7526500560</v>
      </c>
      <c r="C172">
        <v>36</v>
      </c>
      <c r="D172" t="s">
        <v>1302</v>
      </c>
      <c r="E172" t="s">
        <v>897</v>
      </c>
      <c r="F172">
        <v>0</v>
      </c>
      <c r="G172" t="s">
        <v>4446</v>
      </c>
      <c r="H172" t="s">
        <v>4446</v>
      </c>
      <c r="I172">
        <v>0</v>
      </c>
      <c r="J172" t="s">
        <v>833</v>
      </c>
      <c r="K172" t="s">
        <v>834</v>
      </c>
      <c r="L172">
        <v>148874323</v>
      </c>
      <c r="M172" t="s">
        <v>4447</v>
      </c>
      <c r="N172" t="s">
        <v>900</v>
      </c>
      <c r="O172" t="s">
        <v>837</v>
      </c>
      <c r="P172" t="s">
        <v>1302</v>
      </c>
      <c r="Q172" t="s">
        <v>2357</v>
      </c>
      <c r="R172" t="s">
        <v>4448</v>
      </c>
      <c r="S172" t="s">
        <v>4449</v>
      </c>
      <c r="T172">
        <v>41477115259</v>
      </c>
      <c r="V172" t="s">
        <v>200</v>
      </c>
      <c r="W172" s="41">
        <v>45923</v>
      </c>
      <c r="X172" t="s">
        <v>4450</v>
      </c>
      <c r="Y172" t="s">
        <v>4451</v>
      </c>
      <c r="AA172">
        <v>0</v>
      </c>
      <c r="AB172" t="s">
        <v>845</v>
      </c>
      <c r="AC172" t="s">
        <v>846</v>
      </c>
      <c r="AD172" t="s">
        <v>1335</v>
      </c>
      <c r="AE172" t="s">
        <v>1336</v>
      </c>
      <c r="AF172">
        <v>1</v>
      </c>
      <c r="AG172">
        <v>452210</v>
      </c>
      <c r="AH172" t="s">
        <v>849</v>
      </c>
      <c r="AI172" t="s">
        <v>850</v>
      </c>
      <c r="AJ172" t="s">
        <v>851</v>
      </c>
      <c r="AK172" t="s">
        <v>297</v>
      </c>
      <c r="AL172" t="s">
        <v>2184</v>
      </c>
      <c r="AM172" t="s">
        <v>3245</v>
      </c>
      <c r="AN172" t="s">
        <v>854</v>
      </c>
      <c r="AO172">
        <v>36805</v>
      </c>
      <c r="AP172">
        <v>642</v>
      </c>
      <c r="AQ172" t="s">
        <v>855</v>
      </c>
      <c r="AR172">
        <v>66126802</v>
      </c>
      <c r="AS172" t="s">
        <v>856</v>
      </c>
      <c r="AU172" t="s">
        <v>4452</v>
      </c>
      <c r="AV172" t="s">
        <v>4453</v>
      </c>
      <c r="AX172" t="s">
        <v>913</v>
      </c>
      <c r="AY172" t="s">
        <v>861</v>
      </c>
      <c r="AZ172" t="s">
        <v>297</v>
      </c>
      <c r="BA172" t="s">
        <v>298</v>
      </c>
      <c r="BB172">
        <v>0</v>
      </c>
      <c r="BC172">
        <v>0</v>
      </c>
      <c r="BD172">
        <v>0</v>
      </c>
      <c r="BE172" t="s">
        <v>4447</v>
      </c>
      <c r="BF172">
        <v>0</v>
      </c>
      <c r="BG172">
        <v>0</v>
      </c>
      <c r="BH172" t="s">
        <v>862</v>
      </c>
      <c r="BI172">
        <v>0</v>
      </c>
      <c r="BJ172" t="s">
        <v>862</v>
      </c>
      <c r="BK172">
        <v>1</v>
      </c>
      <c r="BL172">
        <v>1</v>
      </c>
      <c r="BM172">
        <v>0</v>
      </c>
      <c r="BN172" t="s">
        <v>596</v>
      </c>
      <c r="BP172" t="s">
        <v>4446</v>
      </c>
      <c r="BQ172">
        <v>42.397329800000001</v>
      </c>
      <c r="BR172">
        <v>42791773</v>
      </c>
      <c r="BS172">
        <v>-83.480268300000006</v>
      </c>
      <c r="BT172">
        <v>0</v>
      </c>
      <c r="CM172">
        <v>4010</v>
      </c>
      <c r="CO172">
        <v>7360</v>
      </c>
      <c r="CP172">
        <v>0.2167</v>
      </c>
      <c r="CQ172">
        <v>0.2167</v>
      </c>
      <c r="CR172">
        <v>0.95</v>
      </c>
      <c r="CS172">
        <v>7</v>
      </c>
      <c r="CT172" t="s">
        <v>4454</v>
      </c>
      <c r="CU172" t="s">
        <v>4455</v>
      </c>
      <c r="CV172" t="s">
        <v>833</v>
      </c>
      <c r="CW172" t="s">
        <v>834</v>
      </c>
      <c r="CX172" t="s">
        <v>4456</v>
      </c>
      <c r="CY172">
        <v>0</v>
      </c>
      <c r="CZ172">
        <v>0</v>
      </c>
      <c r="DA172" t="s">
        <v>833</v>
      </c>
      <c r="DB172" t="s">
        <v>865</v>
      </c>
      <c r="DC172">
        <v>48168</v>
      </c>
      <c r="DD172">
        <v>2.8666999999999998</v>
      </c>
      <c r="DE172" t="s">
        <v>866</v>
      </c>
      <c r="DG172" t="s">
        <v>867</v>
      </c>
      <c r="DH172" t="s">
        <v>851</v>
      </c>
      <c r="DL172" t="s">
        <v>869</v>
      </c>
      <c r="DM172">
        <v>0</v>
      </c>
      <c r="DN172">
        <v>0</v>
      </c>
      <c r="DO172">
        <v>2</v>
      </c>
      <c r="DP172" t="s">
        <v>870</v>
      </c>
      <c r="DQ172">
        <v>16</v>
      </c>
      <c r="DR172">
        <v>172</v>
      </c>
      <c r="DS172">
        <v>892</v>
      </c>
      <c r="DT172">
        <v>2.65</v>
      </c>
      <c r="DU172">
        <v>4</v>
      </c>
      <c r="DW172">
        <v>2</v>
      </c>
      <c r="DX172" t="s">
        <v>596</v>
      </c>
      <c r="DY172" t="s">
        <v>4447</v>
      </c>
      <c r="DZ172">
        <v>1</v>
      </c>
      <c r="EA172">
        <v>1</v>
      </c>
      <c r="EB172">
        <v>1</v>
      </c>
      <c r="EC172">
        <v>1</v>
      </c>
      <c r="ED172">
        <v>1</v>
      </c>
      <c r="EE172">
        <v>1</v>
      </c>
      <c r="EF172" t="s">
        <v>920</v>
      </c>
      <c r="EG172" t="s">
        <v>595</v>
      </c>
      <c r="EH172" t="s">
        <v>921</v>
      </c>
      <c r="EI172" t="s">
        <v>921</v>
      </c>
      <c r="EJ172" t="s">
        <v>178</v>
      </c>
      <c r="EK172">
        <v>9090</v>
      </c>
      <c r="EL172">
        <v>0</v>
      </c>
      <c r="EM172" t="s">
        <v>952</v>
      </c>
      <c r="EN172">
        <v>0.95</v>
      </c>
      <c r="EO172">
        <v>14.85</v>
      </c>
      <c r="EP172">
        <v>99991120</v>
      </c>
      <c r="EQ172" t="s">
        <v>874</v>
      </c>
      <c r="ER172" t="s">
        <v>875</v>
      </c>
      <c r="ES172" t="s">
        <v>876</v>
      </c>
      <c r="ET172" t="s">
        <v>877</v>
      </c>
      <c r="EU172" t="s">
        <v>877</v>
      </c>
      <c r="EV172" t="s">
        <v>920</v>
      </c>
      <c r="EX172" t="s">
        <v>953</v>
      </c>
      <c r="EY172" t="s">
        <v>954</v>
      </c>
      <c r="EZ172" t="s">
        <v>955</v>
      </c>
      <c r="FA172" t="s">
        <v>956</v>
      </c>
      <c r="FB172">
        <v>1</v>
      </c>
      <c r="FC172">
        <v>1</v>
      </c>
      <c r="FD172" s="41">
        <v>45927</v>
      </c>
      <c r="FE172" t="s">
        <v>880</v>
      </c>
      <c r="FF172">
        <v>4</v>
      </c>
      <c r="FI172">
        <v>0</v>
      </c>
      <c r="FL172">
        <v>0</v>
      </c>
      <c r="FM172" t="s">
        <v>4457</v>
      </c>
      <c r="FN172" t="s">
        <v>4458</v>
      </c>
      <c r="FO172">
        <v>1</v>
      </c>
      <c r="FP172" t="s">
        <v>4459</v>
      </c>
      <c r="FQ172" t="s">
        <v>4460</v>
      </c>
      <c r="FR172">
        <v>1</v>
      </c>
      <c r="FS172" t="s">
        <v>2196</v>
      </c>
      <c r="FT172" t="s">
        <v>4461</v>
      </c>
      <c r="FU172">
        <v>1</v>
      </c>
      <c r="FV172" t="s">
        <v>4462</v>
      </c>
      <c r="FW172" t="s">
        <v>4463</v>
      </c>
      <c r="FX172">
        <v>1</v>
      </c>
      <c r="FY172" t="s">
        <v>890</v>
      </c>
      <c r="FZ172" t="s">
        <v>4464</v>
      </c>
      <c r="GA172" t="s">
        <v>4462</v>
      </c>
      <c r="GB172">
        <v>1</v>
      </c>
      <c r="GD172">
        <v>0</v>
      </c>
      <c r="GF172">
        <v>0</v>
      </c>
      <c r="GG172">
        <v>1</v>
      </c>
      <c r="GH172" t="s">
        <v>892</v>
      </c>
      <c r="GI172" t="s">
        <v>893</v>
      </c>
      <c r="GJ172" t="s">
        <v>4463</v>
      </c>
      <c r="GM172">
        <v>1</v>
      </c>
      <c r="GN172">
        <v>1</v>
      </c>
      <c r="GO172">
        <v>0</v>
      </c>
      <c r="GP172">
        <v>1</v>
      </c>
      <c r="GQ172">
        <v>1</v>
      </c>
      <c r="GR172">
        <v>0</v>
      </c>
      <c r="GS172">
        <v>1</v>
      </c>
      <c r="GT172">
        <v>0</v>
      </c>
      <c r="GU172">
        <v>1</v>
      </c>
      <c r="GV172">
        <v>0</v>
      </c>
      <c r="GW172">
        <v>1</v>
      </c>
      <c r="GX172">
        <v>0</v>
      </c>
      <c r="GY172">
        <v>1</v>
      </c>
      <c r="GZ172">
        <v>0</v>
      </c>
      <c r="HA172" t="s">
        <v>297</v>
      </c>
      <c r="HB172" t="s">
        <v>894</v>
      </c>
      <c r="HC172" t="s">
        <v>935</v>
      </c>
      <c r="HD172" t="s">
        <v>845</v>
      </c>
      <c r="HE172" t="s">
        <v>900</v>
      </c>
      <c r="HF172" t="s">
        <v>923</v>
      </c>
      <c r="HG172" t="s">
        <v>894</v>
      </c>
      <c r="HH172" t="s">
        <v>935</v>
      </c>
      <c r="HI172" t="s">
        <v>845</v>
      </c>
      <c r="HJ172" t="s">
        <v>900</v>
      </c>
      <c r="HK172" t="s">
        <v>952</v>
      </c>
      <c r="HL172" t="s">
        <v>200</v>
      </c>
      <c r="HM172" t="s">
        <v>854</v>
      </c>
      <c r="HN172">
        <v>36805</v>
      </c>
      <c r="HP172" t="s">
        <v>178</v>
      </c>
      <c r="HQ172" t="s">
        <v>896</v>
      </c>
      <c r="HR172" t="s">
        <v>896</v>
      </c>
      <c r="HS172" t="s">
        <v>896</v>
      </c>
    </row>
    <row r="173" spans="1:227" ht="409.6" x14ac:dyDescent="0.2">
      <c r="A173">
        <v>8702</v>
      </c>
      <c r="B173">
        <v>7615504934</v>
      </c>
      <c r="C173" t="s">
        <v>829</v>
      </c>
      <c r="D173" t="s">
        <v>830</v>
      </c>
      <c r="E173" t="s">
        <v>897</v>
      </c>
      <c r="F173">
        <v>1</v>
      </c>
      <c r="G173" t="s">
        <v>4465</v>
      </c>
      <c r="H173" t="s">
        <v>4465</v>
      </c>
      <c r="I173">
        <v>0</v>
      </c>
      <c r="J173" t="s">
        <v>833</v>
      </c>
      <c r="K173" t="s">
        <v>834</v>
      </c>
      <c r="L173">
        <v>153406473</v>
      </c>
      <c r="M173" t="s">
        <v>4466</v>
      </c>
      <c r="N173" t="s">
        <v>900</v>
      </c>
      <c r="O173" t="s">
        <v>837</v>
      </c>
      <c r="P173" t="s">
        <v>838</v>
      </c>
      <c r="Q173" t="s">
        <v>1593</v>
      </c>
      <c r="R173" t="s">
        <v>4467</v>
      </c>
      <c r="S173" t="s">
        <v>4468</v>
      </c>
      <c r="T173">
        <v>41477050828</v>
      </c>
      <c r="V173" t="s">
        <v>204</v>
      </c>
      <c r="W173" s="41">
        <v>46177</v>
      </c>
      <c r="X173" t="s">
        <v>4469</v>
      </c>
      <c r="Y173" t="s">
        <v>4470</v>
      </c>
      <c r="AA173">
        <v>0</v>
      </c>
      <c r="AB173" t="s">
        <v>845</v>
      </c>
      <c r="AC173" t="s">
        <v>846</v>
      </c>
      <c r="AD173" t="s">
        <v>907</v>
      </c>
      <c r="AE173" t="s">
        <v>908</v>
      </c>
      <c r="AF173">
        <v>1</v>
      </c>
      <c r="AG173">
        <v>452210</v>
      </c>
      <c r="AH173" t="s">
        <v>849</v>
      </c>
      <c r="AI173" t="s">
        <v>850</v>
      </c>
      <c r="AJ173" t="s">
        <v>851</v>
      </c>
      <c r="AK173" t="s">
        <v>423</v>
      </c>
      <c r="AL173" t="s">
        <v>4471</v>
      </c>
      <c r="AM173" t="s">
        <v>4472</v>
      </c>
      <c r="AN173" t="s">
        <v>854</v>
      </c>
      <c r="AO173">
        <v>36805</v>
      </c>
      <c r="AP173">
        <v>644</v>
      </c>
      <c r="AQ173" t="s">
        <v>855</v>
      </c>
      <c r="AR173">
        <v>66493152</v>
      </c>
      <c r="AS173" t="s">
        <v>856</v>
      </c>
      <c r="AU173" t="s">
        <v>4473</v>
      </c>
      <c r="AV173" t="s">
        <v>4474</v>
      </c>
      <c r="AX173" t="s">
        <v>913</v>
      </c>
      <c r="AY173" t="s">
        <v>861</v>
      </c>
      <c r="AZ173" t="s">
        <v>423</v>
      </c>
      <c r="BA173" t="s">
        <v>424</v>
      </c>
      <c r="BB173">
        <v>0</v>
      </c>
      <c r="BC173">
        <v>0</v>
      </c>
      <c r="BD173">
        <v>0</v>
      </c>
      <c r="BE173" t="s">
        <v>4466</v>
      </c>
      <c r="BF173">
        <v>0</v>
      </c>
      <c r="BG173">
        <v>0</v>
      </c>
      <c r="BH173" t="s">
        <v>862</v>
      </c>
      <c r="BI173">
        <v>0</v>
      </c>
      <c r="BJ173" t="s">
        <v>862</v>
      </c>
      <c r="BK173">
        <v>1</v>
      </c>
      <c r="BL173">
        <v>1</v>
      </c>
      <c r="BM173">
        <v>0</v>
      </c>
      <c r="BN173" t="s">
        <v>596</v>
      </c>
      <c r="BO173">
        <v>153406473</v>
      </c>
      <c r="BP173" t="s">
        <v>4465</v>
      </c>
      <c r="BR173">
        <v>42791775</v>
      </c>
      <c r="BT173">
        <v>2</v>
      </c>
      <c r="BU173" t="s">
        <v>1314</v>
      </c>
      <c r="BY173">
        <v>16</v>
      </c>
      <c r="CA173">
        <v>2</v>
      </c>
      <c r="CE173">
        <v>1</v>
      </c>
      <c r="CI173">
        <v>11</v>
      </c>
      <c r="CJ173" t="s">
        <v>94</v>
      </c>
      <c r="CM173">
        <v>4010</v>
      </c>
      <c r="CO173">
        <v>7360</v>
      </c>
      <c r="CP173">
        <v>1.4666999999999999</v>
      </c>
      <c r="CQ173">
        <v>1.4666999999999999</v>
      </c>
      <c r="CR173">
        <v>0.51670000000000005</v>
      </c>
      <c r="CS173">
        <v>11</v>
      </c>
      <c r="CT173" t="s">
        <v>4474</v>
      </c>
      <c r="CU173" t="s">
        <v>4473</v>
      </c>
      <c r="CV173" t="s">
        <v>833</v>
      </c>
      <c r="CW173" t="s">
        <v>834</v>
      </c>
      <c r="CX173" t="s">
        <v>4466</v>
      </c>
      <c r="CY173">
        <v>0</v>
      </c>
      <c r="CZ173">
        <v>0</v>
      </c>
      <c r="DA173" t="s">
        <v>833</v>
      </c>
      <c r="DB173" t="s">
        <v>865</v>
      </c>
      <c r="DC173">
        <v>48307</v>
      </c>
      <c r="DD173">
        <v>1.5166999999999999</v>
      </c>
      <c r="DE173" t="s">
        <v>866</v>
      </c>
      <c r="DG173" t="s">
        <v>867</v>
      </c>
      <c r="DH173" t="s">
        <v>851</v>
      </c>
      <c r="DJ173" t="s">
        <v>4475</v>
      </c>
      <c r="DK173" t="s">
        <v>918</v>
      </c>
      <c r="DL173" t="s">
        <v>869</v>
      </c>
      <c r="DM173">
        <v>0</v>
      </c>
      <c r="DN173">
        <v>0</v>
      </c>
      <c r="DO173">
        <v>3</v>
      </c>
      <c r="DP173" t="s">
        <v>919</v>
      </c>
      <c r="DQ173">
        <v>16</v>
      </c>
      <c r="DR173">
        <v>91</v>
      </c>
      <c r="DS173">
        <v>132</v>
      </c>
      <c r="DT173">
        <v>0.73329999999999995</v>
      </c>
      <c r="DU173">
        <v>4</v>
      </c>
      <c r="DV173">
        <v>1</v>
      </c>
      <c r="DW173">
        <v>2</v>
      </c>
      <c r="DX173" t="s">
        <v>596</v>
      </c>
      <c r="DY173" t="s">
        <v>4466</v>
      </c>
      <c r="DZ173">
        <v>1</v>
      </c>
      <c r="EA173">
        <v>1</v>
      </c>
      <c r="EB173">
        <v>1</v>
      </c>
      <c r="EC173">
        <v>1</v>
      </c>
      <c r="ED173">
        <v>1</v>
      </c>
      <c r="EE173">
        <v>1</v>
      </c>
      <c r="EF173" t="s">
        <v>871</v>
      </c>
      <c r="EG173" t="s">
        <v>595</v>
      </c>
      <c r="EH173" t="s">
        <v>921</v>
      </c>
      <c r="EI173" t="s">
        <v>921</v>
      </c>
      <c r="EJ173" t="s">
        <v>178</v>
      </c>
      <c r="EK173">
        <v>9090</v>
      </c>
      <c r="EL173">
        <v>0</v>
      </c>
      <c r="EM173" t="s">
        <v>952</v>
      </c>
      <c r="EN173">
        <v>0.51670000000000005</v>
      </c>
      <c r="EO173">
        <v>2.2000000000000002</v>
      </c>
      <c r="EP173">
        <v>99991120</v>
      </c>
      <c r="EQ173" t="s">
        <v>874</v>
      </c>
      <c r="ER173" t="s">
        <v>875</v>
      </c>
      <c r="ES173" t="s">
        <v>876</v>
      </c>
      <c r="ET173" t="s">
        <v>877</v>
      </c>
      <c r="EU173" t="s">
        <v>877</v>
      </c>
      <c r="EV173" t="s">
        <v>871</v>
      </c>
      <c r="EX173" t="s">
        <v>900</v>
      </c>
      <c r="EY173" t="s">
        <v>923</v>
      </c>
      <c r="EZ173" t="s">
        <v>955</v>
      </c>
      <c r="FA173" t="s">
        <v>956</v>
      </c>
      <c r="FB173">
        <v>1</v>
      </c>
      <c r="FC173">
        <v>1</v>
      </c>
      <c r="FD173" s="41">
        <v>46179</v>
      </c>
      <c r="FE173" t="s">
        <v>1315</v>
      </c>
      <c r="FF173">
        <v>4</v>
      </c>
      <c r="FI173">
        <v>0</v>
      </c>
      <c r="FL173">
        <v>0</v>
      </c>
      <c r="FM173" t="s">
        <v>4476</v>
      </c>
      <c r="FN173" t="s">
        <v>4477</v>
      </c>
      <c r="FO173">
        <v>1</v>
      </c>
      <c r="FP173" s="42" t="s">
        <v>4478</v>
      </c>
      <c r="FQ173" t="s">
        <v>4473</v>
      </c>
      <c r="FR173">
        <v>1</v>
      </c>
      <c r="FS173" t="s">
        <v>4479</v>
      </c>
      <c r="FT173" t="s">
        <v>4480</v>
      </c>
      <c r="FU173">
        <v>1</v>
      </c>
      <c r="FV173" t="s">
        <v>4481</v>
      </c>
      <c r="FW173" t="s">
        <v>4482</v>
      </c>
      <c r="FX173">
        <v>1</v>
      </c>
      <c r="FY173" t="s">
        <v>890</v>
      </c>
      <c r="FZ173" s="42" t="s">
        <v>4483</v>
      </c>
      <c r="GA173" t="s">
        <v>4481</v>
      </c>
      <c r="GB173">
        <v>1</v>
      </c>
      <c r="GD173">
        <v>0</v>
      </c>
      <c r="GF173">
        <v>0</v>
      </c>
      <c r="GG173">
        <v>1</v>
      </c>
      <c r="GH173" t="s">
        <v>892</v>
      </c>
      <c r="GI173" t="s">
        <v>893</v>
      </c>
      <c r="GJ173" t="s">
        <v>4482</v>
      </c>
      <c r="GM173">
        <v>1</v>
      </c>
      <c r="GN173">
        <v>1</v>
      </c>
      <c r="GO173">
        <v>0</v>
      </c>
      <c r="GP173">
        <v>1</v>
      </c>
      <c r="GQ173">
        <v>1</v>
      </c>
      <c r="GR173">
        <v>0</v>
      </c>
      <c r="GS173">
        <v>1</v>
      </c>
      <c r="GT173">
        <v>0</v>
      </c>
      <c r="GU173">
        <v>1</v>
      </c>
      <c r="GV173">
        <v>0</v>
      </c>
      <c r="GW173">
        <v>1</v>
      </c>
      <c r="GX173">
        <v>0</v>
      </c>
      <c r="GY173">
        <v>1</v>
      </c>
      <c r="GZ173">
        <v>0</v>
      </c>
      <c r="HA173" t="s">
        <v>423</v>
      </c>
      <c r="HB173" t="s">
        <v>894</v>
      </c>
      <c r="HC173" t="s">
        <v>935</v>
      </c>
      <c r="HD173" t="s">
        <v>845</v>
      </c>
      <c r="HE173" t="s">
        <v>900</v>
      </c>
      <c r="HF173" t="s">
        <v>923</v>
      </c>
      <c r="HG173" t="s">
        <v>894</v>
      </c>
      <c r="HH173" t="s">
        <v>935</v>
      </c>
      <c r="HI173" t="s">
        <v>845</v>
      </c>
      <c r="HJ173" t="s">
        <v>900</v>
      </c>
      <c r="HK173" t="s">
        <v>952</v>
      </c>
      <c r="HL173" t="s">
        <v>204</v>
      </c>
      <c r="HM173" t="s">
        <v>854</v>
      </c>
      <c r="HN173">
        <v>36805</v>
      </c>
      <c r="HP173" t="s">
        <v>178</v>
      </c>
      <c r="HQ173" t="s">
        <v>896</v>
      </c>
      <c r="HR173" t="s">
        <v>896</v>
      </c>
      <c r="HS173" t="s">
        <v>896</v>
      </c>
    </row>
    <row r="174" spans="1:227" x14ac:dyDescent="0.2">
      <c r="A174">
        <v>8702</v>
      </c>
      <c r="B174">
        <v>7606401867</v>
      </c>
      <c r="C174">
        <v>34</v>
      </c>
      <c r="D174" t="s">
        <v>996</v>
      </c>
      <c r="E174" t="s">
        <v>831</v>
      </c>
      <c r="F174">
        <v>0</v>
      </c>
      <c r="G174" t="s">
        <v>4484</v>
      </c>
      <c r="H174" t="s">
        <v>4484</v>
      </c>
      <c r="I174">
        <v>0</v>
      </c>
      <c r="J174" t="s">
        <v>833</v>
      </c>
      <c r="K174" t="s">
        <v>834</v>
      </c>
      <c r="L174">
        <v>156057613</v>
      </c>
      <c r="M174" t="s">
        <v>4485</v>
      </c>
      <c r="N174" t="s">
        <v>836</v>
      </c>
      <c r="O174" t="s">
        <v>837</v>
      </c>
      <c r="P174" t="s">
        <v>999</v>
      </c>
      <c r="Q174" t="s">
        <v>1027</v>
      </c>
      <c r="R174" t="s">
        <v>4486</v>
      </c>
      <c r="S174" t="s">
        <v>4487</v>
      </c>
      <c r="T174">
        <v>41477009259</v>
      </c>
      <c r="V174" t="s">
        <v>1732</v>
      </c>
      <c r="W174" s="41">
        <v>46087</v>
      </c>
      <c r="X174" t="s">
        <v>4488</v>
      </c>
      <c r="Y174" t="s">
        <v>4489</v>
      </c>
      <c r="AA174">
        <v>0</v>
      </c>
      <c r="AB174" t="s">
        <v>845</v>
      </c>
      <c r="AC174" t="s">
        <v>846</v>
      </c>
      <c r="AD174" t="s">
        <v>1113</v>
      </c>
      <c r="AE174" t="s">
        <v>1114</v>
      </c>
      <c r="AF174">
        <v>1</v>
      </c>
      <c r="AG174">
        <v>452210</v>
      </c>
      <c r="AH174" t="s">
        <v>849</v>
      </c>
      <c r="AI174" t="s">
        <v>850</v>
      </c>
      <c r="AJ174" t="s">
        <v>851</v>
      </c>
      <c r="AK174" t="s">
        <v>257</v>
      </c>
      <c r="AL174" t="s">
        <v>2012</v>
      </c>
      <c r="AM174" t="s">
        <v>1736</v>
      </c>
      <c r="AN174" t="s">
        <v>854</v>
      </c>
      <c r="AO174">
        <v>36805</v>
      </c>
      <c r="AP174">
        <v>494</v>
      </c>
      <c r="AQ174" t="s">
        <v>855</v>
      </c>
      <c r="AR174">
        <v>66363362</v>
      </c>
      <c r="AS174" t="s">
        <v>856</v>
      </c>
      <c r="AU174" t="s">
        <v>4490</v>
      </c>
      <c r="AV174" t="s">
        <v>4491</v>
      </c>
      <c r="AX174" t="s">
        <v>913</v>
      </c>
      <c r="AY174" t="s">
        <v>861</v>
      </c>
      <c r="AZ174" t="s">
        <v>257</v>
      </c>
      <c r="BA174" t="s">
        <v>258</v>
      </c>
      <c r="BB174">
        <v>0</v>
      </c>
      <c r="BC174">
        <v>1</v>
      </c>
      <c r="BD174">
        <v>0</v>
      </c>
      <c r="BE174" t="s">
        <v>4485</v>
      </c>
      <c r="BF174">
        <v>0</v>
      </c>
      <c r="BG174">
        <v>0</v>
      </c>
      <c r="BH174" t="s">
        <v>862</v>
      </c>
      <c r="BI174">
        <v>0</v>
      </c>
      <c r="BJ174" t="s">
        <v>862</v>
      </c>
      <c r="BK174">
        <v>1</v>
      </c>
      <c r="BL174">
        <v>1</v>
      </c>
      <c r="BM174">
        <v>0</v>
      </c>
      <c r="BN174" t="s">
        <v>596</v>
      </c>
      <c r="BO174">
        <v>156057613</v>
      </c>
      <c r="BP174" t="s">
        <v>4484</v>
      </c>
      <c r="BR174">
        <v>42789059</v>
      </c>
      <c r="BT174">
        <v>2</v>
      </c>
      <c r="BU174" t="s">
        <v>1715</v>
      </c>
      <c r="CE174">
        <v>1</v>
      </c>
      <c r="CI174">
        <v>11</v>
      </c>
      <c r="CJ174" t="s">
        <v>94</v>
      </c>
      <c r="CM174">
        <v>4010</v>
      </c>
      <c r="CO174">
        <v>7360</v>
      </c>
      <c r="CP174">
        <v>0.1</v>
      </c>
      <c r="CQ174">
        <v>0.1</v>
      </c>
      <c r="CR174">
        <v>0</v>
      </c>
      <c r="CS174">
        <v>5</v>
      </c>
      <c r="CT174" t="s">
        <v>4491</v>
      </c>
      <c r="CU174" t="s">
        <v>4490</v>
      </c>
      <c r="CV174" t="s">
        <v>833</v>
      </c>
      <c r="CW174" t="s">
        <v>834</v>
      </c>
      <c r="CX174" t="s">
        <v>4485</v>
      </c>
      <c r="CY174">
        <v>1</v>
      </c>
      <c r="CZ174">
        <v>1</v>
      </c>
      <c r="DA174" t="s">
        <v>833</v>
      </c>
      <c r="DB174" t="s">
        <v>865</v>
      </c>
      <c r="DC174">
        <v>63123</v>
      </c>
      <c r="DD174">
        <v>10.316700000000001</v>
      </c>
      <c r="DE174" t="s">
        <v>866</v>
      </c>
      <c r="DG174" t="s">
        <v>867</v>
      </c>
      <c r="DH174" t="s">
        <v>851</v>
      </c>
      <c r="DK174" t="s">
        <v>918</v>
      </c>
      <c r="DL174" t="s">
        <v>869</v>
      </c>
      <c r="DM174">
        <v>0</v>
      </c>
      <c r="DN174">
        <v>0</v>
      </c>
      <c r="DO174">
        <v>11</v>
      </c>
      <c r="DP174" t="s">
        <v>1010</v>
      </c>
      <c r="DQ174">
        <v>0</v>
      </c>
      <c r="DR174">
        <v>619</v>
      </c>
      <c r="DS174">
        <v>1339</v>
      </c>
      <c r="DT174">
        <v>10.216699999999999</v>
      </c>
      <c r="DU174">
        <v>0</v>
      </c>
      <c r="DV174">
        <v>1</v>
      </c>
      <c r="DW174">
        <v>2</v>
      </c>
      <c r="DX174" t="s">
        <v>596</v>
      </c>
      <c r="DY174" t="s">
        <v>4485</v>
      </c>
      <c r="DZ174">
        <v>1</v>
      </c>
      <c r="EA174">
        <v>1</v>
      </c>
      <c r="EB174">
        <v>1</v>
      </c>
      <c r="EC174">
        <v>1</v>
      </c>
      <c r="ED174">
        <v>1</v>
      </c>
      <c r="EE174">
        <v>1</v>
      </c>
      <c r="EF174" t="s">
        <v>920</v>
      </c>
      <c r="EG174" t="s">
        <v>595</v>
      </c>
      <c r="EH174" t="s">
        <v>921</v>
      </c>
      <c r="EI174" t="s">
        <v>921</v>
      </c>
      <c r="EJ174" t="s">
        <v>111</v>
      </c>
      <c r="EK174">
        <v>9090</v>
      </c>
      <c r="EL174">
        <v>0</v>
      </c>
      <c r="EM174" t="s">
        <v>1037</v>
      </c>
      <c r="EN174">
        <v>0</v>
      </c>
      <c r="EO174">
        <v>22.316666699999999</v>
      </c>
      <c r="EP174">
        <v>99991120</v>
      </c>
      <c r="EQ174" t="s">
        <v>874</v>
      </c>
      <c r="ER174" t="s">
        <v>875</v>
      </c>
      <c r="ES174" t="s">
        <v>876</v>
      </c>
      <c r="ET174" t="s">
        <v>877</v>
      </c>
      <c r="EU174" t="s">
        <v>877</v>
      </c>
      <c r="EV174" t="s">
        <v>920</v>
      </c>
      <c r="EX174" t="s">
        <v>900</v>
      </c>
      <c r="EY174" t="s">
        <v>923</v>
      </c>
      <c r="EZ174" t="s">
        <v>1038</v>
      </c>
      <c r="FA174" t="s">
        <v>925</v>
      </c>
      <c r="FB174">
        <v>1</v>
      </c>
      <c r="FC174">
        <v>1</v>
      </c>
      <c r="FD174" s="41">
        <v>46088</v>
      </c>
      <c r="FE174" t="s">
        <v>1719</v>
      </c>
      <c r="FF174">
        <v>7</v>
      </c>
      <c r="FG174" t="s">
        <v>4492</v>
      </c>
      <c r="FH174" t="s">
        <v>4493</v>
      </c>
      <c r="FI174">
        <v>1</v>
      </c>
      <c r="FJ174" t="s">
        <v>4494</v>
      </c>
      <c r="FK174" t="s">
        <v>4495</v>
      </c>
      <c r="FL174">
        <v>1</v>
      </c>
      <c r="FM174" t="s">
        <v>4496</v>
      </c>
      <c r="FN174" t="s">
        <v>4497</v>
      </c>
      <c r="FO174">
        <v>1</v>
      </c>
      <c r="FP174" t="s">
        <v>4498</v>
      </c>
      <c r="FQ174" t="s">
        <v>4499</v>
      </c>
      <c r="FR174">
        <v>1</v>
      </c>
      <c r="FS174" t="s">
        <v>1100</v>
      </c>
      <c r="FT174" t="s">
        <v>4500</v>
      </c>
      <c r="FU174">
        <v>1</v>
      </c>
      <c r="FV174" t="s">
        <v>4501</v>
      </c>
      <c r="FW174" t="s">
        <v>4502</v>
      </c>
      <c r="FX174">
        <v>1</v>
      </c>
      <c r="FY174" t="s">
        <v>890</v>
      </c>
      <c r="FZ174" t="s">
        <v>4503</v>
      </c>
      <c r="GA174" t="s">
        <v>4494</v>
      </c>
      <c r="GB174">
        <v>1</v>
      </c>
      <c r="GD174">
        <v>0</v>
      </c>
      <c r="GF174">
        <v>0</v>
      </c>
      <c r="GG174">
        <v>1</v>
      </c>
      <c r="GH174" t="s">
        <v>892</v>
      </c>
      <c r="GI174" t="s">
        <v>893</v>
      </c>
      <c r="GJ174" t="s">
        <v>4495</v>
      </c>
      <c r="GM174">
        <v>1</v>
      </c>
      <c r="GN174">
        <v>1</v>
      </c>
      <c r="GO174">
        <v>0</v>
      </c>
      <c r="GP174">
        <v>1</v>
      </c>
      <c r="GQ174">
        <v>1</v>
      </c>
      <c r="GR174">
        <v>0</v>
      </c>
      <c r="GS174">
        <v>1</v>
      </c>
      <c r="GT174">
        <v>0</v>
      </c>
      <c r="GU174">
        <v>1</v>
      </c>
      <c r="GV174">
        <v>0</v>
      </c>
      <c r="GW174">
        <v>1</v>
      </c>
      <c r="GX174">
        <v>0</v>
      </c>
      <c r="GY174">
        <v>1</v>
      </c>
      <c r="GZ174">
        <v>0</v>
      </c>
      <c r="HA174" t="s">
        <v>257</v>
      </c>
      <c r="HB174" t="s">
        <v>894</v>
      </c>
      <c r="HC174" t="s">
        <v>895</v>
      </c>
      <c r="HD174" t="s">
        <v>845</v>
      </c>
      <c r="HE174" t="s">
        <v>836</v>
      </c>
      <c r="HF174" t="s">
        <v>1051</v>
      </c>
      <c r="HG174" t="s">
        <v>894</v>
      </c>
      <c r="HH174" t="s">
        <v>895</v>
      </c>
      <c r="HI174" t="s">
        <v>845</v>
      </c>
      <c r="HJ174" t="s">
        <v>836</v>
      </c>
      <c r="HK174" t="s">
        <v>1037</v>
      </c>
      <c r="HL174" t="s">
        <v>1732</v>
      </c>
      <c r="HM174" t="s">
        <v>854</v>
      </c>
      <c r="HN174">
        <v>36805</v>
      </c>
      <c r="HP174" t="s">
        <v>111</v>
      </c>
      <c r="HQ174" t="s">
        <v>896</v>
      </c>
      <c r="HR174" t="s">
        <v>896</v>
      </c>
      <c r="HS174" t="s">
        <v>896</v>
      </c>
    </row>
    <row r="175" spans="1:227" x14ac:dyDescent="0.2">
      <c r="A175">
        <v>8702</v>
      </c>
      <c r="B175">
        <v>7606900559</v>
      </c>
      <c r="C175" t="s">
        <v>829</v>
      </c>
      <c r="D175" t="s">
        <v>830</v>
      </c>
      <c r="E175" t="s">
        <v>831</v>
      </c>
      <c r="F175">
        <v>1</v>
      </c>
      <c r="G175" t="s">
        <v>4504</v>
      </c>
      <c r="H175" t="s">
        <v>4504</v>
      </c>
      <c r="I175">
        <v>0</v>
      </c>
      <c r="J175" t="s">
        <v>833</v>
      </c>
      <c r="K175" t="s">
        <v>834</v>
      </c>
      <c r="L175">
        <v>153406495</v>
      </c>
      <c r="M175" t="s">
        <v>4505</v>
      </c>
      <c r="N175" t="s">
        <v>836</v>
      </c>
      <c r="O175" t="s">
        <v>837</v>
      </c>
      <c r="P175" t="s">
        <v>838</v>
      </c>
      <c r="Q175" t="s">
        <v>901</v>
      </c>
      <c r="R175" t="s">
        <v>4506</v>
      </c>
      <c r="S175" t="s">
        <v>4507</v>
      </c>
      <c r="T175">
        <v>41477088992</v>
      </c>
      <c r="V175" t="s">
        <v>1254</v>
      </c>
      <c r="W175" s="41">
        <v>46093</v>
      </c>
      <c r="X175" t="s">
        <v>4508</v>
      </c>
      <c r="Y175" t="s">
        <v>4509</v>
      </c>
      <c r="AA175">
        <v>0</v>
      </c>
      <c r="AB175" t="s">
        <v>845</v>
      </c>
      <c r="AC175" t="s">
        <v>846</v>
      </c>
      <c r="AD175" t="s">
        <v>1113</v>
      </c>
      <c r="AE175" t="s">
        <v>1114</v>
      </c>
      <c r="AF175">
        <v>1</v>
      </c>
      <c r="AG175">
        <v>452210</v>
      </c>
      <c r="AH175" t="s">
        <v>849</v>
      </c>
      <c r="AI175" t="s">
        <v>850</v>
      </c>
      <c r="AJ175" t="s">
        <v>851</v>
      </c>
      <c r="AK175" t="s">
        <v>303</v>
      </c>
      <c r="AL175" t="s">
        <v>1115</v>
      </c>
      <c r="AM175" t="s">
        <v>1258</v>
      </c>
      <c r="AN175" t="s">
        <v>854</v>
      </c>
      <c r="AO175">
        <v>36805</v>
      </c>
      <c r="AP175">
        <v>546</v>
      </c>
      <c r="AQ175" t="s">
        <v>855</v>
      </c>
      <c r="AR175">
        <v>66371967</v>
      </c>
      <c r="AS175" t="s">
        <v>856</v>
      </c>
      <c r="AU175" t="s">
        <v>4510</v>
      </c>
      <c r="AV175" t="s">
        <v>4511</v>
      </c>
      <c r="AX175" t="s">
        <v>913</v>
      </c>
      <c r="AY175" t="s">
        <v>861</v>
      </c>
      <c r="AZ175" t="s">
        <v>303</v>
      </c>
      <c r="BA175" t="s">
        <v>304</v>
      </c>
      <c r="BB175">
        <v>0</v>
      </c>
      <c r="BC175">
        <v>1</v>
      </c>
      <c r="BD175">
        <v>0</v>
      </c>
      <c r="BE175" t="s">
        <v>4505</v>
      </c>
      <c r="BF175">
        <v>0</v>
      </c>
      <c r="BG175">
        <v>0</v>
      </c>
      <c r="BH175" t="s">
        <v>862</v>
      </c>
      <c r="BI175">
        <v>0</v>
      </c>
      <c r="BJ175" t="s">
        <v>862</v>
      </c>
      <c r="BK175">
        <v>1</v>
      </c>
      <c r="BL175">
        <v>1</v>
      </c>
      <c r="BM175">
        <v>0</v>
      </c>
      <c r="BN175" t="s">
        <v>596</v>
      </c>
      <c r="BO175">
        <v>153406495</v>
      </c>
      <c r="BP175" t="s">
        <v>4504</v>
      </c>
      <c r="BR175">
        <v>42791462</v>
      </c>
      <c r="BT175">
        <v>0</v>
      </c>
      <c r="BU175" t="s">
        <v>1715</v>
      </c>
      <c r="BY175">
        <v>16</v>
      </c>
      <c r="CA175">
        <v>22</v>
      </c>
      <c r="CE175">
        <v>0</v>
      </c>
      <c r="CI175">
        <v>11</v>
      </c>
      <c r="CJ175" t="s">
        <v>94</v>
      </c>
      <c r="CM175">
        <v>4010</v>
      </c>
      <c r="CO175">
        <v>7360</v>
      </c>
      <c r="CP175">
        <v>2.9333</v>
      </c>
      <c r="CQ175">
        <v>2.9333</v>
      </c>
      <c r="CR175">
        <v>3.6166999999999998</v>
      </c>
      <c r="CS175">
        <v>0</v>
      </c>
      <c r="CT175" t="s">
        <v>4511</v>
      </c>
      <c r="CU175" t="s">
        <v>4510</v>
      </c>
      <c r="CV175" t="s">
        <v>833</v>
      </c>
      <c r="CW175" t="s">
        <v>834</v>
      </c>
      <c r="CX175" t="s">
        <v>4505</v>
      </c>
      <c r="CY175">
        <v>1</v>
      </c>
      <c r="CZ175">
        <v>1</v>
      </c>
      <c r="DA175" t="s">
        <v>833</v>
      </c>
      <c r="DB175" t="s">
        <v>865</v>
      </c>
      <c r="DC175">
        <v>55447</v>
      </c>
      <c r="DD175">
        <v>21.65</v>
      </c>
      <c r="DE175" t="s">
        <v>866</v>
      </c>
      <c r="DG175" t="s">
        <v>867</v>
      </c>
      <c r="DH175" t="s">
        <v>851</v>
      </c>
      <c r="DK175" t="s">
        <v>918</v>
      </c>
      <c r="DL175" t="s">
        <v>869</v>
      </c>
      <c r="DM175">
        <v>0</v>
      </c>
      <c r="DN175">
        <v>0</v>
      </c>
      <c r="DO175">
        <v>11</v>
      </c>
      <c r="DP175" t="s">
        <v>1010</v>
      </c>
      <c r="DQ175">
        <v>0</v>
      </c>
      <c r="DR175">
        <v>1299</v>
      </c>
      <c r="DS175">
        <v>2739</v>
      </c>
      <c r="DT175">
        <v>8.6999999999999993</v>
      </c>
      <c r="DU175">
        <v>0</v>
      </c>
      <c r="DV175">
        <v>1</v>
      </c>
      <c r="DW175">
        <v>2</v>
      </c>
      <c r="DX175" t="s">
        <v>596</v>
      </c>
      <c r="DY175" t="s">
        <v>4505</v>
      </c>
      <c r="DZ175">
        <v>1</v>
      </c>
      <c r="EA175">
        <v>1</v>
      </c>
      <c r="EB175">
        <v>1</v>
      </c>
      <c r="EC175">
        <v>1</v>
      </c>
      <c r="ED175">
        <v>1</v>
      </c>
      <c r="EE175">
        <v>1</v>
      </c>
      <c r="EF175" t="s">
        <v>871</v>
      </c>
      <c r="EG175" t="s">
        <v>595</v>
      </c>
      <c r="EH175" t="s">
        <v>921</v>
      </c>
      <c r="EI175" t="s">
        <v>921</v>
      </c>
      <c r="EJ175" t="s">
        <v>159</v>
      </c>
      <c r="EK175">
        <v>9090</v>
      </c>
      <c r="EL175">
        <v>1</v>
      </c>
      <c r="EM175" t="s">
        <v>873</v>
      </c>
      <c r="EN175">
        <v>3.6166999999999998</v>
      </c>
      <c r="EO175">
        <v>45.65</v>
      </c>
      <c r="EP175">
        <v>99991120</v>
      </c>
      <c r="EQ175" t="s">
        <v>874</v>
      </c>
      <c r="ER175" t="s">
        <v>875</v>
      </c>
      <c r="ES175" t="s">
        <v>876</v>
      </c>
      <c r="ET175" t="s">
        <v>877</v>
      </c>
      <c r="EU175" t="s">
        <v>877</v>
      </c>
      <c r="EV175" t="s">
        <v>871</v>
      </c>
      <c r="EX175" t="s">
        <v>836</v>
      </c>
      <c r="EY175" t="s">
        <v>1121</v>
      </c>
      <c r="EZ175" t="s">
        <v>1122</v>
      </c>
      <c r="FA175" t="s">
        <v>956</v>
      </c>
      <c r="FB175">
        <v>1</v>
      </c>
      <c r="FC175">
        <v>2</v>
      </c>
      <c r="FD175" s="41">
        <v>46095</v>
      </c>
      <c r="FE175" t="s">
        <v>1719</v>
      </c>
      <c r="FF175">
        <v>8</v>
      </c>
      <c r="FG175" t="s">
        <v>4512</v>
      </c>
      <c r="FH175" t="s">
        <v>4513</v>
      </c>
      <c r="FI175">
        <v>1</v>
      </c>
      <c r="FJ175" t="s">
        <v>4514</v>
      </c>
      <c r="FK175" t="s">
        <v>4513</v>
      </c>
      <c r="FL175">
        <v>1</v>
      </c>
      <c r="FM175" t="s">
        <v>4515</v>
      </c>
      <c r="FN175" t="s">
        <v>4516</v>
      </c>
      <c r="FO175">
        <v>1</v>
      </c>
      <c r="FP175" t="s">
        <v>4517</v>
      </c>
      <c r="FQ175" t="s">
        <v>4518</v>
      </c>
      <c r="FR175">
        <v>1</v>
      </c>
      <c r="FS175" t="s">
        <v>1502</v>
      </c>
      <c r="FT175" t="s">
        <v>4519</v>
      </c>
      <c r="FU175">
        <v>1</v>
      </c>
      <c r="FV175" t="s">
        <v>4520</v>
      </c>
      <c r="FW175" t="s">
        <v>4521</v>
      </c>
      <c r="FX175">
        <v>1</v>
      </c>
      <c r="FY175" t="s">
        <v>890</v>
      </c>
      <c r="FZ175" t="s">
        <v>4522</v>
      </c>
      <c r="GA175" t="s">
        <v>4514</v>
      </c>
      <c r="GB175">
        <v>1</v>
      </c>
      <c r="GD175">
        <v>0</v>
      </c>
      <c r="GF175">
        <v>0</v>
      </c>
      <c r="GG175">
        <v>1</v>
      </c>
      <c r="GH175" t="s">
        <v>892</v>
      </c>
      <c r="GI175" t="s">
        <v>893</v>
      </c>
      <c r="GJ175" t="s">
        <v>4513</v>
      </c>
      <c r="GM175">
        <v>1</v>
      </c>
      <c r="GN175">
        <v>0</v>
      </c>
      <c r="GO175">
        <v>0</v>
      </c>
      <c r="GP175">
        <v>1</v>
      </c>
      <c r="GQ175">
        <v>1</v>
      </c>
      <c r="GR175">
        <v>0</v>
      </c>
      <c r="GS175">
        <v>1</v>
      </c>
      <c r="GT175">
        <v>0</v>
      </c>
      <c r="GU175">
        <v>1</v>
      </c>
      <c r="GV175">
        <v>0</v>
      </c>
      <c r="GW175">
        <v>1</v>
      </c>
      <c r="GX175">
        <v>0</v>
      </c>
      <c r="GY175">
        <v>1</v>
      </c>
      <c r="GZ175">
        <v>0</v>
      </c>
      <c r="HA175" t="s">
        <v>303</v>
      </c>
      <c r="HB175" t="s">
        <v>894</v>
      </c>
      <c r="HC175" t="s">
        <v>895</v>
      </c>
      <c r="HD175" t="s">
        <v>845</v>
      </c>
      <c r="HE175" t="s">
        <v>836</v>
      </c>
      <c r="HF175" t="s">
        <v>873</v>
      </c>
      <c r="HG175" t="s">
        <v>894</v>
      </c>
      <c r="HH175" t="s">
        <v>895</v>
      </c>
      <c r="HI175" t="s">
        <v>845</v>
      </c>
      <c r="HJ175" t="s">
        <v>836</v>
      </c>
      <c r="HK175" t="s">
        <v>873</v>
      </c>
      <c r="HL175" t="s">
        <v>1254</v>
      </c>
      <c r="HM175" t="s">
        <v>854</v>
      </c>
      <c r="HN175">
        <v>36805</v>
      </c>
      <c r="HP175" t="s">
        <v>159</v>
      </c>
      <c r="HQ175" t="s">
        <v>896</v>
      </c>
      <c r="HR175" t="s">
        <v>896</v>
      </c>
      <c r="HS175" t="s">
        <v>896</v>
      </c>
    </row>
    <row r="176" spans="1:227" x14ac:dyDescent="0.2">
      <c r="A176">
        <v>8702</v>
      </c>
      <c r="B176">
        <v>7601002526</v>
      </c>
      <c r="C176" t="s">
        <v>829</v>
      </c>
      <c r="D176" t="s">
        <v>830</v>
      </c>
      <c r="E176" t="s">
        <v>897</v>
      </c>
      <c r="F176">
        <v>1</v>
      </c>
      <c r="G176" t="s">
        <v>4523</v>
      </c>
      <c r="H176" t="s">
        <v>4523</v>
      </c>
      <c r="I176">
        <v>0</v>
      </c>
      <c r="J176" t="s">
        <v>833</v>
      </c>
      <c r="K176" t="s">
        <v>834</v>
      </c>
      <c r="L176">
        <v>153406484</v>
      </c>
      <c r="M176" t="s">
        <v>4524</v>
      </c>
      <c r="N176" t="s">
        <v>900</v>
      </c>
      <c r="O176" t="s">
        <v>837</v>
      </c>
      <c r="P176" t="s">
        <v>838</v>
      </c>
      <c r="Q176" t="s">
        <v>839</v>
      </c>
      <c r="R176" t="s">
        <v>4525</v>
      </c>
      <c r="S176" t="s">
        <v>4526</v>
      </c>
      <c r="T176">
        <v>41477014545</v>
      </c>
      <c r="V176" t="s">
        <v>202</v>
      </c>
      <c r="W176" s="41">
        <v>46032</v>
      </c>
      <c r="X176" t="s">
        <v>4527</v>
      </c>
      <c r="Y176" t="s">
        <v>4528</v>
      </c>
      <c r="Z176">
        <v>1</v>
      </c>
      <c r="AA176">
        <v>0</v>
      </c>
      <c r="AB176" t="s">
        <v>845</v>
      </c>
      <c r="AC176" t="s">
        <v>846</v>
      </c>
      <c r="AD176" t="s">
        <v>847</v>
      </c>
      <c r="AE176" t="s">
        <v>848</v>
      </c>
      <c r="AF176">
        <v>1</v>
      </c>
      <c r="AG176">
        <v>452210</v>
      </c>
      <c r="AH176" t="s">
        <v>849</v>
      </c>
      <c r="AI176" t="s">
        <v>850</v>
      </c>
      <c r="AJ176" t="s">
        <v>851</v>
      </c>
      <c r="AK176" t="s">
        <v>319</v>
      </c>
      <c r="AL176" t="s">
        <v>946</v>
      </c>
      <c r="AM176" t="s">
        <v>947</v>
      </c>
      <c r="AN176" t="s">
        <v>854</v>
      </c>
      <c r="AO176">
        <v>36805</v>
      </c>
      <c r="AP176">
        <v>643</v>
      </c>
      <c r="AQ176" t="s">
        <v>855</v>
      </c>
      <c r="AR176">
        <v>66283911</v>
      </c>
      <c r="AS176" t="s">
        <v>856</v>
      </c>
      <c r="AU176" t="s">
        <v>4529</v>
      </c>
      <c r="AV176" t="s">
        <v>4530</v>
      </c>
      <c r="AX176" t="s">
        <v>913</v>
      </c>
      <c r="AY176" t="s">
        <v>861</v>
      </c>
      <c r="AZ176" t="s">
        <v>319</v>
      </c>
      <c r="BA176" t="s">
        <v>320</v>
      </c>
      <c r="BB176">
        <v>0</v>
      </c>
      <c r="BC176">
        <v>0</v>
      </c>
      <c r="BD176">
        <v>1</v>
      </c>
      <c r="BE176" t="s">
        <v>4524</v>
      </c>
      <c r="BF176">
        <v>0</v>
      </c>
      <c r="BG176">
        <v>0</v>
      </c>
      <c r="BH176" t="s">
        <v>862</v>
      </c>
      <c r="BI176">
        <v>0</v>
      </c>
      <c r="BJ176" t="s">
        <v>862</v>
      </c>
      <c r="BK176">
        <v>1</v>
      </c>
      <c r="BL176">
        <v>1</v>
      </c>
      <c r="BM176">
        <v>0</v>
      </c>
      <c r="BN176" t="s">
        <v>596</v>
      </c>
      <c r="BO176">
        <v>153406484</v>
      </c>
      <c r="BP176" t="s">
        <v>4523</v>
      </c>
      <c r="BQ176">
        <v>42.563986300000003</v>
      </c>
      <c r="BR176">
        <v>42791774</v>
      </c>
      <c r="BS176">
        <v>-83.130451600000001</v>
      </c>
      <c r="BT176">
        <v>2</v>
      </c>
      <c r="BU176" t="s">
        <v>1367</v>
      </c>
      <c r="CE176">
        <v>1</v>
      </c>
      <c r="CI176">
        <v>11</v>
      </c>
      <c r="CJ176" t="s">
        <v>94</v>
      </c>
      <c r="CM176">
        <v>4010</v>
      </c>
      <c r="CO176">
        <v>7360</v>
      </c>
      <c r="CP176">
        <v>0.86670000000000003</v>
      </c>
      <c r="CQ176">
        <v>0.86670000000000003</v>
      </c>
      <c r="CR176">
        <v>0.51670000000000005</v>
      </c>
      <c r="CS176">
        <v>3</v>
      </c>
      <c r="CT176" t="s">
        <v>4530</v>
      </c>
      <c r="CU176" t="s">
        <v>4529</v>
      </c>
      <c r="CV176" t="s">
        <v>833</v>
      </c>
      <c r="CW176" t="s">
        <v>834</v>
      </c>
      <c r="CX176" t="s">
        <v>4524</v>
      </c>
      <c r="CY176">
        <v>1</v>
      </c>
      <c r="CZ176">
        <v>1</v>
      </c>
      <c r="DA176" t="s">
        <v>833</v>
      </c>
      <c r="DB176" t="s">
        <v>865</v>
      </c>
      <c r="DC176">
        <v>48083</v>
      </c>
      <c r="DD176">
        <v>2.0667</v>
      </c>
      <c r="DE176" t="s">
        <v>866</v>
      </c>
      <c r="DG176" t="s">
        <v>867</v>
      </c>
      <c r="DH176" t="s">
        <v>851</v>
      </c>
      <c r="DK176" t="s">
        <v>918</v>
      </c>
      <c r="DL176" t="s">
        <v>869</v>
      </c>
      <c r="DM176">
        <v>0</v>
      </c>
      <c r="DN176">
        <v>0</v>
      </c>
      <c r="DO176">
        <v>11</v>
      </c>
      <c r="DP176" t="s">
        <v>1010</v>
      </c>
      <c r="DQ176">
        <v>16</v>
      </c>
      <c r="DR176">
        <v>124</v>
      </c>
      <c r="DS176">
        <v>124</v>
      </c>
      <c r="DT176">
        <v>1.2</v>
      </c>
      <c r="DU176">
        <v>4</v>
      </c>
      <c r="DV176">
        <v>1</v>
      </c>
      <c r="DW176">
        <v>2</v>
      </c>
      <c r="DX176" t="s">
        <v>596</v>
      </c>
      <c r="DY176" t="s">
        <v>4524</v>
      </c>
      <c r="DZ176">
        <v>1</v>
      </c>
      <c r="EA176">
        <v>1</v>
      </c>
      <c r="EB176">
        <v>1</v>
      </c>
      <c r="EC176">
        <v>1</v>
      </c>
      <c r="ED176">
        <v>1</v>
      </c>
      <c r="EE176">
        <v>1</v>
      </c>
      <c r="EF176" t="s">
        <v>920</v>
      </c>
      <c r="EG176" t="s">
        <v>595</v>
      </c>
      <c r="EH176" t="s">
        <v>921</v>
      </c>
      <c r="EI176" t="s">
        <v>921</v>
      </c>
      <c r="EJ176" t="s">
        <v>178</v>
      </c>
      <c r="EK176">
        <v>9090</v>
      </c>
      <c r="EL176">
        <v>0</v>
      </c>
      <c r="EM176" t="s">
        <v>952</v>
      </c>
      <c r="EN176">
        <v>0.51670000000000005</v>
      </c>
      <c r="EO176">
        <v>2.0666666</v>
      </c>
      <c r="EP176">
        <v>99991120</v>
      </c>
      <c r="EQ176" t="s">
        <v>874</v>
      </c>
      <c r="ER176" t="s">
        <v>875</v>
      </c>
      <c r="ES176" t="s">
        <v>876</v>
      </c>
      <c r="ET176" t="s">
        <v>877</v>
      </c>
      <c r="EU176" t="s">
        <v>877</v>
      </c>
      <c r="EV176" t="s">
        <v>920</v>
      </c>
      <c r="EX176" t="s">
        <v>953</v>
      </c>
      <c r="EY176" t="s">
        <v>954</v>
      </c>
      <c r="EZ176" t="s">
        <v>955</v>
      </c>
      <c r="FA176" t="s">
        <v>956</v>
      </c>
      <c r="FB176">
        <v>1</v>
      </c>
      <c r="FC176">
        <v>1</v>
      </c>
      <c r="FD176" s="41">
        <v>46032</v>
      </c>
      <c r="FE176" t="s">
        <v>1370</v>
      </c>
      <c r="FF176">
        <v>7</v>
      </c>
      <c r="FG176" t="s">
        <v>4531</v>
      </c>
      <c r="FH176" t="s">
        <v>4532</v>
      </c>
      <c r="FI176">
        <v>1</v>
      </c>
      <c r="FJ176" t="s">
        <v>4533</v>
      </c>
      <c r="FK176" t="s">
        <v>4532</v>
      </c>
      <c r="FL176">
        <v>1</v>
      </c>
      <c r="FM176" t="s">
        <v>4534</v>
      </c>
      <c r="FN176" t="s">
        <v>4535</v>
      </c>
      <c r="FO176">
        <v>1</v>
      </c>
      <c r="FP176" t="s">
        <v>4536</v>
      </c>
      <c r="FQ176" t="s">
        <v>4537</v>
      </c>
      <c r="FR176">
        <v>1</v>
      </c>
      <c r="FS176" t="s">
        <v>964</v>
      </c>
      <c r="FT176" t="s">
        <v>4538</v>
      </c>
      <c r="FU176">
        <v>1</v>
      </c>
      <c r="FV176" t="s">
        <v>966</v>
      </c>
      <c r="FW176" t="s">
        <v>4539</v>
      </c>
      <c r="FX176">
        <v>1</v>
      </c>
      <c r="FY176" t="s">
        <v>890</v>
      </c>
      <c r="FZ176" t="s">
        <v>4540</v>
      </c>
      <c r="GA176" t="s">
        <v>4533</v>
      </c>
      <c r="GB176">
        <v>1</v>
      </c>
      <c r="GD176">
        <v>0</v>
      </c>
      <c r="GF176">
        <v>0</v>
      </c>
      <c r="GG176">
        <v>1</v>
      </c>
      <c r="GH176" t="s">
        <v>892</v>
      </c>
      <c r="GI176" t="s">
        <v>893</v>
      </c>
      <c r="GJ176" t="s">
        <v>4532</v>
      </c>
      <c r="GM176">
        <v>1</v>
      </c>
      <c r="GN176">
        <v>1</v>
      </c>
      <c r="GO176">
        <v>0</v>
      </c>
      <c r="GP176">
        <v>1</v>
      </c>
      <c r="GQ176">
        <v>1</v>
      </c>
      <c r="GR176">
        <v>0</v>
      </c>
      <c r="GS176">
        <v>1</v>
      </c>
      <c r="GT176">
        <v>0</v>
      </c>
      <c r="GU176">
        <v>1</v>
      </c>
      <c r="GV176">
        <v>0</v>
      </c>
      <c r="GW176">
        <v>1</v>
      </c>
      <c r="GX176">
        <v>0</v>
      </c>
      <c r="GY176">
        <v>1</v>
      </c>
      <c r="GZ176">
        <v>0</v>
      </c>
      <c r="HA176" t="s">
        <v>319</v>
      </c>
      <c r="HB176" t="s">
        <v>894</v>
      </c>
      <c r="HC176" t="s">
        <v>935</v>
      </c>
      <c r="HD176" t="s">
        <v>845</v>
      </c>
      <c r="HE176" t="s">
        <v>900</v>
      </c>
      <c r="HF176" t="s">
        <v>923</v>
      </c>
      <c r="HG176" t="s">
        <v>894</v>
      </c>
      <c r="HH176" t="s">
        <v>935</v>
      </c>
      <c r="HI176" t="s">
        <v>845</v>
      </c>
      <c r="HJ176" t="s">
        <v>900</v>
      </c>
      <c r="HK176" t="s">
        <v>952</v>
      </c>
      <c r="HL176" t="s">
        <v>202</v>
      </c>
      <c r="HM176" t="s">
        <v>854</v>
      </c>
      <c r="HN176">
        <v>36805</v>
      </c>
      <c r="HP176" t="s">
        <v>178</v>
      </c>
      <c r="HQ176" t="s">
        <v>896</v>
      </c>
      <c r="HR176" t="s">
        <v>896</v>
      </c>
      <c r="HS176" t="s">
        <v>896</v>
      </c>
    </row>
    <row r="177" spans="1:227" x14ac:dyDescent="0.2">
      <c r="A177">
        <v>8702</v>
      </c>
      <c r="B177">
        <v>7521807660</v>
      </c>
      <c r="C177" t="s">
        <v>1171</v>
      </c>
      <c r="D177" t="s">
        <v>1172</v>
      </c>
      <c r="E177" t="s">
        <v>831</v>
      </c>
      <c r="F177">
        <v>0</v>
      </c>
      <c r="G177" t="s">
        <v>4541</v>
      </c>
      <c r="H177" t="s">
        <v>4541</v>
      </c>
      <c r="I177">
        <v>0</v>
      </c>
      <c r="J177" t="s">
        <v>833</v>
      </c>
      <c r="K177" t="s">
        <v>834</v>
      </c>
      <c r="L177">
        <v>156046213</v>
      </c>
      <c r="M177" t="s">
        <v>2984</v>
      </c>
      <c r="N177" t="s">
        <v>836</v>
      </c>
      <c r="O177" t="s">
        <v>837</v>
      </c>
      <c r="P177" t="s">
        <v>4542</v>
      </c>
      <c r="Q177" t="s">
        <v>4543</v>
      </c>
      <c r="R177" t="s">
        <v>4544</v>
      </c>
      <c r="S177" t="s">
        <v>4545</v>
      </c>
      <c r="T177">
        <v>41477123639</v>
      </c>
      <c r="V177" t="s">
        <v>187</v>
      </c>
      <c r="W177" s="41">
        <v>45875</v>
      </c>
      <c r="X177" t="s">
        <v>4546</v>
      </c>
      <c r="Y177" t="s">
        <v>4547</v>
      </c>
      <c r="AA177">
        <v>0</v>
      </c>
      <c r="AB177" t="s">
        <v>845</v>
      </c>
      <c r="AC177" t="s">
        <v>846</v>
      </c>
      <c r="AD177" t="s">
        <v>847</v>
      </c>
      <c r="AE177" t="s">
        <v>848</v>
      </c>
      <c r="AF177">
        <v>1</v>
      </c>
      <c r="AG177">
        <v>452210</v>
      </c>
      <c r="AH177" t="s">
        <v>849</v>
      </c>
      <c r="AI177" t="s">
        <v>850</v>
      </c>
      <c r="AJ177" t="s">
        <v>851</v>
      </c>
      <c r="AK177" t="s">
        <v>387</v>
      </c>
      <c r="AL177" t="s">
        <v>2989</v>
      </c>
      <c r="AM177" t="s">
        <v>2553</v>
      </c>
      <c r="AN177" t="s">
        <v>854</v>
      </c>
      <c r="AO177">
        <v>36805</v>
      </c>
      <c r="AP177">
        <v>634</v>
      </c>
      <c r="AQ177" t="s">
        <v>855</v>
      </c>
      <c r="AR177">
        <v>66058041</v>
      </c>
      <c r="AS177" t="s">
        <v>856</v>
      </c>
      <c r="AU177" t="s">
        <v>4548</v>
      </c>
      <c r="AV177" t="s">
        <v>4549</v>
      </c>
      <c r="AX177" t="s">
        <v>913</v>
      </c>
      <c r="AY177" t="s">
        <v>861</v>
      </c>
      <c r="AZ177" t="s">
        <v>387</v>
      </c>
      <c r="BA177" t="s">
        <v>388</v>
      </c>
      <c r="BB177">
        <v>0</v>
      </c>
      <c r="BC177">
        <v>0</v>
      </c>
      <c r="BD177">
        <v>0</v>
      </c>
      <c r="BE177" t="s">
        <v>2984</v>
      </c>
      <c r="BF177">
        <v>0</v>
      </c>
      <c r="BG177">
        <v>0</v>
      </c>
      <c r="BH177" t="s">
        <v>862</v>
      </c>
      <c r="BI177">
        <v>0</v>
      </c>
      <c r="BJ177" t="s">
        <v>862</v>
      </c>
      <c r="BK177">
        <v>1</v>
      </c>
      <c r="BL177">
        <v>1</v>
      </c>
      <c r="BM177">
        <v>0</v>
      </c>
      <c r="BN177" t="s">
        <v>596</v>
      </c>
      <c r="BO177">
        <v>156046213</v>
      </c>
      <c r="BP177" t="s">
        <v>4541</v>
      </c>
      <c r="BR177">
        <v>42791756</v>
      </c>
      <c r="BT177">
        <v>0</v>
      </c>
      <c r="CM177">
        <v>4010</v>
      </c>
      <c r="CO177">
        <v>7360</v>
      </c>
      <c r="CP177">
        <v>0.3</v>
      </c>
      <c r="CQ177">
        <v>0.3</v>
      </c>
      <c r="CR177">
        <v>0.65</v>
      </c>
      <c r="CS177">
        <v>2</v>
      </c>
      <c r="CT177" t="s">
        <v>4549</v>
      </c>
      <c r="CU177" t="s">
        <v>4548</v>
      </c>
      <c r="CV177" t="s">
        <v>833</v>
      </c>
      <c r="CW177" t="s">
        <v>834</v>
      </c>
      <c r="CX177" t="s">
        <v>2984</v>
      </c>
      <c r="CY177">
        <v>0</v>
      </c>
      <c r="CZ177">
        <v>0</v>
      </c>
      <c r="DA177" t="s">
        <v>833</v>
      </c>
      <c r="DB177" t="s">
        <v>865</v>
      </c>
      <c r="DC177">
        <v>60435</v>
      </c>
      <c r="DD177">
        <v>1.4333</v>
      </c>
      <c r="DE177" t="s">
        <v>866</v>
      </c>
      <c r="DG177" t="s">
        <v>867</v>
      </c>
      <c r="DH177" t="s">
        <v>851</v>
      </c>
      <c r="DI177" t="s">
        <v>984</v>
      </c>
      <c r="DL177" t="s">
        <v>869</v>
      </c>
      <c r="DM177">
        <v>0</v>
      </c>
      <c r="DN177">
        <v>0</v>
      </c>
      <c r="DO177">
        <v>2</v>
      </c>
      <c r="DP177" t="s">
        <v>870</v>
      </c>
      <c r="DQ177">
        <v>16</v>
      </c>
      <c r="DR177">
        <v>86</v>
      </c>
      <c r="DS177">
        <v>86</v>
      </c>
      <c r="DT177">
        <v>1.1333</v>
      </c>
      <c r="DU177">
        <v>4</v>
      </c>
      <c r="DW177">
        <v>2</v>
      </c>
      <c r="DX177" t="s">
        <v>596</v>
      </c>
      <c r="DY177" t="s">
        <v>2984</v>
      </c>
      <c r="DZ177">
        <v>1</v>
      </c>
      <c r="EA177">
        <v>1</v>
      </c>
      <c r="EB177">
        <v>1</v>
      </c>
      <c r="EC177">
        <v>1</v>
      </c>
      <c r="ED177">
        <v>1</v>
      </c>
      <c r="EE177">
        <v>1</v>
      </c>
      <c r="EF177" t="s">
        <v>871</v>
      </c>
      <c r="EG177" t="s">
        <v>595</v>
      </c>
      <c r="EH177" t="s">
        <v>921</v>
      </c>
      <c r="EI177" t="s">
        <v>921</v>
      </c>
      <c r="EJ177" t="s">
        <v>181</v>
      </c>
      <c r="EK177">
        <v>9090</v>
      </c>
      <c r="EL177">
        <v>0</v>
      </c>
      <c r="EM177" t="s">
        <v>1436</v>
      </c>
      <c r="EN177">
        <v>0.65</v>
      </c>
      <c r="EO177">
        <v>1.4333332999999999</v>
      </c>
      <c r="EP177">
        <v>99991120</v>
      </c>
      <c r="EQ177" t="s">
        <v>874</v>
      </c>
      <c r="ER177" t="s">
        <v>875</v>
      </c>
      <c r="ES177" t="s">
        <v>876</v>
      </c>
      <c r="ET177" t="s">
        <v>877</v>
      </c>
      <c r="EU177" t="s">
        <v>877</v>
      </c>
      <c r="EV177" t="s">
        <v>871</v>
      </c>
      <c r="EX177" t="s">
        <v>836</v>
      </c>
      <c r="EY177" t="s">
        <v>873</v>
      </c>
      <c r="EZ177" t="s">
        <v>1437</v>
      </c>
      <c r="FA177" t="s">
        <v>956</v>
      </c>
      <c r="FB177">
        <v>1</v>
      </c>
      <c r="FC177">
        <v>1</v>
      </c>
      <c r="FD177" s="41">
        <v>45878</v>
      </c>
      <c r="FE177" t="s">
        <v>987</v>
      </c>
      <c r="FF177">
        <v>6</v>
      </c>
      <c r="FG177" t="s">
        <v>2616</v>
      </c>
      <c r="FH177" t="s">
        <v>4550</v>
      </c>
      <c r="FI177">
        <v>1</v>
      </c>
      <c r="FJ177" t="s">
        <v>4551</v>
      </c>
      <c r="FK177" t="s">
        <v>4552</v>
      </c>
      <c r="FL177">
        <v>1</v>
      </c>
      <c r="FM177" t="s">
        <v>2997</v>
      </c>
      <c r="FN177" t="s">
        <v>4553</v>
      </c>
      <c r="FO177">
        <v>1</v>
      </c>
      <c r="FP177" t="s">
        <v>4554</v>
      </c>
      <c r="FQ177" t="s">
        <v>4555</v>
      </c>
      <c r="FR177">
        <v>1</v>
      </c>
      <c r="FS177" t="s">
        <v>4556</v>
      </c>
      <c r="FT177" t="s">
        <v>4557</v>
      </c>
      <c r="FU177">
        <v>1</v>
      </c>
      <c r="FV177" t="s">
        <v>4558</v>
      </c>
      <c r="FW177" t="s">
        <v>4559</v>
      </c>
      <c r="FX177">
        <v>1</v>
      </c>
      <c r="FY177" t="s">
        <v>890</v>
      </c>
      <c r="FZ177" t="s">
        <v>4560</v>
      </c>
      <c r="GA177" t="s">
        <v>4551</v>
      </c>
      <c r="GB177">
        <v>1</v>
      </c>
      <c r="GD177">
        <v>0</v>
      </c>
      <c r="GF177">
        <v>0</v>
      </c>
      <c r="GG177">
        <v>1</v>
      </c>
      <c r="GH177" t="s">
        <v>892</v>
      </c>
      <c r="GI177" t="s">
        <v>893</v>
      </c>
      <c r="GJ177" t="s">
        <v>4552</v>
      </c>
      <c r="GM177">
        <v>1</v>
      </c>
      <c r="GN177">
        <v>1</v>
      </c>
      <c r="GO177">
        <v>0</v>
      </c>
      <c r="GP177">
        <v>1</v>
      </c>
      <c r="GQ177">
        <v>1</v>
      </c>
      <c r="GR177">
        <v>0</v>
      </c>
      <c r="GS177">
        <v>1</v>
      </c>
      <c r="GT177">
        <v>0</v>
      </c>
      <c r="GU177">
        <v>1</v>
      </c>
      <c r="GV177">
        <v>0</v>
      </c>
      <c r="GW177">
        <v>1</v>
      </c>
      <c r="GX177">
        <v>0</v>
      </c>
      <c r="GY177">
        <v>1</v>
      </c>
      <c r="GZ177">
        <v>0</v>
      </c>
      <c r="HA177" t="s">
        <v>387</v>
      </c>
      <c r="HB177" t="s">
        <v>894</v>
      </c>
      <c r="HC177" t="s">
        <v>895</v>
      </c>
      <c r="HD177" t="s">
        <v>845</v>
      </c>
      <c r="HE177" t="s">
        <v>836</v>
      </c>
      <c r="HF177" t="s">
        <v>873</v>
      </c>
      <c r="HG177" t="s">
        <v>894</v>
      </c>
      <c r="HH177" t="s">
        <v>895</v>
      </c>
      <c r="HI177" t="s">
        <v>845</v>
      </c>
      <c r="HJ177" t="s">
        <v>836</v>
      </c>
      <c r="HK177" t="s">
        <v>1436</v>
      </c>
      <c r="HL177" t="s">
        <v>187</v>
      </c>
      <c r="HM177" t="s">
        <v>854</v>
      </c>
      <c r="HN177">
        <v>36805</v>
      </c>
      <c r="HP177" t="s">
        <v>181</v>
      </c>
      <c r="HQ177" t="s">
        <v>896</v>
      </c>
      <c r="HR177" t="s">
        <v>896</v>
      </c>
      <c r="HS177" t="s">
        <v>896</v>
      </c>
    </row>
    <row r="178" spans="1:227" x14ac:dyDescent="0.2">
      <c r="A178">
        <v>8702</v>
      </c>
      <c r="B178">
        <v>7524614539</v>
      </c>
      <c r="C178">
        <v>34</v>
      </c>
      <c r="D178" t="s">
        <v>996</v>
      </c>
      <c r="E178" t="s">
        <v>831</v>
      </c>
      <c r="F178">
        <v>0</v>
      </c>
      <c r="G178" t="s">
        <v>4561</v>
      </c>
      <c r="H178" t="s">
        <v>4561</v>
      </c>
      <c r="I178">
        <v>0</v>
      </c>
      <c r="J178" t="s">
        <v>833</v>
      </c>
      <c r="K178" t="s">
        <v>834</v>
      </c>
      <c r="L178">
        <v>153406558</v>
      </c>
      <c r="M178" t="s">
        <v>1662</v>
      </c>
      <c r="N178" t="s">
        <v>836</v>
      </c>
      <c r="O178" t="s">
        <v>837</v>
      </c>
      <c r="P178" t="s">
        <v>999</v>
      </c>
      <c r="Q178" t="s">
        <v>1027</v>
      </c>
      <c r="R178" t="s">
        <v>4562</v>
      </c>
      <c r="S178" t="s">
        <v>4563</v>
      </c>
      <c r="T178">
        <v>30300134878</v>
      </c>
      <c r="V178" t="s">
        <v>165</v>
      </c>
      <c r="W178" s="41">
        <v>45903</v>
      </c>
      <c r="X178" t="s">
        <v>4564</v>
      </c>
      <c r="Y178" t="s">
        <v>4565</v>
      </c>
      <c r="AA178">
        <v>0</v>
      </c>
      <c r="AB178" t="s">
        <v>845</v>
      </c>
      <c r="AC178" t="s">
        <v>846</v>
      </c>
      <c r="AD178" t="s">
        <v>847</v>
      </c>
      <c r="AE178" t="s">
        <v>848</v>
      </c>
      <c r="AF178">
        <v>1</v>
      </c>
      <c r="AG178">
        <v>452210</v>
      </c>
      <c r="AH178" t="s">
        <v>849</v>
      </c>
      <c r="AI178" t="s">
        <v>850</v>
      </c>
      <c r="AJ178" t="s">
        <v>851</v>
      </c>
      <c r="AK178" t="s">
        <v>285</v>
      </c>
      <c r="AL178" t="s">
        <v>1667</v>
      </c>
      <c r="AM178" t="s">
        <v>1499</v>
      </c>
      <c r="AN178" t="s">
        <v>854</v>
      </c>
      <c r="AO178">
        <v>36805</v>
      </c>
      <c r="AP178">
        <v>544</v>
      </c>
      <c r="AQ178" t="s">
        <v>855</v>
      </c>
      <c r="AR178">
        <v>66098305</v>
      </c>
      <c r="AS178" t="s">
        <v>856</v>
      </c>
      <c r="AU178" t="s">
        <v>4566</v>
      </c>
      <c r="AV178" t="s">
        <v>4567</v>
      </c>
      <c r="AX178" t="s">
        <v>913</v>
      </c>
      <c r="AY178" t="s">
        <v>861</v>
      </c>
      <c r="AZ178" t="s">
        <v>285</v>
      </c>
      <c r="BA178" t="s">
        <v>286</v>
      </c>
      <c r="BB178">
        <v>0</v>
      </c>
      <c r="BC178">
        <v>0</v>
      </c>
      <c r="BD178">
        <v>0</v>
      </c>
      <c r="BE178" t="s">
        <v>1662</v>
      </c>
      <c r="BF178">
        <v>0</v>
      </c>
      <c r="BG178">
        <v>0</v>
      </c>
      <c r="BH178" t="s">
        <v>862</v>
      </c>
      <c r="BI178">
        <v>0</v>
      </c>
      <c r="BJ178" t="s">
        <v>862</v>
      </c>
      <c r="BK178">
        <v>1</v>
      </c>
      <c r="BL178">
        <v>1</v>
      </c>
      <c r="BM178">
        <v>0</v>
      </c>
      <c r="BN178" t="s">
        <v>596</v>
      </c>
      <c r="BO178">
        <v>153406558</v>
      </c>
      <c r="BP178" t="s">
        <v>4561</v>
      </c>
      <c r="BR178">
        <v>42791459</v>
      </c>
      <c r="BT178">
        <v>0</v>
      </c>
      <c r="CM178">
        <v>4010</v>
      </c>
      <c r="CO178">
        <v>7360</v>
      </c>
      <c r="CP178">
        <v>1.67E-2</v>
      </c>
      <c r="CQ178">
        <v>1.67E-2</v>
      </c>
      <c r="CR178">
        <v>1.67E-2</v>
      </c>
      <c r="CS178">
        <v>2</v>
      </c>
      <c r="CT178" t="s">
        <v>4568</v>
      </c>
      <c r="CU178" t="s">
        <v>4569</v>
      </c>
      <c r="CV178" t="s">
        <v>833</v>
      </c>
      <c r="CW178" t="s">
        <v>834</v>
      </c>
      <c r="CX178" t="s">
        <v>1662</v>
      </c>
      <c r="CY178">
        <v>0</v>
      </c>
      <c r="CZ178">
        <v>0</v>
      </c>
      <c r="DA178" t="s">
        <v>833</v>
      </c>
      <c r="DB178" t="s">
        <v>865</v>
      </c>
      <c r="DC178">
        <v>55378</v>
      </c>
      <c r="DD178">
        <v>3.1166999999999998</v>
      </c>
      <c r="DE178" t="s">
        <v>866</v>
      </c>
      <c r="DG178" t="s">
        <v>867</v>
      </c>
      <c r="DH178" t="s">
        <v>851</v>
      </c>
      <c r="DL178" t="s">
        <v>869</v>
      </c>
      <c r="DM178">
        <v>0</v>
      </c>
      <c r="DN178">
        <v>0</v>
      </c>
      <c r="DO178">
        <v>2</v>
      </c>
      <c r="DP178" t="s">
        <v>870</v>
      </c>
      <c r="DQ178">
        <v>12</v>
      </c>
      <c r="DR178">
        <v>187</v>
      </c>
      <c r="DS178">
        <v>187</v>
      </c>
      <c r="DT178">
        <v>3.1</v>
      </c>
      <c r="DU178">
        <v>4</v>
      </c>
      <c r="DW178">
        <v>1</v>
      </c>
      <c r="DX178" t="s">
        <v>596</v>
      </c>
      <c r="DY178" t="s">
        <v>1662</v>
      </c>
      <c r="DZ178">
        <v>1</v>
      </c>
      <c r="EA178">
        <v>1</v>
      </c>
      <c r="EB178">
        <v>1</v>
      </c>
      <c r="EC178">
        <v>1</v>
      </c>
      <c r="ED178">
        <v>1</v>
      </c>
      <c r="EE178">
        <v>1</v>
      </c>
      <c r="EF178" t="s">
        <v>871</v>
      </c>
      <c r="EG178" t="s">
        <v>595</v>
      </c>
      <c r="EH178" t="s">
        <v>1036</v>
      </c>
      <c r="EI178" t="s">
        <v>1036</v>
      </c>
      <c r="EJ178" t="s">
        <v>159</v>
      </c>
      <c r="EK178">
        <v>9090</v>
      </c>
      <c r="EL178">
        <v>0</v>
      </c>
      <c r="EM178" t="s">
        <v>873</v>
      </c>
      <c r="EN178">
        <v>1.67E-2</v>
      </c>
      <c r="EO178">
        <v>3.1166665999999998</v>
      </c>
      <c r="EP178">
        <v>99991120</v>
      </c>
      <c r="EQ178" t="s">
        <v>874</v>
      </c>
      <c r="ER178" t="s">
        <v>875</v>
      </c>
      <c r="ES178" t="s">
        <v>876</v>
      </c>
      <c r="ET178" t="s">
        <v>877</v>
      </c>
      <c r="EU178" t="s">
        <v>877</v>
      </c>
      <c r="EV178" t="s">
        <v>871</v>
      </c>
      <c r="EX178" t="s">
        <v>836</v>
      </c>
      <c r="EY178" t="s">
        <v>1121</v>
      </c>
      <c r="EZ178" t="s">
        <v>1122</v>
      </c>
      <c r="FA178" t="s">
        <v>956</v>
      </c>
      <c r="FB178">
        <v>1</v>
      </c>
      <c r="FC178">
        <v>1</v>
      </c>
      <c r="FD178" s="41">
        <v>45906</v>
      </c>
      <c r="FE178" t="s">
        <v>880</v>
      </c>
      <c r="FF178">
        <v>4</v>
      </c>
      <c r="FI178">
        <v>0</v>
      </c>
      <c r="FL178">
        <v>0</v>
      </c>
      <c r="FM178" t="s">
        <v>1676</v>
      </c>
      <c r="FN178" t="s">
        <v>4570</v>
      </c>
      <c r="FO178">
        <v>1</v>
      </c>
      <c r="FP178" t="s">
        <v>4571</v>
      </c>
      <c r="FQ178" t="s">
        <v>4569</v>
      </c>
      <c r="FR178">
        <v>1</v>
      </c>
      <c r="FS178" t="s">
        <v>1672</v>
      </c>
      <c r="FT178" t="s">
        <v>4572</v>
      </c>
      <c r="FU178">
        <v>1</v>
      </c>
      <c r="FV178" t="s">
        <v>1674</v>
      </c>
      <c r="FW178" t="s">
        <v>4573</v>
      </c>
      <c r="FX178">
        <v>1</v>
      </c>
      <c r="FY178" t="s">
        <v>890</v>
      </c>
      <c r="FZ178" t="s">
        <v>4574</v>
      </c>
      <c r="GA178" t="s">
        <v>1674</v>
      </c>
      <c r="GB178">
        <v>1</v>
      </c>
      <c r="GD178">
        <v>0</v>
      </c>
      <c r="GF178">
        <v>0</v>
      </c>
      <c r="GG178">
        <v>1</v>
      </c>
      <c r="GH178" t="s">
        <v>892</v>
      </c>
      <c r="GI178" t="s">
        <v>893</v>
      </c>
      <c r="GJ178" t="s">
        <v>4573</v>
      </c>
      <c r="GM178">
        <v>1</v>
      </c>
      <c r="GN178">
        <v>1</v>
      </c>
      <c r="GO178">
        <v>0</v>
      </c>
      <c r="GP178">
        <v>1</v>
      </c>
      <c r="GQ178">
        <v>1</v>
      </c>
      <c r="GR178">
        <v>0</v>
      </c>
      <c r="GS178">
        <v>1</v>
      </c>
      <c r="GT178">
        <v>1</v>
      </c>
      <c r="GU178">
        <v>1</v>
      </c>
      <c r="GV178">
        <v>1</v>
      </c>
      <c r="GW178">
        <v>1</v>
      </c>
      <c r="GX178">
        <v>0</v>
      </c>
      <c r="GY178">
        <v>1</v>
      </c>
      <c r="GZ178">
        <v>0</v>
      </c>
      <c r="HA178" t="s">
        <v>285</v>
      </c>
      <c r="HB178" t="s">
        <v>894</v>
      </c>
      <c r="HC178" t="s">
        <v>895</v>
      </c>
      <c r="HD178" t="s">
        <v>845</v>
      </c>
      <c r="HE178" t="s">
        <v>836</v>
      </c>
      <c r="HF178" t="s">
        <v>873</v>
      </c>
      <c r="HG178" t="s">
        <v>894</v>
      </c>
      <c r="HH178" t="s">
        <v>895</v>
      </c>
      <c r="HI178" t="s">
        <v>845</v>
      </c>
      <c r="HJ178" t="s">
        <v>836</v>
      </c>
      <c r="HK178" t="s">
        <v>873</v>
      </c>
      <c r="HL178" t="s">
        <v>165</v>
      </c>
      <c r="HM178" t="s">
        <v>854</v>
      </c>
      <c r="HN178">
        <v>36805</v>
      </c>
      <c r="HP178" t="s">
        <v>159</v>
      </c>
      <c r="HQ178" t="s">
        <v>896</v>
      </c>
      <c r="HR178" t="s">
        <v>896</v>
      </c>
      <c r="HS178" t="s">
        <v>896</v>
      </c>
    </row>
    <row r="179" spans="1:227" x14ac:dyDescent="0.2">
      <c r="A179">
        <v>8702</v>
      </c>
      <c r="B179">
        <v>7531202946</v>
      </c>
      <c r="C179" t="s">
        <v>1916</v>
      </c>
      <c r="D179" t="s">
        <v>1917</v>
      </c>
      <c r="E179" t="s">
        <v>897</v>
      </c>
      <c r="F179">
        <v>1</v>
      </c>
      <c r="G179" t="s">
        <v>4575</v>
      </c>
      <c r="H179" t="s">
        <v>4575</v>
      </c>
      <c r="I179">
        <v>0</v>
      </c>
      <c r="J179" t="s">
        <v>833</v>
      </c>
      <c r="K179" t="s">
        <v>834</v>
      </c>
      <c r="L179">
        <v>153406467</v>
      </c>
      <c r="M179" t="s">
        <v>1964</v>
      </c>
      <c r="N179" t="s">
        <v>900</v>
      </c>
      <c r="O179" t="s">
        <v>837</v>
      </c>
      <c r="P179" t="s">
        <v>1920</v>
      </c>
      <c r="Q179" t="s">
        <v>4576</v>
      </c>
      <c r="R179" t="s">
        <v>4577</v>
      </c>
      <c r="S179" t="s">
        <v>4578</v>
      </c>
      <c r="T179">
        <v>41477121725</v>
      </c>
      <c r="V179" t="s">
        <v>133</v>
      </c>
      <c r="W179" s="41">
        <v>45969</v>
      </c>
      <c r="X179" t="s">
        <v>4579</v>
      </c>
      <c r="Y179" t="s">
        <v>4580</v>
      </c>
      <c r="AA179">
        <v>0</v>
      </c>
      <c r="AB179" t="s">
        <v>845</v>
      </c>
      <c r="AC179" t="s">
        <v>846</v>
      </c>
      <c r="AD179" t="s">
        <v>847</v>
      </c>
      <c r="AE179" t="s">
        <v>848</v>
      </c>
      <c r="AF179">
        <v>1</v>
      </c>
      <c r="AG179">
        <v>452210</v>
      </c>
      <c r="AH179" t="s">
        <v>849</v>
      </c>
      <c r="AI179" t="s">
        <v>850</v>
      </c>
      <c r="AJ179" t="s">
        <v>851</v>
      </c>
      <c r="AK179" t="s">
        <v>342</v>
      </c>
      <c r="AL179" t="s">
        <v>1006</v>
      </c>
      <c r="AM179" t="s">
        <v>1970</v>
      </c>
      <c r="AN179" t="s">
        <v>854</v>
      </c>
      <c r="AO179">
        <v>36805</v>
      </c>
      <c r="AP179">
        <v>532</v>
      </c>
      <c r="AQ179" t="s">
        <v>855</v>
      </c>
      <c r="AR179">
        <v>66193452</v>
      </c>
      <c r="AS179" t="s">
        <v>856</v>
      </c>
      <c r="AU179" t="s">
        <v>4581</v>
      </c>
      <c r="AV179" t="s">
        <v>4582</v>
      </c>
      <c r="AW179" t="s">
        <v>859</v>
      </c>
      <c r="AX179" t="s">
        <v>860</v>
      </c>
      <c r="AY179" t="s">
        <v>861</v>
      </c>
      <c r="AZ179" t="s">
        <v>342</v>
      </c>
      <c r="BA179" t="s">
        <v>343</v>
      </c>
      <c r="BB179">
        <v>0</v>
      </c>
      <c r="BC179">
        <v>0</v>
      </c>
      <c r="BD179">
        <v>0</v>
      </c>
      <c r="BE179" t="s">
        <v>1964</v>
      </c>
      <c r="BF179">
        <v>0</v>
      </c>
      <c r="BG179">
        <v>0</v>
      </c>
      <c r="BH179" t="s">
        <v>862</v>
      </c>
      <c r="BI179">
        <v>0</v>
      </c>
      <c r="BJ179" t="s">
        <v>862</v>
      </c>
      <c r="BK179">
        <v>1</v>
      </c>
      <c r="BL179">
        <v>0</v>
      </c>
      <c r="BM179">
        <v>0</v>
      </c>
      <c r="BN179" t="s">
        <v>596</v>
      </c>
      <c r="BO179">
        <v>153406467</v>
      </c>
      <c r="BP179" t="s">
        <v>4575</v>
      </c>
      <c r="BR179">
        <v>42791447</v>
      </c>
      <c r="BT179">
        <v>0</v>
      </c>
      <c r="CM179">
        <v>4010</v>
      </c>
      <c r="CO179">
        <v>7360</v>
      </c>
      <c r="CP179">
        <v>0.9667</v>
      </c>
      <c r="CQ179">
        <v>0.9667</v>
      </c>
      <c r="CR179">
        <v>0.5</v>
      </c>
      <c r="CS179">
        <v>11</v>
      </c>
      <c r="CT179" t="s">
        <v>4583</v>
      </c>
      <c r="CU179" t="s">
        <v>4584</v>
      </c>
      <c r="CV179" t="s">
        <v>833</v>
      </c>
      <c r="CW179" t="s">
        <v>834</v>
      </c>
      <c r="CX179" t="s">
        <v>1964</v>
      </c>
      <c r="CY179">
        <v>0</v>
      </c>
      <c r="CZ179">
        <v>0</v>
      </c>
      <c r="DA179" t="s">
        <v>833</v>
      </c>
      <c r="DB179" t="s">
        <v>865</v>
      </c>
      <c r="DC179">
        <v>46234</v>
      </c>
      <c r="DD179">
        <v>3.6166999999999998</v>
      </c>
      <c r="DE179" t="s">
        <v>866</v>
      </c>
      <c r="DG179" t="s">
        <v>867</v>
      </c>
      <c r="DH179" t="s">
        <v>851</v>
      </c>
      <c r="DJ179">
        <v>532</v>
      </c>
      <c r="DL179" t="s">
        <v>869</v>
      </c>
      <c r="DM179">
        <v>0</v>
      </c>
      <c r="DN179">
        <v>0</v>
      </c>
      <c r="DO179">
        <v>53</v>
      </c>
      <c r="DP179" t="s">
        <v>1156</v>
      </c>
      <c r="DQ179">
        <v>16</v>
      </c>
      <c r="DR179">
        <v>217</v>
      </c>
      <c r="DS179">
        <v>217</v>
      </c>
      <c r="DT179">
        <v>2.65</v>
      </c>
      <c r="DU179">
        <v>4</v>
      </c>
      <c r="DW179">
        <v>2</v>
      </c>
      <c r="DX179" t="s">
        <v>594</v>
      </c>
      <c r="DY179" t="s">
        <v>1964</v>
      </c>
      <c r="DZ179">
        <v>0</v>
      </c>
      <c r="EA179">
        <v>0</v>
      </c>
      <c r="EB179">
        <v>0</v>
      </c>
      <c r="EC179">
        <v>0</v>
      </c>
      <c r="ED179">
        <v>0</v>
      </c>
      <c r="EE179">
        <v>0</v>
      </c>
      <c r="EG179" t="s">
        <v>595</v>
      </c>
      <c r="EH179" t="s">
        <v>872</v>
      </c>
      <c r="EI179" t="s">
        <v>872</v>
      </c>
      <c r="EJ179" t="s">
        <v>134</v>
      </c>
      <c r="EK179">
        <v>9090</v>
      </c>
      <c r="EL179">
        <v>0</v>
      </c>
      <c r="EM179" t="s">
        <v>1011</v>
      </c>
      <c r="EN179">
        <v>0.5</v>
      </c>
      <c r="EO179">
        <v>3.6166665999999998</v>
      </c>
      <c r="EP179">
        <v>99991120</v>
      </c>
      <c r="EQ179" t="s">
        <v>874</v>
      </c>
      <c r="ER179" t="s">
        <v>875</v>
      </c>
      <c r="ES179" t="s">
        <v>876</v>
      </c>
      <c r="ET179" t="s">
        <v>877</v>
      </c>
      <c r="EU179" t="s">
        <v>877</v>
      </c>
      <c r="EX179" t="s">
        <v>953</v>
      </c>
      <c r="EY179" t="s">
        <v>1555</v>
      </c>
      <c r="EZ179" t="s">
        <v>1013</v>
      </c>
      <c r="FA179" t="s">
        <v>925</v>
      </c>
      <c r="FB179">
        <v>1</v>
      </c>
      <c r="FC179">
        <v>1</v>
      </c>
      <c r="FD179" s="41">
        <v>45969</v>
      </c>
      <c r="FE179" t="s">
        <v>1438</v>
      </c>
      <c r="FF179">
        <v>5</v>
      </c>
      <c r="FI179">
        <v>0</v>
      </c>
      <c r="FJ179" t="s">
        <v>4585</v>
      </c>
      <c r="FK179" t="s">
        <v>4586</v>
      </c>
      <c r="FL179">
        <v>1</v>
      </c>
      <c r="FM179" t="s">
        <v>1980</v>
      </c>
      <c r="FN179" t="s">
        <v>4587</v>
      </c>
      <c r="FO179">
        <v>1</v>
      </c>
      <c r="FP179" t="s">
        <v>4588</v>
      </c>
      <c r="FQ179" t="s">
        <v>4584</v>
      </c>
      <c r="FR179">
        <v>1</v>
      </c>
      <c r="FS179" t="s">
        <v>2872</v>
      </c>
      <c r="FT179" t="s">
        <v>4589</v>
      </c>
      <c r="FU179">
        <v>1</v>
      </c>
      <c r="FV179" t="s">
        <v>4590</v>
      </c>
      <c r="FW179" t="s">
        <v>4586</v>
      </c>
      <c r="FX179">
        <v>1</v>
      </c>
      <c r="FY179" t="s">
        <v>890</v>
      </c>
      <c r="FZ179" t="s">
        <v>4591</v>
      </c>
      <c r="GA179" t="s">
        <v>4585</v>
      </c>
      <c r="GB179">
        <v>1</v>
      </c>
      <c r="GD179">
        <v>0</v>
      </c>
      <c r="GF179">
        <v>0</v>
      </c>
      <c r="GG179">
        <v>1</v>
      </c>
      <c r="GH179" t="s">
        <v>892</v>
      </c>
      <c r="GI179" t="s">
        <v>893</v>
      </c>
      <c r="GJ179" t="s">
        <v>4586</v>
      </c>
      <c r="GM179">
        <v>1</v>
      </c>
      <c r="GN179">
        <v>1</v>
      </c>
      <c r="GO179">
        <v>0</v>
      </c>
      <c r="GP179">
        <v>1</v>
      </c>
      <c r="GQ179">
        <v>1</v>
      </c>
      <c r="GR179">
        <v>0</v>
      </c>
      <c r="GS179">
        <v>1</v>
      </c>
      <c r="GT179">
        <v>0</v>
      </c>
      <c r="GU179">
        <v>1</v>
      </c>
      <c r="GV179">
        <v>0</v>
      </c>
      <c r="GW179">
        <v>1</v>
      </c>
      <c r="GX179">
        <v>0</v>
      </c>
      <c r="GY179">
        <v>1</v>
      </c>
      <c r="GZ179">
        <v>0</v>
      </c>
      <c r="HA179" t="s">
        <v>342</v>
      </c>
      <c r="HB179" t="s">
        <v>894</v>
      </c>
      <c r="HC179" t="s">
        <v>935</v>
      </c>
      <c r="HD179" t="s">
        <v>845</v>
      </c>
      <c r="HE179" t="s">
        <v>900</v>
      </c>
      <c r="HF179" t="s">
        <v>1012</v>
      </c>
      <c r="HG179" t="s">
        <v>894</v>
      </c>
      <c r="HH179" t="s">
        <v>935</v>
      </c>
      <c r="HI179" t="s">
        <v>845</v>
      </c>
      <c r="HJ179" t="s">
        <v>900</v>
      </c>
      <c r="HK179" t="s">
        <v>1011</v>
      </c>
      <c r="HL179" t="s">
        <v>133</v>
      </c>
      <c r="HM179" t="s">
        <v>854</v>
      </c>
      <c r="HN179">
        <v>36805</v>
      </c>
      <c r="HP179" t="s">
        <v>134</v>
      </c>
      <c r="HQ179" t="s">
        <v>896</v>
      </c>
      <c r="HR179" t="s">
        <v>896</v>
      </c>
      <c r="HS179" t="s">
        <v>896</v>
      </c>
    </row>
    <row r="180" spans="1:227" x14ac:dyDescent="0.2">
      <c r="A180">
        <v>8702</v>
      </c>
      <c r="B180">
        <v>7522201347</v>
      </c>
      <c r="C180">
        <v>34</v>
      </c>
      <c r="D180" t="s">
        <v>996</v>
      </c>
      <c r="E180" t="s">
        <v>897</v>
      </c>
      <c r="F180">
        <v>0</v>
      </c>
      <c r="G180" t="s">
        <v>4592</v>
      </c>
      <c r="H180" t="s">
        <v>4592</v>
      </c>
      <c r="I180">
        <v>0</v>
      </c>
      <c r="J180" t="s">
        <v>833</v>
      </c>
      <c r="K180" t="s">
        <v>834</v>
      </c>
      <c r="L180">
        <v>152858779</v>
      </c>
      <c r="M180" t="s">
        <v>4593</v>
      </c>
      <c r="N180" t="s">
        <v>900</v>
      </c>
      <c r="O180" t="s">
        <v>837</v>
      </c>
      <c r="P180" t="s">
        <v>999</v>
      </c>
      <c r="Q180" t="s">
        <v>1027</v>
      </c>
      <c r="R180" t="s">
        <v>4594</v>
      </c>
      <c r="S180" t="s">
        <v>4595</v>
      </c>
      <c r="T180">
        <v>41477090543</v>
      </c>
      <c r="V180" t="s">
        <v>1226</v>
      </c>
      <c r="W180" s="41">
        <v>45880</v>
      </c>
      <c r="X180" t="s">
        <v>4596</v>
      </c>
      <c r="Y180" t="s">
        <v>4597</v>
      </c>
      <c r="AA180">
        <v>0</v>
      </c>
      <c r="AB180" t="s">
        <v>845</v>
      </c>
      <c r="AC180" t="s">
        <v>846</v>
      </c>
      <c r="AD180" t="s">
        <v>847</v>
      </c>
      <c r="AE180" t="s">
        <v>848</v>
      </c>
      <c r="AF180">
        <v>1</v>
      </c>
      <c r="AG180">
        <v>452210</v>
      </c>
      <c r="AH180" t="s">
        <v>849</v>
      </c>
      <c r="AI180" t="s">
        <v>850</v>
      </c>
      <c r="AJ180" t="s">
        <v>851</v>
      </c>
      <c r="AK180" t="s">
        <v>371</v>
      </c>
      <c r="AL180" t="s">
        <v>4598</v>
      </c>
      <c r="AM180" t="s">
        <v>1230</v>
      </c>
      <c r="AN180" t="s">
        <v>854</v>
      </c>
      <c r="AO180">
        <v>36805</v>
      </c>
      <c r="AP180">
        <v>925</v>
      </c>
      <c r="AQ180" t="s">
        <v>855</v>
      </c>
      <c r="AR180">
        <v>66065123</v>
      </c>
      <c r="AS180" t="s">
        <v>856</v>
      </c>
      <c r="AU180" t="s">
        <v>4599</v>
      </c>
      <c r="AV180" t="s">
        <v>4600</v>
      </c>
      <c r="AX180" t="s">
        <v>913</v>
      </c>
      <c r="AY180" t="s">
        <v>861</v>
      </c>
      <c r="AZ180" t="s">
        <v>371</v>
      </c>
      <c r="BA180" t="s">
        <v>372</v>
      </c>
      <c r="BB180">
        <v>0</v>
      </c>
      <c r="BC180">
        <v>0</v>
      </c>
      <c r="BD180">
        <v>1</v>
      </c>
      <c r="BE180" t="s">
        <v>4593</v>
      </c>
      <c r="BF180">
        <v>0</v>
      </c>
      <c r="BG180">
        <v>0</v>
      </c>
      <c r="BH180" t="s">
        <v>862</v>
      </c>
      <c r="BI180">
        <v>0</v>
      </c>
      <c r="BJ180" t="s">
        <v>862</v>
      </c>
      <c r="BK180">
        <v>1</v>
      </c>
      <c r="BL180">
        <v>1</v>
      </c>
      <c r="BM180">
        <v>0</v>
      </c>
      <c r="BN180" t="s">
        <v>596</v>
      </c>
      <c r="BO180">
        <v>152858779</v>
      </c>
      <c r="BP180" t="s">
        <v>4592</v>
      </c>
      <c r="BQ180">
        <v>41.518234800000002</v>
      </c>
      <c r="BR180">
        <v>42793649</v>
      </c>
      <c r="BS180">
        <v>-81.448980599999999</v>
      </c>
      <c r="BT180">
        <v>0</v>
      </c>
      <c r="CM180">
        <v>4010</v>
      </c>
      <c r="CO180">
        <v>7360</v>
      </c>
      <c r="CP180">
        <v>0.26669999999999999</v>
      </c>
      <c r="CQ180">
        <v>0.26669999999999999</v>
      </c>
      <c r="CR180">
        <v>0</v>
      </c>
      <c r="CS180">
        <v>8</v>
      </c>
      <c r="CT180" t="s">
        <v>4600</v>
      </c>
      <c r="CU180" t="s">
        <v>4599</v>
      </c>
      <c r="CV180" t="s">
        <v>833</v>
      </c>
      <c r="CW180" t="s">
        <v>834</v>
      </c>
      <c r="CX180" t="s">
        <v>4593</v>
      </c>
      <c r="CY180">
        <v>1</v>
      </c>
      <c r="CZ180">
        <v>1</v>
      </c>
      <c r="DA180" t="s">
        <v>833</v>
      </c>
      <c r="DB180" t="s">
        <v>865</v>
      </c>
      <c r="DC180">
        <v>44124</v>
      </c>
      <c r="DD180">
        <v>9.5167000000000002</v>
      </c>
      <c r="DE180" t="s">
        <v>866</v>
      </c>
      <c r="DG180" t="s">
        <v>867</v>
      </c>
      <c r="DH180" t="s">
        <v>851</v>
      </c>
      <c r="DI180" t="s">
        <v>4601</v>
      </c>
      <c r="DL180" t="s">
        <v>869</v>
      </c>
      <c r="DM180">
        <v>0</v>
      </c>
      <c r="DN180">
        <v>0</v>
      </c>
      <c r="DO180">
        <v>11</v>
      </c>
      <c r="DP180" t="s">
        <v>1010</v>
      </c>
      <c r="DQ180">
        <v>16</v>
      </c>
      <c r="DR180">
        <v>571</v>
      </c>
      <c r="DS180">
        <v>1291</v>
      </c>
      <c r="DT180">
        <v>9.25</v>
      </c>
      <c r="DU180">
        <v>4</v>
      </c>
      <c r="DW180">
        <v>2</v>
      </c>
      <c r="DX180" t="s">
        <v>596</v>
      </c>
      <c r="DY180" t="s">
        <v>4593</v>
      </c>
      <c r="DZ180">
        <v>1</v>
      </c>
      <c r="EA180">
        <v>1</v>
      </c>
      <c r="EB180">
        <v>1</v>
      </c>
      <c r="EC180">
        <v>0</v>
      </c>
      <c r="ED180">
        <v>0</v>
      </c>
      <c r="EE180">
        <v>1</v>
      </c>
      <c r="EF180" t="s">
        <v>920</v>
      </c>
      <c r="EG180" t="s">
        <v>595</v>
      </c>
      <c r="EH180" t="s">
        <v>921</v>
      </c>
      <c r="EI180" t="s">
        <v>921</v>
      </c>
      <c r="EJ180" t="s">
        <v>226</v>
      </c>
      <c r="EK180">
        <v>9090</v>
      </c>
      <c r="EL180">
        <v>0</v>
      </c>
      <c r="EM180" t="s">
        <v>1157</v>
      </c>
      <c r="EN180">
        <v>0</v>
      </c>
      <c r="EO180">
        <v>21.516666600000001</v>
      </c>
      <c r="EP180">
        <v>99991120</v>
      </c>
      <c r="EQ180" t="s">
        <v>874</v>
      </c>
      <c r="ER180" t="s">
        <v>875</v>
      </c>
      <c r="ES180" t="s">
        <v>876</v>
      </c>
      <c r="ET180" t="s">
        <v>877</v>
      </c>
      <c r="EU180" t="s">
        <v>877</v>
      </c>
      <c r="EV180" t="s">
        <v>920</v>
      </c>
      <c r="EX180" t="s">
        <v>953</v>
      </c>
      <c r="EY180" t="s">
        <v>986</v>
      </c>
      <c r="EZ180" t="s">
        <v>1236</v>
      </c>
      <c r="FA180" t="s">
        <v>956</v>
      </c>
      <c r="FB180">
        <v>1</v>
      </c>
      <c r="FC180">
        <v>1</v>
      </c>
      <c r="FD180" s="41">
        <v>45885</v>
      </c>
      <c r="FE180" t="s">
        <v>987</v>
      </c>
      <c r="FF180">
        <v>7</v>
      </c>
      <c r="FG180" t="s">
        <v>4113</v>
      </c>
      <c r="FH180" t="s">
        <v>4602</v>
      </c>
      <c r="FI180">
        <v>1</v>
      </c>
      <c r="FJ180" t="s">
        <v>4603</v>
      </c>
      <c r="FK180" t="s">
        <v>4604</v>
      </c>
      <c r="FL180">
        <v>1</v>
      </c>
      <c r="FM180" t="s">
        <v>4605</v>
      </c>
      <c r="FN180" t="s">
        <v>4606</v>
      </c>
      <c r="FO180">
        <v>1</v>
      </c>
      <c r="FP180" t="s">
        <v>4607</v>
      </c>
      <c r="FQ180" t="s">
        <v>4599</v>
      </c>
      <c r="FR180">
        <v>1</v>
      </c>
      <c r="FS180" t="s">
        <v>1244</v>
      </c>
      <c r="FT180" t="s">
        <v>4608</v>
      </c>
      <c r="FU180">
        <v>1</v>
      </c>
      <c r="FV180" t="s">
        <v>1246</v>
      </c>
      <c r="FW180" t="s">
        <v>4609</v>
      </c>
      <c r="FX180">
        <v>1</v>
      </c>
      <c r="FY180" t="s">
        <v>890</v>
      </c>
      <c r="FZ180" t="s">
        <v>4610</v>
      </c>
      <c r="GA180" t="s">
        <v>4603</v>
      </c>
      <c r="GB180">
        <v>1</v>
      </c>
      <c r="GD180">
        <v>0</v>
      </c>
      <c r="GF180">
        <v>0</v>
      </c>
      <c r="GG180">
        <v>1</v>
      </c>
      <c r="GH180" t="s">
        <v>892</v>
      </c>
      <c r="GI180" t="s">
        <v>893</v>
      </c>
      <c r="GJ180" t="s">
        <v>4604</v>
      </c>
      <c r="GM180">
        <v>1</v>
      </c>
      <c r="GN180">
        <v>1</v>
      </c>
      <c r="GO180">
        <v>0</v>
      </c>
      <c r="GP180">
        <v>1</v>
      </c>
      <c r="GQ180">
        <v>1</v>
      </c>
      <c r="GR180">
        <v>0</v>
      </c>
      <c r="GS180">
        <v>1</v>
      </c>
      <c r="GT180">
        <v>0</v>
      </c>
      <c r="GU180">
        <v>1</v>
      </c>
      <c r="GV180">
        <v>0</v>
      </c>
      <c r="GW180">
        <v>1</v>
      </c>
      <c r="GX180">
        <v>0</v>
      </c>
      <c r="GY180">
        <v>1</v>
      </c>
      <c r="GZ180">
        <v>0</v>
      </c>
      <c r="HA180" t="s">
        <v>371</v>
      </c>
      <c r="HB180" t="s">
        <v>894</v>
      </c>
      <c r="HC180" t="s">
        <v>935</v>
      </c>
      <c r="HD180" t="s">
        <v>845</v>
      </c>
      <c r="HE180" t="s">
        <v>900</v>
      </c>
      <c r="HF180" t="s">
        <v>923</v>
      </c>
      <c r="HG180" t="s">
        <v>894</v>
      </c>
      <c r="HH180" t="s">
        <v>935</v>
      </c>
      <c r="HI180" t="s">
        <v>845</v>
      </c>
      <c r="HJ180" t="s">
        <v>900</v>
      </c>
      <c r="HK180" t="s">
        <v>922</v>
      </c>
      <c r="HL180" t="s">
        <v>1226</v>
      </c>
      <c r="HM180" t="s">
        <v>854</v>
      </c>
      <c r="HN180">
        <v>36805</v>
      </c>
      <c r="HP180" t="s">
        <v>226</v>
      </c>
      <c r="HQ180" t="s">
        <v>896</v>
      </c>
      <c r="HR180" t="s">
        <v>896</v>
      </c>
      <c r="HS180" t="s">
        <v>896</v>
      </c>
    </row>
    <row r="181" spans="1:227" x14ac:dyDescent="0.2">
      <c r="A181">
        <v>8702</v>
      </c>
      <c r="B181">
        <v>7600505577</v>
      </c>
      <c r="C181" t="s">
        <v>936</v>
      </c>
      <c r="D181" t="s">
        <v>937</v>
      </c>
      <c r="E181" t="s">
        <v>897</v>
      </c>
      <c r="F181">
        <v>0</v>
      </c>
      <c r="G181" t="s">
        <v>4611</v>
      </c>
      <c r="H181" t="s">
        <v>4611</v>
      </c>
      <c r="I181">
        <v>0</v>
      </c>
      <c r="J181" t="s">
        <v>833</v>
      </c>
      <c r="K181" t="s">
        <v>834</v>
      </c>
      <c r="L181">
        <v>148722482</v>
      </c>
      <c r="M181" t="s">
        <v>4612</v>
      </c>
      <c r="N181" t="s">
        <v>900</v>
      </c>
      <c r="O181" t="s">
        <v>837</v>
      </c>
      <c r="P181" t="s">
        <v>940</v>
      </c>
      <c r="Q181" t="s">
        <v>1080</v>
      </c>
      <c r="R181" t="s">
        <v>4613</v>
      </c>
      <c r="S181" t="s">
        <v>4614</v>
      </c>
      <c r="T181">
        <v>41477130640</v>
      </c>
      <c r="V181" t="s">
        <v>239</v>
      </c>
      <c r="W181" s="41">
        <v>46027</v>
      </c>
      <c r="X181" t="s">
        <v>4615</v>
      </c>
      <c r="Y181" t="s">
        <v>4616</v>
      </c>
      <c r="Z181">
        <v>1</v>
      </c>
      <c r="AA181">
        <v>0</v>
      </c>
      <c r="AB181" t="s">
        <v>845</v>
      </c>
      <c r="AC181" t="s">
        <v>846</v>
      </c>
      <c r="AD181" t="s">
        <v>1335</v>
      </c>
      <c r="AE181" t="s">
        <v>1336</v>
      </c>
      <c r="AF181">
        <v>1</v>
      </c>
      <c r="AG181">
        <v>452210</v>
      </c>
      <c r="AH181" t="s">
        <v>849</v>
      </c>
      <c r="AI181" t="s">
        <v>850</v>
      </c>
      <c r="AJ181" t="s">
        <v>851</v>
      </c>
      <c r="AK181" t="s">
        <v>265</v>
      </c>
      <c r="AL181" t="s">
        <v>1644</v>
      </c>
      <c r="AM181" t="s">
        <v>1645</v>
      </c>
      <c r="AN181" t="s">
        <v>854</v>
      </c>
      <c r="AO181">
        <v>36805</v>
      </c>
      <c r="AP181">
        <v>928</v>
      </c>
      <c r="AQ181" t="s">
        <v>855</v>
      </c>
      <c r="AR181">
        <v>66276795</v>
      </c>
      <c r="AS181" t="s">
        <v>856</v>
      </c>
      <c r="AU181" t="s">
        <v>4617</v>
      </c>
      <c r="AV181" t="s">
        <v>4618</v>
      </c>
      <c r="AX181" t="s">
        <v>913</v>
      </c>
      <c r="AY181" t="s">
        <v>861</v>
      </c>
      <c r="AZ181" t="s">
        <v>265</v>
      </c>
      <c r="BA181" t="s">
        <v>266</v>
      </c>
      <c r="BB181">
        <v>0</v>
      </c>
      <c r="BC181">
        <v>0</v>
      </c>
      <c r="BD181">
        <v>0</v>
      </c>
      <c r="BE181" t="s">
        <v>4612</v>
      </c>
      <c r="BF181">
        <v>0</v>
      </c>
      <c r="BG181">
        <v>0</v>
      </c>
      <c r="BH181" t="s">
        <v>862</v>
      </c>
      <c r="BI181">
        <v>0</v>
      </c>
      <c r="BJ181" t="s">
        <v>862</v>
      </c>
      <c r="BK181">
        <v>1</v>
      </c>
      <c r="BL181">
        <v>1</v>
      </c>
      <c r="BM181">
        <v>0</v>
      </c>
      <c r="BN181" t="s">
        <v>596</v>
      </c>
      <c r="BP181" t="s">
        <v>4611</v>
      </c>
      <c r="BQ181">
        <v>41.465612100000001</v>
      </c>
      <c r="BR181">
        <v>42793653</v>
      </c>
      <c r="BS181">
        <v>-81.952617700000005</v>
      </c>
      <c r="BT181">
        <v>2</v>
      </c>
      <c r="BU181" t="s">
        <v>1367</v>
      </c>
      <c r="CE181">
        <v>1</v>
      </c>
      <c r="CI181">
        <v>11</v>
      </c>
      <c r="CJ181" t="s">
        <v>94</v>
      </c>
      <c r="CM181">
        <v>4010</v>
      </c>
      <c r="CO181">
        <v>7360</v>
      </c>
      <c r="CP181">
        <v>0.1</v>
      </c>
      <c r="CQ181">
        <v>0.1</v>
      </c>
      <c r="CR181">
        <v>1.67E-2</v>
      </c>
      <c r="CS181">
        <v>0</v>
      </c>
      <c r="CT181" t="s">
        <v>4618</v>
      </c>
      <c r="CU181" t="s">
        <v>4617</v>
      </c>
      <c r="CV181" t="s">
        <v>833</v>
      </c>
      <c r="CW181" t="s">
        <v>834</v>
      </c>
      <c r="CX181" t="s">
        <v>2097</v>
      </c>
      <c r="CY181">
        <v>0</v>
      </c>
      <c r="CZ181">
        <v>0</v>
      </c>
      <c r="DA181" t="s">
        <v>833</v>
      </c>
      <c r="DB181" t="s">
        <v>865</v>
      </c>
      <c r="DC181">
        <v>44145</v>
      </c>
      <c r="DD181">
        <v>3.8332999999999999</v>
      </c>
      <c r="DE181" t="s">
        <v>866</v>
      </c>
      <c r="DG181" t="s">
        <v>867</v>
      </c>
      <c r="DH181" t="s">
        <v>851</v>
      </c>
      <c r="DK181" t="s">
        <v>918</v>
      </c>
      <c r="DL181" t="s">
        <v>869</v>
      </c>
      <c r="DM181">
        <v>0</v>
      </c>
      <c r="DN181">
        <v>0</v>
      </c>
      <c r="DO181">
        <v>1</v>
      </c>
      <c r="DP181" t="s">
        <v>985</v>
      </c>
      <c r="DQ181">
        <v>16</v>
      </c>
      <c r="DR181">
        <v>230</v>
      </c>
      <c r="DS181">
        <v>230</v>
      </c>
      <c r="DT181">
        <v>3.7332999999999998</v>
      </c>
      <c r="DU181">
        <v>4</v>
      </c>
      <c r="DV181">
        <v>1</v>
      </c>
      <c r="DW181">
        <v>2</v>
      </c>
      <c r="DX181" t="s">
        <v>596</v>
      </c>
      <c r="DY181" t="s">
        <v>4612</v>
      </c>
      <c r="DZ181">
        <v>1</v>
      </c>
      <c r="EA181">
        <v>1</v>
      </c>
      <c r="EB181">
        <v>1</v>
      </c>
      <c r="EC181">
        <v>1</v>
      </c>
      <c r="ED181">
        <v>1</v>
      </c>
      <c r="EE181">
        <v>1</v>
      </c>
      <c r="EF181" t="s">
        <v>920</v>
      </c>
      <c r="EG181" t="s">
        <v>595</v>
      </c>
      <c r="EH181" t="s">
        <v>921</v>
      </c>
      <c r="EI181" t="s">
        <v>921</v>
      </c>
      <c r="EJ181" t="s">
        <v>226</v>
      </c>
      <c r="EK181">
        <v>9090</v>
      </c>
      <c r="EL181">
        <v>0</v>
      </c>
      <c r="EM181" t="s">
        <v>1157</v>
      </c>
      <c r="EN181">
        <v>1.67E-2</v>
      </c>
      <c r="EO181">
        <v>3.8333333000000001</v>
      </c>
      <c r="EP181">
        <v>99991120</v>
      </c>
      <c r="EQ181" t="s">
        <v>874</v>
      </c>
      <c r="ER181" t="s">
        <v>875</v>
      </c>
      <c r="ES181" t="s">
        <v>876</v>
      </c>
      <c r="ET181" t="s">
        <v>877</v>
      </c>
      <c r="EU181" t="s">
        <v>877</v>
      </c>
      <c r="EV181" t="s">
        <v>920</v>
      </c>
      <c r="EX181" t="s">
        <v>953</v>
      </c>
      <c r="EY181" t="s">
        <v>986</v>
      </c>
      <c r="EZ181" t="s">
        <v>1236</v>
      </c>
      <c r="FA181" t="s">
        <v>956</v>
      </c>
      <c r="FB181">
        <v>1</v>
      </c>
      <c r="FC181">
        <v>1</v>
      </c>
      <c r="FD181" s="41">
        <v>46032</v>
      </c>
      <c r="FE181" t="s">
        <v>1370</v>
      </c>
      <c r="FF181">
        <v>6</v>
      </c>
      <c r="FG181" t="s">
        <v>1649</v>
      </c>
      <c r="FH181" t="s">
        <v>4619</v>
      </c>
      <c r="FI181">
        <v>1</v>
      </c>
      <c r="FJ181" t="s">
        <v>1651</v>
      </c>
      <c r="FK181" t="s">
        <v>4620</v>
      </c>
      <c r="FL181">
        <v>1</v>
      </c>
      <c r="FM181" t="s">
        <v>4621</v>
      </c>
      <c r="FN181" t="s">
        <v>4622</v>
      </c>
      <c r="FO181">
        <v>1</v>
      </c>
      <c r="FP181" t="s">
        <v>4623</v>
      </c>
      <c r="FQ181" t="s">
        <v>4617</v>
      </c>
      <c r="FR181">
        <v>1</v>
      </c>
      <c r="FS181" t="s">
        <v>1656</v>
      </c>
      <c r="FT181" t="s">
        <v>4624</v>
      </c>
      <c r="FU181">
        <v>1</v>
      </c>
      <c r="FV181" t="s">
        <v>1658</v>
      </c>
      <c r="FW181" t="s">
        <v>4625</v>
      </c>
      <c r="FX181">
        <v>1</v>
      </c>
      <c r="FY181" t="s">
        <v>890</v>
      </c>
      <c r="FZ181" t="s">
        <v>4626</v>
      </c>
      <c r="GA181" t="s">
        <v>1651</v>
      </c>
      <c r="GB181">
        <v>1</v>
      </c>
      <c r="GD181">
        <v>0</v>
      </c>
      <c r="GF181">
        <v>0</v>
      </c>
      <c r="GG181">
        <v>1</v>
      </c>
      <c r="GH181" t="s">
        <v>892</v>
      </c>
      <c r="GI181" t="s">
        <v>893</v>
      </c>
      <c r="GJ181" t="s">
        <v>4620</v>
      </c>
      <c r="GM181">
        <v>1</v>
      </c>
      <c r="GN181">
        <v>1</v>
      </c>
      <c r="GO181">
        <v>0</v>
      </c>
      <c r="GP181">
        <v>1</v>
      </c>
      <c r="GQ181">
        <v>1</v>
      </c>
      <c r="GR181">
        <v>0</v>
      </c>
      <c r="GS181">
        <v>1</v>
      </c>
      <c r="GT181">
        <v>0</v>
      </c>
      <c r="GU181">
        <v>1</v>
      </c>
      <c r="GV181">
        <v>0</v>
      </c>
      <c r="GW181">
        <v>1</v>
      </c>
      <c r="GX181">
        <v>0</v>
      </c>
      <c r="GY181">
        <v>1</v>
      </c>
      <c r="GZ181">
        <v>0</v>
      </c>
      <c r="HA181" t="s">
        <v>265</v>
      </c>
      <c r="HB181" t="s">
        <v>894</v>
      </c>
      <c r="HC181" t="s">
        <v>935</v>
      </c>
      <c r="HD181" t="s">
        <v>845</v>
      </c>
      <c r="HE181" t="s">
        <v>900</v>
      </c>
      <c r="HF181" t="s">
        <v>923</v>
      </c>
      <c r="HG181" t="s">
        <v>894</v>
      </c>
      <c r="HH181" t="s">
        <v>935</v>
      </c>
      <c r="HI181" t="s">
        <v>845</v>
      </c>
      <c r="HJ181" t="s">
        <v>900</v>
      </c>
      <c r="HK181" t="s">
        <v>922</v>
      </c>
      <c r="HL181" t="s">
        <v>239</v>
      </c>
      <c r="HM181" t="s">
        <v>854</v>
      </c>
      <c r="HN181">
        <v>36805</v>
      </c>
      <c r="HP181" t="s">
        <v>226</v>
      </c>
      <c r="HQ181" t="s">
        <v>896</v>
      </c>
      <c r="HR181" t="s">
        <v>896</v>
      </c>
      <c r="HS181" t="s">
        <v>896</v>
      </c>
    </row>
    <row r="182" spans="1:227" x14ac:dyDescent="0.2">
      <c r="A182">
        <v>8702</v>
      </c>
      <c r="B182">
        <v>7608402142</v>
      </c>
      <c r="C182">
        <v>36</v>
      </c>
      <c r="D182" t="s">
        <v>1302</v>
      </c>
      <c r="E182" t="s">
        <v>831</v>
      </c>
      <c r="F182">
        <v>0</v>
      </c>
      <c r="G182" t="s">
        <v>4627</v>
      </c>
      <c r="H182" t="s">
        <v>4627</v>
      </c>
      <c r="I182">
        <v>0</v>
      </c>
      <c r="J182" t="s">
        <v>833</v>
      </c>
      <c r="K182" t="s">
        <v>834</v>
      </c>
      <c r="L182">
        <v>153406465</v>
      </c>
      <c r="M182" t="s">
        <v>4628</v>
      </c>
      <c r="N182" t="s">
        <v>836</v>
      </c>
      <c r="O182" t="s">
        <v>837</v>
      </c>
      <c r="P182" t="s">
        <v>1302</v>
      </c>
      <c r="Q182" t="s">
        <v>1517</v>
      </c>
      <c r="R182" t="s">
        <v>4629</v>
      </c>
      <c r="S182" t="s">
        <v>4630</v>
      </c>
      <c r="T182">
        <v>30300131301</v>
      </c>
      <c r="V182" t="s">
        <v>1943</v>
      </c>
      <c r="W182" s="41">
        <v>46108</v>
      </c>
      <c r="X182" t="s">
        <v>4631</v>
      </c>
      <c r="Y182" t="s">
        <v>4632</v>
      </c>
      <c r="Z182" t="s">
        <v>4633</v>
      </c>
      <c r="AA182">
        <v>0</v>
      </c>
      <c r="AB182" t="s">
        <v>845</v>
      </c>
      <c r="AC182" t="s">
        <v>846</v>
      </c>
      <c r="AD182" t="s">
        <v>1113</v>
      </c>
      <c r="AE182" t="s">
        <v>1114</v>
      </c>
      <c r="AF182">
        <v>1</v>
      </c>
      <c r="AG182">
        <v>452210</v>
      </c>
      <c r="AH182" t="s">
        <v>849</v>
      </c>
      <c r="AI182" t="s">
        <v>850</v>
      </c>
      <c r="AJ182" t="s">
        <v>851</v>
      </c>
      <c r="AK182" t="s">
        <v>305</v>
      </c>
      <c r="AL182" t="s">
        <v>1946</v>
      </c>
      <c r="AM182" t="s">
        <v>1947</v>
      </c>
      <c r="AN182" t="s">
        <v>854</v>
      </c>
      <c r="AO182">
        <v>36805</v>
      </c>
      <c r="AP182">
        <v>562</v>
      </c>
      <c r="AQ182" t="s">
        <v>855</v>
      </c>
      <c r="AR182">
        <v>66393361</v>
      </c>
      <c r="AS182" t="s">
        <v>856</v>
      </c>
      <c r="AU182" t="s">
        <v>4634</v>
      </c>
      <c r="AV182" t="s">
        <v>4635</v>
      </c>
      <c r="AW182" t="s">
        <v>1185</v>
      </c>
      <c r="AX182" t="s">
        <v>1186</v>
      </c>
      <c r="AY182" t="s">
        <v>861</v>
      </c>
      <c r="AZ182" t="s">
        <v>305</v>
      </c>
      <c r="BA182" t="s">
        <v>306</v>
      </c>
      <c r="BB182">
        <v>0</v>
      </c>
      <c r="BC182">
        <v>0</v>
      </c>
      <c r="BD182">
        <v>1</v>
      </c>
      <c r="BE182" t="s">
        <v>4628</v>
      </c>
      <c r="BF182">
        <v>0</v>
      </c>
      <c r="BG182">
        <v>0</v>
      </c>
      <c r="BH182" t="s">
        <v>862</v>
      </c>
      <c r="BI182">
        <v>0</v>
      </c>
      <c r="BJ182" t="s">
        <v>862</v>
      </c>
      <c r="BK182">
        <v>1</v>
      </c>
      <c r="BL182">
        <v>0</v>
      </c>
      <c r="BM182">
        <v>0</v>
      </c>
      <c r="BN182" t="s">
        <v>596</v>
      </c>
      <c r="BO182">
        <v>153406465</v>
      </c>
      <c r="BP182" t="s">
        <v>4627</v>
      </c>
      <c r="BR182">
        <v>42791464</v>
      </c>
      <c r="BT182">
        <v>1</v>
      </c>
      <c r="BU182" t="s">
        <v>1715</v>
      </c>
      <c r="BY182">
        <v>16</v>
      </c>
      <c r="CA182">
        <v>28</v>
      </c>
      <c r="CI182">
        <v>11</v>
      </c>
      <c r="CJ182" t="s">
        <v>94</v>
      </c>
      <c r="CM182">
        <v>4010</v>
      </c>
      <c r="CO182">
        <v>7360</v>
      </c>
      <c r="CP182">
        <v>0.43330000000000002</v>
      </c>
      <c r="CQ182">
        <v>0.43330000000000002</v>
      </c>
      <c r="CR182">
        <v>0.66669999999999996</v>
      </c>
      <c r="CS182">
        <v>0</v>
      </c>
      <c r="CT182" t="s">
        <v>4635</v>
      </c>
      <c r="CU182" t="s">
        <v>4634</v>
      </c>
      <c r="CV182" t="s">
        <v>833</v>
      </c>
      <c r="CW182" t="s">
        <v>834</v>
      </c>
      <c r="CX182" t="s">
        <v>4628</v>
      </c>
      <c r="CY182">
        <v>1</v>
      </c>
      <c r="CZ182">
        <v>1</v>
      </c>
      <c r="DA182" t="s">
        <v>833</v>
      </c>
      <c r="DB182" t="s">
        <v>865</v>
      </c>
      <c r="DC182">
        <v>56387</v>
      </c>
      <c r="DD182">
        <v>27.95</v>
      </c>
      <c r="DE182" t="s">
        <v>866</v>
      </c>
      <c r="DG182" t="s">
        <v>867</v>
      </c>
      <c r="DH182" t="s">
        <v>851</v>
      </c>
      <c r="DK182" t="s">
        <v>918</v>
      </c>
      <c r="DL182" t="s">
        <v>869</v>
      </c>
      <c r="DM182">
        <v>0</v>
      </c>
      <c r="DN182">
        <v>0</v>
      </c>
      <c r="DO182">
        <v>11</v>
      </c>
      <c r="DP182" t="s">
        <v>1010</v>
      </c>
      <c r="DQ182">
        <v>0</v>
      </c>
      <c r="DR182">
        <v>1677</v>
      </c>
      <c r="DS182">
        <v>3117</v>
      </c>
      <c r="DT182">
        <v>5.6166999999999998</v>
      </c>
      <c r="DU182">
        <v>0</v>
      </c>
      <c r="DV182">
        <v>1</v>
      </c>
      <c r="DW182">
        <v>2</v>
      </c>
      <c r="DX182" t="s">
        <v>594</v>
      </c>
      <c r="DY182" t="s">
        <v>4628</v>
      </c>
      <c r="DZ182">
        <v>1</v>
      </c>
      <c r="EA182">
        <v>1</v>
      </c>
      <c r="EB182">
        <v>1</v>
      </c>
      <c r="EC182">
        <v>1</v>
      </c>
      <c r="ED182">
        <v>1</v>
      </c>
      <c r="EE182">
        <v>1</v>
      </c>
      <c r="EF182" t="s">
        <v>920</v>
      </c>
      <c r="EG182" t="s">
        <v>595</v>
      </c>
      <c r="EH182" t="s">
        <v>872</v>
      </c>
      <c r="EI182" t="s">
        <v>872</v>
      </c>
      <c r="EJ182" t="s">
        <v>159</v>
      </c>
      <c r="EK182">
        <v>9090</v>
      </c>
      <c r="EL182">
        <v>1</v>
      </c>
      <c r="EM182" t="s">
        <v>873</v>
      </c>
      <c r="EN182">
        <v>0.66669999999999996</v>
      </c>
      <c r="EO182">
        <v>51.95</v>
      </c>
      <c r="EP182">
        <v>99991120</v>
      </c>
      <c r="EQ182" t="s">
        <v>874</v>
      </c>
      <c r="ER182" t="s">
        <v>875</v>
      </c>
      <c r="ES182" t="s">
        <v>876</v>
      </c>
      <c r="ET182" t="s">
        <v>877</v>
      </c>
      <c r="EU182" t="s">
        <v>877</v>
      </c>
      <c r="EV182" t="s">
        <v>920</v>
      </c>
      <c r="EX182" t="s">
        <v>836</v>
      </c>
      <c r="EY182" t="s">
        <v>1121</v>
      </c>
      <c r="EZ182" t="s">
        <v>1122</v>
      </c>
      <c r="FA182" t="s">
        <v>956</v>
      </c>
      <c r="FB182">
        <v>1</v>
      </c>
      <c r="FC182">
        <v>2</v>
      </c>
      <c r="FD182" s="41">
        <v>46109</v>
      </c>
      <c r="FE182" t="s">
        <v>1719</v>
      </c>
      <c r="FF182">
        <v>13</v>
      </c>
      <c r="FG182" t="s">
        <v>4636</v>
      </c>
      <c r="FH182" t="s">
        <v>4637</v>
      </c>
      <c r="FI182">
        <v>1</v>
      </c>
      <c r="FJ182" t="s">
        <v>4638</v>
      </c>
      <c r="FK182" t="s">
        <v>4639</v>
      </c>
      <c r="FL182">
        <v>1</v>
      </c>
      <c r="FM182" t="s">
        <v>1958</v>
      </c>
      <c r="FN182" t="s">
        <v>4640</v>
      </c>
      <c r="FO182">
        <v>1</v>
      </c>
      <c r="FP182" t="s">
        <v>4641</v>
      </c>
      <c r="FQ182" t="s">
        <v>4642</v>
      </c>
      <c r="FR182">
        <v>1</v>
      </c>
      <c r="FS182" t="s">
        <v>4643</v>
      </c>
      <c r="FT182" t="s">
        <v>4644</v>
      </c>
      <c r="FU182">
        <v>1</v>
      </c>
      <c r="FV182" t="s">
        <v>4645</v>
      </c>
      <c r="FW182" t="s">
        <v>4646</v>
      </c>
      <c r="FX182">
        <v>1</v>
      </c>
      <c r="FY182" t="s">
        <v>890</v>
      </c>
      <c r="FZ182" t="s">
        <v>4647</v>
      </c>
      <c r="GA182" t="s">
        <v>4636</v>
      </c>
      <c r="GB182">
        <v>1</v>
      </c>
      <c r="GD182">
        <v>0</v>
      </c>
      <c r="GF182">
        <v>0</v>
      </c>
      <c r="GG182">
        <v>1</v>
      </c>
      <c r="GH182" t="s">
        <v>892</v>
      </c>
      <c r="GI182" t="s">
        <v>893</v>
      </c>
      <c r="GJ182" t="s">
        <v>4637</v>
      </c>
      <c r="GM182">
        <v>1</v>
      </c>
      <c r="GN182">
        <v>0</v>
      </c>
      <c r="GO182">
        <v>0</v>
      </c>
      <c r="GP182">
        <v>1</v>
      </c>
      <c r="GQ182">
        <v>1</v>
      </c>
      <c r="GR182">
        <v>0</v>
      </c>
      <c r="GS182">
        <v>1</v>
      </c>
      <c r="GT182">
        <v>0</v>
      </c>
      <c r="GU182">
        <v>1</v>
      </c>
      <c r="GV182">
        <v>0</v>
      </c>
      <c r="GW182">
        <v>1</v>
      </c>
      <c r="GX182">
        <v>0</v>
      </c>
      <c r="GY182">
        <v>1</v>
      </c>
      <c r="GZ182">
        <v>0</v>
      </c>
      <c r="HA182" t="s">
        <v>305</v>
      </c>
      <c r="HB182" t="s">
        <v>894</v>
      </c>
      <c r="HC182" t="s">
        <v>895</v>
      </c>
      <c r="HD182" t="s">
        <v>845</v>
      </c>
      <c r="HE182" t="s">
        <v>836</v>
      </c>
      <c r="HF182" t="s">
        <v>873</v>
      </c>
      <c r="HG182" t="s">
        <v>894</v>
      </c>
      <c r="HH182" t="s">
        <v>895</v>
      </c>
      <c r="HI182" t="s">
        <v>845</v>
      </c>
      <c r="HJ182" t="s">
        <v>836</v>
      </c>
      <c r="HK182" t="s">
        <v>873</v>
      </c>
      <c r="HL182" t="s">
        <v>1943</v>
      </c>
      <c r="HM182" t="s">
        <v>854</v>
      </c>
      <c r="HN182">
        <v>36805</v>
      </c>
      <c r="HO182">
        <v>1</v>
      </c>
      <c r="HP182" t="s">
        <v>159</v>
      </c>
      <c r="HQ182" t="s">
        <v>896</v>
      </c>
      <c r="HR182" t="s">
        <v>896</v>
      </c>
      <c r="HS182" t="s">
        <v>896</v>
      </c>
    </row>
    <row r="183" spans="1:227" x14ac:dyDescent="0.2">
      <c r="A183">
        <v>8702</v>
      </c>
      <c r="B183">
        <v>7606904326</v>
      </c>
      <c r="C183" t="s">
        <v>829</v>
      </c>
      <c r="D183" t="s">
        <v>830</v>
      </c>
      <c r="E183" t="s">
        <v>897</v>
      </c>
      <c r="F183">
        <v>1</v>
      </c>
      <c r="G183" t="s">
        <v>4648</v>
      </c>
      <c r="H183" t="s">
        <v>4648</v>
      </c>
      <c r="I183">
        <v>0</v>
      </c>
      <c r="J183" t="s">
        <v>833</v>
      </c>
      <c r="K183" t="s">
        <v>834</v>
      </c>
      <c r="L183">
        <v>153406560</v>
      </c>
      <c r="M183" t="s">
        <v>4649</v>
      </c>
      <c r="N183" t="s">
        <v>900</v>
      </c>
      <c r="O183" t="s">
        <v>837</v>
      </c>
      <c r="P183" t="s">
        <v>838</v>
      </c>
      <c r="Q183" t="s">
        <v>901</v>
      </c>
      <c r="R183" t="s">
        <v>4650</v>
      </c>
      <c r="S183" t="s">
        <v>4651</v>
      </c>
      <c r="T183">
        <v>41477122128</v>
      </c>
      <c r="V183" t="s">
        <v>133</v>
      </c>
      <c r="W183" s="41">
        <v>46092</v>
      </c>
      <c r="X183" t="s">
        <v>4652</v>
      </c>
      <c r="Y183" t="s">
        <v>4653</v>
      </c>
      <c r="Z183" t="s">
        <v>1156</v>
      </c>
      <c r="AA183">
        <v>0</v>
      </c>
      <c r="AB183" t="s">
        <v>845</v>
      </c>
      <c r="AC183" t="s">
        <v>846</v>
      </c>
      <c r="AD183" t="s">
        <v>1113</v>
      </c>
      <c r="AE183" t="s">
        <v>1114</v>
      </c>
      <c r="AF183">
        <v>1</v>
      </c>
      <c r="AG183">
        <v>452210</v>
      </c>
      <c r="AH183" t="s">
        <v>849</v>
      </c>
      <c r="AI183" t="s">
        <v>850</v>
      </c>
      <c r="AJ183" t="s">
        <v>851</v>
      </c>
      <c r="AK183" t="s">
        <v>263</v>
      </c>
      <c r="AL183" t="s">
        <v>2230</v>
      </c>
      <c r="AM183" t="s">
        <v>1182</v>
      </c>
      <c r="AN183" t="s">
        <v>854</v>
      </c>
      <c r="AO183">
        <v>36805</v>
      </c>
      <c r="AP183">
        <v>526</v>
      </c>
      <c r="AQ183" t="s">
        <v>855</v>
      </c>
      <c r="AR183">
        <v>66370435</v>
      </c>
      <c r="AS183" t="s">
        <v>856</v>
      </c>
      <c r="AU183" t="s">
        <v>4654</v>
      </c>
      <c r="AV183" t="s">
        <v>4655</v>
      </c>
      <c r="AX183" t="s">
        <v>913</v>
      </c>
      <c r="AY183" t="s">
        <v>861</v>
      </c>
      <c r="AZ183" t="s">
        <v>263</v>
      </c>
      <c r="BA183" t="s">
        <v>264</v>
      </c>
      <c r="BB183">
        <v>0</v>
      </c>
      <c r="BC183">
        <v>0</v>
      </c>
      <c r="BD183">
        <v>0</v>
      </c>
      <c r="BE183" t="s">
        <v>4649</v>
      </c>
      <c r="BF183">
        <v>0</v>
      </c>
      <c r="BG183">
        <v>0</v>
      </c>
      <c r="BH183" t="s">
        <v>862</v>
      </c>
      <c r="BI183">
        <v>0</v>
      </c>
      <c r="BJ183" t="s">
        <v>862</v>
      </c>
      <c r="BK183">
        <v>1</v>
      </c>
      <c r="BL183">
        <v>1</v>
      </c>
      <c r="BM183">
        <v>0</v>
      </c>
      <c r="BN183" t="s">
        <v>596</v>
      </c>
      <c r="BO183">
        <v>153406560</v>
      </c>
      <c r="BP183" t="s">
        <v>4648</v>
      </c>
      <c r="BQ183">
        <v>39.913466499999998</v>
      </c>
      <c r="BR183">
        <v>42791437</v>
      </c>
      <c r="BS183">
        <v>-86.202013399999998</v>
      </c>
      <c r="BT183">
        <v>1</v>
      </c>
      <c r="BU183" t="s">
        <v>1715</v>
      </c>
      <c r="BY183">
        <v>16</v>
      </c>
      <c r="CA183">
        <v>18</v>
      </c>
      <c r="CI183">
        <v>11</v>
      </c>
      <c r="CJ183" t="s">
        <v>94</v>
      </c>
      <c r="CM183">
        <v>4010</v>
      </c>
      <c r="CO183">
        <v>7360</v>
      </c>
      <c r="CP183">
        <v>0.85</v>
      </c>
      <c r="CQ183">
        <v>0.85</v>
      </c>
      <c r="CR183">
        <v>0.3</v>
      </c>
      <c r="CS183">
        <v>26</v>
      </c>
      <c r="CT183" t="s">
        <v>4655</v>
      </c>
      <c r="CU183" t="s">
        <v>4654</v>
      </c>
      <c r="CV183" t="s">
        <v>833</v>
      </c>
      <c r="CW183" t="s">
        <v>834</v>
      </c>
      <c r="CX183" t="s">
        <v>4649</v>
      </c>
      <c r="CY183">
        <v>0</v>
      </c>
      <c r="CZ183">
        <v>0</v>
      </c>
      <c r="DA183" t="s">
        <v>833</v>
      </c>
      <c r="DB183" t="s">
        <v>865</v>
      </c>
      <c r="DC183">
        <v>46260</v>
      </c>
      <c r="DD183">
        <v>17.583300000000001</v>
      </c>
      <c r="DE183" t="s">
        <v>866</v>
      </c>
      <c r="DG183" t="s">
        <v>867</v>
      </c>
      <c r="DH183" t="s">
        <v>851</v>
      </c>
      <c r="DK183" t="s">
        <v>918</v>
      </c>
      <c r="DL183" t="s">
        <v>869</v>
      </c>
      <c r="DM183">
        <v>0</v>
      </c>
      <c r="DN183">
        <v>0</v>
      </c>
      <c r="DO183">
        <v>2</v>
      </c>
      <c r="DP183" t="s">
        <v>870</v>
      </c>
      <c r="DQ183">
        <v>0</v>
      </c>
      <c r="DR183">
        <v>1055</v>
      </c>
      <c r="DS183">
        <v>1775</v>
      </c>
      <c r="DT183">
        <v>16.7333</v>
      </c>
      <c r="DU183">
        <v>0</v>
      </c>
      <c r="DV183">
        <v>1</v>
      </c>
      <c r="DW183">
        <v>2</v>
      </c>
      <c r="DX183" t="s">
        <v>596</v>
      </c>
      <c r="DY183" t="s">
        <v>4649</v>
      </c>
      <c r="DZ183">
        <v>1</v>
      </c>
      <c r="EA183">
        <v>1</v>
      </c>
      <c r="EB183">
        <v>1</v>
      </c>
      <c r="EC183">
        <v>1</v>
      </c>
      <c r="ED183">
        <v>1</v>
      </c>
      <c r="EE183">
        <v>1</v>
      </c>
      <c r="EF183" t="s">
        <v>920</v>
      </c>
      <c r="EG183" t="s">
        <v>595</v>
      </c>
      <c r="EH183" t="s">
        <v>921</v>
      </c>
      <c r="EI183" t="s">
        <v>921</v>
      </c>
      <c r="EJ183" t="s">
        <v>134</v>
      </c>
      <c r="EK183">
        <v>9090</v>
      </c>
      <c r="EL183">
        <v>0</v>
      </c>
      <c r="EM183" t="s">
        <v>1011</v>
      </c>
      <c r="EN183">
        <v>0.3</v>
      </c>
      <c r="EO183">
        <v>29.5833333</v>
      </c>
      <c r="EP183">
        <v>99991120</v>
      </c>
      <c r="EQ183" t="s">
        <v>874</v>
      </c>
      <c r="ER183" t="s">
        <v>875</v>
      </c>
      <c r="ES183" t="s">
        <v>876</v>
      </c>
      <c r="ET183" t="s">
        <v>877</v>
      </c>
      <c r="EU183" t="s">
        <v>877</v>
      </c>
      <c r="EV183" t="s">
        <v>920</v>
      </c>
      <c r="EX183" t="s">
        <v>953</v>
      </c>
      <c r="EY183" t="s">
        <v>1555</v>
      </c>
      <c r="EZ183" t="s">
        <v>1013</v>
      </c>
      <c r="FA183" t="s">
        <v>925</v>
      </c>
      <c r="FB183">
        <v>1</v>
      </c>
      <c r="FC183">
        <v>1</v>
      </c>
      <c r="FD183" s="41">
        <v>46095</v>
      </c>
      <c r="FE183" t="s">
        <v>1719</v>
      </c>
      <c r="FF183">
        <v>8</v>
      </c>
      <c r="FG183" t="s">
        <v>2325</v>
      </c>
      <c r="FH183" t="s">
        <v>4656</v>
      </c>
      <c r="FI183">
        <v>1</v>
      </c>
      <c r="FJ183" t="s">
        <v>4657</v>
      </c>
      <c r="FK183" t="s">
        <v>4658</v>
      </c>
      <c r="FL183">
        <v>1</v>
      </c>
      <c r="FM183" t="s">
        <v>4659</v>
      </c>
      <c r="FN183" t="s">
        <v>4660</v>
      </c>
      <c r="FO183">
        <v>1</v>
      </c>
      <c r="FP183" t="s">
        <v>4661</v>
      </c>
      <c r="FQ183" t="s">
        <v>4654</v>
      </c>
      <c r="FR183">
        <v>1</v>
      </c>
      <c r="FS183" t="s">
        <v>1984</v>
      </c>
      <c r="FT183" t="s">
        <v>4662</v>
      </c>
      <c r="FU183">
        <v>1</v>
      </c>
      <c r="FV183" t="s">
        <v>1986</v>
      </c>
      <c r="FW183" t="s">
        <v>4663</v>
      </c>
      <c r="FX183">
        <v>1</v>
      </c>
      <c r="FY183" t="s">
        <v>890</v>
      </c>
      <c r="FZ183" t="s">
        <v>4664</v>
      </c>
      <c r="GA183" t="s">
        <v>4657</v>
      </c>
      <c r="GB183">
        <v>1</v>
      </c>
      <c r="GD183">
        <v>0</v>
      </c>
      <c r="GF183">
        <v>0</v>
      </c>
      <c r="GG183">
        <v>1</v>
      </c>
      <c r="GH183" t="s">
        <v>892</v>
      </c>
      <c r="GI183" t="s">
        <v>893</v>
      </c>
      <c r="GJ183" t="s">
        <v>4658</v>
      </c>
      <c r="GM183">
        <v>1</v>
      </c>
      <c r="GN183">
        <v>1</v>
      </c>
      <c r="GO183">
        <v>0</v>
      </c>
      <c r="GP183">
        <v>1</v>
      </c>
      <c r="GQ183">
        <v>1</v>
      </c>
      <c r="GR183">
        <v>0</v>
      </c>
      <c r="GS183">
        <v>1</v>
      </c>
      <c r="GT183">
        <v>1</v>
      </c>
      <c r="GU183">
        <v>1</v>
      </c>
      <c r="GV183">
        <v>1</v>
      </c>
      <c r="GW183">
        <v>1</v>
      </c>
      <c r="GX183">
        <v>0</v>
      </c>
      <c r="GY183">
        <v>1</v>
      </c>
      <c r="GZ183">
        <v>0</v>
      </c>
      <c r="HA183" t="s">
        <v>263</v>
      </c>
      <c r="HB183" t="s">
        <v>894</v>
      </c>
      <c r="HC183" t="s">
        <v>935</v>
      </c>
      <c r="HD183" t="s">
        <v>845</v>
      </c>
      <c r="HE183" t="s">
        <v>900</v>
      </c>
      <c r="HF183" t="s">
        <v>1012</v>
      </c>
      <c r="HG183" t="s">
        <v>894</v>
      </c>
      <c r="HH183" t="s">
        <v>935</v>
      </c>
      <c r="HI183" t="s">
        <v>845</v>
      </c>
      <c r="HJ183" t="s">
        <v>900</v>
      </c>
      <c r="HK183" t="s">
        <v>1011</v>
      </c>
      <c r="HL183" t="s">
        <v>133</v>
      </c>
      <c r="HM183" t="s">
        <v>854</v>
      </c>
      <c r="HN183">
        <v>36805</v>
      </c>
      <c r="HO183">
        <v>1</v>
      </c>
      <c r="HP183" t="s">
        <v>134</v>
      </c>
      <c r="HQ183" t="s">
        <v>896</v>
      </c>
      <c r="HR183" t="s">
        <v>896</v>
      </c>
      <c r="HS183" t="s">
        <v>896</v>
      </c>
    </row>
    <row r="184" spans="1:227" x14ac:dyDescent="0.2">
      <c r="A184">
        <v>8702</v>
      </c>
      <c r="B184">
        <v>7611913100</v>
      </c>
      <c r="C184">
        <v>36</v>
      </c>
      <c r="D184" t="s">
        <v>1302</v>
      </c>
      <c r="E184" t="s">
        <v>831</v>
      </c>
      <c r="F184">
        <v>0</v>
      </c>
      <c r="G184" t="s">
        <v>4665</v>
      </c>
      <c r="H184" t="s">
        <v>4665</v>
      </c>
      <c r="I184">
        <v>0</v>
      </c>
      <c r="J184" t="s">
        <v>833</v>
      </c>
      <c r="K184" t="s">
        <v>834</v>
      </c>
      <c r="L184">
        <v>148743035</v>
      </c>
      <c r="M184">
        <v>86700689677</v>
      </c>
      <c r="N184" t="s">
        <v>836</v>
      </c>
      <c r="O184" t="s">
        <v>837</v>
      </c>
      <c r="P184" t="s">
        <v>1302</v>
      </c>
      <c r="Q184" t="s">
        <v>2357</v>
      </c>
      <c r="R184" t="s">
        <v>4666</v>
      </c>
      <c r="S184" t="s">
        <v>4667</v>
      </c>
      <c r="T184">
        <v>30300111330</v>
      </c>
      <c r="V184" t="s">
        <v>193</v>
      </c>
      <c r="W184" s="41">
        <v>46143</v>
      </c>
      <c r="X184" t="s">
        <v>4668</v>
      </c>
      <c r="Y184" t="s">
        <v>4669</v>
      </c>
      <c r="Z184" t="s">
        <v>2362</v>
      </c>
      <c r="AA184">
        <v>0</v>
      </c>
      <c r="AB184" t="s">
        <v>845</v>
      </c>
      <c r="AC184" t="s">
        <v>846</v>
      </c>
      <c r="AD184" t="s">
        <v>1335</v>
      </c>
      <c r="AE184" t="s">
        <v>1336</v>
      </c>
      <c r="AF184">
        <v>1</v>
      </c>
      <c r="AG184">
        <v>452210</v>
      </c>
      <c r="AH184" t="s">
        <v>849</v>
      </c>
      <c r="AI184" t="s">
        <v>850</v>
      </c>
      <c r="AJ184" t="s">
        <v>851</v>
      </c>
      <c r="AK184" t="s">
        <v>271</v>
      </c>
      <c r="AL184" t="s">
        <v>2363</v>
      </c>
      <c r="AM184" t="s">
        <v>2364</v>
      </c>
      <c r="AN184" t="s">
        <v>854</v>
      </c>
      <c r="AO184">
        <v>36805</v>
      </c>
      <c r="AP184">
        <v>637</v>
      </c>
      <c r="AQ184" t="s">
        <v>855</v>
      </c>
      <c r="AR184">
        <v>66444145</v>
      </c>
      <c r="AS184" t="s">
        <v>856</v>
      </c>
      <c r="AU184" t="s">
        <v>4670</v>
      </c>
      <c r="AV184" t="s">
        <v>4671</v>
      </c>
      <c r="AX184" t="s">
        <v>913</v>
      </c>
      <c r="AY184" t="s">
        <v>861</v>
      </c>
      <c r="AZ184" t="s">
        <v>271</v>
      </c>
      <c r="BA184" t="s">
        <v>272</v>
      </c>
      <c r="BB184">
        <v>0</v>
      </c>
      <c r="BC184">
        <v>1</v>
      </c>
      <c r="BD184">
        <v>0</v>
      </c>
      <c r="BE184">
        <v>86700689677</v>
      </c>
      <c r="BF184">
        <v>0</v>
      </c>
      <c r="BG184">
        <v>0</v>
      </c>
      <c r="BH184" t="s">
        <v>862</v>
      </c>
      <c r="BI184">
        <v>0</v>
      </c>
      <c r="BJ184" t="s">
        <v>862</v>
      </c>
      <c r="BK184">
        <v>1</v>
      </c>
      <c r="BL184">
        <v>1</v>
      </c>
      <c r="BM184">
        <v>0</v>
      </c>
      <c r="BN184" t="s">
        <v>596</v>
      </c>
      <c r="BP184" t="s">
        <v>4665</v>
      </c>
      <c r="BR184">
        <v>42791765</v>
      </c>
      <c r="BT184">
        <v>1</v>
      </c>
      <c r="BU184" t="s">
        <v>1803</v>
      </c>
      <c r="BY184">
        <v>16</v>
      </c>
      <c r="CA184">
        <v>31</v>
      </c>
      <c r="CI184">
        <v>11</v>
      </c>
      <c r="CJ184" t="s">
        <v>94</v>
      </c>
      <c r="CM184">
        <v>4010</v>
      </c>
      <c r="CO184">
        <v>7360</v>
      </c>
      <c r="CP184">
        <v>0.76670000000000005</v>
      </c>
      <c r="CQ184">
        <v>0.76670000000000005</v>
      </c>
      <c r="CR184">
        <v>1.7333000000000001</v>
      </c>
      <c r="CS184">
        <v>0</v>
      </c>
      <c r="CT184" t="s">
        <v>4671</v>
      </c>
      <c r="CU184" t="s">
        <v>4670</v>
      </c>
      <c r="CV184" t="s">
        <v>833</v>
      </c>
      <c r="CW184" t="s">
        <v>834</v>
      </c>
      <c r="CX184" t="s">
        <v>2367</v>
      </c>
      <c r="CY184">
        <v>1</v>
      </c>
      <c r="CZ184">
        <v>1</v>
      </c>
      <c r="DA184" t="s">
        <v>833</v>
      </c>
      <c r="DB184" t="s">
        <v>865</v>
      </c>
      <c r="DC184">
        <v>60014</v>
      </c>
      <c r="DD184">
        <v>30.666699999999999</v>
      </c>
      <c r="DE184" t="s">
        <v>866</v>
      </c>
      <c r="DG184" t="s">
        <v>867</v>
      </c>
      <c r="DH184" t="s">
        <v>851</v>
      </c>
      <c r="DK184" t="s">
        <v>918</v>
      </c>
      <c r="DL184" t="s">
        <v>869</v>
      </c>
      <c r="DM184">
        <v>0</v>
      </c>
      <c r="DN184">
        <v>0</v>
      </c>
      <c r="DO184">
        <v>11</v>
      </c>
      <c r="DP184" t="s">
        <v>1010</v>
      </c>
      <c r="DQ184">
        <v>16</v>
      </c>
      <c r="DR184">
        <v>1840</v>
      </c>
      <c r="DS184">
        <v>3280</v>
      </c>
      <c r="DT184">
        <v>5.35</v>
      </c>
      <c r="DU184">
        <v>4</v>
      </c>
      <c r="DV184">
        <v>1</v>
      </c>
      <c r="DW184">
        <v>2</v>
      </c>
      <c r="DX184" t="s">
        <v>596</v>
      </c>
      <c r="DY184">
        <v>86700689677</v>
      </c>
      <c r="DZ184">
        <v>0</v>
      </c>
      <c r="EA184">
        <v>0</v>
      </c>
      <c r="EB184">
        <v>1</v>
      </c>
      <c r="EC184">
        <v>0</v>
      </c>
      <c r="ED184">
        <v>0</v>
      </c>
      <c r="EE184">
        <v>1</v>
      </c>
      <c r="EF184" t="s">
        <v>920</v>
      </c>
      <c r="EG184" t="s">
        <v>595</v>
      </c>
      <c r="EH184" t="s">
        <v>921</v>
      </c>
      <c r="EI184" t="s">
        <v>921</v>
      </c>
      <c r="EJ184" t="s">
        <v>181</v>
      </c>
      <c r="EK184">
        <v>9090</v>
      </c>
      <c r="EL184">
        <v>1</v>
      </c>
      <c r="EM184" t="s">
        <v>1436</v>
      </c>
      <c r="EN184">
        <v>1.7333000000000001</v>
      </c>
      <c r="EO184">
        <v>54.6666667</v>
      </c>
      <c r="EP184">
        <v>99991120</v>
      </c>
      <c r="EQ184" t="s">
        <v>874</v>
      </c>
      <c r="ER184" t="s">
        <v>875</v>
      </c>
      <c r="ES184" t="s">
        <v>876</v>
      </c>
      <c r="ET184" t="s">
        <v>877</v>
      </c>
      <c r="EU184" t="s">
        <v>877</v>
      </c>
      <c r="EV184" t="s">
        <v>920</v>
      </c>
      <c r="EX184" t="s">
        <v>836</v>
      </c>
      <c r="EY184" t="s">
        <v>873</v>
      </c>
      <c r="EZ184" t="s">
        <v>1437</v>
      </c>
      <c r="FA184" t="s">
        <v>956</v>
      </c>
      <c r="FB184">
        <v>1</v>
      </c>
      <c r="FC184">
        <v>2</v>
      </c>
      <c r="FD184" s="41">
        <v>46144</v>
      </c>
      <c r="FE184" t="s">
        <v>1808</v>
      </c>
      <c r="FF184">
        <v>8</v>
      </c>
      <c r="FG184" t="s">
        <v>4672</v>
      </c>
      <c r="FH184" t="s">
        <v>4673</v>
      </c>
      <c r="FI184">
        <v>1</v>
      </c>
      <c r="FJ184" t="s">
        <v>2370</v>
      </c>
      <c r="FK184" t="s">
        <v>4674</v>
      </c>
      <c r="FL184">
        <v>1</v>
      </c>
      <c r="FM184" t="s">
        <v>4675</v>
      </c>
      <c r="FN184" t="s">
        <v>4676</v>
      </c>
      <c r="FO184">
        <v>1</v>
      </c>
      <c r="FP184" t="s">
        <v>4677</v>
      </c>
      <c r="FQ184" t="s">
        <v>4678</v>
      </c>
      <c r="FR184">
        <v>1</v>
      </c>
      <c r="FS184" t="s">
        <v>2375</v>
      </c>
      <c r="FT184" t="s">
        <v>4679</v>
      </c>
      <c r="FU184">
        <v>1</v>
      </c>
      <c r="FV184" t="s">
        <v>2377</v>
      </c>
      <c r="FW184" t="s">
        <v>4680</v>
      </c>
      <c r="FX184">
        <v>1</v>
      </c>
      <c r="FY184" t="s">
        <v>890</v>
      </c>
      <c r="FZ184" t="s">
        <v>4681</v>
      </c>
      <c r="GA184" t="s">
        <v>2370</v>
      </c>
      <c r="GB184">
        <v>1</v>
      </c>
      <c r="GD184">
        <v>0</v>
      </c>
      <c r="GF184">
        <v>0</v>
      </c>
      <c r="GG184">
        <v>1</v>
      </c>
      <c r="GH184" t="s">
        <v>892</v>
      </c>
      <c r="GI184" t="s">
        <v>893</v>
      </c>
      <c r="GJ184" t="s">
        <v>4674</v>
      </c>
      <c r="GM184">
        <v>1</v>
      </c>
      <c r="GN184">
        <v>0</v>
      </c>
      <c r="GO184">
        <v>0</v>
      </c>
      <c r="GP184">
        <v>1</v>
      </c>
      <c r="GQ184">
        <v>1</v>
      </c>
      <c r="GR184">
        <v>0</v>
      </c>
      <c r="GS184">
        <v>1</v>
      </c>
      <c r="GT184">
        <v>0</v>
      </c>
      <c r="GU184">
        <v>1</v>
      </c>
      <c r="GV184">
        <v>0</v>
      </c>
      <c r="GW184">
        <v>1</v>
      </c>
      <c r="GX184">
        <v>0</v>
      </c>
      <c r="GY184">
        <v>1</v>
      </c>
      <c r="GZ184">
        <v>0</v>
      </c>
      <c r="HA184" t="s">
        <v>271</v>
      </c>
      <c r="HB184" t="s">
        <v>894</v>
      </c>
      <c r="HC184" t="s">
        <v>895</v>
      </c>
      <c r="HD184" t="s">
        <v>845</v>
      </c>
      <c r="HE184" t="s">
        <v>836</v>
      </c>
      <c r="HF184" t="s">
        <v>873</v>
      </c>
      <c r="HG184" t="s">
        <v>894</v>
      </c>
      <c r="HH184" t="s">
        <v>895</v>
      </c>
      <c r="HI184" t="s">
        <v>845</v>
      </c>
      <c r="HJ184" t="s">
        <v>836</v>
      </c>
      <c r="HK184" t="s">
        <v>1436</v>
      </c>
      <c r="HL184" t="s">
        <v>193</v>
      </c>
      <c r="HM184" t="s">
        <v>854</v>
      </c>
      <c r="HN184">
        <v>36805</v>
      </c>
      <c r="HO184">
        <v>1</v>
      </c>
      <c r="HP184" t="s">
        <v>181</v>
      </c>
      <c r="HQ184" t="s">
        <v>896</v>
      </c>
      <c r="HR184" t="s">
        <v>896</v>
      </c>
      <c r="HS184" t="s">
        <v>896</v>
      </c>
    </row>
    <row r="185" spans="1:227" x14ac:dyDescent="0.2">
      <c r="A185">
        <v>8702</v>
      </c>
      <c r="B185">
        <v>7529901540</v>
      </c>
      <c r="C185">
        <v>36</v>
      </c>
      <c r="D185" t="s">
        <v>1302</v>
      </c>
      <c r="E185" t="s">
        <v>831</v>
      </c>
      <c r="F185">
        <v>6</v>
      </c>
      <c r="G185" t="s">
        <v>4682</v>
      </c>
      <c r="H185" t="s">
        <v>4682</v>
      </c>
      <c r="I185">
        <v>0</v>
      </c>
      <c r="J185" t="s">
        <v>833</v>
      </c>
      <c r="K185" t="s">
        <v>834</v>
      </c>
      <c r="L185">
        <v>153406599</v>
      </c>
      <c r="M185" t="s">
        <v>4683</v>
      </c>
      <c r="N185" t="s">
        <v>836</v>
      </c>
      <c r="O185" t="s">
        <v>837</v>
      </c>
      <c r="P185" t="s">
        <v>1302</v>
      </c>
      <c r="Q185" t="s">
        <v>1305</v>
      </c>
      <c r="R185" t="s">
        <v>4684</v>
      </c>
      <c r="S185" t="s">
        <v>4685</v>
      </c>
      <c r="T185">
        <v>41477127062</v>
      </c>
      <c r="V185" t="s">
        <v>4001</v>
      </c>
      <c r="W185" s="41">
        <v>45956</v>
      </c>
      <c r="X185" t="s">
        <v>4686</v>
      </c>
      <c r="Y185" t="s">
        <v>4687</v>
      </c>
      <c r="AA185">
        <v>0</v>
      </c>
      <c r="AB185" t="s">
        <v>845</v>
      </c>
      <c r="AC185" t="s">
        <v>846</v>
      </c>
      <c r="AD185" t="s">
        <v>847</v>
      </c>
      <c r="AE185" t="s">
        <v>848</v>
      </c>
      <c r="AF185">
        <v>1</v>
      </c>
      <c r="AG185">
        <v>452210</v>
      </c>
      <c r="AH185" t="s">
        <v>849</v>
      </c>
      <c r="AI185" t="s">
        <v>850</v>
      </c>
      <c r="AJ185" t="s">
        <v>851</v>
      </c>
      <c r="AK185" t="s">
        <v>397</v>
      </c>
      <c r="AL185" t="s">
        <v>1310</v>
      </c>
      <c r="AM185" t="s">
        <v>4005</v>
      </c>
      <c r="AN185" t="s">
        <v>854</v>
      </c>
      <c r="AO185">
        <v>36805</v>
      </c>
      <c r="AP185">
        <v>543</v>
      </c>
      <c r="AQ185" t="s">
        <v>855</v>
      </c>
      <c r="AR185">
        <v>66174665</v>
      </c>
      <c r="AS185" t="s">
        <v>856</v>
      </c>
      <c r="AU185" t="s">
        <v>4688</v>
      </c>
      <c r="AV185" t="s">
        <v>4689</v>
      </c>
      <c r="AW185" t="s">
        <v>950</v>
      </c>
      <c r="AX185" t="s">
        <v>951</v>
      </c>
      <c r="AY185" t="s">
        <v>861</v>
      </c>
      <c r="AZ185" t="s">
        <v>397</v>
      </c>
      <c r="BA185" t="s">
        <v>398</v>
      </c>
      <c r="BB185">
        <v>0</v>
      </c>
      <c r="BC185">
        <v>0</v>
      </c>
      <c r="BD185">
        <v>0</v>
      </c>
      <c r="BE185" t="s">
        <v>4683</v>
      </c>
      <c r="BF185">
        <v>0</v>
      </c>
      <c r="BG185">
        <v>0</v>
      </c>
      <c r="BH185" t="s">
        <v>862</v>
      </c>
      <c r="BI185">
        <v>0</v>
      </c>
      <c r="BJ185" t="s">
        <v>862</v>
      </c>
      <c r="BK185">
        <v>1</v>
      </c>
      <c r="BL185">
        <v>0</v>
      </c>
      <c r="BM185">
        <v>0</v>
      </c>
      <c r="BN185" t="s">
        <v>596</v>
      </c>
      <c r="BO185">
        <v>153406599</v>
      </c>
      <c r="BP185" t="s">
        <v>4682</v>
      </c>
      <c r="BR185">
        <v>42791458</v>
      </c>
      <c r="BT185">
        <v>0</v>
      </c>
      <c r="CM185">
        <v>4010</v>
      </c>
      <c r="CO185">
        <v>7360</v>
      </c>
      <c r="CP185">
        <v>8.8167000000000009</v>
      </c>
      <c r="CQ185">
        <v>8.8167000000000009</v>
      </c>
      <c r="CR185">
        <v>3.35</v>
      </c>
      <c r="CS185">
        <v>1082</v>
      </c>
      <c r="CT185" t="s">
        <v>4690</v>
      </c>
      <c r="CU185" t="s">
        <v>4691</v>
      </c>
      <c r="CV185" t="s">
        <v>833</v>
      </c>
      <c r="CW185" t="s">
        <v>834</v>
      </c>
      <c r="CX185" t="s">
        <v>4683</v>
      </c>
      <c r="CY185">
        <v>0</v>
      </c>
      <c r="CZ185">
        <v>0</v>
      </c>
      <c r="DA185" t="s">
        <v>833</v>
      </c>
      <c r="DB185" t="s">
        <v>865</v>
      </c>
      <c r="DC185">
        <v>55416</v>
      </c>
      <c r="DD185">
        <v>12.7333</v>
      </c>
      <c r="DE185" t="s">
        <v>866</v>
      </c>
      <c r="DG185" t="s">
        <v>867</v>
      </c>
      <c r="DH185" t="s">
        <v>851</v>
      </c>
      <c r="DL185" t="s">
        <v>869</v>
      </c>
      <c r="DM185">
        <v>0</v>
      </c>
      <c r="DN185">
        <v>0</v>
      </c>
      <c r="DO185">
        <v>14</v>
      </c>
      <c r="DP185" t="s">
        <v>3564</v>
      </c>
      <c r="DQ185">
        <v>12</v>
      </c>
      <c r="DR185">
        <v>764</v>
      </c>
      <c r="DS185">
        <v>1534</v>
      </c>
      <c r="DT185">
        <v>0.73329999999999995</v>
      </c>
      <c r="DU185">
        <v>4</v>
      </c>
      <c r="DW185">
        <v>1</v>
      </c>
      <c r="DX185" t="s">
        <v>594</v>
      </c>
      <c r="DY185" t="s">
        <v>4683</v>
      </c>
      <c r="DZ185">
        <v>0</v>
      </c>
      <c r="EA185">
        <v>0</v>
      </c>
      <c r="EB185">
        <v>0</v>
      </c>
      <c r="EC185">
        <v>0</v>
      </c>
      <c r="ED185">
        <v>0</v>
      </c>
      <c r="EE185">
        <v>0</v>
      </c>
      <c r="EF185" t="s">
        <v>871</v>
      </c>
      <c r="EG185" t="s">
        <v>595</v>
      </c>
      <c r="EH185" t="s">
        <v>1695</v>
      </c>
      <c r="EI185" t="s">
        <v>1695</v>
      </c>
      <c r="EJ185" t="s">
        <v>159</v>
      </c>
      <c r="EK185">
        <v>9090</v>
      </c>
      <c r="EL185">
        <v>1</v>
      </c>
      <c r="EM185" t="s">
        <v>873</v>
      </c>
      <c r="EN185">
        <v>4.0999999999999996</v>
      </c>
      <c r="EO185">
        <v>25.566666600000001</v>
      </c>
      <c r="EP185">
        <v>99991120</v>
      </c>
      <c r="EQ185" t="s">
        <v>874</v>
      </c>
      <c r="ER185" t="s">
        <v>875</v>
      </c>
      <c r="ES185" t="s">
        <v>876</v>
      </c>
      <c r="ET185" t="s">
        <v>877</v>
      </c>
      <c r="EU185" t="s">
        <v>877</v>
      </c>
      <c r="EV185" t="s">
        <v>871</v>
      </c>
      <c r="EX185" t="s">
        <v>836</v>
      </c>
      <c r="EY185" t="s">
        <v>1121</v>
      </c>
      <c r="EZ185" t="s">
        <v>1122</v>
      </c>
      <c r="FA185" t="s">
        <v>956</v>
      </c>
      <c r="FB185">
        <v>1</v>
      </c>
      <c r="FC185">
        <v>3</v>
      </c>
      <c r="FD185" s="41">
        <v>45962</v>
      </c>
      <c r="FE185" t="s">
        <v>1039</v>
      </c>
      <c r="FF185">
        <v>15</v>
      </c>
      <c r="FG185" t="s">
        <v>4692</v>
      </c>
      <c r="FH185" t="s">
        <v>4693</v>
      </c>
      <c r="FI185">
        <v>1</v>
      </c>
      <c r="FJ185" t="s">
        <v>4694</v>
      </c>
      <c r="FK185" t="s">
        <v>4695</v>
      </c>
      <c r="FL185">
        <v>1</v>
      </c>
      <c r="FM185" t="s">
        <v>4696</v>
      </c>
      <c r="FN185" t="s">
        <v>4697</v>
      </c>
      <c r="FO185">
        <v>1</v>
      </c>
      <c r="FP185" t="s">
        <v>4698</v>
      </c>
      <c r="FQ185" t="s">
        <v>4691</v>
      </c>
      <c r="FR185">
        <v>1</v>
      </c>
      <c r="FS185" t="s">
        <v>1502</v>
      </c>
      <c r="FT185" t="s">
        <v>4699</v>
      </c>
      <c r="FU185">
        <v>1</v>
      </c>
      <c r="FV185" t="s">
        <v>4700</v>
      </c>
      <c r="FW185" t="s">
        <v>4701</v>
      </c>
      <c r="FX185">
        <v>1</v>
      </c>
      <c r="FY185" t="s">
        <v>890</v>
      </c>
      <c r="FZ185" t="s">
        <v>4702</v>
      </c>
      <c r="GA185" t="s">
        <v>4692</v>
      </c>
      <c r="GB185">
        <v>1</v>
      </c>
      <c r="GD185">
        <v>0</v>
      </c>
      <c r="GF185">
        <v>0</v>
      </c>
      <c r="GG185">
        <v>1</v>
      </c>
      <c r="GH185" t="s">
        <v>892</v>
      </c>
      <c r="GI185" t="s">
        <v>893</v>
      </c>
      <c r="GJ185" t="s">
        <v>4693</v>
      </c>
      <c r="GM185">
        <v>1</v>
      </c>
      <c r="GN185">
        <v>0</v>
      </c>
      <c r="GO185">
        <v>0</v>
      </c>
      <c r="GP185">
        <v>1</v>
      </c>
      <c r="GQ185">
        <v>1</v>
      </c>
      <c r="GR185">
        <v>0</v>
      </c>
      <c r="GS185">
        <v>1</v>
      </c>
      <c r="GT185">
        <v>0</v>
      </c>
      <c r="GU185">
        <v>1</v>
      </c>
      <c r="GV185">
        <v>0</v>
      </c>
      <c r="GW185">
        <v>1</v>
      </c>
      <c r="GX185">
        <v>0</v>
      </c>
      <c r="GY185">
        <v>1</v>
      </c>
      <c r="GZ185">
        <v>0</v>
      </c>
      <c r="HA185" t="s">
        <v>397</v>
      </c>
      <c r="HB185" t="s">
        <v>894</v>
      </c>
      <c r="HC185" t="s">
        <v>895</v>
      </c>
      <c r="HD185" t="s">
        <v>845</v>
      </c>
      <c r="HE185" t="s">
        <v>836</v>
      </c>
      <c r="HF185" t="s">
        <v>873</v>
      </c>
      <c r="HG185" t="s">
        <v>894</v>
      </c>
      <c r="HH185" t="s">
        <v>895</v>
      </c>
      <c r="HI185" t="s">
        <v>845</v>
      </c>
      <c r="HJ185" t="s">
        <v>836</v>
      </c>
      <c r="HK185" t="s">
        <v>873</v>
      </c>
      <c r="HL185" t="s">
        <v>4001</v>
      </c>
      <c r="HM185" t="s">
        <v>854</v>
      </c>
      <c r="HN185">
        <v>36805</v>
      </c>
      <c r="HP185" t="s">
        <v>159</v>
      </c>
      <c r="HQ185" t="s">
        <v>896</v>
      </c>
      <c r="HR185" t="s">
        <v>896</v>
      </c>
      <c r="HS185" t="s">
        <v>896</v>
      </c>
    </row>
    <row r="186" spans="1:227" x14ac:dyDescent="0.2">
      <c r="A186">
        <v>8702</v>
      </c>
      <c r="B186">
        <v>7536401962</v>
      </c>
      <c r="C186" t="s">
        <v>1171</v>
      </c>
      <c r="D186" t="s">
        <v>1172</v>
      </c>
      <c r="E186" t="s">
        <v>831</v>
      </c>
      <c r="F186">
        <v>4</v>
      </c>
      <c r="G186" t="s">
        <v>4703</v>
      </c>
      <c r="H186" t="s">
        <v>4703</v>
      </c>
      <c r="I186">
        <v>0</v>
      </c>
      <c r="J186" t="s">
        <v>833</v>
      </c>
      <c r="K186" t="s">
        <v>834</v>
      </c>
      <c r="L186">
        <v>156586328</v>
      </c>
      <c r="M186" t="s">
        <v>4059</v>
      </c>
      <c r="N186" t="s">
        <v>836</v>
      </c>
      <c r="O186" t="s">
        <v>837</v>
      </c>
      <c r="P186" t="s">
        <v>1175</v>
      </c>
      <c r="Q186" t="s">
        <v>1176</v>
      </c>
      <c r="R186" t="s">
        <v>4704</v>
      </c>
      <c r="S186" t="s">
        <v>4705</v>
      </c>
      <c r="T186">
        <v>41477086390</v>
      </c>
      <c r="V186" t="s">
        <v>4062</v>
      </c>
      <c r="W186" s="41">
        <v>46021</v>
      </c>
      <c r="X186" t="s">
        <v>4706</v>
      </c>
      <c r="Y186" t="s">
        <v>4707</v>
      </c>
      <c r="AA186">
        <v>0</v>
      </c>
      <c r="AB186" t="s">
        <v>845</v>
      </c>
      <c r="AC186" t="s">
        <v>846</v>
      </c>
      <c r="AD186" t="s">
        <v>847</v>
      </c>
      <c r="AE186" t="s">
        <v>848</v>
      </c>
      <c r="AF186">
        <v>1</v>
      </c>
      <c r="AG186">
        <v>452210</v>
      </c>
      <c r="AH186" t="s">
        <v>849</v>
      </c>
      <c r="AI186" t="s">
        <v>850</v>
      </c>
      <c r="AJ186" t="s">
        <v>851</v>
      </c>
      <c r="AK186" t="s">
        <v>301</v>
      </c>
      <c r="AL186" t="s">
        <v>1086</v>
      </c>
      <c r="AM186" t="s">
        <v>4065</v>
      </c>
      <c r="AN186" t="s">
        <v>854</v>
      </c>
      <c r="AO186">
        <v>36805</v>
      </c>
      <c r="AP186">
        <v>491</v>
      </c>
      <c r="AQ186" t="s">
        <v>855</v>
      </c>
      <c r="AR186">
        <v>66267987</v>
      </c>
      <c r="AS186" t="s">
        <v>856</v>
      </c>
      <c r="AU186" t="s">
        <v>4708</v>
      </c>
      <c r="AV186" t="s">
        <v>4709</v>
      </c>
      <c r="AX186" t="s">
        <v>913</v>
      </c>
      <c r="AY186" t="s">
        <v>861</v>
      </c>
      <c r="AZ186" t="s">
        <v>301</v>
      </c>
      <c r="BA186" t="s">
        <v>302</v>
      </c>
      <c r="BB186">
        <v>1</v>
      </c>
      <c r="BC186">
        <v>0</v>
      </c>
      <c r="BD186">
        <v>0</v>
      </c>
      <c r="BE186" t="s">
        <v>4059</v>
      </c>
      <c r="BF186">
        <v>0</v>
      </c>
      <c r="BG186">
        <v>0</v>
      </c>
      <c r="BH186" t="s">
        <v>862</v>
      </c>
      <c r="BI186">
        <v>0</v>
      </c>
      <c r="BJ186" t="s">
        <v>862</v>
      </c>
      <c r="BK186">
        <v>1</v>
      </c>
      <c r="BL186">
        <v>1</v>
      </c>
      <c r="BM186">
        <v>0</v>
      </c>
      <c r="BN186" t="s">
        <v>596</v>
      </c>
      <c r="BO186">
        <v>156586328</v>
      </c>
      <c r="BP186" t="s">
        <v>4703</v>
      </c>
      <c r="BR186">
        <v>42789012</v>
      </c>
      <c r="BT186">
        <v>0</v>
      </c>
      <c r="CM186">
        <v>4010</v>
      </c>
      <c r="CO186">
        <v>7360</v>
      </c>
      <c r="CP186">
        <v>1.5166999999999999</v>
      </c>
      <c r="CQ186">
        <v>1.5166999999999999</v>
      </c>
      <c r="CR186">
        <v>0.55000000000000004</v>
      </c>
      <c r="CS186">
        <v>163</v>
      </c>
      <c r="CT186" t="s">
        <v>4710</v>
      </c>
      <c r="CU186" t="s">
        <v>4711</v>
      </c>
      <c r="CV186" t="s">
        <v>833</v>
      </c>
      <c r="CW186" t="s">
        <v>834</v>
      </c>
      <c r="CX186" t="s">
        <v>4059</v>
      </c>
      <c r="CY186">
        <v>1</v>
      </c>
      <c r="CZ186">
        <v>1</v>
      </c>
      <c r="DA186" t="s">
        <v>833</v>
      </c>
      <c r="DB186" t="s">
        <v>865</v>
      </c>
      <c r="DC186">
        <v>63122</v>
      </c>
      <c r="DD186">
        <v>6.45</v>
      </c>
      <c r="DE186" t="s">
        <v>866</v>
      </c>
      <c r="DG186" t="s">
        <v>867</v>
      </c>
      <c r="DH186" t="s">
        <v>851</v>
      </c>
      <c r="DL186" t="s">
        <v>869</v>
      </c>
      <c r="DM186">
        <v>0</v>
      </c>
      <c r="DN186">
        <v>0</v>
      </c>
      <c r="DO186">
        <v>11</v>
      </c>
      <c r="DP186" t="s">
        <v>1010</v>
      </c>
      <c r="DQ186">
        <v>16</v>
      </c>
      <c r="DR186">
        <v>387</v>
      </c>
      <c r="DS186">
        <v>1095</v>
      </c>
      <c r="DT186">
        <v>4.9333</v>
      </c>
      <c r="DU186">
        <v>4</v>
      </c>
      <c r="DW186">
        <v>2</v>
      </c>
      <c r="DX186" t="s">
        <v>596</v>
      </c>
      <c r="DY186" t="s">
        <v>4059</v>
      </c>
      <c r="DZ186">
        <v>1</v>
      </c>
      <c r="EA186">
        <v>1</v>
      </c>
      <c r="EB186">
        <v>1</v>
      </c>
      <c r="EC186">
        <v>0</v>
      </c>
      <c r="ED186">
        <v>0</v>
      </c>
      <c r="EE186">
        <v>1</v>
      </c>
      <c r="EF186" t="s">
        <v>920</v>
      </c>
      <c r="EG186" t="s">
        <v>595</v>
      </c>
      <c r="EH186" t="s">
        <v>921</v>
      </c>
      <c r="EI186" t="s">
        <v>921</v>
      </c>
      <c r="EJ186" t="s">
        <v>111</v>
      </c>
      <c r="EK186">
        <v>9090</v>
      </c>
      <c r="EL186">
        <v>0</v>
      </c>
      <c r="EM186" t="s">
        <v>1037</v>
      </c>
      <c r="EN186">
        <v>0.55000000000000004</v>
      </c>
      <c r="EO186">
        <v>18.25</v>
      </c>
      <c r="EP186">
        <v>99991120</v>
      </c>
      <c r="EQ186" t="s">
        <v>874</v>
      </c>
      <c r="ER186" t="s">
        <v>875</v>
      </c>
      <c r="ES186" t="s">
        <v>876</v>
      </c>
      <c r="ET186" t="s">
        <v>877</v>
      </c>
      <c r="EU186" t="s">
        <v>877</v>
      </c>
      <c r="EV186" t="s">
        <v>920</v>
      </c>
      <c r="EX186" t="s">
        <v>900</v>
      </c>
      <c r="EY186" t="s">
        <v>923</v>
      </c>
      <c r="EZ186" t="s">
        <v>1038</v>
      </c>
      <c r="FA186" t="s">
        <v>925</v>
      </c>
      <c r="FB186">
        <v>1</v>
      </c>
      <c r="FC186">
        <v>1</v>
      </c>
      <c r="FD186" s="41">
        <v>46025</v>
      </c>
      <c r="FE186" t="s">
        <v>957</v>
      </c>
      <c r="FF186">
        <v>10</v>
      </c>
      <c r="FG186" t="s">
        <v>4712</v>
      </c>
      <c r="FH186" t="s">
        <v>4713</v>
      </c>
      <c r="FI186">
        <v>1</v>
      </c>
      <c r="FJ186" t="s">
        <v>4714</v>
      </c>
      <c r="FK186" t="s">
        <v>4715</v>
      </c>
      <c r="FL186">
        <v>1</v>
      </c>
      <c r="FM186" t="s">
        <v>4716</v>
      </c>
      <c r="FN186" t="s">
        <v>4717</v>
      </c>
      <c r="FO186">
        <v>1</v>
      </c>
      <c r="FP186" t="s">
        <v>4718</v>
      </c>
      <c r="FQ186" t="s">
        <v>4711</v>
      </c>
      <c r="FR186">
        <v>1</v>
      </c>
      <c r="FS186" t="s">
        <v>1376</v>
      </c>
      <c r="FT186" t="s">
        <v>4719</v>
      </c>
      <c r="FU186">
        <v>1</v>
      </c>
      <c r="FV186" t="s">
        <v>4720</v>
      </c>
      <c r="FW186" t="s">
        <v>4721</v>
      </c>
      <c r="FX186">
        <v>1</v>
      </c>
      <c r="FY186" t="s">
        <v>890</v>
      </c>
      <c r="FZ186" t="s">
        <v>4722</v>
      </c>
      <c r="GA186" t="s">
        <v>4712</v>
      </c>
      <c r="GB186">
        <v>1</v>
      </c>
      <c r="GD186">
        <v>0</v>
      </c>
      <c r="GF186">
        <v>0</v>
      </c>
      <c r="GG186">
        <v>1</v>
      </c>
      <c r="GH186" t="s">
        <v>892</v>
      </c>
      <c r="GI186" t="s">
        <v>893</v>
      </c>
      <c r="GJ186" t="s">
        <v>4713</v>
      </c>
      <c r="GM186">
        <v>1</v>
      </c>
      <c r="GN186">
        <v>1</v>
      </c>
      <c r="GO186">
        <v>0</v>
      </c>
      <c r="GP186">
        <v>1</v>
      </c>
      <c r="GQ186">
        <v>1</v>
      </c>
      <c r="GR186">
        <v>0</v>
      </c>
      <c r="GS186">
        <v>1</v>
      </c>
      <c r="GT186">
        <v>0</v>
      </c>
      <c r="GU186">
        <v>1</v>
      </c>
      <c r="GV186">
        <v>0</v>
      </c>
      <c r="GW186">
        <v>1</v>
      </c>
      <c r="GX186">
        <v>0</v>
      </c>
      <c r="GY186">
        <v>1</v>
      </c>
      <c r="GZ186">
        <v>0</v>
      </c>
      <c r="HA186" t="s">
        <v>301</v>
      </c>
      <c r="HB186" t="s">
        <v>894</v>
      </c>
      <c r="HC186" t="s">
        <v>895</v>
      </c>
      <c r="HD186" t="s">
        <v>845</v>
      </c>
      <c r="HE186" t="s">
        <v>836</v>
      </c>
      <c r="HF186" t="s">
        <v>1051</v>
      </c>
      <c r="HG186" t="s">
        <v>894</v>
      </c>
      <c r="HH186" t="s">
        <v>895</v>
      </c>
      <c r="HI186" t="s">
        <v>845</v>
      </c>
      <c r="HJ186" t="s">
        <v>836</v>
      </c>
      <c r="HK186" t="s">
        <v>1037</v>
      </c>
      <c r="HL186" t="s">
        <v>4062</v>
      </c>
      <c r="HM186" t="s">
        <v>854</v>
      </c>
      <c r="HN186">
        <v>36805</v>
      </c>
      <c r="HP186" t="s">
        <v>111</v>
      </c>
      <c r="HQ186" t="s">
        <v>896</v>
      </c>
      <c r="HR186" t="s">
        <v>896</v>
      </c>
      <c r="HS186" t="s">
        <v>896</v>
      </c>
    </row>
    <row r="187" spans="1:227" x14ac:dyDescent="0.2">
      <c r="A187">
        <v>8702</v>
      </c>
      <c r="B187">
        <v>7601904162</v>
      </c>
      <c r="C187" t="s">
        <v>1171</v>
      </c>
      <c r="D187" t="s">
        <v>1172</v>
      </c>
      <c r="E187" t="s">
        <v>897</v>
      </c>
      <c r="F187">
        <v>2</v>
      </c>
      <c r="G187" t="s">
        <v>4723</v>
      </c>
      <c r="H187" t="s">
        <v>4723</v>
      </c>
      <c r="I187">
        <v>0</v>
      </c>
      <c r="J187" t="s">
        <v>833</v>
      </c>
      <c r="K187" t="s">
        <v>834</v>
      </c>
      <c r="L187">
        <v>153008226</v>
      </c>
      <c r="M187" t="s">
        <v>4724</v>
      </c>
      <c r="N187" t="s">
        <v>900</v>
      </c>
      <c r="O187" t="s">
        <v>837</v>
      </c>
      <c r="P187" t="s">
        <v>1175</v>
      </c>
      <c r="Q187" t="s">
        <v>1176</v>
      </c>
      <c r="R187" t="s">
        <v>4725</v>
      </c>
      <c r="S187" t="s">
        <v>4726</v>
      </c>
      <c r="T187">
        <v>41477053562</v>
      </c>
      <c r="V187" t="s">
        <v>133</v>
      </c>
      <c r="W187" s="41">
        <v>46042</v>
      </c>
      <c r="X187" t="s">
        <v>4727</v>
      </c>
      <c r="Y187" t="s">
        <v>4728</v>
      </c>
      <c r="Z187">
        <v>1</v>
      </c>
      <c r="AA187">
        <v>0</v>
      </c>
      <c r="AB187" t="s">
        <v>845</v>
      </c>
      <c r="AC187" t="s">
        <v>846</v>
      </c>
      <c r="AD187" t="s">
        <v>847</v>
      </c>
      <c r="AE187" t="s">
        <v>848</v>
      </c>
      <c r="AF187">
        <v>1</v>
      </c>
      <c r="AG187">
        <v>452210</v>
      </c>
      <c r="AH187" t="s">
        <v>849</v>
      </c>
      <c r="AI187" t="s">
        <v>850</v>
      </c>
      <c r="AJ187" t="s">
        <v>851</v>
      </c>
      <c r="AK187" t="s">
        <v>295</v>
      </c>
      <c r="AL187" t="s">
        <v>4729</v>
      </c>
      <c r="AM187" t="s">
        <v>2208</v>
      </c>
      <c r="AN187" t="s">
        <v>854</v>
      </c>
      <c r="AO187">
        <v>36805</v>
      </c>
      <c r="AP187">
        <v>525</v>
      </c>
      <c r="AQ187" t="s">
        <v>855</v>
      </c>
      <c r="AR187">
        <v>66298401</v>
      </c>
      <c r="AS187" t="s">
        <v>856</v>
      </c>
      <c r="AU187" t="s">
        <v>4730</v>
      </c>
      <c r="AV187" t="s">
        <v>4731</v>
      </c>
      <c r="AX187" t="s">
        <v>913</v>
      </c>
      <c r="AY187" t="s">
        <v>861</v>
      </c>
      <c r="AZ187" t="s">
        <v>295</v>
      </c>
      <c r="BA187" t="s">
        <v>296</v>
      </c>
      <c r="BB187">
        <v>1</v>
      </c>
      <c r="BC187">
        <v>0</v>
      </c>
      <c r="BD187">
        <v>0</v>
      </c>
      <c r="BE187" t="s">
        <v>4724</v>
      </c>
      <c r="BF187">
        <v>0</v>
      </c>
      <c r="BG187">
        <v>0</v>
      </c>
      <c r="BH187" t="s">
        <v>862</v>
      </c>
      <c r="BI187">
        <v>0</v>
      </c>
      <c r="BJ187" t="s">
        <v>862</v>
      </c>
      <c r="BK187">
        <v>1</v>
      </c>
      <c r="BL187">
        <v>1</v>
      </c>
      <c r="BM187">
        <v>0</v>
      </c>
      <c r="BN187" t="s">
        <v>596</v>
      </c>
      <c r="BO187">
        <v>153008226</v>
      </c>
      <c r="BP187" t="s">
        <v>4723</v>
      </c>
      <c r="BR187">
        <v>42791436</v>
      </c>
      <c r="BT187">
        <v>2</v>
      </c>
      <c r="BU187" t="s">
        <v>1367</v>
      </c>
      <c r="CE187">
        <v>1</v>
      </c>
      <c r="CI187">
        <v>11</v>
      </c>
      <c r="CJ187" t="s">
        <v>94</v>
      </c>
      <c r="CM187">
        <v>4010</v>
      </c>
      <c r="CO187">
        <v>7360</v>
      </c>
      <c r="CP187">
        <v>2.5</v>
      </c>
      <c r="CQ187">
        <v>2.5</v>
      </c>
      <c r="CR187">
        <v>1.5166999999999999</v>
      </c>
      <c r="CS187">
        <v>6</v>
      </c>
      <c r="CT187" t="s">
        <v>4731</v>
      </c>
      <c r="CU187" t="s">
        <v>4730</v>
      </c>
      <c r="CV187" t="s">
        <v>833</v>
      </c>
      <c r="CW187" t="s">
        <v>834</v>
      </c>
      <c r="CX187" t="s">
        <v>4724</v>
      </c>
      <c r="CY187">
        <v>1</v>
      </c>
      <c r="CZ187">
        <v>1</v>
      </c>
      <c r="DA187" t="s">
        <v>833</v>
      </c>
      <c r="DB187" t="s">
        <v>865</v>
      </c>
      <c r="DC187">
        <v>46250</v>
      </c>
      <c r="DD187">
        <v>9.8000000000000007</v>
      </c>
      <c r="DE187" t="s">
        <v>866</v>
      </c>
      <c r="DG187" t="s">
        <v>867</v>
      </c>
      <c r="DH187" t="s">
        <v>851</v>
      </c>
      <c r="DK187" t="s">
        <v>918</v>
      </c>
      <c r="DL187" t="s">
        <v>869</v>
      </c>
      <c r="DM187">
        <v>0</v>
      </c>
      <c r="DN187">
        <v>0</v>
      </c>
      <c r="DO187">
        <v>11</v>
      </c>
      <c r="DP187" t="s">
        <v>1010</v>
      </c>
      <c r="DQ187">
        <v>16</v>
      </c>
      <c r="DR187">
        <v>588</v>
      </c>
      <c r="DS187">
        <v>1308</v>
      </c>
      <c r="DT187">
        <v>7.3</v>
      </c>
      <c r="DU187">
        <v>4</v>
      </c>
      <c r="DV187">
        <v>1</v>
      </c>
      <c r="DW187">
        <v>2</v>
      </c>
      <c r="DX187" t="s">
        <v>596</v>
      </c>
      <c r="DY187" t="s">
        <v>4724</v>
      </c>
      <c r="DZ187">
        <v>1</v>
      </c>
      <c r="EA187">
        <v>1</v>
      </c>
      <c r="EB187">
        <v>1</v>
      </c>
      <c r="EC187">
        <v>0</v>
      </c>
      <c r="ED187">
        <v>0</v>
      </c>
      <c r="EE187">
        <v>1</v>
      </c>
      <c r="EF187" t="s">
        <v>871</v>
      </c>
      <c r="EG187" t="s">
        <v>595</v>
      </c>
      <c r="EH187" t="s">
        <v>921</v>
      </c>
      <c r="EI187" t="s">
        <v>921</v>
      </c>
      <c r="EJ187" t="s">
        <v>134</v>
      </c>
      <c r="EK187">
        <v>9090</v>
      </c>
      <c r="EL187">
        <v>0</v>
      </c>
      <c r="EM187" t="s">
        <v>1011</v>
      </c>
      <c r="EN187">
        <v>1.5166999999999999</v>
      </c>
      <c r="EO187">
        <v>21.8</v>
      </c>
      <c r="EP187">
        <v>99991120</v>
      </c>
      <c r="EQ187" t="s">
        <v>874</v>
      </c>
      <c r="ER187" t="s">
        <v>875</v>
      </c>
      <c r="ES187" t="s">
        <v>876</v>
      </c>
      <c r="ET187" t="s">
        <v>877</v>
      </c>
      <c r="EU187" t="s">
        <v>877</v>
      </c>
      <c r="EV187" t="s">
        <v>871</v>
      </c>
      <c r="EX187" t="s">
        <v>953</v>
      </c>
      <c r="EY187" t="s">
        <v>1555</v>
      </c>
      <c r="EZ187" t="s">
        <v>1013</v>
      </c>
      <c r="FA187" t="s">
        <v>925</v>
      </c>
      <c r="FB187">
        <v>1</v>
      </c>
      <c r="FC187">
        <v>1</v>
      </c>
      <c r="FD187" s="41">
        <v>46046</v>
      </c>
      <c r="FE187" t="s">
        <v>1370</v>
      </c>
      <c r="FF187">
        <v>7</v>
      </c>
      <c r="FG187" t="s">
        <v>4732</v>
      </c>
      <c r="FH187" t="s">
        <v>4733</v>
      </c>
      <c r="FI187">
        <v>1</v>
      </c>
      <c r="FJ187" t="s">
        <v>4734</v>
      </c>
      <c r="FK187" t="s">
        <v>4733</v>
      </c>
      <c r="FL187">
        <v>1</v>
      </c>
      <c r="FM187" t="s">
        <v>4735</v>
      </c>
      <c r="FN187" t="s">
        <v>4736</v>
      </c>
      <c r="FO187">
        <v>1</v>
      </c>
      <c r="FP187" t="s">
        <v>4737</v>
      </c>
      <c r="FQ187" t="s">
        <v>4730</v>
      </c>
      <c r="FR187">
        <v>1</v>
      </c>
      <c r="FS187" t="s">
        <v>1976</v>
      </c>
      <c r="FT187" t="s">
        <v>4738</v>
      </c>
      <c r="FU187">
        <v>1</v>
      </c>
      <c r="FV187" t="s">
        <v>4739</v>
      </c>
      <c r="FW187" t="s">
        <v>4740</v>
      </c>
      <c r="FX187">
        <v>1</v>
      </c>
      <c r="FY187" t="s">
        <v>890</v>
      </c>
      <c r="FZ187" t="s">
        <v>4741</v>
      </c>
      <c r="GA187" t="s">
        <v>4734</v>
      </c>
      <c r="GB187">
        <v>1</v>
      </c>
      <c r="GD187">
        <v>0</v>
      </c>
      <c r="GF187">
        <v>0</v>
      </c>
      <c r="GG187">
        <v>1</v>
      </c>
      <c r="GH187" t="s">
        <v>892</v>
      </c>
      <c r="GI187" t="s">
        <v>893</v>
      </c>
      <c r="GJ187" t="s">
        <v>4733</v>
      </c>
      <c r="GM187">
        <v>1</v>
      </c>
      <c r="GN187">
        <v>1</v>
      </c>
      <c r="GO187">
        <v>0</v>
      </c>
      <c r="GP187">
        <v>1</v>
      </c>
      <c r="GQ187">
        <v>1</v>
      </c>
      <c r="GR187">
        <v>0</v>
      </c>
      <c r="GS187">
        <v>1</v>
      </c>
      <c r="GT187">
        <v>0</v>
      </c>
      <c r="GU187">
        <v>1</v>
      </c>
      <c r="GV187">
        <v>0</v>
      </c>
      <c r="GW187">
        <v>1</v>
      </c>
      <c r="GX187">
        <v>0</v>
      </c>
      <c r="GY187">
        <v>1</v>
      </c>
      <c r="GZ187">
        <v>0</v>
      </c>
      <c r="HA187" t="s">
        <v>295</v>
      </c>
      <c r="HB187" t="s">
        <v>894</v>
      </c>
      <c r="HC187" t="s">
        <v>935</v>
      </c>
      <c r="HD187" t="s">
        <v>845</v>
      </c>
      <c r="HE187" t="s">
        <v>900</v>
      </c>
      <c r="HF187" t="s">
        <v>1012</v>
      </c>
      <c r="HG187" t="s">
        <v>894</v>
      </c>
      <c r="HH187" t="s">
        <v>935</v>
      </c>
      <c r="HI187" t="s">
        <v>845</v>
      </c>
      <c r="HJ187" t="s">
        <v>900</v>
      </c>
      <c r="HK187" t="s">
        <v>1011</v>
      </c>
      <c r="HL187" t="s">
        <v>133</v>
      </c>
      <c r="HM187" t="s">
        <v>854</v>
      </c>
      <c r="HN187">
        <v>36805</v>
      </c>
      <c r="HP187" t="s">
        <v>134</v>
      </c>
      <c r="HQ187" t="s">
        <v>896</v>
      </c>
      <c r="HR187" t="s">
        <v>896</v>
      </c>
      <c r="HS187" t="s">
        <v>896</v>
      </c>
    </row>
    <row r="188" spans="1:227" x14ac:dyDescent="0.2">
      <c r="A188">
        <v>8702</v>
      </c>
      <c r="B188">
        <v>7524803845</v>
      </c>
      <c r="C188" t="s">
        <v>829</v>
      </c>
      <c r="D188" t="s">
        <v>830</v>
      </c>
      <c r="E188" t="s">
        <v>831</v>
      </c>
      <c r="F188">
        <v>0</v>
      </c>
      <c r="G188" t="s">
        <v>4742</v>
      </c>
      <c r="H188" t="s">
        <v>4742</v>
      </c>
      <c r="I188">
        <v>0</v>
      </c>
      <c r="J188" t="s">
        <v>833</v>
      </c>
      <c r="K188" t="s">
        <v>834</v>
      </c>
      <c r="L188">
        <v>152858783</v>
      </c>
      <c r="M188" t="s">
        <v>4743</v>
      </c>
      <c r="N188" t="s">
        <v>836</v>
      </c>
      <c r="O188" t="s">
        <v>837</v>
      </c>
      <c r="P188" t="s">
        <v>838</v>
      </c>
      <c r="Q188" t="s">
        <v>1279</v>
      </c>
      <c r="R188" t="s">
        <v>4744</v>
      </c>
      <c r="S188" t="s">
        <v>4745</v>
      </c>
      <c r="T188">
        <v>41477074532</v>
      </c>
      <c r="V188" t="s">
        <v>1003</v>
      </c>
      <c r="W188" s="41">
        <v>45905</v>
      </c>
      <c r="X188" t="s">
        <v>4746</v>
      </c>
      <c r="Y188" t="s">
        <v>4747</v>
      </c>
      <c r="AA188">
        <v>0</v>
      </c>
      <c r="AB188" t="s">
        <v>845</v>
      </c>
      <c r="AC188" t="s">
        <v>846</v>
      </c>
      <c r="AD188" t="s">
        <v>847</v>
      </c>
      <c r="AE188" t="s">
        <v>848</v>
      </c>
      <c r="AF188">
        <v>1</v>
      </c>
      <c r="AG188">
        <v>452210</v>
      </c>
      <c r="AH188" t="s">
        <v>849</v>
      </c>
      <c r="AI188" t="s">
        <v>850</v>
      </c>
      <c r="AJ188" t="s">
        <v>851</v>
      </c>
      <c r="AK188" t="s">
        <v>437</v>
      </c>
      <c r="AL188" t="s">
        <v>4748</v>
      </c>
      <c r="AM188" t="s">
        <v>1059</v>
      </c>
      <c r="AN188" t="s">
        <v>854</v>
      </c>
      <c r="AO188">
        <v>36805</v>
      </c>
      <c r="AP188">
        <v>638</v>
      </c>
      <c r="AQ188" t="s">
        <v>855</v>
      </c>
      <c r="AR188">
        <v>66100946</v>
      </c>
      <c r="AS188" t="s">
        <v>856</v>
      </c>
      <c r="AU188" t="s">
        <v>4749</v>
      </c>
      <c r="AV188" t="s">
        <v>4750</v>
      </c>
      <c r="AX188" t="s">
        <v>913</v>
      </c>
      <c r="AY188" t="s">
        <v>861</v>
      </c>
      <c r="AZ188" t="s">
        <v>437</v>
      </c>
      <c r="BA188" t="s">
        <v>438</v>
      </c>
      <c r="BB188">
        <v>0</v>
      </c>
      <c r="BC188">
        <v>0</v>
      </c>
      <c r="BD188">
        <v>0</v>
      </c>
      <c r="BE188" t="s">
        <v>4743</v>
      </c>
      <c r="BF188">
        <v>0</v>
      </c>
      <c r="BG188">
        <v>0</v>
      </c>
      <c r="BH188" t="s">
        <v>862</v>
      </c>
      <c r="BI188">
        <v>0</v>
      </c>
      <c r="BJ188" t="s">
        <v>862</v>
      </c>
      <c r="BK188">
        <v>1</v>
      </c>
      <c r="BL188">
        <v>1</v>
      </c>
      <c r="BM188">
        <v>0</v>
      </c>
      <c r="BN188" t="s">
        <v>596</v>
      </c>
      <c r="BO188">
        <v>152858783</v>
      </c>
      <c r="BP188" t="s">
        <v>4742</v>
      </c>
      <c r="BR188">
        <v>42791770</v>
      </c>
      <c r="BT188">
        <v>0</v>
      </c>
      <c r="CM188">
        <v>4010</v>
      </c>
      <c r="CO188">
        <v>7360</v>
      </c>
      <c r="CP188">
        <v>0.51670000000000005</v>
      </c>
      <c r="CQ188">
        <v>0.51670000000000005</v>
      </c>
      <c r="CR188">
        <v>0.31669999999999998</v>
      </c>
      <c r="CS188">
        <v>13</v>
      </c>
      <c r="CT188" t="s">
        <v>4751</v>
      </c>
      <c r="CU188" t="s">
        <v>4752</v>
      </c>
      <c r="CV188" t="s">
        <v>833</v>
      </c>
      <c r="CW188" t="s">
        <v>834</v>
      </c>
      <c r="CX188" t="s">
        <v>4743</v>
      </c>
      <c r="CY188">
        <v>0</v>
      </c>
      <c r="CZ188">
        <v>0</v>
      </c>
      <c r="DA188" t="s">
        <v>833</v>
      </c>
      <c r="DB188" t="s">
        <v>865</v>
      </c>
      <c r="DC188">
        <v>61704</v>
      </c>
      <c r="DD188">
        <v>1.3</v>
      </c>
      <c r="DE188" t="s">
        <v>866</v>
      </c>
      <c r="DG188" t="s">
        <v>867</v>
      </c>
      <c r="DH188" t="s">
        <v>851</v>
      </c>
      <c r="DI188" t="s">
        <v>4753</v>
      </c>
      <c r="DL188" t="s">
        <v>869</v>
      </c>
      <c r="DM188">
        <v>0</v>
      </c>
      <c r="DN188">
        <v>0</v>
      </c>
      <c r="DO188">
        <v>12</v>
      </c>
      <c r="DP188" t="s">
        <v>1190</v>
      </c>
      <c r="DQ188">
        <v>16</v>
      </c>
      <c r="DR188">
        <v>78</v>
      </c>
      <c r="DS188">
        <v>78</v>
      </c>
      <c r="DT188">
        <v>0.7833</v>
      </c>
      <c r="DU188">
        <v>4</v>
      </c>
      <c r="DW188">
        <v>2</v>
      </c>
      <c r="DX188" t="s">
        <v>596</v>
      </c>
      <c r="DY188" t="s">
        <v>4743</v>
      </c>
      <c r="DZ188">
        <v>1</v>
      </c>
      <c r="EA188">
        <v>1</v>
      </c>
      <c r="EB188">
        <v>1</v>
      </c>
      <c r="EC188">
        <v>1</v>
      </c>
      <c r="ED188">
        <v>1</v>
      </c>
      <c r="EE188">
        <v>1</v>
      </c>
      <c r="EF188" t="s">
        <v>1526</v>
      </c>
      <c r="EG188" t="s">
        <v>595</v>
      </c>
      <c r="EH188" t="s">
        <v>921</v>
      </c>
      <c r="EI188" t="s">
        <v>921</v>
      </c>
      <c r="EJ188" t="s">
        <v>181</v>
      </c>
      <c r="EK188">
        <v>9090</v>
      </c>
      <c r="EL188">
        <v>0</v>
      </c>
      <c r="EM188" t="s">
        <v>1037</v>
      </c>
      <c r="EN188">
        <v>0.31669999999999998</v>
      </c>
      <c r="EO188">
        <v>1.3</v>
      </c>
      <c r="EP188">
        <v>99991120</v>
      </c>
      <c r="EQ188" t="s">
        <v>874</v>
      </c>
      <c r="ER188" t="s">
        <v>875</v>
      </c>
      <c r="ES188" t="s">
        <v>876</v>
      </c>
      <c r="ET188" t="s">
        <v>877</v>
      </c>
      <c r="EU188" t="s">
        <v>877</v>
      </c>
      <c r="EV188" t="s">
        <v>1526</v>
      </c>
      <c r="EX188" t="s">
        <v>836</v>
      </c>
      <c r="EY188" t="s">
        <v>873</v>
      </c>
      <c r="EZ188" t="s">
        <v>1065</v>
      </c>
      <c r="FA188" t="s">
        <v>879</v>
      </c>
      <c r="FB188">
        <v>1</v>
      </c>
      <c r="FC188">
        <v>1</v>
      </c>
      <c r="FD188" s="41">
        <v>45906</v>
      </c>
      <c r="FE188" t="s">
        <v>880</v>
      </c>
      <c r="FF188">
        <v>4</v>
      </c>
      <c r="FI188">
        <v>0</v>
      </c>
      <c r="FL188">
        <v>0</v>
      </c>
      <c r="FM188" t="s">
        <v>4754</v>
      </c>
      <c r="FN188" t="s">
        <v>4755</v>
      </c>
      <c r="FO188">
        <v>1</v>
      </c>
      <c r="FP188" t="s">
        <v>4756</v>
      </c>
      <c r="FQ188" t="s">
        <v>4757</v>
      </c>
      <c r="FR188">
        <v>1</v>
      </c>
      <c r="FS188" t="s">
        <v>4758</v>
      </c>
      <c r="FT188" t="s">
        <v>4759</v>
      </c>
      <c r="FU188">
        <v>1</v>
      </c>
      <c r="FV188" t="s">
        <v>4760</v>
      </c>
      <c r="FW188" t="s">
        <v>4761</v>
      </c>
      <c r="FX188">
        <v>1</v>
      </c>
      <c r="FY188" t="s">
        <v>890</v>
      </c>
      <c r="FZ188" t="s">
        <v>4762</v>
      </c>
      <c r="GA188" t="s">
        <v>4760</v>
      </c>
      <c r="GB188">
        <v>1</v>
      </c>
      <c r="GD188">
        <v>0</v>
      </c>
      <c r="GF188">
        <v>0</v>
      </c>
      <c r="GG188">
        <v>1</v>
      </c>
      <c r="GH188" t="s">
        <v>892</v>
      </c>
      <c r="GI188" t="s">
        <v>893</v>
      </c>
      <c r="GJ188" t="s">
        <v>4761</v>
      </c>
      <c r="GM188">
        <v>1</v>
      </c>
      <c r="GN188">
        <v>1</v>
      </c>
      <c r="GO188">
        <v>0</v>
      </c>
      <c r="GP188">
        <v>1</v>
      </c>
      <c r="GQ188">
        <v>1</v>
      </c>
      <c r="GR188">
        <v>0</v>
      </c>
      <c r="GS188">
        <v>1</v>
      </c>
      <c r="GT188">
        <v>0</v>
      </c>
      <c r="GU188">
        <v>1</v>
      </c>
      <c r="GV188">
        <v>0</v>
      </c>
      <c r="GW188">
        <v>1</v>
      </c>
      <c r="GX188">
        <v>0</v>
      </c>
      <c r="GY188">
        <v>1</v>
      </c>
      <c r="GZ188">
        <v>0</v>
      </c>
      <c r="HA188" t="s">
        <v>437</v>
      </c>
      <c r="HB188" t="s">
        <v>894</v>
      </c>
      <c r="HC188" t="s">
        <v>895</v>
      </c>
      <c r="HD188" t="s">
        <v>845</v>
      </c>
      <c r="HE188" t="s">
        <v>836</v>
      </c>
      <c r="HF188" t="s">
        <v>1051</v>
      </c>
      <c r="HG188" t="s">
        <v>894</v>
      </c>
      <c r="HH188" t="s">
        <v>895</v>
      </c>
      <c r="HI188" t="s">
        <v>845</v>
      </c>
      <c r="HJ188" t="s">
        <v>836</v>
      </c>
      <c r="HK188" t="s">
        <v>1037</v>
      </c>
      <c r="HL188" t="s">
        <v>1003</v>
      </c>
      <c r="HM188" t="s">
        <v>854</v>
      </c>
      <c r="HN188">
        <v>36805</v>
      </c>
      <c r="HP188" t="s">
        <v>181</v>
      </c>
      <c r="HQ188" t="s">
        <v>896</v>
      </c>
      <c r="HR188" t="s">
        <v>896</v>
      </c>
      <c r="HS188" t="s">
        <v>896</v>
      </c>
    </row>
    <row r="189" spans="1:227" x14ac:dyDescent="0.2">
      <c r="A189">
        <v>8702</v>
      </c>
      <c r="B189">
        <v>7528101827</v>
      </c>
      <c r="C189">
        <v>36</v>
      </c>
      <c r="D189" t="s">
        <v>1302</v>
      </c>
      <c r="E189" t="s">
        <v>831</v>
      </c>
      <c r="F189">
        <v>0</v>
      </c>
      <c r="G189" t="s">
        <v>4763</v>
      </c>
      <c r="H189" t="s">
        <v>4763</v>
      </c>
      <c r="I189">
        <v>0</v>
      </c>
      <c r="J189" t="s">
        <v>833</v>
      </c>
      <c r="K189" t="s">
        <v>834</v>
      </c>
      <c r="L189">
        <v>153406437</v>
      </c>
      <c r="M189" t="s">
        <v>4764</v>
      </c>
      <c r="N189" t="s">
        <v>836</v>
      </c>
      <c r="O189" t="s">
        <v>837</v>
      </c>
      <c r="P189" t="s">
        <v>1302</v>
      </c>
      <c r="Q189" t="s">
        <v>1517</v>
      </c>
      <c r="R189" t="s">
        <v>4765</v>
      </c>
      <c r="S189" t="s">
        <v>4766</v>
      </c>
      <c r="T189">
        <v>41477115830</v>
      </c>
      <c r="V189" t="s">
        <v>1109</v>
      </c>
      <c r="W189" s="41">
        <v>45938</v>
      </c>
      <c r="X189" t="s">
        <v>4767</v>
      </c>
      <c r="Y189" t="s">
        <v>4768</v>
      </c>
      <c r="AA189">
        <v>0</v>
      </c>
      <c r="AB189" t="s">
        <v>845</v>
      </c>
      <c r="AC189" t="s">
        <v>846</v>
      </c>
      <c r="AD189" t="s">
        <v>847</v>
      </c>
      <c r="AE189" t="s">
        <v>848</v>
      </c>
      <c r="AF189">
        <v>1</v>
      </c>
      <c r="AG189">
        <v>452210</v>
      </c>
      <c r="AH189" t="s">
        <v>849</v>
      </c>
      <c r="AI189" t="s">
        <v>850</v>
      </c>
      <c r="AJ189" t="s">
        <v>851</v>
      </c>
      <c r="AK189" t="s">
        <v>456</v>
      </c>
      <c r="AL189" t="s">
        <v>4769</v>
      </c>
      <c r="AM189" t="s">
        <v>1116</v>
      </c>
      <c r="AN189" t="s">
        <v>854</v>
      </c>
      <c r="AO189">
        <v>36805</v>
      </c>
      <c r="AP189">
        <v>545</v>
      </c>
      <c r="AQ189" t="s">
        <v>855</v>
      </c>
      <c r="AR189">
        <v>66148934</v>
      </c>
      <c r="AS189" t="s">
        <v>856</v>
      </c>
      <c r="AU189" t="s">
        <v>4770</v>
      </c>
      <c r="AV189" t="s">
        <v>4771</v>
      </c>
      <c r="AX189" t="s">
        <v>913</v>
      </c>
      <c r="AY189" t="s">
        <v>861</v>
      </c>
      <c r="AZ189" t="s">
        <v>456</v>
      </c>
      <c r="BA189" t="s">
        <v>457</v>
      </c>
      <c r="BB189">
        <v>0</v>
      </c>
      <c r="BC189">
        <v>0</v>
      </c>
      <c r="BD189">
        <v>1</v>
      </c>
      <c r="BE189" t="s">
        <v>4764</v>
      </c>
      <c r="BF189">
        <v>0</v>
      </c>
      <c r="BG189">
        <v>0</v>
      </c>
      <c r="BH189" t="s">
        <v>862</v>
      </c>
      <c r="BI189">
        <v>0</v>
      </c>
      <c r="BJ189" t="s">
        <v>862</v>
      </c>
      <c r="BK189">
        <v>1</v>
      </c>
      <c r="BL189">
        <v>1</v>
      </c>
      <c r="BM189">
        <v>0</v>
      </c>
      <c r="BN189" t="s">
        <v>596</v>
      </c>
      <c r="BO189">
        <v>153406437</v>
      </c>
      <c r="BP189" t="s">
        <v>4763</v>
      </c>
      <c r="BR189">
        <v>42791461</v>
      </c>
      <c r="BT189">
        <v>0</v>
      </c>
      <c r="CM189">
        <v>4010</v>
      </c>
      <c r="CO189">
        <v>7360</v>
      </c>
      <c r="CP189">
        <v>0.9</v>
      </c>
      <c r="CQ189">
        <v>0.9</v>
      </c>
      <c r="CR189">
        <v>0.61670000000000003</v>
      </c>
      <c r="CS189">
        <v>3</v>
      </c>
      <c r="CT189" t="s">
        <v>4771</v>
      </c>
      <c r="CU189" t="s">
        <v>4770</v>
      </c>
      <c r="CV189" t="s">
        <v>833</v>
      </c>
      <c r="CW189" t="s">
        <v>834</v>
      </c>
      <c r="CX189" t="s">
        <v>4764</v>
      </c>
      <c r="CY189">
        <v>1</v>
      </c>
      <c r="CZ189">
        <v>1</v>
      </c>
      <c r="DA189" t="s">
        <v>833</v>
      </c>
      <c r="DB189" t="s">
        <v>865</v>
      </c>
      <c r="DC189">
        <v>55127</v>
      </c>
      <c r="DD189">
        <v>9.2833000000000006</v>
      </c>
      <c r="DE189" t="s">
        <v>866</v>
      </c>
      <c r="DG189" t="s">
        <v>867</v>
      </c>
      <c r="DH189" t="s">
        <v>851</v>
      </c>
      <c r="DL189" t="s">
        <v>869</v>
      </c>
      <c r="DM189">
        <v>0</v>
      </c>
      <c r="DN189">
        <v>0</v>
      </c>
      <c r="DO189">
        <v>2</v>
      </c>
      <c r="DP189" t="s">
        <v>870</v>
      </c>
      <c r="DQ189">
        <v>16</v>
      </c>
      <c r="DR189">
        <v>557</v>
      </c>
      <c r="DS189">
        <v>557</v>
      </c>
      <c r="DT189">
        <v>8.3833000000000002</v>
      </c>
      <c r="DU189">
        <v>4</v>
      </c>
      <c r="DW189">
        <v>2</v>
      </c>
      <c r="DX189" t="s">
        <v>596</v>
      </c>
      <c r="DY189" t="s">
        <v>4764</v>
      </c>
      <c r="DZ189">
        <v>1</v>
      </c>
      <c r="EA189">
        <v>1</v>
      </c>
      <c r="EB189">
        <v>1</v>
      </c>
      <c r="EC189">
        <v>0</v>
      </c>
      <c r="ED189">
        <v>0</v>
      </c>
      <c r="EE189">
        <v>1</v>
      </c>
      <c r="EF189" t="s">
        <v>871</v>
      </c>
      <c r="EG189" t="s">
        <v>595</v>
      </c>
      <c r="EH189" t="s">
        <v>921</v>
      </c>
      <c r="EI189" t="s">
        <v>921</v>
      </c>
      <c r="EJ189" t="s">
        <v>159</v>
      </c>
      <c r="EK189">
        <v>9090</v>
      </c>
      <c r="EL189">
        <v>0</v>
      </c>
      <c r="EM189" t="s">
        <v>873</v>
      </c>
      <c r="EN189">
        <v>0.61670000000000003</v>
      </c>
      <c r="EO189">
        <v>9.2833333000000007</v>
      </c>
      <c r="EP189">
        <v>99991120</v>
      </c>
      <c r="EQ189" t="s">
        <v>874</v>
      </c>
      <c r="ER189" t="s">
        <v>875</v>
      </c>
      <c r="ES189" t="s">
        <v>876</v>
      </c>
      <c r="ET189" t="s">
        <v>877</v>
      </c>
      <c r="EU189" t="s">
        <v>877</v>
      </c>
      <c r="EV189" t="s">
        <v>871</v>
      </c>
      <c r="EX189" t="s">
        <v>836</v>
      </c>
      <c r="EY189" t="s">
        <v>1121</v>
      </c>
      <c r="EZ189" t="s">
        <v>1122</v>
      </c>
      <c r="FA189" t="s">
        <v>956</v>
      </c>
      <c r="FB189">
        <v>1</v>
      </c>
      <c r="FC189">
        <v>1</v>
      </c>
      <c r="FD189" s="41">
        <v>45941</v>
      </c>
      <c r="FE189" t="s">
        <v>1039</v>
      </c>
      <c r="FF189">
        <v>10</v>
      </c>
      <c r="FG189" t="s">
        <v>4772</v>
      </c>
      <c r="FH189" t="s">
        <v>4773</v>
      </c>
      <c r="FI189">
        <v>1</v>
      </c>
      <c r="FJ189" t="s">
        <v>4774</v>
      </c>
      <c r="FK189" t="s">
        <v>4773</v>
      </c>
      <c r="FL189">
        <v>1</v>
      </c>
      <c r="FM189" t="s">
        <v>4775</v>
      </c>
      <c r="FN189" t="s">
        <v>4776</v>
      </c>
      <c r="FO189">
        <v>1</v>
      </c>
      <c r="FP189" t="s">
        <v>4777</v>
      </c>
      <c r="FQ189" t="s">
        <v>4770</v>
      </c>
      <c r="FR189">
        <v>1</v>
      </c>
      <c r="FS189" t="s">
        <v>2287</v>
      </c>
      <c r="FT189" t="s">
        <v>4778</v>
      </c>
      <c r="FU189">
        <v>1</v>
      </c>
      <c r="FV189" t="s">
        <v>4779</v>
      </c>
      <c r="FW189" t="s">
        <v>4780</v>
      </c>
      <c r="FX189">
        <v>1</v>
      </c>
      <c r="FY189" t="s">
        <v>890</v>
      </c>
      <c r="FZ189" t="s">
        <v>4781</v>
      </c>
      <c r="GA189" t="s">
        <v>4774</v>
      </c>
      <c r="GB189">
        <v>1</v>
      </c>
      <c r="GD189">
        <v>0</v>
      </c>
      <c r="GF189">
        <v>0</v>
      </c>
      <c r="GG189">
        <v>1</v>
      </c>
      <c r="GH189" t="s">
        <v>892</v>
      </c>
      <c r="GI189" t="s">
        <v>893</v>
      </c>
      <c r="GJ189" t="s">
        <v>4773</v>
      </c>
      <c r="GM189">
        <v>1</v>
      </c>
      <c r="GN189">
        <v>1</v>
      </c>
      <c r="GO189">
        <v>0</v>
      </c>
      <c r="GP189">
        <v>1</v>
      </c>
      <c r="GQ189">
        <v>1</v>
      </c>
      <c r="GR189">
        <v>0</v>
      </c>
      <c r="GS189">
        <v>1</v>
      </c>
      <c r="GT189">
        <v>0</v>
      </c>
      <c r="GU189">
        <v>1</v>
      </c>
      <c r="GV189">
        <v>0</v>
      </c>
      <c r="GW189">
        <v>1</v>
      </c>
      <c r="GX189">
        <v>0</v>
      </c>
      <c r="GY189">
        <v>1</v>
      </c>
      <c r="GZ189">
        <v>0</v>
      </c>
      <c r="HA189" t="s">
        <v>456</v>
      </c>
      <c r="HB189" t="s">
        <v>894</v>
      </c>
      <c r="HC189" t="s">
        <v>895</v>
      </c>
      <c r="HD189" t="s">
        <v>845</v>
      </c>
      <c r="HE189" t="s">
        <v>836</v>
      </c>
      <c r="HF189" t="s">
        <v>873</v>
      </c>
      <c r="HG189" t="s">
        <v>894</v>
      </c>
      <c r="HH189" t="s">
        <v>895</v>
      </c>
      <c r="HI189" t="s">
        <v>845</v>
      </c>
      <c r="HJ189" t="s">
        <v>836</v>
      </c>
      <c r="HK189" t="s">
        <v>873</v>
      </c>
      <c r="HL189" t="s">
        <v>1109</v>
      </c>
      <c r="HM189" t="s">
        <v>854</v>
      </c>
      <c r="HN189">
        <v>36805</v>
      </c>
      <c r="HP189" t="s">
        <v>159</v>
      </c>
      <c r="HQ189" t="s">
        <v>896</v>
      </c>
      <c r="HR189" t="s">
        <v>896</v>
      </c>
      <c r="HS189" t="s">
        <v>896</v>
      </c>
    </row>
    <row r="190" spans="1:227" x14ac:dyDescent="0.2">
      <c r="A190">
        <v>8702</v>
      </c>
      <c r="B190">
        <v>7621808118</v>
      </c>
      <c r="C190" t="s">
        <v>829</v>
      </c>
      <c r="D190" t="s">
        <v>830</v>
      </c>
      <c r="E190" t="s">
        <v>897</v>
      </c>
      <c r="F190">
        <v>0</v>
      </c>
      <c r="G190" t="s">
        <v>4782</v>
      </c>
      <c r="H190" t="s">
        <v>4782</v>
      </c>
      <c r="I190">
        <v>0</v>
      </c>
      <c r="J190" t="s">
        <v>833</v>
      </c>
      <c r="K190" t="s">
        <v>834</v>
      </c>
      <c r="L190">
        <v>0</v>
      </c>
      <c r="M190" t="s">
        <v>4783</v>
      </c>
      <c r="N190" t="s">
        <v>900</v>
      </c>
      <c r="O190" t="s">
        <v>837</v>
      </c>
      <c r="P190" t="s">
        <v>838</v>
      </c>
      <c r="Q190" t="s">
        <v>839</v>
      </c>
      <c r="R190" t="s">
        <v>4784</v>
      </c>
      <c r="S190" t="s">
        <v>4785</v>
      </c>
      <c r="T190">
        <v>41477109811</v>
      </c>
      <c r="V190" t="s">
        <v>198</v>
      </c>
      <c r="W190" s="41">
        <v>46241</v>
      </c>
      <c r="X190" t="s">
        <v>4786</v>
      </c>
      <c r="Y190" t="s">
        <v>4787</v>
      </c>
      <c r="AA190">
        <v>0</v>
      </c>
      <c r="AB190" t="s">
        <v>845</v>
      </c>
      <c r="AC190" t="s">
        <v>846</v>
      </c>
      <c r="AD190" t="s">
        <v>1335</v>
      </c>
      <c r="AE190" t="s">
        <v>1336</v>
      </c>
      <c r="AF190">
        <v>1</v>
      </c>
      <c r="AG190">
        <v>452210</v>
      </c>
      <c r="AH190" t="s">
        <v>849</v>
      </c>
      <c r="AI190" t="s">
        <v>850</v>
      </c>
      <c r="AJ190" t="s">
        <v>851</v>
      </c>
      <c r="AK190" t="s">
        <v>328</v>
      </c>
      <c r="AL190" t="s">
        <v>4788</v>
      </c>
      <c r="AM190" t="s">
        <v>1619</v>
      </c>
      <c r="AN190" t="s">
        <v>854</v>
      </c>
      <c r="AO190">
        <v>36805</v>
      </c>
      <c r="AP190">
        <v>640</v>
      </c>
      <c r="AQ190" t="s">
        <v>855</v>
      </c>
      <c r="AR190">
        <v>66584791</v>
      </c>
      <c r="AS190" t="s">
        <v>856</v>
      </c>
      <c r="AU190" t="s">
        <v>4789</v>
      </c>
      <c r="AV190" t="s">
        <v>4790</v>
      </c>
      <c r="AX190" t="s">
        <v>913</v>
      </c>
      <c r="AY190" t="s">
        <v>861</v>
      </c>
      <c r="AZ190" t="s">
        <v>328</v>
      </c>
      <c r="BA190" t="s">
        <v>329</v>
      </c>
      <c r="BB190">
        <v>0</v>
      </c>
      <c r="BC190">
        <v>0</v>
      </c>
      <c r="BD190">
        <v>1</v>
      </c>
      <c r="BE190" t="s">
        <v>4783</v>
      </c>
      <c r="BF190">
        <v>0</v>
      </c>
      <c r="BG190">
        <v>0</v>
      </c>
      <c r="BH190" t="s">
        <v>862</v>
      </c>
      <c r="BI190">
        <v>0</v>
      </c>
      <c r="BJ190" t="s">
        <v>862</v>
      </c>
      <c r="BK190">
        <v>1</v>
      </c>
      <c r="BL190">
        <v>1</v>
      </c>
      <c r="BM190">
        <v>0</v>
      </c>
      <c r="BN190" t="s">
        <v>596</v>
      </c>
      <c r="BP190" t="s">
        <v>4782</v>
      </c>
      <c r="BR190">
        <v>42791772</v>
      </c>
      <c r="BT190">
        <v>2</v>
      </c>
      <c r="BU190" t="s">
        <v>914</v>
      </c>
      <c r="BY190">
        <v>16</v>
      </c>
      <c r="CA190">
        <v>9</v>
      </c>
      <c r="CE190">
        <v>1</v>
      </c>
      <c r="CI190">
        <v>11</v>
      </c>
      <c r="CJ190" t="s">
        <v>94</v>
      </c>
      <c r="CM190">
        <v>4010</v>
      </c>
      <c r="CO190">
        <v>7360</v>
      </c>
      <c r="CP190">
        <v>0.6</v>
      </c>
      <c r="CQ190">
        <v>0.6</v>
      </c>
      <c r="CR190">
        <v>0.51670000000000005</v>
      </c>
      <c r="CS190">
        <v>2</v>
      </c>
      <c r="CT190" t="s">
        <v>4790</v>
      </c>
      <c r="CU190" t="s">
        <v>4789</v>
      </c>
      <c r="CV190" t="s">
        <v>833</v>
      </c>
      <c r="CW190" t="s">
        <v>834</v>
      </c>
      <c r="CX190" t="s">
        <v>4791</v>
      </c>
      <c r="CY190">
        <v>1</v>
      </c>
      <c r="CZ190">
        <v>1</v>
      </c>
      <c r="DA190" t="s">
        <v>833</v>
      </c>
      <c r="DB190" t="s">
        <v>865</v>
      </c>
      <c r="DC190">
        <v>48823</v>
      </c>
      <c r="DD190">
        <v>9.1166999999999998</v>
      </c>
      <c r="DE190" t="s">
        <v>866</v>
      </c>
      <c r="DG190" t="s">
        <v>867</v>
      </c>
      <c r="DH190" t="s">
        <v>851</v>
      </c>
      <c r="DK190" t="s">
        <v>918</v>
      </c>
      <c r="DL190" t="s">
        <v>869</v>
      </c>
      <c r="DM190">
        <v>0</v>
      </c>
      <c r="DN190">
        <v>0</v>
      </c>
      <c r="DO190">
        <v>11</v>
      </c>
      <c r="DP190" t="s">
        <v>1010</v>
      </c>
      <c r="DQ190">
        <v>16</v>
      </c>
      <c r="DR190">
        <v>547</v>
      </c>
      <c r="DS190">
        <v>1267</v>
      </c>
      <c r="DT190">
        <v>8.5167000000000002</v>
      </c>
      <c r="DU190">
        <v>4</v>
      </c>
      <c r="DV190">
        <v>1</v>
      </c>
      <c r="DW190">
        <v>2</v>
      </c>
      <c r="DX190" t="s">
        <v>596</v>
      </c>
      <c r="DY190" t="s">
        <v>4783</v>
      </c>
      <c r="DZ190">
        <v>1</v>
      </c>
      <c r="EA190">
        <v>1</v>
      </c>
      <c r="EB190">
        <v>1</v>
      </c>
      <c r="EC190">
        <v>0</v>
      </c>
      <c r="ED190">
        <v>0</v>
      </c>
      <c r="EE190">
        <v>1</v>
      </c>
      <c r="EF190" t="s">
        <v>871</v>
      </c>
      <c r="EG190" t="s">
        <v>595</v>
      </c>
      <c r="EH190" t="s">
        <v>921</v>
      </c>
      <c r="EI190" t="s">
        <v>921</v>
      </c>
      <c r="EJ190" t="s">
        <v>178</v>
      </c>
      <c r="EK190">
        <v>9090</v>
      </c>
      <c r="EL190">
        <v>0</v>
      </c>
      <c r="EM190" t="s">
        <v>922</v>
      </c>
      <c r="EN190">
        <v>0.51670000000000005</v>
      </c>
      <c r="EO190">
        <v>21.1166667</v>
      </c>
      <c r="EP190">
        <v>99991120</v>
      </c>
      <c r="EQ190" t="s">
        <v>874</v>
      </c>
      <c r="ER190" t="s">
        <v>875</v>
      </c>
      <c r="ES190" t="s">
        <v>876</v>
      </c>
      <c r="ET190" t="s">
        <v>877</v>
      </c>
      <c r="EU190" t="s">
        <v>877</v>
      </c>
      <c r="EV190" t="s">
        <v>871</v>
      </c>
      <c r="EX190" t="s">
        <v>900</v>
      </c>
      <c r="EY190" t="s">
        <v>923</v>
      </c>
      <c r="EZ190" t="s">
        <v>1625</v>
      </c>
      <c r="FA190" t="s">
        <v>879</v>
      </c>
      <c r="FB190">
        <v>1</v>
      </c>
      <c r="FC190">
        <v>1</v>
      </c>
      <c r="FD190" s="41">
        <v>46242</v>
      </c>
      <c r="FE190" t="s">
        <v>926</v>
      </c>
      <c r="FF190">
        <v>9</v>
      </c>
      <c r="FG190" t="s">
        <v>4792</v>
      </c>
      <c r="FH190" t="s">
        <v>4793</v>
      </c>
      <c r="FI190">
        <v>1</v>
      </c>
      <c r="FJ190" t="s">
        <v>4794</v>
      </c>
      <c r="FK190" t="s">
        <v>4795</v>
      </c>
      <c r="FL190">
        <v>1</v>
      </c>
      <c r="FM190" t="s">
        <v>4796</v>
      </c>
      <c r="FN190" t="s">
        <v>4797</v>
      </c>
      <c r="FO190">
        <v>1</v>
      </c>
      <c r="FP190" t="s">
        <v>4798</v>
      </c>
      <c r="FQ190" t="s">
        <v>4789</v>
      </c>
      <c r="FR190">
        <v>1</v>
      </c>
      <c r="FS190" t="s">
        <v>4799</v>
      </c>
      <c r="FT190" t="s">
        <v>4800</v>
      </c>
      <c r="FU190">
        <v>1</v>
      </c>
      <c r="FV190" t="s">
        <v>4801</v>
      </c>
      <c r="FW190" t="s">
        <v>4802</v>
      </c>
      <c r="FX190">
        <v>1</v>
      </c>
      <c r="FY190" t="s">
        <v>890</v>
      </c>
      <c r="FZ190" t="s">
        <v>4803</v>
      </c>
      <c r="GA190" t="s">
        <v>4794</v>
      </c>
      <c r="GB190">
        <v>1</v>
      </c>
      <c r="GD190">
        <v>0</v>
      </c>
      <c r="GF190">
        <v>0</v>
      </c>
      <c r="GG190">
        <v>1</v>
      </c>
      <c r="GH190" t="s">
        <v>892</v>
      </c>
      <c r="GI190" t="s">
        <v>893</v>
      </c>
      <c r="GJ190" t="s">
        <v>4795</v>
      </c>
      <c r="GM190">
        <v>1</v>
      </c>
      <c r="GN190">
        <v>1</v>
      </c>
      <c r="GO190">
        <v>0</v>
      </c>
      <c r="GP190">
        <v>1</v>
      </c>
      <c r="GQ190">
        <v>1</v>
      </c>
      <c r="GR190">
        <v>0</v>
      </c>
      <c r="GS190">
        <v>1</v>
      </c>
      <c r="GT190">
        <v>0</v>
      </c>
      <c r="GU190">
        <v>1</v>
      </c>
      <c r="GV190">
        <v>0</v>
      </c>
      <c r="GW190">
        <v>1</v>
      </c>
      <c r="GX190">
        <v>0</v>
      </c>
      <c r="GY190">
        <v>1</v>
      </c>
      <c r="GZ190">
        <v>0</v>
      </c>
      <c r="HA190" t="s">
        <v>328</v>
      </c>
      <c r="HB190" t="s">
        <v>894</v>
      </c>
      <c r="HC190" t="s">
        <v>935</v>
      </c>
      <c r="HD190" t="s">
        <v>845</v>
      </c>
      <c r="HE190" t="s">
        <v>900</v>
      </c>
      <c r="HF190" t="s">
        <v>923</v>
      </c>
      <c r="HG190" t="s">
        <v>894</v>
      </c>
      <c r="HH190" t="s">
        <v>935</v>
      </c>
      <c r="HI190" t="s">
        <v>845</v>
      </c>
      <c r="HJ190" t="s">
        <v>900</v>
      </c>
      <c r="HK190" t="s">
        <v>922</v>
      </c>
      <c r="HL190" t="s">
        <v>198</v>
      </c>
      <c r="HM190" t="s">
        <v>854</v>
      </c>
      <c r="HN190">
        <v>36805</v>
      </c>
      <c r="HP190" t="s">
        <v>178</v>
      </c>
      <c r="HQ190" t="s">
        <v>896</v>
      </c>
      <c r="HR190" t="s">
        <v>896</v>
      </c>
      <c r="HS190" t="s">
        <v>896</v>
      </c>
    </row>
    <row r="191" spans="1:227" x14ac:dyDescent="0.2">
      <c r="A191">
        <v>8702</v>
      </c>
      <c r="B191">
        <v>7529002889</v>
      </c>
      <c r="C191">
        <v>36</v>
      </c>
      <c r="D191" t="s">
        <v>1302</v>
      </c>
      <c r="E191" t="s">
        <v>897</v>
      </c>
      <c r="F191">
        <v>0</v>
      </c>
      <c r="G191" t="s">
        <v>4804</v>
      </c>
      <c r="H191" t="s">
        <v>4804</v>
      </c>
      <c r="I191">
        <v>0</v>
      </c>
      <c r="J191" t="s">
        <v>833</v>
      </c>
      <c r="K191" t="s">
        <v>834</v>
      </c>
      <c r="L191">
        <v>153195474</v>
      </c>
      <c r="M191" t="s">
        <v>1540</v>
      </c>
      <c r="N191" t="s">
        <v>900</v>
      </c>
      <c r="O191" t="s">
        <v>837</v>
      </c>
      <c r="P191" t="s">
        <v>1302</v>
      </c>
      <c r="Q191" t="s">
        <v>2547</v>
      </c>
      <c r="R191" t="s">
        <v>4805</v>
      </c>
      <c r="S191" t="s">
        <v>4806</v>
      </c>
      <c r="T191">
        <v>41477053562</v>
      </c>
      <c r="V191" t="s">
        <v>1543</v>
      </c>
      <c r="W191" s="41">
        <v>45953</v>
      </c>
      <c r="X191" t="s">
        <v>4807</v>
      </c>
      <c r="Y191" t="s">
        <v>4808</v>
      </c>
      <c r="Z191" t="s">
        <v>2965</v>
      </c>
      <c r="AA191">
        <v>0</v>
      </c>
      <c r="AB191" t="s">
        <v>845</v>
      </c>
      <c r="AC191" t="s">
        <v>846</v>
      </c>
      <c r="AD191" t="s">
        <v>847</v>
      </c>
      <c r="AE191" t="s">
        <v>848</v>
      </c>
      <c r="AF191">
        <v>1</v>
      </c>
      <c r="AG191">
        <v>452210</v>
      </c>
      <c r="AH191" t="s">
        <v>849</v>
      </c>
      <c r="AI191" t="s">
        <v>850</v>
      </c>
      <c r="AJ191" t="s">
        <v>851</v>
      </c>
      <c r="AK191" t="s">
        <v>295</v>
      </c>
      <c r="AL191" t="s">
        <v>4729</v>
      </c>
      <c r="AM191" t="s">
        <v>1548</v>
      </c>
      <c r="AN191" t="s">
        <v>854</v>
      </c>
      <c r="AO191">
        <v>36805</v>
      </c>
      <c r="AP191">
        <v>522</v>
      </c>
      <c r="AQ191" t="s">
        <v>855</v>
      </c>
      <c r="AR191">
        <v>66170471</v>
      </c>
      <c r="AS191" t="s">
        <v>856</v>
      </c>
      <c r="AU191" t="s">
        <v>4809</v>
      </c>
      <c r="AV191" t="s">
        <v>4810</v>
      </c>
      <c r="AX191" t="s">
        <v>913</v>
      </c>
      <c r="AY191" t="s">
        <v>861</v>
      </c>
      <c r="AZ191" t="s">
        <v>295</v>
      </c>
      <c r="BA191" t="s">
        <v>296</v>
      </c>
      <c r="BB191">
        <v>0</v>
      </c>
      <c r="BC191">
        <v>0</v>
      </c>
      <c r="BD191">
        <v>1</v>
      </c>
      <c r="BE191" t="s">
        <v>1540</v>
      </c>
      <c r="BF191">
        <v>0</v>
      </c>
      <c r="BG191">
        <v>0</v>
      </c>
      <c r="BH191" t="s">
        <v>862</v>
      </c>
      <c r="BI191">
        <v>0</v>
      </c>
      <c r="BJ191" t="s">
        <v>862</v>
      </c>
      <c r="BK191">
        <v>1</v>
      </c>
      <c r="BL191">
        <v>1</v>
      </c>
      <c r="BM191">
        <v>0</v>
      </c>
      <c r="BN191" t="s">
        <v>596</v>
      </c>
      <c r="BO191">
        <v>153195474</v>
      </c>
      <c r="BP191" t="s">
        <v>4804</v>
      </c>
      <c r="BR191">
        <v>42791431</v>
      </c>
      <c r="BT191">
        <v>1</v>
      </c>
      <c r="BU191" t="s">
        <v>2280</v>
      </c>
      <c r="CI191">
        <v>11</v>
      </c>
      <c r="CJ191" t="s">
        <v>94</v>
      </c>
      <c r="CM191">
        <v>4010</v>
      </c>
      <c r="CO191">
        <v>7360</v>
      </c>
      <c r="CP191">
        <v>1.1333</v>
      </c>
      <c r="CQ191">
        <v>1.1333</v>
      </c>
      <c r="CR191">
        <v>1.8167</v>
      </c>
      <c r="CS191">
        <v>0</v>
      </c>
      <c r="CT191" t="s">
        <v>4811</v>
      </c>
      <c r="CU191" t="s">
        <v>4812</v>
      </c>
      <c r="CV191" t="s">
        <v>833</v>
      </c>
      <c r="CW191" t="s">
        <v>834</v>
      </c>
      <c r="CX191" t="s">
        <v>1540</v>
      </c>
      <c r="CY191">
        <v>1</v>
      </c>
      <c r="CZ191">
        <v>1</v>
      </c>
      <c r="DA191" t="s">
        <v>833</v>
      </c>
      <c r="DB191" t="s">
        <v>865</v>
      </c>
      <c r="DC191">
        <v>46227</v>
      </c>
      <c r="DD191">
        <v>71.95</v>
      </c>
      <c r="DE191" t="s">
        <v>866</v>
      </c>
      <c r="DG191" t="s">
        <v>867</v>
      </c>
      <c r="DH191" t="s">
        <v>851</v>
      </c>
      <c r="DI191" t="s">
        <v>1554</v>
      </c>
      <c r="DK191" t="s">
        <v>1155</v>
      </c>
      <c r="DL191" t="s">
        <v>869</v>
      </c>
      <c r="DM191">
        <v>0</v>
      </c>
      <c r="DN191">
        <v>0</v>
      </c>
      <c r="DO191">
        <v>11</v>
      </c>
      <c r="DP191" t="s">
        <v>1010</v>
      </c>
      <c r="DQ191">
        <v>16</v>
      </c>
      <c r="DR191">
        <v>4317</v>
      </c>
      <c r="DS191">
        <v>8637</v>
      </c>
      <c r="DT191">
        <v>47.616700000000002</v>
      </c>
      <c r="DU191">
        <v>4</v>
      </c>
      <c r="DV191">
        <v>1</v>
      </c>
      <c r="DW191">
        <v>2</v>
      </c>
      <c r="DX191" t="s">
        <v>596</v>
      </c>
      <c r="DY191" t="s">
        <v>1540</v>
      </c>
      <c r="DZ191">
        <v>0</v>
      </c>
      <c r="EA191">
        <v>0</v>
      </c>
      <c r="EB191">
        <v>1</v>
      </c>
      <c r="EC191">
        <v>0</v>
      </c>
      <c r="ED191">
        <v>0</v>
      </c>
      <c r="EE191">
        <v>1</v>
      </c>
      <c r="EF191" t="s">
        <v>871</v>
      </c>
      <c r="EG191" t="s">
        <v>595</v>
      </c>
      <c r="EH191" t="s">
        <v>921</v>
      </c>
      <c r="EI191" t="s">
        <v>921</v>
      </c>
      <c r="EJ191" t="s">
        <v>134</v>
      </c>
      <c r="EK191">
        <v>9090</v>
      </c>
      <c r="EL191">
        <v>1</v>
      </c>
      <c r="EM191" t="s">
        <v>1011</v>
      </c>
      <c r="EN191">
        <v>1.8167</v>
      </c>
      <c r="EO191">
        <v>143.94999999999999</v>
      </c>
      <c r="EP191">
        <v>99991120</v>
      </c>
      <c r="EQ191" t="s">
        <v>874</v>
      </c>
      <c r="ER191" t="s">
        <v>875</v>
      </c>
      <c r="ES191" t="s">
        <v>876</v>
      </c>
      <c r="ET191" t="s">
        <v>877</v>
      </c>
      <c r="EU191" t="s">
        <v>877</v>
      </c>
      <c r="EV191" t="s">
        <v>871</v>
      </c>
      <c r="EX191" t="s">
        <v>953</v>
      </c>
      <c r="EY191" t="s">
        <v>1555</v>
      </c>
      <c r="EZ191" t="s">
        <v>1013</v>
      </c>
      <c r="FA191" t="s">
        <v>925</v>
      </c>
      <c r="FB191">
        <v>1</v>
      </c>
      <c r="FC191">
        <v>2</v>
      </c>
      <c r="FD191" s="41">
        <v>45955</v>
      </c>
      <c r="FE191" t="s">
        <v>1039</v>
      </c>
      <c r="FF191">
        <v>10</v>
      </c>
      <c r="FG191" t="s">
        <v>4813</v>
      </c>
      <c r="FH191" t="s">
        <v>4814</v>
      </c>
      <c r="FI191">
        <v>1</v>
      </c>
      <c r="FJ191" t="s">
        <v>4815</v>
      </c>
      <c r="FK191" t="s">
        <v>4814</v>
      </c>
      <c r="FL191">
        <v>1</v>
      </c>
      <c r="FM191" t="s">
        <v>4816</v>
      </c>
      <c r="FN191" t="s">
        <v>4817</v>
      </c>
      <c r="FO191">
        <v>1</v>
      </c>
      <c r="FP191" t="s">
        <v>4818</v>
      </c>
      <c r="FQ191" t="s">
        <v>4812</v>
      </c>
      <c r="FR191">
        <v>1</v>
      </c>
      <c r="FS191" t="s">
        <v>2872</v>
      </c>
      <c r="FT191" t="s">
        <v>4819</v>
      </c>
      <c r="FU191">
        <v>1</v>
      </c>
      <c r="FV191" t="s">
        <v>4820</v>
      </c>
      <c r="FW191" t="s">
        <v>4821</v>
      </c>
      <c r="FX191">
        <v>1</v>
      </c>
      <c r="FY191" t="s">
        <v>890</v>
      </c>
      <c r="FZ191" t="s">
        <v>4822</v>
      </c>
      <c r="GA191" t="s">
        <v>4815</v>
      </c>
      <c r="GB191">
        <v>1</v>
      </c>
      <c r="GD191">
        <v>0</v>
      </c>
      <c r="GF191">
        <v>0</v>
      </c>
      <c r="GG191">
        <v>1</v>
      </c>
      <c r="GH191" t="s">
        <v>892</v>
      </c>
      <c r="GI191" t="s">
        <v>893</v>
      </c>
      <c r="GJ191" t="s">
        <v>4814</v>
      </c>
      <c r="GM191">
        <v>1</v>
      </c>
      <c r="GN191">
        <v>0</v>
      </c>
      <c r="GO191">
        <v>0</v>
      </c>
      <c r="GP191">
        <v>1</v>
      </c>
      <c r="GQ191">
        <v>1</v>
      </c>
      <c r="GR191">
        <v>0</v>
      </c>
      <c r="GS191">
        <v>1</v>
      </c>
      <c r="GT191">
        <v>1</v>
      </c>
      <c r="GU191">
        <v>1</v>
      </c>
      <c r="GV191">
        <v>0</v>
      </c>
      <c r="GW191">
        <v>1</v>
      </c>
      <c r="GX191">
        <v>0</v>
      </c>
      <c r="GY191">
        <v>1</v>
      </c>
      <c r="GZ191">
        <v>0</v>
      </c>
      <c r="HA191" t="s">
        <v>295</v>
      </c>
      <c r="HB191" t="s">
        <v>894</v>
      </c>
      <c r="HC191" t="s">
        <v>935</v>
      </c>
      <c r="HD191" t="s">
        <v>845</v>
      </c>
      <c r="HE191" t="s">
        <v>900</v>
      </c>
      <c r="HF191" t="s">
        <v>1012</v>
      </c>
      <c r="HG191" t="s">
        <v>894</v>
      </c>
      <c r="HH191" t="s">
        <v>935</v>
      </c>
      <c r="HI191" t="s">
        <v>845</v>
      </c>
      <c r="HJ191" t="s">
        <v>900</v>
      </c>
      <c r="HK191" t="s">
        <v>1011</v>
      </c>
      <c r="HL191" t="s">
        <v>1543</v>
      </c>
      <c r="HM191" t="s">
        <v>854</v>
      </c>
      <c r="HN191">
        <v>36805</v>
      </c>
      <c r="HO191">
        <v>1</v>
      </c>
      <c r="HP191" t="s">
        <v>134</v>
      </c>
      <c r="HQ191" t="s">
        <v>896</v>
      </c>
      <c r="HR191" t="s">
        <v>896</v>
      </c>
      <c r="HS191" t="s">
        <v>896</v>
      </c>
    </row>
    <row r="192" spans="1:227" x14ac:dyDescent="0.2">
      <c r="A192">
        <v>8702</v>
      </c>
      <c r="B192">
        <v>7613801040</v>
      </c>
      <c r="C192" t="s">
        <v>936</v>
      </c>
      <c r="D192" t="s">
        <v>937</v>
      </c>
      <c r="E192" t="s">
        <v>897</v>
      </c>
      <c r="F192">
        <v>0</v>
      </c>
      <c r="G192" t="s">
        <v>4823</v>
      </c>
      <c r="H192" t="s">
        <v>4823</v>
      </c>
      <c r="I192">
        <v>0</v>
      </c>
      <c r="J192" t="s">
        <v>833</v>
      </c>
      <c r="K192" t="s">
        <v>834</v>
      </c>
      <c r="L192">
        <v>153195478</v>
      </c>
      <c r="M192" t="s">
        <v>4824</v>
      </c>
      <c r="N192" t="s">
        <v>900</v>
      </c>
      <c r="O192" t="s">
        <v>837</v>
      </c>
      <c r="P192" t="s">
        <v>940</v>
      </c>
      <c r="Q192" t="s">
        <v>2404</v>
      </c>
      <c r="R192" t="s">
        <v>4825</v>
      </c>
      <c r="S192" t="s">
        <v>4826</v>
      </c>
      <c r="T192">
        <v>41477130640</v>
      </c>
      <c r="V192" t="s">
        <v>1226</v>
      </c>
      <c r="W192" s="41">
        <v>46160</v>
      </c>
      <c r="X192" t="s">
        <v>4827</v>
      </c>
      <c r="Y192" t="s">
        <v>4828</v>
      </c>
      <c r="AA192">
        <v>0</v>
      </c>
      <c r="AB192" t="s">
        <v>845</v>
      </c>
      <c r="AC192" t="s">
        <v>846</v>
      </c>
      <c r="AD192" t="s">
        <v>907</v>
      </c>
      <c r="AE192" t="s">
        <v>908</v>
      </c>
      <c r="AF192">
        <v>1</v>
      </c>
      <c r="AG192">
        <v>452210</v>
      </c>
      <c r="AH192" t="s">
        <v>849</v>
      </c>
      <c r="AI192" t="s">
        <v>850</v>
      </c>
      <c r="AJ192" t="s">
        <v>851</v>
      </c>
      <c r="AK192" t="s">
        <v>265</v>
      </c>
      <c r="AL192" t="s">
        <v>1644</v>
      </c>
      <c r="AM192" t="s">
        <v>1230</v>
      </c>
      <c r="AN192" t="s">
        <v>854</v>
      </c>
      <c r="AO192">
        <v>36805</v>
      </c>
      <c r="AP192">
        <v>925</v>
      </c>
      <c r="AQ192" t="s">
        <v>855</v>
      </c>
      <c r="AR192">
        <v>66468553</v>
      </c>
      <c r="AS192" t="s">
        <v>856</v>
      </c>
      <c r="AU192" t="s">
        <v>4829</v>
      </c>
      <c r="AV192" t="s">
        <v>4830</v>
      </c>
      <c r="AX192" t="s">
        <v>913</v>
      </c>
      <c r="AY192" t="s">
        <v>861</v>
      </c>
      <c r="AZ192" t="s">
        <v>265</v>
      </c>
      <c r="BA192" t="s">
        <v>266</v>
      </c>
      <c r="BB192">
        <v>0</v>
      </c>
      <c r="BC192">
        <v>0</v>
      </c>
      <c r="BD192">
        <v>0</v>
      </c>
      <c r="BE192" t="s">
        <v>4824</v>
      </c>
      <c r="BF192">
        <v>0</v>
      </c>
      <c r="BG192">
        <v>0</v>
      </c>
      <c r="BH192" t="s">
        <v>862</v>
      </c>
      <c r="BI192">
        <v>0</v>
      </c>
      <c r="BJ192" t="s">
        <v>862</v>
      </c>
      <c r="BK192">
        <v>1</v>
      </c>
      <c r="BL192">
        <v>1</v>
      </c>
      <c r="BM192">
        <v>0</v>
      </c>
      <c r="BN192" t="s">
        <v>596</v>
      </c>
      <c r="BO192">
        <v>153195478</v>
      </c>
      <c r="BP192" t="s">
        <v>4823</v>
      </c>
      <c r="BR192">
        <v>42793649</v>
      </c>
      <c r="BT192">
        <v>2</v>
      </c>
      <c r="BU192" t="s">
        <v>1803</v>
      </c>
      <c r="BY192">
        <v>12</v>
      </c>
      <c r="CA192">
        <v>3</v>
      </c>
      <c r="CE192">
        <v>1</v>
      </c>
      <c r="CI192">
        <v>11</v>
      </c>
      <c r="CJ192" t="s">
        <v>94</v>
      </c>
      <c r="CM192">
        <v>4010</v>
      </c>
      <c r="CO192">
        <v>7360</v>
      </c>
      <c r="CP192">
        <v>0.61670000000000003</v>
      </c>
      <c r="CQ192">
        <v>0.61670000000000003</v>
      </c>
      <c r="CR192">
        <v>0.9667</v>
      </c>
      <c r="CS192">
        <v>3</v>
      </c>
      <c r="CT192" t="s">
        <v>4830</v>
      </c>
      <c r="CU192" t="s">
        <v>4829</v>
      </c>
      <c r="CV192" t="s">
        <v>833</v>
      </c>
      <c r="CW192" t="s">
        <v>834</v>
      </c>
      <c r="CX192" t="s">
        <v>4824</v>
      </c>
      <c r="CY192">
        <v>0</v>
      </c>
      <c r="CZ192">
        <v>0</v>
      </c>
      <c r="DA192" t="s">
        <v>833</v>
      </c>
      <c r="DB192" t="s">
        <v>865</v>
      </c>
      <c r="DC192">
        <v>44124</v>
      </c>
      <c r="DD192">
        <v>2.5499999999999998</v>
      </c>
      <c r="DE192" t="s">
        <v>866</v>
      </c>
      <c r="DG192" t="s">
        <v>867</v>
      </c>
      <c r="DH192" t="s">
        <v>851</v>
      </c>
      <c r="DI192" t="s">
        <v>1554</v>
      </c>
      <c r="DK192" t="s">
        <v>918</v>
      </c>
      <c r="DL192" t="s">
        <v>869</v>
      </c>
      <c r="DM192">
        <v>0</v>
      </c>
      <c r="DN192">
        <v>0</v>
      </c>
      <c r="DO192">
        <v>3</v>
      </c>
      <c r="DP192" t="s">
        <v>919</v>
      </c>
      <c r="DQ192">
        <v>12</v>
      </c>
      <c r="DR192">
        <v>153</v>
      </c>
      <c r="DS192">
        <v>153</v>
      </c>
      <c r="DT192">
        <v>1.9333</v>
      </c>
      <c r="DU192">
        <v>4</v>
      </c>
      <c r="DV192">
        <v>1</v>
      </c>
      <c r="DW192">
        <v>1</v>
      </c>
      <c r="DX192" t="s">
        <v>596</v>
      </c>
      <c r="DY192" t="s">
        <v>4824</v>
      </c>
      <c r="DZ192">
        <v>1</v>
      </c>
      <c r="EA192">
        <v>1</v>
      </c>
      <c r="EB192">
        <v>1</v>
      </c>
      <c r="EC192">
        <v>1</v>
      </c>
      <c r="ED192">
        <v>1</v>
      </c>
      <c r="EE192">
        <v>1</v>
      </c>
      <c r="EF192" t="s">
        <v>871</v>
      </c>
      <c r="EG192" t="s">
        <v>595</v>
      </c>
      <c r="EH192" t="s">
        <v>1036</v>
      </c>
      <c r="EI192" t="s">
        <v>1036</v>
      </c>
      <c r="EJ192" t="s">
        <v>226</v>
      </c>
      <c r="EK192">
        <v>9090</v>
      </c>
      <c r="EL192">
        <v>0</v>
      </c>
      <c r="EM192" t="s">
        <v>1157</v>
      </c>
      <c r="EN192">
        <v>0.9667</v>
      </c>
      <c r="EO192">
        <v>2.5499999999999998</v>
      </c>
      <c r="EP192">
        <v>99991120</v>
      </c>
      <c r="EQ192" t="s">
        <v>874</v>
      </c>
      <c r="ER192" t="s">
        <v>875</v>
      </c>
      <c r="ES192" t="s">
        <v>876</v>
      </c>
      <c r="ET192" t="s">
        <v>877</v>
      </c>
      <c r="EU192" t="s">
        <v>877</v>
      </c>
      <c r="EV192" t="s">
        <v>871</v>
      </c>
      <c r="EX192" t="s">
        <v>953</v>
      </c>
      <c r="EY192" t="s">
        <v>986</v>
      </c>
      <c r="EZ192" t="s">
        <v>1236</v>
      </c>
      <c r="FA192" t="s">
        <v>956</v>
      </c>
      <c r="FB192">
        <v>1</v>
      </c>
      <c r="FC192">
        <v>1</v>
      </c>
      <c r="FD192" s="41">
        <v>46165</v>
      </c>
      <c r="FE192" t="s">
        <v>1808</v>
      </c>
      <c r="FF192">
        <v>6</v>
      </c>
      <c r="FG192" t="s">
        <v>1649</v>
      </c>
      <c r="FH192" t="s">
        <v>4831</v>
      </c>
      <c r="FI192">
        <v>1</v>
      </c>
      <c r="FJ192" t="s">
        <v>4832</v>
      </c>
      <c r="FK192" t="s">
        <v>4833</v>
      </c>
      <c r="FL192">
        <v>1</v>
      </c>
      <c r="FM192" t="s">
        <v>4834</v>
      </c>
      <c r="FN192" t="s">
        <v>4835</v>
      </c>
      <c r="FO192">
        <v>1</v>
      </c>
      <c r="FP192" t="s">
        <v>4836</v>
      </c>
      <c r="FQ192" t="s">
        <v>4829</v>
      </c>
      <c r="FR192">
        <v>1</v>
      </c>
      <c r="FS192" t="s">
        <v>1244</v>
      </c>
      <c r="FT192" t="s">
        <v>4837</v>
      </c>
      <c r="FU192">
        <v>1</v>
      </c>
      <c r="FV192" t="s">
        <v>1246</v>
      </c>
      <c r="FW192" t="s">
        <v>4838</v>
      </c>
      <c r="FX192">
        <v>1</v>
      </c>
      <c r="FY192" t="s">
        <v>890</v>
      </c>
      <c r="FZ192" t="s">
        <v>4839</v>
      </c>
      <c r="GA192" t="s">
        <v>4832</v>
      </c>
      <c r="GB192">
        <v>1</v>
      </c>
      <c r="GD192">
        <v>0</v>
      </c>
      <c r="GF192">
        <v>0</v>
      </c>
      <c r="GG192">
        <v>1</v>
      </c>
      <c r="GH192" t="s">
        <v>892</v>
      </c>
      <c r="GI192" t="s">
        <v>893</v>
      </c>
      <c r="GJ192" t="s">
        <v>4833</v>
      </c>
      <c r="GM192">
        <v>1</v>
      </c>
      <c r="GN192">
        <v>1</v>
      </c>
      <c r="GO192">
        <v>0</v>
      </c>
      <c r="GP192">
        <v>1</v>
      </c>
      <c r="GQ192">
        <v>1</v>
      </c>
      <c r="GR192">
        <v>0</v>
      </c>
      <c r="GS192">
        <v>1</v>
      </c>
      <c r="GT192">
        <v>0</v>
      </c>
      <c r="GU192">
        <v>1</v>
      </c>
      <c r="GV192">
        <v>0</v>
      </c>
      <c r="GW192">
        <v>1</v>
      </c>
      <c r="GX192">
        <v>0</v>
      </c>
      <c r="GY192">
        <v>1</v>
      </c>
      <c r="GZ192">
        <v>0</v>
      </c>
      <c r="HA192" t="s">
        <v>265</v>
      </c>
      <c r="HB192" t="s">
        <v>894</v>
      </c>
      <c r="HC192" t="s">
        <v>935</v>
      </c>
      <c r="HD192" t="s">
        <v>845</v>
      </c>
      <c r="HE192" t="s">
        <v>900</v>
      </c>
      <c r="HF192" t="s">
        <v>923</v>
      </c>
      <c r="HG192" t="s">
        <v>894</v>
      </c>
      <c r="HH192" t="s">
        <v>935</v>
      </c>
      <c r="HI192" t="s">
        <v>845</v>
      </c>
      <c r="HJ192" t="s">
        <v>900</v>
      </c>
      <c r="HK192" t="s">
        <v>922</v>
      </c>
      <c r="HL192" t="s">
        <v>1226</v>
      </c>
      <c r="HM192" t="s">
        <v>854</v>
      </c>
      <c r="HN192">
        <v>36805</v>
      </c>
      <c r="HP192" t="s">
        <v>226</v>
      </c>
      <c r="HQ192" t="s">
        <v>896</v>
      </c>
      <c r="HR192" t="s">
        <v>896</v>
      </c>
      <c r="HS192" t="s">
        <v>896</v>
      </c>
    </row>
    <row r="193" spans="1:227" x14ac:dyDescent="0.2">
      <c r="A193">
        <v>8702</v>
      </c>
      <c r="B193">
        <v>7611101746</v>
      </c>
      <c r="C193" t="s">
        <v>829</v>
      </c>
      <c r="D193" t="s">
        <v>830</v>
      </c>
      <c r="E193" t="s">
        <v>831</v>
      </c>
      <c r="F193">
        <v>0</v>
      </c>
      <c r="G193" t="s">
        <v>4840</v>
      </c>
      <c r="H193" t="s">
        <v>4840</v>
      </c>
      <c r="I193">
        <v>0</v>
      </c>
      <c r="J193" t="s">
        <v>833</v>
      </c>
      <c r="K193" t="s">
        <v>834</v>
      </c>
      <c r="L193">
        <v>153589115</v>
      </c>
      <c r="M193" t="s">
        <v>4841</v>
      </c>
      <c r="N193" t="s">
        <v>836</v>
      </c>
      <c r="O193" t="s">
        <v>837</v>
      </c>
      <c r="P193" t="s">
        <v>838</v>
      </c>
      <c r="Q193" t="s">
        <v>1877</v>
      </c>
      <c r="R193" t="s">
        <v>4842</v>
      </c>
      <c r="S193" t="s">
        <v>4843</v>
      </c>
      <c r="T193">
        <v>30300105488</v>
      </c>
      <c r="V193" t="s">
        <v>117</v>
      </c>
      <c r="W193" s="41">
        <v>46134</v>
      </c>
      <c r="X193" t="s">
        <v>4844</v>
      </c>
      <c r="Y193" t="s">
        <v>4845</v>
      </c>
      <c r="AA193">
        <v>0</v>
      </c>
      <c r="AB193" t="s">
        <v>845</v>
      </c>
      <c r="AC193" t="s">
        <v>846</v>
      </c>
      <c r="AD193" t="s">
        <v>1113</v>
      </c>
      <c r="AE193" t="s">
        <v>1114</v>
      </c>
      <c r="AF193">
        <v>1</v>
      </c>
      <c r="AG193">
        <v>452210</v>
      </c>
      <c r="AH193" t="s">
        <v>849</v>
      </c>
      <c r="AI193" t="s">
        <v>850</v>
      </c>
      <c r="AJ193" t="s">
        <v>851</v>
      </c>
      <c r="AK193" t="s">
        <v>273</v>
      </c>
      <c r="AL193" t="s">
        <v>2846</v>
      </c>
      <c r="AM193" t="s">
        <v>1364</v>
      </c>
      <c r="AN193" t="s">
        <v>854</v>
      </c>
      <c r="AO193">
        <v>36805</v>
      </c>
      <c r="AP193">
        <v>493</v>
      </c>
      <c r="AQ193" t="s">
        <v>855</v>
      </c>
      <c r="AR193">
        <v>66430963</v>
      </c>
      <c r="AS193" t="s">
        <v>856</v>
      </c>
      <c r="AU193" t="s">
        <v>4846</v>
      </c>
      <c r="AV193" t="s">
        <v>4847</v>
      </c>
      <c r="AX193" t="s">
        <v>913</v>
      </c>
      <c r="AY193" t="s">
        <v>861</v>
      </c>
      <c r="AZ193" t="s">
        <v>273</v>
      </c>
      <c r="BA193" t="s">
        <v>274</v>
      </c>
      <c r="BB193">
        <v>1</v>
      </c>
      <c r="BC193">
        <v>0</v>
      </c>
      <c r="BD193">
        <v>0</v>
      </c>
      <c r="BE193" t="s">
        <v>4841</v>
      </c>
      <c r="BF193">
        <v>0</v>
      </c>
      <c r="BG193">
        <v>0</v>
      </c>
      <c r="BH193" t="s">
        <v>862</v>
      </c>
      <c r="BI193">
        <v>0</v>
      </c>
      <c r="BJ193" t="s">
        <v>862</v>
      </c>
      <c r="BK193">
        <v>1</v>
      </c>
      <c r="BL193">
        <v>1</v>
      </c>
      <c r="BM193">
        <v>0</v>
      </c>
      <c r="BN193" t="s">
        <v>596</v>
      </c>
      <c r="BO193">
        <v>153589115</v>
      </c>
      <c r="BP193" t="s">
        <v>4840</v>
      </c>
      <c r="BR193">
        <v>42789054</v>
      </c>
      <c r="BT193">
        <v>2</v>
      </c>
      <c r="BU193" t="s">
        <v>1119</v>
      </c>
      <c r="BY193">
        <v>16</v>
      </c>
      <c r="CA193">
        <v>10</v>
      </c>
      <c r="CE193">
        <v>1</v>
      </c>
      <c r="CI193">
        <v>11</v>
      </c>
      <c r="CJ193" t="s">
        <v>94</v>
      </c>
      <c r="CM193">
        <v>4010</v>
      </c>
      <c r="CO193">
        <v>7360</v>
      </c>
      <c r="CP193">
        <v>1.7333000000000001</v>
      </c>
      <c r="CQ193">
        <v>1.7333000000000001</v>
      </c>
      <c r="CR193">
        <v>1.8332999999999999</v>
      </c>
      <c r="CS193">
        <v>0</v>
      </c>
      <c r="CT193" t="s">
        <v>4847</v>
      </c>
      <c r="CU193" t="s">
        <v>4846</v>
      </c>
      <c r="CV193" t="s">
        <v>833</v>
      </c>
      <c r="CW193" t="s">
        <v>834</v>
      </c>
      <c r="CX193" t="s">
        <v>4841</v>
      </c>
      <c r="CY193">
        <v>1</v>
      </c>
      <c r="CZ193">
        <v>1</v>
      </c>
      <c r="DA193" t="s">
        <v>833</v>
      </c>
      <c r="DB193" t="s">
        <v>865</v>
      </c>
      <c r="DC193">
        <v>63368</v>
      </c>
      <c r="DD193">
        <v>10.0167</v>
      </c>
      <c r="DE193" t="s">
        <v>866</v>
      </c>
      <c r="DG193" t="s">
        <v>867</v>
      </c>
      <c r="DH193" t="s">
        <v>851</v>
      </c>
      <c r="DI193" t="s">
        <v>2534</v>
      </c>
      <c r="DK193" t="s">
        <v>918</v>
      </c>
      <c r="DL193" t="s">
        <v>869</v>
      </c>
      <c r="DM193">
        <v>0</v>
      </c>
      <c r="DN193">
        <v>0</v>
      </c>
      <c r="DO193">
        <v>11</v>
      </c>
      <c r="DP193" t="s">
        <v>1010</v>
      </c>
      <c r="DQ193">
        <v>0</v>
      </c>
      <c r="DR193">
        <v>601</v>
      </c>
      <c r="DS193">
        <v>1321</v>
      </c>
      <c r="DT193">
        <v>6.6166999999999998</v>
      </c>
      <c r="DU193">
        <v>0</v>
      </c>
      <c r="DV193">
        <v>1</v>
      </c>
      <c r="DW193">
        <v>2</v>
      </c>
      <c r="DX193" t="s">
        <v>596</v>
      </c>
      <c r="DY193" t="s">
        <v>4841</v>
      </c>
      <c r="DZ193">
        <v>1</v>
      </c>
      <c r="EA193">
        <v>1</v>
      </c>
      <c r="EB193">
        <v>1</v>
      </c>
      <c r="EC193">
        <v>1</v>
      </c>
      <c r="ED193">
        <v>1</v>
      </c>
      <c r="EE193">
        <v>1</v>
      </c>
      <c r="EF193" t="s">
        <v>920</v>
      </c>
      <c r="EG193" t="s">
        <v>595</v>
      </c>
      <c r="EH193" t="s">
        <v>921</v>
      </c>
      <c r="EI193" t="s">
        <v>921</v>
      </c>
      <c r="EJ193" t="s">
        <v>111</v>
      </c>
      <c r="EK193">
        <v>9090</v>
      </c>
      <c r="EL193">
        <v>1</v>
      </c>
      <c r="EM193" t="s">
        <v>1037</v>
      </c>
      <c r="EN193">
        <v>1.8332999999999999</v>
      </c>
      <c r="EO193">
        <v>22.016666699999998</v>
      </c>
      <c r="EP193">
        <v>99991120</v>
      </c>
      <c r="EQ193" t="s">
        <v>874</v>
      </c>
      <c r="ER193" t="s">
        <v>875</v>
      </c>
      <c r="ES193" t="s">
        <v>876</v>
      </c>
      <c r="ET193" t="s">
        <v>877</v>
      </c>
      <c r="EU193" t="s">
        <v>877</v>
      </c>
      <c r="EV193" t="s">
        <v>920</v>
      </c>
      <c r="EX193" t="s">
        <v>900</v>
      </c>
      <c r="EY193" t="s">
        <v>923</v>
      </c>
      <c r="EZ193" t="s">
        <v>1038</v>
      </c>
      <c r="FA193" t="s">
        <v>925</v>
      </c>
      <c r="FB193">
        <v>1</v>
      </c>
      <c r="FC193">
        <v>2</v>
      </c>
      <c r="FD193" s="41">
        <v>46137</v>
      </c>
      <c r="FE193" t="s">
        <v>1123</v>
      </c>
      <c r="FF193">
        <v>11</v>
      </c>
      <c r="FG193" t="s">
        <v>4848</v>
      </c>
      <c r="FH193" t="s">
        <v>4849</v>
      </c>
      <c r="FI193">
        <v>1</v>
      </c>
      <c r="FJ193" t="s">
        <v>4850</v>
      </c>
      <c r="FK193" t="s">
        <v>4849</v>
      </c>
      <c r="FL193">
        <v>1</v>
      </c>
      <c r="FM193" t="s">
        <v>4851</v>
      </c>
      <c r="FN193" t="s">
        <v>4852</v>
      </c>
      <c r="FO193">
        <v>1</v>
      </c>
      <c r="FP193" t="s">
        <v>4853</v>
      </c>
      <c r="FQ193" t="s">
        <v>4846</v>
      </c>
      <c r="FR193">
        <v>1</v>
      </c>
      <c r="FS193" t="s">
        <v>1100</v>
      </c>
      <c r="FT193" t="s">
        <v>4854</v>
      </c>
      <c r="FU193">
        <v>1</v>
      </c>
      <c r="FV193" t="s">
        <v>1102</v>
      </c>
      <c r="FW193" t="s">
        <v>4855</v>
      </c>
      <c r="FX193">
        <v>1</v>
      </c>
      <c r="FY193" t="s">
        <v>890</v>
      </c>
      <c r="FZ193" t="s">
        <v>4856</v>
      </c>
      <c r="GA193" t="s">
        <v>4850</v>
      </c>
      <c r="GB193">
        <v>1</v>
      </c>
      <c r="GD193">
        <v>0</v>
      </c>
      <c r="GF193">
        <v>0</v>
      </c>
      <c r="GG193">
        <v>1</v>
      </c>
      <c r="GH193" t="s">
        <v>892</v>
      </c>
      <c r="GI193" t="s">
        <v>893</v>
      </c>
      <c r="GJ193" t="s">
        <v>4849</v>
      </c>
      <c r="GM193">
        <v>1</v>
      </c>
      <c r="GN193">
        <v>0</v>
      </c>
      <c r="GO193">
        <v>0</v>
      </c>
      <c r="GP193">
        <v>1</v>
      </c>
      <c r="GQ193">
        <v>1</v>
      </c>
      <c r="GR193">
        <v>0</v>
      </c>
      <c r="GS193">
        <v>1</v>
      </c>
      <c r="GT193">
        <v>0</v>
      </c>
      <c r="GU193">
        <v>1</v>
      </c>
      <c r="GV193">
        <v>0</v>
      </c>
      <c r="GW193">
        <v>1</v>
      </c>
      <c r="GX193">
        <v>0</v>
      </c>
      <c r="GY193">
        <v>1</v>
      </c>
      <c r="GZ193">
        <v>0</v>
      </c>
      <c r="HA193" t="s">
        <v>273</v>
      </c>
      <c r="HB193" t="s">
        <v>894</v>
      </c>
      <c r="HC193" t="s">
        <v>895</v>
      </c>
      <c r="HD193" t="s">
        <v>845</v>
      </c>
      <c r="HE193" t="s">
        <v>836</v>
      </c>
      <c r="HF193" t="s">
        <v>1051</v>
      </c>
      <c r="HG193" t="s">
        <v>894</v>
      </c>
      <c r="HH193" t="s">
        <v>895</v>
      </c>
      <c r="HI193" t="s">
        <v>845</v>
      </c>
      <c r="HJ193" t="s">
        <v>836</v>
      </c>
      <c r="HK193" t="s">
        <v>1037</v>
      </c>
      <c r="HL193" t="s">
        <v>117</v>
      </c>
      <c r="HM193" t="s">
        <v>854</v>
      </c>
      <c r="HN193">
        <v>36805</v>
      </c>
      <c r="HP193" t="s">
        <v>111</v>
      </c>
      <c r="HQ193" t="s">
        <v>896</v>
      </c>
      <c r="HR193" t="s">
        <v>896</v>
      </c>
      <c r="HS193" t="s">
        <v>896</v>
      </c>
    </row>
    <row r="194" spans="1:227" x14ac:dyDescent="0.2">
      <c r="A194">
        <v>8702</v>
      </c>
      <c r="B194">
        <v>7602601219</v>
      </c>
      <c r="C194" t="s">
        <v>4857</v>
      </c>
      <c r="D194" t="s">
        <v>4858</v>
      </c>
      <c r="E194" t="s">
        <v>831</v>
      </c>
      <c r="F194">
        <v>2</v>
      </c>
      <c r="G194" t="s">
        <v>4859</v>
      </c>
      <c r="H194" t="s">
        <v>4859</v>
      </c>
      <c r="I194">
        <v>0</v>
      </c>
      <c r="J194" t="s">
        <v>833</v>
      </c>
      <c r="K194" t="s">
        <v>834</v>
      </c>
      <c r="L194">
        <v>153294154</v>
      </c>
      <c r="M194" t="s">
        <v>3698</v>
      </c>
      <c r="N194" t="s">
        <v>836</v>
      </c>
      <c r="O194" t="s">
        <v>837</v>
      </c>
      <c r="P194" t="s">
        <v>4860</v>
      </c>
      <c r="Q194" t="s">
        <v>4861</v>
      </c>
      <c r="R194" t="s">
        <v>4862</v>
      </c>
      <c r="S194" t="s">
        <v>4863</v>
      </c>
      <c r="T194">
        <v>41477091739</v>
      </c>
      <c r="V194" t="s">
        <v>3701</v>
      </c>
      <c r="W194" s="41">
        <v>46048</v>
      </c>
      <c r="X194" t="s">
        <v>4864</v>
      </c>
      <c r="Y194" t="s">
        <v>4865</v>
      </c>
      <c r="Z194">
        <v>1</v>
      </c>
      <c r="AA194">
        <v>0</v>
      </c>
      <c r="AB194" t="s">
        <v>845</v>
      </c>
      <c r="AC194" t="s">
        <v>846</v>
      </c>
      <c r="AD194" t="s">
        <v>847</v>
      </c>
      <c r="AE194" t="s">
        <v>848</v>
      </c>
      <c r="AF194">
        <v>1</v>
      </c>
      <c r="AG194">
        <v>452210</v>
      </c>
      <c r="AH194" t="s">
        <v>849</v>
      </c>
      <c r="AI194" t="s">
        <v>850</v>
      </c>
      <c r="AJ194" t="s">
        <v>851</v>
      </c>
      <c r="AK194" t="s">
        <v>452</v>
      </c>
      <c r="AL194" t="s">
        <v>4866</v>
      </c>
      <c r="AM194" t="s">
        <v>3705</v>
      </c>
      <c r="AN194" t="s">
        <v>854</v>
      </c>
      <c r="AO194">
        <v>36805</v>
      </c>
      <c r="AP194">
        <v>968</v>
      </c>
      <c r="AQ194" t="s">
        <v>855</v>
      </c>
      <c r="AR194">
        <v>66307099</v>
      </c>
      <c r="AS194" t="s">
        <v>856</v>
      </c>
      <c r="AU194" t="s">
        <v>4867</v>
      </c>
      <c r="AV194" t="s">
        <v>4868</v>
      </c>
      <c r="AX194" t="s">
        <v>913</v>
      </c>
      <c r="AY194" t="s">
        <v>861</v>
      </c>
      <c r="AZ194" t="s">
        <v>452</v>
      </c>
      <c r="BA194" t="s">
        <v>453</v>
      </c>
      <c r="BB194">
        <v>0</v>
      </c>
      <c r="BC194">
        <v>0</v>
      </c>
      <c r="BD194">
        <v>1</v>
      </c>
      <c r="BE194" t="s">
        <v>3698</v>
      </c>
      <c r="BF194">
        <v>0</v>
      </c>
      <c r="BG194">
        <v>0</v>
      </c>
      <c r="BH194" t="s">
        <v>862</v>
      </c>
      <c r="BI194">
        <v>0</v>
      </c>
      <c r="BJ194" t="s">
        <v>862</v>
      </c>
      <c r="BK194">
        <v>1</v>
      </c>
      <c r="BL194">
        <v>1</v>
      </c>
      <c r="BM194">
        <v>0</v>
      </c>
      <c r="BN194" t="s">
        <v>596</v>
      </c>
      <c r="BO194">
        <v>153294154</v>
      </c>
      <c r="BP194" t="s">
        <v>4859</v>
      </c>
      <c r="BQ194">
        <v>41.558296900000002</v>
      </c>
      <c r="BR194">
        <v>42793658</v>
      </c>
      <c r="BS194">
        <v>-90.546665300000001</v>
      </c>
      <c r="BT194">
        <v>2</v>
      </c>
      <c r="BU194" t="s">
        <v>1367</v>
      </c>
      <c r="CE194">
        <v>1</v>
      </c>
      <c r="CI194">
        <v>11</v>
      </c>
      <c r="CJ194" t="s">
        <v>94</v>
      </c>
      <c r="CM194">
        <v>4010</v>
      </c>
      <c r="CO194">
        <v>7360</v>
      </c>
      <c r="CP194">
        <v>3.1166999999999998</v>
      </c>
      <c r="CQ194">
        <v>3.1166999999999998</v>
      </c>
      <c r="CR194">
        <v>0.51670000000000005</v>
      </c>
      <c r="CS194">
        <v>1</v>
      </c>
      <c r="CT194" t="s">
        <v>4868</v>
      </c>
      <c r="CU194" t="s">
        <v>4867</v>
      </c>
      <c r="CV194" t="s">
        <v>833</v>
      </c>
      <c r="CW194" t="s">
        <v>834</v>
      </c>
      <c r="CX194" t="s">
        <v>3698</v>
      </c>
      <c r="CY194">
        <v>1</v>
      </c>
      <c r="CZ194">
        <v>1</v>
      </c>
      <c r="DA194" t="s">
        <v>833</v>
      </c>
      <c r="DB194" t="s">
        <v>865</v>
      </c>
      <c r="DC194">
        <v>52807</v>
      </c>
      <c r="DD194">
        <v>2.5499999999999998</v>
      </c>
      <c r="DE194" t="s">
        <v>866</v>
      </c>
      <c r="DG194" t="s">
        <v>867</v>
      </c>
      <c r="DH194" t="s">
        <v>851</v>
      </c>
      <c r="DI194" t="s">
        <v>3708</v>
      </c>
      <c r="DK194" t="s">
        <v>918</v>
      </c>
      <c r="DL194" t="s">
        <v>869</v>
      </c>
      <c r="DM194">
        <v>0</v>
      </c>
      <c r="DN194">
        <v>0</v>
      </c>
      <c r="DO194">
        <v>2</v>
      </c>
      <c r="DP194" t="s">
        <v>870</v>
      </c>
      <c r="DQ194">
        <v>12</v>
      </c>
      <c r="DR194">
        <v>153</v>
      </c>
      <c r="DS194">
        <v>153</v>
      </c>
      <c r="DT194">
        <v>0.5</v>
      </c>
      <c r="DU194">
        <v>4</v>
      </c>
      <c r="DV194">
        <v>1</v>
      </c>
      <c r="DW194">
        <v>1</v>
      </c>
      <c r="DX194" t="s">
        <v>596</v>
      </c>
      <c r="DY194" t="s">
        <v>3698</v>
      </c>
      <c r="DZ194">
        <v>1</v>
      </c>
      <c r="EA194">
        <v>1</v>
      </c>
      <c r="EB194">
        <v>1</v>
      </c>
      <c r="EC194">
        <v>1</v>
      </c>
      <c r="ED194">
        <v>1</v>
      </c>
      <c r="EE194">
        <v>1</v>
      </c>
      <c r="EF194" t="s">
        <v>871</v>
      </c>
      <c r="EG194" t="s">
        <v>595</v>
      </c>
      <c r="EH194" t="s">
        <v>1036</v>
      </c>
      <c r="EI194" t="s">
        <v>1036</v>
      </c>
      <c r="EJ194" t="s">
        <v>246</v>
      </c>
      <c r="EK194">
        <v>9090</v>
      </c>
      <c r="EL194">
        <v>0</v>
      </c>
      <c r="EM194" t="s">
        <v>873</v>
      </c>
      <c r="EN194">
        <v>0.51670000000000005</v>
      </c>
      <c r="EO194">
        <v>2.5499999999999998</v>
      </c>
      <c r="EP194">
        <v>99991120</v>
      </c>
      <c r="EQ194" t="s">
        <v>874</v>
      </c>
      <c r="ER194" t="s">
        <v>875</v>
      </c>
      <c r="ES194" t="s">
        <v>876</v>
      </c>
      <c r="ET194" t="s">
        <v>877</v>
      </c>
      <c r="EU194" t="s">
        <v>877</v>
      </c>
      <c r="EV194" t="s">
        <v>871</v>
      </c>
      <c r="EX194" t="s">
        <v>836</v>
      </c>
      <c r="EY194" t="s">
        <v>873</v>
      </c>
      <c r="EZ194" t="s">
        <v>3709</v>
      </c>
      <c r="FA194" t="s">
        <v>879</v>
      </c>
      <c r="FB194">
        <v>1</v>
      </c>
      <c r="FC194">
        <v>1</v>
      </c>
      <c r="FD194" s="41">
        <v>46053</v>
      </c>
      <c r="FE194" t="s">
        <v>1370</v>
      </c>
      <c r="FF194">
        <v>8</v>
      </c>
      <c r="FG194" t="s">
        <v>4869</v>
      </c>
      <c r="FH194" t="s">
        <v>4870</v>
      </c>
      <c r="FI194">
        <v>1</v>
      </c>
      <c r="FJ194" t="s">
        <v>4871</v>
      </c>
      <c r="FK194" t="s">
        <v>4870</v>
      </c>
      <c r="FL194">
        <v>1</v>
      </c>
      <c r="FM194" t="s">
        <v>4872</v>
      </c>
      <c r="FN194" t="s">
        <v>4873</v>
      </c>
      <c r="FO194">
        <v>1</v>
      </c>
      <c r="FP194" t="s">
        <v>4874</v>
      </c>
      <c r="FQ194" t="s">
        <v>4867</v>
      </c>
      <c r="FR194">
        <v>1</v>
      </c>
      <c r="FS194" t="s">
        <v>3710</v>
      </c>
      <c r="FT194" t="s">
        <v>4875</v>
      </c>
      <c r="FU194">
        <v>1</v>
      </c>
      <c r="FV194" t="s">
        <v>3718</v>
      </c>
      <c r="FW194" t="s">
        <v>4876</v>
      </c>
      <c r="FX194">
        <v>1</v>
      </c>
      <c r="FY194" t="s">
        <v>890</v>
      </c>
      <c r="FZ194" t="s">
        <v>4877</v>
      </c>
      <c r="GA194" t="s">
        <v>4871</v>
      </c>
      <c r="GB194">
        <v>1</v>
      </c>
      <c r="GC194" t="s">
        <v>4878</v>
      </c>
      <c r="GD194">
        <v>1</v>
      </c>
      <c r="GF194">
        <v>0</v>
      </c>
      <c r="GG194">
        <v>1</v>
      </c>
      <c r="GH194" t="s">
        <v>892</v>
      </c>
      <c r="GI194" t="s">
        <v>893</v>
      </c>
      <c r="GJ194" t="s">
        <v>4870</v>
      </c>
      <c r="GK194" t="s">
        <v>4879</v>
      </c>
      <c r="GM194">
        <v>1</v>
      </c>
      <c r="GN194">
        <v>1</v>
      </c>
      <c r="GO194">
        <v>0</v>
      </c>
      <c r="GP194">
        <v>1</v>
      </c>
      <c r="GQ194">
        <v>1</v>
      </c>
      <c r="GR194">
        <v>0</v>
      </c>
      <c r="GS194">
        <v>1</v>
      </c>
      <c r="GT194">
        <v>0</v>
      </c>
      <c r="GU194">
        <v>1</v>
      </c>
      <c r="GV194">
        <v>0</v>
      </c>
      <c r="GW194">
        <v>1</v>
      </c>
      <c r="GX194">
        <v>0</v>
      </c>
      <c r="GY194">
        <v>1</v>
      </c>
      <c r="GZ194">
        <v>0</v>
      </c>
      <c r="HA194" t="s">
        <v>452</v>
      </c>
      <c r="HB194" t="s">
        <v>894</v>
      </c>
      <c r="HC194" t="s">
        <v>895</v>
      </c>
      <c r="HD194" t="s">
        <v>845</v>
      </c>
      <c r="HE194" t="s">
        <v>836</v>
      </c>
      <c r="HF194" t="s">
        <v>873</v>
      </c>
      <c r="HG194" t="s">
        <v>894</v>
      </c>
      <c r="HH194" t="s">
        <v>895</v>
      </c>
      <c r="HI194" t="s">
        <v>845</v>
      </c>
      <c r="HJ194" t="s">
        <v>836</v>
      </c>
      <c r="HK194" t="s">
        <v>873</v>
      </c>
      <c r="HL194" t="s">
        <v>3701</v>
      </c>
      <c r="HM194" t="s">
        <v>854</v>
      </c>
      <c r="HN194">
        <v>36805</v>
      </c>
      <c r="HP194" t="s">
        <v>246</v>
      </c>
      <c r="HQ194" t="s">
        <v>896</v>
      </c>
      <c r="HR194" t="s">
        <v>896</v>
      </c>
      <c r="HS194" t="s">
        <v>896</v>
      </c>
    </row>
    <row r="195" spans="1:227" x14ac:dyDescent="0.2">
      <c r="A195">
        <v>8702</v>
      </c>
      <c r="B195">
        <v>7523405303</v>
      </c>
      <c r="C195" t="s">
        <v>936</v>
      </c>
      <c r="D195" t="s">
        <v>937</v>
      </c>
      <c r="E195" t="s">
        <v>831</v>
      </c>
      <c r="F195">
        <v>4</v>
      </c>
      <c r="G195" t="s">
        <v>4880</v>
      </c>
      <c r="H195" t="s">
        <v>4880</v>
      </c>
      <c r="I195">
        <v>0</v>
      </c>
      <c r="J195" t="s">
        <v>833</v>
      </c>
      <c r="K195" t="s">
        <v>834</v>
      </c>
      <c r="L195">
        <v>152949086</v>
      </c>
      <c r="M195" t="s">
        <v>2367</v>
      </c>
      <c r="N195" t="s">
        <v>836</v>
      </c>
      <c r="O195" t="s">
        <v>837</v>
      </c>
      <c r="P195" t="s">
        <v>940</v>
      </c>
      <c r="Q195" t="s">
        <v>1080</v>
      </c>
      <c r="R195" t="s">
        <v>4881</v>
      </c>
      <c r="S195" t="s">
        <v>4882</v>
      </c>
      <c r="T195">
        <v>30300111330</v>
      </c>
      <c r="V195" t="s">
        <v>193</v>
      </c>
      <c r="W195" s="41">
        <v>45891</v>
      </c>
      <c r="X195" t="s">
        <v>4883</v>
      </c>
      <c r="Y195" t="s">
        <v>4884</v>
      </c>
      <c r="AA195">
        <v>0</v>
      </c>
      <c r="AB195" t="s">
        <v>845</v>
      </c>
      <c r="AC195" t="s">
        <v>846</v>
      </c>
      <c r="AD195" t="s">
        <v>847</v>
      </c>
      <c r="AE195" t="s">
        <v>848</v>
      </c>
      <c r="AF195">
        <v>1</v>
      </c>
      <c r="AG195">
        <v>452210</v>
      </c>
      <c r="AH195" t="s">
        <v>849</v>
      </c>
      <c r="AI195" t="s">
        <v>850</v>
      </c>
      <c r="AJ195" t="s">
        <v>851</v>
      </c>
      <c r="AK195" t="s">
        <v>271</v>
      </c>
      <c r="AL195" t="s">
        <v>2363</v>
      </c>
      <c r="AM195" t="s">
        <v>2364</v>
      </c>
      <c r="AN195" t="s">
        <v>854</v>
      </c>
      <c r="AO195">
        <v>36805</v>
      </c>
      <c r="AP195">
        <v>637</v>
      </c>
      <c r="AQ195" t="s">
        <v>855</v>
      </c>
      <c r="AR195">
        <v>66080907</v>
      </c>
      <c r="AS195" t="s">
        <v>856</v>
      </c>
      <c r="AU195" t="s">
        <v>4885</v>
      </c>
      <c r="AV195" t="s">
        <v>4886</v>
      </c>
      <c r="AX195" t="s">
        <v>913</v>
      </c>
      <c r="AY195" t="s">
        <v>861</v>
      </c>
      <c r="AZ195" t="s">
        <v>271</v>
      </c>
      <c r="BA195" t="s">
        <v>272</v>
      </c>
      <c r="BB195">
        <v>0</v>
      </c>
      <c r="BC195">
        <v>0</v>
      </c>
      <c r="BD195">
        <v>0</v>
      </c>
      <c r="BE195" t="s">
        <v>2367</v>
      </c>
      <c r="BF195">
        <v>0</v>
      </c>
      <c r="BG195">
        <v>0</v>
      </c>
      <c r="BH195" t="s">
        <v>862</v>
      </c>
      <c r="BI195">
        <v>0</v>
      </c>
      <c r="BJ195" t="s">
        <v>862</v>
      </c>
      <c r="BK195">
        <v>1</v>
      </c>
      <c r="BL195">
        <v>1</v>
      </c>
      <c r="BM195">
        <v>0</v>
      </c>
      <c r="BN195" t="s">
        <v>596</v>
      </c>
      <c r="BO195">
        <v>152949086</v>
      </c>
      <c r="BP195" t="s">
        <v>4880</v>
      </c>
      <c r="BR195">
        <v>42791765</v>
      </c>
      <c r="BT195">
        <v>0</v>
      </c>
      <c r="CM195">
        <v>4010</v>
      </c>
      <c r="CO195">
        <v>7360</v>
      </c>
      <c r="CP195">
        <v>3.5667</v>
      </c>
      <c r="CQ195">
        <v>3.5667</v>
      </c>
      <c r="CR195">
        <v>1.4</v>
      </c>
      <c r="CS195">
        <v>3</v>
      </c>
      <c r="CT195" t="s">
        <v>4886</v>
      </c>
      <c r="CU195" t="s">
        <v>4885</v>
      </c>
      <c r="CV195" t="s">
        <v>833</v>
      </c>
      <c r="CW195" t="s">
        <v>834</v>
      </c>
      <c r="CX195" t="s">
        <v>2367</v>
      </c>
      <c r="CY195">
        <v>0</v>
      </c>
      <c r="CZ195">
        <v>0</v>
      </c>
      <c r="DA195" t="s">
        <v>833</v>
      </c>
      <c r="DB195" t="s">
        <v>865</v>
      </c>
      <c r="DC195">
        <v>60014</v>
      </c>
      <c r="DD195">
        <v>8.0333000000000006</v>
      </c>
      <c r="DE195" t="s">
        <v>866</v>
      </c>
      <c r="DG195" t="s">
        <v>867</v>
      </c>
      <c r="DH195" t="s">
        <v>851</v>
      </c>
      <c r="DI195" t="s">
        <v>3895</v>
      </c>
      <c r="DJ195" t="s">
        <v>4887</v>
      </c>
      <c r="DL195" t="s">
        <v>869</v>
      </c>
      <c r="DM195">
        <v>0</v>
      </c>
      <c r="DN195">
        <v>0</v>
      </c>
      <c r="DO195">
        <v>1</v>
      </c>
      <c r="DP195" t="s">
        <v>985</v>
      </c>
      <c r="DQ195">
        <v>16</v>
      </c>
      <c r="DR195">
        <v>482</v>
      </c>
      <c r="DS195">
        <v>533</v>
      </c>
      <c r="DT195">
        <v>4.4667000000000003</v>
      </c>
      <c r="DU195">
        <v>4</v>
      </c>
      <c r="DW195">
        <v>2</v>
      </c>
      <c r="DX195" t="s">
        <v>596</v>
      </c>
      <c r="DY195" t="s">
        <v>2367</v>
      </c>
      <c r="DZ195">
        <v>1</v>
      </c>
      <c r="EA195">
        <v>1</v>
      </c>
      <c r="EB195">
        <v>1</v>
      </c>
      <c r="EC195">
        <v>0</v>
      </c>
      <c r="ED195">
        <v>0</v>
      </c>
      <c r="EE195">
        <v>1</v>
      </c>
      <c r="EF195" t="s">
        <v>920</v>
      </c>
      <c r="EG195" t="s">
        <v>595</v>
      </c>
      <c r="EH195" t="s">
        <v>921</v>
      </c>
      <c r="EI195" t="s">
        <v>921</v>
      </c>
      <c r="EJ195" t="s">
        <v>181</v>
      </c>
      <c r="EK195">
        <v>9090</v>
      </c>
      <c r="EL195">
        <v>0</v>
      </c>
      <c r="EM195" t="s">
        <v>1436</v>
      </c>
      <c r="EN195">
        <v>1.4</v>
      </c>
      <c r="EO195">
        <v>8.8833333000000003</v>
      </c>
      <c r="EP195">
        <v>99991120</v>
      </c>
      <c r="EQ195" t="s">
        <v>874</v>
      </c>
      <c r="ER195" t="s">
        <v>875</v>
      </c>
      <c r="ES195" t="s">
        <v>876</v>
      </c>
      <c r="ET195" t="s">
        <v>877</v>
      </c>
      <c r="EU195" t="s">
        <v>877</v>
      </c>
      <c r="EV195" t="s">
        <v>920</v>
      </c>
      <c r="EX195" t="s">
        <v>836</v>
      </c>
      <c r="EY195" t="s">
        <v>873</v>
      </c>
      <c r="EZ195" t="s">
        <v>1437</v>
      </c>
      <c r="FA195" t="s">
        <v>956</v>
      </c>
      <c r="FB195">
        <v>1</v>
      </c>
      <c r="FC195">
        <v>1</v>
      </c>
      <c r="FD195" s="41">
        <v>45892</v>
      </c>
      <c r="FE195" t="s">
        <v>987</v>
      </c>
      <c r="FF195">
        <v>7</v>
      </c>
      <c r="FG195" t="s">
        <v>2375</v>
      </c>
      <c r="FH195" t="s">
        <v>4888</v>
      </c>
      <c r="FI195">
        <v>1</v>
      </c>
      <c r="FJ195" t="s">
        <v>4889</v>
      </c>
      <c r="FK195" t="s">
        <v>4890</v>
      </c>
      <c r="FL195">
        <v>1</v>
      </c>
      <c r="FM195" t="s">
        <v>4891</v>
      </c>
      <c r="FN195" t="s">
        <v>4892</v>
      </c>
      <c r="FO195">
        <v>1</v>
      </c>
      <c r="FP195" t="s">
        <v>4893</v>
      </c>
      <c r="FQ195" t="s">
        <v>4894</v>
      </c>
      <c r="FR195">
        <v>1</v>
      </c>
      <c r="FS195" t="s">
        <v>4895</v>
      </c>
      <c r="FT195" t="s">
        <v>4896</v>
      </c>
      <c r="FU195">
        <v>1</v>
      </c>
      <c r="FV195" t="s">
        <v>4897</v>
      </c>
      <c r="FW195" t="s">
        <v>4898</v>
      </c>
      <c r="FX195">
        <v>1</v>
      </c>
      <c r="FY195" t="s">
        <v>890</v>
      </c>
      <c r="FZ195" t="s">
        <v>4899</v>
      </c>
      <c r="GA195" t="s">
        <v>4889</v>
      </c>
      <c r="GB195">
        <v>1</v>
      </c>
      <c r="GD195">
        <v>0</v>
      </c>
      <c r="GF195">
        <v>0</v>
      </c>
      <c r="GG195">
        <v>1</v>
      </c>
      <c r="GH195" t="s">
        <v>892</v>
      </c>
      <c r="GI195" t="s">
        <v>893</v>
      </c>
      <c r="GJ195" t="s">
        <v>4890</v>
      </c>
      <c r="GM195">
        <v>1</v>
      </c>
      <c r="GN195">
        <v>1</v>
      </c>
      <c r="GO195">
        <v>0</v>
      </c>
      <c r="GP195">
        <v>1</v>
      </c>
      <c r="GQ195">
        <v>1</v>
      </c>
      <c r="GR195">
        <v>0</v>
      </c>
      <c r="GS195">
        <v>1</v>
      </c>
      <c r="GT195">
        <v>0</v>
      </c>
      <c r="GU195">
        <v>1</v>
      </c>
      <c r="GV195">
        <v>0</v>
      </c>
      <c r="GW195">
        <v>1</v>
      </c>
      <c r="GX195">
        <v>0</v>
      </c>
      <c r="GY195">
        <v>1</v>
      </c>
      <c r="GZ195">
        <v>0</v>
      </c>
      <c r="HA195" t="s">
        <v>271</v>
      </c>
      <c r="HB195" t="s">
        <v>894</v>
      </c>
      <c r="HC195" t="s">
        <v>895</v>
      </c>
      <c r="HD195" t="s">
        <v>845</v>
      </c>
      <c r="HE195" t="s">
        <v>836</v>
      </c>
      <c r="HF195" t="s">
        <v>873</v>
      </c>
      <c r="HG195" t="s">
        <v>894</v>
      </c>
      <c r="HH195" t="s">
        <v>895</v>
      </c>
      <c r="HI195" t="s">
        <v>845</v>
      </c>
      <c r="HJ195" t="s">
        <v>836</v>
      </c>
      <c r="HK195" t="s">
        <v>1436</v>
      </c>
      <c r="HL195" t="s">
        <v>193</v>
      </c>
      <c r="HM195" t="s">
        <v>854</v>
      </c>
      <c r="HN195">
        <v>36805</v>
      </c>
      <c r="HP195" t="s">
        <v>181</v>
      </c>
      <c r="HQ195" t="s">
        <v>896</v>
      </c>
      <c r="HR195" t="s">
        <v>896</v>
      </c>
      <c r="HS195" t="s">
        <v>896</v>
      </c>
    </row>
    <row r="196" spans="1:227" x14ac:dyDescent="0.2">
      <c r="A196">
        <v>8702</v>
      </c>
      <c r="B196">
        <v>7527510297</v>
      </c>
      <c r="C196">
        <v>36</v>
      </c>
      <c r="D196" t="s">
        <v>1302</v>
      </c>
      <c r="E196" t="s">
        <v>897</v>
      </c>
      <c r="F196">
        <v>0</v>
      </c>
      <c r="G196" t="s">
        <v>4900</v>
      </c>
      <c r="H196" t="s">
        <v>4900</v>
      </c>
      <c r="I196">
        <v>0</v>
      </c>
      <c r="J196" t="s">
        <v>833</v>
      </c>
      <c r="K196" t="s">
        <v>834</v>
      </c>
      <c r="L196">
        <v>148743029</v>
      </c>
      <c r="M196" t="s">
        <v>4901</v>
      </c>
      <c r="N196" t="s">
        <v>900</v>
      </c>
      <c r="O196" t="s">
        <v>837</v>
      </c>
      <c r="P196" t="s">
        <v>1302</v>
      </c>
      <c r="Q196" t="s">
        <v>1517</v>
      </c>
      <c r="R196" t="s">
        <v>4902</v>
      </c>
      <c r="S196" t="s">
        <v>4903</v>
      </c>
      <c r="T196">
        <v>41477109811</v>
      </c>
      <c r="V196" t="s">
        <v>198</v>
      </c>
      <c r="W196" s="41">
        <v>45932</v>
      </c>
      <c r="X196" t="s">
        <v>4904</v>
      </c>
      <c r="Y196" t="s">
        <v>4905</v>
      </c>
      <c r="AA196">
        <v>0</v>
      </c>
      <c r="AB196" t="s">
        <v>845</v>
      </c>
      <c r="AC196" t="s">
        <v>846</v>
      </c>
      <c r="AD196" t="s">
        <v>1335</v>
      </c>
      <c r="AE196" t="s">
        <v>1336</v>
      </c>
      <c r="AF196">
        <v>1</v>
      </c>
      <c r="AG196">
        <v>452210</v>
      </c>
      <c r="AH196" t="s">
        <v>849</v>
      </c>
      <c r="AI196" t="s">
        <v>850</v>
      </c>
      <c r="AJ196" t="s">
        <v>851</v>
      </c>
      <c r="AK196" t="s">
        <v>328</v>
      </c>
      <c r="AL196" t="s">
        <v>4788</v>
      </c>
      <c r="AM196" t="s">
        <v>1619</v>
      </c>
      <c r="AN196" t="s">
        <v>854</v>
      </c>
      <c r="AO196">
        <v>36805</v>
      </c>
      <c r="AP196">
        <v>640</v>
      </c>
      <c r="AQ196" t="s">
        <v>855</v>
      </c>
      <c r="AR196">
        <v>66139993</v>
      </c>
      <c r="AS196" t="s">
        <v>856</v>
      </c>
      <c r="AU196" t="s">
        <v>4906</v>
      </c>
      <c r="AV196" t="s">
        <v>4907</v>
      </c>
      <c r="AX196" t="s">
        <v>913</v>
      </c>
      <c r="AY196" t="s">
        <v>861</v>
      </c>
      <c r="AZ196" t="s">
        <v>328</v>
      </c>
      <c r="BA196" t="s">
        <v>329</v>
      </c>
      <c r="BB196">
        <v>0</v>
      </c>
      <c r="BC196">
        <v>0</v>
      </c>
      <c r="BD196">
        <v>0</v>
      </c>
      <c r="BE196" t="s">
        <v>4901</v>
      </c>
      <c r="BF196">
        <v>0</v>
      </c>
      <c r="BG196">
        <v>0</v>
      </c>
      <c r="BH196" t="s">
        <v>862</v>
      </c>
      <c r="BI196">
        <v>0</v>
      </c>
      <c r="BJ196" t="s">
        <v>862</v>
      </c>
      <c r="BK196">
        <v>1</v>
      </c>
      <c r="BL196">
        <v>1</v>
      </c>
      <c r="BM196">
        <v>0</v>
      </c>
      <c r="BN196" t="s">
        <v>596</v>
      </c>
      <c r="BP196" t="s">
        <v>4900</v>
      </c>
      <c r="BR196">
        <v>42791772</v>
      </c>
      <c r="BT196">
        <v>0</v>
      </c>
      <c r="CM196">
        <v>4010</v>
      </c>
      <c r="CO196">
        <v>7360</v>
      </c>
      <c r="CP196">
        <v>0.2</v>
      </c>
      <c r="CQ196">
        <v>0.2</v>
      </c>
      <c r="CR196">
        <v>1.5667</v>
      </c>
      <c r="CS196">
        <v>6</v>
      </c>
      <c r="CT196" t="s">
        <v>4907</v>
      </c>
      <c r="CU196" t="s">
        <v>4906</v>
      </c>
      <c r="CV196" t="s">
        <v>833</v>
      </c>
      <c r="CW196" t="s">
        <v>834</v>
      </c>
      <c r="CX196" t="s">
        <v>4908</v>
      </c>
      <c r="CY196">
        <v>0</v>
      </c>
      <c r="CZ196">
        <v>0</v>
      </c>
      <c r="DA196" t="s">
        <v>833</v>
      </c>
      <c r="DB196" t="s">
        <v>865</v>
      </c>
      <c r="DC196">
        <v>48823</v>
      </c>
      <c r="DD196">
        <v>3.5333000000000001</v>
      </c>
      <c r="DE196" t="s">
        <v>866</v>
      </c>
      <c r="DG196" t="s">
        <v>867</v>
      </c>
      <c r="DH196" t="s">
        <v>851</v>
      </c>
      <c r="DL196" t="s">
        <v>869</v>
      </c>
      <c r="DM196">
        <v>0</v>
      </c>
      <c r="DN196">
        <v>0</v>
      </c>
      <c r="DO196">
        <v>2</v>
      </c>
      <c r="DP196" t="s">
        <v>870</v>
      </c>
      <c r="DQ196">
        <v>16</v>
      </c>
      <c r="DR196">
        <v>212</v>
      </c>
      <c r="DS196">
        <v>212</v>
      </c>
      <c r="DT196">
        <v>3.3332999999999999</v>
      </c>
      <c r="DU196">
        <v>4</v>
      </c>
      <c r="DW196">
        <v>2</v>
      </c>
      <c r="DX196" t="s">
        <v>596</v>
      </c>
      <c r="DY196" t="s">
        <v>4901</v>
      </c>
      <c r="DZ196">
        <v>1</v>
      </c>
      <c r="EA196">
        <v>1</v>
      </c>
      <c r="EB196">
        <v>1</v>
      </c>
      <c r="EC196">
        <v>1</v>
      </c>
      <c r="ED196">
        <v>1</v>
      </c>
      <c r="EE196">
        <v>1</v>
      </c>
      <c r="EF196" t="s">
        <v>871</v>
      </c>
      <c r="EG196" t="s">
        <v>595</v>
      </c>
      <c r="EH196" t="s">
        <v>921</v>
      </c>
      <c r="EI196" t="s">
        <v>921</v>
      </c>
      <c r="EJ196" t="s">
        <v>178</v>
      </c>
      <c r="EK196">
        <v>9090</v>
      </c>
      <c r="EL196">
        <v>0</v>
      </c>
      <c r="EM196" t="s">
        <v>922</v>
      </c>
      <c r="EN196">
        <v>1.5667</v>
      </c>
      <c r="EO196">
        <v>3.5333332999999998</v>
      </c>
      <c r="EP196">
        <v>99991120</v>
      </c>
      <c r="EQ196" t="s">
        <v>874</v>
      </c>
      <c r="ER196" t="s">
        <v>875</v>
      </c>
      <c r="ES196" t="s">
        <v>876</v>
      </c>
      <c r="ET196" t="s">
        <v>877</v>
      </c>
      <c r="EU196" t="s">
        <v>877</v>
      </c>
      <c r="EV196" t="s">
        <v>871</v>
      </c>
      <c r="EX196" t="s">
        <v>953</v>
      </c>
      <c r="EY196" t="s">
        <v>986</v>
      </c>
      <c r="EZ196" t="s">
        <v>1625</v>
      </c>
      <c r="FA196" t="s">
        <v>879</v>
      </c>
      <c r="FB196">
        <v>1</v>
      </c>
      <c r="FC196">
        <v>1</v>
      </c>
      <c r="FD196" s="41">
        <v>45934</v>
      </c>
      <c r="FE196" t="s">
        <v>1039</v>
      </c>
      <c r="FF196">
        <v>6</v>
      </c>
      <c r="FG196" t="s">
        <v>1633</v>
      </c>
      <c r="FH196" t="s">
        <v>4909</v>
      </c>
      <c r="FI196">
        <v>1</v>
      </c>
      <c r="FJ196" t="s">
        <v>4910</v>
      </c>
      <c r="FK196" t="s">
        <v>4911</v>
      </c>
      <c r="FL196">
        <v>1</v>
      </c>
      <c r="FM196" t="s">
        <v>4912</v>
      </c>
      <c r="FN196" t="s">
        <v>4913</v>
      </c>
      <c r="FO196">
        <v>1</v>
      </c>
      <c r="FP196" t="s">
        <v>4914</v>
      </c>
      <c r="FQ196" t="s">
        <v>4915</v>
      </c>
      <c r="FR196">
        <v>1</v>
      </c>
      <c r="FS196" t="s">
        <v>4346</v>
      </c>
      <c r="FT196" t="s">
        <v>4916</v>
      </c>
      <c r="FU196">
        <v>1</v>
      </c>
      <c r="FV196" t="s">
        <v>4917</v>
      </c>
      <c r="FW196" t="s">
        <v>4918</v>
      </c>
      <c r="FX196">
        <v>1</v>
      </c>
      <c r="FY196" t="s">
        <v>890</v>
      </c>
      <c r="FZ196" t="s">
        <v>4919</v>
      </c>
      <c r="GA196" t="s">
        <v>4910</v>
      </c>
      <c r="GB196">
        <v>1</v>
      </c>
      <c r="GD196">
        <v>0</v>
      </c>
      <c r="GF196">
        <v>0</v>
      </c>
      <c r="GG196">
        <v>1</v>
      </c>
      <c r="GH196" t="s">
        <v>892</v>
      </c>
      <c r="GI196" t="s">
        <v>893</v>
      </c>
      <c r="GJ196" t="s">
        <v>4911</v>
      </c>
      <c r="GM196">
        <v>1</v>
      </c>
      <c r="GN196">
        <v>1</v>
      </c>
      <c r="GO196">
        <v>0</v>
      </c>
      <c r="GP196">
        <v>1</v>
      </c>
      <c r="GQ196">
        <v>1</v>
      </c>
      <c r="GR196">
        <v>0</v>
      </c>
      <c r="GS196">
        <v>1</v>
      </c>
      <c r="GT196">
        <v>0</v>
      </c>
      <c r="GU196">
        <v>1</v>
      </c>
      <c r="GV196">
        <v>0</v>
      </c>
      <c r="GW196">
        <v>1</v>
      </c>
      <c r="GX196">
        <v>0</v>
      </c>
      <c r="GY196">
        <v>1</v>
      </c>
      <c r="GZ196">
        <v>0</v>
      </c>
      <c r="HA196" t="s">
        <v>328</v>
      </c>
      <c r="HB196" t="s">
        <v>894</v>
      </c>
      <c r="HC196" t="s">
        <v>935</v>
      </c>
      <c r="HD196" t="s">
        <v>845</v>
      </c>
      <c r="HE196" t="s">
        <v>900</v>
      </c>
      <c r="HF196" t="s">
        <v>923</v>
      </c>
      <c r="HG196" t="s">
        <v>894</v>
      </c>
      <c r="HH196" t="s">
        <v>935</v>
      </c>
      <c r="HI196" t="s">
        <v>845</v>
      </c>
      <c r="HJ196" t="s">
        <v>900</v>
      </c>
      <c r="HK196" t="s">
        <v>922</v>
      </c>
      <c r="HL196" t="s">
        <v>198</v>
      </c>
      <c r="HM196" t="s">
        <v>854</v>
      </c>
      <c r="HN196">
        <v>36805</v>
      </c>
      <c r="HP196" t="s">
        <v>178</v>
      </c>
      <c r="HQ196" t="s">
        <v>896</v>
      </c>
      <c r="HR196" t="s">
        <v>896</v>
      </c>
      <c r="HS196" t="s">
        <v>896</v>
      </c>
    </row>
    <row r="197" spans="1:227" x14ac:dyDescent="0.2">
      <c r="A197">
        <v>8702</v>
      </c>
      <c r="B197">
        <v>7614005652</v>
      </c>
      <c r="C197" t="s">
        <v>936</v>
      </c>
      <c r="D197" t="s">
        <v>937</v>
      </c>
      <c r="E197" t="s">
        <v>897</v>
      </c>
      <c r="F197">
        <v>0</v>
      </c>
      <c r="G197" t="s">
        <v>4920</v>
      </c>
      <c r="H197" t="s">
        <v>4920</v>
      </c>
      <c r="I197">
        <v>0</v>
      </c>
      <c r="J197" t="s">
        <v>833</v>
      </c>
      <c r="K197" t="s">
        <v>834</v>
      </c>
      <c r="L197">
        <v>156046189</v>
      </c>
      <c r="M197" t="s">
        <v>4921</v>
      </c>
      <c r="N197" t="s">
        <v>900</v>
      </c>
      <c r="O197" t="s">
        <v>837</v>
      </c>
      <c r="P197" t="s">
        <v>940</v>
      </c>
      <c r="Q197" t="s">
        <v>2404</v>
      </c>
      <c r="R197" t="s">
        <v>4922</v>
      </c>
      <c r="S197" t="s">
        <v>4923</v>
      </c>
      <c r="T197">
        <v>41477095563</v>
      </c>
      <c r="V197" t="s">
        <v>208</v>
      </c>
      <c r="W197" s="41">
        <v>46163</v>
      </c>
      <c r="X197" t="s">
        <v>4924</v>
      </c>
      <c r="Y197" t="s">
        <v>4925</v>
      </c>
      <c r="AA197">
        <v>0</v>
      </c>
      <c r="AB197" t="s">
        <v>845</v>
      </c>
      <c r="AC197" t="s">
        <v>846</v>
      </c>
      <c r="AD197" t="s">
        <v>907</v>
      </c>
      <c r="AE197" t="s">
        <v>908</v>
      </c>
      <c r="AF197">
        <v>1</v>
      </c>
      <c r="AG197">
        <v>452210</v>
      </c>
      <c r="AH197" t="s">
        <v>849</v>
      </c>
      <c r="AI197" t="s">
        <v>850</v>
      </c>
      <c r="AJ197" t="s">
        <v>851</v>
      </c>
      <c r="AK197" t="s">
        <v>291</v>
      </c>
      <c r="AL197" t="s">
        <v>909</v>
      </c>
      <c r="AM197" t="s">
        <v>979</v>
      </c>
      <c r="AN197" t="s">
        <v>854</v>
      </c>
      <c r="AO197">
        <v>36805</v>
      </c>
      <c r="AP197">
        <v>647</v>
      </c>
      <c r="AQ197" t="s">
        <v>855</v>
      </c>
      <c r="AR197">
        <v>66472526</v>
      </c>
      <c r="AS197" t="s">
        <v>856</v>
      </c>
      <c r="AU197" t="s">
        <v>4926</v>
      </c>
      <c r="AV197" t="s">
        <v>4927</v>
      </c>
      <c r="AX197" t="s">
        <v>913</v>
      </c>
      <c r="AY197" t="s">
        <v>861</v>
      </c>
      <c r="AZ197" t="s">
        <v>291</v>
      </c>
      <c r="BA197" t="s">
        <v>292</v>
      </c>
      <c r="BB197">
        <v>0</v>
      </c>
      <c r="BC197">
        <v>0</v>
      </c>
      <c r="BD197">
        <v>0</v>
      </c>
      <c r="BE197" t="s">
        <v>4921</v>
      </c>
      <c r="BF197">
        <v>0</v>
      </c>
      <c r="BG197">
        <v>0</v>
      </c>
      <c r="BH197" t="s">
        <v>862</v>
      </c>
      <c r="BI197">
        <v>0</v>
      </c>
      <c r="BJ197" t="s">
        <v>862</v>
      </c>
      <c r="BK197">
        <v>1</v>
      </c>
      <c r="BL197">
        <v>1</v>
      </c>
      <c r="BM197">
        <v>0</v>
      </c>
      <c r="BN197" t="s">
        <v>596</v>
      </c>
      <c r="BO197">
        <v>156046189</v>
      </c>
      <c r="BP197" t="s">
        <v>4920</v>
      </c>
      <c r="BQ197">
        <v>42.226758400000001</v>
      </c>
      <c r="BR197">
        <v>42791779</v>
      </c>
      <c r="BS197">
        <v>-85.591487200000003</v>
      </c>
      <c r="BT197">
        <v>2</v>
      </c>
      <c r="BU197" t="s">
        <v>1803</v>
      </c>
      <c r="BY197">
        <v>16</v>
      </c>
      <c r="CA197">
        <v>9</v>
      </c>
      <c r="CE197">
        <v>1</v>
      </c>
      <c r="CI197">
        <v>11</v>
      </c>
      <c r="CJ197" t="s">
        <v>94</v>
      </c>
      <c r="CM197">
        <v>4010</v>
      </c>
      <c r="CO197">
        <v>7360</v>
      </c>
      <c r="CP197">
        <v>0.31669999999999998</v>
      </c>
      <c r="CQ197">
        <v>0.31669999999999998</v>
      </c>
      <c r="CR197">
        <v>0.76670000000000005</v>
      </c>
      <c r="CS197">
        <v>4</v>
      </c>
      <c r="CT197" t="s">
        <v>4928</v>
      </c>
      <c r="CU197" t="s">
        <v>4929</v>
      </c>
      <c r="CV197" t="s">
        <v>833</v>
      </c>
      <c r="CW197" t="s">
        <v>834</v>
      </c>
      <c r="CX197" t="s">
        <v>4921</v>
      </c>
      <c r="CY197">
        <v>0</v>
      </c>
      <c r="CZ197">
        <v>0</v>
      </c>
      <c r="DA197" t="s">
        <v>833</v>
      </c>
      <c r="DB197" t="s">
        <v>865</v>
      </c>
      <c r="DC197">
        <v>49002</v>
      </c>
      <c r="DD197">
        <v>9.0832999999999995</v>
      </c>
      <c r="DE197" t="s">
        <v>866</v>
      </c>
      <c r="DG197" t="s">
        <v>867</v>
      </c>
      <c r="DH197" t="s">
        <v>851</v>
      </c>
      <c r="DI197" t="s">
        <v>984</v>
      </c>
      <c r="DK197" t="s">
        <v>918</v>
      </c>
      <c r="DL197" t="s">
        <v>869</v>
      </c>
      <c r="DM197">
        <v>0</v>
      </c>
      <c r="DN197">
        <v>0</v>
      </c>
      <c r="DO197">
        <v>2</v>
      </c>
      <c r="DP197" t="s">
        <v>870</v>
      </c>
      <c r="DQ197">
        <v>16</v>
      </c>
      <c r="DR197">
        <v>545</v>
      </c>
      <c r="DS197">
        <v>1265</v>
      </c>
      <c r="DT197">
        <v>8.7667000000000002</v>
      </c>
      <c r="DU197">
        <v>4</v>
      </c>
      <c r="DV197">
        <v>1</v>
      </c>
      <c r="DW197">
        <v>2</v>
      </c>
      <c r="DX197" t="s">
        <v>596</v>
      </c>
      <c r="DY197" t="s">
        <v>4921</v>
      </c>
      <c r="DZ197">
        <v>1</v>
      </c>
      <c r="EA197">
        <v>1</v>
      </c>
      <c r="EB197">
        <v>1</v>
      </c>
      <c r="EC197">
        <v>0</v>
      </c>
      <c r="ED197">
        <v>0</v>
      </c>
      <c r="EE197">
        <v>1</v>
      </c>
      <c r="EF197" t="s">
        <v>920</v>
      </c>
      <c r="EG197" t="s">
        <v>595</v>
      </c>
      <c r="EH197" t="s">
        <v>921</v>
      </c>
      <c r="EI197" t="s">
        <v>921</v>
      </c>
      <c r="EJ197" t="s">
        <v>178</v>
      </c>
      <c r="EK197">
        <v>9090</v>
      </c>
      <c r="EL197">
        <v>0</v>
      </c>
      <c r="EM197" t="s">
        <v>922</v>
      </c>
      <c r="EN197">
        <v>0.76670000000000005</v>
      </c>
      <c r="EO197">
        <v>21.0833333</v>
      </c>
      <c r="EP197">
        <v>99991120</v>
      </c>
      <c r="EQ197" t="s">
        <v>874</v>
      </c>
      <c r="ER197" t="s">
        <v>875</v>
      </c>
      <c r="ES197" t="s">
        <v>876</v>
      </c>
      <c r="ET197" t="s">
        <v>877</v>
      </c>
      <c r="EU197" t="s">
        <v>877</v>
      </c>
      <c r="EV197" t="s">
        <v>920</v>
      </c>
      <c r="EX197" t="s">
        <v>953</v>
      </c>
      <c r="EY197" t="s">
        <v>986</v>
      </c>
      <c r="EZ197" t="s">
        <v>924</v>
      </c>
      <c r="FA197" t="s">
        <v>925</v>
      </c>
      <c r="FB197">
        <v>1</v>
      </c>
      <c r="FC197">
        <v>1</v>
      </c>
      <c r="FD197" s="41">
        <v>46165</v>
      </c>
      <c r="FE197" t="s">
        <v>1808</v>
      </c>
      <c r="FF197">
        <v>8</v>
      </c>
      <c r="FG197" t="s">
        <v>930</v>
      </c>
      <c r="FH197" t="s">
        <v>4930</v>
      </c>
      <c r="FI197">
        <v>1</v>
      </c>
      <c r="FJ197" t="s">
        <v>4931</v>
      </c>
      <c r="FK197" t="s">
        <v>4932</v>
      </c>
      <c r="FL197">
        <v>1</v>
      </c>
      <c r="FM197" t="s">
        <v>4933</v>
      </c>
      <c r="FN197" t="s">
        <v>4934</v>
      </c>
      <c r="FO197">
        <v>1</v>
      </c>
      <c r="FP197" t="s">
        <v>4935</v>
      </c>
      <c r="FQ197" t="s">
        <v>4929</v>
      </c>
      <c r="FR197">
        <v>1</v>
      </c>
      <c r="FS197" t="s">
        <v>993</v>
      </c>
      <c r="FT197" t="s">
        <v>4936</v>
      </c>
      <c r="FU197">
        <v>1</v>
      </c>
      <c r="FV197" t="s">
        <v>2758</v>
      </c>
      <c r="FW197" t="s">
        <v>4937</v>
      </c>
      <c r="FX197">
        <v>1</v>
      </c>
      <c r="FY197" t="s">
        <v>890</v>
      </c>
      <c r="FZ197" t="s">
        <v>4938</v>
      </c>
      <c r="GA197" t="s">
        <v>4931</v>
      </c>
      <c r="GB197">
        <v>1</v>
      </c>
      <c r="GD197">
        <v>0</v>
      </c>
      <c r="GF197">
        <v>0</v>
      </c>
      <c r="GG197">
        <v>1</v>
      </c>
      <c r="GH197" t="s">
        <v>892</v>
      </c>
      <c r="GI197" t="s">
        <v>893</v>
      </c>
      <c r="GJ197" t="s">
        <v>4932</v>
      </c>
      <c r="GM197">
        <v>1</v>
      </c>
      <c r="GN197">
        <v>1</v>
      </c>
      <c r="GO197">
        <v>0</v>
      </c>
      <c r="GP197">
        <v>1</v>
      </c>
      <c r="GQ197">
        <v>1</v>
      </c>
      <c r="GR197">
        <v>0</v>
      </c>
      <c r="GS197">
        <v>1</v>
      </c>
      <c r="GT197">
        <v>0</v>
      </c>
      <c r="GU197">
        <v>1</v>
      </c>
      <c r="GV197">
        <v>0</v>
      </c>
      <c r="GW197">
        <v>1</v>
      </c>
      <c r="GX197">
        <v>0</v>
      </c>
      <c r="GY197">
        <v>1</v>
      </c>
      <c r="GZ197">
        <v>0</v>
      </c>
      <c r="HA197" t="s">
        <v>291</v>
      </c>
      <c r="HB197" t="s">
        <v>894</v>
      </c>
      <c r="HC197" t="s">
        <v>935</v>
      </c>
      <c r="HD197" t="s">
        <v>845</v>
      </c>
      <c r="HE197" t="s">
        <v>900</v>
      </c>
      <c r="HF197" t="s">
        <v>923</v>
      </c>
      <c r="HG197" t="s">
        <v>894</v>
      </c>
      <c r="HH197" t="s">
        <v>935</v>
      </c>
      <c r="HI197" t="s">
        <v>845</v>
      </c>
      <c r="HJ197" t="s">
        <v>900</v>
      </c>
      <c r="HK197" t="s">
        <v>922</v>
      </c>
      <c r="HL197" t="s">
        <v>208</v>
      </c>
      <c r="HM197" t="s">
        <v>854</v>
      </c>
      <c r="HN197">
        <v>36805</v>
      </c>
      <c r="HP197" t="s">
        <v>178</v>
      </c>
      <c r="HQ197" t="s">
        <v>896</v>
      </c>
      <c r="HR197" t="s">
        <v>896</v>
      </c>
      <c r="HS197" t="s">
        <v>896</v>
      </c>
    </row>
    <row r="198" spans="1:227" x14ac:dyDescent="0.2">
      <c r="A198">
        <v>8702</v>
      </c>
      <c r="B198">
        <v>7610602737</v>
      </c>
      <c r="C198">
        <v>36</v>
      </c>
      <c r="D198" t="s">
        <v>1302</v>
      </c>
      <c r="E198" t="s">
        <v>897</v>
      </c>
      <c r="F198">
        <v>2</v>
      </c>
      <c r="G198" t="s">
        <v>4939</v>
      </c>
      <c r="H198" t="s">
        <v>4939</v>
      </c>
      <c r="I198">
        <v>0</v>
      </c>
      <c r="J198" t="s">
        <v>833</v>
      </c>
      <c r="K198" t="s">
        <v>834</v>
      </c>
      <c r="L198">
        <v>153195469</v>
      </c>
      <c r="M198" t="s">
        <v>4940</v>
      </c>
      <c r="N198" t="s">
        <v>900</v>
      </c>
      <c r="O198" t="s">
        <v>837</v>
      </c>
      <c r="P198" t="s">
        <v>1302</v>
      </c>
      <c r="Q198" t="s">
        <v>1305</v>
      </c>
      <c r="R198" t="s">
        <v>4941</v>
      </c>
      <c r="S198" t="s">
        <v>4942</v>
      </c>
      <c r="T198">
        <v>30300136758</v>
      </c>
      <c r="V198" t="s">
        <v>210</v>
      </c>
      <c r="W198" s="41">
        <v>46130</v>
      </c>
      <c r="X198" t="s">
        <v>4943</v>
      </c>
      <c r="Y198" t="s">
        <v>4944</v>
      </c>
      <c r="Z198" t="s">
        <v>4945</v>
      </c>
      <c r="AA198">
        <v>0</v>
      </c>
      <c r="AB198" t="s">
        <v>845</v>
      </c>
      <c r="AC198" t="s">
        <v>846</v>
      </c>
      <c r="AD198" t="s">
        <v>1113</v>
      </c>
      <c r="AE198" t="s">
        <v>1114</v>
      </c>
      <c r="AF198">
        <v>1</v>
      </c>
      <c r="AG198">
        <v>452210</v>
      </c>
      <c r="AH198" t="s">
        <v>849</v>
      </c>
      <c r="AI198" t="s">
        <v>850</v>
      </c>
      <c r="AJ198" t="s">
        <v>851</v>
      </c>
      <c r="AK198" t="s">
        <v>267</v>
      </c>
      <c r="AL198" t="s">
        <v>3244</v>
      </c>
      <c r="AM198" t="s">
        <v>1408</v>
      </c>
      <c r="AN198" t="s">
        <v>854</v>
      </c>
      <c r="AO198">
        <v>36805</v>
      </c>
      <c r="AP198">
        <v>648</v>
      </c>
      <c r="AQ198" t="s">
        <v>855</v>
      </c>
      <c r="AR198">
        <v>66424738</v>
      </c>
      <c r="AS198" t="s">
        <v>856</v>
      </c>
      <c r="AU198" t="s">
        <v>4946</v>
      </c>
      <c r="AV198" t="s">
        <v>4947</v>
      </c>
      <c r="AW198" t="s">
        <v>1185</v>
      </c>
      <c r="AX198" t="s">
        <v>1186</v>
      </c>
      <c r="AY198" t="s">
        <v>861</v>
      </c>
      <c r="AZ198" t="s">
        <v>267</v>
      </c>
      <c r="BA198" t="s">
        <v>268</v>
      </c>
      <c r="BB198">
        <v>0</v>
      </c>
      <c r="BC198">
        <v>0</v>
      </c>
      <c r="BD198">
        <v>1</v>
      </c>
      <c r="BE198" t="s">
        <v>4940</v>
      </c>
      <c r="BF198">
        <v>0</v>
      </c>
      <c r="BG198">
        <v>0</v>
      </c>
      <c r="BH198" t="s">
        <v>862</v>
      </c>
      <c r="BI198">
        <v>0</v>
      </c>
      <c r="BJ198" t="s">
        <v>862</v>
      </c>
      <c r="BK198">
        <v>1</v>
      </c>
      <c r="BL198">
        <v>0</v>
      </c>
      <c r="BM198">
        <v>0</v>
      </c>
      <c r="BN198" t="s">
        <v>596</v>
      </c>
      <c r="BO198">
        <v>153195469</v>
      </c>
      <c r="BP198" t="s">
        <v>4939</v>
      </c>
      <c r="BR198">
        <v>42791781</v>
      </c>
      <c r="BT198">
        <v>1</v>
      </c>
      <c r="BU198" t="s">
        <v>1119</v>
      </c>
      <c r="BY198">
        <v>16</v>
      </c>
      <c r="CA198">
        <v>16</v>
      </c>
      <c r="CI198">
        <v>11</v>
      </c>
      <c r="CJ198" t="s">
        <v>94</v>
      </c>
      <c r="CM198">
        <v>4010</v>
      </c>
      <c r="CO198">
        <v>7360</v>
      </c>
      <c r="CP198">
        <v>1.8</v>
      </c>
      <c r="CQ198">
        <v>1.8</v>
      </c>
      <c r="CR198">
        <v>0.8</v>
      </c>
      <c r="CS198">
        <v>2</v>
      </c>
      <c r="CT198" t="s">
        <v>4947</v>
      </c>
      <c r="CU198" t="s">
        <v>4946</v>
      </c>
      <c r="CV198" t="s">
        <v>833</v>
      </c>
      <c r="CW198" t="s">
        <v>834</v>
      </c>
      <c r="CX198" t="s">
        <v>4940</v>
      </c>
      <c r="CY198">
        <v>1</v>
      </c>
      <c r="CZ198">
        <v>1</v>
      </c>
      <c r="DA198" t="s">
        <v>833</v>
      </c>
      <c r="DB198" t="s">
        <v>865</v>
      </c>
      <c r="DC198">
        <v>48197</v>
      </c>
      <c r="DD198">
        <v>16.5</v>
      </c>
      <c r="DE198" t="s">
        <v>866</v>
      </c>
      <c r="DG198" t="s">
        <v>867</v>
      </c>
      <c r="DH198" t="s">
        <v>851</v>
      </c>
      <c r="DI198" t="s">
        <v>3407</v>
      </c>
      <c r="DK198" t="s">
        <v>918</v>
      </c>
      <c r="DL198" t="s">
        <v>869</v>
      </c>
      <c r="DM198">
        <v>0</v>
      </c>
      <c r="DN198">
        <v>0</v>
      </c>
      <c r="DO198">
        <v>11</v>
      </c>
      <c r="DP198" t="s">
        <v>1010</v>
      </c>
      <c r="DQ198">
        <v>0</v>
      </c>
      <c r="DR198">
        <v>990</v>
      </c>
      <c r="DS198">
        <v>2430</v>
      </c>
      <c r="DT198">
        <v>15.716699999999999</v>
      </c>
      <c r="DU198">
        <v>0</v>
      </c>
      <c r="DV198">
        <v>1</v>
      </c>
      <c r="DW198">
        <v>2</v>
      </c>
      <c r="DX198" t="s">
        <v>594</v>
      </c>
      <c r="DY198" t="s">
        <v>4940</v>
      </c>
      <c r="DZ198">
        <v>1</v>
      </c>
      <c r="EA198">
        <v>1</v>
      </c>
      <c r="EB198">
        <v>1</v>
      </c>
      <c r="EC198">
        <v>1</v>
      </c>
      <c r="ED198">
        <v>1</v>
      </c>
      <c r="EE198">
        <v>1</v>
      </c>
      <c r="EF198" t="s">
        <v>920</v>
      </c>
      <c r="EG198" t="s">
        <v>595</v>
      </c>
      <c r="EH198" t="s">
        <v>872</v>
      </c>
      <c r="EI198" t="s">
        <v>872</v>
      </c>
      <c r="EJ198" t="s">
        <v>178</v>
      </c>
      <c r="EK198">
        <v>9090</v>
      </c>
      <c r="EL198">
        <v>0</v>
      </c>
      <c r="EM198" t="s">
        <v>952</v>
      </c>
      <c r="EN198">
        <v>0.8</v>
      </c>
      <c r="EO198">
        <v>40.5</v>
      </c>
      <c r="EP198">
        <v>99991120</v>
      </c>
      <c r="EQ198" t="s">
        <v>874</v>
      </c>
      <c r="ER198" t="s">
        <v>875</v>
      </c>
      <c r="ES198" t="s">
        <v>876</v>
      </c>
      <c r="ET198" t="s">
        <v>877</v>
      </c>
      <c r="EU198" t="s">
        <v>877</v>
      </c>
      <c r="EV198" t="s">
        <v>920</v>
      </c>
      <c r="EX198" t="s">
        <v>953</v>
      </c>
      <c r="EY198" t="s">
        <v>954</v>
      </c>
      <c r="EZ198" t="s">
        <v>955</v>
      </c>
      <c r="FA198" t="s">
        <v>956</v>
      </c>
      <c r="FB198">
        <v>1</v>
      </c>
      <c r="FC198">
        <v>1</v>
      </c>
      <c r="FD198" s="41">
        <v>46130</v>
      </c>
      <c r="FE198" t="s">
        <v>1123</v>
      </c>
      <c r="FF198">
        <v>9</v>
      </c>
      <c r="FG198" t="s">
        <v>4948</v>
      </c>
      <c r="FH198" t="s">
        <v>4949</v>
      </c>
      <c r="FI198">
        <v>1</v>
      </c>
      <c r="FJ198" t="s">
        <v>4950</v>
      </c>
      <c r="FK198" t="s">
        <v>4949</v>
      </c>
      <c r="FL198">
        <v>1</v>
      </c>
      <c r="FM198" t="s">
        <v>4951</v>
      </c>
      <c r="FN198" t="s">
        <v>4952</v>
      </c>
      <c r="FO198">
        <v>1</v>
      </c>
      <c r="FP198" t="s">
        <v>4953</v>
      </c>
      <c r="FQ198" t="s">
        <v>4946</v>
      </c>
      <c r="FR198">
        <v>1</v>
      </c>
      <c r="FS198" t="s">
        <v>1417</v>
      </c>
      <c r="FT198" t="s">
        <v>4954</v>
      </c>
      <c r="FU198">
        <v>1</v>
      </c>
      <c r="FV198" t="s">
        <v>4955</v>
      </c>
      <c r="FW198" t="s">
        <v>4956</v>
      </c>
      <c r="FX198">
        <v>1</v>
      </c>
      <c r="FY198" t="s">
        <v>890</v>
      </c>
      <c r="FZ198" t="s">
        <v>4957</v>
      </c>
      <c r="GA198" t="s">
        <v>4950</v>
      </c>
      <c r="GB198">
        <v>1</v>
      </c>
      <c r="GD198">
        <v>0</v>
      </c>
      <c r="GF198">
        <v>0</v>
      </c>
      <c r="GG198">
        <v>1</v>
      </c>
      <c r="GH198" t="s">
        <v>892</v>
      </c>
      <c r="GI198" t="s">
        <v>893</v>
      </c>
      <c r="GJ198" t="s">
        <v>4949</v>
      </c>
      <c r="GM198">
        <v>1</v>
      </c>
      <c r="GN198">
        <v>1</v>
      </c>
      <c r="GO198">
        <v>0</v>
      </c>
      <c r="GP198">
        <v>1</v>
      </c>
      <c r="GQ198">
        <v>1</v>
      </c>
      <c r="GR198">
        <v>0</v>
      </c>
      <c r="GS198">
        <v>1</v>
      </c>
      <c r="GT198">
        <v>0</v>
      </c>
      <c r="GU198">
        <v>1</v>
      </c>
      <c r="GV198">
        <v>0</v>
      </c>
      <c r="GW198">
        <v>1</v>
      </c>
      <c r="GX198">
        <v>0</v>
      </c>
      <c r="GY198">
        <v>1</v>
      </c>
      <c r="GZ198">
        <v>0</v>
      </c>
      <c r="HA198" t="s">
        <v>267</v>
      </c>
      <c r="HB198" t="s">
        <v>894</v>
      </c>
      <c r="HC198" t="s">
        <v>935</v>
      </c>
      <c r="HD198" t="s">
        <v>845</v>
      </c>
      <c r="HE198" t="s">
        <v>900</v>
      </c>
      <c r="HF198" t="s">
        <v>923</v>
      </c>
      <c r="HG198" t="s">
        <v>894</v>
      </c>
      <c r="HH198" t="s">
        <v>935</v>
      </c>
      <c r="HI198" t="s">
        <v>845</v>
      </c>
      <c r="HJ198" t="s">
        <v>900</v>
      </c>
      <c r="HK198" t="s">
        <v>952</v>
      </c>
      <c r="HL198" t="s">
        <v>210</v>
      </c>
      <c r="HM198" t="s">
        <v>854</v>
      </c>
      <c r="HN198">
        <v>36805</v>
      </c>
      <c r="HO198">
        <v>1</v>
      </c>
      <c r="HP198" t="s">
        <v>178</v>
      </c>
      <c r="HQ198" t="s">
        <v>896</v>
      </c>
      <c r="HR198" t="s">
        <v>896</v>
      </c>
      <c r="HS198" t="s">
        <v>896</v>
      </c>
    </row>
    <row r="199" spans="1:227" x14ac:dyDescent="0.2">
      <c r="A199">
        <v>8702</v>
      </c>
      <c r="B199">
        <v>7526603537</v>
      </c>
      <c r="C199" t="s">
        <v>829</v>
      </c>
      <c r="D199" t="s">
        <v>830</v>
      </c>
      <c r="E199" t="s">
        <v>897</v>
      </c>
      <c r="F199">
        <v>0</v>
      </c>
      <c r="G199" t="s">
        <v>4958</v>
      </c>
      <c r="H199" t="s">
        <v>4958</v>
      </c>
      <c r="I199">
        <v>0</v>
      </c>
      <c r="J199" t="s">
        <v>833</v>
      </c>
      <c r="K199" t="s">
        <v>834</v>
      </c>
      <c r="L199">
        <v>152946659</v>
      </c>
      <c r="M199" t="s">
        <v>4959</v>
      </c>
      <c r="N199" t="s">
        <v>900</v>
      </c>
      <c r="O199" t="s">
        <v>837</v>
      </c>
      <c r="P199" t="s">
        <v>838</v>
      </c>
      <c r="Q199" t="s">
        <v>839</v>
      </c>
      <c r="R199" t="s">
        <v>4960</v>
      </c>
      <c r="S199" t="s">
        <v>4961</v>
      </c>
      <c r="T199">
        <v>41477097078</v>
      </c>
      <c r="V199" t="s">
        <v>144</v>
      </c>
      <c r="W199" s="41">
        <v>45923</v>
      </c>
      <c r="X199" t="s">
        <v>4962</v>
      </c>
      <c r="Y199" t="s">
        <v>4963</v>
      </c>
      <c r="AA199">
        <v>0</v>
      </c>
      <c r="AB199" t="s">
        <v>845</v>
      </c>
      <c r="AC199" t="s">
        <v>846</v>
      </c>
      <c r="AD199" t="s">
        <v>847</v>
      </c>
      <c r="AE199" t="s">
        <v>848</v>
      </c>
      <c r="AF199">
        <v>1</v>
      </c>
      <c r="AG199">
        <v>452210</v>
      </c>
      <c r="AH199" t="s">
        <v>849</v>
      </c>
      <c r="AI199" t="s">
        <v>850</v>
      </c>
      <c r="AJ199" t="s">
        <v>851</v>
      </c>
      <c r="AK199" t="s">
        <v>340</v>
      </c>
      <c r="AL199" t="s">
        <v>2509</v>
      </c>
      <c r="AM199" t="s">
        <v>1926</v>
      </c>
      <c r="AN199" t="s">
        <v>854</v>
      </c>
      <c r="AO199">
        <v>36805</v>
      </c>
      <c r="AP199">
        <v>528</v>
      </c>
      <c r="AQ199" t="s">
        <v>855</v>
      </c>
      <c r="AR199">
        <v>66127163</v>
      </c>
      <c r="AS199" t="s">
        <v>856</v>
      </c>
      <c r="AU199" t="s">
        <v>4964</v>
      </c>
      <c r="AV199" t="s">
        <v>4965</v>
      </c>
      <c r="AX199" t="s">
        <v>913</v>
      </c>
      <c r="AY199" t="s">
        <v>861</v>
      </c>
      <c r="AZ199" t="s">
        <v>340</v>
      </c>
      <c r="BA199" t="s">
        <v>341</v>
      </c>
      <c r="BB199">
        <v>0</v>
      </c>
      <c r="BC199">
        <v>0</v>
      </c>
      <c r="BD199">
        <v>0</v>
      </c>
      <c r="BE199" t="s">
        <v>4959</v>
      </c>
      <c r="BF199">
        <v>0</v>
      </c>
      <c r="BG199">
        <v>0</v>
      </c>
      <c r="BH199" t="s">
        <v>862</v>
      </c>
      <c r="BI199">
        <v>0</v>
      </c>
      <c r="BJ199" t="s">
        <v>862</v>
      </c>
      <c r="BK199">
        <v>1</v>
      </c>
      <c r="BL199">
        <v>1</v>
      </c>
      <c r="BM199">
        <v>0</v>
      </c>
      <c r="BN199" t="s">
        <v>596</v>
      </c>
      <c r="BO199">
        <v>152946659</v>
      </c>
      <c r="BP199" t="s">
        <v>4958</v>
      </c>
      <c r="BR199">
        <v>42791441</v>
      </c>
      <c r="BT199">
        <v>0</v>
      </c>
      <c r="CM199">
        <v>4010</v>
      </c>
      <c r="CO199">
        <v>7360</v>
      </c>
      <c r="CP199">
        <v>0.2167</v>
      </c>
      <c r="CQ199">
        <v>0.2167</v>
      </c>
      <c r="CR199">
        <v>0.95</v>
      </c>
      <c r="CS199">
        <v>3</v>
      </c>
      <c r="CT199" t="s">
        <v>4966</v>
      </c>
      <c r="CU199" t="s">
        <v>4967</v>
      </c>
      <c r="CV199" t="s">
        <v>833</v>
      </c>
      <c r="CW199" t="s">
        <v>834</v>
      </c>
      <c r="CX199" t="s">
        <v>4959</v>
      </c>
      <c r="CY199">
        <v>0</v>
      </c>
      <c r="CZ199">
        <v>0</v>
      </c>
      <c r="DA199" t="s">
        <v>833</v>
      </c>
      <c r="DB199" t="s">
        <v>865</v>
      </c>
      <c r="DC199">
        <v>46033</v>
      </c>
      <c r="DD199">
        <v>5.2</v>
      </c>
      <c r="DE199" t="s">
        <v>866</v>
      </c>
      <c r="DG199" t="s">
        <v>867</v>
      </c>
      <c r="DH199" t="s">
        <v>851</v>
      </c>
      <c r="DI199" t="s">
        <v>4968</v>
      </c>
      <c r="DJ199" t="s">
        <v>2324</v>
      </c>
      <c r="DL199" t="s">
        <v>869</v>
      </c>
      <c r="DM199">
        <v>0</v>
      </c>
      <c r="DN199">
        <v>0</v>
      </c>
      <c r="DO199">
        <v>2</v>
      </c>
      <c r="DP199" t="s">
        <v>870</v>
      </c>
      <c r="DQ199">
        <v>16</v>
      </c>
      <c r="DR199">
        <v>312</v>
      </c>
      <c r="DS199">
        <v>312</v>
      </c>
      <c r="DT199">
        <v>4.9832999999999998</v>
      </c>
      <c r="DU199">
        <v>4</v>
      </c>
      <c r="DW199">
        <v>2</v>
      </c>
      <c r="DX199" t="s">
        <v>596</v>
      </c>
      <c r="DY199" t="s">
        <v>4959</v>
      </c>
      <c r="DZ199">
        <v>1</v>
      </c>
      <c r="EA199">
        <v>1</v>
      </c>
      <c r="EB199">
        <v>1</v>
      </c>
      <c r="EC199">
        <v>0</v>
      </c>
      <c r="ED199">
        <v>0</v>
      </c>
      <c r="EE199">
        <v>1</v>
      </c>
      <c r="EF199" t="s">
        <v>920</v>
      </c>
      <c r="EG199" t="s">
        <v>595</v>
      </c>
      <c r="EH199" t="s">
        <v>921</v>
      </c>
      <c r="EI199" t="s">
        <v>921</v>
      </c>
      <c r="EJ199" t="s">
        <v>134</v>
      </c>
      <c r="EK199">
        <v>9090</v>
      </c>
      <c r="EL199">
        <v>0</v>
      </c>
      <c r="EM199" t="s">
        <v>1011</v>
      </c>
      <c r="EN199">
        <v>0.95</v>
      </c>
      <c r="EO199">
        <v>5.2</v>
      </c>
      <c r="EP199">
        <v>99991120</v>
      </c>
      <c r="EQ199" t="s">
        <v>874</v>
      </c>
      <c r="ER199" t="s">
        <v>875</v>
      </c>
      <c r="ES199" t="s">
        <v>876</v>
      </c>
      <c r="ET199" t="s">
        <v>877</v>
      </c>
      <c r="EU199" t="s">
        <v>877</v>
      </c>
      <c r="EV199" t="s">
        <v>920</v>
      </c>
      <c r="EX199" t="s">
        <v>953</v>
      </c>
      <c r="EY199" t="s">
        <v>1555</v>
      </c>
      <c r="EZ199" t="s">
        <v>1013</v>
      </c>
      <c r="FA199" t="s">
        <v>925</v>
      </c>
      <c r="FB199">
        <v>1</v>
      </c>
      <c r="FC199">
        <v>1</v>
      </c>
      <c r="FD199" s="41">
        <v>45927</v>
      </c>
      <c r="FE199" t="s">
        <v>880</v>
      </c>
      <c r="FF199">
        <v>6</v>
      </c>
      <c r="FG199" t="s">
        <v>2219</v>
      </c>
      <c r="FH199" t="s">
        <v>4969</v>
      </c>
      <c r="FI199">
        <v>1</v>
      </c>
      <c r="FJ199" t="s">
        <v>4970</v>
      </c>
      <c r="FK199" t="s">
        <v>4971</v>
      </c>
      <c r="FL199">
        <v>1</v>
      </c>
      <c r="FM199" t="s">
        <v>4972</v>
      </c>
      <c r="FN199" t="s">
        <v>4973</v>
      </c>
      <c r="FO199">
        <v>1</v>
      </c>
      <c r="FP199" t="s">
        <v>4974</v>
      </c>
      <c r="FQ199" t="s">
        <v>4975</v>
      </c>
      <c r="FR199">
        <v>1</v>
      </c>
      <c r="FS199" t="s">
        <v>1196</v>
      </c>
      <c r="FT199" t="s">
        <v>4976</v>
      </c>
      <c r="FU199">
        <v>1</v>
      </c>
      <c r="FV199" t="s">
        <v>2521</v>
      </c>
      <c r="FW199" t="s">
        <v>4977</v>
      </c>
      <c r="FX199">
        <v>1</v>
      </c>
      <c r="FY199" t="s">
        <v>890</v>
      </c>
      <c r="FZ199" t="s">
        <v>4978</v>
      </c>
      <c r="GA199" t="s">
        <v>4970</v>
      </c>
      <c r="GB199">
        <v>1</v>
      </c>
      <c r="GD199">
        <v>0</v>
      </c>
      <c r="GF199">
        <v>0</v>
      </c>
      <c r="GG199">
        <v>1</v>
      </c>
      <c r="GH199" t="s">
        <v>892</v>
      </c>
      <c r="GI199" t="s">
        <v>893</v>
      </c>
      <c r="GJ199" t="s">
        <v>4971</v>
      </c>
      <c r="GM199">
        <v>1</v>
      </c>
      <c r="GN199">
        <v>1</v>
      </c>
      <c r="GO199">
        <v>0</v>
      </c>
      <c r="GP199">
        <v>1</v>
      </c>
      <c r="GQ199">
        <v>1</v>
      </c>
      <c r="GR199">
        <v>0</v>
      </c>
      <c r="GS199">
        <v>1</v>
      </c>
      <c r="GT199">
        <v>0</v>
      </c>
      <c r="GU199">
        <v>1</v>
      </c>
      <c r="GV199">
        <v>0</v>
      </c>
      <c r="GW199">
        <v>1</v>
      </c>
      <c r="GX199">
        <v>0</v>
      </c>
      <c r="GY199">
        <v>1</v>
      </c>
      <c r="GZ199">
        <v>0</v>
      </c>
      <c r="HA199" t="s">
        <v>340</v>
      </c>
      <c r="HB199" t="s">
        <v>894</v>
      </c>
      <c r="HC199" t="s">
        <v>935</v>
      </c>
      <c r="HD199" t="s">
        <v>845</v>
      </c>
      <c r="HE199" t="s">
        <v>900</v>
      </c>
      <c r="HF199" t="s">
        <v>1012</v>
      </c>
      <c r="HG199" t="s">
        <v>894</v>
      </c>
      <c r="HH199" t="s">
        <v>935</v>
      </c>
      <c r="HI199" t="s">
        <v>845</v>
      </c>
      <c r="HJ199" t="s">
        <v>900</v>
      </c>
      <c r="HK199" t="s">
        <v>1011</v>
      </c>
      <c r="HL199" t="s">
        <v>144</v>
      </c>
      <c r="HM199" t="s">
        <v>854</v>
      </c>
      <c r="HN199">
        <v>36805</v>
      </c>
      <c r="HP199" t="s">
        <v>134</v>
      </c>
      <c r="HQ199" t="s">
        <v>896</v>
      </c>
      <c r="HR199" t="s">
        <v>896</v>
      </c>
      <c r="HS199" t="s">
        <v>896</v>
      </c>
    </row>
    <row r="200" spans="1:227" x14ac:dyDescent="0.2">
      <c r="A200">
        <v>8702</v>
      </c>
      <c r="B200">
        <v>7521807648</v>
      </c>
      <c r="C200" t="s">
        <v>829</v>
      </c>
      <c r="D200" t="s">
        <v>830</v>
      </c>
      <c r="E200" t="s">
        <v>897</v>
      </c>
      <c r="F200">
        <v>0</v>
      </c>
      <c r="G200" t="s">
        <v>4979</v>
      </c>
      <c r="H200" t="s">
        <v>4979</v>
      </c>
      <c r="I200">
        <v>0</v>
      </c>
      <c r="J200" t="s">
        <v>833</v>
      </c>
      <c r="K200" t="s">
        <v>834</v>
      </c>
      <c r="L200">
        <v>156057615</v>
      </c>
      <c r="M200" t="s">
        <v>3104</v>
      </c>
      <c r="N200" t="s">
        <v>900</v>
      </c>
      <c r="O200" t="s">
        <v>837</v>
      </c>
      <c r="P200" t="s">
        <v>838</v>
      </c>
      <c r="Q200" t="s">
        <v>839</v>
      </c>
      <c r="R200" t="s">
        <v>4980</v>
      </c>
      <c r="S200" t="s">
        <v>4981</v>
      </c>
      <c r="T200">
        <v>41477119371</v>
      </c>
      <c r="V200" t="s">
        <v>3107</v>
      </c>
      <c r="W200" s="41">
        <v>45875</v>
      </c>
      <c r="X200" t="s">
        <v>4982</v>
      </c>
      <c r="Y200" t="s">
        <v>4983</v>
      </c>
      <c r="AA200">
        <v>0</v>
      </c>
      <c r="AB200" t="s">
        <v>845</v>
      </c>
      <c r="AC200" t="s">
        <v>846</v>
      </c>
      <c r="AD200" t="s">
        <v>847</v>
      </c>
      <c r="AE200" t="s">
        <v>848</v>
      </c>
      <c r="AF200">
        <v>1</v>
      </c>
      <c r="AG200">
        <v>452210</v>
      </c>
      <c r="AH200" t="s">
        <v>849</v>
      </c>
      <c r="AI200" t="s">
        <v>850</v>
      </c>
      <c r="AJ200" t="s">
        <v>851</v>
      </c>
      <c r="AK200" t="s">
        <v>415</v>
      </c>
      <c r="AL200" t="s">
        <v>4984</v>
      </c>
      <c r="AM200" t="s">
        <v>3111</v>
      </c>
      <c r="AN200" t="s">
        <v>854</v>
      </c>
      <c r="AO200">
        <v>36805</v>
      </c>
      <c r="AP200">
        <v>921</v>
      </c>
      <c r="AQ200" t="s">
        <v>855</v>
      </c>
      <c r="AR200">
        <v>66058065</v>
      </c>
      <c r="AS200" t="s">
        <v>856</v>
      </c>
      <c r="AU200" t="s">
        <v>4985</v>
      </c>
      <c r="AV200" t="s">
        <v>4986</v>
      </c>
      <c r="AW200" t="s">
        <v>1149</v>
      </c>
      <c r="AX200" t="s">
        <v>1150</v>
      </c>
      <c r="AY200" t="s">
        <v>861</v>
      </c>
      <c r="AZ200" t="s">
        <v>415</v>
      </c>
      <c r="BA200" t="s">
        <v>416</v>
      </c>
      <c r="BB200">
        <v>0</v>
      </c>
      <c r="BC200">
        <v>0</v>
      </c>
      <c r="BD200">
        <v>0</v>
      </c>
      <c r="BE200" t="s">
        <v>3104</v>
      </c>
      <c r="BF200">
        <v>0</v>
      </c>
      <c r="BG200">
        <v>0</v>
      </c>
      <c r="BH200" t="s">
        <v>862</v>
      </c>
      <c r="BI200">
        <v>0</v>
      </c>
      <c r="BJ200" t="s">
        <v>862</v>
      </c>
      <c r="BK200">
        <v>1</v>
      </c>
      <c r="BL200">
        <v>0</v>
      </c>
      <c r="BM200">
        <v>0</v>
      </c>
      <c r="BN200" t="s">
        <v>596</v>
      </c>
      <c r="BO200">
        <v>156057615</v>
      </c>
      <c r="BP200" t="s">
        <v>4979</v>
      </c>
      <c r="BR200">
        <v>42793646</v>
      </c>
      <c r="BT200">
        <v>0</v>
      </c>
      <c r="CM200">
        <v>4010</v>
      </c>
      <c r="CO200">
        <v>7360</v>
      </c>
      <c r="CP200">
        <v>0.15</v>
      </c>
      <c r="CQ200">
        <v>0.15</v>
      </c>
      <c r="CR200">
        <v>0.66669999999999996</v>
      </c>
      <c r="CS200">
        <v>2</v>
      </c>
      <c r="CT200" t="s">
        <v>4986</v>
      </c>
      <c r="CU200" t="s">
        <v>4985</v>
      </c>
      <c r="CV200" t="s">
        <v>833</v>
      </c>
      <c r="CW200" t="s">
        <v>834</v>
      </c>
      <c r="CX200" t="s">
        <v>3104</v>
      </c>
      <c r="CY200">
        <v>0</v>
      </c>
      <c r="CZ200">
        <v>0</v>
      </c>
      <c r="DA200" t="s">
        <v>833</v>
      </c>
      <c r="DB200" t="s">
        <v>865</v>
      </c>
      <c r="DC200">
        <v>45249</v>
      </c>
      <c r="DD200">
        <v>1.0667</v>
      </c>
      <c r="DE200" t="s">
        <v>866</v>
      </c>
      <c r="DG200" t="s">
        <v>867</v>
      </c>
      <c r="DH200" t="s">
        <v>851</v>
      </c>
      <c r="DJ200" t="s">
        <v>4987</v>
      </c>
      <c r="DL200" t="s">
        <v>869</v>
      </c>
      <c r="DM200">
        <v>0</v>
      </c>
      <c r="DN200">
        <v>0</v>
      </c>
      <c r="DO200">
        <v>3</v>
      </c>
      <c r="DP200" t="s">
        <v>919</v>
      </c>
      <c r="DQ200">
        <v>16</v>
      </c>
      <c r="DR200">
        <v>64</v>
      </c>
      <c r="DS200">
        <v>64</v>
      </c>
      <c r="DT200">
        <v>0.91669999999999996</v>
      </c>
      <c r="DU200">
        <v>4</v>
      </c>
      <c r="DW200">
        <v>2</v>
      </c>
      <c r="DX200" t="s">
        <v>594</v>
      </c>
      <c r="DY200" t="s">
        <v>3104</v>
      </c>
      <c r="DZ200">
        <v>0</v>
      </c>
      <c r="EA200">
        <v>0</v>
      </c>
      <c r="EB200">
        <v>0</v>
      </c>
      <c r="EC200">
        <v>0</v>
      </c>
      <c r="ED200">
        <v>0</v>
      </c>
      <c r="EE200">
        <v>0</v>
      </c>
      <c r="EF200" t="s">
        <v>920</v>
      </c>
      <c r="EG200" t="s">
        <v>595</v>
      </c>
      <c r="EH200" t="s">
        <v>872</v>
      </c>
      <c r="EI200" t="s">
        <v>872</v>
      </c>
      <c r="EJ200" t="s">
        <v>226</v>
      </c>
      <c r="EK200">
        <v>9090</v>
      </c>
      <c r="EL200">
        <v>0</v>
      </c>
      <c r="EM200" t="s">
        <v>1157</v>
      </c>
      <c r="EN200">
        <v>0.66669999999999996</v>
      </c>
      <c r="EO200">
        <v>1.0666666</v>
      </c>
      <c r="EP200">
        <v>99991120</v>
      </c>
      <c r="EQ200" t="s">
        <v>874</v>
      </c>
      <c r="ER200" t="s">
        <v>875</v>
      </c>
      <c r="ES200" t="s">
        <v>876</v>
      </c>
      <c r="ET200" t="s">
        <v>877</v>
      </c>
      <c r="EU200" t="s">
        <v>877</v>
      </c>
      <c r="EV200" t="s">
        <v>920</v>
      </c>
      <c r="EX200" t="s">
        <v>953</v>
      </c>
      <c r="EY200" t="s">
        <v>1555</v>
      </c>
      <c r="EZ200" t="s">
        <v>3116</v>
      </c>
      <c r="FA200" t="s">
        <v>925</v>
      </c>
      <c r="FB200">
        <v>1</v>
      </c>
      <c r="FC200">
        <v>1</v>
      </c>
      <c r="FD200" s="41">
        <v>45878</v>
      </c>
      <c r="FE200" t="s">
        <v>987</v>
      </c>
      <c r="FF200">
        <v>5</v>
      </c>
      <c r="FI200">
        <v>0</v>
      </c>
      <c r="FJ200" t="s">
        <v>4988</v>
      </c>
      <c r="FK200" t="s">
        <v>4989</v>
      </c>
      <c r="FL200">
        <v>1</v>
      </c>
      <c r="FM200" t="s">
        <v>3117</v>
      </c>
      <c r="FN200" t="s">
        <v>4990</v>
      </c>
      <c r="FO200">
        <v>1</v>
      </c>
      <c r="FP200" t="s">
        <v>4991</v>
      </c>
      <c r="FQ200" t="s">
        <v>4985</v>
      </c>
      <c r="FR200">
        <v>1</v>
      </c>
      <c r="FS200" t="s">
        <v>4992</v>
      </c>
      <c r="FT200" t="s">
        <v>4993</v>
      </c>
      <c r="FU200">
        <v>1</v>
      </c>
      <c r="FV200" t="s">
        <v>4994</v>
      </c>
      <c r="FW200" t="s">
        <v>4989</v>
      </c>
      <c r="FX200">
        <v>1</v>
      </c>
      <c r="FY200" t="s">
        <v>890</v>
      </c>
      <c r="FZ200" t="s">
        <v>4995</v>
      </c>
      <c r="GA200" t="s">
        <v>4988</v>
      </c>
      <c r="GB200">
        <v>1</v>
      </c>
      <c r="GD200">
        <v>0</v>
      </c>
      <c r="GF200">
        <v>0</v>
      </c>
      <c r="GG200">
        <v>1</v>
      </c>
      <c r="GH200" t="s">
        <v>892</v>
      </c>
      <c r="GI200" t="s">
        <v>893</v>
      </c>
      <c r="GJ200" t="s">
        <v>4989</v>
      </c>
      <c r="GM200">
        <v>1</v>
      </c>
      <c r="GN200">
        <v>1</v>
      </c>
      <c r="GO200">
        <v>0</v>
      </c>
      <c r="GP200">
        <v>1</v>
      </c>
      <c r="GQ200">
        <v>1</v>
      </c>
      <c r="GR200">
        <v>0</v>
      </c>
      <c r="GS200">
        <v>1</v>
      </c>
      <c r="GT200">
        <v>0</v>
      </c>
      <c r="GU200">
        <v>1</v>
      </c>
      <c r="GV200">
        <v>0</v>
      </c>
      <c r="GW200">
        <v>1</v>
      </c>
      <c r="GX200">
        <v>0</v>
      </c>
      <c r="GY200">
        <v>1</v>
      </c>
      <c r="GZ200">
        <v>0</v>
      </c>
      <c r="HA200" t="s">
        <v>415</v>
      </c>
      <c r="HB200" t="s">
        <v>894</v>
      </c>
      <c r="HC200" t="s">
        <v>935</v>
      </c>
      <c r="HD200" t="s">
        <v>845</v>
      </c>
      <c r="HE200" t="s">
        <v>900</v>
      </c>
      <c r="HF200" t="s">
        <v>923</v>
      </c>
      <c r="HG200" t="s">
        <v>894</v>
      </c>
      <c r="HH200" t="s">
        <v>935</v>
      </c>
      <c r="HI200" t="s">
        <v>845</v>
      </c>
      <c r="HJ200" t="s">
        <v>900</v>
      </c>
      <c r="HK200" t="s">
        <v>922</v>
      </c>
      <c r="HL200" t="s">
        <v>3107</v>
      </c>
      <c r="HM200" t="s">
        <v>854</v>
      </c>
      <c r="HN200">
        <v>36805</v>
      </c>
      <c r="HP200" t="s">
        <v>226</v>
      </c>
      <c r="HQ200" t="s">
        <v>896</v>
      </c>
      <c r="HR200" t="s">
        <v>896</v>
      </c>
      <c r="HS200" t="s">
        <v>896</v>
      </c>
    </row>
    <row r="201" spans="1:227" x14ac:dyDescent="0.2">
      <c r="A201">
        <v>8702</v>
      </c>
      <c r="B201">
        <v>7616900474</v>
      </c>
      <c r="C201" t="s">
        <v>829</v>
      </c>
      <c r="D201" t="s">
        <v>830</v>
      </c>
      <c r="E201" t="s">
        <v>897</v>
      </c>
      <c r="F201">
        <v>1</v>
      </c>
      <c r="G201" t="s">
        <v>4996</v>
      </c>
      <c r="H201" t="s">
        <v>4996</v>
      </c>
      <c r="I201">
        <v>0</v>
      </c>
      <c r="J201" t="s">
        <v>833</v>
      </c>
      <c r="K201" t="s">
        <v>834</v>
      </c>
      <c r="L201">
        <v>153195449</v>
      </c>
      <c r="M201" t="s">
        <v>4997</v>
      </c>
      <c r="N201" t="s">
        <v>900</v>
      </c>
      <c r="O201" t="s">
        <v>837</v>
      </c>
      <c r="P201" t="s">
        <v>838</v>
      </c>
      <c r="Q201" t="s">
        <v>901</v>
      </c>
      <c r="R201" t="s">
        <v>4998</v>
      </c>
      <c r="S201" t="s">
        <v>4999</v>
      </c>
      <c r="T201">
        <v>41477125989</v>
      </c>
      <c r="V201" t="s">
        <v>232</v>
      </c>
      <c r="W201" s="41">
        <v>46196</v>
      </c>
      <c r="X201" t="s">
        <v>5000</v>
      </c>
      <c r="Y201" t="s">
        <v>5001</v>
      </c>
      <c r="AA201">
        <v>0</v>
      </c>
      <c r="AB201" t="s">
        <v>845</v>
      </c>
      <c r="AC201" t="s">
        <v>846</v>
      </c>
      <c r="AD201" t="s">
        <v>907</v>
      </c>
      <c r="AE201" t="s">
        <v>908</v>
      </c>
      <c r="AF201">
        <v>1</v>
      </c>
      <c r="AG201">
        <v>452210</v>
      </c>
      <c r="AH201" t="s">
        <v>849</v>
      </c>
      <c r="AI201" t="s">
        <v>850</v>
      </c>
      <c r="AJ201" t="s">
        <v>851</v>
      </c>
      <c r="AK201" t="s">
        <v>334</v>
      </c>
      <c r="AL201" t="s">
        <v>1145</v>
      </c>
      <c r="AM201" t="s">
        <v>3403</v>
      </c>
      <c r="AN201" t="s">
        <v>854</v>
      </c>
      <c r="AO201">
        <v>36805</v>
      </c>
      <c r="AP201">
        <v>923</v>
      </c>
      <c r="AQ201" t="s">
        <v>855</v>
      </c>
      <c r="AR201">
        <v>66520350</v>
      </c>
      <c r="AS201" t="s">
        <v>856</v>
      </c>
      <c r="AU201" t="s">
        <v>5002</v>
      </c>
      <c r="AV201" t="s">
        <v>5003</v>
      </c>
      <c r="AX201" t="s">
        <v>913</v>
      </c>
      <c r="AY201" t="s">
        <v>861</v>
      </c>
      <c r="AZ201" t="s">
        <v>334</v>
      </c>
      <c r="BA201" t="s">
        <v>335</v>
      </c>
      <c r="BB201">
        <v>0</v>
      </c>
      <c r="BC201">
        <v>1</v>
      </c>
      <c r="BD201">
        <v>0</v>
      </c>
      <c r="BE201" t="s">
        <v>4997</v>
      </c>
      <c r="BF201">
        <v>0</v>
      </c>
      <c r="BG201">
        <v>0</v>
      </c>
      <c r="BH201" t="s">
        <v>862</v>
      </c>
      <c r="BI201">
        <v>0</v>
      </c>
      <c r="BJ201" t="s">
        <v>862</v>
      </c>
      <c r="BK201">
        <v>1</v>
      </c>
      <c r="BL201">
        <v>1</v>
      </c>
      <c r="BM201">
        <v>0</v>
      </c>
      <c r="BN201" t="s">
        <v>596</v>
      </c>
      <c r="BO201">
        <v>153195449</v>
      </c>
      <c r="BP201" t="s">
        <v>4996</v>
      </c>
      <c r="BQ201">
        <v>40.093816599999997</v>
      </c>
      <c r="BR201">
        <v>42793647</v>
      </c>
      <c r="BS201">
        <v>-83.018551200000005</v>
      </c>
      <c r="BT201">
        <v>0</v>
      </c>
      <c r="BU201" t="s">
        <v>1314</v>
      </c>
      <c r="BY201">
        <v>16</v>
      </c>
      <c r="CA201">
        <v>70</v>
      </c>
      <c r="CE201">
        <v>0</v>
      </c>
      <c r="CI201">
        <v>11</v>
      </c>
      <c r="CJ201" t="s">
        <v>94</v>
      </c>
      <c r="CM201">
        <v>4010</v>
      </c>
      <c r="CO201">
        <v>7360</v>
      </c>
      <c r="CP201">
        <v>2.3833000000000002</v>
      </c>
      <c r="CQ201">
        <v>2.3833000000000002</v>
      </c>
      <c r="CR201">
        <v>5.2332999999999998</v>
      </c>
      <c r="CS201">
        <v>0</v>
      </c>
      <c r="CT201" t="s">
        <v>5003</v>
      </c>
      <c r="CU201" t="s">
        <v>5002</v>
      </c>
      <c r="CV201" t="s">
        <v>833</v>
      </c>
      <c r="CW201" t="s">
        <v>834</v>
      </c>
      <c r="CX201" t="s">
        <v>4997</v>
      </c>
      <c r="CY201">
        <v>1</v>
      </c>
      <c r="CZ201">
        <v>1</v>
      </c>
      <c r="DA201" t="s">
        <v>833</v>
      </c>
      <c r="DB201" t="s">
        <v>865</v>
      </c>
      <c r="DC201">
        <v>43085</v>
      </c>
      <c r="DD201">
        <v>69.616699999999994</v>
      </c>
      <c r="DE201" t="s">
        <v>866</v>
      </c>
      <c r="DG201" t="s">
        <v>867</v>
      </c>
      <c r="DH201" t="s">
        <v>851</v>
      </c>
      <c r="DI201" t="s">
        <v>3291</v>
      </c>
      <c r="DK201" t="s">
        <v>918</v>
      </c>
      <c r="DL201" t="s">
        <v>869</v>
      </c>
      <c r="DM201">
        <v>0</v>
      </c>
      <c r="DN201">
        <v>0</v>
      </c>
      <c r="DO201">
        <v>11</v>
      </c>
      <c r="DP201" t="s">
        <v>1010</v>
      </c>
      <c r="DQ201">
        <v>16</v>
      </c>
      <c r="DR201">
        <v>4177</v>
      </c>
      <c r="DS201">
        <v>8476</v>
      </c>
      <c r="DT201">
        <v>18.2</v>
      </c>
      <c r="DU201">
        <v>4</v>
      </c>
      <c r="DV201">
        <v>1</v>
      </c>
      <c r="DW201">
        <v>2</v>
      </c>
      <c r="DX201" t="s">
        <v>596</v>
      </c>
      <c r="DY201" t="s">
        <v>4997</v>
      </c>
      <c r="DZ201">
        <v>0</v>
      </c>
      <c r="EA201">
        <v>0</v>
      </c>
      <c r="EB201">
        <v>1</v>
      </c>
      <c r="EC201">
        <v>0</v>
      </c>
      <c r="ED201">
        <v>0</v>
      </c>
      <c r="EE201">
        <v>1</v>
      </c>
      <c r="EF201" t="s">
        <v>920</v>
      </c>
      <c r="EG201" t="s">
        <v>595</v>
      </c>
      <c r="EH201" t="s">
        <v>921</v>
      </c>
      <c r="EI201" t="s">
        <v>921</v>
      </c>
      <c r="EJ201" t="s">
        <v>226</v>
      </c>
      <c r="EK201">
        <v>9090</v>
      </c>
      <c r="EL201">
        <v>1</v>
      </c>
      <c r="EM201" t="s">
        <v>1157</v>
      </c>
      <c r="EN201">
        <v>5.2332999999999998</v>
      </c>
      <c r="EO201">
        <v>141.2666667</v>
      </c>
      <c r="EP201">
        <v>99991120</v>
      </c>
      <c r="EQ201" t="s">
        <v>874</v>
      </c>
      <c r="ER201" t="s">
        <v>875</v>
      </c>
      <c r="ES201" t="s">
        <v>876</v>
      </c>
      <c r="ET201" t="s">
        <v>877</v>
      </c>
      <c r="EU201" t="s">
        <v>877</v>
      </c>
      <c r="EV201" t="s">
        <v>920</v>
      </c>
      <c r="EX201" t="s">
        <v>900</v>
      </c>
      <c r="EY201" t="s">
        <v>923</v>
      </c>
      <c r="EZ201" t="s">
        <v>1158</v>
      </c>
      <c r="FA201" t="s">
        <v>925</v>
      </c>
      <c r="FB201">
        <v>1</v>
      </c>
      <c r="FC201">
        <v>3</v>
      </c>
      <c r="FD201" s="41">
        <v>46200</v>
      </c>
      <c r="FE201" t="s">
        <v>1315</v>
      </c>
      <c r="FF201">
        <v>28</v>
      </c>
      <c r="FG201" t="s">
        <v>5004</v>
      </c>
      <c r="FH201" t="s">
        <v>5005</v>
      </c>
      <c r="FI201">
        <v>1</v>
      </c>
      <c r="FJ201" t="s">
        <v>5006</v>
      </c>
      <c r="FK201" t="s">
        <v>5005</v>
      </c>
      <c r="FL201">
        <v>1</v>
      </c>
      <c r="FM201" t="s">
        <v>5007</v>
      </c>
      <c r="FN201" t="s">
        <v>5008</v>
      </c>
      <c r="FO201">
        <v>1</v>
      </c>
      <c r="FP201" t="s">
        <v>5009</v>
      </c>
      <c r="FQ201" t="s">
        <v>5002</v>
      </c>
      <c r="FR201">
        <v>1</v>
      </c>
      <c r="FS201" t="s">
        <v>5010</v>
      </c>
      <c r="FT201" t="s">
        <v>5011</v>
      </c>
      <c r="FU201">
        <v>1</v>
      </c>
      <c r="FV201" t="s">
        <v>5012</v>
      </c>
      <c r="FW201" t="s">
        <v>5013</v>
      </c>
      <c r="FX201">
        <v>1</v>
      </c>
      <c r="FY201" t="s">
        <v>890</v>
      </c>
      <c r="FZ201" t="s">
        <v>5014</v>
      </c>
      <c r="GA201" t="s">
        <v>5006</v>
      </c>
      <c r="GB201">
        <v>1</v>
      </c>
      <c r="GD201">
        <v>0</v>
      </c>
      <c r="GF201">
        <v>0</v>
      </c>
      <c r="GG201">
        <v>1</v>
      </c>
      <c r="GH201" t="s">
        <v>892</v>
      </c>
      <c r="GI201" t="s">
        <v>893</v>
      </c>
      <c r="GJ201" t="s">
        <v>5005</v>
      </c>
      <c r="GM201">
        <v>1</v>
      </c>
      <c r="GN201">
        <v>0</v>
      </c>
      <c r="GO201">
        <v>0</v>
      </c>
      <c r="GP201">
        <v>1</v>
      </c>
      <c r="GQ201">
        <v>1</v>
      </c>
      <c r="GR201">
        <v>0</v>
      </c>
      <c r="GS201">
        <v>1</v>
      </c>
      <c r="GT201">
        <v>0</v>
      </c>
      <c r="GU201">
        <v>1</v>
      </c>
      <c r="GV201">
        <v>0</v>
      </c>
      <c r="GW201">
        <v>1</v>
      </c>
      <c r="GX201">
        <v>0</v>
      </c>
      <c r="GY201">
        <v>1</v>
      </c>
      <c r="GZ201">
        <v>0</v>
      </c>
      <c r="HA201" t="s">
        <v>334</v>
      </c>
      <c r="HB201" t="s">
        <v>894</v>
      </c>
      <c r="HC201" t="s">
        <v>935</v>
      </c>
      <c r="HD201" t="s">
        <v>845</v>
      </c>
      <c r="HE201" t="s">
        <v>900</v>
      </c>
      <c r="HF201" t="s">
        <v>923</v>
      </c>
      <c r="HG201" t="s">
        <v>894</v>
      </c>
      <c r="HH201" t="s">
        <v>935</v>
      </c>
      <c r="HI201" t="s">
        <v>845</v>
      </c>
      <c r="HJ201" t="s">
        <v>900</v>
      </c>
      <c r="HK201" t="s">
        <v>922</v>
      </c>
      <c r="HL201" t="s">
        <v>232</v>
      </c>
      <c r="HM201" t="s">
        <v>854</v>
      </c>
      <c r="HN201">
        <v>36805</v>
      </c>
      <c r="HP201" t="s">
        <v>226</v>
      </c>
      <c r="HQ201" t="s">
        <v>896</v>
      </c>
      <c r="HR201" t="s">
        <v>896</v>
      </c>
      <c r="HS201" t="s">
        <v>896</v>
      </c>
    </row>
    <row r="202" spans="1:227" x14ac:dyDescent="0.2">
      <c r="A202">
        <v>8702</v>
      </c>
      <c r="B202">
        <v>7530114317</v>
      </c>
      <c r="C202" t="s">
        <v>1916</v>
      </c>
      <c r="D202" t="s">
        <v>1917</v>
      </c>
      <c r="E202" t="s">
        <v>831</v>
      </c>
      <c r="F202">
        <v>0</v>
      </c>
      <c r="G202" t="s">
        <v>5015</v>
      </c>
      <c r="H202" t="s">
        <v>5015</v>
      </c>
      <c r="I202">
        <v>0</v>
      </c>
      <c r="J202" t="s">
        <v>833</v>
      </c>
      <c r="K202" t="s">
        <v>834</v>
      </c>
      <c r="L202">
        <v>153406605</v>
      </c>
      <c r="M202" t="s">
        <v>5016</v>
      </c>
      <c r="N202" t="s">
        <v>836</v>
      </c>
      <c r="O202" t="s">
        <v>837</v>
      </c>
      <c r="P202" t="s">
        <v>1920</v>
      </c>
      <c r="Q202" t="s">
        <v>4022</v>
      </c>
      <c r="R202" t="s">
        <v>5017</v>
      </c>
      <c r="S202" t="s">
        <v>5018</v>
      </c>
      <c r="T202">
        <v>41477016806</v>
      </c>
      <c r="V202" t="s">
        <v>4001</v>
      </c>
      <c r="W202" s="41">
        <v>45958</v>
      </c>
      <c r="X202" t="s">
        <v>5019</v>
      </c>
      <c r="Y202" t="s">
        <v>5020</v>
      </c>
      <c r="AA202">
        <v>0</v>
      </c>
      <c r="AB202" t="s">
        <v>845</v>
      </c>
      <c r="AC202" t="s">
        <v>846</v>
      </c>
      <c r="AD202" t="s">
        <v>847</v>
      </c>
      <c r="AE202" t="s">
        <v>848</v>
      </c>
      <c r="AF202">
        <v>1</v>
      </c>
      <c r="AG202">
        <v>452210</v>
      </c>
      <c r="AH202" t="s">
        <v>849</v>
      </c>
      <c r="AI202" t="s">
        <v>850</v>
      </c>
      <c r="AJ202" t="s">
        <v>851</v>
      </c>
      <c r="AK202" t="s">
        <v>537</v>
      </c>
      <c r="AL202" t="s">
        <v>5021</v>
      </c>
      <c r="AM202" t="s">
        <v>4005</v>
      </c>
      <c r="AN202" t="s">
        <v>854</v>
      </c>
      <c r="AO202">
        <v>36805</v>
      </c>
      <c r="AP202">
        <v>543</v>
      </c>
      <c r="AQ202" t="s">
        <v>855</v>
      </c>
      <c r="AR202">
        <v>66177409</v>
      </c>
      <c r="AS202" t="s">
        <v>856</v>
      </c>
      <c r="AU202" t="s">
        <v>5022</v>
      </c>
      <c r="AV202" t="s">
        <v>5023</v>
      </c>
      <c r="AX202" t="s">
        <v>913</v>
      </c>
      <c r="AY202" t="s">
        <v>861</v>
      </c>
      <c r="AZ202" t="s">
        <v>537</v>
      </c>
      <c r="BA202" t="s">
        <v>538</v>
      </c>
      <c r="BB202">
        <v>1</v>
      </c>
      <c r="BC202">
        <v>0</v>
      </c>
      <c r="BD202">
        <v>0</v>
      </c>
      <c r="BE202" t="s">
        <v>5016</v>
      </c>
      <c r="BF202">
        <v>0</v>
      </c>
      <c r="BG202">
        <v>0</v>
      </c>
      <c r="BH202" t="s">
        <v>862</v>
      </c>
      <c r="BI202">
        <v>0</v>
      </c>
      <c r="BJ202" t="s">
        <v>862</v>
      </c>
      <c r="BK202">
        <v>1</v>
      </c>
      <c r="BL202">
        <v>1</v>
      </c>
      <c r="BM202">
        <v>0</v>
      </c>
      <c r="BN202" t="s">
        <v>596</v>
      </c>
      <c r="BO202">
        <v>153406605</v>
      </c>
      <c r="BP202" t="s">
        <v>5015</v>
      </c>
      <c r="BQ202">
        <v>44.932928199999999</v>
      </c>
      <c r="BR202">
        <v>42791458</v>
      </c>
      <c r="BS202">
        <v>-93.3428909</v>
      </c>
      <c r="BT202">
        <v>0</v>
      </c>
      <c r="CM202">
        <v>4010</v>
      </c>
      <c r="CO202">
        <v>7360</v>
      </c>
      <c r="CP202">
        <v>0.51670000000000005</v>
      </c>
      <c r="CQ202">
        <v>0.51670000000000005</v>
      </c>
      <c r="CR202">
        <v>1.8332999999999999</v>
      </c>
      <c r="CS202">
        <v>0</v>
      </c>
      <c r="CT202" t="s">
        <v>5024</v>
      </c>
      <c r="CU202" t="s">
        <v>5025</v>
      </c>
      <c r="CV202" t="s">
        <v>833</v>
      </c>
      <c r="CW202" t="s">
        <v>834</v>
      </c>
      <c r="CX202" t="s">
        <v>5016</v>
      </c>
      <c r="CY202">
        <v>1</v>
      </c>
      <c r="CZ202">
        <v>1</v>
      </c>
      <c r="DA202" t="s">
        <v>833</v>
      </c>
      <c r="DB202" t="s">
        <v>865</v>
      </c>
      <c r="DC202">
        <v>55416</v>
      </c>
      <c r="DD202">
        <v>4.2832999999999997</v>
      </c>
      <c r="DE202" t="s">
        <v>866</v>
      </c>
      <c r="DG202" t="s">
        <v>867</v>
      </c>
      <c r="DH202" t="s">
        <v>851</v>
      </c>
      <c r="DL202" t="s">
        <v>869</v>
      </c>
      <c r="DM202">
        <v>0</v>
      </c>
      <c r="DN202">
        <v>0</v>
      </c>
      <c r="DO202">
        <v>11</v>
      </c>
      <c r="DP202" t="s">
        <v>1010</v>
      </c>
      <c r="DQ202">
        <v>16</v>
      </c>
      <c r="DR202">
        <v>257</v>
      </c>
      <c r="DS202">
        <v>257</v>
      </c>
      <c r="DT202">
        <v>2.4832999999999998</v>
      </c>
      <c r="DU202">
        <v>4</v>
      </c>
      <c r="DW202">
        <v>2</v>
      </c>
      <c r="DX202" t="s">
        <v>596</v>
      </c>
      <c r="DY202" t="s">
        <v>5016</v>
      </c>
      <c r="DZ202">
        <v>1</v>
      </c>
      <c r="EA202">
        <v>1</v>
      </c>
      <c r="EB202">
        <v>1</v>
      </c>
      <c r="EC202">
        <v>1</v>
      </c>
      <c r="ED202">
        <v>1</v>
      </c>
      <c r="EE202">
        <v>1</v>
      </c>
      <c r="EF202" t="s">
        <v>871</v>
      </c>
      <c r="EG202" t="s">
        <v>595</v>
      </c>
      <c r="EH202" t="s">
        <v>921</v>
      </c>
      <c r="EI202" t="s">
        <v>921</v>
      </c>
      <c r="EJ202" t="s">
        <v>159</v>
      </c>
      <c r="EK202">
        <v>9090</v>
      </c>
      <c r="EL202">
        <v>1</v>
      </c>
      <c r="EM202" t="s">
        <v>873</v>
      </c>
      <c r="EN202">
        <v>1.8332999999999999</v>
      </c>
      <c r="EO202">
        <v>4.2833332999999998</v>
      </c>
      <c r="EP202">
        <v>99991120</v>
      </c>
      <c r="EQ202" t="s">
        <v>874</v>
      </c>
      <c r="ER202" t="s">
        <v>875</v>
      </c>
      <c r="ES202" t="s">
        <v>876</v>
      </c>
      <c r="ET202" t="s">
        <v>877</v>
      </c>
      <c r="EU202" t="s">
        <v>877</v>
      </c>
      <c r="EV202" t="s">
        <v>871</v>
      </c>
      <c r="EX202" t="s">
        <v>836</v>
      </c>
      <c r="EY202" t="s">
        <v>1121</v>
      </c>
      <c r="EZ202" t="s">
        <v>1122</v>
      </c>
      <c r="FA202" t="s">
        <v>956</v>
      </c>
      <c r="FB202">
        <v>1</v>
      </c>
      <c r="FC202">
        <v>2</v>
      </c>
      <c r="FD202" s="41">
        <v>45962</v>
      </c>
      <c r="FE202" t="s">
        <v>1039</v>
      </c>
      <c r="FF202">
        <v>8</v>
      </c>
      <c r="FG202" t="s">
        <v>5026</v>
      </c>
      <c r="FH202" t="s">
        <v>5027</v>
      </c>
      <c r="FI202">
        <v>1</v>
      </c>
      <c r="FJ202" t="s">
        <v>5028</v>
      </c>
      <c r="FK202" t="s">
        <v>5027</v>
      </c>
      <c r="FL202">
        <v>1</v>
      </c>
      <c r="FM202" t="s">
        <v>5029</v>
      </c>
      <c r="FN202" t="s">
        <v>5030</v>
      </c>
      <c r="FO202">
        <v>1</v>
      </c>
      <c r="FP202" t="s">
        <v>5031</v>
      </c>
      <c r="FQ202" t="s">
        <v>5025</v>
      </c>
      <c r="FR202">
        <v>1</v>
      </c>
      <c r="FS202" t="s">
        <v>5032</v>
      </c>
      <c r="FT202" t="s">
        <v>5033</v>
      </c>
      <c r="FU202">
        <v>1</v>
      </c>
      <c r="FV202" t="s">
        <v>5034</v>
      </c>
      <c r="FW202" t="s">
        <v>5035</v>
      </c>
      <c r="FX202">
        <v>1</v>
      </c>
      <c r="FY202" t="s">
        <v>890</v>
      </c>
      <c r="FZ202" t="s">
        <v>5036</v>
      </c>
      <c r="GA202" t="s">
        <v>5028</v>
      </c>
      <c r="GB202">
        <v>1</v>
      </c>
      <c r="GD202">
        <v>0</v>
      </c>
      <c r="GF202">
        <v>0</v>
      </c>
      <c r="GG202">
        <v>1</v>
      </c>
      <c r="GH202" t="s">
        <v>892</v>
      </c>
      <c r="GI202" t="s">
        <v>893</v>
      </c>
      <c r="GJ202" t="s">
        <v>5027</v>
      </c>
      <c r="GM202">
        <v>1</v>
      </c>
      <c r="GN202">
        <v>0</v>
      </c>
      <c r="GO202">
        <v>0</v>
      </c>
      <c r="GP202">
        <v>1</v>
      </c>
      <c r="GQ202">
        <v>1</v>
      </c>
      <c r="GR202">
        <v>0</v>
      </c>
      <c r="GS202">
        <v>1</v>
      </c>
      <c r="GT202">
        <v>0</v>
      </c>
      <c r="GU202">
        <v>1</v>
      </c>
      <c r="GV202">
        <v>0</v>
      </c>
      <c r="GW202">
        <v>1</v>
      </c>
      <c r="GX202">
        <v>0</v>
      </c>
      <c r="GY202">
        <v>1</v>
      </c>
      <c r="GZ202">
        <v>0</v>
      </c>
      <c r="HA202" t="s">
        <v>537</v>
      </c>
      <c r="HB202" t="s">
        <v>894</v>
      </c>
      <c r="HC202" t="s">
        <v>895</v>
      </c>
      <c r="HD202" t="s">
        <v>845</v>
      </c>
      <c r="HE202" t="s">
        <v>836</v>
      </c>
      <c r="HF202" t="s">
        <v>873</v>
      </c>
      <c r="HG202" t="s">
        <v>894</v>
      </c>
      <c r="HH202" t="s">
        <v>895</v>
      </c>
      <c r="HI202" t="s">
        <v>845</v>
      </c>
      <c r="HJ202" t="s">
        <v>836</v>
      </c>
      <c r="HK202" t="s">
        <v>873</v>
      </c>
      <c r="HL202" t="s">
        <v>4001</v>
      </c>
      <c r="HM202" t="s">
        <v>854</v>
      </c>
      <c r="HN202">
        <v>36805</v>
      </c>
      <c r="HP202" t="s">
        <v>159</v>
      </c>
      <c r="HQ202" t="s">
        <v>896</v>
      </c>
      <c r="HR202" t="s">
        <v>896</v>
      </c>
      <c r="HS202" t="s">
        <v>896</v>
      </c>
    </row>
    <row r="203" spans="1:227" x14ac:dyDescent="0.2">
      <c r="A203">
        <v>8702</v>
      </c>
      <c r="B203">
        <v>7617502541</v>
      </c>
      <c r="C203" t="s">
        <v>936</v>
      </c>
      <c r="D203" t="s">
        <v>937</v>
      </c>
      <c r="E203" t="s">
        <v>897</v>
      </c>
      <c r="F203">
        <v>0</v>
      </c>
      <c r="G203" t="s">
        <v>5037</v>
      </c>
      <c r="H203" t="s">
        <v>5037</v>
      </c>
      <c r="I203">
        <v>0</v>
      </c>
      <c r="J203" t="s">
        <v>833</v>
      </c>
      <c r="K203" t="s">
        <v>834</v>
      </c>
      <c r="L203">
        <v>156057619</v>
      </c>
      <c r="M203" t="s">
        <v>5038</v>
      </c>
      <c r="N203" t="s">
        <v>900</v>
      </c>
      <c r="O203" t="s">
        <v>837</v>
      </c>
      <c r="P203" t="s">
        <v>940</v>
      </c>
      <c r="Q203" t="s">
        <v>2404</v>
      </c>
      <c r="R203" t="s">
        <v>5039</v>
      </c>
      <c r="S203" t="s">
        <v>5040</v>
      </c>
      <c r="T203">
        <v>30300098918</v>
      </c>
      <c r="V203" t="s">
        <v>206</v>
      </c>
      <c r="W203" s="41">
        <v>46197</v>
      </c>
      <c r="X203" t="s">
        <v>5041</v>
      </c>
      <c r="Y203" t="s">
        <v>5042</v>
      </c>
      <c r="AA203">
        <v>0</v>
      </c>
      <c r="AB203" t="s">
        <v>845</v>
      </c>
      <c r="AC203" t="s">
        <v>846</v>
      </c>
      <c r="AD203" t="s">
        <v>907</v>
      </c>
      <c r="AE203" t="s">
        <v>908</v>
      </c>
      <c r="AF203">
        <v>1</v>
      </c>
      <c r="AG203">
        <v>452210</v>
      </c>
      <c r="AH203" t="s">
        <v>849</v>
      </c>
      <c r="AI203" t="s">
        <v>850</v>
      </c>
      <c r="AJ203" t="s">
        <v>851</v>
      </c>
      <c r="AK203" t="s">
        <v>348</v>
      </c>
      <c r="AL203" t="s">
        <v>5043</v>
      </c>
      <c r="AM203" t="s">
        <v>4162</v>
      </c>
      <c r="AN203" t="s">
        <v>854</v>
      </c>
      <c r="AO203">
        <v>36805</v>
      </c>
      <c r="AP203">
        <v>645</v>
      </c>
      <c r="AQ203" t="s">
        <v>855</v>
      </c>
      <c r="AR203">
        <v>66521488</v>
      </c>
      <c r="AS203" t="s">
        <v>856</v>
      </c>
      <c r="AU203" t="s">
        <v>5044</v>
      </c>
      <c r="AV203" t="s">
        <v>5045</v>
      </c>
      <c r="AX203" t="s">
        <v>913</v>
      </c>
      <c r="AY203" t="s">
        <v>861</v>
      </c>
      <c r="AZ203" t="s">
        <v>348</v>
      </c>
      <c r="BA203" t="s">
        <v>349</v>
      </c>
      <c r="BB203">
        <v>0</v>
      </c>
      <c r="BC203">
        <v>0</v>
      </c>
      <c r="BD203">
        <v>0</v>
      </c>
      <c r="BE203" t="s">
        <v>5038</v>
      </c>
      <c r="BF203">
        <v>0</v>
      </c>
      <c r="BG203">
        <v>0</v>
      </c>
      <c r="BH203" t="s">
        <v>862</v>
      </c>
      <c r="BI203">
        <v>0</v>
      </c>
      <c r="BJ203" t="s">
        <v>862</v>
      </c>
      <c r="BK203">
        <v>1</v>
      </c>
      <c r="BL203">
        <v>1</v>
      </c>
      <c r="BM203">
        <v>0</v>
      </c>
      <c r="BN203" t="s">
        <v>596</v>
      </c>
      <c r="BO203">
        <v>156057619</v>
      </c>
      <c r="BP203" t="s">
        <v>5037</v>
      </c>
      <c r="BR203">
        <v>42791778</v>
      </c>
      <c r="BT203">
        <v>2</v>
      </c>
      <c r="BU203" t="s">
        <v>1314</v>
      </c>
      <c r="BY203">
        <v>16</v>
      </c>
      <c r="CA203">
        <v>2</v>
      </c>
      <c r="CE203">
        <v>1</v>
      </c>
      <c r="CI203">
        <v>11</v>
      </c>
      <c r="CJ203" t="s">
        <v>94</v>
      </c>
      <c r="CM203">
        <v>4010</v>
      </c>
      <c r="CO203">
        <v>7360</v>
      </c>
      <c r="CP203">
        <v>0.31669999999999998</v>
      </c>
      <c r="CQ203">
        <v>0.31669999999999998</v>
      </c>
      <c r="CR203">
        <v>1.2166999999999999</v>
      </c>
      <c r="CS203">
        <v>4</v>
      </c>
      <c r="CT203" t="s">
        <v>5045</v>
      </c>
      <c r="CU203" t="s">
        <v>5044</v>
      </c>
      <c r="CV203" t="s">
        <v>833</v>
      </c>
      <c r="CW203" t="s">
        <v>834</v>
      </c>
      <c r="CX203" t="s">
        <v>5038</v>
      </c>
      <c r="CY203">
        <v>0</v>
      </c>
      <c r="CZ203">
        <v>0</v>
      </c>
      <c r="DA203" t="s">
        <v>833</v>
      </c>
      <c r="DB203" t="s">
        <v>865</v>
      </c>
      <c r="DC203">
        <v>48336</v>
      </c>
      <c r="DD203">
        <v>2.4500000000000002</v>
      </c>
      <c r="DE203" t="s">
        <v>866</v>
      </c>
      <c r="DG203" t="s">
        <v>867</v>
      </c>
      <c r="DH203" t="s">
        <v>851</v>
      </c>
      <c r="DK203" t="s">
        <v>918</v>
      </c>
      <c r="DL203" t="s">
        <v>869</v>
      </c>
      <c r="DM203">
        <v>0</v>
      </c>
      <c r="DN203">
        <v>0</v>
      </c>
      <c r="DO203">
        <v>3</v>
      </c>
      <c r="DP203" t="s">
        <v>919</v>
      </c>
      <c r="DQ203">
        <v>16</v>
      </c>
      <c r="DR203">
        <v>147</v>
      </c>
      <c r="DS203">
        <v>147</v>
      </c>
      <c r="DT203">
        <v>2.1333000000000002</v>
      </c>
      <c r="DU203">
        <v>4</v>
      </c>
      <c r="DV203">
        <v>1</v>
      </c>
      <c r="DW203">
        <v>2</v>
      </c>
      <c r="DX203" t="s">
        <v>596</v>
      </c>
      <c r="DY203" t="s">
        <v>5038</v>
      </c>
      <c r="DZ203">
        <v>1</v>
      </c>
      <c r="EA203">
        <v>1</v>
      </c>
      <c r="EB203">
        <v>1</v>
      </c>
      <c r="EC203">
        <v>1</v>
      </c>
      <c r="ED203">
        <v>1</v>
      </c>
      <c r="EE203">
        <v>1</v>
      </c>
      <c r="EF203" t="s">
        <v>920</v>
      </c>
      <c r="EG203" t="s">
        <v>595</v>
      </c>
      <c r="EH203" t="s">
        <v>921</v>
      </c>
      <c r="EI203" t="s">
        <v>921</v>
      </c>
      <c r="EJ203" t="s">
        <v>178</v>
      </c>
      <c r="EK203">
        <v>9090</v>
      </c>
      <c r="EL203">
        <v>0</v>
      </c>
      <c r="EM203" t="s">
        <v>952</v>
      </c>
      <c r="EN203">
        <v>1.2166999999999999</v>
      </c>
      <c r="EO203">
        <v>2.4500000000000002</v>
      </c>
      <c r="EP203">
        <v>99991120</v>
      </c>
      <c r="EQ203" t="s">
        <v>874</v>
      </c>
      <c r="ER203" t="s">
        <v>875</v>
      </c>
      <c r="ES203" t="s">
        <v>876</v>
      </c>
      <c r="ET203" t="s">
        <v>877</v>
      </c>
      <c r="EU203" t="s">
        <v>877</v>
      </c>
      <c r="EV203" t="s">
        <v>920</v>
      </c>
      <c r="EX203" t="s">
        <v>900</v>
      </c>
      <c r="EY203" t="s">
        <v>923</v>
      </c>
      <c r="EZ203" t="s">
        <v>955</v>
      </c>
      <c r="FA203" t="s">
        <v>956</v>
      </c>
      <c r="FB203">
        <v>1</v>
      </c>
      <c r="FC203">
        <v>1</v>
      </c>
      <c r="FD203" s="41">
        <v>46200</v>
      </c>
      <c r="FE203" t="s">
        <v>1315</v>
      </c>
      <c r="FF203">
        <v>6</v>
      </c>
      <c r="FG203" t="s">
        <v>5046</v>
      </c>
      <c r="FH203" t="s">
        <v>5047</v>
      </c>
      <c r="FI203">
        <v>1</v>
      </c>
      <c r="FJ203" t="s">
        <v>5048</v>
      </c>
      <c r="FK203" t="s">
        <v>5049</v>
      </c>
      <c r="FL203">
        <v>1</v>
      </c>
      <c r="FM203" t="s">
        <v>5050</v>
      </c>
      <c r="FN203" t="s">
        <v>5051</v>
      </c>
      <c r="FO203">
        <v>1</v>
      </c>
      <c r="FP203" t="s">
        <v>5052</v>
      </c>
      <c r="FQ203" t="s">
        <v>5053</v>
      </c>
      <c r="FR203">
        <v>1</v>
      </c>
      <c r="FS203" t="s">
        <v>1417</v>
      </c>
      <c r="FT203" t="s">
        <v>5054</v>
      </c>
      <c r="FU203">
        <v>1</v>
      </c>
      <c r="FV203" t="s">
        <v>4955</v>
      </c>
      <c r="FW203" t="s">
        <v>5055</v>
      </c>
      <c r="FX203">
        <v>1</v>
      </c>
      <c r="FY203" t="s">
        <v>890</v>
      </c>
      <c r="FZ203" t="s">
        <v>5056</v>
      </c>
      <c r="GA203" t="s">
        <v>5048</v>
      </c>
      <c r="GB203">
        <v>1</v>
      </c>
      <c r="GD203">
        <v>0</v>
      </c>
      <c r="GF203">
        <v>0</v>
      </c>
      <c r="GG203">
        <v>1</v>
      </c>
      <c r="GH203" t="s">
        <v>892</v>
      </c>
      <c r="GI203" t="s">
        <v>893</v>
      </c>
      <c r="GJ203" t="s">
        <v>5049</v>
      </c>
      <c r="GM203">
        <v>1</v>
      </c>
      <c r="GN203">
        <v>1</v>
      </c>
      <c r="GO203">
        <v>0</v>
      </c>
      <c r="GP203">
        <v>1</v>
      </c>
      <c r="GQ203">
        <v>1</v>
      </c>
      <c r="GR203">
        <v>0</v>
      </c>
      <c r="GS203">
        <v>1</v>
      </c>
      <c r="GT203">
        <v>0</v>
      </c>
      <c r="GU203">
        <v>1</v>
      </c>
      <c r="GV203">
        <v>0</v>
      </c>
      <c r="GW203">
        <v>1</v>
      </c>
      <c r="GX203">
        <v>0</v>
      </c>
      <c r="GY203">
        <v>1</v>
      </c>
      <c r="GZ203">
        <v>0</v>
      </c>
      <c r="HA203" t="s">
        <v>348</v>
      </c>
      <c r="HB203" t="s">
        <v>894</v>
      </c>
      <c r="HC203" t="s">
        <v>935</v>
      </c>
      <c r="HD203" t="s">
        <v>845</v>
      </c>
      <c r="HE203" t="s">
        <v>900</v>
      </c>
      <c r="HF203" t="s">
        <v>923</v>
      </c>
      <c r="HG203" t="s">
        <v>894</v>
      </c>
      <c r="HH203" t="s">
        <v>935</v>
      </c>
      <c r="HI203" t="s">
        <v>845</v>
      </c>
      <c r="HJ203" t="s">
        <v>900</v>
      </c>
      <c r="HK203" t="s">
        <v>952</v>
      </c>
      <c r="HL203" t="s">
        <v>206</v>
      </c>
      <c r="HM203" t="s">
        <v>854</v>
      </c>
      <c r="HN203">
        <v>36805</v>
      </c>
      <c r="HP203" t="s">
        <v>178</v>
      </c>
      <c r="HQ203" t="s">
        <v>896</v>
      </c>
      <c r="HR203" t="s">
        <v>896</v>
      </c>
      <c r="HS203" t="s">
        <v>896</v>
      </c>
    </row>
    <row r="204" spans="1:227" x14ac:dyDescent="0.2">
      <c r="A204">
        <v>8702</v>
      </c>
      <c r="B204">
        <v>7523803552</v>
      </c>
      <c r="C204" t="s">
        <v>1171</v>
      </c>
      <c r="D204" t="s">
        <v>1172</v>
      </c>
      <c r="E204" t="s">
        <v>897</v>
      </c>
      <c r="F204">
        <v>0</v>
      </c>
      <c r="G204" t="s">
        <v>5057</v>
      </c>
      <c r="H204" t="s">
        <v>5057</v>
      </c>
      <c r="I204">
        <v>0</v>
      </c>
      <c r="J204" t="s">
        <v>833</v>
      </c>
      <c r="K204" t="s">
        <v>834</v>
      </c>
      <c r="L204">
        <v>153406511</v>
      </c>
      <c r="M204" t="s">
        <v>5058</v>
      </c>
      <c r="N204" t="s">
        <v>900</v>
      </c>
      <c r="O204" t="s">
        <v>837</v>
      </c>
      <c r="P204" t="s">
        <v>1175</v>
      </c>
      <c r="Q204" t="s">
        <v>1176</v>
      </c>
      <c r="R204" t="s">
        <v>5059</v>
      </c>
      <c r="S204" t="s">
        <v>5060</v>
      </c>
      <c r="T204">
        <v>41477122910</v>
      </c>
      <c r="V204" t="s">
        <v>133</v>
      </c>
      <c r="W204" s="41">
        <v>45895</v>
      </c>
      <c r="X204" t="s">
        <v>5061</v>
      </c>
      <c r="Y204" t="s">
        <v>5062</v>
      </c>
      <c r="AA204">
        <v>0</v>
      </c>
      <c r="AB204" t="s">
        <v>845</v>
      </c>
      <c r="AC204" t="s">
        <v>846</v>
      </c>
      <c r="AD204" t="s">
        <v>847</v>
      </c>
      <c r="AE204" t="s">
        <v>848</v>
      </c>
      <c r="AF204">
        <v>1</v>
      </c>
      <c r="AG204">
        <v>452210</v>
      </c>
      <c r="AH204" t="s">
        <v>849</v>
      </c>
      <c r="AI204" t="s">
        <v>850</v>
      </c>
      <c r="AJ204" t="s">
        <v>851</v>
      </c>
      <c r="AK204" t="s">
        <v>259</v>
      </c>
      <c r="AL204" t="s">
        <v>1547</v>
      </c>
      <c r="AM204" t="s">
        <v>2208</v>
      </c>
      <c r="AN204" t="s">
        <v>854</v>
      </c>
      <c r="AO204">
        <v>36805</v>
      </c>
      <c r="AP204">
        <v>525</v>
      </c>
      <c r="AQ204" t="s">
        <v>855</v>
      </c>
      <c r="AR204">
        <v>66086833</v>
      </c>
      <c r="AS204" t="s">
        <v>856</v>
      </c>
      <c r="AU204" t="s">
        <v>5063</v>
      </c>
      <c r="AV204" t="s">
        <v>5064</v>
      </c>
      <c r="AX204" t="s">
        <v>913</v>
      </c>
      <c r="AY204" t="s">
        <v>861</v>
      </c>
      <c r="AZ204" t="s">
        <v>259</v>
      </c>
      <c r="BA204" t="s">
        <v>260</v>
      </c>
      <c r="BB204">
        <v>0</v>
      </c>
      <c r="BC204">
        <v>0</v>
      </c>
      <c r="BD204">
        <v>0</v>
      </c>
      <c r="BE204" t="s">
        <v>5058</v>
      </c>
      <c r="BF204">
        <v>0</v>
      </c>
      <c r="BG204">
        <v>0</v>
      </c>
      <c r="BH204" t="s">
        <v>862</v>
      </c>
      <c r="BI204">
        <v>0</v>
      </c>
      <c r="BJ204" t="s">
        <v>862</v>
      </c>
      <c r="BK204">
        <v>1</v>
      </c>
      <c r="BL204">
        <v>0</v>
      </c>
      <c r="BM204">
        <v>0</v>
      </c>
      <c r="BN204" t="s">
        <v>596</v>
      </c>
      <c r="BO204">
        <v>153406511</v>
      </c>
      <c r="BP204" t="s">
        <v>5057</v>
      </c>
      <c r="BQ204">
        <v>39.906440000000003</v>
      </c>
      <c r="BR204">
        <v>42791436</v>
      </c>
      <c r="BS204">
        <v>-86.095084600000007</v>
      </c>
      <c r="BT204">
        <v>0</v>
      </c>
      <c r="CM204">
        <v>4010</v>
      </c>
      <c r="CO204">
        <v>7360</v>
      </c>
      <c r="CP204">
        <v>0.1167</v>
      </c>
      <c r="CQ204">
        <v>0.1167</v>
      </c>
      <c r="CR204">
        <v>0.95</v>
      </c>
      <c r="CS204">
        <v>112</v>
      </c>
      <c r="CT204" t="s">
        <v>5065</v>
      </c>
      <c r="CU204" t="s">
        <v>5066</v>
      </c>
      <c r="CV204" t="s">
        <v>833</v>
      </c>
      <c r="CW204" t="s">
        <v>834</v>
      </c>
      <c r="CX204" t="s">
        <v>5058</v>
      </c>
      <c r="CY204">
        <v>0</v>
      </c>
      <c r="CZ204">
        <v>0</v>
      </c>
      <c r="DA204" t="s">
        <v>833</v>
      </c>
      <c r="DB204" t="s">
        <v>865</v>
      </c>
      <c r="DC204">
        <v>46250</v>
      </c>
      <c r="DD204">
        <v>7.35</v>
      </c>
      <c r="DE204" t="s">
        <v>866</v>
      </c>
      <c r="DG204" t="s">
        <v>867</v>
      </c>
      <c r="DH204" t="s">
        <v>851</v>
      </c>
      <c r="DL204" t="s">
        <v>869</v>
      </c>
      <c r="DM204">
        <v>0</v>
      </c>
      <c r="DN204">
        <v>0</v>
      </c>
      <c r="DO204">
        <v>1</v>
      </c>
      <c r="DP204" t="s">
        <v>985</v>
      </c>
      <c r="DQ204">
        <v>12</v>
      </c>
      <c r="DR204">
        <v>441</v>
      </c>
      <c r="DS204">
        <v>1143</v>
      </c>
      <c r="DT204">
        <v>7.2332999999999998</v>
      </c>
      <c r="DU204">
        <v>4</v>
      </c>
      <c r="DW204">
        <v>1</v>
      </c>
      <c r="DX204" t="s">
        <v>596</v>
      </c>
      <c r="DY204" t="s">
        <v>5058</v>
      </c>
      <c r="DZ204">
        <v>0</v>
      </c>
      <c r="EA204">
        <v>0</v>
      </c>
      <c r="EB204">
        <v>0</v>
      </c>
      <c r="EC204">
        <v>0</v>
      </c>
      <c r="ED204">
        <v>0</v>
      </c>
      <c r="EE204">
        <v>0</v>
      </c>
      <c r="EF204" t="s">
        <v>920</v>
      </c>
      <c r="EG204" t="s">
        <v>595</v>
      </c>
      <c r="EH204" t="s">
        <v>1036</v>
      </c>
      <c r="EI204" t="s">
        <v>1036</v>
      </c>
      <c r="EJ204" t="s">
        <v>134</v>
      </c>
      <c r="EK204">
        <v>9090</v>
      </c>
      <c r="EL204">
        <v>0</v>
      </c>
      <c r="EM204" t="s">
        <v>1011</v>
      </c>
      <c r="EN204">
        <v>0.95</v>
      </c>
      <c r="EO204">
        <v>19.05</v>
      </c>
      <c r="EP204">
        <v>99991120</v>
      </c>
      <c r="EQ204" t="s">
        <v>874</v>
      </c>
      <c r="ER204" t="s">
        <v>875</v>
      </c>
      <c r="ES204" t="s">
        <v>876</v>
      </c>
      <c r="ET204" t="s">
        <v>877</v>
      </c>
      <c r="EU204" t="s">
        <v>877</v>
      </c>
      <c r="EV204" t="s">
        <v>920</v>
      </c>
      <c r="EX204" t="s">
        <v>953</v>
      </c>
      <c r="EY204" t="s">
        <v>1555</v>
      </c>
      <c r="EZ204" t="s">
        <v>1013</v>
      </c>
      <c r="FA204" t="s">
        <v>925</v>
      </c>
      <c r="FB204">
        <v>1</v>
      </c>
      <c r="FC204">
        <v>1</v>
      </c>
      <c r="FD204" s="41">
        <v>45899</v>
      </c>
      <c r="FE204" t="s">
        <v>987</v>
      </c>
      <c r="FF204">
        <v>5</v>
      </c>
      <c r="FI204">
        <v>0</v>
      </c>
      <c r="FJ204" t="s">
        <v>5067</v>
      </c>
      <c r="FK204" t="s">
        <v>5068</v>
      </c>
      <c r="FL204">
        <v>1</v>
      </c>
      <c r="FM204" t="s">
        <v>5069</v>
      </c>
      <c r="FN204" t="s">
        <v>5070</v>
      </c>
      <c r="FO204">
        <v>1</v>
      </c>
      <c r="FP204" t="s">
        <v>5071</v>
      </c>
      <c r="FQ204" t="s">
        <v>5072</v>
      </c>
      <c r="FR204">
        <v>1</v>
      </c>
      <c r="FS204" t="s">
        <v>1934</v>
      </c>
      <c r="FT204" t="s">
        <v>5073</v>
      </c>
      <c r="FU204">
        <v>1</v>
      </c>
      <c r="FV204" t="s">
        <v>5074</v>
      </c>
      <c r="FW204" t="s">
        <v>5075</v>
      </c>
      <c r="FX204">
        <v>1</v>
      </c>
      <c r="FY204" t="s">
        <v>890</v>
      </c>
      <c r="FZ204" t="s">
        <v>5076</v>
      </c>
      <c r="GA204" t="s">
        <v>5074</v>
      </c>
      <c r="GB204">
        <v>1</v>
      </c>
      <c r="GD204">
        <v>0</v>
      </c>
      <c r="GF204">
        <v>0</v>
      </c>
      <c r="GG204">
        <v>1</v>
      </c>
      <c r="GH204" t="s">
        <v>892</v>
      </c>
      <c r="GI204" t="s">
        <v>893</v>
      </c>
      <c r="GJ204" t="s">
        <v>5075</v>
      </c>
      <c r="GM204">
        <v>1</v>
      </c>
      <c r="GN204">
        <v>1</v>
      </c>
      <c r="GO204">
        <v>0</v>
      </c>
      <c r="GP204">
        <v>1</v>
      </c>
      <c r="GQ204">
        <v>1</v>
      </c>
      <c r="GR204">
        <v>0</v>
      </c>
      <c r="GS204">
        <v>1</v>
      </c>
      <c r="GT204">
        <v>0</v>
      </c>
      <c r="GU204">
        <v>1</v>
      </c>
      <c r="GV204">
        <v>0</v>
      </c>
      <c r="GW204">
        <v>1</v>
      </c>
      <c r="GX204">
        <v>0</v>
      </c>
      <c r="GY204">
        <v>1</v>
      </c>
      <c r="GZ204">
        <v>0</v>
      </c>
      <c r="HA204" t="s">
        <v>259</v>
      </c>
      <c r="HB204" t="s">
        <v>894</v>
      </c>
      <c r="HC204" t="s">
        <v>935</v>
      </c>
      <c r="HD204" t="s">
        <v>845</v>
      </c>
      <c r="HE204" t="s">
        <v>900</v>
      </c>
      <c r="HF204" t="s">
        <v>1012</v>
      </c>
      <c r="HG204" t="s">
        <v>894</v>
      </c>
      <c r="HH204" t="s">
        <v>935</v>
      </c>
      <c r="HI204" t="s">
        <v>845</v>
      </c>
      <c r="HJ204" t="s">
        <v>900</v>
      </c>
      <c r="HK204" t="s">
        <v>1011</v>
      </c>
      <c r="HL204" t="s">
        <v>133</v>
      </c>
      <c r="HM204" t="s">
        <v>854</v>
      </c>
      <c r="HN204">
        <v>36805</v>
      </c>
      <c r="HP204" t="s">
        <v>134</v>
      </c>
      <c r="HQ204" t="s">
        <v>896</v>
      </c>
      <c r="HR204" t="s">
        <v>896</v>
      </c>
      <c r="HS204" t="s">
        <v>896</v>
      </c>
    </row>
    <row r="205" spans="1:227" x14ac:dyDescent="0.2">
      <c r="A205">
        <v>8702</v>
      </c>
      <c r="B205">
        <v>7605504318</v>
      </c>
      <c r="C205" t="s">
        <v>829</v>
      </c>
      <c r="D205" t="s">
        <v>830</v>
      </c>
      <c r="E205" t="s">
        <v>831</v>
      </c>
      <c r="F205">
        <v>0</v>
      </c>
      <c r="G205" t="s">
        <v>5077</v>
      </c>
      <c r="H205" t="s">
        <v>5077</v>
      </c>
      <c r="I205">
        <v>0</v>
      </c>
      <c r="J205" t="s">
        <v>833</v>
      </c>
      <c r="K205" t="s">
        <v>834</v>
      </c>
      <c r="L205">
        <v>153294148</v>
      </c>
      <c r="M205" t="s">
        <v>2622</v>
      </c>
      <c r="N205" t="s">
        <v>836</v>
      </c>
      <c r="O205" t="s">
        <v>837</v>
      </c>
      <c r="P205" t="s">
        <v>838</v>
      </c>
      <c r="Q205" t="s">
        <v>1593</v>
      </c>
      <c r="R205" t="s">
        <v>5078</v>
      </c>
      <c r="S205" t="s">
        <v>5079</v>
      </c>
      <c r="T205">
        <v>30300131301</v>
      </c>
      <c r="V205" t="s">
        <v>1943</v>
      </c>
      <c r="W205" s="41">
        <v>46077</v>
      </c>
      <c r="X205" t="s">
        <v>5080</v>
      </c>
      <c r="Y205" t="s">
        <v>5081</v>
      </c>
      <c r="AA205">
        <v>0</v>
      </c>
      <c r="AB205" t="s">
        <v>845</v>
      </c>
      <c r="AC205" t="s">
        <v>846</v>
      </c>
      <c r="AD205" t="s">
        <v>1113</v>
      </c>
      <c r="AE205" t="s">
        <v>1114</v>
      </c>
      <c r="AF205">
        <v>1</v>
      </c>
      <c r="AG205">
        <v>452210</v>
      </c>
      <c r="AH205" t="s">
        <v>849</v>
      </c>
      <c r="AI205" t="s">
        <v>850</v>
      </c>
      <c r="AJ205" t="s">
        <v>851</v>
      </c>
      <c r="AK205" t="s">
        <v>305</v>
      </c>
      <c r="AL205" t="s">
        <v>1946</v>
      </c>
      <c r="AM205" t="s">
        <v>1947</v>
      </c>
      <c r="AN205" t="s">
        <v>854</v>
      </c>
      <c r="AO205">
        <v>36805</v>
      </c>
      <c r="AP205">
        <v>562</v>
      </c>
      <c r="AQ205" t="s">
        <v>855</v>
      </c>
      <c r="AR205">
        <v>66348640</v>
      </c>
      <c r="AS205" t="s">
        <v>856</v>
      </c>
      <c r="AU205" t="s">
        <v>5082</v>
      </c>
      <c r="AV205" t="s">
        <v>5083</v>
      </c>
      <c r="AX205" t="s">
        <v>913</v>
      </c>
      <c r="AY205" t="s">
        <v>861</v>
      </c>
      <c r="AZ205" t="s">
        <v>305</v>
      </c>
      <c r="BA205" t="s">
        <v>306</v>
      </c>
      <c r="BB205">
        <v>0</v>
      </c>
      <c r="BC205">
        <v>0</v>
      </c>
      <c r="BD205">
        <v>1</v>
      </c>
      <c r="BE205" t="s">
        <v>2622</v>
      </c>
      <c r="BF205">
        <v>0</v>
      </c>
      <c r="BG205">
        <v>0</v>
      </c>
      <c r="BH205" t="s">
        <v>862</v>
      </c>
      <c r="BI205">
        <v>0</v>
      </c>
      <c r="BJ205" t="s">
        <v>862</v>
      </c>
      <c r="BK205">
        <v>1</v>
      </c>
      <c r="BL205">
        <v>1</v>
      </c>
      <c r="BM205">
        <v>0</v>
      </c>
      <c r="BN205" t="s">
        <v>596</v>
      </c>
      <c r="BO205">
        <v>153294148</v>
      </c>
      <c r="BP205" t="s">
        <v>5077</v>
      </c>
      <c r="BR205">
        <v>42791464</v>
      </c>
      <c r="BT205">
        <v>2</v>
      </c>
      <c r="BU205" t="s">
        <v>1780</v>
      </c>
      <c r="CE205">
        <v>1</v>
      </c>
      <c r="CI205">
        <v>11</v>
      </c>
      <c r="CJ205" t="s">
        <v>94</v>
      </c>
      <c r="CM205">
        <v>4010</v>
      </c>
      <c r="CO205">
        <v>7360</v>
      </c>
      <c r="CP205">
        <v>0.56669999999999998</v>
      </c>
      <c r="CQ205">
        <v>0.56669999999999998</v>
      </c>
      <c r="CR205">
        <v>0.25</v>
      </c>
      <c r="CS205">
        <v>1</v>
      </c>
      <c r="CT205" t="s">
        <v>5083</v>
      </c>
      <c r="CU205" t="s">
        <v>5082</v>
      </c>
      <c r="CV205" t="s">
        <v>833</v>
      </c>
      <c r="CW205" t="s">
        <v>834</v>
      </c>
      <c r="CX205" t="s">
        <v>2622</v>
      </c>
      <c r="CY205">
        <v>1</v>
      </c>
      <c r="CZ205">
        <v>1</v>
      </c>
      <c r="DA205" t="s">
        <v>833</v>
      </c>
      <c r="DB205" t="s">
        <v>865</v>
      </c>
      <c r="DC205">
        <v>56387</v>
      </c>
      <c r="DD205">
        <v>2.8167</v>
      </c>
      <c r="DE205" t="s">
        <v>866</v>
      </c>
      <c r="DG205" t="s">
        <v>867</v>
      </c>
      <c r="DH205" t="s">
        <v>851</v>
      </c>
      <c r="DI205" t="s">
        <v>1266</v>
      </c>
      <c r="DK205" t="s">
        <v>918</v>
      </c>
      <c r="DL205" t="s">
        <v>869</v>
      </c>
      <c r="DM205">
        <v>0</v>
      </c>
      <c r="DN205">
        <v>0</v>
      </c>
      <c r="DO205">
        <v>11</v>
      </c>
      <c r="DP205" t="s">
        <v>1010</v>
      </c>
      <c r="DQ205">
        <v>0</v>
      </c>
      <c r="DR205">
        <v>169</v>
      </c>
      <c r="DS205">
        <v>169</v>
      </c>
      <c r="DT205">
        <v>2.25</v>
      </c>
      <c r="DU205">
        <v>0</v>
      </c>
      <c r="DV205">
        <v>1</v>
      </c>
      <c r="DW205">
        <v>2</v>
      </c>
      <c r="DX205" t="s">
        <v>596</v>
      </c>
      <c r="DY205" t="s">
        <v>2622</v>
      </c>
      <c r="DZ205">
        <v>1</v>
      </c>
      <c r="EA205">
        <v>1</v>
      </c>
      <c r="EB205">
        <v>1</v>
      </c>
      <c r="EC205">
        <v>1</v>
      </c>
      <c r="ED205">
        <v>1</v>
      </c>
      <c r="EE205">
        <v>1</v>
      </c>
      <c r="EF205" t="s">
        <v>920</v>
      </c>
      <c r="EG205" t="s">
        <v>595</v>
      </c>
      <c r="EH205" t="s">
        <v>921</v>
      </c>
      <c r="EI205" t="s">
        <v>921</v>
      </c>
      <c r="EJ205" t="s">
        <v>159</v>
      </c>
      <c r="EK205">
        <v>9090</v>
      </c>
      <c r="EL205">
        <v>0</v>
      </c>
      <c r="EM205" t="s">
        <v>873</v>
      </c>
      <c r="EN205">
        <v>0.25</v>
      </c>
      <c r="EO205">
        <v>2.8166666999999999</v>
      </c>
      <c r="EP205">
        <v>99991120</v>
      </c>
      <c r="EQ205" t="s">
        <v>874</v>
      </c>
      <c r="ER205" t="s">
        <v>875</v>
      </c>
      <c r="ES205" t="s">
        <v>876</v>
      </c>
      <c r="ET205" t="s">
        <v>877</v>
      </c>
      <c r="EU205" t="s">
        <v>877</v>
      </c>
      <c r="EV205" t="s">
        <v>920</v>
      </c>
      <c r="EX205" t="s">
        <v>836</v>
      </c>
      <c r="EY205" t="s">
        <v>1121</v>
      </c>
      <c r="EZ205" t="s">
        <v>1122</v>
      </c>
      <c r="FA205" t="s">
        <v>956</v>
      </c>
      <c r="FB205">
        <v>1</v>
      </c>
      <c r="FC205">
        <v>1</v>
      </c>
      <c r="FD205" s="41">
        <v>46081</v>
      </c>
      <c r="FE205" t="s">
        <v>1267</v>
      </c>
      <c r="FF205">
        <v>5</v>
      </c>
      <c r="FI205">
        <v>0</v>
      </c>
      <c r="FJ205" t="s">
        <v>5084</v>
      </c>
      <c r="FK205" t="s">
        <v>5085</v>
      </c>
      <c r="FL205">
        <v>1</v>
      </c>
      <c r="FM205" t="s">
        <v>5086</v>
      </c>
      <c r="FN205" t="s">
        <v>5087</v>
      </c>
      <c r="FO205">
        <v>1</v>
      </c>
      <c r="FP205" t="s">
        <v>5088</v>
      </c>
      <c r="FQ205" t="s">
        <v>5082</v>
      </c>
      <c r="FR205">
        <v>1</v>
      </c>
      <c r="FS205" t="s">
        <v>4643</v>
      </c>
      <c r="FT205" t="s">
        <v>5089</v>
      </c>
      <c r="FU205">
        <v>1</v>
      </c>
      <c r="FV205" t="s">
        <v>5090</v>
      </c>
      <c r="FW205" t="s">
        <v>5091</v>
      </c>
      <c r="FX205">
        <v>1</v>
      </c>
      <c r="FY205" t="s">
        <v>890</v>
      </c>
      <c r="FZ205" t="s">
        <v>5092</v>
      </c>
      <c r="GA205" t="s">
        <v>5084</v>
      </c>
      <c r="GB205">
        <v>1</v>
      </c>
      <c r="GD205">
        <v>0</v>
      </c>
      <c r="GF205">
        <v>0</v>
      </c>
      <c r="GG205">
        <v>1</v>
      </c>
      <c r="GH205" t="s">
        <v>892</v>
      </c>
      <c r="GI205" t="s">
        <v>893</v>
      </c>
      <c r="GJ205" t="s">
        <v>5085</v>
      </c>
      <c r="GM205">
        <v>1</v>
      </c>
      <c r="GN205">
        <v>1</v>
      </c>
      <c r="GO205">
        <v>0</v>
      </c>
      <c r="GP205">
        <v>1</v>
      </c>
      <c r="GQ205">
        <v>1</v>
      </c>
      <c r="GR205">
        <v>0</v>
      </c>
      <c r="GS205">
        <v>1</v>
      </c>
      <c r="GT205">
        <v>0</v>
      </c>
      <c r="GU205">
        <v>1</v>
      </c>
      <c r="GV205">
        <v>0</v>
      </c>
      <c r="GW205">
        <v>1</v>
      </c>
      <c r="GX205">
        <v>0</v>
      </c>
      <c r="GY205">
        <v>1</v>
      </c>
      <c r="GZ205">
        <v>0</v>
      </c>
      <c r="HA205" t="s">
        <v>305</v>
      </c>
      <c r="HB205" t="s">
        <v>894</v>
      </c>
      <c r="HC205" t="s">
        <v>895</v>
      </c>
      <c r="HD205" t="s">
        <v>845</v>
      </c>
      <c r="HE205" t="s">
        <v>836</v>
      </c>
      <c r="HF205" t="s">
        <v>873</v>
      </c>
      <c r="HG205" t="s">
        <v>894</v>
      </c>
      <c r="HH205" t="s">
        <v>895</v>
      </c>
      <c r="HI205" t="s">
        <v>845</v>
      </c>
      <c r="HJ205" t="s">
        <v>836</v>
      </c>
      <c r="HK205" t="s">
        <v>873</v>
      </c>
      <c r="HL205" t="s">
        <v>1943</v>
      </c>
      <c r="HM205" t="s">
        <v>854</v>
      </c>
      <c r="HN205">
        <v>36805</v>
      </c>
      <c r="HP205" t="s">
        <v>159</v>
      </c>
      <c r="HQ205" t="s">
        <v>896</v>
      </c>
      <c r="HR205" t="s">
        <v>896</v>
      </c>
      <c r="HS205" t="s">
        <v>896</v>
      </c>
    </row>
    <row r="206" spans="1:227" x14ac:dyDescent="0.2">
      <c r="A206">
        <v>8702</v>
      </c>
      <c r="B206">
        <v>7610204577</v>
      </c>
      <c r="C206" t="s">
        <v>829</v>
      </c>
      <c r="D206" t="s">
        <v>830</v>
      </c>
      <c r="E206" t="s">
        <v>831</v>
      </c>
      <c r="F206">
        <v>0</v>
      </c>
      <c r="G206" t="s">
        <v>5093</v>
      </c>
      <c r="H206" t="s">
        <v>5093</v>
      </c>
      <c r="I206">
        <v>0</v>
      </c>
      <c r="J206" t="s">
        <v>833</v>
      </c>
      <c r="K206" t="s">
        <v>834</v>
      </c>
      <c r="L206">
        <v>153517096</v>
      </c>
      <c r="M206" t="s">
        <v>5094</v>
      </c>
      <c r="N206" t="s">
        <v>836</v>
      </c>
      <c r="O206" t="s">
        <v>837</v>
      </c>
      <c r="P206" t="s">
        <v>838</v>
      </c>
      <c r="Q206" t="s">
        <v>1251</v>
      </c>
      <c r="R206" t="s">
        <v>5095</v>
      </c>
      <c r="S206" t="s">
        <v>5096</v>
      </c>
      <c r="T206">
        <v>41477047363</v>
      </c>
      <c r="V206" t="s">
        <v>180</v>
      </c>
      <c r="W206" s="41">
        <v>46124</v>
      </c>
      <c r="X206" t="s">
        <v>5097</v>
      </c>
      <c r="Y206" t="s">
        <v>5098</v>
      </c>
      <c r="AA206">
        <v>0</v>
      </c>
      <c r="AB206" t="s">
        <v>845</v>
      </c>
      <c r="AC206" t="s">
        <v>846</v>
      </c>
      <c r="AD206" t="s">
        <v>1113</v>
      </c>
      <c r="AE206" t="s">
        <v>1114</v>
      </c>
      <c r="AF206">
        <v>1</v>
      </c>
      <c r="AG206">
        <v>452210</v>
      </c>
      <c r="AH206" t="s">
        <v>849</v>
      </c>
      <c r="AI206" t="s">
        <v>850</v>
      </c>
      <c r="AJ206" t="s">
        <v>851</v>
      </c>
      <c r="AK206" t="s">
        <v>261</v>
      </c>
      <c r="AL206" t="s">
        <v>1363</v>
      </c>
      <c r="AM206" t="s">
        <v>1033</v>
      </c>
      <c r="AN206" t="s">
        <v>854</v>
      </c>
      <c r="AO206">
        <v>36805</v>
      </c>
      <c r="AP206">
        <v>631</v>
      </c>
      <c r="AQ206" t="s">
        <v>855</v>
      </c>
      <c r="AR206">
        <v>66416458</v>
      </c>
      <c r="AS206" t="s">
        <v>856</v>
      </c>
      <c r="AU206" t="s">
        <v>5099</v>
      </c>
      <c r="AV206" t="s">
        <v>5100</v>
      </c>
      <c r="AW206" t="s">
        <v>1261</v>
      </c>
      <c r="AX206" t="s">
        <v>1262</v>
      </c>
      <c r="AY206" t="s">
        <v>861</v>
      </c>
      <c r="AZ206" t="s">
        <v>261</v>
      </c>
      <c r="BA206" t="s">
        <v>262</v>
      </c>
      <c r="BB206">
        <v>0</v>
      </c>
      <c r="BC206">
        <v>0</v>
      </c>
      <c r="BD206">
        <v>0</v>
      </c>
      <c r="BE206" t="s">
        <v>5094</v>
      </c>
      <c r="BF206">
        <v>0</v>
      </c>
      <c r="BG206">
        <v>0</v>
      </c>
      <c r="BH206" t="s">
        <v>862</v>
      </c>
      <c r="BI206">
        <v>0</v>
      </c>
      <c r="BJ206" t="s">
        <v>862</v>
      </c>
      <c r="BK206">
        <v>1</v>
      </c>
      <c r="BL206">
        <v>0</v>
      </c>
      <c r="BM206">
        <v>0</v>
      </c>
      <c r="BN206" t="s">
        <v>596</v>
      </c>
      <c r="BO206">
        <v>153517096</v>
      </c>
      <c r="BP206" t="s">
        <v>5093</v>
      </c>
      <c r="BR206">
        <v>42791743</v>
      </c>
      <c r="BT206">
        <v>2</v>
      </c>
      <c r="BU206" t="s">
        <v>1119</v>
      </c>
      <c r="BY206">
        <v>16</v>
      </c>
      <c r="CA206">
        <v>4</v>
      </c>
      <c r="CE206">
        <v>1</v>
      </c>
      <c r="CI206">
        <v>11</v>
      </c>
      <c r="CJ206" t="s">
        <v>94</v>
      </c>
      <c r="CM206">
        <v>4010</v>
      </c>
      <c r="CO206">
        <v>7360</v>
      </c>
      <c r="CP206">
        <v>0.61670000000000003</v>
      </c>
      <c r="CQ206">
        <v>0.61670000000000003</v>
      </c>
      <c r="CR206">
        <v>0.26669999999999999</v>
      </c>
      <c r="CS206">
        <v>5</v>
      </c>
      <c r="CT206" t="s">
        <v>5100</v>
      </c>
      <c r="CU206" t="s">
        <v>5099</v>
      </c>
      <c r="CV206" t="s">
        <v>833</v>
      </c>
      <c r="CW206" t="s">
        <v>834</v>
      </c>
      <c r="CX206" t="s">
        <v>5094</v>
      </c>
      <c r="CY206">
        <v>0</v>
      </c>
      <c r="CZ206">
        <v>0</v>
      </c>
      <c r="DA206" t="s">
        <v>833</v>
      </c>
      <c r="DB206" t="s">
        <v>865</v>
      </c>
      <c r="DC206">
        <v>62208</v>
      </c>
      <c r="DD206">
        <v>3.8833000000000002</v>
      </c>
      <c r="DE206" t="s">
        <v>866</v>
      </c>
      <c r="DG206" t="s">
        <v>867</v>
      </c>
      <c r="DH206" t="s">
        <v>851</v>
      </c>
      <c r="DI206" t="s">
        <v>1154</v>
      </c>
      <c r="DK206" t="s">
        <v>918</v>
      </c>
      <c r="DL206" t="s">
        <v>869</v>
      </c>
      <c r="DM206">
        <v>0</v>
      </c>
      <c r="DN206">
        <v>0</v>
      </c>
      <c r="DO206">
        <v>3</v>
      </c>
      <c r="DP206" t="s">
        <v>919</v>
      </c>
      <c r="DQ206">
        <v>0</v>
      </c>
      <c r="DR206">
        <v>233</v>
      </c>
      <c r="DS206">
        <v>233</v>
      </c>
      <c r="DT206">
        <v>3.2667000000000002</v>
      </c>
      <c r="DU206">
        <v>0</v>
      </c>
      <c r="DV206">
        <v>1</v>
      </c>
      <c r="DW206">
        <v>2</v>
      </c>
      <c r="DX206" t="s">
        <v>594</v>
      </c>
      <c r="DY206" t="s">
        <v>5094</v>
      </c>
      <c r="DZ206">
        <v>1</v>
      </c>
      <c r="EA206">
        <v>1</v>
      </c>
      <c r="EB206">
        <v>1</v>
      </c>
      <c r="EC206">
        <v>1</v>
      </c>
      <c r="ED206">
        <v>1</v>
      </c>
      <c r="EE206">
        <v>1</v>
      </c>
      <c r="EF206" t="s">
        <v>920</v>
      </c>
      <c r="EG206" t="s">
        <v>595</v>
      </c>
      <c r="EH206" t="s">
        <v>872</v>
      </c>
      <c r="EI206" t="s">
        <v>872</v>
      </c>
      <c r="EJ206" t="s">
        <v>181</v>
      </c>
      <c r="EK206">
        <v>9090</v>
      </c>
      <c r="EL206">
        <v>0</v>
      </c>
      <c r="EM206" t="s">
        <v>1037</v>
      </c>
      <c r="EN206">
        <v>0.26669999999999999</v>
      </c>
      <c r="EO206">
        <v>3.8833332999999999</v>
      </c>
      <c r="EP206">
        <v>99991120</v>
      </c>
      <c r="EQ206" t="s">
        <v>874</v>
      </c>
      <c r="ER206" t="s">
        <v>875</v>
      </c>
      <c r="ES206" t="s">
        <v>876</v>
      </c>
      <c r="ET206" t="s">
        <v>877</v>
      </c>
      <c r="EU206" t="s">
        <v>877</v>
      </c>
      <c r="EV206" t="s">
        <v>920</v>
      </c>
      <c r="EX206" t="s">
        <v>900</v>
      </c>
      <c r="EY206" t="s">
        <v>923</v>
      </c>
      <c r="EZ206" t="s">
        <v>1038</v>
      </c>
      <c r="FA206" t="s">
        <v>925</v>
      </c>
      <c r="FB206">
        <v>1</v>
      </c>
      <c r="FC206">
        <v>1</v>
      </c>
      <c r="FD206" s="41">
        <v>46130</v>
      </c>
      <c r="FE206" t="s">
        <v>1123</v>
      </c>
      <c r="FF206">
        <v>5</v>
      </c>
      <c r="FI206">
        <v>0</v>
      </c>
      <c r="FJ206" t="s">
        <v>5101</v>
      </c>
      <c r="FK206" t="s">
        <v>5102</v>
      </c>
      <c r="FL206">
        <v>1</v>
      </c>
      <c r="FM206" t="s">
        <v>5103</v>
      </c>
      <c r="FN206" t="s">
        <v>5104</v>
      </c>
      <c r="FO206">
        <v>1</v>
      </c>
      <c r="FP206" t="s">
        <v>5105</v>
      </c>
      <c r="FQ206" t="s">
        <v>5099</v>
      </c>
      <c r="FR206">
        <v>1</v>
      </c>
      <c r="FS206" t="s">
        <v>1376</v>
      </c>
      <c r="FT206" t="s">
        <v>5106</v>
      </c>
      <c r="FU206">
        <v>1</v>
      </c>
      <c r="FV206" t="s">
        <v>5107</v>
      </c>
      <c r="FW206" t="s">
        <v>5102</v>
      </c>
      <c r="FX206">
        <v>1</v>
      </c>
      <c r="FY206" t="s">
        <v>890</v>
      </c>
      <c r="FZ206" t="s">
        <v>5108</v>
      </c>
      <c r="GA206" t="s">
        <v>5101</v>
      </c>
      <c r="GB206">
        <v>1</v>
      </c>
      <c r="GD206">
        <v>0</v>
      </c>
      <c r="GF206">
        <v>0</v>
      </c>
      <c r="GG206">
        <v>1</v>
      </c>
      <c r="GH206" t="s">
        <v>892</v>
      </c>
      <c r="GI206" t="s">
        <v>893</v>
      </c>
      <c r="GJ206" t="s">
        <v>5102</v>
      </c>
      <c r="GM206">
        <v>1</v>
      </c>
      <c r="GN206">
        <v>1</v>
      </c>
      <c r="GO206">
        <v>0</v>
      </c>
      <c r="GP206">
        <v>1</v>
      </c>
      <c r="GQ206">
        <v>1</v>
      </c>
      <c r="GR206">
        <v>0</v>
      </c>
      <c r="GS206">
        <v>1</v>
      </c>
      <c r="GT206">
        <v>0</v>
      </c>
      <c r="GU206">
        <v>1</v>
      </c>
      <c r="GV206">
        <v>0</v>
      </c>
      <c r="GW206">
        <v>1</v>
      </c>
      <c r="GX206">
        <v>0</v>
      </c>
      <c r="GY206">
        <v>1</v>
      </c>
      <c r="GZ206">
        <v>0</v>
      </c>
      <c r="HA206" t="s">
        <v>261</v>
      </c>
      <c r="HB206" t="s">
        <v>894</v>
      </c>
      <c r="HC206" t="s">
        <v>895</v>
      </c>
      <c r="HD206" t="s">
        <v>845</v>
      </c>
      <c r="HE206" t="s">
        <v>836</v>
      </c>
      <c r="HF206" t="s">
        <v>1051</v>
      </c>
      <c r="HG206" t="s">
        <v>894</v>
      </c>
      <c r="HH206" t="s">
        <v>895</v>
      </c>
      <c r="HI206" t="s">
        <v>845</v>
      </c>
      <c r="HJ206" t="s">
        <v>836</v>
      </c>
      <c r="HK206" t="s">
        <v>1037</v>
      </c>
      <c r="HL206" t="s">
        <v>180</v>
      </c>
      <c r="HM206" t="s">
        <v>854</v>
      </c>
      <c r="HN206">
        <v>36805</v>
      </c>
      <c r="HP206" t="s">
        <v>181</v>
      </c>
      <c r="HQ206" t="s">
        <v>896</v>
      </c>
      <c r="HR206" t="s">
        <v>896</v>
      </c>
      <c r="HS206" t="s">
        <v>896</v>
      </c>
    </row>
    <row r="207" spans="1:227" x14ac:dyDescent="0.2">
      <c r="A207">
        <v>8702</v>
      </c>
      <c r="B207">
        <v>7612604388</v>
      </c>
      <c r="C207">
        <v>36</v>
      </c>
      <c r="D207" t="s">
        <v>1302</v>
      </c>
      <c r="E207" t="s">
        <v>831</v>
      </c>
      <c r="F207">
        <v>0</v>
      </c>
      <c r="G207" t="s">
        <v>5109</v>
      </c>
      <c r="H207" t="s">
        <v>5109</v>
      </c>
      <c r="I207">
        <v>0</v>
      </c>
      <c r="J207" t="s">
        <v>833</v>
      </c>
      <c r="K207" t="s">
        <v>834</v>
      </c>
      <c r="L207">
        <v>152949088</v>
      </c>
      <c r="M207" t="s">
        <v>5110</v>
      </c>
      <c r="N207" t="s">
        <v>836</v>
      </c>
      <c r="O207" t="s">
        <v>837</v>
      </c>
      <c r="P207" t="s">
        <v>1302</v>
      </c>
      <c r="Q207" t="s">
        <v>1517</v>
      </c>
      <c r="R207" t="s">
        <v>5111</v>
      </c>
      <c r="S207" t="s">
        <v>5112</v>
      </c>
      <c r="T207">
        <v>41477123639</v>
      </c>
      <c r="V207" t="s">
        <v>193</v>
      </c>
      <c r="W207" s="41">
        <v>46148</v>
      </c>
      <c r="X207" t="s">
        <v>5113</v>
      </c>
      <c r="Y207" t="s">
        <v>5114</v>
      </c>
      <c r="AA207">
        <v>0</v>
      </c>
      <c r="AB207" t="s">
        <v>845</v>
      </c>
      <c r="AC207" t="s">
        <v>846</v>
      </c>
      <c r="AD207" t="s">
        <v>1113</v>
      </c>
      <c r="AE207" t="s">
        <v>1114</v>
      </c>
      <c r="AF207">
        <v>1</v>
      </c>
      <c r="AG207">
        <v>452210</v>
      </c>
      <c r="AH207" t="s">
        <v>849</v>
      </c>
      <c r="AI207" t="s">
        <v>850</v>
      </c>
      <c r="AJ207" t="s">
        <v>851</v>
      </c>
      <c r="AK207" t="s">
        <v>387</v>
      </c>
      <c r="AL207" t="s">
        <v>2989</v>
      </c>
      <c r="AM207" t="s">
        <v>2364</v>
      </c>
      <c r="AN207" t="s">
        <v>854</v>
      </c>
      <c r="AO207">
        <v>36805</v>
      </c>
      <c r="AP207">
        <v>637</v>
      </c>
      <c r="AQ207" t="s">
        <v>855</v>
      </c>
      <c r="AR207">
        <v>66451260</v>
      </c>
      <c r="AS207" t="s">
        <v>856</v>
      </c>
      <c r="AU207" t="s">
        <v>5115</v>
      </c>
      <c r="AV207" t="s">
        <v>5116</v>
      </c>
      <c r="AX207" t="s">
        <v>913</v>
      </c>
      <c r="AY207" t="s">
        <v>861</v>
      </c>
      <c r="AZ207" t="s">
        <v>387</v>
      </c>
      <c r="BA207" t="s">
        <v>388</v>
      </c>
      <c r="BB207">
        <v>0</v>
      </c>
      <c r="BC207">
        <v>0</v>
      </c>
      <c r="BD207">
        <v>0</v>
      </c>
      <c r="BE207" t="s">
        <v>5110</v>
      </c>
      <c r="BF207">
        <v>0</v>
      </c>
      <c r="BG207">
        <v>0</v>
      </c>
      <c r="BH207" t="s">
        <v>862</v>
      </c>
      <c r="BI207">
        <v>0</v>
      </c>
      <c r="BJ207" t="s">
        <v>862</v>
      </c>
      <c r="BK207">
        <v>1</v>
      </c>
      <c r="BL207">
        <v>0</v>
      </c>
      <c r="BM207">
        <v>0</v>
      </c>
      <c r="BN207" t="s">
        <v>596</v>
      </c>
      <c r="BO207">
        <v>152949088</v>
      </c>
      <c r="BP207" t="s">
        <v>5109</v>
      </c>
      <c r="BR207">
        <v>42791765</v>
      </c>
      <c r="BT207">
        <v>2</v>
      </c>
      <c r="BU207" t="s">
        <v>1803</v>
      </c>
      <c r="BY207">
        <v>16</v>
      </c>
      <c r="CA207">
        <v>3</v>
      </c>
      <c r="CE207">
        <v>1</v>
      </c>
      <c r="CI207">
        <v>11</v>
      </c>
      <c r="CJ207" t="s">
        <v>94</v>
      </c>
      <c r="CM207">
        <v>4010</v>
      </c>
      <c r="CO207">
        <v>7360</v>
      </c>
      <c r="CP207">
        <v>6.6699999999999995E-2</v>
      </c>
      <c r="CQ207">
        <v>6.6699999999999995E-2</v>
      </c>
      <c r="CR207">
        <v>1.0667</v>
      </c>
      <c r="CS207">
        <v>16</v>
      </c>
      <c r="CT207" t="s">
        <v>5116</v>
      </c>
      <c r="CU207" t="s">
        <v>5115</v>
      </c>
      <c r="CV207" t="s">
        <v>833</v>
      </c>
      <c r="CW207" t="s">
        <v>834</v>
      </c>
      <c r="CX207" t="s">
        <v>5110</v>
      </c>
      <c r="CY207">
        <v>0</v>
      </c>
      <c r="CZ207">
        <v>0</v>
      </c>
      <c r="DA207" t="s">
        <v>833</v>
      </c>
      <c r="DB207" t="s">
        <v>865</v>
      </c>
      <c r="DC207">
        <v>60014</v>
      </c>
      <c r="DD207">
        <v>2.6333000000000002</v>
      </c>
      <c r="DE207" t="s">
        <v>866</v>
      </c>
      <c r="DG207" t="s">
        <v>867</v>
      </c>
      <c r="DH207" t="s">
        <v>851</v>
      </c>
      <c r="DI207" t="s">
        <v>5117</v>
      </c>
      <c r="DK207" t="s">
        <v>918</v>
      </c>
      <c r="DL207" t="s">
        <v>869</v>
      </c>
      <c r="DM207">
        <v>0</v>
      </c>
      <c r="DN207">
        <v>0</v>
      </c>
      <c r="DO207">
        <v>2</v>
      </c>
      <c r="DP207" t="s">
        <v>870</v>
      </c>
      <c r="DQ207">
        <v>0</v>
      </c>
      <c r="DR207">
        <v>158</v>
      </c>
      <c r="DS207">
        <v>158</v>
      </c>
      <c r="DT207">
        <v>2.5667</v>
      </c>
      <c r="DU207">
        <v>0</v>
      </c>
      <c r="DV207">
        <v>1</v>
      </c>
      <c r="DW207">
        <v>2</v>
      </c>
      <c r="DX207" t="s">
        <v>596</v>
      </c>
      <c r="DY207" t="s">
        <v>5110</v>
      </c>
      <c r="DZ207">
        <v>1</v>
      </c>
      <c r="EA207">
        <v>1</v>
      </c>
      <c r="EB207">
        <v>1</v>
      </c>
      <c r="EC207">
        <v>1</v>
      </c>
      <c r="ED207">
        <v>1</v>
      </c>
      <c r="EE207">
        <v>1</v>
      </c>
      <c r="EF207" t="s">
        <v>871</v>
      </c>
      <c r="EG207" t="s">
        <v>595</v>
      </c>
      <c r="EH207" t="s">
        <v>921</v>
      </c>
      <c r="EI207" t="s">
        <v>921</v>
      </c>
      <c r="EJ207" t="s">
        <v>181</v>
      </c>
      <c r="EK207">
        <v>9090</v>
      </c>
      <c r="EL207">
        <v>0</v>
      </c>
      <c r="EM207" t="s">
        <v>1436</v>
      </c>
      <c r="EN207">
        <v>1.0667</v>
      </c>
      <c r="EO207">
        <v>2.6333332999999999</v>
      </c>
      <c r="EP207">
        <v>99991120</v>
      </c>
      <c r="EQ207" t="s">
        <v>874</v>
      </c>
      <c r="ER207" t="s">
        <v>875</v>
      </c>
      <c r="ES207" t="s">
        <v>876</v>
      </c>
      <c r="ET207" t="s">
        <v>877</v>
      </c>
      <c r="EU207" t="s">
        <v>877</v>
      </c>
      <c r="EV207" t="s">
        <v>871</v>
      </c>
      <c r="EX207" t="s">
        <v>836</v>
      </c>
      <c r="EY207" t="s">
        <v>873</v>
      </c>
      <c r="EZ207" t="s">
        <v>1437</v>
      </c>
      <c r="FA207" t="s">
        <v>956</v>
      </c>
      <c r="FB207">
        <v>1</v>
      </c>
      <c r="FC207">
        <v>1</v>
      </c>
      <c r="FD207" s="41">
        <v>46151</v>
      </c>
      <c r="FE207" t="s">
        <v>1808</v>
      </c>
      <c r="FF207">
        <v>7</v>
      </c>
      <c r="FG207" t="s">
        <v>5118</v>
      </c>
      <c r="FH207" t="s">
        <v>5119</v>
      </c>
      <c r="FI207">
        <v>1</v>
      </c>
      <c r="FJ207" t="s">
        <v>5120</v>
      </c>
      <c r="FK207" t="s">
        <v>5119</v>
      </c>
      <c r="FL207">
        <v>1</v>
      </c>
      <c r="FM207" t="s">
        <v>5121</v>
      </c>
      <c r="FN207" t="s">
        <v>5119</v>
      </c>
      <c r="FO207">
        <v>1</v>
      </c>
      <c r="FP207" t="s">
        <v>5122</v>
      </c>
      <c r="FQ207" t="s">
        <v>5115</v>
      </c>
      <c r="FR207">
        <v>1</v>
      </c>
      <c r="FS207" t="s">
        <v>2375</v>
      </c>
      <c r="FT207" t="s">
        <v>5123</v>
      </c>
      <c r="FU207">
        <v>1</v>
      </c>
      <c r="FV207" t="s">
        <v>5124</v>
      </c>
      <c r="FW207" t="s">
        <v>5125</v>
      </c>
      <c r="FX207">
        <v>1</v>
      </c>
      <c r="FY207" t="s">
        <v>890</v>
      </c>
      <c r="FZ207" t="s">
        <v>5126</v>
      </c>
      <c r="GA207" t="s">
        <v>5120</v>
      </c>
      <c r="GB207">
        <v>1</v>
      </c>
      <c r="GD207">
        <v>0</v>
      </c>
      <c r="GF207">
        <v>0</v>
      </c>
      <c r="GG207">
        <v>1</v>
      </c>
      <c r="GH207" t="s">
        <v>892</v>
      </c>
      <c r="GI207" t="s">
        <v>893</v>
      </c>
      <c r="GJ207" t="s">
        <v>5119</v>
      </c>
      <c r="GM207">
        <v>1</v>
      </c>
      <c r="GN207">
        <v>1</v>
      </c>
      <c r="GO207">
        <v>0</v>
      </c>
      <c r="GP207">
        <v>1</v>
      </c>
      <c r="GQ207">
        <v>1</v>
      </c>
      <c r="GR207">
        <v>0</v>
      </c>
      <c r="GS207">
        <v>1</v>
      </c>
      <c r="GT207">
        <v>0</v>
      </c>
      <c r="GU207">
        <v>1</v>
      </c>
      <c r="GV207">
        <v>0</v>
      </c>
      <c r="GW207">
        <v>1</v>
      </c>
      <c r="GX207">
        <v>0</v>
      </c>
      <c r="GY207">
        <v>1</v>
      </c>
      <c r="GZ207">
        <v>0</v>
      </c>
      <c r="HA207" t="s">
        <v>387</v>
      </c>
      <c r="HB207" t="s">
        <v>894</v>
      </c>
      <c r="HC207" t="s">
        <v>895</v>
      </c>
      <c r="HD207" t="s">
        <v>845</v>
      </c>
      <c r="HE207" t="s">
        <v>836</v>
      </c>
      <c r="HF207" t="s">
        <v>873</v>
      </c>
      <c r="HG207" t="s">
        <v>894</v>
      </c>
      <c r="HH207" t="s">
        <v>895</v>
      </c>
      <c r="HI207" t="s">
        <v>845</v>
      </c>
      <c r="HJ207" t="s">
        <v>836</v>
      </c>
      <c r="HK207" t="s">
        <v>1436</v>
      </c>
      <c r="HL207" t="s">
        <v>193</v>
      </c>
      <c r="HM207" t="s">
        <v>854</v>
      </c>
      <c r="HN207">
        <v>36805</v>
      </c>
      <c r="HP207" t="s">
        <v>181</v>
      </c>
      <c r="HQ207" t="s">
        <v>896</v>
      </c>
      <c r="HR207" t="s">
        <v>896</v>
      </c>
      <c r="HS207" t="s">
        <v>896</v>
      </c>
    </row>
    <row r="208" spans="1:227" x14ac:dyDescent="0.2">
      <c r="A208">
        <v>8702</v>
      </c>
      <c r="B208">
        <v>7526201281</v>
      </c>
      <c r="C208" t="s">
        <v>829</v>
      </c>
      <c r="D208" t="s">
        <v>830</v>
      </c>
      <c r="E208" t="s">
        <v>897</v>
      </c>
      <c r="F208">
        <v>1</v>
      </c>
      <c r="G208" t="s">
        <v>5127</v>
      </c>
      <c r="H208" t="s">
        <v>5127</v>
      </c>
      <c r="I208">
        <v>0</v>
      </c>
      <c r="J208" t="s">
        <v>833</v>
      </c>
      <c r="K208" t="s">
        <v>834</v>
      </c>
      <c r="L208">
        <v>153195482</v>
      </c>
      <c r="M208" t="s">
        <v>3282</v>
      </c>
      <c r="N208" t="s">
        <v>900</v>
      </c>
      <c r="O208" t="s">
        <v>837</v>
      </c>
      <c r="P208" t="s">
        <v>838</v>
      </c>
      <c r="Q208" t="s">
        <v>901</v>
      </c>
      <c r="R208" t="s">
        <v>5128</v>
      </c>
      <c r="S208" t="s">
        <v>5129</v>
      </c>
      <c r="T208">
        <v>41477097078</v>
      </c>
      <c r="V208" t="s">
        <v>142</v>
      </c>
      <c r="W208" s="41">
        <v>45922</v>
      </c>
      <c r="X208" t="s">
        <v>5130</v>
      </c>
      <c r="Y208" t="s">
        <v>5131</v>
      </c>
      <c r="Z208" t="s">
        <v>1144</v>
      </c>
      <c r="AA208">
        <v>0</v>
      </c>
      <c r="AB208" t="s">
        <v>845</v>
      </c>
      <c r="AC208" t="s">
        <v>846</v>
      </c>
      <c r="AD208" t="s">
        <v>847</v>
      </c>
      <c r="AE208" t="s">
        <v>848</v>
      </c>
      <c r="AF208">
        <v>1</v>
      </c>
      <c r="AG208">
        <v>452210</v>
      </c>
      <c r="AH208" t="s">
        <v>849</v>
      </c>
      <c r="AI208" t="s">
        <v>850</v>
      </c>
      <c r="AJ208" t="s">
        <v>851</v>
      </c>
      <c r="AK208" t="s">
        <v>340</v>
      </c>
      <c r="AL208" t="s">
        <v>2509</v>
      </c>
      <c r="AM208" t="s">
        <v>3288</v>
      </c>
      <c r="AN208" t="s">
        <v>854</v>
      </c>
      <c r="AO208">
        <v>36805</v>
      </c>
      <c r="AP208">
        <v>527</v>
      </c>
      <c r="AQ208" t="s">
        <v>855</v>
      </c>
      <c r="AR208">
        <v>66125437</v>
      </c>
      <c r="AS208" t="s">
        <v>856</v>
      </c>
      <c r="AU208" t="s">
        <v>5132</v>
      </c>
      <c r="AV208" t="s">
        <v>5133</v>
      </c>
      <c r="AW208" t="s">
        <v>859</v>
      </c>
      <c r="AX208" t="s">
        <v>860</v>
      </c>
      <c r="AY208" t="s">
        <v>861</v>
      </c>
      <c r="AZ208" t="s">
        <v>340</v>
      </c>
      <c r="BA208" t="s">
        <v>341</v>
      </c>
      <c r="BB208">
        <v>0</v>
      </c>
      <c r="BC208">
        <v>0</v>
      </c>
      <c r="BD208">
        <v>0</v>
      </c>
      <c r="BE208" t="s">
        <v>3282</v>
      </c>
      <c r="BF208">
        <v>0</v>
      </c>
      <c r="BG208">
        <v>0</v>
      </c>
      <c r="BH208" t="s">
        <v>862</v>
      </c>
      <c r="BI208">
        <v>0</v>
      </c>
      <c r="BJ208" t="s">
        <v>862</v>
      </c>
      <c r="BK208">
        <v>1</v>
      </c>
      <c r="BL208">
        <v>0</v>
      </c>
      <c r="BM208">
        <v>0</v>
      </c>
      <c r="BN208" t="s">
        <v>596</v>
      </c>
      <c r="BO208">
        <v>153195482</v>
      </c>
      <c r="BP208" t="s">
        <v>5127</v>
      </c>
      <c r="BQ208">
        <v>39.956643</v>
      </c>
      <c r="BR208">
        <v>42791440</v>
      </c>
      <c r="BS208">
        <v>-85.961443399999993</v>
      </c>
      <c r="BT208">
        <v>1</v>
      </c>
      <c r="BU208" t="s">
        <v>1151</v>
      </c>
      <c r="CI208">
        <v>11</v>
      </c>
      <c r="CJ208" t="s">
        <v>94</v>
      </c>
      <c r="CM208">
        <v>4010</v>
      </c>
      <c r="CO208">
        <v>7360</v>
      </c>
      <c r="CP208">
        <v>0.76670000000000005</v>
      </c>
      <c r="CQ208">
        <v>0.76670000000000005</v>
      </c>
      <c r="CR208">
        <v>1.7166999999999999</v>
      </c>
      <c r="CS208">
        <v>2</v>
      </c>
      <c r="CT208" t="s">
        <v>5134</v>
      </c>
      <c r="CU208" t="s">
        <v>5135</v>
      </c>
      <c r="CV208" t="s">
        <v>833</v>
      </c>
      <c r="CW208" t="s">
        <v>834</v>
      </c>
      <c r="CX208" t="s">
        <v>3282</v>
      </c>
      <c r="CY208">
        <v>0</v>
      </c>
      <c r="CZ208">
        <v>0</v>
      </c>
      <c r="DA208" t="s">
        <v>833</v>
      </c>
      <c r="DB208" t="s">
        <v>865</v>
      </c>
      <c r="DC208">
        <v>46037</v>
      </c>
      <c r="DD208">
        <v>31.433299999999999</v>
      </c>
      <c r="DE208" t="s">
        <v>866</v>
      </c>
      <c r="DG208" t="s">
        <v>867</v>
      </c>
      <c r="DH208" t="s">
        <v>851</v>
      </c>
      <c r="DI208" t="s">
        <v>3291</v>
      </c>
      <c r="DJ208" t="s">
        <v>3292</v>
      </c>
      <c r="DK208" t="s">
        <v>1155</v>
      </c>
      <c r="DL208" t="s">
        <v>869</v>
      </c>
      <c r="DM208">
        <v>0</v>
      </c>
      <c r="DN208">
        <v>0</v>
      </c>
      <c r="DO208">
        <v>1</v>
      </c>
      <c r="DP208" t="s">
        <v>985</v>
      </c>
      <c r="DQ208">
        <v>16</v>
      </c>
      <c r="DR208">
        <v>1886</v>
      </c>
      <c r="DS208">
        <v>4046</v>
      </c>
      <c r="DT208">
        <v>30.666699999999999</v>
      </c>
      <c r="DU208">
        <v>4</v>
      </c>
      <c r="DV208">
        <v>1</v>
      </c>
      <c r="DW208">
        <v>2</v>
      </c>
      <c r="DX208" t="s">
        <v>594</v>
      </c>
      <c r="DY208" t="s">
        <v>3282</v>
      </c>
      <c r="DZ208">
        <v>0</v>
      </c>
      <c r="EA208">
        <v>0</v>
      </c>
      <c r="EB208">
        <v>0</v>
      </c>
      <c r="EC208">
        <v>0</v>
      </c>
      <c r="ED208">
        <v>0</v>
      </c>
      <c r="EE208">
        <v>0</v>
      </c>
      <c r="EF208" t="s">
        <v>920</v>
      </c>
      <c r="EG208" t="s">
        <v>595</v>
      </c>
      <c r="EH208" t="s">
        <v>872</v>
      </c>
      <c r="EI208" t="s">
        <v>872</v>
      </c>
      <c r="EJ208" t="s">
        <v>134</v>
      </c>
      <c r="EK208">
        <v>9090</v>
      </c>
      <c r="EL208">
        <v>0</v>
      </c>
      <c r="EM208" t="s">
        <v>1011</v>
      </c>
      <c r="EN208">
        <v>1.7166999999999999</v>
      </c>
      <c r="EO208">
        <v>67.433333300000001</v>
      </c>
      <c r="EP208">
        <v>99991120</v>
      </c>
      <c r="EQ208" t="s">
        <v>874</v>
      </c>
      <c r="ER208" t="s">
        <v>875</v>
      </c>
      <c r="ES208" t="s">
        <v>876</v>
      </c>
      <c r="ET208" t="s">
        <v>877</v>
      </c>
      <c r="EU208" t="s">
        <v>877</v>
      </c>
      <c r="EV208" t="s">
        <v>920</v>
      </c>
      <c r="EX208" t="s">
        <v>953</v>
      </c>
      <c r="EY208" t="s">
        <v>1555</v>
      </c>
      <c r="EZ208" t="s">
        <v>1013</v>
      </c>
      <c r="FA208" t="s">
        <v>925</v>
      </c>
      <c r="FB208">
        <v>1</v>
      </c>
      <c r="FC208">
        <v>1</v>
      </c>
      <c r="FD208" s="41">
        <v>45927</v>
      </c>
      <c r="FE208" t="s">
        <v>880</v>
      </c>
      <c r="FF208">
        <v>5</v>
      </c>
      <c r="FI208">
        <v>0</v>
      </c>
      <c r="FJ208" t="s">
        <v>5136</v>
      </c>
      <c r="FK208" t="s">
        <v>5137</v>
      </c>
      <c r="FL208">
        <v>1</v>
      </c>
      <c r="FM208" t="s">
        <v>3296</v>
      </c>
      <c r="FN208" t="s">
        <v>5138</v>
      </c>
      <c r="FO208">
        <v>1</v>
      </c>
      <c r="FP208" t="s">
        <v>5139</v>
      </c>
      <c r="FQ208" t="s">
        <v>5135</v>
      </c>
      <c r="FR208">
        <v>1</v>
      </c>
      <c r="FS208" t="s">
        <v>2219</v>
      </c>
      <c r="FT208" t="s">
        <v>5140</v>
      </c>
      <c r="FU208">
        <v>1</v>
      </c>
      <c r="FV208" t="s">
        <v>5136</v>
      </c>
      <c r="FW208" t="s">
        <v>5137</v>
      </c>
      <c r="FX208">
        <v>1</v>
      </c>
      <c r="FY208" t="s">
        <v>890</v>
      </c>
      <c r="FZ208" t="s">
        <v>5141</v>
      </c>
      <c r="GA208" t="s">
        <v>5136</v>
      </c>
      <c r="GB208">
        <v>1</v>
      </c>
      <c r="GD208">
        <v>0</v>
      </c>
      <c r="GF208">
        <v>0</v>
      </c>
      <c r="GG208">
        <v>1</v>
      </c>
      <c r="GH208" t="s">
        <v>892</v>
      </c>
      <c r="GI208" t="s">
        <v>893</v>
      </c>
      <c r="GJ208" t="s">
        <v>5137</v>
      </c>
      <c r="GM208">
        <v>1</v>
      </c>
      <c r="GN208">
        <v>1</v>
      </c>
      <c r="GO208">
        <v>0</v>
      </c>
      <c r="GP208">
        <v>1</v>
      </c>
      <c r="GQ208">
        <v>1</v>
      </c>
      <c r="GR208">
        <v>0</v>
      </c>
      <c r="GS208">
        <v>1</v>
      </c>
      <c r="GT208">
        <v>0</v>
      </c>
      <c r="GU208">
        <v>1</v>
      </c>
      <c r="GV208">
        <v>0</v>
      </c>
      <c r="GW208">
        <v>1</v>
      </c>
      <c r="GX208">
        <v>0</v>
      </c>
      <c r="GY208">
        <v>1</v>
      </c>
      <c r="GZ208">
        <v>0</v>
      </c>
      <c r="HA208" t="s">
        <v>340</v>
      </c>
      <c r="HB208" t="s">
        <v>894</v>
      </c>
      <c r="HC208" t="s">
        <v>935</v>
      </c>
      <c r="HD208" t="s">
        <v>845</v>
      </c>
      <c r="HE208" t="s">
        <v>900</v>
      </c>
      <c r="HF208" t="s">
        <v>1012</v>
      </c>
      <c r="HG208" t="s">
        <v>894</v>
      </c>
      <c r="HH208" t="s">
        <v>935</v>
      </c>
      <c r="HI208" t="s">
        <v>845</v>
      </c>
      <c r="HJ208" t="s">
        <v>900</v>
      </c>
      <c r="HK208" t="s">
        <v>1011</v>
      </c>
      <c r="HL208" t="s">
        <v>142</v>
      </c>
      <c r="HM208" t="s">
        <v>854</v>
      </c>
      <c r="HN208">
        <v>36805</v>
      </c>
      <c r="HO208">
        <v>1</v>
      </c>
      <c r="HP208" t="s">
        <v>134</v>
      </c>
      <c r="HQ208" t="s">
        <v>896</v>
      </c>
      <c r="HR208" t="s">
        <v>896</v>
      </c>
      <c r="HS208" t="s">
        <v>896</v>
      </c>
    </row>
    <row r="209" spans="1:227" x14ac:dyDescent="0.2">
      <c r="A209">
        <v>8702</v>
      </c>
      <c r="B209">
        <v>7601301469</v>
      </c>
      <c r="C209" t="s">
        <v>829</v>
      </c>
      <c r="D209" t="s">
        <v>830</v>
      </c>
      <c r="E209" t="s">
        <v>831</v>
      </c>
      <c r="F209">
        <v>1</v>
      </c>
      <c r="G209" t="s">
        <v>5142</v>
      </c>
      <c r="H209" t="s">
        <v>5142</v>
      </c>
      <c r="I209">
        <v>0</v>
      </c>
      <c r="J209" t="s">
        <v>833</v>
      </c>
      <c r="K209" t="s">
        <v>834</v>
      </c>
      <c r="L209">
        <v>153406585</v>
      </c>
      <c r="M209" t="s">
        <v>5143</v>
      </c>
      <c r="N209" t="s">
        <v>836</v>
      </c>
      <c r="O209" t="s">
        <v>837</v>
      </c>
      <c r="P209" t="s">
        <v>838</v>
      </c>
      <c r="Q209" t="s">
        <v>1593</v>
      </c>
      <c r="R209" t="s">
        <v>5144</v>
      </c>
      <c r="S209" t="s">
        <v>5145</v>
      </c>
      <c r="T209">
        <v>41477126595</v>
      </c>
      <c r="V209" t="s">
        <v>1384</v>
      </c>
      <c r="W209" s="41">
        <v>46036</v>
      </c>
      <c r="X209" t="s">
        <v>5146</v>
      </c>
      <c r="Y209" t="s">
        <v>5147</v>
      </c>
      <c r="Z209">
        <v>1</v>
      </c>
      <c r="AA209">
        <v>0</v>
      </c>
      <c r="AB209" t="s">
        <v>845</v>
      </c>
      <c r="AC209" t="s">
        <v>846</v>
      </c>
      <c r="AD209" t="s">
        <v>847</v>
      </c>
      <c r="AE209" t="s">
        <v>848</v>
      </c>
      <c r="AF209">
        <v>1</v>
      </c>
      <c r="AG209">
        <v>452210</v>
      </c>
      <c r="AH209" t="s">
        <v>849</v>
      </c>
      <c r="AI209" t="s">
        <v>850</v>
      </c>
      <c r="AJ209" t="s">
        <v>851</v>
      </c>
      <c r="AK209" t="s">
        <v>539</v>
      </c>
      <c r="AL209" t="s">
        <v>5148</v>
      </c>
      <c r="AM209" t="s">
        <v>1387</v>
      </c>
      <c r="AN209" t="s">
        <v>854</v>
      </c>
      <c r="AO209">
        <v>36805</v>
      </c>
      <c r="AP209">
        <v>542</v>
      </c>
      <c r="AQ209" t="s">
        <v>855</v>
      </c>
      <c r="AR209">
        <v>66289463</v>
      </c>
      <c r="AS209" t="s">
        <v>856</v>
      </c>
      <c r="AU209" t="s">
        <v>5149</v>
      </c>
      <c r="AV209" t="s">
        <v>5150</v>
      </c>
      <c r="AX209" t="s">
        <v>913</v>
      </c>
      <c r="AY209" t="s">
        <v>861</v>
      </c>
      <c r="AZ209" t="s">
        <v>539</v>
      </c>
      <c r="BA209" t="s">
        <v>540</v>
      </c>
      <c r="BB209">
        <v>0</v>
      </c>
      <c r="BC209">
        <v>0</v>
      </c>
      <c r="BD209">
        <v>0</v>
      </c>
      <c r="BE209" t="s">
        <v>5143</v>
      </c>
      <c r="BF209">
        <v>0</v>
      </c>
      <c r="BG209">
        <v>0</v>
      </c>
      <c r="BH209" t="s">
        <v>862</v>
      </c>
      <c r="BI209">
        <v>0</v>
      </c>
      <c r="BJ209" t="s">
        <v>862</v>
      </c>
      <c r="BK209">
        <v>1</v>
      </c>
      <c r="BL209">
        <v>1</v>
      </c>
      <c r="BM209">
        <v>0</v>
      </c>
      <c r="BN209" t="s">
        <v>596</v>
      </c>
      <c r="BO209">
        <v>153406585</v>
      </c>
      <c r="BP209" t="s">
        <v>5142</v>
      </c>
      <c r="BR209">
        <v>42791456</v>
      </c>
      <c r="BT209">
        <v>2</v>
      </c>
      <c r="BU209" t="s">
        <v>1367</v>
      </c>
      <c r="CE209">
        <v>1</v>
      </c>
      <c r="CI209">
        <v>11</v>
      </c>
      <c r="CJ209" t="s">
        <v>94</v>
      </c>
      <c r="CM209">
        <v>4010</v>
      </c>
      <c r="CO209">
        <v>7360</v>
      </c>
      <c r="CP209">
        <v>0.76670000000000005</v>
      </c>
      <c r="CQ209">
        <v>0.76670000000000005</v>
      </c>
      <c r="CR209">
        <v>0.31669999999999998</v>
      </c>
      <c r="CS209">
        <v>15</v>
      </c>
      <c r="CT209" t="s">
        <v>5150</v>
      </c>
      <c r="CU209" t="s">
        <v>5149</v>
      </c>
      <c r="CV209" t="s">
        <v>833</v>
      </c>
      <c r="CW209" t="s">
        <v>834</v>
      </c>
      <c r="CX209" t="s">
        <v>5143</v>
      </c>
      <c r="CY209">
        <v>0</v>
      </c>
      <c r="CZ209">
        <v>0</v>
      </c>
      <c r="DA209" t="s">
        <v>833</v>
      </c>
      <c r="DB209" t="s">
        <v>865</v>
      </c>
      <c r="DC209">
        <v>55124</v>
      </c>
      <c r="DD209">
        <v>5.7332999999999998</v>
      </c>
      <c r="DE209" t="s">
        <v>866</v>
      </c>
      <c r="DG209" t="s">
        <v>867</v>
      </c>
      <c r="DH209" t="s">
        <v>851</v>
      </c>
      <c r="DJ209">
        <v>542</v>
      </c>
      <c r="DK209" t="s">
        <v>918</v>
      </c>
      <c r="DL209" t="s">
        <v>869</v>
      </c>
      <c r="DM209">
        <v>0</v>
      </c>
      <c r="DN209">
        <v>0</v>
      </c>
      <c r="DO209">
        <v>53</v>
      </c>
      <c r="DP209" t="s">
        <v>1156</v>
      </c>
      <c r="DQ209">
        <v>16</v>
      </c>
      <c r="DR209">
        <v>344</v>
      </c>
      <c r="DS209">
        <v>1064</v>
      </c>
      <c r="DT209">
        <v>4.9667000000000003</v>
      </c>
      <c r="DU209">
        <v>4</v>
      </c>
      <c r="DV209">
        <v>1</v>
      </c>
      <c r="DW209">
        <v>2</v>
      </c>
      <c r="DX209" t="s">
        <v>596</v>
      </c>
      <c r="DY209" t="s">
        <v>5143</v>
      </c>
      <c r="DZ209">
        <v>1</v>
      </c>
      <c r="EA209">
        <v>1</v>
      </c>
      <c r="EB209">
        <v>1</v>
      </c>
      <c r="EC209">
        <v>0</v>
      </c>
      <c r="ED209">
        <v>0</v>
      </c>
      <c r="EE209">
        <v>1</v>
      </c>
      <c r="EF209" t="s">
        <v>871</v>
      </c>
      <c r="EG209" t="s">
        <v>595</v>
      </c>
      <c r="EH209" t="s">
        <v>921</v>
      </c>
      <c r="EI209" t="s">
        <v>921</v>
      </c>
      <c r="EJ209" t="s">
        <v>159</v>
      </c>
      <c r="EK209">
        <v>9090</v>
      </c>
      <c r="EL209">
        <v>0</v>
      </c>
      <c r="EM209" t="s">
        <v>873</v>
      </c>
      <c r="EN209">
        <v>0.31669999999999998</v>
      </c>
      <c r="EO209">
        <v>17.733333300000002</v>
      </c>
      <c r="EP209">
        <v>99991120</v>
      </c>
      <c r="EQ209" t="s">
        <v>874</v>
      </c>
      <c r="ER209" t="s">
        <v>875</v>
      </c>
      <c r="ES209" t="s">
        <v>876</v>
      </c>
      <c r="ET209" t="s">
        <v>877</v>
      </c>
      <c r="EU209" t="s">
        <v>877</v>
      </c>
      <c r="EV209" t="s">
        <v>871</v>
      </c>
      <c r="EX209" t="s">
        <v>836</v>
      </c>
      <c r="EY209" t="s">
        <v>1121</v>
      </c>
      <c r="EZ209" t="s">
        <v>1122</v>
      </c>
      <c r="FA209" t="s">
        <v>956</v>
      </c>
      <c r="FB209">
        <v>1</v>
      </c>
      <c r="FC209">
        <v>1</v>
      </c>
      <c r="FD209" s="41">
        <v>46039</v>
      </c>
      <c r="FE209" t="s">
        <v>1370</v>
      </c>
      <c r="FF209">
        <v>6</v>
      </c>
      <c r="FG209" t="s">
        <v>5151</v>
      </c>
      <c r="FH209" t="s">
        <v>5152</v>
      </c>
      <c r="FI209">
        <v>1</v>
      </c>
      <c r="FJ209" t="s">
        <v>5153</v>
      </c>
      <c r="FK209" t="s">
        <v>5154</v>
      </c>
      <c r="FL209">
        <v>1</v>
      </c>
      <c r="FM209" t="s">
        <v>5155</v>
      </c>
      <c r="FN209" t="s">
        <v>5156</v>
      </c>
      <c r="FO209">
        <v>1</v>
      </c>
      <c r="FP209" t="s">
        <v>5157</v>
      </c>
      <c r="FQ209" t="s">
        <v>5158</v>
      </c>
      <c r="FR209">
        <v>1</v>
      </c>
      <c r="FS209" t="s">
        <v>5032</v>
      </c>
      <c r="FT209" t="s">
        <v>5159</v>
      </c>
      <c r="FU209">
        <v>1</v>
      </c>
      <c r="FV209" t="s">
        <v>5160</v>
      </c>
      <c r="FW209" t="s">
        <v>5161</v>
      </c>
      <c r="FX209">
        <v>1</v>
      </c>
      <c r="FY209" t="s">
        <v>890</v>
      </c>
      <c r="FZ209" t="s">
        <v>5162</v>
      </c>
      <c r="GA209" t="s">
        <v>5153</v>
      </c>
      <c r="GB209">
        <v>1</v>
      </c>
      <c r="GD209">
        <v>0</v>
      </c>
      <c r="GF209">
        <v>0</v>
      </c>
      <c r="GG209">
        <v>1</v>
      </c>
      <c r="GH209" t="s">
        <v>892</v>
      </c>
      <c r="GI209" t="s">
        <v>893</v>
      </c>
      <c r="GJ209" t="s">
        <v>5154</v>
      </c>
      <c r="GM209">
        <v>1</v>
      </c>
      <c r="GN209">
        <v>1</v>
      </c>
      <c r="GO209">
        <v>0</v>
      </c>
      <c r="GP209">
        <v>1</v>
      </c>
      <c r="GQ209">
        <v>1</v>
      </c>
      <c r="GR209">
        <v>0</v>
      </c>
      <c r="GS209">
        <v>1</v>
      </c>
      <c r="GT209">
        <v>0</v>
      </c>
      <c r="GU209">
        <v>1</v>
      </c>
      <c r="GV209">
        <v>0</v>
      </c>
      <c r="GW209">
        <v>1</v>
      </c>
      <c r="GX209">
        <v>0</v>
      </c>
      <c r="GY209">
        <v>1</v>
      </c>
      <c r="GZ209">
        <v>0</v>
      </c>
      <c r="HA209" t="s">
        <v>539</v>
      </c>
      <c r="HB209" t="s">
        <v>894</v>
      </c>
      <c r="HC209" t="s">
        <v>895</v>
      </c>
      <c r="HD209" t="s">
        <v>845</v>
      </c>
      <c r="HE209" t="s">
        <v>836</v>
      </c>
      <c r="HF209" t="s">
        <v>873</v>
      </c>
      <c r="HG209" t="s">
        <v>894</v>
      </c>
      <c r="HH209" t="s">
        <v>895</v>
      </c>
      <c r="HI209" t="s">
        <v>845</v>
      </c>
      <c r="HJ209" t="s">
        <v>836</v>
      </c>
      <c r="HK209" t="s">
        <v>873</v>
      </c>
      <c r="HL209" t="s">
        <v>1384</v>
      </c>
      <c r="HM209" t="s">
        <v>854</v>
      </c>
      <c r="HN209">
        <v>36805</v>
      </c>
      <c r="HP209" t="s">
        <v>159</v>
      </c>
      <c r="HQ209" t="s">
        <v>896</v>
      </c>
      <c r="HR209" t="s">
        <v>896</v>
      </c>
      <c r="HS209" t="s">
        <v>896</v>
      </c>
    </row>
    <row r="210" spans="1:227" x14ac:dyDescent="0.2">
      <c r="A210">
        <v>8702</v>
      </c>
      <c r="B210">
        <v>7606104409</v>
      </c>
      <c r="C210">
        <v>34</v>
      </c>
      <c r="D210" t="s">
        <v>996</v>
      </c>
      <c r="E210" t="s">
        <v>897</v>
      </c>
      <c r="F210">
        <v>0</v>
      </c>
      <c r="G210" t="s">
        <v>5163</v>
      </c>
      <c r="H210" t="s">
        <v>5163</v>
      </c>
      <c r="I210">
        <v>0</v>
      </c>
      <c r="J210" t="s">
        <v>833</v>
      </c>
      <c r="K210" t="s">
        <v>834</v>
      </c>
      <c r="L210">
        <v>153195455</v>
      </c>
      <c r="M210" t="s">
        <v>3980</v>
      </c>
      <c r="N210" t="s">
        <v>900</v>
      </c>
      <c r="O210" t="s">
        <v>837</v>
      </c>
      <c r="P210" t="s">
        <v>999</v>
      </c>
      <c r="Q210" t="s">
        <v>1000</v>
      </c>
      <c r="R210" t="s">
        <v>5164</v>
      </c>
      <c r="S210" t="s">
        <v>5165</v>
      </c>
      <c r="T210">
        <v>41477122128</v>
      </c>
      <c r="V210" t="s">
        <v>1543</v>
      </c>
      <c r="W210" s="41">
        <v>46083</v>
      </c>
      <c r="X210" t="s">
        <v>5166</v>
      </c>
      <c r="Y210" t="s">
        <v>5167</v>
      </c>
      <c r="AA210">
        <v>0</v>
      </c>
      <c r="AB210" t="s">
        <v>845</v>
      </c>
      <c r="AC210" t="s">
        <v>846</v>
      </c>
      <c r="AD210" t="s">
        <v>1113</v>
      </c>
      <c r="AE210" t="s">
        <v>1114</v>
      </c>
      <c r="AF210">
        <v>1</v>
      </c>
      <c r="AG210">
        <v>452210</v>
      </c>
      <c r="AH210" t="s">
        <v>849</v>
      </c>
      <c r="AI210" t="s">
        <v>850</v>
      </c>
      <c r="AJ210" t="s">
        <v>851</v>
      </c>
      <c r="AK210" t="s">
        <v>263</v>
      </c>
      <c r="AL210" t="s">
        <v>2230</v>
      </c>
      <c r="AM210" t="s">
        <v>1548</v>
      </c>
      <c r="AN210" t="s">
        <v>854</v>
      </c>
      <c r="AO210">
        <v>36805</v>
      </c>
      <c r="AP210">
        <v>522</v>
      </c>
      <c r="AQ210" t="s">
        <v>855</v>
      </c>
      <c r="AR210">
        <v>66357867</v>
      </c>
      <c r="AS210" t="s">
        <v>856</v>
      </c>
      <c r="AU210" t="s">
        <v>5168</v>
      </c>
      <c r="AV210" t="s">
        <v>5169</v>
      </c>
      <c r="AX210" t="s">
        <v>913</v>
      </c>
      <c r="AY210" t="s">
        <v>861</v>
      </c>
      <c r="AZ210" t="s">
        <v>263</v>
      </c>
      <c r="BA210" t="s">
        <v>264</v>
      </c>
      <c r="BB210">
        <v>0</v>
      </c>
      <c r="BC210">
        <v>0</v>
      </c>
      <c r="BD210">
        <v>1</v>
      </c>
      <c r="BE210" t="s">
        <v>3980</v>
      </c>
      <c r="BF210">
        <v>0</v>
      </c>
      <c r="BG210">
        <v>0</v>
      </c>
      <c r="BH210" t="s">
        <v>862</v>
      </c>
      <c r="BI210">
        <v>0</v>
      </c>
      <c r="BJ210" t="s">
        <v>862</v>
      </c>
      <c r="BK210">
        <v>1</v>
      </c>
      <c r="BL210">
        <v>1</v>
      </c>
      <c r="BM210">
        <v>0</v>
      </c>
      <c r="BN210" t="s">
        <v>596</v>
      </c>
      <c r="BO210">
        <v>153195455</v>
      </c>
      <c r="BP210" t="s">
        <v>5163</v>
      </c>
      <c r="BQ210">
        <v>39.638521799999999</v>
      </c>
      <c r="BR210">
        <v>42791431</v>
      </c>
      <c r="BS210">
        <v>-86.1306771</v>
      </c>
      <c r="BT210">
        <v>2</v>
      </c>
      <c r="BU210" t="s">
        <v>1715</v>
      </c>
      <c r="CE210">
        <v>1</v>
      </c>
      <c r="CI210">
        <v>11</v>
      </c>
      <c r="CJ210" t="s">
        <v>94</v>
      </c>
      <c r="CM210">
        <v>4010</v>
      </c>
      <c r="CO210">
        <v>7360</v>
      </c>
      <c r="CP210">
        <v>1.67E-2</v>
      </c>
      <c r="CQ210">
        <v>1.67E-2</v>
      </c>
      <c r="CR210">
        <v>1.1499999999999999</v>
      </c>
      <c r="CS210">
        <v>84</v>
      </c>
      <c r="CT210" t="s">
        <v>5169</v>
      </c>
      <c r="CU210" t="s">
        <v>5168</v>
      </c>
      <c r="CV210" t="s">
        <v>833</v>
      </c>
      <c r="CW210" t="s">
        <v>834</v>
      </c>
      <c r="CX210" t="s">
        <v>3980</v>
      </c>
      <c r="CY210">
        <v>1</v>
      </c>
      <c r="CZ210">
        <v>1</v>
      </c>
      <c r="DA210" t="s">
        <v>833</v>
      </c>
      <c r="DB210" t="s">
        <v>865</v>
      </c>
      <c r="DC210">
        <v>46227</v>
      </c>
      <c r="DD210">
        <v>10.716699999999999</v>
      </c>
      <c r="DE210" t="s">
        <v>866</v>
      </c>
      <c r="DG210" t="s">
        <v>867</v>
      </c>
      <c r="DH210" t="s">
        <v>851</v>
      </c>
      <c r="DI210" t="s">
        <v>1189</v>
      </c>
      <c r="DJ210" t="s">
        <v>3988</v>
      </c>
      <c r="DK210" t="s">
        <v>918</v>
      </c>
      <c r="DL210" t="s">
        <v>869</v>
      </c>
      <c r="DM210">
        <v>0</v>
      </c>
      <c r="DN210">
        <v>0</v>
      </c>
      <c r="DO210">
        <v>2</v>
      </c>
      <c r="DP210" t="s">
        <v>870</v>
      </c>
      <c r="DQ210">
        <v>0</v>
      </c>
      <c r="DR210">
        <v>643</v>
      </c>
      <c r="DS210">
        <v>672</v>
      </c>
      <c r="DT210">
        <v>10.716699999999999</v>
      </c>
      <c r="DU210">
        <v>0</v>
      </c>
      <c r="DV210">
        <v>1</v>
      </c>
      <c r="DW210">
        <v>2</v>
      </c>
      <c r="DX210" t="s">
        <v>596</v>
      </c>
      <c r="DY210" t="s">
        <v>3980</v>
      </c>
      <c r="DZ210">
        <v>1</v>
      </c>
      <c r="EA210">
        <v>1</v>
      </c>
      <c r="EB210">
        <v>1</v>
      </c>
      <c r="EC210">
        <v>1</v>
      </c>
      <c r="ED210">
        <v>1</v>
      </c>
      <c r="EE210">
        <v>1</v>
      </c>
      <c r="EF210" t="s">
        <v>920</v>
      </c>
      <c r="EG210" t="s">
        <v>595</v>
      </c>
      <c r="EH210" t="s">
        <v>921</v>
      </c>
      <c r="EI210" t="s">
        <v>921</v>
      </c>
      <c r="EJ210" t="s">
        <v>134</v>
      </c>
      <c r="EK210">
        <v>9090</v>
      </c>
      <c r="EL210">
        <v>0</v>
      </c>
      <c r="EM210" t="s">
        <v>1011</v>
      </c>
      <c r="EN210">
        <v>1.1499999999999999</v>
      </c>
      <c r="EO210">
        <v>11.2</v>
      </c>
      <c r="EP210">
        <v>99991120</v>
      </c>
      <c r="EQ210" t="s">
        <v>874</v>
      </c>
      <c r="ER210" t="s">
        <v>875</v>
      </c>
      <c r="ES210" t="s">
        <v>876</v>
      </c>
      <c r="ET210" t="s">
        <v>877</v>
      </c>
      <c r="EU210" t="s">
        <v>877</v>
      </c>
      <c r="EV210" t="s">
        <v>920</v>
      </c>
      <c r="EX210" t="s">
        <v>953</v>
      </c>
      <c r="EY210" t="s">
        <v>1555</v>
      </c>
      <c r="EZ210" t="s">
        <v>1013</v>
      </c>
      <c r="FA210" t="s">
        <v>925</v>
      </c>
      <c r="FB210">
        <v>1</v>
      </c>
      <c r="FC210">
        <v>1</v>
      </c>
      <c r="FD210" s="41">
        <v>46088</v>
      </c>
      <c r="FE210" t="s">
        <v>1719</v>
      </c>
      <c r="FF210">
        <v>6</v>
      </c>
      <c r="FG210" t="s">
        <v>2325</v>
      </c>
      <c r="FH210" t="s">
        <v>5170</v>
      </c>
      <c r="FI210">
        <v>1</v>
      </c>
      <c r="FJ210" t="s">
        <v>5171</v>
      </c>
      <c r="FK210" t="s">
        <v>5172</v>
      </c>
      <c r="FL210">
        <v>1</v>
      </c>
      <c r="FM210" t="s">
        <v>4209</v>
      </c>
      <c r="FN210" t="s">
        <v>5173</v>
      </c>
      <c r="FO210">
        <v>1</v>
      </c>
      <c r="FP210" t="s">
        <v>5174</v>
      </c>
      <c r="FQ210" t="s">
        <v>5168</v>
      </c>
      <c r="FR210">
        <v>1</v>
      </c>
      <c r="FS210" t="s">
        <v>1984</v>
      </c>
      <c r="FT210" t="s">
        <v>5175</v>
      </c>
      <c r="FU210">
        <v>1</v>
      </c>
      <c r="FV210" t="s">
        <v>1986</v>
      </c>
      <c r="FW210" t="s">
        <v>5176</v>
      </c>
      <c r="FX210">
        <v>1</v>
      </c>
      <c r="FY210" t="s">
        <v>890</v>
      </c>
      <c r="FZ210" t="s">
        <v>5177</v>
      </c>
      <c r="GA210" t="s">
        <v>5171</v>
      </c>
      <c r="GB210">
        <v>1</v>
      </c>
      <c r="GD210">
        <v>0</v>
      </c>
      <c r="GF210">
        <v>0</v>
      </c>
      <c r="GG210">
        <v>1</v>
      </c>
      <c r="GH210" t="s">
        <v>892</v>
      </c>
      <c r="GI210" t="s">
        <v>893</v>
      </c>
      <c r="GJ210" t="s">
        <v>5172</v>
      </c>
      <c r="GM210">
        <v>1</v>
      </c>
      <c r="GN210">
        <v>1</v>
      </c>
      <c r="GO210">
        <v>0</v>
      </c>
      <c r="GP210">
        <v>1</v>
      </c>
      <c r="GQ210">
        <v>1</v>
      </c>
      <c r="GR210">
        <v>0</v>
      </c>
      <c r="GS210">
        <v>1</v>
      </c>
      <c r="GT210">
        <v>0</v>
      </c>
      <c r="GU210">
        <v>1</v>
      </c>
      <c r="GV210">
        <v>0</v>
      </c>
      <c r="GW210">
        <v>1</v>
      </c>
      <c r="GX210">
        <v>0</v>
      </c>
      <c r="GY210">
        <v>1</v>
      </c>
      <c r="GZ210">
        <v>0</v>
      </c>
      <c r="HA210" t="s">
        <v>263</v>
      </c>
      <c r="HB210" t="s">
        <v>894</v>
      </c>
      <c r="HC210" t="s">
        <v>935</v>
      </c>
      <c r="HD210" t="s">
        <v>845</v>
      </c>
      <c r="HE210" t="s">
        <v>900</v>
      </c>
      <c r="HF210" t="s">
        <v>1012</v>
      </c>
      <c r="HG210" t="s">
        <v>894</v>
      </c>
      <c r="HH210" t="s">
        <v>935</v>
      </c>
      <c r="HI210" t="s">
        <v>845</v>
      </c>
      <c r="HJ210" t="s">
        <v>900</v>
      </c>
      <c r="HK210" t="s">
        <v>1011</v>
      </c>
      <c r="HL210" t="s">
        <v>1543</v>
      </c>
      <c r="HM210" t="s">
        <v>854</v>
      </c>
      <c r="HN210">
        <v>36805</v>
      </c>
      <c r="HP210" t="s">
        <v>134</v>
      </c>
      <c r="HQ210" t="s">
        <v>896</v>
      </c>
      <c r="HR210" t="s">
        <v>896</v>
      </c>
      <c r="HS210" t="s">
        <v>896</v>
      </c>
    </row>
    <row r="211" spans="1:227" x14ac:dyDescent="0.2">
      <c r="A211">
        <v>8702</v>
      </c>
      <c r="B211">
        <v>7530106553</v>
      </c>
      <c r="C211">
        <v>34</v>
      </c>
      <c r="D211" t="s">
        <v>996</v>
      </c>
      <c r="E211" t="s">
        <v>831</v>
      </c>
      <c r="F211">
        <v>0</v>
      </c>
      <c r="G211" t="s">
        <v>5178</v>
      </c>
      <c r="H211" t="s">
        <v>5178</v>
      </c>
      <c r="I211">
        <v>0</v>
      </c>
      <c r="J211" t="s">
        <v>833</v>
      </c>
      <c r="K211" t="s">
        <v>834</v>
      </c>
      <c r="L211">
        <v>153524588</v>
      </c>
      <c r="M211" t="s">
        <v>3555</v>
      </c>
      <c r="N211" t="s">
        <v>836</v>
      </c>
      <c r="O211" t="s">
        <v>837</v>
      </c>
      <c r="P211" t="s">
        <v>999</v>
      </c>
      <c r="Q211" t="s">
        <v>1027</v>
      </c>
      <c r="R211" t="s">
        <v>1631</v>
      </c>
      <c r="S211" t="s">
        <v>5179</v>
      </c>
      <c r="T211">
        <v>41477088992</v>
      </c>
      <c r="V211" t="s">
        <v>2903</v>
      </c>
      <c r="W211" s="41">
        <v>45962</v>
      </c>
      <c r="X211" t="s">
        <v>5180</v>
      </c>
      <c r="Y211" t="s">
        <v>5181</v>
      </c>
      <c r="AA211">
        <v>0</v>
      </c>
      <c r="AB211" t="s">
        <v>845</v>
      </c>
      <c r="AC211" t="s">
        <v>846</v>
      </c>
      <c r="AD211" t="s">
        <v>847</v>
      </c>
      <c r="AE211" t="s">
        <v>848</v>
      </c>
      <c r="AF211">
        <v>1</v>
      </c>
      <c r="AG211">
        <v>452210</v>
      </c>
      <c r="AH211" t="s">
        <v>849</v>
      </c>
      <c r="AI211" t="s">
        <v>850</v>
      </c>
      <c r="AJ211" t="s">
        <v>851</v>
      </c>
      <c r="AK211" t="s">
        <v>303</v>
      </c>
      <c r="AL211" t="s">
        <v>1115</v>
      </c>
      <c r="AM211" t="s">
        <v>2907</v>
      </c>
      <c r="AN211" t="s">
        <v>854</v>
      </c>
      <c r="AO211">
        <v>36805</v>
      </c>
      <c r="AP211">
        <v>563</v>
      </c>
      <c r="AQ211" t="s">
        <v>855</v>
      </c>
      <c r="AR211">
        <v>66183549</v>
      </c>
      <c r="AS211" t="s">
        <v>856</v>
      </c>
      <c r="AU211" t="s">
        <v>5182</v>
      </c>
      <c r="AV211" t="s">
        <v>5183</v>
      </c>
      <c r="AX211" t="s">
        <v>913</v>
      </c>
      <c r="AY211" t="s">
        <v>861</v>
      </c>
      <c r="AZ211" t="s">
        <v>303</v>
      </c>
      <c r="BA211" t="s">
        <v>304</v>
      </c>
      <c r="BB211">
        <v>0</v>
      </c>
      <c r="BC211">
        <v>1</v>
      </c>
      <c r="BD211">
        <v>0</v>
      </c>
      <c r="BE211" t="s">
        <v>3555</v>
      </c>
      <c r="BF211">
        <v>0</v>
      </c>
      <c r="BG211">
        <v>0</v>
      </c>
      <c r="BH211" t="s">
        <v>862</v>
      </c>
      <c r="BI211">
        <v>0</v>
      </c>
      <c r="BJ211" t="s">
        <v>862</v>
      </c>
      <c r="BK211">
        <v>1</v>
      </c>
      <c r="BL211">
        <v>1</v>
      </c>
      <c r="BM211">
        <v>0</v>
      </c>
      <c r="BN211" t="s">
        <v>596</v>
      </c>
      <c r="BO211">
        <v>153524588</v>
      </c>
      <c r="BP211" t="s">
        <v>5178</v>
      </c>
      <c r="BR211">
        <v>42791465</v>
      </c>
      <c r="BT211">
        <v>0</v>
      </c>
      <c r="CM211">
        <v>4010</v>
      </c>
      <c r="CO211">
        <v>7360</v>
      </c>
      <c r="CP211">
        <v>0.98329999999999995</v>
      </c>
      <c r="CQ211">
        <v>0.98329999999999995</v>
      </c>
      <c r="CR211">
        <v>0.15</v>
      </c>
      <c r="CS211">
        <v>2817</v>
      </c>
      <c r="CT211" t="s">
        <v>5184</v>
      </c>
      <c r="CU211" t="s">
        <v>5185</v>
      </c>
      <c r="CV211" t="s">
        <v>833</v>
      </c>
      <c r="CW211" t="s">
        <v>834</v>
      </c>
      <c r="CX211" t="s">
        <v>3555</v>
      </c>
      <c r="CY211">
        <v>1</v>
      </c>
      <c r="CZ211">
        <v>1</v>
      </c>
      <c r="DA211" t="s">
        <v>833</v>
      </c>
      <c r="DB211" t="s">
        <v>865</v>
      </c>
      <c r="DC211">
        <v>55902</v>
      </c>
      <c r="DD211">
        <v>54.1</v>
      </c>
      <c r="DE211" t="s">
        <v>866</v>
      </c>
      <c r="DG211" t="s">
        <v>867</v>
      </c>
      <c r="DH211" t="s">
        <v>851</v>
      </c>
      <c r="DI211" t="s">
        <v>1266</v>
      </c>
      <c r="DL211" t="s">
        <v>869</v>
      </c>
      <c r="DM211">
        <v>0</v>
      </c>
      <c r="DN211">
        <v>0</v>
      </c>
      <c r="DO211">
        <v>11</v>
      </c>
      <c r="DP211" t="s">
        <v>1010</v>
      </c>
      <c r="DQ211">
        <v>16</v>
      </c>
      <c r="DR211">
        <v>3246</v>
      </c>
      <c r="DS211">
        <v>6126</v>
      </c>
      <c r="DT211">
        <v>10.25</v>
      </c>
      <c r="DU211">
        <v>4</v>
      </c>
      <c r="DW211">
        <v>2</v>
      </c>
      <c r="DX211" t="s">
        <v>596</v>
      </c>
      <c r="DY211" t="s">
        <v>3555</v>
      </c>
      <c r="DZ211">
        <v>0</v>
      </c>
      <c r="EA211">
        <v>0</v>
      </c>
      <c r="EB211">
        <v>1</v>
      </c>
      <c r="EC211">
        <v>0</v>
      </c>
      <c r="ED211">
        <v>0</v>
      </c>
      <c r="EE211">
        <v>1</v>
      </c>
      <c r="EF211" t="s">
        <v>871</v>
      </c>
      <c r="EG211" t="s">
        <v>595</v>
      </c>
      <c r="EH211" t="s">
        <v>921</v>
      </c>
      <c r="EI211" t="s">
        <v>921</v>
      </c>
      <c r="EJ211" t="s">
        <v>159</v>
      </c>
      <c r="EK211">
        <v>9090</v>
      </c>
      <c r="EL211">
        <v>1</v>
      </c>
      <c r="EM211" t="s">
        <v>873</v>
      </c>
      <c r="EN211">
        <v>0.15</v>
      </c>
      <c r="EO211">
        <v>102.1</v>
      </c>
      <c r="EP211">
        <v>99991120</v>
      </c>
      <c r="EQ211" t="s">
        <v>874</v>
      </c>
      <c r="ER211" t="s">
        <v>875</v>
      </c>
      <c r="ES211" t="s">
        <v>876</v>
      </c>
      <c r="ET211" t="s">
        <v>877</v>
      </c>
      <c r="EU211" t="s">
        <v>877</v>
      </c>
      <c r="EV211" t="s">
        <v>871</v>
      </c>
      <c r="EX211" t="s">
        <v>836</v>
      </c>
      <c r="EY211" t="s">
        <v>1121</v>
      </c>
      <c r="EZ211" t="s">
        <v>2913</v>
      </c>
      <c r="FA211" t="s">
        <v>1212</v>
      </c>
      <c r="FB211">
        <v>1</v>
      </c>
      <c r="FC211">
        <v>2</v>
      </c>
      <c r="FD211" s="41">
        <v>45962</v>
      </c>
      <c r="FE211" t="s">
        <v>1438</v>
      </c>
      <c r="FF211">
        <v>17</v>
      </c>
      <c r="FG211" t="s">
        <v>1502</v>
      </c>
      <c r="FH211" t="s">
        <v>5186</v>
      </c>
      <c r="FI211">
        <v>1</v>
      </c>
      <c r="FJ211" t="s">
        <v>5187</v>
      </c>
      <c r="FK211" t="s">
        <v>5188</v>
      </c>
      <c r="FL211">
        <v>1</v>
      </c>
      <c r="FM211" t="s">
        <v>5189</v>
      </c>
      <c r="FN211" t="s">
        <v>5190</v>
      </c>
      <c r="FO211">
        <v>1</v>
      </c>
      <c r="FP211" t="s">
        <v>5191</v>
      </c>
      <c r="FQ211" t="s">
        <v>5185</v>
      </c>
      <c r="FR211">
        <v>1</v>
      </c>
      <c r="FS211" t="s">
        <v>2736</v>
      </c>
      <c r="FT211" t="s">
        <v>5192</v>
      </c>
      <c r="FU211">
        <v>1</v>
      </c>
      <c r="FV211" t="s">
        <v>5193</v>
      </c>
      <c r="FW211" t="s">
        <v>5194</v>
      </c>
      <c r="FX211">
        <v>1</v>
      </c>
      <c r="FY211" t="s">
        <v>890</v>
      </c>
      <c r="FZ211" t="s">
        <v>5195</v>
      </c>
      <c r="GA211" t="s">
        <v>5187</v>
      </c>
      <c r="GB211">
        <v>1</v>
      </c>
      <c r="GD211">
        <v>0</v>
      </c>
      <c r="GF211">
        <v>0</v>
      </c>
      <c r="GG211">
        <v>1</v>
      </c>
      <c r="GH211" t="s">
        <v>892</v>
      </c>
      <c r="GI211" t="s">
        <v>893</v>
      </c>
      <c r="GJ211" t="s">
        <v>5188</v>
      </c>
      <c r="GM211">
        <v>1</v>
      </c>
      <c r="GN211">
        <v>0</v>
      </c>
      <c r="GO211">
        <v>0</v>
      </c>
      <c r="GP211">
        <v>1</v>
      </c>
      <c r="GQ211">
        <v>1</v>
      </c>
      <c r="GR211">
        <v>0</v>
      </c>
      <c r="GS211">
        <v>1</v>
      </c>
      <c r="GT211">
        <v>0</v>
      </c>
      <c r="GU211">
        <v>1</v>
      </c>
      <c r="GV211">
        <v>0</v>
      </c>
      <c r="GW211">
        <v>1</v>
      </c>
      <c r="GX211">
        <v>0</v>
      </c>
      <c r="GY211">
        <v>1</v>
      </c>
      <c r="GZ211">
        <v>0</v>
      </c>
      <c r="HA211" t="s">
        <v>303</v>
      </c>
      <c r="HB211" t="s">
        <v>894</v>
      </c>
      <c r="HC211" t="s">
        <v>895</v>
      </c>
      <c r="HD211" t="s">
        <v>845</v>
      </c>
      <c r="HE211" t="s">
        <v>836</v>
      </c>
      <c r="HF211" t="s">
        <v>873</v>
      </c>
      <c r="HG211" t="s">
        <v>894</v>
      </c>
      <c r="HH211" t="s">
        <v>895</v>
      </c>
      <c r="HI211" t="s">
        <v>845</v>
      </c>
      <c r="HJ211" t="s">
        <v>836</v>
      </c>
      <c r="HK211" t="s">
        <v>873</v>
      </c>
      <c r="HL211" t="s">
        <v>2903</v>
      </c>
      <c r="HM211" t="s">
        <v>854</v>
      </c>
      <c r="HN211">
        <v>36805</v>
      </c>
      <c r="HP211" t="s">
        <v>159</v>
      </c>
      <c r="HQ211" t="s">
        <v>896</v>
      </c>
      <c r="HR211" t="s">
        <v>896</v>
      </c>
      <c r="HS211" t="s">
        <v>896</v>
      </c>
    </row>
    <row r="212" spans="1:227" x14ac:dyDescent="0.2">
      <c r="A212">
        <v>8702</v>
      </c>
      <c r="B212">
        <v>7605902380</v>
      </c>
      <c r="C212">
        <v>36</v>
      </c>
      <c r="D212" t="s">
        <v>1302</v>
      </c>
      <c r="E212" t="s">
        <v>897</v>
      </c>
      <c r="F212">
        <v>1</v>
      </c>
      <c r="G212" t="s">
        <v>5196</v>
      </c>
      <c r="H212" t="s">
        <v>5196</v>
      </c>
      <c r="I212">
        <v>0</v>
      </c>
      <c r="J212" t="s">
        <v>833</v>
      </c>
      <c r="K212" t="s">
        <v>834</v>
      </c>
      <c r="L212">
        <v>153406488</v>
      </c>
      <c r="M212" t="s">
        <v>2177</v>
      </c>
      <c r="N212" t="s">
        <v>900</v>
      </c>
      <c r="O212" t="s">
        <v>837</v>
      </c>
      <c r="P212" t="s">
        <v>1302</v>
      </c>
      <c r="Q212" t="s">
        <v>2357</v>
      </c>
      <c r="R212" t="s">
        <v>5197</v>
      </c>
      <c r="S212" t="s">
        <v>5198</v>
      </c>
      <c r="T212">
        <v>30300127375</v>
      </c>
      <c r="V212" t="s">
        <v>202</v>
      </c>
      <c r="W212" s="41">
        <v>46081</v>
      </c>
      <c r="X212" t="s">
        <v>5199</v>
      </c>
      <c r="Y212" t="s">
        <v>5200</v>
      </c>
      <c r="AA212">
        <v>0</v>
      </c>
      <c r="AB212" t="s">
        <v>845</v>
      </c>
      <c r="AC212" t="s">
        <v>846</v>
      </c>
      <c r="AD212" t="s">
        <v>1113</v>
      </c>
      <c r="AE212" t="s">
        <v>1114</v>
      </c>
      <c r="AF212">
        <v>1</v>
      </c>
      <c r="AG212">
        <v>452210</v>
      </c>
      <c r="AH212" t="s">
        <v>849</v>
      </c>
      <c r="AI212" t="s">
        <v>850</v>
      </c>
      <c r="AJ212" t="s">
        <v>851</v>
      </c>
      <c r="AK212" t="s">
        <v>496</v>
      </c>
      <c r="AL212" t="s">
        <v>5201</v>
      </c>
      <c r="AM212" t="s">
        <v>947</v>
      </c>
      <c r="AN212" t="s">
        <v>854</v>
      </c>
      <c r="AO212">
        <v>36805</v>
      </c>
      <c r="AP212">
        <v>643</v>
      </c>
      <c r="AQ212" t="s">
        <v>855</v>
      </c>
      <c r="AR212">
        <v>66354461</v>
      </c>
      <c r="AS212" t="s">
        <v>856</v>
      </c>
      <c r="AU212" t="s">
        <v>5202</v>
      </c>
      <c r="AV212" t="s">
        <v>5203</v>
      </c>
      <c r="AX212" t="s">
        <v>913</v>
      </c>
      <c r="AY212" t="s">
        <v>861</v>
      </c>
      <c r="AZ212" t="s">
        <v>496</v>
      </c>
      <c r="BA212" t="s">
        <v>497</v>
      </c>
      <c r="BB212">
        <v>0</v>
      </c>
      <c r="BC212">
        <v>0</v>
      </c>
      <c r="BD212">
        <v>1</v>
      </c>
      <c r="BE212" t="s">
        <v>2177</v>
      </c>
      <c r="BF212">
        <v>0</v>
      </c>
      <c r="BG212">
        <v>0</v>
      </c>
      <c r="BH212" t="s">
        <v>862</v>
      </c>
      <c r="BI212">
        <v>0</v>
      </c>
      <c r="BJ212" t="s">
        <v>862</v>
      </c>
      <c r="BK212">
        <v>1</v>
      </c>
      <c r="BL212">
        <v>1</v>
      </c>
      <c r="BM212">
        <v>0</v>
      </c>
      <c r="BN212" t="s">
        <v>596</v>
      </c>
      <c r="BO212">
        <v>153406488</v>
      </c>
      <c r="BP212" t="s">
        <v>5196</v>
      </c>
      <c r="BR212">
        <v>42791774</v>
      </c>
      <c r="BT212">
        <v>2</v>
      </c>
      <c r="BU212" t="s">
        <v>1780</v>
      </c>
      <c r="CE212">
        <v>1</v>
      </c>
      <c r="CI212">
        <v>11</v>
      </c>
      <c r="CJ212" t="s">
        <v>94</v>
      </c>
      <c r="CM212">
        <v>4010</v>
      </c>
      <c r="CO212">
        <v>7360</v>
      </c>
      <c r="CP212">
        <v>0.7167</v>
      </c>
      <c r="CQ212">
        <v>0.7167</v>
      </c>
      <c r="CR212">
        <v>1.8167</v>
      </c>
      <c r="CS212">
        <v>23</v>
      </c>
      <c r="CT212" t="s">
        <v>5204</v>
      </c>
      <c r="CU212" t="s">
        <v>5205</v>
      </c>
      <c r="CV212" t="s">
        <v>833</v>
      </c>
      <c r="CW212" t="s">
        <v>834</v>
      </c>
      <c r="CX212" t="s">
        <v>2177</v>
      </c>
      <c r="CY212">
        <v>1</v>
      </c>
      <c r="CZ212">
        <v>1</v>
      </c>
      <c r="DA212" t="s">
        <v>833</v>
      </c>
      <c r="DB212" t="s">
        <v>865</v>
      </c>
      <c r="DC212">
        <v>48083</v>
      </c>
      <c r="DD212">
        <v>2.5667</v>
      </c>
      <c r="DE212" t="s">
        <v>866</v>
      </c>
      <c r="DG212" t="s">
        <v>867</v>
      </c>
      <c r="DH212" t="s">
        <v>851</v>
      </c>
      <c r="DJ212">
        <v>643</v>
      </c>
      <c r="DK212" t="s">
        <v>918</v>
      </c>
      <c r="DL212" t="s">
        <v>869</v>
      </c>
      <c r="DM212">
        <v>0</v>
      </c>
      <c r="DN212">
        <v>0</v>
      </c>
      <c r="DO212">
        <v>11</v>
      </c>
      <c r="DP212" t="s">
        <v>1010</v>
      </c>
      <c r="DQ212">
        <v>0</v>
      </c>
      <c r="DR212">
        <v>154</v>
      </c>
      <c r="DS212">
        <v>154</v>
      </c>
      <c r="DT212">
        <v>1.85</v>
      </c>
      <c r="DU212">
        <v>0</v>
      </c>
      <c r="DV212">
        <v>1</v>
      </c>
      <c r="DW212">
        <v>2</v>
      </c>
      <c r="DX212" t="s">
        <v>596</v>
      </c>
      <c r="DY212" t="s">
        <v>2177</v>
      </c>
      <c r="DZ212">
        <v>1</v>
      </c>
      <c r="EA212">
        <v>1</v>
      </c>
      <c r="EB212">
        <v>1</v>
      </c>
      <c r="EC212">
        <v>1</v>
      </c>
      <c r="ED212">
        <v>1</v>
      </c>
      <c r="EE212">
        <v>1</v>
      </c>
      <c r="EF212" t="s">
        <v>871</v>
      </c>
      <c r="EG212" t="s">
        <v>595</v>
      </c>
      <c r="EH212" t="s">
        <v>921</v>
      </c>
      <c r="EI212" t="s">
        <v>921</v>
      </c>
      <c r="EJ212" t="s">
        <v>178</v>
      </c>
      <c r="EK212">
        <v>9090</v>
      </c>
      <c r="EL212">
        <v>0</v>
      </c>
      <c r="EM212" t="s">
        <v>952</v>
      </c>
      <c r="EN212">
        <v>1.8167</v>
      </c>
      <c r="EO212">
        <v>2.5666666999999999</v>
      </c>
      <c r="EP212">
        <v>99991120</v>
      </c>
      <c r="EQ212" t="s">
        <v>874</v>
      </c>
      <c r="ER212" t="s">
        <v>875</v>
      </c>
      <c r="ES212" t="s">
        <v>876</v>
      </c>
      <c r="ET212" t="s">
        <v>877</v>
      </c>
      <c r="EU212" t="s">
        <v>877</v>
      </c>
      <c r="EV212" t="s">
        <v>871</v>
      </c>
      <c r="EX212" t="s">
        <v>953</v>
      </c>
      <c r="EY212" t="s">
        <v>954</v>
      </c>
      <c r="EZ212" t="s">
        <v>955</v>
      </c>
      <c r="FA212" t="s">
        <v>956</v>
      </c>
      <c r="FB212">
        <v>1</v>
      </c>
      <c r="FC212">
        <v>1</v>
      </c>
      <c r="FD212" s="41">
        <v>46081</v>
      </c>
      <c r="FE212" t="s">
        <v>1267</v>
      </c>
      <c r="FF212">
        <v>5</v>
      </c>
      <c r="FI212">
        <v>0</v>
      </c>
      <c r="FJ212" t="s">
        <v>5206</v>
      </c>
      <c r="FK212" t="s">
        <v>5207</v>
      </c>
      <c r="FL212">
        <v>1</v>
      </c>
      <c r="FM212" t="s">
        <v>2193</v>
      </c>
      <c r="FN212" t="s">
        <v>5208</v>
      </c>
      <c r="FO212">
        <v>1</v>
      </c>
      <c r="FP212" t="s">
        <v>5209</v>
      </c>
      <c r="FQ212" t="s">
        <v>5205</v>
      </c>
      <c r="FR212">
        <v>1</v>
      </c>
      <c r="FS212" t="s">
        <v>5210</v>
      </c>
      <c r="FT212" t="s">
        <v>5211</v>
      </c>
      <c r="FU212">
        <v>1</v>
      </c>
      <c r="FV212" t="s">
        <v>5212</v>
      </c>
      <c r="FW212" t="s">
        <v>5207</v>
      </c>
      <c r="FX212">
        <v>1</v>
      </c>
      <c r="FY212" t="s">
        <v>890</v>
      </c>
      <c r="FZ212" t="s">
        <v>5213</v>
      </c>
      <c r="GA212" t="s">
        <v>5206</v>
      </c>
      <c r="GB212">
        <v>1</v>
      </c>
      <c r="GD212">
        <v>0</v>
      </c>
      <c r="GF212">
        <v>0</v>
      </c>
      <c r="GG212">
        <v>1</v>
      </c>
      <c r="GH212" t="s">
        <v>892</v>
      </c>
      <c r="GI212" t="s">
        <v>893</v>
      </c>
      <c r="GJ212" t="s">
        <v>5207</v>
      </c>
      <c r="GM212">
        <v>1</v>
      </c>
      <c r="GN212">
        <v>0</v>
      </c>
      <c r="GO212">
        <v>1</v>
      </c>
      <c r="GP212">
        <v>1</v>
      </c>
      <c r="GQ212">
        <v>1</v>
      </c>
      <c r="GR212">
        <v>0</v>
      </c>
      <c r="GS212">
        <v>1</v>
      </c>
      <c r="GT212">
        <v>1</v>
      </c>
      <c r="GU212">
        <v>1</v>
      </c>
      <c r="GV212">
        <v>0</v>
      </c>
      <c r="GW212">
        <v>1</v>
      </c>
      <c r="GX212">
        <v>1</v>
      </c>
      <c r="GY212">
        <v>1</v>
      </c>
      <c r="GZ212">
        <v>0</v>
      </c>
      <c r="HA212" t="s">
        <v>496</v>
      </c>
      <c r="HB212" t="s">
        <v>894</v>
      </c>
      <c r="HC212" t="s">
        <v>935</v>
      </c>
      <c r="HD212" t="s">
        <v>845</v>
      </c>
      <c r="HE212" t="s">
        <v>900</v>
      </c>
      <c r="HF212" t="s">
        <v>923</v>
      </c>
      <c r="HG212" t="s">
        <v>894</v>
      </c>
      <c r="HH212" t="s">
        <v>935</v>
      </c>
      <c r="HI212" t="s">
        <v>845</v>
      </c>
      <c r="HJ212" t="s">
        <v>900</v>
      </c>
      <c r="HK212" t="s">
        <v>952</v>
      </c>
      <c r="HL212" t="s">
        <v>202</v>
      </c>
      <c r="HM212" t="s">
        <v>854</v>
      </c>
      <c r="HN212">
        <v>36805</v>
      </c>
      <c r="HP212" t="s">
        <v>178</v>
      </c>
      <c r="HQ212" t="s">
        <v>896</v>
      </c>
      <c r="HR212" t="s">
        <v>896</v>
      </c>
      <c r="HS212" t="s">
        <v>896</v>
      </c>
    </row>
    <row r="213" spans="1:227" x14ac:dyDescent="0.2">
      <c r="A213">
        <v>8702</v>
      </c>
      <c r="B213">
        <v>7602312079</v>
      </c>
      <c r="C213" t="s">
        <v>1171</v>
      </c>
      <c r="D213" t="s">
        <v>1172</v>
      </c>
      <c r="E213" t="s">
        <v>831</v>
      </c>
      <c r="F213">
        <v>0</v>
      </c>
      <c r="G213" t="s">
        <v>5214</v>
      </c>
      <c r="H213" t="s">
        <v>5214</v>
      </c>
      <c r="I213">
        <v>0</v>
      </c>
      <c r="J213" t="s">
        <v>833</v>
      </c>
      <c r="K213" t="s">
        <v>834</v>
      </c>
      <c r="L213">
        <v>148748243</v>
      </c>
      <c r="M213" t="s">
        <v>5215</v>
      </c>
      <c r="N213" t="s">
        <v>836</v>
      </c>
      <c r="O213" t="s">
        <v>837</v>
      </c>
      <c r="P213" t="s">
        <v>1175</v>
      </c>
      <c r="Q213" t="s">
        <v>1176</v>
      </c>
      <c r="R213" t="s">
        <v>5216</v>
      </c>
      <c r="S213" t="s">
        <v>5217</v>
      </c>
      <c r="T213">
        <v>41477100361</v>
      </c>
      <c r="V213" t="s">
        <v>183</v>
      </c>
      <c r="W213" s="41">
        <v>46046</v>
      </c>
      <c r="X213" t="s">
        <v>5218</v>
      </c>
      <c r="Y213" t="s">
        <v>5219</v>
      </c>
      <c r="Z213">
        <v>1</v>
      </c>
      <c r="AA213">
        <v>0</v>
      </c>
      <c r="AB213" t="s">
        <v>845</v>
      </c>
      <c r="AC213" t="s">
        <v>846</v>
      </c>
      <c r="AD213" t="s">
        <v>1335</v>
      </c>
      <c r="AE213" t="s">
        <v>1336</v>
      </c>
      <c r="AF213">
        <v>1</v>
      </c>
      <c r="AG213">
        <v>452210</v>
      </c>
      <c r="AH213" t="s">
        <v>849</v>
      </c>
      <c r="AI213" t="s">
        <v>850</v>
      </c>
      <c r="AJ213" t="s">
        <v>851</v>
      </c>
      <c r="AK213" t="s">
        <v>500</v>
      </c>
      <c r="AL213" t="s">
        <v>5220</v>
      </c>
      <c r="AM213" t="s">
        <v>1429</v>
      </c>
      <c r="AN213" t="s">
        <v>854</v>
      </c>
      <c r="AO213">
        <v>36805</v>
      </c>
      <c r="AP213">
        <v>632</v>
      </c>
      <c r="AQ213" t="s">
        <v>855</v>
      </c>
      <c r="AR213">
        <v>66303838</v>
      </c>
      <c r="AS213" t="s">
        <v>856</v>
      </c>
      <c r="AU213" t="s">
        <v>5221</v>
      </c>
      <c r="AV213" t="s">
        <v>5222</v>
      </c>
      <c r="AW213" t="s">
        <v>5223</v>
      </c>
      <c r="AX213" t="s">
        <v>5224</v>
      </c>
      <c r="AY213" t="s">
        <v>861</v>
      </c>
      <c r="AZ213" t="s">
        <v>500</v>
      </c>
      <c r="BA213" t="s">
        <v>501</v>
      </c>
      <c r="BB213">
        <v>0</v>
      </c>
      <c r="BC213">
        <v>0</v>
      </c>
      <c r="BD213">
        <v>0</v>
      </c>
      <c r="BE213" t="s">
        <v>5215</v>
      </c>
      <c r="BF213">
        <v>0</v>
      </c>
      <c r="BG213">
        <v>0</v>
      </c>
      <c r="BH213" t="s">
        <v>862</v>
      </c>
      <c r="BI213">
        <v>0</v>
      </c>
      <c r="BJ213" t="s">
        <v>862</v>
      </c>
      <c r="BK213">
        <v>1</v>
      </c>
      <c r="BL213">
        <v>0</v>
      </c>
      <c r="BM213">
        <v>0</v>
      </c>
      <c r="BN213" t="s">
        <v>596</v>
      </c>
      <c r="BP213" t="s">
        <v>5214</v>
      </c>
      <c r="BR213">
        <v>42791748</v>
      </c>
      <c r="BT213">
        <v>2</v>
      </c>
      <c r="BU213" t="s">
        <v>1367</v>
      </c>
      <c r="CE213">
        <v>1</v>
      </c>
      <c r="CI213">
        <v>11</v>
      </c>
      <c r="CJ213" t="s">
        <v>94</v>
      </c>
      <c r="CM213">
        <v>4010</v>
      </c>
      <c r="CO213">
        <v>7360</v>
      </c>
      <c r="CP213">
        <v>0.4667</v>
      </c>
      <c r="CQ213">
        <v>0.4667</v>
      </c>
      <c r="CR213">
        <v>0.7167</v>
      </c>
      <c r="CS213">
        <v>3</v>
      </c>
      <c r="CT213" t="s">
        <v>5225</v>
      </c>
      <c r="CU213" t="s">
        <v>5226</v>
      </c>
      <c r="CV213" t="s">
        <v>833</v>
      </c>
      <c r="CW213" t="s">
        <v>834</v>
      </c>
      <c r="CX213" t="s">
        <v>1423</v>
      </c>
      <c r="CY213">
        <v>0</v>
      </c>
      <c r="CZ213">
        <v>0</v>
      </c>
      <c r="DA213" t="s">
        <v>833</v>
      </c>
      <c r="DB213" t="s">
        <v>865</v>
      </c>
      <c r="DC213">
        <v>60515</v>
      </c>
      <c r="DD213">
        <v>8.2332999999999998</v>
      </c>
      <c r="DE213" t="s">
        <v>866</v>
      </c>
      <c r="DG213" t="s">
        <v>867</v>
      </c>
      <c r="DH213" t="s">
        <v>851</v>
      </c>
      <c r="DK213" t="s">
        <v>918</v>
      </c>
      <c r="DL213" t="s">
        <v>869</v>
      </c>
      <c r="DM213">
        <v>0</v>
      </c>
      <c r="DN213">
        <v>0</v>
      </c>
      <c r="DO213">
        <v>3</v>
      </c>
      <c r="DP213" t="s">
        <v>919</v>
      </c>
      <c r="DQ213">
        <v>16</v>
      </c>
      <c r="DR213">
        <v>494</v>
      </c>
      <c r="DS213">
        <v>1214</v>
      </c>
      <c r="DT213">
        <v>7.7832999999999997</v>
      </c>
      <c r="DU213">
        <v>4</v>
      </c>
      <c r="DV213">
        <v>1</v>
      </c>
      <c r="DW213">
        <v>2</v>
      </c>
      <c r="DX213" t="s">
        <v>594</v>
      </c>
      <c r="DY213" t="s">
        <v>5215</v>
      </c>
      <c r="DZ213">
        <v>0</v>
      </c>
      <c r="EA213">
        <v>0</v>
      </c>
      <c r="EB213">
        <v>0</v>
      </c>
      <c r="EC213">
        <v>0</v>
      </c>
      <c r="ED213">
        <v>0</v>
      </c>
      <c r="EE213">
        <v>0</v>
      </c>
      <c r="EF213" t="s">
        <v>920</v>
      </c>
      <c r="EG213" t="s">
        <v>595</v>
      </c>
      <c r="EH213" t="s">
        <v>872</v>
      </c>
      <c r="EI213" t="s">
        <v>872</v>
      </c>
      <c r="EJ213" t="s">
        <v>181</v>
      </c>
      <c r="EK213">
        <v>9090</v>
      </c>
      <c r="EL213">
        <v>0</v>
      </c>
      <c r="EM213" t="s">
        <v>1436</v>
      </c>
      <c r="EN213">
        <v>0.7167</v>
      </c>
      <c r="EO213">
        <v>20.233333300000002</v>
      </c>
      <c r="EP213">
        <v>99991120</v>
      </c>
      <c r="EQ213" t="s">
        <v>874</v>
      </c>
      <c r="ER213" t="s">
        <v>875</v>
      </c>
      <c r="ES213" t="s">
        <v>876</v>
      </c>
      <c r="ET213" t="s">
        <v>877</v>
      </c>
      <c r="EU213" t="s">
        <v>877</v>
      </c>
      <c r="EV213" t="s">
        <v>920</v>
      </c>
      <c r="EX213" t="s">
        <v>836</v>
      </c>
      <c r="EY213" t="s">
        <v>873</v>
      </c>
      <c r="EZ213" t="s">
        <v>1437</v>
      </c>
      <c r="FA213" t="s">
        <v>956</v>
      </c>
      <c r="FB213">
        <v>1</v>
      </c>
      <c r="FC213">
        <v>1</v>
      </c>
      <c r="FD213" s="41">
        <v>46046</v>
      </c>
      <c r="FE213" t="s">
        <v>1370</v>
      </c>
      <c r="FF213">
        <v>10</v>
      </c>
      <c r="FG213" t="s">
        <v>5227</v>
      </c>
      <c r="FH213" t="s">
        <v>5228</v>
      </c>
      <c r="FI213">
        <v>1</v>
      </c>
      <c r="FJ213" t="s">
        <v>5229</v>
      </c>
      <c r="FK213" t="s">
        <v>5228</v>
      </c>
      <c r="FL213">
        <v>1</v>
      </c>
      <c r="FM213" t="s">
        <v>5230</v>
      </c>
      <c r="FN213" t="s">
        <v>5231</v>
      </c>
      <c r="FO213">
        <v>1</v>
      </c>
      <c r="FP213" t="s">
        <v>5232</v>
      </c>
      <c r="FQ213" t="s">
        <v>5226</v>
      </c>
      <c r="FR213">
        <v>1</v>
      </c>
      <c r="FS213" t="s">
        <v>4556</v>
      </c>
      <c r="FT213" t="s">
        <v>5233</v>
      </c>
      <c r="FU213">
        <v>1</v>
      </c>
      <c r="FV213" t="s">
        <v>4558</v>
      </c>
      <c r="FW213" t="s">
        <v>5234</v>
      </c>
      <c r="FX213">
        <v>1</v>
      </c>
      <c r="FY213" t="s">
        <v>890</v>
      </c>
      <c r="FZ213" t="s">
        <v>5235</v>
      </c>
      <c r="GA213" t="s">
        <v>5229</v>
      </c>
      <c r="GB213">
        <v>1</v>
      </c>
      <c r="GD213">
        <v>0</v>
      </c>
      <c r="GF213">
        <v>0</v>
      </c>
      <c r="GG213">
        <v>1</v>
      </c>
      <c r="GH213" t="s">
        <v>892</v>
      </c>
      <c r="GI213" t="s">
        <v>893</v>
      </c>
      <c r="GJ213" t="s">
        <v>5228</v>
      </c>
      <c r="GM213">
        <v>1</v>
      </c>
      <c r="GN213">
        <v>1</v>
      </c>
      <c r="GO213">
        <v>0</v>
      </c>
      <c r="GP213">
        <v>1</v>
      </c>
      <c r="GQ213">
        <v>1</v>
      </c>
      <c r="GR213">
        <v>0</v>
      </c>
      <c r="GS213">
        <v>1</v>
      </c>
      <c r="GT213">
        <v>0</v>
      </c>
      <c r="GU213">
        <v>1</v>
      </c>
      <c r="GV213">
        <v>0</v>
      </c>
      <c r="GW213">
        <v>1</v>
      </c>
      <c r="GX213">
        <v>0</v>
      </c>
      <c r="GY213">
        <v>1</v>
      </c>
      <c r="GZ213">
        <v>0</v>
      </c>
      <c r="HA213" t="s">
        <v>500</v>
      </c>
      <c r="HB213" t="s">
        <v>894</v>
      </c>
      <c r="HC213" t="s">
        <v>895</v>
      </c>
      <c r="HD213" t="s">
        <v>845</v>
      </c>
      <c r="HE213" t="s">
        <v>836</v>
      </c>
      <c r="HF213" t="s">
        <v>873</v>
      </c>
      <c r="HG213" t="s">
        <v>894</v>
      </c>
      <c r="HH213" t="s">
        <v>895</v>
      </c>
      <c r="HI213" t="s">
        <v>845</v>
      </c>
      <c r="HJ213" t="s">
        <v>836</v>
      </c>
      <c r="HK213" t="s">
        <v>1436</v>
      </c>
      <c r="HL213" t="s">
        <v>183</v>
      </c>
      <c r="HM213" t="s">
        <v>854</v>
      </c>
      <c r="HN213">
        <v>36805</v>
      </c>
      <c r="HP213" t="s">
        <v>181</v>
      </c>
      <c r="HQ213" t="s">
        <v>896</v>
      </c>
      <c r="HR213" t="s">
        <v>896</v>
      </c>
      <c r="HS213" t="s">
        <v>896</v>
      </c>
    </row>
    <row r="214" spans="1:227" x14ac:dyDescent="0.2">
      <c r="A214">
        <v>8702</v>
      </c>
      <c r="B214">
        <v>7609403967</v>
      </c>
      <c r="C214" t="s">
        <v>936</v>
      </c>
      <c r="D214" t="s">
        <v>937</v>
      </c>
      <c r="E214" t="s">
        <v>831</v>
      </c>
      <c r="F214">
        <v>1</v>
      </c>
      <c r="G214" t="s">
        <v>5236</v>
      </c>
      <c r="H214" t="s">
        <v>5236</v>
      </c>
      <c r="I214">
        <v>0</v>
      </c>
      <c r="J214" t="s">
        <v>833</v>
      </c>
      <c r="K214" t="s">
        <v>834</v>
      </c>
      <c r="L214">
        <v>149860719</v>
      </c>
      <c r="M214" t="s">
        <v>5237</v>
      </c>
      <c r="N214" t="s">
        <v>836</v>
      </c>
      <c r="O214" t="s">
        <v>837</v>
      </c>
      <c r="P214" t="s">
        <v>940</v>
      </c>
      <c r="Q214" t="s">
        <v>1080</v>
      </c>
      <c r="R214" t="s">
        <v>5238</v>
      </c>
      <c r="S214" t="s">
        <v>5239</v>
      </c>
      <c r="T214">
        <v>41477075231</v>
      </c>
      <c r="V214" t="s">
        <v>117</v>
      </c>
      <c r="W214" s="41">
        <v>46115</v>
      </c>
      <c r="X214" t="s">
        <v>5240</v>
      </c>
      <c r="Y214" t="s">
        <v>5241</v>
      </c>
      <c r="AA214">
        <v>0</v>
      </c>
      <c r="AB214" t="s">
        <v>845</v>
      </c>
      <c r="AC214" t="s">
        <v>846</v>
      </c>
      <c r="AD214" t="s">
        <v>1335</v>
      </c>
      <c r="AE214" t="s">
        <v>1336</v>
      </c>
      <c r="AF214">
        <v>1</v>
      </c>
      <c r="AG214">
        <v>452210</v>
      </c>
      <c r="AH214" t="s">
        <v>849</v>
      </c>
      <c r="AI214" t="s">
        <v>850</v>
      </c>
      <c r="AJ214" t="s">
        <v>851</v>
      </c>
      <c r="AK214" t="s">
        <v>289</v>
      </c>
      <c r="AL214" t="s">
        <v>2443</v>
      </c>
      <c r="AM214" t="s">
        <v>1364</v>
      </c>
      <c r="AN214" t="s">
        <v>854</v>
      </c>
      <c r="AO214">
        <v>36805</v>
      </c>
      <c r="AP214">
        <v>493</v>
      </c>
      <c r="AQ214" t="s">
        <v>855</v>
      </c>
      <c r="AR214">
        <v>66403929</v>
      </c>
      <c r="AS214" t="s">
        <v>856</v>
      </c>
      <c r="AU214" t="s">
        <v>5242</v>
      </c>
      <c r="AV214" t="s">
        <v>5243</v>
      </c>
      <c r="AX214" t="s">
        <v>913</v>
      </c>
      <c r="AY214" t="s">
        <v>861</v>
      </c>
      <c r="AZ214" t="s">
        <v>289</v>
      </c>
      <c r="BA214" t="s">
        <v>290</v>
      </c>
      <c r="BB214">
        <v>0</v>
      </c>
      <c r="BC214">
        <v>0</v>
      </c>
      <c r="BD214">
        <v>0</v>
      </c>
      <c r="BE214" t="s">
        <v>5237</v>
      </c>
      <c r="BF214">
        <v>0</v>
      </c>
      <c r="BG214">
        <v>0</v>
      </c>
      <c r="BH214" t="s">
        <v>862</v>
      </c>
      <c r="BI214">
        <v>0</v>
      </c>
      <c r="BJ214" t="s">
        <v>862</v>
      </c>
      <c r="BK214">
        <v>1</v>
      </c>
      <c r="BL214">
        <v>1</v>
      </c>
      <c r="BM214">
        <v>0</v>
      </c>
      <c r="BN214" t="s">
        <v>596</v>
      </c>
      <c r="BP214" t="s">
        <v>5236</v>
      </c>
      <c r="BR214">
        <v>42789054</v>
      </c>
      <c r="BT214">
        <v>2</v>
      </c>
      <c r="BU214" t="s">
        <v>1119</v>
      </c>
      <c r="BY214">
        <v>16</v>
      </c>
      <c r="CA214">
        <v>1</v>
      </c>
      <c r="CE214">
        <v>1</v>
      </c>
      <c r="CI214">
        <v>11</v>
      </c>
      <c r="CJ214" t="s">
        <v>94</v>
      </c>
      <c r="CM214">
        <v>4010</v>
      </c>
      <c r="CO214">
        <v>7360</v>
      </c>
      <c r="CP214">
        <v>1.3167</v>
      </c>
      <c r="CQ214">
        <v>1.3167</v>
      </c>
      <c r="CR214">
        <v>0.7167</v>
      </c>
      <c r="CS214">
        <v>10</v>
      </c>
      <c r="CT214" t="s">
        <v>5243</v>
      </c>
      <c r="CU214" t="s">
        <v>5242</v>
      </c>
      <c r="CV214" t="s">
        <v>833</v>
      </c>
      <c r="CW214" t="s">
        <v>834</v>
      </c>
      <c r="CX214" t="s">
        <v>4217</v>
      </c>
      <c r="CY214">
        <v>0</v>
      </c>
      <c r="CZ214">
        <v>0</v>
      </c>
      <c r="DA214" t="s">
        <v>833</v>
      </c>
      <c r="DB214" t="s">
        <v>865</v>
      </c>
      <c r="DC214">
        <v>63368</v>
      </c>
      <c r="DD214">
        <v>0.58330000000000004</v>
      </c>
      <c r="DE214" t="s">
        <v>866</v>
      </c>
      <c r="DG214" t="s">
        <v>867</v>
      </c>
      <c r="DH214" t="s">
        <v>851</v>
      </c>
      <c r="DK214" t="s">
        <v>918</v>
      </c>
      <c r="DL214" t="s">
        <v>869</v>
      </c>
      <c r="DM214">
        <v>0</v>
      </c>
      <c r="DN214">
        <v>0</v>
      </c>
      <c r="DO214">
        <v>3</v>
      </c>
      <c r="DP214" t="s">
        <v>919</v>
      </c>
      <c r="DQ214">
        <v>16</v>
      </c>
      <c r="DR214">
        <v>35</v>
      </c>
      <c r="DS214">
        <v>124</v>
      </c>
      <c r="DT214">
        <v>0.58330000000000004</v>
      </c>
      <c r="DU214">
        <v>4</v>
      </c>
      <c r="DV214">
        <v>1</v>
      </c>
      <c r="DW214">
        <v>2</v>
      </c>
      <c r="DX214" t="s">
        <v>596</v>
      </c>
      <c r="DY214" t="s">
        <v>5237</v>
      </c>
      <c r="DZ214">
        <v>1</v>
      </c>
      <c r="EA214">
        <v>1</v>
      </c>
      <c r="EB214">
        <v>1</v>
      </c>
      <c r="EC214">
        <v>1</v>
      </c>
      <c r="ED214">
        <v>1</v>
      </c>
      <c r="EE214">
        <v>1</v>
      </c>
      <c r="EF214" t="s">
        <v>920</v>
      </c>
      <c r="EG214" t="s">
        <v>595</v>
      </c>
      <c r="EH214" t="s">
        <v>921</v>
      </c>
      <c r="EI214" t="s">
        <v>921</v>
      </c>
      <c r="EJ214" t="s">
        <v>111</v>
      </c>
      <c r="EK214">
        <v>9090</v>
      </c>
      <c r="EL214">
        <v>0</v>
      </c>
      <c r="EM214" t="s">
        <v>1037</v>
      </c>
      <c r="EN214">
        <v>0.7167</v>
      </c>
      <c r="EO214">
        <v>2.0666666999999999</v>
      </c>
      <c r="EP214">
        <v>99991120</v>
      </c>
      <c r="EQ214" t="s">
        <v>874</v>
      </c>
      <c r="ER214" t="s">
        <v>875</v>
      </c>
      <c r="ES214" t="s">
        <v>876</v>
      </c>
      <c r="ET214" t="s">
        <v>877</v>
      </c>
      <c r="EU214" t="s">
        <v>877</v>
      </c>
      <c r="EV214" t="s">
        <v>920</v>
      </c>
      <c r="EX214" t="s">
        <v>900</v>
      </c>
      <c r="EY214" t="s">
        <v>923</v>
      </c>
      <c r="EZ214" t="s">
        <v>1038</v>
      </c>
      <c r="FA214" t="s">
        <v>925</v>
      </c>
      <c r="FB214">
        <v>1</v>
      </c>
      <c r="FC214">
        <v>1</v>
      </c>
      <c r="FD214" s="41">
        <v>46116</v>
      </c>
      <c r="FE214" t="s">
        <v>1123</v>
      </c>
      <c r="FF214">
        <v>4</v>
      </c>
      <c r="FI214">
        <v>0</v>
      </c>
      <c r="FL214">
        <v>0</v>
      </c>
      <c r="FM214" t="s">
        <v>5244</v>
      </c>
      <c r="FN214" t="s">
        <v>5245</v>
      </c>
      <c r="FO214">
        <v>1</v>
      </c>
      <c r="FP214" t="s">
        <v>5246</v>
      </c>
      <c r="FQ214" t="s">
        <v>5242</v>
      </c>
      <c r="FR214">
        <v>1</v>
      </c>
      <c r="FS214" t="s">
        <v>2453</v>
      </c>
      <c r="FT214" t="s">
        <v>5247</v>
      </c>
      <c r="FU214">
        <v>1</v>
      </c>
      <c r="FV214" t="s">
        <v>5248</v>
      </c>
      <c r="FW214" t="s">
        <v>5249</v>
      </c>
      <c r="FX214">
        <v>1</v>
      </c>
      <c r="FY214" t="s">
        <v>890</v>
      </c>
      <c r="FZ214" t="s">
        <v>5250</v>
      </c>
      <c r="GA214" t="s">
        <v>5248</v>
      </c>
      <c r="GB214">
        <v>1</v>
      </c>
      <c r="GD214">
        <v>0</v>
      </c>
      <c r="GF214">
        <v>0</v>
      </c>
      <c r="GG214">
        <v>1</v>
      </c>
      <c r="GH214" t="s">
        <v>892</v>
      </c>
      <c r="GI214" t="s">
        <v>893</v>
      </c>
      <c r="GJ214" t="s">
        <v>5249</v>
      </c>
      <c r="GM214">
        <v>1</v>
      </c>
      <c r="GN214">
        <v>1</v>
      </c>
      <c r="GO214">
        <v>0</v>
      </c>
      <c r="GP214">
        <v>1</v>
      </c>
      <c r="GQ214">
        <v>1</v>
      </c>
      <c r="GR214">
        <v>0</v>
      </c>
      <c r="GS214">
        <v>1</v>
      </c>
      <c r="GT214">
        <v>0</v>
      </c>
      <c r="GU214">
        <v>1</v>
      </c>
      <c r="GV214">
        <v>0</v>
      </c>
      <c r="GW214">
        <v>1</v>
      </c>
      <c r="GX214">
        <v>0</v>
      </c>
      <c r="GY214">
        <v>1</v>
      </c>
      <c r="GZ214">
        <v>0</v>
      </c>
      <c r="HA214" t="s">
        <v>289</v>
      </c>
      <c r="HB214" t="s">
        <v>894</v>
      </c>
      <c r="HC214" t="s">
        <v>895</v>
      </c>
      <c r="HD214" t="s">
        <v>845</v>
      </c>
      <c r="HE214" t="s">
        <v>836</v>
      </c>
      <c r="HF214" t="s">
        <v>1051</v>
      </c>
      <c r="HG214" t="s">
        <v>894</v>
      </c>
      <c r="HH214" t="s">
        <v>895</v>
      </c>
      <c r="HI214" t="s">
        <v>845</v>
      </c>
      <c r="HJ214" t="s">
        <v>836</v>
      </c>
      <c r="HK214" t="s">
        <v>1037</v>
      </c>
      <c r="HL214" t="s">
        <v>117</v>
      </c>
      <c r="HM214" t="s">
        <v>854</v>
      </c>
      <c r="HN214">
        <v>36805</v>
      </c>
      <c r="HP214" t="s">
        <v>111</v>
      </c>
      <c r="HQ214" t="s">
        <v>896</v>
      </c>
      <c r="HR214" t="s">
        <v>896</v>
      </c>
      <c r="HS214" t="s">
        <v>896</v>
      </c>
    </row>
    <row r="215" spans="1:227" x14ac:dyDescent="0.2">
      <c r="A215">
        <v>8702</v>
      </c>
      <c r="B215">
        <v>7617301207</v>
      </c>
      <c r="C215">
        <v>34</v>
      </c>
      <c r="D215" t="s">
        <v>996</v>
      </c>
      <c r="E215" t="s">
        <v>897</v>
      </c>
      <c r="F215">
        <v>0</v>
      </c>
      <c r="G215" t="s">
        <v>5251</v>
      </c>
      <c r="H215" t="s">
        <v>5251</v>
      </c>
      <c r="I215">
        <v>0</v>
      </c>
      <c r="J215" t="s">
        <v>833</v>
      </c>
      <c r="K215" t="s">
        <v>834</v>
      </c>
      <c r="L215">
        <v>153008230</v>
      </c>
      <c r="M215" t="s">
        <v>3091</v>
      </c>
      <c r="N215" t="s">
        <v>900</v>
      </c>
      <c r="O215" t="s">
        <v>837</v>
      </c>
      <c r="P215" t="s">
        <v>999</v>
      </c>
      <c r="Q215" t="s">
        <v>2459</v>
      </c>
      <c r="R215" t="s">
        <v>5252</v>
      </c>
      <c r="S215" t="s">
        <v>5253</v>
      </c>
      <c r="T215">
        <v>41477132830</v>
      </c>
      <c r="V215" t="s">
        <v>1476</v>
      </c>
      <c r="W215" s="41">
        <v>46197</v>
      </c>
      <c r="X215" t="s">
        <v>5254</v>
      </c>
      <c r="Y215" t="s">
        <v>5255</v>
      </c>
      <c r="Z215" t="s">
        <v>5256</v>
      </c>
      <c r="AA215">
        <v>0</v>
      </c>
      <c r="AB215" t="s">
        <v>845</v>
      </c>
      <c r="AC215" t="s">
        <v>846</v>
      </c>
      <c r="AD215" t="s">
        <v>907</v>
      </c>
      <c r="AE215" t="s">
        <v>908</v>
      </c>
      <c r="AF215">
        <v>1</v>
      </c>
      <c r="AG215">
        <v>452210</v>
      </c>
      <c r="AH215" t="s">
        <v>849</v>
      </c>
      <c r="AI215" t="s">
        <v>850</v>
      </c>
      <c r="AJ215" t="s">
        <v>851</v>
      </c>
      <c r="AK215" t="s">
        <v>417</v>
      </c>
      <c r="AL215" t="s">
        <v>2465</v>
      </c>
      <c r="AM215" t="s">
        <v>1480</v>
      </c>
      <c r="AN215" t="s">
        <v>854</v>
      </c>
      <c r="AO215">
        <v>36805</v>
      </c>
      <c r="AP215">
        <v>931</v>
      </c>
      <c r="AQ215" t="s">
        <v>855</v>
      </c>
      <c r="AR215">
        <v>66521444</v>
      </c>
      <c r="AS215" t="s">
        <v>856</v>
      </c>
      <c r="AU215" t="s">
        <v>5257</v>
      </c>
      <c r="AV215" t="s">
        <v>5258</v>
      </c>
      <c r="AX215" t="s">
        <v>913</v>
      </c>
      <c r="AY215" t="s">
        <v>861</v>
      </c>
      <c r="AZ215" t="s">
        <v>417</v>
      </c>
      <c r="BA215" t="s">
        <v>418</v>
      </c>
      <c r="BB215">
        <v>0</v>
      </c>
      <c r="BC215">
        <v>0</v>
      </c>
      <c r="BD215">
        <v>0</v>
      </c>
      <c r="BE215" t="s">
        <v>3091</v>
      </c>
      <c r="BF215">
        <v>0</v>
      </c>
      <c r="BG215">
        <v>0</v>
      </c>
      <c r="BH215" t="s">
        <v>862</v>
      </c>
      <c r="BI215">
        <v>0</v>
      </c>
      <c r="BJ215" t="s">
        <v>862</v>
      </c>
      <c r="BK215">
        <v>1</v>
      </c>
      <c r="BL215">
        <v>1</v>
      </c>
      <c r="BM215">
        <v>0</v>
      </c>
      <c r="BN215" t="s">
        <v>596</v>
      </c>
      <c r="BO215">
        <v>153008230</v>
      </c>
      <c r="BP215" t="s">
        <v>5251</v>
      </c>
      <c r="BR215">
        <v>42793655</v>
      </c>
      <c r="BT215">
        <v>1</v>
      </c>
      <c r="BU215" t="s">
        <v>1314</v>
      </c>
      <c r="BY215">
        <v>16</v>
      </c>
      <c r="CA215">
        <v>19</v>
      </c>
      <c r="CI215">
        <v>11</v>
      </c>
      <c r="CJ215" t="s">
        <v>94</v>
      </c>
      <c r="CM215">
        <v>4010</v>
      </c>
      <c r="CO215">
        <v>7360</v>
      </c>
      <c r="CP215">
        <v>1.67E-2</v>
      </c>
      <c r="CQ215">
        <v>1.67E-2</v>
      </c>
      <c r="CR215">
        <v>0</v>
      </c>
      <c r="CS215">
        <v>3</v>
      </c>
      <c r="CT215" t="s">
        <v>5258</v>
      </c>
      <c r="CU215" t="s">
        <v>5257</v>
      </c>
      <c r="CV215" t="s">
        <v>833</v>
      </c>
      <c r="CW215" t="s">
        <v>834</v>
      </c>
      <c r="CX215" t="s">
        <v>3091</v>
      </c>
      <c r="CY215">
        <v>0</v>
      </c>
      <c r="CZ215">
        <v>0</v>
      </c>
      <c r="DA215" t="s">
        <v>833</v>
      </c>
      <c r="DB215" t="s">
        <v>865</v>
      </c>
      <c r="DC215">
        <v>44720</v>
      </c>
      <c r="DD215">
        <v>18.633299999999998</v>
      </c>
      <c r="DE215" t="s">
        <v>866</v>
      </c>
      <c r="DG215" t="s">
        <v>867</v>
      </c>
      <c r="DH215" t="s">
        <v>851</v>
      </c>
      <c r="DI215" t="s">
        <v>5259</v>
      </c>
      <c r="DJ215">
        <v>931</v>
      </c>
      <c r="DK215" t="s">
        <v>918</v>
      </c>
      <c r="DL215" t="s">
        <v>869</v>
      </c>
      <c r="DM215">
        <v>0</v>
      </c>
      <c r="DN215">
        <v>0</v>
      </c>
      <c r="DO215">
        <v>54</v>
      </c>
      <c r="DP215" t="s">
        <v>2472</v>
      </c>
      <c r="DQ215">
        <v>16</v>
      </c>
      <c r="DR215">
        <v>1118</v>
      </c>
      <c r="DS215">
        <v>2558</v>
      </c>
      <c r="DT215">
        <v>18.616700000000002</v>
      </c>
      <c r="DU215">
        <v>4</v>
      </c>
      <c r="DV215">
        <v>1</v>
      </c>
      <c r="DW215">
        <v>2</v>
      </c>
      <c r="DX215" t="s">
        <v>596</v>
      </c>
      <c r="DY215" t="s">
        <v>3091</v>
      </c>
      <c r="DZ215">
        <v>0</v>
      </c>
      <c r="EA215">
        <v>0</v>
      </c>
      <c r="EB215">
        <v>1</v>
      </c>
      <c r="EC215">
        <v>0</v>
      </c>
      <c r="ED215">
        <v>0</v>
      </c>
      <c r="EE215">
        <v>1</v>
      </c>
      <c r="EF215" t="s">
        <v>871</v>
      </c>
      <c r="EG215" t="s">
        <v>595</v>
      </c>
      <c r="EH215" t="s">
        <v>921</v>
      </c>
      <c r="EI215" t="s">
        <v>921</v>
      </c>
      <c r="EJ215" t="s">
        <v>226</v>
      </c>
      <c r="EK215">
        <v>9090</v>
      </c>
      <c r="EL215">
        <v>0</v>
      </c>
      <c r="EM215" t="s">
        <v>1157</v>
      </c>
      <c r="EN215">
        <v>0</v>
      </c>
      <c r="EO215">
        <v>42.633333299999997</v>
      </c>
      <c r="EP215">
        <v>99991120</v>
      </c>
      <c r="EQ215" t="s">
        <v>874</v>
      </c>
      <c r="ER215" t="s">
        <v>875</v>
      </c>
      <c r="ES215" t="s">
        <v>876</v>
      </c>
      <c r="ET215" t="s">
        <v>877</v>
      </c>
      <c r="EU215" t="s">
        <v>877</v>
      </c>
      <c r="EV215" t="s">
        <v>871</v>
      </c>
      <c r="EX215" t="s">
        <v>900</v>
      </c>
      <c r="EY215" t="s">
        <v>923</v>
      </c>
      <c r="EZ215" t="s">
        <v>1236</v>
      </c>
      <c r="FA215" t="s">
        <v>956</v>
      </c>
      <c r="FB215">
        <v>1</v>
      </c>
      <c r="FC215">
        <v>1</v>
      </c>
      <c r="FD215" s="41">
        <v>46200</v>
      </c>
      <c r="FE215" t="s">
        <v>1315</v>
      </c>
      <c r="FF215">
        <v>8</v>
      </c>
      <c r="FG215" t="s">
        <v>5260</v>
      </c>
      <c r="FH215" t="s">
        <v>5261</v>
      </c>
      <c r="FI215">
        <v>1</v>
      </c>
      <c r="FJ215" t="s">
        <v>5262</v>
      </c>
      <c r="FK215" t="s">
        <v>5263</v>
      </c>
      <c r="FL215">
        <v>1</v>
      </c>
      <c r="FM215" t="s">
        <v>5264</v>
      </c>
      <c r="FN215" t="s">
        <v>5265</v>
      </c>
      <c r="FO215">
        <v>1</v>
      </c>
      <c r="FP215" t="s">
        <v>5266</v>
      </c>
      <c r="FQ215" t="s">
        <v>5257</v>
      </c>
      <c r="FR215">
        <v>1</v>
      </c>
      <c r="FS215" t="s">
        <v>1766</v>
      </c>
      <c r="FT215" t="s">
        <v>5267</v>
      </c>
      <c r="FU215">
        <v>1</v>
      </c>
      <c r="FV215" t="s">
        <v>2479</v>
      </c>
      <c r="FW215" t="s">
        <v>5268</v>
      </c>
      <c r="FX215">
        <v>1</v>
      </c>
      <c r="FY215" t="s">
        <v>890</v>
      </c>
      <c r="FZ215" t="s">
        <v>5269</v>
      </c>
      <c r="GA215" t="s">
        <v>5262</v>
      </c>
      <c r="GB215">
        <v>1</v>
      </c>
      <c r="GD215">
        <v>0</v>
      </c>
      <c r="GF215">
        <v>0</v>
      </c>
      <c r="GG215">
        <v>1</v>
      </c>
      <c r="GH215" t="s">
        <v>892</v>
      </c>
      <c r="GI215" t="s">
        <v>893</v>
      </c>
      <c r="GJ215" t="s">
        <v>5263</v>
      </c>
      <c r="GM215">
        <v>1</v>
      </c>
      <c r="GN215">
        <v>1</v>
      </c>
      <c r="GO215">
        <v>0</v>
      </c>
      <c r="GP215">
        <v>1</v>
      </c>
      <c r="GQ215">
        <v>1</v>
      </c>
      <c r="GR215">
        <v>0</v>
      </c>
      <c r="GS215">
        <v>1</v>
      </c>
      <c r="GT215">
        <v>0</v>
      </c>
      <c r="GU215">
        <v>1</v>
      </c>
      <c r="GV215">
        <v>0</v>
      </c>
      <c r="GW215">
        <v>1</v>
      </c>
      <c r="GX215">
        <v>0</v>
      </c>
      <c r="GY215">
        <v>1</v>
      </c>
      <c r="GZ215">
        <v>0</v>
      </c>
      <c r="HA215" t="s">
        <v>417</v>
      </c>
      <c r="HB215" t="s">
        <v>894</v>
      </c>
      <c r="HC215" t="s">
        <v>935</v>
      </c>
      <c r="HD215" t="s">
        <v>845</v>
      </c>
      <c r="HE215" t="s">
        <v>900</v>
      </c>
      <c r="HF215" t="s">
        <v>923</v>
      </c>
      <c r="HG215" t="s">
        <v>894</v>
      </c>
      <c r="HH215" t="s">
        <v>935</v>
      </c>
      <c r="HI215" t="s">
        <v>845</v>
      </c>
      <c r="HJ215" t="s">
        <v>900</v>
      </c>
      <c r="HK215" t="s">
        <v>922</v>
      </c>
      <c r="HL215" t="s">
        <v>1476</v>
      </c>
      <c r="HM215" t="s">
        <v>854</v>
      </c>
      <c r="HN215">
        <v>36805</v>
      </c>
      <c r="HO215">
        <v>1</v>
      </c>
      <c r="HP215" t="s">
        <v>226</v>
      </c>
      <c r="HQ215" t="s">
        <v>896</v>
      </c>
      <c r="HR215" t="s">
        <v>896</v>
      </c>
      <c r="HS215" t="s">
        <v>896</v>
      </c>
    </row>
    <row r="216" spans="1:227" x14ac:dyDescent="0.2">
      <c r="A216">
        <v>8702</v>
      </c>
      <c r="B216">
        <v>7528401303</v>
      </c>
      <c r="C216">
        <v>34</v>
      </c>
      <c r="D216" t="s">
        <v>996</v>
      </c>
      <c r="E216" t="s">
        <v>831</v>
      </c>
      <c r="F216">
        <v>0</v>
      </c>
      <c r="G216" t="s">
        <v>5270</v>
      </c>
      <c r="H216" t="s">
        <v>5270</v>
      </c>
      <c r="I216">
        <v>0</v>
      </c>
      <c r="J216" t="s">
        <v>833</v>
      </c>
      <c r="K216" t="s">
        <v>834</v>
      </c>
      <c r="L216">
        <v>153406433</v>
      </c>
      <c r="M216" t="s">
        <v>5271</v>
      </c>
      <c r="N216" t="s">
        <v>836</v>
      </c>
      <c r="O216" t="s">
        <v>837</v>
      </c>
      <c r="P216" t="s">
        <v>999</v>
      </c>
      <c r="Q216" t="s">
        <v>1857</v>
      </c>
      <c r="R216" t="s">
        <v>5272</v>
      </c>
      <c r="S216" t="s">
        <v>5273</v>
      </c>
      <c r="T216">
        <v>41477092613</v>
      </c>
      <c r="V216" t="s">
        <v>1003</v>
      </c>
      <c r="W216" s="41">
        <v>45944</v>
      </c>
      <c r="X216" t="s">
        <v>5274</v>
      </c>
      <c r="Y216" t="s">
        <v>5275</v>
      </c>
      <c r="AA216">
        <v>0</v>
      </c>
      <c r="AB216" t="s">
        <v>845</v>
      </c>
      <c r="AC216" t="s">
        <v>846</v>
      </c>
      <c r="AD216" t="s">
        <v>847</v>
      </c>
      <c r="AE216" t="s">
        <v>848</v>
      </c>
      <c r="AF216">
        <v>1</v>
      </c>
      <c r="AG216">
        <v>452210</v>
      </c>
      <c r="AH216" t="s">
        <v>849</v>
      </c>
      <c r="AI216" t="s">
        <v>850</v>
      </c>
      <c r="AJ216" t="s">
        <v>851</v>
      </c>
      <c r="AK216" t="s">
        <v>253</v>
      </c>
      <c r="AL216" t="s">
        <v>1257</v>
      </c>
      <c r="AM216" t="s">
        <v>1311</v>
      </c>
      <c r="AN216" t="s">
        <v>854</v>
      </c>
      <c r="AO216">
        <v>36805</v>
      </c>
      <c r="AP216">
        <v>541</v>
      </c>
      <c r="AQ216" t="s">
        <v>855</v>
      </c>
      <c r="AR216">
        <v>66157381</v>
      </c>
      <c r="AS216" t="s">
        <v>856</v>
      </c>
      <c r="AU216" t="s">
        <v>5276</v>
      </c>
      <c r="AV216" t="s">
        <v>5277</v>
      </c>
      <c r="AW216" t="s">
        <v>1185</v>
      </c>
      <c r="AX216" t="s">
        <v>1186</v>
      </c>
      <c r="AY216" t="s">
        <v>861</v>
      </c>
      <c r="AZ216" t="s">
        <v>253</v>
      </c>
      <c r="BA216" t="s">
        <v>254</v>
      </c>
      <c r="BB216">
        <v>0</v>
      </c>
      <c r="BC216">
        <v>1</v>
      </c>
      <c r="BD216">
        <v>0</v>
      </c>
      <c r="BE216" t="s">
        <v>5271</v>
      </c>
      <c r="BF216">
        <v>0</v>
      </c>
      <c r="BG216">
        <v>0</v>
      </c>
      <c r="BH216" t="s">
        <v>862</v>
      </c>
      <c r="BI216">
        <v>0</v>
      </c>
      <c r="BJ216" t="s">
        <v>862</v>
      </c>
      <c r="BK216">
        <v>1</v>
      </c>
      <c r="BL216">
        <v>0</v>
      </c>
      <c r="BM216">
        <v>0</v>
      </c>
      <c r="BN216" t="s">
        <v>596</v>
      </c>
      <c r="BO216">
        <v>153406433</v>
      </c>
      <c r="BP216" t="s">
        <v>5270</v>
      </c>
      <c r="BR216">
        <v>42791455</v>
      </c>
      <c r="BT216">
        <v>0</v>
      </c>
      <c r="CM216">
        <v>4010</v>
      </c>
      <c r="CO216">
        <v>7360</v>
      </c>
      <c r="CP216">
        <v>0.61670000000000003</v>
      </c>
      <c r="CQ216">
        <v>0.61670000000000003</v>
      </c>
      <c r="CR216">
        <v>0.51670000000000005</v>
      </c>
      <c r="CS216">
        <v>0</v>
      </c>
      <c r="CT216" t="s">
        <v>5277</v>
      </c>
      <c r="CU216" t="s">
        <v>5276</v>
      </c>
      <c r="CV216" t="s">
        <v>833</v>
      </c>
      <c r="CW216" t="s">
        <v>834</v>
      </c>
      <c r="CX216" t="s">
        <v>5271</v>
      </c>
      <c r="CY216">
        <v>1</v>
      </c>
      <c r="CZ216">
        <v>1</v>
      </c>
      <c r="DA216" t="s">
        <v>833</v>
      </c>
      <c r="DB216" t="s">
        <v>865</v>
      </c>
      <c r="DC216">
        <v>55431</v>
      </c>
      <c r="DD216">
        <v>37.549999999999997</v>
      </c>
      <c r="DE216" t="s">
        <v>866</v>
      </c>
      <c r="DG216" t="s">
        <v>867</v>
      </c>
      <c r="DH216" t="s">
        <v>851</v>
      </c>
      <c r="DL216" t="s">
        <v>869</v>
      </c>
      <c r="DM216">
        <v>0</v>
      </c>
      <c r="DN216">
        <v>1.67E-2</v>
      </c>
      <c r="DO216">
        <v>11</v>
      </c>
      <c r="DP216" t="s">
        <v>1010</v>
      </c>
      <c r="DQ216">
        <v>12</v>
      </c>
      <c r="DR216">
        <v>2253</v>
      </c>
      <c r="DS216">
        <v>4413</v>
      </c>
      <c r="DT216">
        <v>5.5833000000000004</v>
      </c>
      <c r="DU216">
        <v>4</v>
      </c>
      <c r="DW216">
        <v>1</v>
      </c>
      <c r="DX216" t="s">
        <v>594</v>
      </c>
      <c r="DY216" t="s">
        <v>5271</v>
      </c>
      <c r="DZ216">
        <v>0</v>
      </c>
      <c r="EA216">
        <v>0</v>
      </c>
      <c r="EB216">
        <v>0</v>
      </c>
      <c r="EC216">
        <v>0</v>
      </c>
      <c r="ED216">
        <v>0</v>
      </c>
      <c r="EE216">
        <v>0</v>
      </c>
      <c r="EF216" t="s">
        <v>871</v>
      </c>
      <c r="EG216" t="s">
        <v>595</v>
      </c>
      <c r="EH216" t="s">
        <v>1695</v>
      </c>
      <c r="EI216" t="s">
        <v>1695</v>
      </c>
      <c r="EJ216" t="s">
        <v>159</v>
      </c>
      <c r="EK216">
        <v>9090</v>
      </c>
      <c r="EL216">
        <v>1</v>
      </c>
      <c r="EM216" t="s">
        <v>873</v>
      </c>
      <c r="EN216">
        <v>0.51670000000000005</v>
      </c>
      <c r="EO216">
        <v>73.55</v>
      </c>
      <c r="EP216">
        <v>99991120</v>
      </c>
      <c r="EQ216" t="s">
        <v>874</v>
      </c>
      <c r="ER216" t="s">
        <v>875</v>
      </c>
      <c r="ES216" t="s">
        <v>876</v>
      </c>
      <c r="ET216" t="s">
        <v>877</v>
      </c>
      <c r="EU216" t="s">
        <v>877</v>
      </c>
      <c r="EV216" t="s">
        <v>871</v>
      </c>
      <c r="EX216" t="s">
        <v>836</v>
      </c>
      <c r="EY216" t="s">
        <v>1121</v>
      </c>
      <c r="EZ216" t="s">
        <v>1122</v>
      </c>
      <c r="FA216" t="s">
        <v>956</v>
      </c>
      <c r="FB216">
        <v>1</v>
      </c>
      <c r="FC216">
        <v>1</v>
      </c>
      <c r="FD216" s="41">
        <v>45948</v>
      </c>
      <c r="FE216" t="s">
        <v>1039</v>
      </c>
      <c r="FF216">
        <v>8</v>
      </c>
      <c r="FG216" t="s">
        <v>5278</v>
      </c>
      <c r="FH216" t="s">
        <v>5279</v>
      </c>
      <c r="FI216">
        <v>1</v>
      </c>
      <c r="FJ216" t="s">
        <v>5280</v>
      </c>
      <c r="FK216" t="s">
        <v>5279</v>
      </c>
      <c r="FL216">
        <v>1</v>
      </c>
      <c r="FM216" t="s">
        <v>5281</v>
      </c>
      <c r="FN216" t="s">
        <v>5282</v>
      </c>
      <c r="FO216">
        <v>1</v>
      </c>
      <c r="FP216" t="s">
        <v>5283</v>
      </c>
      <c r="FQ216" t="s">
        <v>5284</v>
      </c>
      <c r="FR216">
        <v>1</v>
      </c>
      <c r="FS216" t="s">
        <v>1273</v>
      </c>
      <c r="FT216" t="s">
        <v>5285</v>
      </c>
      <c r="FU216">
        <v>1</v>
      </c>
      <c r="FV216" t="s">
        <v>5286</v>
      </c>
      <c r="FW216" t="s">
        <v>5287</v>
      </c>
      <c r="FX216">
        <v>1</v>
      </c>
      <c r="FY216" t="s">
        <v>890</v>
      </c>
      <c r="FZ216" t="s">
        <v>5288</v>
      </c>
      <c r="GA216" t="s">
        <v>5280</v>
      </c>
      <c r="GB216">
        <v>1</v>
      </c>
      <c r="GD216">
        <v>0</v>
      </c>
      <c r="GF216">
        <v>0</v>
      </c>
      <c r="GG216">
        <v>1</v>
      </c>
      <c r="GH216" t="s">
        <v>892</v>
      </c>
      <c r="GI216" t="s">
        <v>893</v>
      </c>
      <c r="GJ216" t="s">
        <v>5279</v>
      </c>
      <c r="GM216">
        <v>1</v>
      </c>
      <c r="GN216">
        <v>1</v>
      </c>
      <c r="GO216">
        <v>0</v>
      </c>
      <c r="GP216">
        <v>1</v>
      </c>
      <c r="GQ216">
        <v>1</v>
      </c>
      <c r="GR216">
        <v>0</v>
      </c>
      <c r="GS216">
        <v>1</v>
      </c>
      <c r="GT216">
        <v>0</v>
      </c>
      <c r="GU216">
        <v>1</v>
      </c>
      <c r="GV216">
        <v>0</v>
      </c>
      <c r="GW216">
        <v>1</v>
      </c>
      <c r="GX216">
        <v>0</v>
      </c>
      <c r="GY216">
        <v>1</v>
      </c>
      <c r="GZ216">
        <v>0</v>
      </c>
      <c r="HA216" t="s">
        <v>253</v>
      </c>
      <c r="HB216" t="s">
        <v>894</v>
      </c>
      <c r="HC216" t="s">
        <v>895</v>
      </c>
      <c r="HD216" t="s">
        <v>845</v>
      </c>
      <c r="HE216" t="s">
        <v>836</v>
      </c>
      <c r="HF216" t="s">
        <v>873</v>
      </c>
      <c r="HG216" t="s">
        <v>894</v>
      </c>
      <c r="HH216" t="s">
        <v>895</v>
      </c>
      <c r="HI216" t="s">
        <v>845</v>
      </c>
      <c r="HJ216" t="s">
        <v>836</v>
      </c>
      <c r="HK216" t="s">
        <v>873</v>
      </c>
      <c r="HL216" t="s">
        <v>1003</v>
      </c>
      <c r="HM216" t="s">
        <v>854</v>
      </c>
      <c r="HN216">
        <v>36805</v>
      </c>
      <c r="HP216" t="s">
        <v>159</v>
      </c>
      <c r="HQ216" t="s">
        <v>896</v>
      </c>
      <c r="HR216" t="s">
        <v>896</v>
      </c>
      <c r="HS216" t="s">
        <v>896</v>
      </c>
    </row>
    <row r="217" spans="1:227" x14ac:dyDescent="0.2">
      <c r="A217">
        <v>8702</v>
      </c>
      <c r="B217">
        <v>7610902774</v>
      </c>
      <c r="C217" t="s">
        <v>829</v>
      </c>
      <c r="D217" t="s">
        <v>830</v>
      </c>
      <c r="E217" t="s">
        <v>897</v>
      </c>
      <c r="F217">
        <v>1</v>
      </c>
      <c r="G217" t="s">
        <v>5289</v>
      </c>
      <c r="H217" t="s">
        <v>5289</v>
      </c>
      <c r="I217">
        <v>0</v>
      </c>
      <c r="J217" t="s">
        <v>833</v>
      </c>
      <c r="K217" t="s">
        <v>834</v>
      </c>
      <c r="L217">
        <v>153195455</v>
      </c>
      <c r="M217" t="s">
        <v>3980</v>
      </c>
      <c r="N217" t="s">
        <v>900</v>
      </c>
      <c r="O217" t="s">
        <v>837</v>
      </c>
      <c r="P217" t="s">
        <v>838</v>
      </c>
      <c r="Q217" t="s">
        <v>839</v>
      </c>
      <c r="R217" t="s">
        <v>5290</v>
      </c>
      <c r="S217" t="s">
        <v>5291</v>
      </c>
      <c r="T217">
        <v>41477122362</v>
      </c>
      <c r="V217" t="s">
        <v>1543</v>
      </c>
      <c r="W217" s="41">
        <v>46131</v>
      </c>
      <c r="X217" t="s">
        <v>5292</v>
      </c>
      <c r="Y217" t="s">
        <v>5293</v>
      </c>
      <c r="AA217">
        <v>0</v>
      </c>
      <c r="AB217" t="s">
        <v>845</v>
      </c>
      <c r="AC217" t="s">
        <v>846</v>
      </c>
      <c r="AD217" t="s">
        <v>1113</v>
      </c>
      <c r="AE217" t="s">
        <v>1114</v>
      </c>
      <c r="AF217">
        <v>1</v>
      </c>
      <c r="AG217">
        <v>452210</v>
      </c>
      <c r="AH217" t="s">
        <v>849</v>
      </c>
      <c r="AI217" t="s">
        <v>850</v>
      </c>
      <c r="AJ217" t="s">
        <v>851</v>
      </c>
      <c r="AK217" t="s">
        <v>317</v>
      </c>
      <c r="AL217" t="s">
        <v>3381</v>
      </c>
      <c r="AM217" t="s">
        <v>1548</v>
      </c>
      <c r="AN217" t="s">
        <v>854</v>
      </c>
      <c r="AO217">
        <v>36805</v>
      </c>
      <c r="AP217">
        <v>522</v>
      </c>
      <c r="AQ217" t="s">
        <v>855</v>
      </c>
      <c r="AR217">
        <v>66426932</v>
      </c>
      <c r="AS217" t="s">
        <v>856</v>
      </c>
      <c r="AU217" t="s">
        <v>5294</v>
      </c>
      <c r="AV217" t="s">
        <v>5295</v>
      </c>
      <c r="AX217" t="s">
        <v>913</v>
      </c>
      <c r="AY217" t="s">
        <v>861</v>
      </c>
      <c r="AZ217" t="s">
        <v>317</v>
      </c>
      <c r="BA217" t="s">
        <v>318</v>
      </c>
      <c r="BB217">
        <v>0</v>
      </c>
      <c r="BC217">
        <v>0</v>
      </c>
      <c r="BD217">
        <v>1</v>
      </c>
      <c r="BE217" t="s">
        <v>3980</v>
      </c>
      <c r="BF217">
        <v>0</v>
      </c>
      <c r="BG217">
        <v>0</v>
      </c>
      <c r="BH217" t="s">
        <v>862</v>
      </c>
      <c r="BI217">
        <v>0</v>
      </c>
      <c r="BJ217" t="s">
        <v>862</v>
      </c>
      <c r="BK217">
        <v>1</v>
      </c>
      <c r="BL217">
        <v>1</v>
      </c>
      <c r="BM217">
        <v>0</v>
      </c>
      <c r="BN217" t="s">
        <v>596</v>
      </c>
      <c r="BO217">
        <v>153195455</v>
      </c>
      <c r="BP217" t="s">
        <v>5289</v>
      </c>
      <c r="BQ217">
        <v>39.638498400000003</v>
      </c>
      <c r="BR217">
        <v>42791431</v>
      </c>
      <c r="BS217">
        <v>-86.130631399999999</v>
      </c>
      <c r="BT217">
        <v>2</v>
      </c>
      <c r="BU217" t="s">
        <v>1119</v>
      </c>
      <c r="BY217">
        <v>16</v>
      </c>
      <c r="CA217">
        <v>3</v>
      </c>
      <c r="CE217">
        <v>1</v>
      </c>
      <c r="CI217">
        <v>11</v>
      </c>
      <c r="CJ217" t="s">
        <v>94</v>
      </c>
      <c r="CM217">
        <v>4010</v>
      </c>
      <c r="CO217">
        <v>7360</v>
      </c>
      <c r="CP217">
        <v>1.1000000000000001</v>
      </c>
      <c r="CQ217">
        <v>1.1000000000000001</v>
      </c>
      <c r="CR217">
        <v>0</v>
      </c>
      <c r="CS217">
        <v>5</v>
      </c>
      <c r="CT217" t="s">
        <v>5295</v>
      </c>
      <c r="CU217" t="s">
        <v>5294</v>
      </c>
      <c r="CV217" t="s">
        <v>833</v>
      </c>
      <c r="CW217" t="s">
        <v>834</v>
      </c>
      <c r="CX217" t="s">
        <v>3980</v>
      </c>
      <c r="CY217">
        <v>1</v>
      </c>
      <c r="CZ217">
        <v>1</v>
      </c>
      <c r="DA217" t="s">
        <v>833</v>
      </c>
      <c r="DB217" t="s">
        <v>865</v>
      </c>
      <c r="DC217">
        <v>46227</v>
      </c>
      <c r="DD217">
        <v>2.9167000000000001</v>
      </c>
      <c r="DE217" t="s">
        <v>866</v>
      </c>
      <c r="DG217" t="s">
        <v>867</v>
      </c>
      <c r="DH217" t="s">
        <v>851</v>
      </c>
      <c r="DI217" t="s">
        <v>1189</v>
      </c>
      <c r="DJ217" t="s">
        <v>3988</v>
      </c>
      <c r="DK217" t="s">
        <v>918</v>
      </c>
      <c r="DL217" t="s">
        <v>869</v>
      </c>
      <c r="DM217">
        <v>0</v>
      </c>
      <c r="DN217">
        <v>0</v>
      </c>
      <c r="DO217">
        <v>11</v>
      </c>
      <c r="DP217" t="s">
        <v>1010</v>
      </c>
      <c r="DQ217">
        <v>0</v>
      </c>
      <c r="DR217">
        <v>175</v>
      </c>
      <c r="DS217">
        <v>214</v>
      </c>
      <c r="DT217">
        <v>2.4666999999999999</v>
      </c>
      <c r="DU217">
        <v>0</v>
      </c>
      <c r="DV217">
        <v>1</v>
      </c>
      <c r="DW217">
        <v>2</v>
      </c>
      <c r="DX217" t="s">
        <v>596</v>
      </c>
      <c r="DY217" t="s">
        <v>3980</v>
      </c>
      <c r="DZ217">
        <v>1</v>
      </c>
      <c r="EA217">
        <v>1</v>
      </c>
      <c r="EB217">
        <v>1</v>
      </c>
      <c r="EC217">
        <v>1</v>
      </c>
      <c r="ED217">
        <v>1</v>
      </c>
      <c r="EE217">
        <v>1</v>
      </c>
      <c r="EF217" t="s">
        <v>920</v>
      </c>
      <c r="EG217" t="s">
        <v>595</v>
      </c>
      <c r="EH217" t="s">
        <v>921</v>
      </c>
      <c r="EI217" t="s">
        <v>921</v>
      </c>
      <c r="EJ217" t="s">
        <v>134</v>
      </c>
      <c r="EK217">
        <v>9090</v>
      </c>
      <c r="EL217">
        <v>0</v>
      </c>
      <c r="EM217" t="s">
        <v>1011</v>
      </c>
      <c r="EN217">
        <v>0</v>
      </c>
      <c r="EO217">
        <v>3.5666666999999999</v>
      </c>
      <c r="EP217">
        <v>99991120</v>
      </c>
      <c r="EQ217" t="s">
        <v>874</v>
      </c>
      <c r="ER217" t="s">
        <v>875</v>
      </c>
      <c r="ES217" t="s">
        <v>876</v>
      </c>
      <c r="ET217" t="s">
        <v>877</v>
      </c>
      <c r="EU217" t="s">
        <v>877</v>
      </c>
      <c r="EV217" t="s">
        <v>920</v>
      </c>
      <c r="EX217" t="s">
        <v>953</v>
      </c>
      <c r="EY217" t="s">
        <v>1555</v>
      </c>
      <c r="EZ217" t="s">
        <v>1013</v>
      </c>
      <c r="FA217" t="s">
        <v>925</v>
      </c>
      <c r="FB217">
        <v>1</v>
      </c>
      <c r="FC217">
        <v>1</v>
      </c>
      <c r="FD217" s="41">
        <v>46137</v>
      </c>
      <c r="FE217" t="s">
        <v>1123</v>
      </c>
      <c r="FF217">
        <v>5</v>
      </c>
      <c r="FI217">
        <v>0</v>
      </c>
      <c r="FJ217" t="s">
        <v>5296</v>
      </c>
      <c r="FK217" t="s">
        <v>5297</v>
      </c>
      <c r="FL217">
        <v>1</v>
      </c>
      <c r="FM217" t="s">
        <v>5298</v>
      </c>
      <c r="FN217" t="s">
        <v>5299</v>
      </c>
      <c r="FO217">
        <v>1</v>
      </c>
      <c r="FP217" t="s">
        <v>5300</v>
      </c>
      <c r="FQ217" t="s">
        <v>5294</v>
      </c>
      <c r="FR217">
        <v>1</v>
      </c>
      <c r="FS217" t="s">
        <v>1984</v>
      </c>
      <c r="FT217" t="s">
        <v>5301</v>
      </c>
      <c r="FU217">
        <v>1</v>
      </c>
      <c r="FV217" t="s">
        <v>5302</v>
      </c>
      <c r="FW217" t="s">
        <v>5303</v>
      </c>
      <c r="FX217">
        <v>1</v>
      </c>
      <c r="FY217" t="s">
        <v>890</v>
      </c>
      <c r="FZ217" t="s">
        <v>5304</v>
      </c>
      <c r="GA217" t="s">
        <v>5296</v>
      </c>
      <c r="GB217">
        <v>1</v>
      </c>
      <c r="GD217">
        <v>0</v>
      </c>
      <c r="GF217">
        <v>0</v>
      </c>
      <c r="GG217">
        <v>1</v>
      </c>
      <c r="GH217" t="s">
        <v>892</v>
      </c>
      <c r="GI217" t="s">
        <v>893</v>
      </c>
      <c r="GJ217" t="s">
        <v>5297</v>
      </c>
      <c r="GM217">
        <v>1</v>
      </c>
      <c r="GN217">
        <v>0</v>
      </c>
      <c r="GO217">
        <v>1</v>
      </c>
      <c r="GP217">
        <v>1</v>
      </c>
      <c r="GQ217">
        <v>1</v>
      </c>
      <c r="GR217">
        <v>0</v>
      </c>
      <c r="GS217">
        <v>1</v>
      </c>
      <c r="GT217">
        <v>1</v>
      </c>
      <c r="GU217">
        <v>1</v>
      </c>
      <c r="GV217">
        <v>0</v>
      </c>
      <c r="GW217">
        <v>1</v>
      </c>
      <c r="GX217">
        <v>1</v>
      </c>
      <c r="GY217">
        <v>1</v>
      </c>
      <c r="GZ217">
        <v>0</v>
      </c>
      <c r="HA217" t="s">
        <v>317</v>
      </c>
      <c r="HB217" t="s">
        <v>894</v>
      </c>
      <c r="HC217" t="s">
        <v>935</v>
      </c>
      <c r="HD217" t="s">
        <v>845</v>
      </c>
      <c r="HE217" t="s">
        <v>900</v>
      </c>
      <c r="HF217" t="s">
        <v>1012</v>
      </c>
      <c r="HG217" t="s">
        <v>894</v>
      </c>
      <c r="HH217" t="s">
        <v>935</v>
      </c>
      <c r="HI217" t="s">
        <v>845</v>
      </c>
      <c r="HJ217" t="s">
        <v>900</v>
      </c>
      <c r="HK217" t="s">
        <v>1011</v>
      </c>
      <c r="HL217" t="s">
        <v>1543</v>
      </c>
      <c r="HM217" t="s">
        <v>854</v>
      </c>
      <c r="HN217">
        <v>36805</v>
      </c>
      <c r="HP217" t="s">
        <v>134</v>
      </c>
      <c r="HQ217" t="s">
        <v>896</v>
      </c>
      <c r="HR217" t="s">
        <v>896</v>
      </c>
      <c r="HS217" t="s">
        <v>896</v>
      </c>
    </row>
    <row r="218" spans="1:227" x14ac:dyDescent="0.2">
      <c r="A218">
        <v>8702</v>
      </c>
      <c r="B218">
        <v>7600402188</v>
      </c>
      <c r="C218" t="s">
        <v>936</v>
      </c>
      <c r="D218" t="s">
        <v>937</v>
      </c>
      <c r="E218" t="s">
        <v>831</v>
      </c>
      <c r="F218">
        <v>0</v>
      </c>
      <c r="G218" t="s">
        <v>5305</v>
      </c>
      <c r="H218" t="s">
        <v>5305</v>
      </c>
      <c r="I218">
        <v>0</v>
      </c>
      <c r="J218" t="s">
        <v>833</v>
      </c>
      <c r="K218" t="s">
        <v>834</v>
      </c>
      <c r="L218">
        <v>153294148</v>
      </c>
      <c r="M218" t="s">
        <v>2622</v>
      </c>
      <c r="N218" t="s">
        <v>836</v>
      </c>
      <c r="O218" t="s">
        <v>837</v>
      </c>
      <c r="P218" t="s">
        <v>940</v>
      </c>
      <c r="Q218" t="s">
        <v>1080</v>
      </c>
      <c r="R218" t="s">
        <v>5306</v>
      </c>
      <c r="S218" t="s">
        <v>5307</v>
      </c>
      <c r="T218">
        <v>30300131301</v>
      </c>
      <c r="V218" t="s">
        <v>1943</v>
      </c>
      <c r="W218" s="41">
        <v>46026</v>
      </c>
      <c r="X218" t="s">
        <v>5308</v>
      </c>
      <c r="Y218" t="s">
        <v>5309</v>
      </c>
      <c r="Z218" t="s">
        <v>1144</v>
      </c>
      <c r="AA218">
        <v>0</v>
      </c>
      <c r="AB218" t="s">
        <v>845</v>
      </c>
      <c r="AC218" t="s">
        <v>846</v>
      </c>
      <c r="AD218" t="s">
        <v>847</v>
      </c>
      <c r="AE218" t="s">
        <v>848</v>
      </c>
      <c r="AF218">
        <v>1</v>
      </c>
      <c r="AG218">
        <v>452210</v>
      </c>
      <c r="AH218" t="s">
        <v>849</v>
      </c>
      <c r="AI218" t="s">
        <v>850</v>
      </c>
      <c r="AJ218" t="s">
        <v>851</v>
      </c>
      <c r="AK218" t="s">
        <v>305</v>
      </c>
      <c r="AL218" t="s">
        <v>1946</v>
      </c>
      <c r="AM218" t="s">
        <v>1947</v>
      </c>
      <c r="AN218" t="s">
        <v>854</v>
      </c>
      <c r="AO218">
        <v>36805</v>
      </c>
      <c r="AP218">
        <v>562</v>
      </c>
      <c r="AQ218" t="s">
        <v>855</v>
      </c>
      <c r="AR218">
        <v>66275195</v>
      </c>
      <c r="AS218" t="s">
        <v>856</v>
      </c>
      <c r="AU218" t="s">
        <v>5310</v>
      </c>
      <c r="AV218" t="s">
        <v>5311</v>
      </c>
      <c r="AW218" t="s">
        <v>1149</v>
      </c>
      <c r="AX218" t="s">
        <v>1150</v>
      </c>
      <c r="AY218" t="s">
        <v>861</v>
      </c>
      <c r="AZ218" t="s">
        <v>305</v>
      </c>
      <c r="BA218" t="s">
        <v>306</v>
      </c>
      <c r="BB218">
        <v>0</v>
      </c>
      <c r="BC218">
        <v>0</v>
      </c>
      <c r="BD218">
        <v>0</v>
      </c>
      <c r="BE218" t="s">
        <v>2622</v>
      </c>
      <c r="BF218">
        <v>0</v>
      </c>
      <c r="BG218">
        <v>0</v>
      </c>
      <c r="BH218" t="s">
        <v>862</v>
      </c>
      <c r="BI218">
        <v>0</v>
      </c>
      <c r="BJ218" t="s">
        <v>862</v>
      </c>
      <c r="BK218">
        <v>1</v>
      </c>
      <c r="BL218">
        <v>0</v>
      </c>
      <c r="BM218">
        <v>0</v>
      </c>
      <c r="BN218" t="s">
        <v>596</v>
      </c>
      <c r="BO218">
        <v>153294148</v>
      </c>
      <c r="BP218" t="s">
        <v>5305</v>
      </c>
      <c r="BR218">
        <v>42791464</v>
      </c>
      <c r="BT218">
        <v>1</v>
      </c>
      <c r="BU218" t="s">
        <v>1367</v>
      </c>
      <c r="CI218">
        <v>11</v>
      </c>
      <c r="CJ218" t="s">
        <v>94</v>
      </c>
      <c r="CM218">
        <v>4010</v>
      </c>
      <c r="CO218">
        <v>7360</v>
      </c>
      <c r="CP218">
        <v>0.15</v>
      </c>
      <c r="CQ218">
        <v>0.15</v>
      </c>
      <c r="CR218">
        <v>0</v>
      </c>
      <c r="CS218">
        <v>0</v>
      </c>
      <c r="CT218" t="s">
        <v>5311</v>
      </c>
      <c r="CU218" t="s">
        <v>5310</v>
      </c>
      <c r="CV218" t="s">
        <v>833</v>
      </c>
      <c r="CW218" t="s">
        <v>834</v>
      </c>
      <c r="CX218" t="s">
        <v>2622</v>
      </c>
      <c r="CY218">
        <v>0</v>
      </c>
      <c r="CZ218">
        <v>0</v>
      </c>
      <c r="DA218" t="s">
        <v>833</v>
      </c>
      <c r="DB218" t="s">
        <v>865</v>
      </c>
      <c r="DC218">
        <v>56387</v>
      </c>
      <c r="DD218">
        <v>1.0333000000000001</v>
      </c>
      <c r="DE218" t="s">
        <v>866</v>
      </c>
      <c r="DG218" t="s">
        <v>867</v>
      </c>
      <c r="DH218" t="s">
        <v>851</v>
      </c>
      <c r="DI218" t="s">
        <v>1266</v>
      </c>
      <c r="DK218" t="s">
        <v>918</v>
      </c>
      <c r="DL218" t="s">
        <v>869</v>
      </c>
      <c r="DM218">
        <v>0</v>
      </c>
      <c r="DN218">
        <v>0</v>
      </c>
      <c r="DO218">
        <v>5</v>
      </c>
      <c r="DP218" t="s">
        <v>2086</v>
      </c>
      <c r="DQ218">
        <v>16</v>
      </c>
      <c r="DR218">
        <v>62</v>
      </c>
      <c r="DS218">
        <v>62</v>
      </c>
      <c r="DT218">
        <v>0.88329999999999997</v>
      </c>
      <c r="DU218">
        <v>4</v>
      </c>
      <c r="DV218">
        <v>1</v>
      </c>
      <c r="DW218">
        <v>2</v>
      </c>
      <c r="DX218" t="s">
        <v>594</v>
      </c>
      <c r="DY218" t="s">
        <v>2622</v>
      </c>
      <c r="DZ218">
        <v>0</v>
      </c>
      <c r="EA218">
        <v>0</v>
      </c>
      <c r="EB218">
        <v>0</v>
      </c>
      <c r="EC218">
        <v>0</v>
      </c>
      <c r="ED218">
        <v>0</v>
      </c>
      <c r="EE218">
        <v>0</v>
      </c>
      <c r="EF218" t="s">
        <v>920</v>
      </c>
      <c r="EG218" t="s">
        <v>595</v>
      </c>
      <c r="EH218" t="s">
        <v>872</v>
      </c>
      <c r="EI218" t="s">
        <v>872</v>
      </c>
      <c r="EJ218" t="s">
        <v>159</v>
      </c>
      <c r="EK218">
        <v>9090</v>
      </c>
      <c r="EL218">
        <v>0</v>
      </c>
      <c r="EM218" t="s">
        <v>873</v>
      </c>
      <c r="EN218">
        <v>0</v>
      </c>
      <c r="EO218">
        <v>1.0333333</v>
      </c>
      <c r="EP218">
        <v>99991120</v>
      </c>
      <c r="EQ218" t="s">
        <v>874</v>
      </c>
      <c r="ER218" t="s">
        <v>875</v>
      </c>
      <c r="ES218" t="s">
        <v>876</v>
      </c>
      <c r="ET218" t="s">
        <v>877</v>
      </c>
      <c r="EU218" t="s">
        <v>877</v>
      </c>
      <c r="EV218" t="s">
        <v>920</v>
      </c>
      <c r="EX218" t="s">
        <v>836</v>
      </c>
      <c r="EY218" t="s">
        <v>1121</v>
      </c>
      <c r="EZ218" t="s">
        <v>1122</v>
      </c>
      <c r="FA218" t="s">
        <v>956</v>
      </c>
      <c r="FB218">
        <v>1</v>
      </c>
      <c r="FC218">
        <v>1</v>
      </c>
      <c r="FD218" s="41">
        <v>46032</v>
      </c>
      <c r="FE218" t="s">
        <v>1370</v>
      </c>
      <c r="FF218">
        <v>5</v>
      </c>
      <c r="FI218">
        <v>0</v>
      </c>
      <c r="FJ218" t="s">
        <v>5312</v>
      </c>
      <c r="FK218" t="s">
        <v>5313</v>
      </c>
      <c r="FL218">
        <v>1</v>
      </c>
      <c r="FM218" t="s">
        <v>5086</v>
      </c>
      <c r="FN218" t="s">
        <v>5314</v>
      </c>
      <c r="FO218">
        <v>1</v>
      </c>
      <c r="FP218" t="s">
        <v>5315</v>
      </c>
      <c r="FQ218" t="s">
        <v>5316</v>
      </c>
      <c r="FR218">
        <v>1</v>
      </c>
      <c r="FS218" t="s">
        <v>4643</v>
      </c>
      <c r="FT218" t="s">
        <v>5317</v>
      </c>
      <c r="FU218">
        <v>1</v>
      </c>
      <c r="FV218" t="s">
        <v>5318</v>
      </c>
      <c r="FW218" t="s">
        <v>5313</v>
      </c>
      <c r="FX218">
        <v>1</v>
      </c>
      <c r="FY218" t="s">
        <v>890</v>
      </c>
      <c r="FZ218" t="s">
        <v>5319</v>
      </c>
      <c r="GA218" t="s">
        <v>5312</v>
      </c>
      <c r="GB218">
        <v>1</v>
      </c>
      <c r="GD218">
        <v>0</v>
      </c>
      <c r="GF218">
        <v>0</v>
      </c>
      <c r="GG218">
        <v>1</v>
      </c>
      <c r="GH218" t="s">
        <v>892</v>
      </c>
      <c r="GI218" t="s">
        <v>893</v>
      </c>
      <c r="GJ218" t="s">
        <v>5313</v>
      </c>
      <c r="GM218">
        <v>1</v>
      </c>
      <c r="GN218">
        <v>1</v>
      </c>
      <c r="GO218">
        <v>0</v>
      </c>
      <c r="GP218">
        <v>1</v>
      </c>
      <c r="GQ218">
        <v>1</v>
      </c>
      <c r="GR218">
        <v>0</v>
      </c>
      <c r="GS218">
        <v>1</v>
      </c>
      <c r="GT218">
        <v>0</v>
      </c>
      <c r="GU218">
        <v>1</v>
      </c>
      <c r="GV218">
        <v>0</v>
      </c>
      <c r="GW218">
        <v>1</v>
      </c>
      <c r="GX218">
        <v>0</v>
      </c>
      <c r="GY218">
        <v>1</v>
      </c>
      <c r="GZ218">
        <v>0</v>
      </c>
      <c r="HA218" t="s">
        <v>305</v>
      </c>
      <c r="HB218" t="s">
        <v>894</v>
      </c>
      <c r="HC218" t="s">
        <v>895</v>
      </c>
      <c r="HD218" t="s">
        <v>845</v>
      </c>
      <c r="HE218" t="s">
        <v>836</v>
      </c>
      <c r="HF218" t="s">
        <v>873</v>
      </c>
      <c r="HG218" t="s">
        <v>894</v>
      </c>
      <c r="HH218" t="s">
        <v>895</v>
      </c>
      <c r="HI218" t="s">
        <v>845</v>
      </c>
      <c r="HJ218" t="s">
        <v>836</v>
      </c>
      <c r="HK218" t="s">
        <v>873</v>
      </c>
      <c r="HL218" t="s">
        <v>1943</v>
      </c>
      <c r="HM218" t="s">
        <v>854</v>
      </c>
      <c r="HN218">
        <v>36805</v>
      </c>
      <c r="HO218">
        <v>1</v>
      </c>
      <c r="HP218" t="s">
        <v>159</v>
      </c>
      <c r="HQ218" t="s">
        <v>896</v>
      </c>
      <c r="HR218" t="s">
        <v>896</v>
      </c>
      <c r="HS218" t="s">
        <v>896</v>
      </c>
    </row>
    <row r="219" spans="1:227" x14ac:dyDescent="0.2">
      <c r="A219">
        <v>8702</v>
      </c>
      <c r="B219">
        <v>7605405430</v>
      </c>
      <c r="C219">
        <v>34</v>
      </c>
      <c r="D219" t="s">
        <v>996</v>
      </c>
      <c r="E219" t="s">
        <v>831</v>
      </c>
      <c r="F219">
        <v>0</v>
      </c>
      <c r="G219" t="s">
        <v>2721</v>
      </c>
      <c r="H219" t="s">
        <v>2721</v>
      </c>
      <c r="I219">
        <v>0</v>
      </c>
      <c r="J219" t="s">
        <v>833</v>
      </c>
      <c r="K219" t="s">
        <v>834</v>
      </c>
      <c r="L219">
        <v>156586319</v>
      </c>
      <c r="M219" t="s">
        <v>1706</v>
      </c>
      <c r="N219" t="s">
        <v>836</v>
      </c>
      <c r="O219" t="s">
        <v>837</v>
      </c>
      <c r="P219" t="s">
        <v>999</v>
      </c>
      <c r="Q219" t="s">
        <v>1027</v>
      </c>
      <c r="R219" t="s">
        <v>5320</v>
      </c>
      <c r="S219" t="s">
        <v>5321</v>
      </c>
      <c r="T219">
        <v>30300127006</v>
      </c>
      <c r="V219" t="s">
        <v>196</v>
      </c>
      <c r="W219" s="41">
        <v>46076</v>
      </c>
      <c r="X219" t="s">
        <v>5322</v>
      </c>
      <c r="Y219" t="s">
        <v>5323</v>
      </c>
      <c r="AA219">
        <v>0</v>
      </c>
      <c r="AB219" t="s">
        <v>845</v>
      </c>
      <c r="AC219" t="s">
        <v>846</v>
      </c>
      <c r="AD219" t="s">
        <v>1113</v>
      </c>
      <c r="AE219" t="s">
        <v>1114</v>
      </c>
      <c r="AF219">
        <v>1</v>
      </c>
      <c r="AG219">
        <v>452210</v>
      </c>
      <c r="AH219" t="s">
        <v>849</v>
      </c>
      <c r="AI219" t="s">
        <v>850</v>
      </c>
      <c r="AJ219" t="s">
        <v>851</v>
      </c>
      <c r="AK219" t="s">
        <v>255</v>
      </c>
      <c r="AL219" t="s">
        <v>2605</v>
      </c>
      <c r="AM219" t="s">
        <v>1712</v>
      </c>
      <c r="AN219" t="s">
        <v>854</v>
      </c>
      <c r="AO219">
        <v>36805</v>
      </c>
      <c r="AP219">
        <v>639</v>
      </c>
      <c r="AQ219" t="s">
        <v>855</v>
      </c>
      <c r="AR219">
        <v>66347301</v>
      </c>
      <c r="AS219" t="s">
        <v>856</v>
      </c>
      <c r="AU219" t="s">
        <v>5324</v>
      </c>
      <c r="AV219" t="s">
        <v>5325</v>
      </c>
      <c r="AX219" t="s">
        <v>913</v>
      </c>
      <c r="AY219" t="s">
        <v>861</v>
      </c>
      <c r="AZ219" t="s">
        <v>255</v>
      </c>
      <c r="BA219" t="s">
        <v>256</v>
      </c>
      <c r="BB219">
        <v>0</v>
      </c>
      <c r="BC219">
        <v>0</v>
      </c>
      <c r="BD219">
        <v>1</v>
      </c>
      <c r="BE219" t="s">
        <v>1706</v>
      </c>
      <c r="BF219">
        <v>0</v>
      </c>
      <c r="BG219">
        <v>0</v>
      </c>
      <c r="BH219" t="s">
        <v>862</v>
      </c>
      <c r="BI219">
        <v>0</v>
      </c>
      <c r="BJ219" t="s">
        <v>862</v>
      </c>
      <c r="BK219">
        <v>1</v>
      </c>
      <c r="BL219">
        <v>1</v>
      </c>
      <c r="BM219">
        <v>0</v>
      </c>
      <c r="BN219" t="s">
        <v>596</v>
      </c>
      <c r="BO219">
        <v>156586319</v>
      </c>
      <c r="BP219" t="s">
        <v>2721</v>
      </c>
      <c r="BR219">
        <v>42791771</v>
      </c>
      <c r="BT219">
        <v>2</v>
      </c>
      <c r="BU219" t="s">
        <v>1780</v>
      </c>
      <c r="CE219">
        <v>1</v>
      </c>
      <c r="CI219">
        <v>11</v>
      </c>
      <c r="CJ219" t="s">
        <v>94</v>
      </c>
      <c r="CM219">
        <v>4010</v>
      </c>
      <c r="CO219">
        <v>7360</v>
      </c>
      <c r="CP219">
        <v>6.6699999999999995E-2</v>
      </c>
      <c r="CQ219">
        <v>6.6699999999999995E-2</v>
      </c>
      <c r="CR219">
        <v>1.67E-2</v>
      </c>
      <c r="CS219">
        <v>7</v>
      </c>
      <c r="CT219" t="s">
        <v>5325</v>
      </c>
      <c r="CU219" t="s">
        <v>5324</v>
      </c>
      <c r="CV219" t="s">
        <v>833</v>
      </c>
      <c r="CW219" t="s">
        <v>834</v>
      </c>
      <c r="CX219" t="s">
        <v>1706</v>
      </c>
      <c r="CY219">
        <v>1</v>
      </c>
      <c r="CZ219">
        <v>1</v>
      </c>
      <c r="DA219" t="s">
        <v>833</v>
      </c>
      <c r="DB219" t="s">
        <v>865</v>
      </c>
      <c r="DC219">
        <v>60134</v>
      </c>
      <c r="DD219">
        <v>3.4832999999999998</v>
      </c>
      <c r="DE219" t="s">
        <v>866</v>
      </c>
      <c r="DG219" t="s">
        <v>867</v>
      </c>
      <c r="DH219" t="s">
        <v>851</v>
      </c>
      <c r="DJ219" t="s">
        <v>1718</v>
      </c>
      <c r="DK219" t="s">
        <v>918</v>
      </c>
      <c r="DL219" t="s">
        <v>869</v>
      </c>
      <c r="DM219">
        <v>0</v>
      </c>
      <c r="DN219">
        <v>0</v>
      </c>
      <c r="DO219">
        <v>11</v>
      </c>
      <c r="DP219" t="s">
        <v>1010</v>
      </c>
      <c r="DQ219">
        <v>0</v>
      </c>
      <c r="DR219">
        <v>209</v>
      </c>
      <c r="DS219">
        <v>209</v>
      </c>
      <c r="DT219">
        <v>3.4167000000000001</v>
      </c>
      <c r="DU219">
        <v>0</v>
      </c>
      <c r="DV219">
        <v>1</v>
      </c>
      <c r="DW219">
        <v>1</v>
      </c>
      <c r="DX219" t="s">
        <v>596</v>
      </c>
      <c r="DY219" t="s">
        <v>1706</v>
      </c>
      <c r="DZ219">
        <v>1</v>
      </c>
      <c r="EA219">
        <v>1</v>
      </c>
      <c r="EB219">
        <v>1</v>
      </c>
      <c r="EC219">
        <v>1</v>
      </c>
      <c r="ED219">
        <v>1</v>
      </c>
      <c r="EE219">
        <v>1</v>
      </c>
      <c r="EF219" t="s">
        <v>871</v>
      </c>
      <c r="EG219" t="s">
        <v>595</v>
      </c>
      <c r="EH219" t="s">
        <v>1036</v>
      </c>
      <c r="EI219" t="s">
        <v>1036</v>
      </c>
      <c r="EJ219" t="s">
        <v>181</v>
      </c>
      <c r="EK219">
        <v>9090</v>
      </c>
      <c r="EL219">
        <v>0</v>
      </c>
      <c r="EM219" t="s">
        <v>1436</v>
      </c>
      <c r="EN219">
        <v>1.67E-2</v>
      </c>
      <c r="EO219">
        <v>3.4833333</v>
      </c>
      <c r="EP219">
        <v>99991120</v>
      </c>
      <c r="EQ219" t="s">
        <v>874</v>
      </c>
      <c r="ER219" t="s">
        <v>875</v>
      </c>
      <c r="ES219" t="s">
        <v>876</v>
      </c>
      <c r="ET219" t="s">
        <v>877</v>
      </c>
      <c r="EU219" t="s">
        <v>877</v>
      </c>
      <c r="EV219" t="s">
        <v>871</v>
      </c>
      <c r="EX219" t="s">
        <v>836</v>
      </c>
      <c r="EY219" t="s">
        <v>873</v>
      </c>
      <c r="EZ219" t="s">
        <v>1437</v>
      </c>
      <c r="FA219" t="s">
        <v>956</v>
      </c>
      <c r="FB219">
        <v>1</v>
      </c>
      <c r="FC219">
        <v>1</v>
      </c>
      <c r="FD219" s="41">
        <v>46081</v>
      </c>
      <c r="FE219" t="s">
        <v>1267</v>
      </c>
      <c r="FF219">
        <v>7</v>
      </c>
      <c r="FG219" t="s">
        <v>5326</v>
      </c>
      <c r="FH219" t="s">
        <v>2731</v>
      </c>
      <c r="FI219">
        <v>1</v>
      </c>
      <c r="FJ219" t="s">
        <v>5327</v>
      </c>
      <c r="FK219" t="s">
        <v>5328</v>
      </c>
      <c r="FL219">
        <v>1</v>
      </c>
      <c r="FM219" t="s">
        <v>1720</v>
      </c>
      <c r="FN219" t="s">
        <v>5329</v>
      </c>
      <c r="FO219">
        <v>1</v>
      </c>
      <c r="FP219" t="s">
        <v>5330</v>
      </c>
      <c r="FQ219" t="s">
        <v>5331</v>
      </c>
      <c r="FR219">
        <v>1</v>
      </c>
      <c r="FS219" t="s">
        <v>2736</v>
      </c>
      <c r="FT219" t="s">
        <v>5332</v>
      </c>
      <c r="FU219">
        <v>1</v>
      </c>
      <c r="FV219" t="s">
        <v>2738</v>
      </c>
      <c r="FW219" t="s">
        <v>5333</v>
      </c>
      <c r="FX219">
        <v>1</v>
      </c>
      <c r="FY219" t="s">
        <v>890</v>
      </c>
      <c r="FZ219" t="s">
        <v>5334</v>
      </c>
      <c r="GA219" t="s">
        <v>5327</v>
      </c>
      <c r="GB219">
        <v>1</v>
      </c>
      <c r="GD219">
        <v>0</v>
      </c>
      <c r="GF219">
        <v>0</v>
      </c>
      <c r="GG219">
        <v>1</v>
      </c>
      <c r="GH219" t="s">
        <v>892</v>
      </c>
      <c r="GI219" t="s">
        <v>893</v>
      </c>
      <c r="GJ219" t="s">
        <v>5328</v>
      </c>
      <c r="GM219">
        <v>1</v>
      </c>
      <c r="GN219">
        <v>1</v>
      </c>
      <c r="GO219">
        <v>0</v>
      </c>
      <c r="GP219">
        <v>1</v>
      </c>
      <c r="GQ219">
        <v>1</v>
      </c>
      <c r="GR219">
        <v>0</v>
      </c>
      <c r="GS219">
        <v>1</v>
      </c>
      <c r="GT219">
        <v>0</v>
      </c>
      <c r="GU219">
        <v>1</v>
      </c>
      <c r="GV219">
        <v>0</v>
      </c>
      <c r="GW219">
        <v>1</v>
      </c>
      <c r="GX219">
        <v>0</v>
      </c>
      <c r="GY219">
        <v>1</v>
      </c>
      <c r="GZ219">
        <v>0</v>
      </c>
      <c r="HA219" t="s">
        <v>255</v>
      </c>
      <c r="HB219" t="s">
        <v>894</v>
      </c>
      <c r="HC219" t="s">
        <v>895</v>
      </c>
      <c r="HD219" t="s">
        <v>845</v>
      </c>
      <c r="HE219" t="s">
        <v>836</v>
      </c>
      <c r="HF219" t="s">
        <v>873</v>
      </c>
      <c r="HG219" t="s">
        <v>894</v>
      </c>
      <c r="HH219" t="s">
        <v>895</v>
      </c>
      <c r="HI219" t="s">
        <v>845</v>
      </c>
      <c r="HJ219" t="s">
        <v>836</v>
      </c>
      <c r="HK219" t="s">
        <v>1436</v>
      </c>
      <c r="HL219" t="s">
        <v>196</v>
      </c>
      <c r="HM219" t="s">
        <v>854</v>
      </c>
      <c r="HN219">
        <v>36805</v>
      </c>
      <c r="HP219" t="s">
        <v>181</v>
      </c>
      <c r="HQ219" t="s">
        <v>896</v>
      </c>
      <c r="HR219" t="s">
        <v>896</v>
      </c>
      <c r="HS219" t="s">
        <v>896</v>
      </c>
    </row>
    <row r="220" spans="1:227" x14ac:dyDescent="0.2">
      <c r="A220">
        <v>8702</v>
      </c>
      <c r="B220">
        <v>7613106378</v>
      </c>
      <c r="C220" t="s">
        <v>936</v>
      </c>
      <c r="D220" t="s">
        <v>937</v>
      </c>
      <c r="E220" t="s">
        <v>897</v>
      </c>
      <c r="F220">
        <v>0</v>
      </c>
      <c r="G220" t="s">
        <v>5335</v>
      </c>
      <c r="H220" t="s">
        <v>5335</v>
      </c>
      <c r="I220">
        <v>0</v>
      </c>
      <c r="J220" t="s">
        <v>833</v>
      </c>
      <c r="K220" t="s">
        <v>834</v>
      </c>
      <c r="L220">
        <v>149860718</v>
      </c>
      <c r="M220" t="s">
        <v>5336</v>
      </c>
      <c r="N220" t="s">
        <v>900</v>
      </c>
      <c r="O220" t="s">
        <v>837</v>
      </c>
      <c r="P220" t="s">
        <v>940</v>
      </c>
      <c r="Q220" t="s">
        <v>1473</v>
      </c>
      <c r="R220" t="s">
        <v>5337</v>
      </c>
      <c r="S220" t="s">
        <v>5338</v>
      </c>
      <c r="T220">
        <v>41477128348</v>
      </c>
      <c r="V220" t="s">
        <v>1332</v>
      </c>
      <c r="W220" s="41">
        <v>46153</v>
      </c>
      <c r="X220" t="s">
        <v>5339</v>
      </c>
      <c r="Y220" t="s">
        <v>5340</v>
      </c>
      <c r="AA220">
        <v>0</v>
      </c>
      <c r="AB220" t="s">
        <v>845</v>
      </c>
      <c r="AC220" t="s">
        <v>846</v>
      </c>
      <c r="AD220" t="s">
        <v>1335</v>
      </c>
      <c r="AE220" t="s">
        <v>1336</v>
      </c>
      <c r="AF220">
        <v>1</v>
      </c>
      <c r="AG220">
        <v>452210</v>
      </c>
      <c r="AH220" t="s">
        <v>849</v>
      </c>
      <c r="AI220" t="s">
        <v>850</v>
      </c>
      <c r="AJ220" t="s">
        <v>851</v>
      </c>
      <c r="AK220" t="s">
        <v>338</v>
      </c>
      <c r="AL220" t="s">
        <v>1337</v>
      </c>
      <c r="AM220" t="s">
        <v>1338</v>
      </c>
      <c r="AN220" t="s">
        <v>854</v>
      </c>
      <c r="AO220">
        <v>36805</v>
      </c>
      <c r="AP220">
        <v>929</v>
      </c>
      <c r="AQ220" t="s">
        <v>855</v>
      </c>
      <c r="AR220">
        <v>66458538</v>
      </c>
      <c r="AS220" t="s">
        <v>856</v>
      </c>
      <c r="AU220" t="s">
        <v>5341</v>
      </c>
      <c r="AV220" t="s">
        <v>5342</v>
      </c>
      <c r="AX220" t="s">
        <v>913</v>
      </c>
      <c r="AY220" t="s">
        <v>861</v>
      </c>
      <c r="AZ220" t="s">
        <v>338</v>
      </c>
      <c r="BA220" t="s">
        <v>339</v>
      </c>
      <c r="BB220">
        <v>0</v>
      </c>
      <c r="BC220">
        <v>0</v>
      </c>
      <c r="BD220">
        <v>1</v>
      </c>
      <c r="BE220" t="s">
        <v>5336</v>
      </c>
      <c r="BF220">
        <v>0</v>
      </c>
      <c r="BG220">
        <v>0</v>
      </c>
      <c r="BH220" t="s">
        <v>862</v>
      </c>
      <c r="BI220">
        <v>0</v>
      </c>
      <c r="BJ220" t="s">
        <v>862</v>
      </c>
      <c r="BK220">
        <v>1</v>
      </c>
      <c r="BL220">
        <v>1</v>
      </c>
      <c r="BM220">
        <v>0</v>
      </c>
      <c r="BN220" t="s">
        <v>596</v>
      </c>
      <c r="BP220" t="s">
        <v>5335</v>
      </c>
      <c r="BR220">
        <v>42793654</v>
      </c>
      <c r="BT220">
        <v>2</v>
      </c>
      <c r="BU220" t="s">
        <v>1803</v>
      </c>
      <c r="BY220">
        <v>16</v>
      </c>
      <c r="CA220">
        <v>6</v>
      </c>
      <c r="CE220">
        <v>1</v>
      </c>
      <c r="CI220">
        <v>11</v>
      </c>
      <c r="CJ220" t="s">
        <v>94</v>
      </c>
      <c r="CM220">
        <v>4010</v>
      </c>
      <c r="CO220">
        <v>7360</v>
      </c>
      <c r="CP220">
        <v>0.2167</v>
      </c>
      <c r="CQ220">
        <v>0.2167</v>
      </c>
      <c r="CR220">
        <v>0.65</v>
      </c>
      <c r="CS220">
        <v>6</v>
      </c>
      <c r="CT220" t="s">
        <v>5343</v>
      </c>
      <c r="CU220" t="s">
        <v>5344</v>
      </c>
      <c r="CV220" t="s">
        <v>833</v>
      </c>
      <c r="CW220" t="s">
        <v>834</v>
      </c>
      <c r="CX220" t="s">
        <v>1341</v>
      </c>
      <c r="CY220">
        <v>1</v>
      </c>
      <c r="CZ220">
        <v>1</v>
      </c>
      <c r="DA220" t="s">
        <v>833</v>
      </c>
      <c r="DB220" t="s">
        <v>865</v>
      </c>
      <c r="DC220">
        <v>43623</v>
      </c>
      <c r="DD220">
        <v>5.8333000000000004</v>
      </c>
      <c r="DE220" t="s">
        <v>866</v>
      </c>
      <c r="DG220" t="s">
        <v>867</v>
      </c>
      <c r="DH220" t="s">
        <v>851</v>
      </c>
      <c r="DK220" t="s">
        <v>918</v>
      </c>
      <c r="DL220" t="s">
        <v>869</v>
      </c>
      <c r="DM220">
        <v>0</v>
      </c>
      <c r="DN220">
        <v>0</v>
      </c>
      <c r="DO220">
        <v>11</v>
      </c>
      <c r="DP220" t="s">
        <v>1010</v>
      </c>
      <c r="DQ220">
        <v>16</v>
      </c>
      <c r="DR220">
        <v>350</v>
      </c>
      <c r="DS220">
        <v>350</v>
      </c>
      <c r="DT220">
        <v>5.6166999999999998</v>
      </c>
      <c r="DU220">
        <v>4</v>
      </c>
      <c r="DV220">
        <v>1</v>
      </c>
      <c r="DW220">
        <v>2</v>
      </c>
      <c r="DX220" t="s">
        <v>596</v>
      </c>
      <c r="DY220" t="s">
        <v>5336</v>
      </c>
      <c r="DZ220">
        <v>1</v>
      </c>
      <c r="EA220">
        <v>1</v>
      </c>
      <c r="EB220">
        <v>1</v>
      </c>
      <c r="EC220">
        <v>0</v>
      </c>
      <c r="ED220">
        <v>0</v>
      </c>
      <c r="EE220">
        <v>1</v>
      </c>
      <c r="EF220" t="s">
        <v>920</v>
      </c>
      <c r="EG220" t="s">
        <v>595</v>
      </c>
      <c r="EH220" t="s">
        <v>921</v>
      </c>
      <c r="EI220" t="s">
        <v>921</v>
      </c>
      <c r="EJ220" t="s">
        <v>226</v>
      </c>
      <c r="EK220">
        <v>9090</v>
      </c>
      <c r="EL220">
        <v>0</v>
      </c>
      <c r="EM220" t="s">
        <v>1157</v>
      </c>
      <c r="EN220">
        <v>0.65</v>
      </c>
      <c r="EO220">
        <v>5.8333332999999996</v>
      </c>
      <c r="EP220">
        <v>99991120</v>
      </c>
      <c r="EQ220" t="s">
        <v>874</v>
      </c>
      <c r="ER220" t="s">
        <v>875</v>
      </c>
      <c r="ES220" t="s">
        <v>876</v>
      </c>
      <c r="ET220" t="s">
        <v>877</v>
      </c>
      <c r="EU220" t="s">
        <v>877</v>
      </c>
      <c r="EV220" t="s">
        <v>920</v>
      </c>
      <c r="EX220" t="s">
        <v>953</v>
      </c>
      <c r="EY220" t="s">
        <v>986</v>
      </c>
      <c r="EZ220" t="s">
        <v>1342</v>
      </c>
      <c r="FA220" t="s">
        <v>879</v>
      </c>
      <c r="FB220">
        <v>1</v>
      </c>
      <c r="FC220">
        <v>1</v>
      </c>
      <c r="FD220" s="41">
        <v>46158</v>
      </c>
      <c r="FE220" t="s">
        <v>1808</v>
      </c>
      <c r="FF220">
        <v>7</v>
      </c>
      <c r="FG220" t="s">
        <v>5345</v>
      </c>
      <c r="FH220" t="s">
        <v>5346</v>
      </c>
      <c r="FI220">
        <v>1</v>
      </c>
      <c r="FJ220" t="s">
        <v>5347</v>
      </c>
      <c r="FK220" t="s">
        <v>5346</v>
      </c>
      <c r="FL220">
        <v>1</v>
      </c>
      <c r="FM220" t="s">
        <v>5348</v>
      </c>
      <c r="FN220" t="s">
        <v>5349</v>
      </c>
      <c r="FO220">
        <v>1</v>
      </c>
      <c r="FP220" t="s">
        <v>5350</v>
      </c>
      <c r="FQ220" t="s">
        <v>5351</v>
      </c>
      <c r="FR220">
        <v>1</v>
      </c>
      <c r="FS220" t="s">
        <v>964</v>
      </c>
      <c r="FT220" t="s">
        <v>5352</v>
      </c>
      <c r="FU220">
        <v>1</v>
      </c>
      <c r="FV220" t="s">
        <v>966</v>
      </c>
      <c r="FW220" t="s">
        <v>5353</v>
      </c>
      <c r="FX220">
        <v>1</v>
      </c>
      <c r="FY220" t="s">
        <v>890</v>
      </c>
      <c r="FZ220" t="s">
        <v>5354</v>
      </c>
      <c r="GA220" t="s">
        <v>5347</v>
      </c>
      <c r="GB220">
        <v>1</v>
      </c>
      <c r="GD220">
        <v>0</v>
      </c>
      <c r="GF220">
        <v>0</v>
      </c>
      <c r="GG220">
        <v>1</v>
      </c>
      <c r="GH220" t="s">
        <v>892</v>
      </c>
      <c r="GI220" t="s">
        <v>893</v>
      </c>
      <c r="GJ220" t="s">
        <v>5346</v>
      </c>
      <c r="GM220">
        <v>1</v>
      </c>
      <c r="GN220">
        <v>1</v>
      </c>
      <c r="GO220">
        <v>0</v>
      </c>
      <c r="GP220">
        <v>1</v>
      </c>
      <c r="GQ220">
        <v>1</v>
      </c>
      <c r="GR220">
        <v>0</v>
      </c>
      <c r="GS220">
        <v>1</v>
      </c>
      <c r="GT220">
        <v>0</v>
      </c>
      <c r="GU220">
        <v>1</v>
      </c>
      <c r="GV220">
        <v>0</v>
      </c>
      <c r="GW220">
        <v>1</v>
      </c>
      <c r="GX220">
        <v>0</v>
      </c>
      <c r="GY220">
        <v>1</v>
      </c>
      <c r="GZ220">
        <v>0</v>
      </c>
      <c r="HA220" t="s">
        <v>338</v>
      </c>
      <c r="HB220" t="s">
        <v>894</v>
      </c>
      <c r="HC220" t="s">
        <v>935</v>
      </c>
      <c r="HD220" t="s">
        <v>845</v>
      </c>
      <c r="HE220" t="s">
        <v>900</v>
      </c>
      <c r="HF220" t="s">
        <v>923</v>
      </c>
      <c r="HG220" t="s">
        <v>894</v>
      </c>
      <c r="HH220" t="s">
        <v>935</v>
      </c>
      <c r="HI220" t="s">
        <v>845</v>
      </c>
      <c r="HJ220" t="s">
        <v>900</v>
      </c>
      <c r="HK220" t="s">
        <v>922</v>
      </c>
      <c r="HL220" t="s">
        <v>1332</v>
      </c>
      <c r="HM220" t="s">
        <v>854</v>
      </c>
      <c r="HN220">
        <v>36805</v>
      </c>
      <c r="HP220" t="s">
        <v>226</v>
      </c>
      <c r="HQ220" t="s">
        <v>896</v>
      </c>
      <c r="HR220" t="s">
        <v>896</v>
      </c>
      <c r="HS220" t="s">
        <v>896</v>
      </c>
    </row>
    <row r="221" spans="1:227" x14ac:dyDescent="0.2">
      <c r="A221">
        <v>8702</v>
      </c>
      <c r="B221">
        <v>7600615490</v>
      </c>
      <c r="C221" t="s">
        <v>829</v>
      </c>
      <c r="D221" t="s">
        <v>830</v>
      </c>
      <c r="E221" t="s">
        <v>831</v>
      </c>
      <c r="F221">
        <v>0</v>
      </c>
      <c r="G221" t="s">
        <v>5355</v>
      </c>
      <c r="H221" t="s">
        <v>5355</v>
      </c>
      <c r="I221">
        <v>0</v>
      </c>
      <c r="J221" t="s">
        <v>833</v>
      </c>
      <c r="K221" t="s">
        <v>834</v>
      </c>
      <c r="L221">
        <v>153524539</v>
      </c>
      <c r="M221" t="s">
        <v>1201</v>
      </c>
      <c r="N221" t="s">
        <v>836</v>
      </c>
      <c r="O221" t="s">
        <v>837</v>
      </c>
      <c r="P221" t="s">
        <v>838</v>
      </c>
      <c r="Q221" t="s">
        <v>1251</v>
      </c>
      <c r="R221" t="s">
        <v>5356</v>
      </c>
      <c r="S221" t="s">
        <v>5357</v>
      </c>
      <c r="T221">
        <v>41477059751</v>
      </c>
      <c r="V221" t="s">
        <v>136</v>
      </c>
      <c r="W221" s="41">
        <v>46028</v>
      </c>
      <c r="X221" t="s">
        <v>5358</v>
      </c>
      <c r="Y221" t="s">
        <v>5359</v>
      </c>
      <c r="Z221">
        <v>1</v>
      </c>
      <c r="AA221">
        <v>0</v>
      </c>
      <c r="AB221" t="s">
        <v>845</v>
      </c>
      <c r="AC221" t="s">
        <v>846</v>
      </c>
      <c r="AD221" t="s">
        <v>847</v>
      </c>
      <c r="AE221" t="s">
        <v>848</v>
      </c>
      <c r="AF221">
        <v>1</v>
      </c>
      <c r="AG221">
        <v>452210</v>
      </c>
      <c r="AH221" t="s">
        <v>849</v>
      </c>
      <c r="AI221" t="s">
        <v>850</v>
      </c>
      <c r="AJ221" t="s">
        <v>851</v>
      </c>
      <c r="AK221" t="s">
        <v>299</v>
      </c>
      <c r="AL221" t="s">
        <v>2035</v>
      </c>
      <c r="AM221" t="s">
        <v>1207</v>
      </c>
      <c r="AN221" t="s">
        <v>854</v>
      </c>
      <c r="AO221">
        <v>36805</v>
      </c>
      <c r="AP221">
        <v>523</v>
      </c>
      <c r="AQ221" t="s">
        <v>855</v>
      </c>
      <c r="AR221">
        <v>66278265</v>
      </c>
      <c r="AS221" t="s">
        <v>856</v>
      </c>
      <c r="AU221" t="s">
        <v>5360</v>
      </c>
      <c r="AV221" t="s">
        <v>5361</v>
      </c>
      <c r="AX221" t="s">
        <v>913</v>
      </c>
      <c r="AY221" t="s">
        <v>861</v>
      </c>
      <c r="AZ221" t="s">
        <v>299</v>
      </c>
      <c r="BA221" t="s">
        <v>300</v>
      </c>
      <c r="BB221">
        <v>0</v>
      </c>
      <c r="BC221">
        <v>0</v>
      </c>
      <c r="BD221">
        <v>0</v>
      </c>
      <c r="BE221" t="s">
        <v>1201</v>
      </c>
      <c r="BF221">
        <v>0</v>
      </c>
      <c r="BG221">
        <v>0</v>
      </c>
      <c r="BH221" t="s">
        <v>862</v>
      </c>
      <c r="BI221">
        <v>0</v>
      </c>
      <c r="BJ221" t="s">
        <v>862</v>
      </c>
      <c r="BK221">
        <v>1</v>
      </c>
      <c r="BL221">
        <v>1</v>
      </c>
      <c r="BM221">
        <v>0</v>
      </c>
      <c r="BN221" t="s">
        <v>596</v>
      </c>
      <c r="BO221">
        <v>153524539</v>
      </c>
      <c r="BP221" t="s">
        <v>5355</v>
      </c>
      <c r="BQ221">
        <v>40.4127157</v>
      </c>
      <c r="BR221">
        <v>42791433</v>
      </c>
      <c r="BS221">
        <v>-86.839540799999995</v>
      </c>
      <c r="BT221">
        <v>2</v>
      </c>
      <c r="BU221" t="s">
        <v>1367</v>
      </c>
      <c r="CE221">
        <v>1</v>
      </c>
      <c r="CI221">
        <v>11</v>
      </c>
      <c r="CJ221" t="s">
        <v>94</v>
      </c>
      <c r="CM221">
        <v>4010</v>
      </c>
      <c r="CO221">
        <v>7360</v>
      </c>
      <c r="CP221">
        <v>0.5</v>
      </c>
      <c r="CQ221">
        <v>0.5</v>
      </c>
      <c r="CR221">
        <v>0.41670000000000001</v>
      </c>
      <c r="CS221">
        <v>3</v>
      </c>
      <c r="CT221" t="s">
        <v>5361</v>
      </c>
      <c r="CU221" t="s">
        <v>5360</v>
      </c>
      <c r="CV221" t="s">
        <v>833</v>
      </c>
      <c r="CW221" t="s">
        <v>834</v>
      </c>
      <c r="CX221" t="s">
        <v>1201</v>
      </c>
      <c r="CY221">
        <v>0</v>
      </c>
      <c r="CZ221">
        <v>0</v>
      </c>
      <c r="DA221" t="s">
        <v>833</v>
      </c>
      <c r="DB221" t="s">
        <v>865</v>
      </c>
      <c r="DC221">
        <v>47905</v>
      </c>
      <c r="DD221">
        <v>6.6</v>
      </c>
      <c r="DE221" t="s">
        <v>866</v>
      </c>
      <c r="DG221" t="s">
        <v>867</v>
      </c>
      <c r="DH221" t="s">
        <v>851</v>
      </c>
      <c r="DI221" t="s">
        <v>1210</v>
      </c>
      <c r="DK221" t="s">
        <v>918</v>
      </c>
      <c r="DL221" t="s">
        <v>869</v>
      </c>
      <c r="DM221">
        <v>0</v>
      </c>
      <c r="DN221">
        <v>0</v>
      </c>
      <c r="DO221">
        <v>53</v>
      </c>
      <c r="DP221" t="s">
        <v>1156</v>
      </c>
      <c r="DQ221">
        <v>16</v>
      </c>
      <c r="DR221">
        <v>396</v>
      </c>
      <c r="DS221">
        <v>1116</v>
      </c>
      <c r="DT221">
        <v>6.1</v>
      </c>
      <c r="DU221">
        <v>4</v>
      </c>
      <c r="DV221">
        <v>1</v>
      </c>
      <c r="DW221">
        <v>2</v>
      </c>
      <c r="DX221" t="s">
        <v>596</v>
      </c>
      <c r="DY221" t="s">
        <v>1201</v>
      </c>
      <c r="DZ221">
        <v>1</v>
      </c>
      <c r="EA221">
        <v>1</v>
      </c>
      <c r="EB221">
        <v>1</v>
      </c>
      <c r="EC221">
        <v>0</v>
      </c>
      <c r="ED221">
        <v>0</v>
      </c>
      <c r="EE221">
        <v>1</v>
      </c>
      <c r="EF221" t="s">
        <v>920</v>
      </c>
      <c r="EG221" t="s">
        <v>595</v>
      </c>
      <c r="EH221" t="s">
        <v>921</v>
      </c>
      <c r="EI221" t="s">
        <v>921</v>
      </c>
      <c r="EJ221" t="s">
        <v>134</v>
      </c>
      <c r="EK221">
        <v>9090</v>
      </c>
      <c r="EL221">
        <v>0</v>
      </c>
      <c r="EM221" t="s">
        <v>1436</v>
      </c>
      <c r="EN221">
        <v>0.41670000000000001</v>
      </c>
      <c r="EO221">
        <v>18.600000000000001</v>
      </c>
      <c r="EP221">
        <v>99991120</v>
      </c>
      <c r="EQ221" t="s">
        <v>874</v>
      </c>
      <c r="ER221" t="s">
        <v>875</v>
      </c>
      <c r="ES221" t="s">
        <v>876</v>
      </c>
      <c r="ET221" t="s">
        <v>877</v>
      </c>
      <c r="EU221" t="s">
        <v>877</v>
      </c>
      <c r="EV221" t="s">
        <v>920</v>
      </c>
      <c r="EX221" t="s">
        <v>953</v>
      </c>
      <c r="EY221" t="s">
        <v>1555</v>
      </c>
      <c r="EZ221" t="s">
        <v>1211</v>
      </c>
      <c r="FA221" t="s">
        <v>1212</v>
      </c>
      <c r="FB221">
        <v>1</v>
      </c>
      <c r="FC221">
        <v>1</v>
      </c>
      <c r="FD221" s="41">
        <v>46032</v>
      </c>
      <c r="FE221" t="s">
        <v>1370</v>
      </c>
      <c r="FF221">
        <v>5</v>
      </c>
      <c r="FI221">
        <v>0</v>
      </c>
      <c r="FJ221" t="s">
        <v>1201</v>
      </c>
      <c r="FK221" t="s">
        <v>5362</v>
      </c>
      <c r="FL221">
        <v>1</v>
      </c>
      <c r="FM221" t="s">
        <v>1213</v>
      </c>
      <c r="FN221" t="s">
        <v>5363</v>
      </c>
      <c r="FO221">
        <v>1</v>
      </c>
      <c r="FP221" t="s">
        <v>5364</v>
      </c>
      <c r="FQ221" t="s">
        <v>5365</v>
      </c>
      <c r="FR221">
        <v>1</v>
      </c>
      <c r="FS221" t="s">
        <v>2048</v>
      </c>
      <c r="FT221" t="s">
        <v>5366</v>
      </c>
      <c r="FU221">
        <v>1</v>
      </c>
      <c r="FV221" t="s">
        <v>5367</v>
      </c>
      <c r="FW221" t="s">
        <v>5362</v>
      </c>
      <c r="FX221">
        <v>1</v>
      </c>
      <c r="FY221" t="s">
        <v>890</v>
      </c>
      <c r="FZ221" t="s">
        <v>5368</v>
      </c>
      <c r="GA221" t="s">
        <v>5367</v>
      </c>
      <c r="GB221">
        <v>1</v>
      </c>
      <c r="GD221">
        <v>0</v>
      </c>
      <c r="GF221">
        <v>0</v>
      </c>
      <c r="GG221">
        <v>1</v>
      </c>
      <c r="GH221" t="s">
        <v>892</v>
      </c>
      <c r="GI221" t="s">
        <v>893</v>
      </c>
      <c r="GJ221" t="s">
        <v>5362</v>
      </c>
      <c r="GM221">
        <v>1</v>
      </c>
      <c r="GN221">
        <v>1</v>
      </c>
      <c r="GO221">
        <v>0</v>
      </c>
      <c r="GP221">
        <v>1</v>
      </c>
      <c r="GQ221">
        <v>1</v>
      </c>
      <c r="GR221">
        <v>0</v>
      </c>
      <c r="GS221">
        <v>1</v>
      </c>
      <c r="GT221">
        <v>0</v>
      </c>
      <c r="GU221">
        <v>1</v>
      </c>
      <c r="GV221">
        <v>0</v>
      </c>
      <c r="GW221">
        <v>1</v>
      </c>
      <c r="GX221">
        <v>0</v>
      </c>
      <c r="GY221">
        <v>1</v>
      </c>
      <c r="GZ221">
        <v>0</v>
      </c>
      <c r="HA221" t="s">
        <v>299</v>
      </c>
      <c r="HB221" t="s">
        <v>894</v>
      </c>
      <c r="HC221" t="s">
        <v>895</v>
      </c>
      <c r="HD221" t="s">
        <v>845</v>
      </c>
      <c r="HE221" t="s">
        <v>836</v>
      </c>
      <c r="HF221" t="s">
        <v>873</v>
      </c>
      <c r="HG221" t="s">
        <v>894</v>
      </c>
      <c r="HH221" t="s">
        <v>895</v>
      </c>
      <c r="HI221" t="s">
        <v>845</v>
      </c>
      <c r="HJ221" t="s">
        <v>836</v>
      </c>
      <c r="HK221" t="s">
        <v>1436</v>
      </c>
      <c r="HL221" t="s">
        <v>136</v>
      </c>
      <c r="HM221" t="s">
        <v>854</v>
      </c>
      <c r="HN221">
        <v>36805</v>
      </c>
      <c r="HP221" t="s">
        <v>134</v>
      </c>
      <c r="HQ221" t="s">
        <v>896</v>
      </c>
      <c r="HR221" t="s">
        <v>896</v>
      </c>
      <c r="HS221" t="s">
        <v>896</v>
      </c>
    </row>
    <row r="222" spans="1:227" x14ac:dyDescent="0.2">
      <c r="A222">
        <v>8702</v>
      </c>
      <c r="B222">
        <v>7529601257</v>
      </c>
      <c r="C222" t="s">
        <v>1916</v>
      </c>
      <c r="D222" t="s">
        <v>1917</v>
      </c>
      <c r="E222" t="s">
        <v>831</v>
      </c>
      <c r="F222">
        <v>0</v>
      </c>
      <c r="G222" t="s">
        <v>5369</v>
      </c>
      <c r="H222" t="s">
        <v>5369</v>
      </c>
      <c r="I222">
        <v>0</v>
      </c>
      <c r="J222" t="s">
        <v>833</v>
      </c>
      <c r="K222" t="s">
        <v>834</v>
      </c>
      <c r="L222">
        <v>153008216</v>
      </c>
      <c r="M222" t="s">
        <v>5370</v>
      </c>
      <c r="N222" t="s">
        <v>836</v>
      </c>
      <c r="O222" t="s">
        <v>837</v>
      </c>
      <c r="P222" t="s">
        <v>1920</v>
      </c>
      <c r="Q222" t="s">
        <v>1921</v>
      </c>
      <c r="R222" t="s">
        <v>5371</v>
      </c>
      <c r="S222" t="s">
        <v>5372</v>
      </c>
      <c r="T222">
        <v>41477092613</v>
      </c>
      <c r="V222" t="s">
        <v>1109</v>
      </c>
      <c r="W222" s="41">
        <v>45953</v>
      </c>
      <c r="X222" t="s">
        <v>5373</v>
      </c>
      <c r="Y222" t="s">
        <v>5374</v>
      </c>
      <c r="AA222">
        <v>0</v>
      </c>
      <c r="AB222" t="s">
        <v>845</v>
      </c>
      <c r="AC222" t="s">
        <v>846</v>
      </c>
      <c r="AD222" t="s">
        <v>847</v>
      </c>
      <c r="AE222" t="s">
        <v>848</v>
      </c>
      <c r="AF222">
        <v>1</v>
      </c>
      <c r="AG222">
        <v>452210</v>
      </c>
      <c r="AH222" t="s">
        <v>849</v>
      </c>
      <c r="AI222" t="s">
        <v>850</v>
      </c>
      <c r="AJ222" t="s">
        <v>851</v>
      </c>
      <c r="AK222" t="s">
        <v>253</v>
      </c>
      <c r="AL222" t="s">
        <v>1257</v>
      </c>
      <c r="AM222" t="s">
        <v>1116</v>
      </c>
      <c r="AN222" t="s">
        <v>854</v>
      </c>
      <c r="AO222">
        <v>36805</v>
      </c>
      <c r="AP222">
        <v>545</v>
      </c>
      <c r="AQ222" t="s">
        <v>855</v>
      </c>
      <c r="AR222">
        <v>66170476</v>
      </c>
      <c r="AS222" t="s">
        <v>856</v>
      </c>
      <c r="AU222" t="s">
        <v>5375</v>
      </c>
      <c r="AV222" t="s">
        <v>5376</v>
      </c>
      <c r="AX222" t="s">
        <v>913</v>
      </c>
      <c r="AY222" t="s">
        <v>861</v>
      </c>
      <c r="AZ222" t="s">
        <v>253</v>
      </c>
      <c r="BA222" t="s">
        <v>254</v>
      </c>
      <c r="BB222">
        <v>0</v>
      </c>
      <c r="BC222">
        <v>0</v>
      </c>
      <c r="BD222">
        <v>0</v>
      </c>
      <c r="BE222" t="s">
        <v>5370</v>
      </c>
      <c r="BF222">
        <v>0</v>
      </c>
      <c r="BG222">
        <v>0</v>
      </c>
      <c r="BH222" t="s">
        <v>862</v>
      </c>
      <c r="BI222">
        <v>0</v>
      </c>
      <c r="BJ222" t="s">
        <v>862</v>
      </c>
      <c r="BK222">
        <v>1</v>
      </c>
      <c r="BL222">
        <v>1</v>
      </c>
      <c r="BM222">
        <v>0</v>
      </c>
      <c r="BN222" t="s">
        <v>596</v>
      </c>
      <c r="BO222">
        <v>153008216</v>
      </c>
      <c r="BP222" t="s">
        <v>5369</v>
      </c>
      <c r="BQ222">
        <v>45.051828399999998</v>
      </c>
      <c r="BR222">
        <v>42791461</v>
      </c>
      <c r="BS222">
        <v>-93.062009799999998</v>
      </c>
      <c r="BT222">
        <v>0</v>
      </c>
      <c r="CM222">
        <v>4010</v>
      </c>
      <c r="CO222">
        <v>7360</v>
      </c>
      <c r="CP222">
        <v>0.7167</v>
      </c>
      <c r="CQ222">
        <v>0.7167</v>
      </c>
      <c r="CR222">
        <v>1.3167</v>
      </c>
      <c r="CS222">
        <v>1</v>
      </c>
      <c r="CT222" t="s">
        <v>5376</v>
      </c>
      <c r="CU222" t="s">
        <v>5375</v>
      </c>
      <c r="CV222" t="s">
        <v>833</v>
      </c>
      <c r="CW222" t="s">
        <v>834</v>
      </c>
      <c r="CX222" t="s">
        <v>5370</v>
      </c>
      <c r="CY222">
        <v>0</v>
      </c>
      <c r="CZ222">
        <v>0</v>
      </c>
      <c r="DA222" t="s">
        <v>833</v>
      </c>
      <c r="DB222" t="s">
        <v>865</v>
      </c>
      <c r="DC222">
        <v>55127</v>
      </c>
      <c r="DD222">
        <v>2.3666999999999998</v>
      </c>
      <c r="DE222" t="s">
        <v>866</v>
      </c>
      <c r="DG222" t="s">
        <v>867</v>
      </c>
      <c r="DH222" t="s">
        <v>851</v>
      </c>
      <c r="DL222" t="s">
        <v>869</v>
      </c>
      <c r="DM222">
        <v>0</v>
      </c>
      <c r="DN222">
        <v>0</v>
      </c>
      <c r="DO222">
        <v>12</v>
      </c>
      <c r="DP222" t="s">
        <v>1190</v>
      </c>
      <c r="DQ222">
        <v>16</v>
      </c>
      <c r="DR222">
        <v>142</v>
      </c>
      <c r="DS222">
        <v>142</v>
      </c>
      <c r="DT222">
        <v>1.65</v>
      </c>
      <c r="DU222">
        <v>4</v>
      </c>
      <c r="DW222">
        <v>2</v>
      </c>
      <c r="DX222" t="s">
        <v>596</v>
      </c>
      <c r="DY222" t="s">
        <v>5370</v>
      </c>
      <c r="DZ222">
        <v>1</v>
      </c>
      <c r="EA222">
        <v>1</v>
      </c>
      <c r="EB222">
        <v>1</v>
      </c>
      <c r="EC222">
        <v>1</v>
      </c>
      <c r="ED222">
        <v>1</v>
      </c>
      <c r="EE222">
        <v>1</v>
      </c>
      <c r="EF222" t="s">
        <v>920</v>
      </c>
      <c r="EG222" t="s">
        <v>595</v>
      </c>
      <c r="EH222" t="s">
        <v>921</v>
      </c>
      <c r="EI222" t="s">
        <v>921</v>
      </c>
      <c r="EJ222" t="s">
        <v>159</v>
      </c>
      <c r="EK222">
        <v>9090</v>
      </c>
      <c r="EL222">
        <v>0</v>
      </c>
      <c r="EM222" t="s">
        <v>873</v>
      </c>
      <c r="EN222">
        <v>1.3167</v>
      </c>
      <c r="EO222">
        <v>2.3666665999999998</v>
      </c>
      <c r="EP222">
        <v>99991120</v>
      </c>
      <c r="EQ222" t="s">
        <v>874</v>
      </c>
      <c r="ER222" t="s">
        <v>875</v>
      </c>
      <c r="ES222" t="s">
        <v>876</v>
      </c>
      <c r="ET222" t="s">
        <v>877</v>
      </c>
      <c r="EU222" t="s">
        <v>877</v>
      </c>
      <c r="EV222" t="s">
        <v>920</v>
      </c>
      <c r="EX222" t="s">
        <v>836</v>
      </c>
      <c r="EY222" t="s">
        <v>1121</v>
      </c>
      <c r="EZ222" t="s">
        <v>1122</v>
      </c>
      <c r="FA222" t="s">
        <v>956</v>
      </c>
      <c r="FB222">
        <v>1</v>
      </c>
      <c r="FC222">
        <v>1</v>
      </c>
      <c r="FD222" s="41">
        <v>45955</v>
      </c>
      <c r="FE222" t="s">
        <v>1039</v>
      </c>
      <c r="FF222">
        <v>8</v>
      </c>
      <c r="FG222" t="s">
        <v>1273</v>
      </c>
      <c r="FH222" t="s">
        <v>5377</v>
      </c>
      <c r="FI222">
        <v>1</v>
      </c>
      <c r="FJ222" t="s">
        <v>5378</v>
      </c>
      <c r="FK222" t="s">
        <v>5379</v>
      </c>
      <c r="FL222">
        <v>1</v>
      </c>
      <c r="FM222" t="s">
        <v>5380</v>
      </c>
      <c r="FN222" t="s">
        <v>5381</v>
      </c>
      <c r="FO222">
        <v>1</v>
      </c>
      <c r="FP222" t="s">
        <v>5382</v>
      </c>
      <c r="FQ222" t="s">
        <v>5383</v>
      </c>
      <c r="FR222">
        <v>1</v>
      </c>
      <c r="FS222" t="s">
        <v>2287</v>
      </c>
      <c r="FT222" t="s">
        <v>5384</v>
      </c>
      <c r="FU222">
        <v>1</v>
      </c>
      <c r="FV222" t="s">
        <v>2289</v>
      </c>
      <c r="FW222" t="s">
        <v>5385</v>
      </c>
      <c r="FX222">
        <v>1</v>
      </c>
      <c r="FY222" t="s">
        <v>890</v>
      </c>
      <c r="FZ222" t="s">
        <v>5386</v>
      </c>
      <c r="GA222" t="s">
        <v>5378</v>
      </c>
      <c r="GB222">
        <v>1</v>
      </c>
      <c r="GD222">
        <v>0</v>
      </c>
      <c r="GF222">
        <v>0</v>
      </c>
      <c r="GG222">
        <v>1</v>
      </c>
      <c r="GH222" t="s">
        <v>892</v>
      </c>
      <c r="GI222" t="s">
        <v>893</v>
      </c>
      <c r="GJ222" t="s">
        <v>5379</v>
      </c>
      <c r="GM222">
        <v>1</v>
      </c>
      <c r="GN222">
        <v>1</v>
      </c>
      <c r="GO222">
        <v>0</v>
      </c>
      <c r="GP222">
        <v>1</v>
      </c>
      <c r="GQ222">
        <v>1</v>
      </c>
      <c r="GR222">
        <v>0</v>
      </c>
      <c r="GS222">
        <v>1</v>
      </c>
      <c r="GT222">
        <v>0</v>
      </c>
      <c r="GU222">
        <v>1</v>
      </c>
      <c r="GV222">
        <v>0</v>
      </c>
      <c r="GW222">
        <v>1</v>
      </c>
      <c r="GX222">
        <v>0</v>
      </c>
      <c r="GY222">
        <v>1</v>
      </c>
      <c r="GZ222">
        <v>0</v>
      </c>
      <c r="HA222" t="s">
        <v>253</v>
      </c>
      <c r="HB222" t="s">
        <v>894</v>
      </c>
      <c r="HC222" t="s">
        <v>895</v>
      </c>
      <c r="HD222" t="s">
        <v>845</v>
      </c>
      <c r="HE222" t="s">
        <v>836</v>
      </c>
      <c r="HF222" t="s">
        <v>873</v>
      </c>
      <c r="HG222" t="s">
        <v>894</v>
      </c>
      <c r="HH222" t="s">
        <v>895</v>
      </c>
      <c r="HI222" t="s">
        <v>845</v>
      </c>
      <c r="HJ222" t="s">
        <v>836</v>
      </c>
      <c r="HK222" t="s">
        <v>873</v>
      </c>
      <c r="HL222" t="s">
        <v>1109</v>
      </c>
      <c r="HM222" t="s">
        <v>854</v>
      </c>
      <c r="HN222">
        <v>36805</v>
      </c>
      <c r="HP222" t="s">
        <v>159</v>
      </c>
      <c r="HQ222" t="s">
        <v>896</v>
      </c>
      <c r="HR222" t="s">
        <v>896</v>
      </c>
      <c r="HS222" t="s">
        <v>896</v>
      </c>
    </row>
    <row r="223" spans="1:227" x14ac:dyDescent="0.2">
      <c r="A223">
        <v>8702</v>
      </c>
      <c r="B223">
        <v>7524501430</v>
      </c>
      <c r="C223">
        <v>34</v>
      </c>
      <c r="D223" t="s">
        <v>996</v>
      </c>
      <c r="E223" t="s">
        <v>897</v>
      </c>
      <c r="F223">
        <v>0</v>
      </c>
      <c r="G223" t="s">
        <v>5387</v>
      </c>
      <c r="H223" t="s">
        <v>5387</v>
      </c>
      <c r="I223">
        <v>0</v>
      </c>
      <c r="J223" t="s">
        <v>833</v>
      </c>
      <c r="K223" t="s">
        <v>834</v>
      </c>
      <c r="L223">
        <v>153008255</v>
      </c>
      <c r="M223" t="s">
        <v>1750</v>
      </c>
      <c r="N223" t="s">
        <v>900</v>
      </c>
      <c r="O223" t="s">
        <v>837</v>
      </c>
      <c r="P223" t="s">
        <v>999</v>
      </c>
      <c r="Q223" t="s">
        <v>1027</v>
      </c>
      <c r="R223" t="s">
        <v>5388</v>
      </c>
      <c r="S223" t="s">
        <v>5389</v>
      </c>
      <c r="T223">
        <v>41477115912</v>
      </c>
      <c r="V223" t="s">
        <v>1476</v>
      </c>
      <c r="W223" s="41">
        <v>45903</v>
      </c>
      <c r="X223" t="s">
        <v>5390</v>
      </c>
      <c r="Y223" t="s">
        <v>5391</v>
      </c>
      <c r="AA223">
        <v>0</v>
      </c>
      <c r="AB223" t="s">
        <v>845</v>
      </c>
      <c r="AC223" t="s">
        <v>846</v>
      </c>
      <c r="AD223" t="s">
        <v>847</v>
      </c>
      <c r="AE223" t="s">
        <v>848</v>
      </c>
      <c r="AF223">
        <v>1</v>
      </c>
      <c r="AG223">
        <v>452210</v>
      </c>
      <c r="AH223" t="s">
        <v>849</v>
      </c>
      <c r="AI223" t="s">
        <v>850</v>
      </c>
      <c r="AJ223" t="s">
        <v>851</v>
      </c>
      <c r="AK223" t="s">
        <v>419</v>
      </c>
      <c r="AL223" t="s">
        <v>5392</v>
      </c>
      <c r="AM223" t="s">
        <v>1480</v>
      </c>
      <c r="AN223" t="s">
        <v>854</v>
      </c>
      <c r="AO223">
        <v>36805</v>
      </c>
      <c r="AP223">
        <v>931</v>
      </c>
      <c r="AQ223" t="s">
        <v>855</v>
      </c>
      <c r="AR223">
        <v>66098085</v>
      </c>
      <c r="AS223" t="s">
        <v>856</v>
      </c>
      <c r="AU223" t="s">
        <v>5393</v>
      </c>
      <c r="AV223" t="s">
        <v>5394</v>
      </c>
      <c r="AX223" t="s">
        <v>913</v>
      </c>
      <c r="AY223" t="s">
        <v>861</v>
      </c>
      <c r="AZ223" t="s">
        <v>419</v>
      </c>
      <c r="BA223" t="s">
        <v>420</v>
      </c>
      <c r="BB223">
        <v>0</v>
      </c>
      <c r="BC223">
        <v>0</v>
      </c>
      <c r="BD223">
        <v>1</v>
      </c>
      <c r="BE223" t="s">
        <v>1750</v>
      </c>
      <c r="BF223">
        <v>0</v>
      </c>
      <c r="BG223">
        <v>0</v>
      </c>
      <c r="BH223" t="s">
        <v>862</v>
      </c>
      <c r="BI223">
        <v>0</v>
      </c>
      <c r="BJ223" t="s">
        <v>862</v>
      </c>
      <c r="BK223">
        <v>1</v>
      </c>
      <c r="BL223">
        <v>1</v>
      </c>
      <c r="BM223">
        <v>0</v>
      </c>
      <c r="BN223" t="s">
        <v>596</v>
      </c>
      <c r="BO223">
        <v>153008255</v>
      </c>
      <c r="BP223" t="s">
        <v>5387</v>
      </c>
      <c r="BQ223">
        <v>40.861459699999997</v>
      </c>
      <c r="BR223">
        <v>42793655</v>
      </c>
      <c r="BS223">
        <v>-81.434151799999995</v>
      </c>
      <c r="BT223">
        <v>0</v>
      </c>
      <c r="CM223">
        <v>4010</v>
      </c>
      <c r="CO223">
        <v>7360</v>
      </c>
      <c r="CP223">
        <v>0.31669999999999998</v>
      </c>
      <c r="CQ223">
        <v>0.31669999999999998</v>
      </c>
      <c r="CR223">
        <v>0.35</v>
      </c>
      <c r="CS223">
        <v>22</v>
      </c>
      <c r="CT223" t="s">
        <v>5395</v>
      </c>
      <c r="CU223" t="s">
        <v>5396</v>
      </c>
      <c r="CV223" t="s">
        <v>833</v>
      </c>
      <c r="CW223" t="s">
        <v>834</v>
      </c>
      <c r="CX223" t="s">
        <v>1750</v>
      </c>
      <c r="CY223">
        <v>1</v>
      </c>
      <c r="CZ223">
        <v>1</v>
      </c>
      <c r="DA223" t="s">
        <v>833</v>
      </c>
      <c r="DB223" t="s">
        <v>865</v>
      </c>
      <c r="DC223">
        <v>44720</v>
      </c>
      <c r="DD223">
        <v>6.75</v>
      </c>
      <c r="DE223" t="s">
        <v>866</v>
      </c>
      <c r="DG223" t="s">
        <v>867</v>
      </c>
      <c r="DH223" t="s">
        <v>851</v>
      </c>
      <c r="DI223" t="s">
        <v>1434</v>
      </c>
      <c r="DL223" t="s">
        <v>869</v>
      </c>
      <c r="DM223">
        <v>0</v>
      </c>
      <c r="DN223">
        <v>0</v>
      </c>
      <c r="DO223">
        <v>11</v>
      </c>
      <c r="DP223" t="s">
        <v>1010</v>
      </c>
      <c r="DQ223">
        <v>12</v>
      </c>
      <c r="DR223">
        <v>405</v>
      </c>
      <c r="DS223">
        <v>1125</v>
      </c>
      <c r="DT223">
        <v>6.4333</v>
      </c>
      <c r="DU223">
        <v>4</v>
      </c>
      <c r="DW223">
        <v>1</v>
      </c>
      <c r="DX223" t="s">
        <v>596</v>
      </c>
      <c r="DY223" t="s">
        <v>1750</v>
      </c>
      <c r="DZ223">
        <v>1</v>
      </c>
      <c r="EA223">
        <v>1</v>
      </c>
      <c r="EB223">
        <v>1</v>
      </c>
      <c r="EC223">
        <v>0</v>
      </c>
      <c r="ED223">
        <v>0</v>
      </c>
      <c r="EE223">
        <v>1</v>
      </c>
      <c r="EF223" t="s">
        <v>920</v>
      </c>
      <c r="EG223" t="s">
        <v>595</v>
      </c>
      <c r="EH223" t="s">
        <v>1036</v>
      </c>
      <c r="EI223" t="s">
        <v>1036</v>
      </c>
      <c r="EJ223" t="s">
        <v>226</v>
      </c>
      <c r="EK223">
        <v>9090</v>
      </c>
      <c r="EL223">
        <v>0</v>
      </c>
      <c r="EM223" t="s">
        <v>1157</v>
      </c>
      <c r="EN223">
        <v>0.35</v>
      </c>
      <c r="EO223">
        <v>18.75</v>
      </c>
      <c r="EP223">
        <v>99991120</v>
      </c>
      <c r="EQ223" t="s">
        <v>874</v>
      </c>
      <c r="ER223" t="s">
        <v>875</v>
      </c>
      <c r="ES223" t="s">
        <v>876</v>
      </c>
      <c r="ET223" t="s">
        <v>877</v>
      </c>
      <c r="EU223" t="s">
        <v>877</v>
      </c>
      <c r="EV223" t="s">
        <v>920</v>
      </c>
      <c r="EX223" t="s">
        <v>953</v>
      </c>
      <c r="EY223" t="s">
        <v>986</v>
      </c>
      <c r="EZ223" t="s">
        <v>1236</v>
      </c>
      <c r="FA223" t="s">
        <v>956</v>
      </c>
      <c r="FB223">
        <v>1</v>
      </c>
      <c r="FC223">
        <v>1</v>
      </c>
      <c r="FD223" s="41">
        <v>45906</v>
      </c>
      <c r="FE223" t="s">
        <v>880</v>
      </c>
      <c r="FF223">
        <v>6</v>
      </c>
      <c r="FG223" t="s">
        <v>5397</v>
      </c>
      <c r="FH223" t="s">
        <v>5398</v>
      </c>
      <c r="FI223">
        <v>1</v>
      </c>
      <c r="FJ223" t="s">
        <v>5399</v>
      </c>
      <c r="FK223" t="s">
        <v>5400</v>
      </c>
      <c r="FL223">
        <v>1</v>
      </c>
      <c r="FM223" t="s">
        <v>1762</v>
      </c>
      <c r="FN223" t="s">
        <v>5401</v>
      </c>
      <c r="FO223">
        <v>1</v>
      </c>
      <c r="FP223" t="s">
        <v>5402</v>
      </c>
      <c r="FQ223" t="s">
        <v>5403</v>
      </c>
      <c r="FR223">
        <v>1</v>
      </c>
      <c r="FS223" t="s">
        <v>5404</v>
      </c>
      <c r="FT223" t="s">
        <v>5405</v>
      </c>
      <c r="FU223">
        <v>1</v>
      </c>
      <c r="FV223" t="s">
        <v>5406</v>
      </c>
      <c r="FW223" t="s">
        <v>5407</v>
      </c>
      <c r="FX223">
        <v>1</v>
      </c>
      <c r="FY223" t="s">
        <v>890</v>
      </c>
      <c r="FZ223" t="s">
        <v>5408</v>
      </c>
      <c r="GA223" t="s">
        <v>5399</v>
      </c>
      <c r="GB223">
        <v>1</v>
      </c>
      <c r="GD223">
        <v>0</v>
      </c>
      <c r="GF223">
        <v>0</v>
      </c>
      <c r="GG223">
        <v>1</v>
      </c>
      <c r="GH223" t="s">
        <v>892</v>
      </c>
      <c r="GI223" t="s">
        <v>893</v>
      </c>
      <c r="GJ223" t="s">
        <v>5400</v>
      </c>
      <c r="GM223">
        <v>1</v>
      </c>
      <c r="GN223">
        <v>1</v>
      </c>
      <c r="GO223">
        <v>0</v>
      </c>
      <c r="GP223">
        <v>1</v>
      </c>
      <c r="GQ223">
        <v>1</v>
      </c>
      <c r="GR223">
        <v>0</v>
      </c>
      <c r="GS223">
        <v>1</v>
      </c>
      <c r="GT223">
        <v>0</v>
      </c>
      <c r="GU223">
        <v>1</v>
      </c>
      <c r="GV223">
        <v>0</v>
      </c>
      <c r="GW223">
        <v>1</v>
      </c>
      <c r="GX223">
        <v>0</v>
      </c>
      <c r="GY223">
        <v>1</v>
      </c>
      <c r="GZ223">
        <v>0</v>
      </c>
      <c r="HA223" t="s">
        <v>419</v>
      </c>
      <c r="HB223" t="s">
        <v>894</v>
      </c>
      <c r="HC223" t="s">
        <v>935</v>
      </c>
      <c r="HD223" t="s">
        <v>845</v>
      </c>
      <c r="HE223" t="s">
        <v>900</v>
      </c>
      <c r="HF223" t="s">
        <v>923</v>
      </c>
      <c r="HG223" t="s">
        <v>894</v>
      </c>
      <c r="HH223" t="s">
        <v>935</v>
      </c>
      <c r="HI223" t="s">
        <v>845</v>
      </c>
      <c r="HJ223" t="s">
        <v>900</v>
      </c>
      <c r="HK223" t="s">
        <v>922</v>
      </c>
      <c r="HL223" t="s">
        <v>1476</v>
      </c>
      <c r="HM223" t="s">
        <v>854</v>
      </c>
      <c r="HN223">
        <v>36805</v>
      </c>
      <c r="HP223" t="s">
        <v>226</v>
      </c>
      <c r="HQ223" t="s">
        <v>896</v>
      </c>
      <c r="HR223" t="s">
        <v>896</v>
      </c>
      <c r="HS223" t="s">
        <v>896</v>
      </c>
    </row>
    <row r="224" spans="1:227" x14ac:dyDescent="0.2">
      <c r="A224">
        <v>8702</v>
      </c>
      <c r="B224">
        <v>7530914124</v>
      </c>
      <c r="C224">
        <v>34</v>
      </c>
      <c r="D224" t="s">
        <v>996</v>
      </c>
      <c r="E224" t="s">
        <v>831</v>
      </c>
      <c r="F224">
        <v>0</v>
      </c>
      <c r="G224" t="s">
        <v>5409</v>
      </c>
      <c r="H224" t="s">
        <v>5409</v>
      </c>
      <c r="I224">
        <v>0</v>
      </c>
      <c r="J224" t="s">
        <v>833</v>
      </c>
      <c r="K224" t="s">
        <v>834</v>
      </c>
      <c r="L224">
        <v>153294148</v>
      </c>
      <c r="M224" t="s">
        <v>2622</v>
      </c>
      <c r="N224" t="s">
        <v>836</v>
      </c>
      <c r="O224" t="s">
        <v>837</v>
      </c>
      <c r="P224" t="s">
        <v>999</v>
      </c>
      <c r="Q224" t="s">
        <v>1000</v>
      </c>
      <c r="R224" t="s">
        <v>5410</v>
      </c>
      <c r="S224" t="s">
        <v>5411</v>
      </c>
      <c r="T224">
        <v>30300131301</v>
      </c>
      <c r="V224" t="s">
        <v>1943</v>
      </c>
      <c r="W224" s="41">
        <v>45981</v>
      </c>
      <c r="X224" t="s">
        <v>5412</v>
      </c>
      <c r="Y224" t="s">
        <v>5413</v>
      </c>
      <c r="AA224">
        <v>0</v>
      </c>
      <c r="AB224" t="s">
        <v>845</v>
      </c>
      <c r="AC224" t="s">
        <v>846</v>
      </c>
      <c r="AD224" t="s">
        <v>847</v>
      </c>
      <c r="AE224" t="s">
        <v>848</v>
      </c>
      <c r="AF224">
        <v>1</v>
      </c>
      <c r="AG224">
        <v>452210</v>
      </c>
      <c r="AH224" t="s">
        <v>849</v>
      </c>
      <c r="AI224" t="s">
        <v>850</v>
      </c>
      <c r="AJ224" t="s">
        <v>851</v>
      </c>
      <c r="AK224" t="s">
        <v>305</v>
      </c>
      <c r="AL224" t="s">
        <v>1946</v>
      </c>
      <c r="AM224" t="s">
        <v>1947</v>
      </c>
      <c r="AN224" t="s">
        <v>854</v>
      </c>
      <c r="AO224">
        <v>36805</v>
      </c>
      <c r="AP224">
        <v>562</v>
      </c>
      <c r="AQ224" t="s">
        <v>855</v>
      </c>
      <c r="AR224">
        <v>66210399</v>
      </c>
      <c r="AS224" t="s">
        <v>856</v>
      </c>
      <c r="AU224" t="s">
        <v>5414</v>
      </c>
      <c r="AV224" t="s">
        <v>5415</v>
      </c>
      <c r="AX224" t="s">
        <v>913</v>
      </c>
      <c r="AY224" t="s">
        <v>861</v>
      </c>
      <c r="AZ224" t="s">
        <v>305</v>
      </c>
      <c r="BA224" t="s">
        <v>306</v>
      </c>
      <c r="BB224">
        <v>0</v>
      </c>
      <c r="BC224">
        <v>0</v>
      </c>
      <c r="BD224">
        <v>1</v>
      </c>
      <c r="BE224" t="s">
        <v>2622</v>
      </c>
      <c r="BF224">
        <v>0</v>
      </c>
      <c r="BG224">
        <v>0</v>
      </c>
      <c r="BH224" t="s">
        <v>862</v>
      </c>
      <c r="BI224">
        <v>0</v>
      </c>
      <c r="BJ224" t="s">
        <v>862</v>
      </c>
      <c r="BK224">
        <v>1</v>
      </c>
      <c r="BL224">
        <v>1</v>
      </c>
      <c r="BM224">
        <v>0</v>
      </c>
      <c r="BN224" t="s">
        <v>596</v>
      </c>
      <c r="BO224">
        <v>153294148</v>
      </c>
      <c r="BP224" t="s">
        <v>5409</v>
      </c>
      <c r="BQ224">
        <v>45.548594199999997</v>
      </c>
      <c r="BR224">
        <v>42791464</v>
      </c>
      <c r="BS224">
        <v>-94.215500500000005</v>
      </c>
      <c r="BT224">
        <v>0</v>
      </c>
      <c r="CM224">
        <v>4010</v>
      </c>
      <c r="CO224">
        <v>7360</v>
      </c>
      <c r="CP224">
        <v>1.67E-2</v>
      </c>
      <c r="CQ224">
        <v>1.67E-2</v>
      </c>
      <c r="CR224">
        <v>0.61670000000000003</v>
      </c>
      <c r="CS224">
        <v>2</v>
      </c>
      <c r="CT224" t="s">
        <v>5416</v>
      </c>
      <c r="CU224" t="s">
        <v>5417</v>
      </c>
      <c r="CV224" t="s">
        <v>833</v>
      </c>
      <c r="CW224" t="s">
        <v>834</v>
      </c>
      <c r="CX224" t="s">
        <v>2622</v>
      </c>
      <c r="CY224">
        <v>1</v>
      </c>
      <c r="CZ224">
        <v>1</v>
      </c>
      <c r="DA224" t="s">
        <v>833</v>
      </c>
      <c r="DB224" t="s">
        <v>865</v>
      </c>
      <c r="DC224">
        <v>56387</v>
      </c>
      <c r="DD224">
        <v>178.1833</v>
      </c>
      <c r="DE224" t="s">
        <v>866</v>
      </c>
      <c r="DG224" t="s">
        <v>867</v>
      </c>
      <c r="DH224" t="s">
        <v>851</v>
      </c>
      <c r="DI224" t="s">
        <v>1266</v>
      </c>
      <c r="DL224" t="s">
        <v>869</v>
      </c>
      <c r="DM224">
        <v>0</v>
      </c>
      <c r="DN224">
        <v>0</v>
      </c>
      <c r="DO224">
        <v>11</v>
      </c>
      <c r="DP224" t="s">
        <v>1010</v>
      </c>
      <c r="DQ224">
        <v>16</v>
      </c>
      <c r="DR224">
        <v>10691</v>
      </c>
      <c r="DS224">
        <v>21491</v>
      </c>
      <c r="DT224">
        <v>178.16669999999999</v>
      </c>
      <c r="DU224">
        <v>4</v>
      </c>
      <c r="DW224">
        <v>2</v>
      </c>
      <c r="DX224" t="s">
        <v>596</v>
      </c>
      <c r="DY224" t="s">
        <v>2622</v>
      </c>
      <c r="DZ224">
        <v>0</v>
      </c>
      <c r="EA224">
        <v>0</v>
      </c>
      <c r="EB224">
        <v>1</v>
      </c>
      <c r="EC224">
        <v>0</v>
      </c>
      <c r="ED224">
        <v>0</v>
      </c>
      <c r="EE224">
        <v>1</v>
      </c>
      <c r="EF224" t="s">
        <v>920</v>
      </c>
      <c r="EG224" t="s">
        <v>595</v>
      </c>
      <c r="EH224" t="s">
        <v>921</v>
      </c>
      <c r="EI224" t="s">
        <v>921</v>
      </c>
      <c r="EJ224" t="s">
        <v>159</v>
      </c>
      <c r="EK224">
        <v>9090</v>
      </c>
      <c r="EL224">
        <v>0</v>
      </c>
      <c r="EM224" t="s">
        <v>873</v>
      </c>
      <c r="EN224">
        <v>0.61670000000000003</v>
      </c>
      <c r="EO224">
        <v>358.18333330000002</v>
      </c>
      <c r="EP224">
        <v>99991120</v>
      </c>
      <c r="EQ224" t="s">
        <v>874</v>
      </c>
      <c r="ER224" t="s">
        <v>875</v>
      </c>
      <c r="ES224" t="s">
        <v>876</v>
      </c>
      <c r="ET224" t="s">
        <v>877</v>
      </c>
      <c r="EU224" t="s">
        <v>877</v>
      </c>
      <c r="EV224" t="s">
        <v>920</v>
      </c>
      <c r="EX224" t="s">
        <v>836</v>
      </c>
      <c r="EY224" t="s">
        <v>1121</v>
      </c>
      <c r="EZ224" t="s">
        <v>1122</v>
      </c>
      <c r="FA224" t="s">
        <v>956</v>
      </c>
      <c r="FB224">
        <v>1</v>
      </c>
      <c r="FC224">
        <v>1</v>
      </c>
      <c r="FD224" s="41">
        <v>45983</v>
      </c>
      <c r="FE224" t="s">
        <v>1438</v>
      </c>
      <c r="FF224">
        <v>8</v>
      </c>
      <c r="FG224" t="s">
        <v>5418</v>
      </c>
      <c r="FH224" t="s">
        <v>5419</v>
      </c>
      <c r="FI224">
        <v>1</v>
      </c>
      <c r="FJ224" t="s">
        <v>5420</v>
      </c>
      <c r="FK224" t="s">
        <v>5421</v>
      </c>
      <c r="FL224">
        <v>1</v>
      </c>
      <c r="FM224" t="s">
        <v>5086</v>
      </c>
      <c r="FN224" t="s">
        <v>5422</v>
      </c>
      <c r="FO224">
        <v>1</v>
      </c>
      <c r="FP224" t="s">
        <v>5423</v>
      </c>
      <c r="FQ224" t="s">
        <v>5417</v>
      </c>
      <c r="FR224">
        <v>1</v>
      </c>
      <c r="FS224" t="s">
        <v>4643</v>
      </c>
      <c r="FT224" t="s">
        <v>5424</v>
      </c>
      <c r="FU224">
        <v>1</v>
      </c>
      <c r="FV224" t="s">
        <v>5425</v>
      </c>
      <c r="FW224" t="s">
        <v>5426</v>
      </c>
      <c r="FX224">
        <v>1</v>
      </c>
      <c r="FY224" t="s">
        <v>890</v>
      </c>
      <c r="FZ224" t="s">
        <v>5427</v>
      </c>
      <c r="GA224" t="s">
        <v>5420</v>
      </c>
      <c r="GB224">
        <v>1</v>
      </c>
      <c r="GD224">
        <v>0</v>
      </c>
      <c r="GF224">
        <v>0</v>
      </c>
      <c r="GG224">
        <v>1</v>
      </c>
      <c r="GH224" t="s">
        <v>892</v>
      </c>
      <c r="GI224" t="s">
        <v>893</v>
      </c>
      <c r="GJ224" t="s">
        <v>5421</v>
      </c>
      <c r="GM224">
        <v>1</v>
      </c>
      <c r="GN224">
        <v>1</v>
      </c>
      <c r="GO224">
        <v>0</v>
      </c>
      <c r="GP224">
        <v>1</v>
      </c>
      <c r="GQ224">
        <v>1</v>
      </c>
      <c r="GR224">
        <v>0</v>
      </c>
      <c r="GS224">
        <v>1</v>
      </c>
      <c r="GT224">
        <v>0</v>
      </c>
      <c r="GU224">
        <v>1</v>
      </c>
      <c r="GV224">
        <v>0</v>
      </c>
      <c r="GW224">
        <v>1</v>
      </c>
      <c r="GX224">
        <v>0</v>
      </c>
      <c r="GY224">
        <v>1</v>
      </c>
      <c r="GZ224">
        <v>0</v>
      </c>
      <c r="HA224" t="s">
        <v>305</v>
      </c>
      <c r="HB224" t="s">
        <v>894</v>
      </c>
      <c r="HC224" t="s">
        <v>895</v>
      </c>
      <c r="HD224" t="s">
        <v>845</v>
      </c>
      <c r="HE224" t="s">
        <v>836</v>
      </c>
      <c r="HF224" t="s">
        <v>873</v>
      </c>
      <c r="HG224" t="s">
        <v>894</v>
      </c>
      <c r="HH224" t="s">
        <v>895</v>
      </c>
      <c r="HI224" t="s">
        <v>845</v>
      </c>
      <c r="HJ224" t="s">
        <v>836</v>
      </c>
      <c r="HK224" t="s">
        <v>873</v>
      </c>
      <c r="HL224" t="s">
        <v>1943</v>
      </c>
      <c r="HM224" t="s">
        <v>854</v>
      </c>
      <c r="HN224">
        <v>36805</v>
      </c>
      <c r="HP224" t="s">
        <v>159</v>
      </c>
      <c r="HQ224" t="s">
        <v>896</v>
      </c>
      <c r="HR224" t="s">
        <v>896</v>
      </c>
      <c r="HS224" t="s">
        <v>896</v>
      </c>
    </row>
    <row r="225" spans="1:227" ht="380" x14ac:dyDescent="0.2">
      <c r="A225">
        <v>8702</v>
      </c>
      <c r="B225">
        <v>7524404723</v>
      </c>
      <c r="C225">
        <v>34</v>
      </c>
      <c r="D225" t="s">
        <v>996</v>
      </c>
      <c r="E225" t="s">
        <v>831</v>
      </c>
      <c r="F225">
        <v>0</v>
      </c>
      <c r="G225" t="s">
        <v>5428</v>
      </c>
      <c r="H225" t="s">
        <v>5428</v>
      </c>
      <c r="I225">
        <v>0</v>
      </c>
      <c r="J225" t="s">
        <v>833</v>
      </c>
      <c r="K225" t="s">
        <v>834</v>
      </c>
      <c r="L225">
        <v>153406556</v>
      </c>
      <c r="M225" t="s">
        <v>5429</v>
      </c>
      <c r="N225" t="s">
        <v>836</v>
      </c>
      <c r="O225" t="s">
        <v>837</v>
      </c>
      <c r="P225" t="s">
        <v>999</v>
      </c>
      <c r="Q225" t="s">
        <v>1027</v>
      </c>
      <c r="R225" t="s">
        <v>5430</v>
      </c>
      <c r="S225" t="s">
        <v>5431</v>
      </c>
      <c r="T225">
        <v>41477088992</v>
      </c>
      <c r="V225" t="s">
        <v>165</v>
      </c>
      <c r="W225" s="41">
        <v>45902</v>
      </c>
      <c r="X225" t="s">
        <v>5432</v>
      </c>
      <c r="Y225" t="s">
        <v>5433</v>
      </c>
      <c r="Z225" t="s">
        <v>1498</v>
      </c>
      <c r="AA225">
        <v>0</v>
      </c>
      <c r="AB225" t="s">
        <v>845</v>
      </c>
      <c r="AC225" t="s">
        <v>846</v>
      </c>
      <c r="AD225" t="s">
        <v>847</v>
      </c>
      <c r="AE225" t="s">
        <v>848</v>
      </c>
      <c r="AF225">
        <v>1</v>
      </c>
      <c r="AG225">
        <v>452210</v>
      </c>
      <c r="AH225" t="s">
        <v>849</v>
      </c>
      <c r="AI225" t="s">
        <v>850</v>
      </c>
      <c r="AJ225" t="s">
        <v>851</v>
      </c>
      <c r="AK225" t="s">
        <v>303</v>
      </c>
      <c r="AL225" t="s">
        <v>1115</v>
      </c>
      <c r="AM225" t="s">
        <v>1499</v>
      </c>
      <c r="AN225" t="s">
        <v>854</v>
      </c>
      <c r="AO225">
        <v>36805</v>
      </c>
      <c r="AP225">
        <v>544</v>
      </c>
      <c r="AQ225" t="s">
        <v>855</v>
      </c>
      <c r="AR225">
        <v>66097151</v>
      </c>
      <c r="AS225" t="s">
        <v>856</v>
      </c>
      <c r="AU225" t="s">
        <v>5434</v>
      </c>
      <c r="AV225" t="s">
        <v>5435</v>
      </c>
      <c r="AX225" t="s">
        <v>913</v>
      </c>
      <c r="AY225" t="s">
        <v>861</v>
      </c>
      <c r="AZ225" t="s">
        <v>303</v>
      </c>
      <c r="BA225" t="s">
        <v>304</v>
      </c>
      <c r="BB225">
        <v>1</v>
      </c>
      <c r="BC225">
        <v>0</v>
      </c>
      <c r="BD225">
        <v>0</v>
      </c>
      <c r="BE225" t="s">
        <v>5429</v>
      </c>
      <c r="BF225">
        <v>0</v>
      </c>
      <c r="BG225">
        <v>0</v>
      </c>
      <c r="BH225" t="s">
        <v>862</v>
      </c>
      <c r="BI225">
        <v>0</v>
      </c>
      <c r="BJ225" t="s">
        <v>862</v>
      </c>
      <c r="BK225">
        <v>1</v>
      </c>
      <c r="BL225">
        <v>1</v>
      </c>
      <c r="BM225">
        <v>0</v>
      </c>
      <c r="BN225" t="s">
        <v>596</v>
      </c>
      <c r="BO225">
        <v>153406556</v>
      </c>
      <c r="BP225" t="s">
        <v>5428</v>
      </c>
      <c r="BQ225">
        <v>44.7483352</v>
      </c>
      <c r="BR225">
        <v>42791459</v>
      </c>
      <c r="BS225">
        <v>-93.382394000000005</v>
      </c>
      <c r="BT225">
        <v>1</v>
      </c>
      <c r="BU225" t="s">
        <v>1151</v>
      </c>
      <c r="CI225">
        <v>11</v>
      </c>
      <c r="CJ225" t="s">
        <v>94</v>
      </c>
      <c r="CM225">
        <v>4010</v>
      </c>
      <c r="CO225">
        <v>7360</v>
      </c>
      <c r="CP225">
        <v>1.8667</v>
      </c>
      <c r="CQ225">
        <v>1.8667</v>
      </c>
      <c r="CR225">
        <v>0.85</v>
      </c>
      <c r="CS225">
        <v>0</v>
      </c>
      <c r="CT225" t="s">
        <v>5435</v>
      </c>
      <c r="CU225" t="s">
        <v>5434</v>
      </c>
      <c r="CV225" t="s">
        <v>833</v>
      </c>
      <c r="CW225" t="s">
        <v>834</v>
      </c>
      <c r="CX225" t="s">
        <v>5429</v>
      </c>
      <c r="CY225">
        <v>1</v>
      </c>
      <c r="CZ225">
        <v>1</v>
      </c>
      <c r="DA225" t="s">
        <v>833</v>
      </c>
      <c r="DB225" t="s">
        <v>865</v>
      </c>
      <c r="DC225">
        <v>55378</v>
      </c>
      <c r="DD225">
        <v>23.666699999999999</v>
      </c>
      <c r="DE225" t="s">
        <v>866</v>
      </c>
      <c r="DG225" t="s">
        <v>867</v>
      </c>
      <c r="DH225" t="s">
        <v>851</v>
      </c>
      <c r="DK225" t="s">
        <v>1155</v>
      </c>
      <c r="DL225" t="s">
        <v>869</v>
      </c>
      <c r="DM225">
        <v>0</v>
      </c>
      <c r="DN225">
        <v>0</v>
      </c>
      <c r="DO225">
        <v>2</v>
      </c>
      <c r="DP225" t="s">
        <v>870</v>
      </c>
      <c r="DQ225">
        <v>16</v>
      </c>
      <c r="DR225">
        <v>1420</v>
      </c>
      <c r="DS225">
        <v>2171</v>
      </c>
      <c r="DT225">
        <v>9.4332999999999991</v>
      </c>
      <c r="DU225">
        <v>4</v>
      </c>
      <c r="DV225">
        <v>1</v>
      </c>
      <c r="DW225">
        <v>2</v>
      </c>
      <c r="DX225" t="s">
        <v>596</v>
      </c>
      <c r="DY225" t="s">
        <v>5429</v>
      </c>
      <c r="DZ225">
        <v>0</v>
      </c>
      <c r="EA225">
        <v>0</v>
      </c>
      <c r="EB225">
        <v>1</v>
      </c>
      <c r="EC225">
        <v>0</v>
      </c>
      <c r="ED225">
        <v>0</v>
      </c>
      <c r="EE225">
        <v>1</v>
      </c>
      <c r="EF225" t="s">
        <v>920</v>
      </c>
      <c r="EG225" t="s">
        <v>595</v>
      </c>
      <c r="EH225" t="s">
        <v>921</v>
      </c>
      <c r="EI225" t="s">
        <v>921</v>
      </c>
      <c r="EJ225" t="s">
        <v>159</v>
      </c>
      <c r="EK225">
        <v>9090</v>
      </c>
      <c r="EL225">
        <v>1</v>
      </c>
      <c r="EM225" t="s">
        <v>873</v>
      </c>
      <c r="EN225">
        <v>0.85</v>
      </c>
      <c r="EO225">
        <v>36.183333300000001</v>
      </c>
      <c r="EP225">
        <v>99991120</v>
      </c>
      <c r="EQ225" t="s">
        <v>874</v>
      </c>
      <c r="ER225" t="s">
        <v>875</v>
      </c>
      <c r="ES225" t="s">
        <v>876</v>
      </c>
      <c r="ET225" t="s">
        <v>877</v>
      </c>
      <c r="EU225" t="s">
        <v>877</v>
      </c>
      <c r="EV225" t="s">
        <v>920</v>
      </c>
      <c r="EX225" t="s">
        <v>836</v>
      </c>
      <c r="EY225" t="s">
        <v>1121</v>
      </c>
      <c r="EZ225" t="s">
        <v>1122</v>
      </c>
      <c r="FA225" t="s">
        <v>956</v>
      </c>
      <c r="FB225">
        <v>1</v>
      </c>
      <c r="FC225">
        <v>2</v>
      </c>
      <c r="FD225" s="41">
        <v>45906</v>
      </c>
      <c r="FE225" t="s">
        <v>880</v>
      </c>
      <c r="FF225">
        <v>10</v>
      </c>
      <c r="FG225" t="s">
        <v>5436</v>
      </c>
      <c r="FH225" t="s">
        <v>5437</v>
      </c>
      <c r="FI225">
        <v>1</v>
      </c>
      <c r="FJ225" t="s">
        <v>5438</v>
      </c>
      <c r="FK225" t="s">
        <v>5437</v>
      </c>
      <c r="FL225">
        <v>1</v>
      </c>
      <c r="FM225" t="s">
        <v>5439</v>
      </c>
      <c r="FN225" t="s">
        <v>5440</v>
      </c>
      <c r="FO225">
        <v>1</v>
      </c>
      <c r="FP225" t="s">
        <v>5441</v>
      </c>
      <c r="FQ225" t="s">
        <v>5442</v>
      </c>
      <c r="FR225">
        <v>1</v>
      </c>
      <c r="FS225" t="s">
        <v>1396</v>
      </c>
      <c r="FT225" t="s">
        <v>5443</v>
      </c>
      <c r="FU225">
        <v>1</v>
      </c>
      <c r="FV225" t="s">
        <v>5444</v>
      </c>
      <c r="FW225" t="s">
        <v>5445</v>
      </c>
      <c r="FX225">
        <v>1</v>
      </c>
      <c r="FY225" t="s">
        <v>890</v>
      </c>
      <c r="FZ225" t="s">
        <v>5446</v>
      </c>
      <c r="GA225" t="s">
        <v>5438</v>
      </c>
      <c r="GB225">
        <v>1</v>
      </c>
      <c r="GC225" s="42" t="s">
        <v>5447</v>
      </c>
      <c r="GD225">
        <v>1</v>
      </c>
      <c r="GE225" t="s">
        <v>5444</v>
      </c>
      <c r="GF225">
        <v>1</v>
      </c>
      <c r="GG225">
        <v>1</v>
      </c>
      <c r="GH225" t="s">
        <v>892</v>
      </c>
      <c r="GI225" t="s">
        <v>893</v>
      </c>
      <c r="GJ225" t="s">
        <v>5437</v>
      </c>
      <c r="GK225" t="s">
        <v>5448</v>
      </c>
      <c r="GL225" t="s">
        <v>5445</v>
      </c>
      <c r="GM225">
        <v>1</v>
      </c>
      <c r="GN225">
        <v>0</v>
      </c>
      <c r="GO225">
        <v>0</v>
      </c>
      <c r="GP225">
        <v>1</v>
      </c>
      <c r="GQ225">
        <v>1</v>
      </c>
      <c r="GR225">
        <v>0</v>
      </c>
      <c r="GS225">
        <v>1</v>
      </c>
      <c r="GT225">
        <v>0</v>
      </c>
      <c r="GU225">
        <v>1</v>
      </c>
      <c r="GV225">
        <v>0</v>
      </c>
      <c r="GW225">
        <v>1</v>
      </c>
      <c r="GX225">
        <v>0</v>
      </c>
      <c r="GY225">
        <v>1</v>
      </c>
      <c r="GZ225">
        <v>0</v>
      </c>
      <c r="HA225" t="s">
        <v>303</v>
      </c>
      <c r="HB225" t="s">
        <v>894</v>
      </c>
      <c r="HC225" t="s">
        <v>895</v>
      </c>
      <c r="HD225" t="s">
        <v>845</v>
      </c>
      <c r="HE225" t="s">
        <v>836</v>
      </c>
      <c r="HF225" t="s">
        <v>873</v>
      </c>
      <c r="HG225" t="s">
        <v>894</v>
      </c>
      <c r="HH225" t="s">
        <v>895</v>
      </c>
      <c r="HI225" t="s">
        <v>845</v>
      </c>
      <c r="HJ225" t="s">
        <v>836</v>
      </c>
      <c r="HK225" t="s">
        <v>873</v>
      </c>
      <c r="HL225" t="s">
        <v>165</v>
      </c>
      <c r="HM225" t="s">
        <v>854</v>
      </c>
      <c r="HN225">
        <v>36805</v>
      </c>
      <c r="HO225">
        <v>1</v>
      </c>
      <c r="HP225" t="s">
        <v>159</v>
      </c>
      <c r="HQ225" t="s">
        <v>896</v>
      </c>
      <c r="HR225" t="s">
        <v>896</v>
      </c>
      <c r="HS225" t="s">
        <v>896</v>
      </c>
    </row>
    <row r="226" spans="1:227" x14ac:dyDescent="0.2">
      <c r="A226">
        <v>8702</v>
      </c>
      <c r="B226">
        <v>7529503139</v>
      </c>
      <c r="C226" t="s">
        <v>829</v>
      </c>
      <c r="D226" t="s">
        <v>830</v>
      </c>
      <c r="E226" t="s">
        <v>831</v>
      </c>
      <c r="F226">
        <v>0</v>
      </c>
      <c r="G226" t="s">
        <v>5449</v>
      </c>
      <c r="H226" t="s">
        <v>5449</v>
      </c>
      <c r="I226">
        <v>0</v>
      </c>
      <c r="J226" t="s">
        <v>833</v>
      </c>
      <c r="K226" t="s">
        <v>834</v>
      </c>
      <c r="L226">
        <v>152946631</v>
      </c>
      <c r="M226" t="s">
        <v>4137</v>
      </c>
      <c r="N226" t="s">
        <v>836</v>
      </c>
      <c r="O226" t="s">
        <v>837</v>
      </c>
      <c r="P226" t="s">
        <v>838</v>
      </c>
      <c r="Q226" t="s">
        <v>839</v>
      </c>
      <c r="R226" t="s">
        <v>5450</v>
      </c>
      <c r="S226" t="s">
        <v>5451</v>
      </c>
      <c r="T226">
        <v>41477063346</v>
      </c>
      <c r="V226" t="s">
        <v>842</v>
      </c>
      <c r="W226" s="41">
        <v>45953</v>
      </c>
      <c r="X226" t="s">
        <v>5452</v>
      </c>
      <c r="Y226" t="s">
        <v>5453</v>
      </c>
      <c r="AA226">
        <v>0</v>
      </c>
      <c r="AB226" t="s">
        <v>845</v>
      </c>
      <c r="AC226" t="s">
        <v>846</v>
      </c>
      <c r="AD226" t="s">
        <v>847</v>
      </c>
      <c r="AE226" t="s">
        <v>848</v>
      </c>
      <c r="AF226">
        <v>1</v>
      </c>
      <c r="AG226">
        <v>452210</v>
      </c>
      <c r="AH226" t="s">
        <v>849</v>
      </c>
      <c r="AI226" t="s">
        <v>850</v>
      </c>
      <c r="AJ226" t="s">
        <v>851</v>
      </c>
      <c r="AK226" t="s">
        <v>393</v>
      </c>
      <c r="AL226" t="s">
        <v>4142</v>
      </c>
      <c r="AM226" t="s">
        <v>853</v>
      </c>
      <c r="AN226" t="s">
        <v>854</v>
      </c>
      <c r="AO226">
        <v>36805</v>
      </c>
      <c r="AP226">
        <v>962</v>
      </c>
      <c r="AQ226" t="s">
        <v>855</v>
      </c>
      <c r="AR226">
        <v>66170341</v>
      </c>
      <c r="AS226" t="s">
        <v>856</v>
      </c>
      <c r="AU226" t="s">
        <v>5454</v>
      </c>
      <c r="AV226" t="s">
        <v>5455</v>
      </c>
      <c r="AX226" t="s">
        <v>913</v>
      </c>
      <c r="AY226" t="s">
        <v>861</v>
      </c>
      <c r="AZ226" t="s">
        <v>393</v>
      </c>
      <c r="BA226" t="s">
        <v>394</v>
      </c>
      <c r="BB226">
        <v>1</v>
      </c>
      <c r="BC226">
        <v>0</v>
      </c>
      <c r="BD226">
        <v>0</v>
      </c>
      <c r="BE226" t="s">
        <v>4137</v>
      </c>
      <c r="BF226">
        <v>0</v>
      </c>
      <c r="BG226">
        <v>0</v>
      </c>
      <c r="BH226" t="s">
        <v>862</v>
      </c>
      <c r="BI226">
        <v>0</v>
      </c>
      <c r="BJ226" t="s">
        <v>862</v>
      </c>
      <c r="BK226">
        <v>1</v>
      </c>
      <c r="BL226">
        <v>1</v>
      </c>
      <c r="BM226">
        <v>0</v>
      </c>
      <c r="BN226" t="s">
        <v>596</v>
      </c>
      <c r="BO226">
        <v>152946631</v>
      </c>
      <c r="BP226" t="s">
        <v>5449</v>
      </c>
      <c r="BQ226">
        <v>41.599435700000001</v>
      </c>
      <c r="BR226">
        <v>42793657</v>
      </c>
      <c r="BS226">
        <v>-93.744161500000004</v>
      </c>
      <c r="BT226">
        <v>0</v>
      </c>
      <c r="CM226">
        <v>4010</v>
      </c>
      <c r="CO226">
        <v>7360</v>
      </c>
      <c r="CP226">
        <v>0.86670000000000003</v>
      </c>
      <c r="CQ226">
        <v>0.86670000000000003</v>
      </c>
      <c r="CR226">
        <v>1.6667000000000001</v>
      </c>
      <c r="CS226">
        <v>0</v>
      </c>
      <c r="CT226" t="s">
        <v>5456</v>
      </c>
      <c r="CU226" t="s">
        <v>5457</v>
      </c>
      <c r="CV226" t="s">
        <v>833</v>
      </c>
      <c r="CW226" t="s">
        <v>834</v>
      </c>
      <c r="CX226" t="s">
        <v>4137</v>
      </c>
      <c r="CY226">
        <v>1</v>
      </c>
      <c r="CZ226">
        <v>1</v>
      </c>
      <c r="DA226" t="s">
        <v>833</v>
      </c>
      <c r="DB226" t="s">
        <v>865</v>
      </c>
      <c r="DC226">
        <v>50266</v>
      </c>
      <c r="DD226">
        <v>19.25</v>
      </c>
      <c r="DE226" t="s">
        <v>866</v>
      </c>
      <c r="DG226" t="s">
        <v>867</v>
      </c>
      <c r="DH226" t="s">
        <v>851</v>
      </c>
      <c r="DI226" t="s">
        <v>4147</v>
      </c>
      <c r="DL226" t="s">
        <v>869</v>
      </c>
      <c r="DM226">
        <v>0</v>
      </c>
      <c r="DN226">
        <v>0</v>
      </c>
      <c r="DO226">
        <v>11</v>
      </c>
      <c r="DP226" t="s">
        <v>1010</v>
      </c>
      <c r="DQ226">
        <v>12</v>
      </c>
      <c r="DR226">
        <v>1155</v>
      </c>
      <c r="DS226">
        <v>1875</v>
      </c>
      <c r="DT226">
        <v>2.8833000000000002</v>
      </c>
      <c r="DU226">
        <v>4</v>
      </c>
      <c r="DW226">
        <v>1</v>
      </c>
      <c r="DX226" t="s">
        <v>596</v>
      </c>
      <c r="DY226" t="s">
        <v>4137</v>
      </c>
      <c r="DZ226">
        <v>0</v>
      </c>
      <c r="EA226">
        <v>0</v>
      </c>
      <c r="EB226">
        <v>1</v>
      </c>
      <c r="EC226">
        <v>1</v>
      </c>
      <c r="ED226">
        <v>1</v>
      </c>
      <c r="EE226">
        <v>1</v>
      </c>
      <c r="EF226" t="s">
        <v>920</v>
      </c>
      <c r="EG226" t="s">
        <v>595</v>
      </c>
      <c r="EH226" t="s">
        <v>1036</v>
      </c>
      <c r="EI226" t="s">
        <v>1036</v>
      </c>
      <c r="EJ226" t="s">
        <v>246</v>
      </c>
      <c r="EK226">
        <v>9090</v>
      </c>
      <c r="EL226">
        <v>1</v>
      </c>
      <c r="EM226" t="s">
        <v>873</v>
      </c>
      <c r="EN226">
        <v>1.6667000000000001</v>
      </c>
      <c r="EO226">
        <v>31.25</v>
      </c>
      <c r="EP226">
        <v>99991120</v>
      </c>
      <c r="EQ226" t="s">
        <v>874</v>
      </c>
      <c r="ER226" t="s">
        <v>875</v>
      </c>
      <c r="ES226" t="s">
        <v>876</v>
      </c>
      <c r="ET226" t="s">
        <v>877</v>
      </c>
      <c r="EU226" t="s">
        <v>877</v>
      </c>
      <c r="EV226" t="s">
        <v>920</v>
      </c>
      <c r="EX226" t="s">
        <v>836</v>
      </c>
      <c r="EY226" t="s">
        <v>873</v>
      </c>
      <c r="EZ226" t="s">
        <v>878</v>
      </c>
      <c r="FA226" t="s">
        <v>879</v>
      </c>
      <c r="FB226">
        <v>1</v>
      </c>
      <c r="FC226">
        <v>2</v>
      </c>
      <c r="FD226" s="41">
        <v>45955</v>
      </c>
      <c r="FE226" t="s">
        <v>1039</v>
      </c>
      <c r="FF226">
        <v>8</v>
      </c>
      <c r="FG226" t="s">
        <v>5458</v>
      </c>
      <c r="FH226" t="s">
        <v>5459</v>
      </c>
      <c r="FI226">
        <v>1</v>
      </c>
      <c r="FJ226" t="s">
        <v>5460</v>
      </c>
      <c r="FK226" t="s">
        <v>5459</v>
      </c>
      <c r="FL226">
        <v>1</v>
      </c>
      <c r="FM226" t="s">
        <v>5461</v>
      </c>
      <c r="FN226" t="s">
        <v>5462</v>
      </c>
      <c r="FO226">
        <v>1</v>
      </c>
      <c r="FP226" t="s">
        <v>5463</v>
      </c>
      <c r="FQ226" t="s">
        <v>5457</v>
      </c>
      <c r="FR226">
        <v>1</v>
      </c>
      <c r="FS226" t="s">
        <v>4151</v>
      </c>
      <c r="FT226" t="s">
        <v>5464</v>
      </c>
      <c r="FU226">
        <v>1</v>
      </c>
      <c r="FV226" t="s">
        <v>5465</v>
      </c>
      <c r="FW226" t="s">
        <v>5466</v>
      </c>
      <c r="FX226">
        <v>1</v>
      </c>
      <c r="FY226" t="s">
        <v>890</v>
      </c>
      <c r="FZ226" t="s">
        <v>5467</v>
      </c>
      <c r="GA226" t="s">
        <v>5460</v>
      </c>
      <c r="GB226">
        <v>1</v>
      </c>
      <c r="GD226">
        <v>0</v>
      </c>
      <c r="GF226">
        <v>0</v>
      </c>
      <c r="GG226">
        <v>1</v>
      </c>
      <c r="GH226" t="s">
        <v>892</v>
      </c>
      <c r="GI226" t="s">
        <v>893</v>
      </c>
      <c r="GJ226" t="s">
        <v>5459</v>
      </c>
      <c r="GM226">
        <v>1</v>
      </c>
      <c r="GN226">
        <v>0</v>
      </c>
      <c r="GO226">
        <v>0</v>
      </c>
      <c r="GP226">
        <v>1</v>
      </c>
      <c r="GQ226">
        <v>1</v>
      </c>
      <c r="GR226">
        <v>0</v>
      </c>
      <c r="GS226">
        <v>1</v>
      </c>
      <c r="GT226">
        <v>0</v>
      </c>
      <c r="GU226">
        <v>1</v>
      </c>
      <c r="GV226">
        <v>0</v>
      </c>
      <c r="GW226">
        <v>1</v>
      </c>
      <c r="GX226">
        <v>0</v>
      </c>
      <c r="GY226">
        <v>1</v>
      </c>
      <c r="GZ226">
        <v>0</v>
      </c>
      <c r="HA226" t="s">
        <v>393</v>
      </c>
      <c r="HB226" t="s">
        <v>894</v>
      </c>
      <c r="HC226" t="s">
        <v>895</v>
      </c>
      <c r="HD226" t="s">
        <v>845</v>
      </c>
      <c r="HE226" t="s">
        <v>836</v>
      </c>
      <c r="HF226" t="s">
        <v>873</v>
      </c>
      <c r="HG226" t="s">
        <v>894</v>
      </c>
      <c r="HH226" t="s">
        <v>895</v>
      </c>
      <c r="HI226" t="s">
        <v>845</v>
      </c>
      <c r="HJ226" t="s">
        <v>836</v>
      </c>
      <c r="HK226" t="s">
        <v>873</v>
      </c>
      <c r="HL226" t="s">
        <v>842</v>
      </c>
      <c r="HM226" t="s">
        <v>854</v>
      </c>
      <c r="HN226">
        <v>36805</v>
      </c>
      <c r="HP226" t="s">
        <v>246</v>
      </c>
      <c r="HQ226" t="s">
        <v>896</v>
      </c>
      <c r="HR226" t="s">
        <v>896</v>
      </c>
      <c r="HS226" t="s">
        <v>896</v>
      </c>
    </row>
    <row r="227" spans="1:227" x14ac:dyDescent="0.2">
      <c r="A227">
        <v>8702</v>
      </c>
      <c r="B227">
        <v>7522605802</v>
      </c>
      <c r="C227" t="s">
        <v>829</v>
      </c>
      <c r="D227" t="s">
        <v>830</v>
      </c>
      <c r="E227" t="s">
        <v>831</v>
      </c>
      <c r="F227">
        <v>1</v>
      </c>
      <c r="G227" t="s">
        <v>5468</v>
      </c>
      <c r="H227" t="s">
        <v>5468</v>
      </c>
      <c r="I227">
        <v>0</v>
      </c>
      <c r="J227" t="s">
        <v>833</v>
      </c>
      <c r="K227" t="s">
        <v>834</v>
      </c>
      <c r="L227">
        <v>153406549</v>
      </c>
      <c r="M227" t="s">
        <v>5469</v>
      </c>
      <c r="N227" t="s">
        <v>836</v>
      </c>
      <c r="O227" t="s">
        <v>837</v>
      </c>
      <c r="P227" t="s">
        <v>838</v>
      </c>
      <c r="Q227" t="s">
        <v>1593</v>
      </c>
      <c r="R227" t="s">
        <v>5470</v>
      </c>
      <c r="S227" t="s">
        <v>5471</v>
      </c>
      <c r="T227">
        <v>41477075231</v>
      </c>
      <c r="V227" t="s">
        <v>121</v>
      </c>
      <c r="W227" s="41">
        <v>45883</v>
      </c>
      <c r="X227" t="s">
        <v>5472</v>
      </c>
      <c r="Y227" t="s">
        <v>5473</v>
      </c>
      <c r="AA227">
        <v>0</v>
      </c>
      <c r="AB227" t="s">
        <v>845</v>
      </c>
      <c r="AC227" t="s">
        <v>846</v>
      </c>
      <c r="AD227" t="s">
        <v>847</v>
      </c>
      <c r="AE227" t="s">
        <v>848</v>
      </c>
      <c r="AF227">
        <v>1</v>
      </c>
      <c r="AG227">
        <v>452210</v>
      </c>
      <c r="AH227" t="s">
        <v>849</v>
      </c>
      <c r="AI227" t="s">
        <v>850</v>
      </c>
      <c r="AJ227" t="s">
        <v>851</v>
      </c>
      <c r="AK227" t="s">
        <v>289</v>
      </c>
      <c r="AL227" t="s">
        <v>2443</v>
      </c>
      <c r="AM227" t="s">
        <v>3266</v>
      </c>
      <c r="AN227" t="s">
        <v>854</v>
      </c>
      <c r="AO227">
        <v>36805</v>
      </c>
      <c r="AP227">
        <v>495</v>
      </c>
      <c r="AQ227" t="s">
        <v>855</v>
      </c>
      <c r="AR227">
        <v>66069751</v>
      </c>
      <c r="AS227" t="s">
        <v>856</v>
      </c>
      <c r="AU227" t="s">
        <v>5474</v>
      </c>
      <c r="AV227" t="s">
        <v>5475</v>
      </c>
      <c r="AW227" t="s">
        <v>1185</v>
      </c>
      <c r="AX227" t="s">
        <v>1186</v>
      </c>
      <c r="AY227" t="s">
        <v>861</v>
      </c>
      <c r="AZ227" t="s">
        <v>289</v>
      </c>
      <c r="BA227" t="s">
        <v>290</v>
      </c>
      <c r="BB227">
        <v>0</v>
      </c>
      <c r="BC227">
        <v>0</v>
      </c>
      <c r="BD227">
        <v>1</v>
      </c>
      <c r="BE227" t="s">
        <v>5469</v>
      </c>
      <c r="BF227">
        <v>0</v>
      </c>
      <c r="BG227">
        <v>0</v>
      </c>
      <c r="BH227" t="s">
        <v>862</v>
      </c>
      <c r="BI227">
        <v>0</v>
      </c>
      <c r="BJ227" t="s">
        <v>862</v>
      </c>
      <c r="BK227">
        <v>1</v>
      </c>
      <c r="BL227">
        <v>0</v>
      </c>
      <c r="BM227">
        <v>0</v>
      </c>
      <c r="BN227" t="s">
        <v>596</v>
      </c>
      <c r="BO227">
        <v>153406549</v>
      </c>
      <c r="BP227" t="s">
        <v>5468</v>
      </c>
      <c r="BR227">
        <v>42789062</v>
      </c>
      <c r="BT227">
        <v>0</v>
      </c>
      <c r="CM227">
        <v>4010</v>
      </c>
      <c r="CO227">
        <v>7360</v>
      </c>
      <c r="CP227">
        <v>0.51670000000000005</v>
      </c>
      <c r="CQ227">
        <v>0.51670000000000005</v>
      </c>
      <c r="CR227">
        <v>1.1167</v>
      </c>
      <c r="CS227">
        <v>19</v>
      </c>
      <c r="CT227" t="s">
        <v>5475</v>
      </c>
      <c r="CU227" t="s">
        <v>5474</v>
      </c>
      <c r="CV227" t="s">
        <v>833</v>
      </c>
      <c r="CW227" t="s">
        <v>834</v>
      </c>
      <c r="CX227" t="s">
        <v>5469</v>
      </c>
      <c r="CY227">
        <v>1</v>
      </c>
      <c r="CZ227">
        <v>1</v>
      </c>
      <c r="DA227" t="s">
        <v>833</v>
      </c>
      <c r="DB227" t="s">
        <v>865</v>
      </c>
      <c r="DC227">
        <v>63304</v>
      </c>
      <c r="DD227">
        <v>3.1333000000000002</v>
      </c>
      <c r="DE227" t="s">
        <v>866</v>
      </c>
      <c r="DG227" t="s">
        <v>867</v>
      </c>
      <c r="DH227" t="s">
        <v>851</v>
      </c>
      <c r="DL227" t="s">
        <v>869</v>
      </c>
      <c r="DM227">
        <v>0</v>
      </c>
      <c r="DN227">
        <v>0</v>
      </c>
      <c r="DO227">
        <v>48</v>
      </c>
      <c r="DP227" t="s">
        <v>3651</v>
      </c>
      <c r="DQ227">
        <v>16</v>
      </c>
      <c r="DR227">
        <v>188</v>
      </c>
      <c r="DS227">
        <v>188</v>
      </c>
      <c r="DT227">
        <v>2.6166999999999998</v>
      </c>
      <c r="DU227">
        <v>4</v>
      </c>
      <c r="DW227">
        <v>2</v>
      </c>
      <c r="DX227" t="s">
        <v>594</v>
      </c>
      <c r="DY227" t="s">
        <v>5469</v>
      </c>
      <c r="DZ227">
        <v>0</v>
      </c>
      <c r="EA227">
        <v>0</v>
      </c>
      <c r="EB227">
        <v>0</v>
      </c>
      <c r="EC227">
        <v>0</v>
      </c>
      <c r="ED227">
        <v>0</v>
      </c>
      <c r="EE227">
        <v>0</v>
      </c>
      <c r="EF227" t="s">
        <v>920</v>
      </c>
      <c r="EG227" t="s">
        <v>595</v>
      </c>
      <c r="EH227" t="s">
        <v>872</v>
      </c>
      <c r="EI227" t="s">
        <v>872</v>
      </c>
      <c r="EJ227" t="s">
        <v>111</v>
      </c>
      <c r="EK227">
        <v>9090</v>
      </c>
      <c r="EL227">
        <v>0</v>
      </c>
      <c r="EM227" t="s">
        <v>1037</v>
      </c>
      <c r="EN227">
        <v>1.1167</v>
      </c>
      <c r="EO227">
        <v>3.1333332999999999</v>
      </c>
      <c r="EP227">
        <v>99991120</v>
      </c>
      <c r="EQ227" t="s">
        <v>874</v>
      </c>
      <c r="ER227" t="s">
        <v>875</v>
      </c>
      <c r="ES227" t="s">
        <v>876</v>
      </c>
      <c r="ET227" t="s">
        <v>877</v>
      </c>
      <c r="EU227" t="s">
        <v>877</v>
      </c>
      <c r="EV227" t="s">
        <v>920</v>
      </c>
      <c r="EX227" t="s">
        <v>900</v>
      </c>
      <c r="EY227" t="s">
        <v>923</v>
      </c>
      <c r="EZ227" t="s">
        <v>1038</v>
      </c>
      <c r="FA227" t="s">
        <v>925</v>
      </c>
      <c r="FB227">
        <v>1</v>
      </c>
      <c r="FC227">
        <v>1</v>
      </c>
      <c r="FD227" s="41">
        <v>45885</v>
      </c>
      <c r="FE227" t="s">
        <v>987</v>
      </c>
      <c r="FF227">
        <v>5</v>
      </c>
      <c r="FI227">
        <v>0</v>
      </c>
      <c r="FJ227" t="s">
        <v>5476</v>
      </c>
      <c r="FK227" t="s">
        <v>5477</v>
      </c>
      <c r="FL227">
        <v>1</v>
      </c>
      <c r="FM227" t="s">
        <v>5478</v>
      </c>
      <c r="FN227" t="s">
        <v>5479</v>
      </c>
      <c r="FO227">
        <v>1</v>
      </c>
      <c r="FP227" t="s">
        <v>5480</v>
      </c>
      <c r="FQ227" t="s">
        <v>5481</v>
      </c>
      <c r="FR227">
        <v>1</v>
      </c>
      <c r="FS227" t="s">
        <v>2453</v>
      </c>
      <c r="FT227" t="s">
        <v>5482</v>
      </c>
      <c r="FU227">
        <v>1</v>
      </c>
      <c r="FV227" t="s">
        <v>5476</v>
      </c>
      <c r="FW227" t="s">
        <v>5477</v>
      </c>
      <c r="FX227">
        <v>1</v>
      </c>
      <c r="FY227" t="s">
        <v>890</v>
      </c>
      <c r="FZ227" t="s">
        <v>5483</v>
      </c>
      <c r="GA227" t="s">
        <v>5476</v>
      </c>
      <c r="GB227">
        <v>1</v>
      </c>
      <c r="GD227">
        <v>0</v>
      </c>
      <c r="GF227">
        <v>0</v>
      </c>
      <c r="GG227">
        <v>1</v>
      </c>
      <c r="GH227" t="s">
        <v>892</v>
      </c>
      <c r="GI227" t="s">
        <v>893</v>
      </c>
      <c r="GJ227" t="s">
        <v>5477</v>
      </c>
      <c r="GM227">
        <v>1</v>
      </c>
      <c r="GN227">
        <v>1</v>
      </c>
      <c r="GO227">
        <v>0</v>
      </c>
      <c r="GP227">
        <v>1</v>
      </c>
      <c r="GQ227">
        <v>1</v>
      </c>
      <c r="GR227">
        <v>0</v>
      </c>
      <c r="GS227">
        <v>1</v>
      </c>
      <c r="GT227">
        <v>0</v>
      </c>
      <c r="GU227">
        <v>1</v>
      </c>
      <c r="GV227">
        <v>0</v>
      </c>
      <c r="GW227">
        <v>1</v>
      </c>
      <c r="GX227">
        <v>0</v>
      </c>
      <c r="GY227">
        <v>1</v>
      </c>
      <c r="GZ227">
        <v>0</v>
      </c>
      <c r="HA227" t="s">
        <v>289</v>
      </c>
      <c r="HB227" t="s">
        <v>894</v>
      </c>
      <c r="HC227" t="s">
        <v>895</v>
      </c>
      <c r="HD227" t="s">
        <v>845</v>
      </c>
      <c r="HE227" t="s">
        <v>836</v>
      </c>
      <c r="HF227" t="s">
        <v>1051</v>
      </c>
      <c r="HG227" t="s">
        <v>894</v>
      </c>
      <c r="HH227" t="s">
        <v>895</v>
      </c>
      <c r="HI227" t="s">
        <v>845</v>
      </c>
      <c r="HJ227" t="s">
        <v>836</v>
      </c>
      <c r="HK227" t="s">
        <v>1037</v>
      </c>
      <c r="HL227" t="s">
        <v>121</v>
      </c>
      <c r="HM227" t="s">
        <v>854</v>
      </c>
      <c r="HN227">
        <v>36805</v>
      </c>
      <c r="HP227" t="s">
        <v>111</v>
      </c>
      <c r="HQ227" t="s">
        <v>896</v>
      </c>
      <c r="HR227" t="s">
        <v>896</v>
      </c>
      <c r="HS227" t="s">
        <v>896</v>
      </c>
    </row>
    <row r="228" spans="1:227" x14ac:dyDescent="0.2">
      <c r="A228">
        <v>8702</v>
      </c>
      <c r="B228">
        <v>7609800354</v>
      </c>
      <c r="C228">
        <v>34</v>
      </c>
      <c r="D228" t="s">
        <v>996</v>
      </c>
      <c r="E228" t="s">
        <v>897</v>
      </c>
      <c r="F228">
        <v>0</v>
      </c>
      <c r="G228" t="s">
        <v>5484</v>
      </c>
      <c r="H228" t="s">
        <v>5484</v>
      </c>
      <c r="I228">
        <v>0</v>
      </c>
      <c r="J228" t="s">
        <v>833</v>
      </c>
      <c r="K228" t="s">
        <v>834</v>
      </c>
      <c r="L228">
        <v>156046191</v>
      </c>
      <c r="M228" t="s">
        <v>5485</v>
      </c>
      <c r="N228" t="s">
        <v>900</v>
      </c>
      <c r="O228" t="s">
        <v>837</v>
      </c>
      <c r="P228" t="s">
        <v>999</v>
      </c>
      <c r="Q228" t="s">
        <v>2459</v>
      </c>
      <c r="R228" t="s">
        <v>5486</v>
      </c>
      <c r="S228" t="s">
        <v>5487</v>
      </c>
      <c r="T228">
        <v>30300117806</v>
      </c>
      <c r="V228" t="s">
        <v>1332</v>
      </c>
      <c r="W228" s="41">
        <v>46121</v>
      </c>
      <c r="X228" t="s">
        <v>5488</v>
      </c>
      <c r="Y228" t="s">
        <v>5489</v>
      </c>
      <c r="Z228" t="s">
        <v>4260</v>
      </c>
      <c r="AA228">
        <v>0</v>
      </c>
      <c r="AB228" t="s">
        <v>845</v>
      </c>
      <c r="AC228" t="s">
        <v>846</v>
      </c>
      <c r="AD228" t="s">
        <v>1113</v>
      </c>
      <c r="AE228" t="s">
        <v>1114</v>
      </c>
      <c r="AF228">
        <v>1</v>
      </c>
      <c r="AG228">
        <v>452210</v>
      </c>
      <c r="AH228" t="s">
        <v>849</v>
      </c>
      <c r="AI228" t="s">
        <v>850</v>
      </c>
      <c r="AJ228" t="s">
        <v>851</v>
      </c>
      <c r="AK228" t="s">
        <v>287</v>
      </c>
      <c r="AL228" t="s">
        <v>2767</v>
      </c>
      <c r="AM228" t="s">
        <v>1338</v>
      </c>
      <c r="AN228" t="s">
        <v>854</v>
      </c>
      <c r="AO228">
        <v>36805</v>
      </c>
      <c r="AP228">
        <v>929</v>
      </c>
      <c r="AQ228" t="s">
        <v>855</v>
      </c>
      <c r="AR228">
        <v>66412104</v>
      </c>
      <c r="AS228" t="s">
        <v>856</v>
      </c>
      <c r="AU228" t="s">
        <v>5490</v>
      </c>
      <c r="AV228" t="s">
        <v>5491</v>
      </c>
      <c r="AW228" t="s">
        <v>950</v>
      </c>
      <c r="AX228" t="s">
        <v>951</v>
      </c>
      <c r="AY228" t="s">
        <v>861</v>
      </c>
      <c r="AZ228" t="s">
        <v>287</v>
      </c>
      <c r="BA228" t="s">
        <v>288</v>
      </c>
      <c r="BB228">
        <v>0</v>
      </c>
      <c r="BC228">
        <v>0</v>
      </c>
      <c r="BD228">
        <v>0</v>
      </c>
      <c r="BE228" t="s">
        <v>5485</v>
      </c>
      <c r="BF228">
        <v>0</v>
      </c>
      <c r="BG228">
        <v>0</v>
      </c>
      <c r="BH228" t="s">
        <v>862</v>
      </c>
      <c r="BI228">
        <v>0</v>
      </c>
      <c r="BJ228" t="s">
        <v>862</v>
      </c>
      <c r="BK228">
        <v>1</v>
      </c>
      <c r="BL228">
        <v>0</v>
      </c>
      <c r="BM228">
        <v>0</v>
      </c>
      <c r="BN228" t="s">
        <v>596</v>
      </c>
      <c r="BO228">
        <v>156046191</v>
      </c>
      <c r="BP228" t="s">
        <v>5484</v>
      </c>
      <c r="BQ228">
        <v>41.699193100000002</v>
      </c>
      <c r="BR228">
        <v>42793654</v>
      </c>
      <c r="BS228">
        <v>-83.647718100000006</v>
      </c>
      <c r="BT228">
        <v>1</v>
      </c>
      <c r="BU228" t="s">
        <v>1119</v>
      </c>
      <c r="BY228">
        <v>16</v>
      </c>
      <c r="CA228">
        <v>20</v>
      </c>
      <c r="CI228">
        <v>11</v>
      </c>
      <c r="CJ228" t="s">
        <v>94</v>
      </c>
      <c r="CM228">
        <v>4010</v>
      </c>
      <c r="CO228">
        <v>7360</v>
      </c>
      <c r="CP228">
        <v>0.51670000000000005</v>
      </c>
      <c r="CQ228">
        <v>0.51670000000000005</v>
      </c>
      <c r="CR228">
        <v>0</v>
      </c>
      <c r="CS228">
        <v>16</v>
      </c>
      <c r="CT228" t="s">
        <v>5492</v>
      </c>
      <c r="CU228" t="s">
        <v>5493</v>
      </c>
      <c r="CV228" t="s">
        <v>833</v>
      </c>
      <c r="CW228" t="s">
        <v>834</v>
      </c>
      <c r="CX228" t="s">
        <v>5485</v>
      </c>
      <c r="CY228">
        <v>0</v>
      </c>
      <c r="CZ228">
        <v>0</v>
      </c>
      <c r="DA228" t="s">
        <v>833</v>
      </c>
      <c r="DB228" t="s">
        <v>865</v>
      </c>
      <c r="DC228">
        <v>43623</v>
      </c>
      <c r="DD228">
        <v>7.7832999999999997</v>
      </c>
      <c r="DE228" t="s">
        <v>866</v>
      </c>
      <c r="DG228" t="s">
        <v>867</v>
      </c>
      <c r="DH228" t="s">
        <v>851</v>
      </c>
      <c r="DI228" t="s">
        <v>984</v>
      </c>
      <c r="DK228" t="s">
        <v>918</v>
      </c>
      <c r="DL228" t="s">
        <v>869</v>
      </c>
      <c r="DM228">
        <v>0</v>
      </c>
      <c r="DN228">
        <v>0</v>
      </c>
      <c r="DO228">
        <v>1</v>
      </c>
      <c r="DP228" t="s">
        <v>985</v>
      </c>
      <c r="DQ228">
        <v>0</v>
      </c>
      <c r="DR228">
        <v>467</v>
      </c>
      <c r="DS228">
        <v>1187</v>
      </c>
      <c r="DT228">
        <v>7.2667000000000002</v>
      </c>
      <c r="DU228">
        <v>0</v>
      </c>
      <c r="DV228">
        <v>1</v>
      </c>
      <c r="DW228">
        <v>2</v>
      </c>
      <c r="DX228" t="s">
        <v>594</v>
      </c>
      <c r="DY228" t="s">
        <v>5485</v>
      </c>
      <c r="DZ228">
        <v>1</v>
      </c>
      <c r="EA228">
        <v>1</v>
      </c>
      <c r="EB228">
        <v>1</v>
      </c>
      <c r="EC228">
        <v>1</v>
      </c>
      <c r="ED228">
        <v>1</v>
      </c>
      <c r="EE228">
        <v>1</v>
      </c>
      <c r="EF228" t="s">
        <v>920</v>
      </c>
      <c r="EG228" t="s">
        <v>595</v>
      </c>
      <c r="EH228" t="s">
        <v>872</v>
      </c>
      <c r="EI228" t="s">
        <v>872</v>
      </c>
      <c r="EJ228" t="s">
        <v>226</v>
      </c>
      <c r="EK228">
        <v>9090</v>
      </c>
      <c r="EL228">
        <v>0</v>
      </c>
      <c r="EM228" t="s">
        <v>952</v>
      </c>
      <c r="EN228">
        <v>0</v>
      </c>
      <c r="EO228">
        <v>19.783333299999999</v>
      </c>
      <c r="EP228">
        <v>99991120</v>
      </c>
      <c r="EQ228" t="s">
        <v>874</v>
      </c>
      <c r="ER228" t="s">
        <v>875</v>
      </c>
      <c r="ES228" t="s">
        <v>876</v>
      </c>
      <c r="ET228" t="s">
        <v>877</v>
      </c>
      <c r="EU228" t="s">
        <v>877</v>
      </c>
      <c r="EV228" t="s">
        <v>920</v>
      </c>
      <c r="EX228" t="s">
        <v>953</v>
      </c>
      <c r="EY228" t="s">
        <v>986</v>
      </c>
      <c r="EZ228" t="s">
        <v>1342</v>
      </c>
      <c r="FA228" t="s">
        <v>879</v>
      </c>
      <c r="FB228">
        <v>1</v>
      </c>
      <c r="FC228">
        <v>1</v>
      </c>
      <c r="FD228" s="41">
        <v>46123</v>
      </c>
      <c r="FE228" t="s">
        <v>1123</v>
      </c>
      <c r="FF228">
        <v>7</v>
      </c>
      <c r="FG228" t="s">
        <v>5494</v>
      </c>
      <c r="FH228" t="s">
        <v>5495</v>
      </c>
      <c r="FI228">
        <v>1</v>
      </c>
      <c r="FJ228" t="s">
        <v>5496</v>
      </c>
      <c r="FK228" t="s">
        <v>5495</v>
      </c>
      <c r="FL228">
        <v>1</v>
      </c>
      <c r="FM228" t="s">
        <v>5497</v>
      </c>
      <c r="FN228" t="s">
        <v>5498</v>
      </c>
      <c r="FO228">
        <v>1</v>
      </c>
      <c r="FP228" t="s">
        <v>5499</v>
      </c>
      <c r="FQ228" t="s">
        <v>5493</v>
      </c>
      <c r="FR228">
        <v>1</v>
      </c>
      <c r="FS228" t="s">
        <v>1350</v>
      </c>
      <c r="FT228" t="s">
        <v>5500</v>
      </c>
      <c r="FU228">
        <v>1</v>
      </c>
      <c r="FV228" t="s">
        <v>3594</v>
      </c>
      <c r="FW228" t="s">
        <v>5501</v>
      </c>
      <c r="FX228">
        <v>1</v>
      </c>
      <c r="FY228" t="s">
        <v>890</v>
      </c>
      <c r="FZ228" t="s">
        <v>5502</v>
      </c>
      <c r="GA228" t="s">
        <v>5496</v>
      </c>
      <c r="GB228">
        <v>1</v>
      </c>
      <c r="GD228">
        <v>0</v>
      </c>
      <c r="GF228">
        <v>0</v>
      </c>
      <c r="GG228">
        <v>1</v>
      </c>
      <c r="GH228" t="s">
        <v>892</v>
      </c>
      <c r="GI228" t="s">
        <v>893</v>
      </c>
      <c r="GJ228" t="s">
        <v>5495</v>
      </c>
      <c r="GM228">
        <v>1</v>
      </c>
      <c r="GN228">
        <v>1</v>
      </c>
      <c r="GO228">
        <v>0</v>
      </c>
      <c r="GP228">
        <v>1</v>
      </c>
      <c r="GQ228">
        <v>1</v>
      </c>
      <c r="GR228">
        <v>0</v>
      </c>
      <c r="GS228">
        <v>1</v>
      </c>
      <c r="GT228">
        <v>0</v>
      </c>
      <c r="GU228">
        <v>1</v>
      </c>
      <c r="GV228">
        <v>0</v>
      </c>
      <c r="GW228">
        <v>1</v>
      </c>
      <c r="GX228">
        <v>0</v>
      </c>
      <c r="GY228">
        <v>1</v>
      </c>
      <c r="GZ228">
        <v>0</v>
      </c>
      <c r="HA228" t="s">
        <v>287</v>
      </c>
      <c r="HB228" t="s">
        <v>894</v>
      </c>
      <c r="HC228" t="s">
        <v>935</v>
      </c>
      <c r="HD228" t="s">
        <v>845</v>
      </c>
      <c r="HE228" t="s">
        <v>900</v>
      </c>
      <c r="HF228" t="s">
        <v>923</v>
      </c>
      <c r="HG228" t="s">
        <v>894</v>
      </c>
      <c r="HH228" t="s">
        <v>935</v>
      </c>
      <c r="HI228" t="s">
        <v>845</v>
      </c>
      <c r="HJ228" t="s">
        <v>900</v>
      </c>
      <c r="HK228" t="s">
        <v>952</v>
      </c>
      <c r="HL228" t="s">
        <v>1332</v>
      </c>
      <c r="HM228" t="s">
        <v>854</v>
      </c>
      <c r="HN228">
        <v>36805</v>
      </c>
      <c r="HO228">
        <v>1</v>
      </c>
      <c r="HP228" t="s">
        <v>226</v>
      </c>
      <c r="HQ228" t="s">
        <v>896</v>
      </c>
      <c r="HR228" t="s">
        <v>896</v>
      </c>
      <c r="HS228" t="s">
        <v>896</v>
      </c>
    </row>
    <row r="229" spans="1:227" x14ac:dyDescent="0.2">
      <c r="A229">
        <v>8702</v>
      </c>
      <c r="B229">
        <v>7535505560</v>
      </c>
      <c r="C229" t="s">
        <v>936</v>
      </c>
      <c r="D229" t="s">
        <v>937</v>
      </c>
      <c r="E229" t="s">
        <v>897</v>
      </c>
      <c r="F229">
        <v>1</v>
      </c>
      <c r="G229" t="s">
        <v>5503</v>
      </c>
      <c r="H229" t="s">
        <v>5503</v>
      </c>
      <c r="I229">
        <v>0</v>
      </c>
      <c r="J229" t="s">
        <v>833</v>
      </c>
      <c r="K229" t="s">
        <v>834</v>
      </c>
      <c r="L229">
        <v>153517127</v>
      </c>
      <c r="M229" t="s">
        <v>4456</v>
      </c>
      <c r="N229" t="s">
        <v>900</v>
      </c>
      <c r="O229" t="s">
        <v>837</v>
      </c>
      <c r="P229" t="s">
        <v>940</v>
      </c>
      <c r="Q229" t="s">
        <v>1080</v>
      </c>
      <c r="R229" t="s">
        <v>5504</v>
      </c>
      <c r="S229" t="s">
        <v>5505</v>
      </c>
      <c r="T229">
        <v>41477085454</v>
      </c>
      <c r="V229" t="s">
        <v>200</v>
      </c>
      <c r="W229" s="41">
        <v>46013</v>
      </c>
      <c r="X229" t="s">
        <v>5506</v>
      </c>
      <c r="Y229" t="s">
        <v>5507</v>
      </c>
      <c r="Z229" t="s">
        <v>1144</v>
      </c>
      <c r="AA229">
        <v>0</v>
      </c>
      <c r="AB229" t="s">
        <v>845</v>
      </c>
      <c r="AC229" t="s">
        <v>846</v>
      </c>
      <c r="AD229" t="s">
        <v>847</v>
      </c>
      <c r="AE229" t="s">
        <v>848</v>
      </c>
      <c r="AF229">
        <v>1</v>
      </c>
      <c r="AG229">
        <v>452210</v>
      </c>
      <c r="AH229" t="s">
        <v>849</v>
      </c>
      <c r="AI229" t="s">
        <v>850</v>
      </c>
      <c r="AJ229" t="s">
        <v>851</v>
      </c>
      <c r="AK229" t="s">
        <v>281</v>
      </c>
      <c r="AL229" t="s">
        <v>1407</v>
      </c>
      <c r="AM229" t="s">
        <v>3245</v>
      </c>
      <c r="AN229" t="s">
        <v>854</v>
      </c>
      <c r="AO229">
        <v>36805</v>
      </c>
      <c r="AP229">
        <v>642</v>
      </c>
      <c r="AQ229" t="s">
        <v>855</v>
      </c>
      <c r="AR229">
        <v>66256411</v>
      </c>
      <c r="AS229" t="s">
        <v>856</v>
      </c>
      <c r="AU229" t="s">
        <v>5508</v>
      </c>
      <c r="AV229" t="s">
        <v>5509</v>
      </c>
      <c r="AW229" t="s">
        <v>1185</v>
      </c>
      <c r="AX229" t="s">
        <v>1186</v>
      </c>
      <c r="AY229" t="s">
        <v>861</v>
      </c>
      <c r="AZ229" t="s">
        <v>281</v>
      </c>
      <c r="BA229" t="s">
        <v>282</v>
      </c>
      <c r="BB229">
        <v>0</v>
      </c>
      <c r="BC229">
        <v>0</v>
      </c>
      <c r="BD229">
        <v>0</v>
      </c>
      <c r="BE229" t="s">
        <v>4456</v>
      </c>
      <c r="BF229">
        <v>0</v>
      </c>
      <c r="BG229">
        <v>0</v>
      </c>
      <c r="BH229" t="s">
        <v>862</v>
      </c>
      <c r="BI229">
        <v>0</v>
      </c>
      <c r="BJ229" t="s">
        <v>862</v>
      </c>
      <c r="BK229">
        <v>1</v>
      </c>
      <c r="BL229">
        <v>0</v>
      </c>
      <c r="BM229">
        <v>0</v>
      </c>
      <c r="BN229" t="s">
        <v>596</v>
      </c>
      <c r="BO229">
        <v>153517127</v>
      </c>
      <c r="BP229" t="s">
        <v>5503</v>
      </c>
      <c r="BQ229">
        <v>42.3969697</v>
      </c>
      <c r="BR229">
        <v>42791773</v>
      </c>
      <c r="BS229">
        <v>-83.480344200000005</v>
      </c>
      <c r="BT229">
        <v>1</v>
      </c>
      <c r="BU229" t="s">
        <v>3226</v>
      </c>
      <c r="CI229">
        <v>11</v>
      </c>
      <c r="CJ229" t="s">
        <v>94</v>
      </c>
      <c r="CM229">
        <v>4010</v>
      </c>
      <c r="CO229">
        <v>7360</v>
      </c>
      <c r="CP229">
        <v>1.25</v>
      </c>
      <c r="CQ229">
        <v>1.25</v>
      </c>
      <c r="CR229">
        <v>0.2167</v>
      </c>
      <c r="CS229">
        <v>0</v>
      </c>
      <c r="CT229" t="s">
        <v>5509</v>
      </c>
      <c r="CU229" t="s">
        <v>5508</v>
      </c>
      <c r="CV229" t="s">
        <v>833</v>
      </c>
      <c r="CW229" t="s">
        <v>834</v>
      </c>
      <c r="CX229" t="s">
        <v>4456</v>
      </c>
      <c r="CY229">
        <v>0</v>
      </c>
      <c r="CZ229">
        <v>0</v>
      </c>
      <c r="DA229" t="s">
        <v>833</v>
      </c>
      <c r="DB229" t="s">
        <v>865</v>
      </c>
      <c r="DC229">
        <v>48168</v>
      </c>
      <c r="DD229">
        <v>9.1333000000000002</v>
      </c>
      <c r="DE229" t="s">
        <v>866</v>
      </c>
      <c r="DG229" t="s">
        <v>867</v>
      </c>
      <c r="DH229" t="s">
        <v>851</v>
      </c>
      <c r="DI229" t="s">
        <v>1154</v>
      </c>
      <c r="DK229" t="s">
        <v>918</v>
      </c>
      <c r="DL229" t="s">
        <v>869</v>
      </c>
      <c r="DM229">
        <v>0</v>
      </c>
      <c r="DN229">
        <v>0</v>
      </c>
      <c r="DO229">
        <v>48</v>
      </c>
      <c r="DP229" t="s">
        <v>3651</v>
      </c>
      <c r="DQ229">
        <v>12</v>
      </c>
      <c r="DR229">
        <v>548</v>
      </c>
      <c r="DS229">
        <v>1268</v>
      </c>
      <c r="DT229">
        <v>7.8833000000000002</v>
      </c>
      <c r="DU229">
        <v>4</v>
      </c>
      <c r="DV229">
        <v>1</v>
      </c>
      <c r="DW229">
        <v>1</v>
      </c>
      <c r="DX229" t="s">
        <v>594</v>
      </c>
      <c r="DY229" t="s">
        <v>4456</v>
      </c>
      <c r="DZ229">
        <v>0</v>
      </c>
      <c r="EA229">
        <v>0</v>
      </c>
      <c r="EB229">
        <v>0</v>
      </c>
      <c r="EC229">
        <v>0</v>
      </c>
      <c r="ED229">
        <v>0</v>
      </c>
      <c r="EE229">
        <v>0</v>
      </c>
      <c r="EF229" t="s">
        <v>920</v>
      </c>
      <c r="EG229" t="s">
        <v>595</v>
      </c>
      <c r="EH229" t="s">
        <v>1695</v>
      </c>
      <c r="EI229" t="s">
        <v>1695</v>
      </c>
      <c r="EJ229" t="s">
        <v>178</v>
      </c>
      <c r="EK229">
        <v>9090</v>
      </c>
      <c r="EL229">
        <v>0</v>
      </c>
      <c r="EM229" t="s">
        <v>952</v>
      </c>
      <c r="EN229">
        <v>0.2167</v>
      </c>
      <c r="EO229">
        <v>21.1333333</v>
      </c>
      <c r="EP229">
        <v>99991120</v>
      </c>
      <c r="EQ229" t="s">
        <v>874</v>
      </c>
      <c r="ER229" t="s">
        <v>875</v>
      </c>
      <c r="ES229" t="s">
        <v>876</v>
      </c>
      <c r="ET229" t="s">
        <v>877</v>
      </c>
      <c r="EU229" t="s">
        <v>877</v>
      </c>
      <c r="EV229" t="s">
        <v>920</v>
      </c>
      <c r="EX229" t="s">
        <v>953</v>
      </c>
      <c r="EY229" t="s">
        <v>954</v>
      </c>
      <c r="EZ229" t="s">
        <v>955</v>
      </c>
      <c r="FA229" t="s">
        <v>956</v>
      </c>
      <c r="FB229">
        <v>1</v>
      </c>
      <c r="FC229">
        <v>1</v>
      </c>
      <c r="FD229" s="41">
        <v>46018</v>
      </c>
      <c r="FE229" t="s">
        <v>957</v>
      </c>
      <c r="FF229">
        <v>7</v>
      </c>
      <c r="FG229" t="s">
        <v>5510</v>
      </c>
      <c r="FH229" t="s">
        <v>5511</v>
      </c>
      <c r="FI229">
        <v>1</v>
      </c>
      <c r="FJ229" t="s">
        <v>5512</v>
      </c>
      <c r="FK229" t="s">
        <v>5513</v>
      </c>
      <c r="FL229">
        <v>1</v>
      </c>
      <c r="FM229" t="s">
        <v>5514</v>
      </c>
      <c r="FN229" t="s">
        <v>5515</v>
      </c>
      <c r="FO229">
        <v>1</v>
      </c>
      <c r="FP229" t="s">
        <v>5516</v>
      </c>
      <c r="FQ229" t="s">
        <v>5508</v>
      </c>
      <c r="FR229">
        <v>1</v>
      </c>
      <c r="FS229" t="s">
        <v>2196</v>
      </c>
      <c r="FT229" t="s">
        <v>5517</v>
      </c>
      <c r="FU229">
        <v>1</v>
      </c>
      <c r="FV229" t="s">
        <v>2701</v>
      </c>
      <c r="FW229" t="s">
        <v>5518</v>
      </c>
      <c r="FX229">
        <v>1</v>
      </c>
      <c r="FY229" t="s">
        <v>890</v>
      </c>
      <c r="FZ229" t="s">
        <v>5519</v>
      </c>
      <c r="GA229" t="s">
        <v>5512</v>
      </c>
      <c r="GB229">
        <v>1</v>
      </c>
      <c r="GD229">
        <v>0</v>
      </c>
      <c r="GF229">
        <v>0</v>
      </c>
      <c r="GG229">
        <v>1</v>
      </c>
      <c r="GH229" t="s">
        <v>892</v>
      </c>
      <c r="GI229" t="s">
        <v>893</v>
      </c>
      <c r="GJ229" t="s">
        <v>5513</v>
      </c>
      <c r="GM229">
        <v>1</v>
      </c>
      <c r="GN229">
        <v>1</v>
      </c>
      <c r="GO229">
        <v>0</v>
      </c>
      <c r="GP229">
        <v>1</v>
      </c>
      <c r="GQ229">
        <v>1</v>
      </c>
      <c r="GR229">
        <v>0</v>
      </c>
      <c r="GS229">
        <v>1</v>
      </c>
      <c r="GT229">
        <v>0</v>
      </c>
      <c r="GU229">
        <v>1</v>
      </c>
      <c r="GV229">
        <v>0</v>
      </c>
      <c r="GW229">
        <v>1</v>
      </c>
      <c r="GX229">
        <v>0</v>
      </c>
      <c r="GY229">
        <v>1</v>
      </c>
      <c r="GZ229">
        <v>0</v>
      </c>
      <c r="HA229" t="s">
        <v>281</v>
      </c>
      <c r="HB229" t="s">
        <v>894</v>
      </c>
      <c r="HC229" t="s">
        <v>935</v>
      </c>
      <c r="HD229" t="s">
        <v>845</v>
      </c>
      <c r="HE229" t="s">
        <v>900</v>
      </c>
      <c r="HF229" t="s">
        <v>923</v>
      </c>
      <c r="HG229" t="s">
        <v>894</v>
      </c>
      <c r="HH229" t="s">
        <v>935</v>
      </c>
      <c r="HI229" t="s">
        <v>845</v>
      </c>
      <c r="HJ229" t="s">
        <v>900</v>
      </c>
      <c r="HK229" t="s">
        <v>952</v>
      </c>
      <c r="HL229" t="s">
        <v>200</v>
      </c>
      <c r="HM229" t="s">
        <v>854</v>
      </c>
      <c r="HN229">
        <v>36805</v>
      </c>
      <c r="HO229">
        <v>1</v>
      </c>
      <c r="HP229" t="s">
        <v>178</v>
      </c>
      <c r="HQ229" t="s">
        <v>896</v>
      </c>
      <c r="HR229" t="s">
        <v>896</v>
      </c>
      <c r="HS229" t="s">
        <v>896</v>
      </c>
    </row>
    <row r="230" spans="1:227" x14ac:dyDescent="0.2">
      <c r="A230">
        <v>8702</v>
      </c>
      <c r="B230">
        <v>7613901143</v>
      </c>
      <c r="C230" t="s">
        <v>829</v>
      </c>
      <c r="D230" t="s">
        <v>830</v>
      </c>
      <c r="E230" t="s">
        <v>831</v>
      </c>
      <c r="F230">
        <v>1</v>
      </c>
      <c r="G230" t="s">
        <v>5520</v>
      </c>
      <c r="H230" t="s">
        <v>5520</v>
      </c>
      <c r="I230">
        <v>0</v>
      </c>
      <c r="J230" t="s">
        <v>833</v>
      </c>
      <c r="K230" t="s">
        <v>834</v>
      </c>
      <c r="L230">
        <v>153524606</v>
      </c>
      <c r="M230" t="s">
        <v>1250</v>
      </c>
      <c r="N230" t="s">
        <v>836</v>
      </c>
      <c r="O230" t="s">
        <v>837</v>
      </c>
      <c r="P230" t="s">
        <v>838</v>
      </c>
      <c r="Q230" t="s">
        <v>1593</v>
      </c>
      <c r="R230" t="s">
        <v>5521</v>
      </c>
      <c r="S230" t="s">
        <v>5522</v>
      </c>
      <c r="T230">
        <v>41477092613</v>
      </c>
      <c r="V230" t="s">
        <v>1254</v>
      </c>
      <c r="W230" s="41">
        <v>46161</v>
      </c>
      <c r="X230" t="s">
        <v>5523</v>
      </c>
      <c r="Y230" t="s">
        <v>5524</v>
      </c>
      <c r="AA230">
        <v>0</v>
      </c>
      <c r="AB230" t="s">
        <v>845</v>
      </c>
      <c r="AC230" t="s">
        <v>846</v>
      </c>
      <c r="AD230" t="s">
        <v>907</v>
      </c>
      <c r="AE230" t="s">
        <v>908</v>
      </c>
      <c r="AF230">
        <v>1</v>
      </c>
      <c r="AG230">
        <v>452210</v>
      </c>
      <c r="AH230" t="s">
        <v>849</v>
      </c>
      <c r="AI230" t="s">
        <v>850</v>
      </c>
      <c r="AJ230" t="s">
        <v>851</v>
      </c>
      <c r="AK230" t="s">
        <v>359</v>
      </c>
      <c r="AL230" t="s">
        <v>1257</v>
      </c>
      <c r="AM230" t="s">
        <v>1258</v>
      </c>
      <c r="AN230" t="s">
        <v>854</v>
      </c>
      <c r="AO230">
        <v>36805</v>
      </c>
      <c r="AP230">
        <v>546</v>
      </c>
      <c r="AQ230" t="s">
        <v>855</v>
      </c>
      <c r="AR230">
        <v>66469915</v>
      </c>
      <c r="AS230" t="s">
        <v>856</v>
      </c>
      <c r="AU230" t="s">
        <v>5525</v>
      </c>
      <c r="AV230" t="s">
        <v>5526</v>
      </c>
      <c r="AW230" t="s">
        <v>1261</v>
      </c>
      <c r="AX230" t="s">
        <v>1262</v>
      </c>
      <c r="AY230" t="s">
        <v>861</v>
      </c>
      <c r="AZ230" t="s">
        <v>359</v>
      </c>
      <c r="BA230" t="s">
        <v>254</v>
      </c>
      <c r="BB230">
        <v>0</v>
      </c>
      <c r="BC230">
        <v>0</v>
      </c>
      <c r="BD230">
        <v>0</v>
      </c>
      <c r="BE230" t="s">
        <v>1250</v>
      </c>
      <c r="BF230">
        <v>0</v>
      </c>
      <c r="BG230">
        <v>0</v>
      </c>
      <c r="BH230" t="s">
        <v>862</v>
      </c>
      <c r="BI230">
        <v>0</v>
      </c>
      <c r="BJ230" t="s">
        <v>862</v>
      </c>
      <c r="BK230">
        <v>1</v>
      </c>
      <c r="BL230">
        <v>0</v>
      </c>
      <c r="BM230">
        <v>0</v>
      </c>
      <c r="BN230" t="s">
        <v>596</v>
      </c>
      <c r="BO230">
        <v>153524606</v>
      </c>
      <c r="BP230" t="s">
        <v>5520</v>
      </c>
      <c r="BQ230">
        <v>45.017582599999997</v>
      </c>
      <c r="BR230">
        <v>42791462</v>
      </c>
      <c r="BS230">
        <v>-93.480209900000006</v>
      </c>
      <c r="BT230">
        <v>2</v>
      </c>
      <c r="BU230" t="s">
        <v>1803</v>
      </c>
      <c r="BY230">
        <v>16</v>
      </c>
      <c r="CA230">
        <v>1</v>
      </c>
      <c r="CE230">
        <v>1</v>
      </c>
      <c r="CI230">
        <v>11</v>
      </c>
      <c r="CJ230" t="s">
        <v>94</v>
      </c>
      <c r="CM230">
        <v>4010</v>
      </c>
      <c r="CO230">
        <v>7360</v>
      </c>
      <c r="CP230">
        <v>0.81669999999999998</v>
      </c>
      <c r="CQ230">
        <v>0.81669999999999998</v>
      </c>
      <c r="CR230">
        <v>0.36670000000000003</v>
      </c>
      <c r="CS230">
        <v>2</v>
      </c>
      <c r="CT230" t="s">
        <v>5527</v>
      </c>
      <c r="CU230" t="s">
        <v>5528</v>
      </c>
      <c r="CV230" t="s">
        <v>833</v>
      </c>
      <c r="CW230" t="s">
        <v>834</v>
      </c>
      <c r="CX230" t="s">
        <v>1250</v>
      </c>
      <c r="CY230">
        <v>0</v>
      </c>
      <c r="CZ230">
        <v>0</v>
      </c>
      <c r="DA230" t="s">
        <v>833</v>
      </c>
      <c r="DB230" t="s">
        <v>865</v>
      </c>
      <c r="DC230">
        <v>55447</v>
      </c>
      <c r="DD230">
        <v>1.4</v>
      </c>
      <c r="DE230" t="s">
        <v>866</v>
      </c>
      <c r="DG230" t="s">
        <v>867</v>
      </c>
      <c r="DH230" t="s">
        <v>851</v>
      </c>
      <c r="DI230" t="s">
        <v>1266</v>
      </c>
      <c r="DK230" t="s">
        <v>918</v>
      </c>
      <c r="DL230" t="s">
        <v>869</v>
      </c>
      <c r="DM230">
        <v>0</v>
      </c>
      <c r="DN230">
        <v>0</v>
      </c>
      <c r="DO230">
        <v>3</v>
      </c>
      <c r="DP230" t="s">
        <v>919</v>
      </c>
      <c r="DQ230">
        <v>16</v>
      </c>
      <c r="DR230">
        <v>84</v>
      </c>
      <c r="DS230">
        <v>84</v>
      </c>
      <c r="DT230">
        <v>0.58330000000000004</v>
      </c>
      <c r="DU230">
        <v>4</v>
      </c>
      <c r="DV230">
        <v>1</v>
      </c>
      <c r="DW230">
        <v>2</v>
      </c>
      <c r="DX230" t="s">
        <v>594</v>
      </c>
      <c r="DY230" t="s">
        <v>1250</v>
      </c>
      <c r="DZ230">
        <v>0</v>
      </c>
      <c r="EA230">
        <v>0</v>
      </c>
      <c r="EB230">
        <v>0</v>
      </c>
      <c r="EC230">
        <v>0</v>
      </c>
      <c r="ED230">
        <v>0</v>
      </c>
      <c r="EE230">
        <v>0</v>
      </c>
      <c r="EF230" t="s">
        <v>920</v>
      </c>
      <c r="EG230" t="s">
        <v>595</v>
      </c>
      <c r="EH230" t="s">
        <v>872</v>
      </c>
      <c r="EI230" t="s">
        <v>872</v>
      </c>
      <c r="EJ230" t="s">
        <v>159</v>
      </c>
      <c r="EK230">
        <v>9090</v>
      </c>
      <c r="EL230">
        <v>0</v>
      </c>
      <c r="EM230" t="s">
        <v>873</v>
      </c>
      <c r="EN230">
        <v>0.36670000000000003</v>
      </c>
      <c r="EO230">
        <v>1.4</v>
      </c>
      <c r="EP230">
        <v>99991120</v>
      </c>
      <c r="EQ230" t="s">
        <v>874</v>
      </c>
      <c r="ER230" t="s">
        <v>875</v>
      </c>
      <c r="ES230" t="s">
        <v>876</v>
      </c>
      <c r="ET230" t="s">
        <v>877</v>
      </c>
      <c r="EU230" t="s">
        <v>877</v>
      </c>
      <c r="EV230" t="s">
        <v>920</v>
      </c>
      <c r="EX230" t="s">
        <v>836</v>
      </c>
      <c r="EY230" t="s">
        <v>1121</v>
      </c>
      <c r="EZ230" t="s">
        <v>1122</v>
      </c>
      <c r="FA230" t="s">
        <v>956</v>
      </c>
      <c r="FB230">
        <v>1</v>
      </c>
      <c r="FC230">
        <v>1</v>
      </c>
      <c r="FD230" s="41">
        <v>46165</v>
      </c>
      <c r="FE230" t="s">
        <v>1808</v>
      </c>
      <c r="FF230">
        <v>5</v>
      </c>
      <c r="FI230">
        <v>0</v>
      </c>
      <c r="FJ230" t="s">
        <v>5529</v>
      </c>
      <c r="FK230" t="s">
        <v>5530</v>
      </c>
      <c r="FL230">
        <v>1</v>
      </c>
      <c r="FM230" t="s">
        <v>5531</v>
      </c>
      <c r="FN230" t="s">
        <v>5532</v>
      </c>
      <c r="FO230">
        <v>1</v>
      </c>
      <c r="FP230" t="s">
        <v>5533</v>
      </c>
      <c r="FQ230" t="s">
        <v>5528</v>
      </c>
      <c r="FR230">
        <v>1</v>
      </c>
      <c r="FS230" t="s">
        <v>5534</v>
      </c>
      <c r="FT230" t="s">
        <v>5535</v>
      </c>
      <c r="FU230">
        <v>1</v>
      </c>
      <c r="FV230" t="s">
        <v>5536</v>
      </c>
      <c r="FW230" t="s">
        <v>5530</v>
      </c>
      <c r="FX230">
        <v>1</v>
      </c>
      <c r="FY230" t="s">
        <v>890</v>
      </c>
      <c r="FZ230" t="s">
        <v>5537</v>
      </c>
      <c r="GA230" t="s">
        <v>5529</v>
      </c>
      <c r="GB230">
        <v>1</v>
      </c>
      <c r="GD230">
        <v>0</v>
      </c>
      <c r="GF230">
        <v>0</v>
      </c>
      <c r="GG230">
        <v>1</v>
      </c>
      <c r="GH230" t="s">
        <v>892</v>
      </c>
      <c r="GI230" t="s">
        <v>893</v>
      </c>
      <c r="GJ230" t="s">
        <v>5530</v>
      </c>
      <c r="GM230">
        <v>1</v>
      </c>
      <c r="GN230">
        <v>1</v>
      </c>
      <c r="GO230">
        <v>0</v>
      </c>
      <c r="GP230">
        <v>1</v>
      </c>
      <c r="GQ230">
        <v>1</v>
      </c>
      <c r="GR230">
        <v>0</v>
      </c>
      <c r="GS230">
        <v>1</v>
      </c>
      <c r="GT230">
        <v>0</v>
      </c>
      <c r="GU230">
        <v>1</v>
      </c>
      <c r="GV230">
        <v>0</v>
      </c>
      <c r="GW230">
        <v>1</v>
      </c>
      <c r="GX230">
        <v>0</v>
      </c>
      <c r="GY230">
        <v>1</v>
      </c>
      <c r="GZ230">
        <v>0</v>
      </c>
      <c r="HA230" t="s">
        <v>359</v>
      </c>
      <c r="HB230" t="s">
        <v>894</v>
      </c>
      <c r="HC230" t="s">
        <v>895</v>
      </c>
      <c r="HD230" t="s">
        <v>845</v>
      </c>
      <c r="HE230" t="s">
        <v>836</v>
      </c>
      <c r="HF230" t="s">
        <v>873</v>
      </c>
      <c r="HG230" t="s">
        <v>894</v>
      </c>
      <c r="HH230" t="s">
        <v>895</v>
      </c>
      <c r="HI230" t="s">
        <v>845</v>
      </c>
      <c r="HJ230" t="s">
        <v>836</v>
      </c>
      <c r="HK230" t="s">
        <v>873</v>
      </c>
      <c r="HL230" t="s">
        <v>1254</v>
      </c>
      <c r="HM230" t="s">
        <v>854</v>
      </c>
      <c r="HN230">
        <v>36805</v>
      </c>
      <c r="HP230" t="s">
        <v>159</v>
      </c>
      <c r="HQ230" t="s">
        <v>896</v>
      </c>
      <c r="HR230" t="s">
        <v>896</v>
      </c>
      <c r="HS230" t="s">
        <v>896</v>
      </c>
    </row>
    <row r="231" spans="1:227" x14ac:dyDescent="0.2">
      <c r="A231">
        <v>8702</v>
      </c>
      <c r="B231">
        <v>7525102645</v>
      </c>
      <c r="C231">
        <v>34</v>
      </c>
      <c r="D231" t="s">
        <v>996</v>
      </c>
      <c r="E231" t="s">
        <v>897</v>
      </c>
      <c r="F231">
        <v>0</v>
      </c>
      <c r="G231" t="s">
        <v>5538</v>
      </c>
      <c r="H231" t="s">
        <v>5538</v>
      </c>
      <c r="I231">
        <v>0</v>
      </c>
      <c r="J231" t="s">
        <v>833</v>
      </c>
      <c r="K231" t="s">
        <v>834</v>
      </c>
      <c r="L231">
        <v>153008240</v>
      </c>
      <c r="M231" t="s">
        <v>5539</v>
      </c>
      <c r="N231" t="s">
        <v>900</v>
      </c>
      <c r="O231" t="s">
        <v>837</v>
      </c>
      <c r="P231" t="s">
        <v>999</v>
      </c>
      <c r="Q231" t="s">
        <v>1000</v>
      </c>
      <c r="R231" t="s">
        <v>5540</v>
      </c>
      <c r="S231" t="s">
        <v>5541</v>
      </c>
      <c r="T231">
        <v>41477068852</v>
      </c>
      <c r="V231" t="s">
        <v>1476</v>
      </c>
      <c r="W231" s="41">
        <v>45916</v>
      </c>
      <c r="X231" t="s">
        <v>5542</v>
      </c>
      <c r="Y231" t="s">
        <v>5543</v>
      </c>
      <c r="Z231" t="s">
        <v>5544</v>
      </c>
      <c r="AA231">
        <v>0</v>
      </c>
      <c r="AB231" t="s">
        <v>845</v>
      </c>
      <c r="AC231" t="s">
        <v>846</v>
      </c>
      <c r="AD231" t="s">
        <v>847</v>
      </c>
      <c r="AE231" t="s">
        <v>848</v>
      </c>
      <c r="AF231">
        <v>1</v>
      </c>
      <c r="AG231">
        <v>452210</v>
      </c>
      <c r="AH231" t="s">
        <v>849</v>
      </c>
      <c r="AI231" t="s">
        <v>850</v>
      </c>
      <c r="AJ231" t="s">
        <v>851</v>
      </c>
      <c r="AK231" t="s">
        <v>373</v>
      </c>
      <c r="AL231" t="s">
        <v>5545</v>
      </c>
      <c r="AM231" t="s">
        <v>1480</v>
      </c>
      <c r="AN231" t="s">
        <v>854</v>
      </c>
      <c r="AO231">
        <v>36805</v>
      </c>
      <c r="AP231">
        <v>931</v>
      </c>
      <c r="AQ231" t="s">
        <v>855</v>
      </c>
      <c r="AR231">
        <v>66116986</v>
      </c>
      <c r="AS231" t="s">
        <v>856</v>
      </c>
      <c r="AU231" t="s">
        <v>5546</v>
      </c>
      <c r="AV231" t="s">
        <v>5547</v>
      </c>
      <c r="AX231" t="s">
        <v>913</v>
      </c>
      <c r="AY231" t="s">
        <v>861</v>
      </c>
      <c r="AZ231" t="s">
        <v>373</v>
      </c>
      <c r="BA231" t="s">
        <v>374</v>
      </c>
      <c r="BB231">
        <v>0</v>
      </c>
      <c r="BC231">
        <v>1</v>
      </c>
      <c r="BD231">
        <v>0</v>
      </c>
      <c r="BE231" t="s">
        <v>5539</v>
      </c>
      <c r="BF231">
        <v>0</v>
      </c>
      <c r="BG231">
        <v>0</v>
      </c>
      <c r="BH231" t="s">
        <v>862</v>
      </c>
      <c r="BI231">
        <v>0</v>
      </c>
      <c r="BJ231" t="s">
        <v>862</v>
      </c>
      <c r="BK231">
        <v>1</v>
      </c>
      <c r="BL231">
        <v>1</v>
      </c>
      <c r="BM231">
        <v>0</v>
      </c>
      <c r="BN231" t="s">
        <v>596</v>
      </c>
      <c r="BO231">
        <v>153008240</v>
      </c>
      <c r="BP231" t="s">
        <v>5538</v>
      </c>
      <c r="BR231">
        <v>42793655</v>
      </c>
      <c r="BT231">
        <v>1</v>
      </c>
      <c r="BU231" t="s">
        <v>1151</v>
      </c>
      <c r="CI231">
        <v>11</v>
      </c>
      <c r="CJ231" t="s">
        <v>94</v>
      </c>
      <c r="CM231">
        <v>4010</v>
      </c>
      <c r="CO231">
        <v>7360</v>
      </c>
      <c r="CP231">
        <v>0.2833</v>
      </c>
      <c r="CQ231">
        <v>0.2833</v>
      </c>
      <c r="CR231">
        <v>0</v>
      </c>
      <c r="CS231">
        <v>0</v>
      </c>
      <c r="CT231" t="s">
        <v>5548</v>
      </c>
      <c r="CU231" t="s">
        <v>5549</v>
      </c>
      <c r="CV231" t="s">
        <v>833</v>
      </c>
      <c r="CW231" t="s">
        <v>834</v>
      </c>
      <c r="CX231" t="s">
        <v>5539</v>
      </c>
      <c r="CY231">
        <v>1</v>
      </c>
      <c r="CZ231">
        <v>1</v>
      </c>
      <c r="DA231" t="s">
        <v>833</v>
      </c>
      <c r="DB231" t="s">
        <v>865</v>
      </c>
      <c r="DC231">
        <v>44720</v>
      </c>
      <c r="DD231">
        <v>99.0167</v>
      </c>
      <c r="DE231" t="s">
        <v>866</v>
      </c>
      <c r="DG231" t="s">
        <v>867</v>
      </c>
      <c r="DH231" t="s">
        <v>851</v>
      </c>
      <c r="DI231" t="s">
        <v>5259</v>
      </c>
      <c r="DK231" t="s">
        <v>1155</v>
      </c>
      <c r="DL231" t="s">
        <v>869</v>
      </c>
      <c r="DM231">
        <v>0</v>
      </c>
      <c r="DN231">
        <v>0</v>
      </c>
      <c r="DO231">
        <v>11</v>
      </c>
      <c r="DP231" t="s">
        <v>1010</v>
      </c>
      <c r="DQ231">
        <v>16</v>
      </c>
      <c r="DR231">
        <v>5941</v>
      </c>
      <c r="DS231">
        <v>11701</v>
      </c>
      <c r="DT231">
        <v>4.2332999999999998</v>
      </c>
      <c r="DU231">
        <v>4</v>
      </c>
      <c r="DV231">
        <v>1</v>
      </c>
      <c r="DW231">
        <v>2</v>
      </c>
      <c r="DX231" t="s">
        <v>596</v>
      </c>
      <c r="DY231" t="s">
        <v>5539</v>
      </c>
      <c r="DZ231">
        <v>0</v>
      </c>
      <c r="EA231">
        <v>0</v>
      </c>
      <c r="EB231">
        <v>1</v>
      </c>
      <c r="EC231">
        <v>0</v>
      </c>
      <c r="ED231">
        <v>0</v>
      </c>
      <c r="EE231">
        <v>1</v>
      </c>
      <c r="EF231" t="s">
        <v>920</v>
      </c>
      <c r="EG231" t="s">
        <v>595</v>
      </c>
      <c r="EH231" t="s">
        <v>921</v>
      </c>
      <c r="EI231" t="s">
        <v>921</v>
      </c>
      <c r="EJ231" t="s">
        <v>226</v>
      </c>
      <c r="EK231">
        <v>9090</v>
      </c>
      <c r="EL231">
        <v>1</v>
      </c>
      <c r="EM231" t="s">
        <v>1157</v>
      </c>
      <c r="EN231">
        <v>0</v>
      </c>
      <c r="EO231">
        <v>195.01666660000001</v>
      </c>
      <c r="EP231">
        <v>99991120</v>
      </c>
      <c r="EQ231" t="s">
        <v>874</v>
      </c>
      <c r="ER231" t="s">
        <v>875</v>
      </c>
      <c r="ES231" t="s">
        <v>876</v>
      </c>
      <c r="ET231" t="s">
        <v>877</v>
      </c>
      <c r="EU231" t="s">
        <v>877</v>
      </c>
      <c r="EV231" t="s">
        <v>920</v>
      </c>
      <c r="EX231" t="s">
        <v>953</v>
      </c>
      <c r="EY231" t="s">
        <v>986</v>
      </c>
      <c r="EZ231" t="s">
        <v>1236</v>
      </c>
      <c r="FA231" t="s">
        <v>956</v>
      </c>
      <c r="FB231">
        <v>1</v>
      </c>
      <c r="FC231">
        <v>2</v>
      </c>
      <c r="FD231" s="41">
        <v>45920</v>
      </c>
      <c r="FE231" t="s">
        <v>880</v>
      </c>
      <c r="FF231">
        <v>14</v>
      </c>
      <c r="FG231" t="s">
        <v>5550</v>
      </c>
      <c r="FH231" t="s">
        <v>5551</v>
      </c>
      <c r="FI231">
        <v>1</v>
      </c>
      <c r="FJ231" t="s">
        <v>5552</v>
      </c>
      <c r="FK231" t="s">
        <v>5553</v>
      </c>
      <c r="FL231">
        <v>1</v>
      </c>
      <c r="FM231" t="s">
        <v>5554</v>
      </c>
      <c r="FN231" t="s">
        <v>5555</v>
      </c>
      <c r="FO231">
        <v>1</v>
      </c>
      <c r="FP231" t="s">
        <v>5556</v>
      </c>
      <c r="FQ231" t="s">
        <v>5549</v>
      </c>
      <c r="FR231">
        <v>1</v>
      </c>
      <c r="FS231" t="s">
        <v>1766</v>
      </c>
      <c r="FT231" t="s">
        <v>5557</v>
      </c>
      <c r="FU231">
        <v>1</v>
      </c>
      <c r="FV231" t="s">
        <v>2310</v>
      </c>
      <c r="FW231" t="s">
        <v>5558</v>
      </c>
      <c r="FX231">
        <v>1</v>
      </c>
      <c r="FY231" t="s">
        <v>890</v>
      </c>
      <c r="FZ231" t="s">
        <v>5559</v>
      </c>
      <c r="GA231" t="s">
        <v>5552</v>
      </c>
      <c r="GB231">
        <v>1</v>
      </c>
      <c r="GD231">
        <v>0</v>
      </c>
      <c r="GF231">
        <v>0</v>
      </c>
      <c r="GG231">
        <v>1</v>
      </c>
      <c r="GH231" t="s">
        <v>892</v>
      </c>
      <c r="GI231" t="s">
        <v>893</v>
      </c>
      <c r="GJ231" t="s">
        <v>5553</v>
      </c>
      <c r="GM231">
        <v>1</v>
      </c>
      <c r="GN231">
        <v>0</v>
      </c>
      <c r="GO231">
        <v>0</v>
      </c>
      <c r="GP231">
        <v>1</v>
      </c>
      <c r="GQ231">
        <v>1</v>
      </c>
      <c r="GR231">
        <v>0</v>
      </c>
      <c r="GS231">
        <v>1</v>
      </c>
      <c r="GT231">
        <v>0</v>
      </c>
      <c r="GU231">
        <v>1</v>
      </c>
      <c r="GV231">
        <v>0</v>
      </c>
      <c r="GW231">
        <v>1</v>
      </c>
      <c r="GX231">
        <v>0</v>
      </c>
      <c r="GY231">
        <v>1</v>
      </c>
      <c r="GZ231">
        <v>0</v>
      </c>
      <c r="HA231" t="s">
        <v>373</v>
      </c>
      <c r="HB231" t="s">
        <v>894</v>
      </c>
      <c r="HC231" t="s">
        <v>935</v>
      </c>
      <c r="HD231" t="s">
        <v>845</v>
      </c>
      <c r="HE231" t="s">
        <v>900</v>
      </c>
      <c r="HF231" t="s">
        <v>923</v>
      </c>
      <c r="HG231" t="s">
        <v>894</v>
      </c>
      <c r="HH231" t="s">
        <v>935</v>
      </c>
      <c r="HI231" t="s">
        <v>845</v>
      </c>
      <c r="HJ231" t="s">
        <v>900</v>
      </c>
      <c r="HK231" t="s">
        <v>922</v>
      </c>
      <c r="HL231" t="s">
        <v>1476</v>
      </c>
      <c r="HM231" t="s">
        <v>854</v>
      </c>
      <c r="HN231">
        <v>36805</v>
      </c>
      <c r="HO231">
        <v>1</v>
      </c>
      <c r="HP231" t="s">
        <v>226</v>
      </c>
      <c r="HQ231" t="s">
        <v>896</v>
      </c>
      <c r="HR231" t="s">
        <v>896</v>
      </c>
      <c r="HS231" t="s">
        <v>896</v>
      </c>
    </row>
    <row r="232" spans="1:227" x14ac:dyDescent="0.2">
      <c r="A232">
        <v>8702</v>
      </c>
      <c r="B232">
        <v>7525502691</v>
      </c>
      <c r="C232" t="s">
        <v>2265</v>
      </c>
      <c r="D232" t="s">
        <v>2266</v>
      </c>
      <c r="E232" t="s">
        <v>831</v>
      </c>
      <c r="F232">
        <v>0</v>
      </c>
      <c r="G232" t="s">
        <v>5560</v>
      </c>
      <c r="H232" t="s">
        <v>5560</v>
      </c>
      <c r="I232">
        <v>0</v>
      </c>
      <c r="J232" t="s">
        <v>833</v>
      </c>
      <c r="K232" t="s">
        <v>834</v>
      </c>
      <c r="L232">
        <v>153406551</v>
      </c>
      <c r="M232" t="s">
        <v>5561</v>
      </c>
      <c r="N232" t="s">
        <v>836</v>
      </c>
      <c r="O232" t="s">
        <v>837</v>
      </c>
      <c r="P232" t="s">
        <v>2269</v>
      </c>
      <c r="Q232" t="s">
        <v>5562</v>
      </c>
      <c r="R232" t="s">
        <v>5563</v>
      </c>
      <c r="S232" t="s">
        <v>5564</v>
      </c>
      <c r="T232">
        <v>41477092613</v>
      </c>
      <c r="V232" t="s">
        <v>165</v>
      </c>
      <c r="W232" s="41">
        <v>45913</v>
      </c>
      <c r="X232" t="s">
        <v>5565</v>
      </c>
      <c r="Y232" t="s">
        <v>5566</v>
      </c>
      <c r="AA232">
        <v>0</v>
      </c>
      <c r="AB232" t="s">
        <v>845</v>
      </c>
      <c r="AC232" t="s">
        <v>846</v>
      </c>
      <c r="AD232" t="s">
        <v>847</v>
      </c>
      <c r="AE232" t="s">
        <v>848</v>
      </c>
      <c r="AF232">
        <v>1</v>
      </c>
      <c r="AG232">
        <v>452210</v>
      </c>
      <c r="AH232" t="s">
        <v>849</v>
      </c>
      <c r="AI232" t="s">
        <v>850</v>
      </c>
      <c r="AJ232" t="s">
        <v>851</v>
      </c>
      <c r="AK232" t="s">
        <v>253</v>
      </c>
      <c r="AL232" t="s">
        <v>1257</v>
      </c>
      <c r="AM232" t="s">
        <v>1499</v>
      </c>
      <c r="AN232" t="s">
        <v>854</v>
      </c>
      <c r="AO232">
        <v>36805</v>
      </c>
      <c r="AP232">
        <v>544</v>
      </c>
      <c r="AQ232" t="s">
        <v>855</v>
      </c>
      <c r="AR232">
        <v>66112668</v>
      </c>
      <c r="AS232" t="s">
        <v>856</v>
      </c>
      <c r="AU232" t="s">
        <v>5567</v>
      </c>
      <c r="AV232" t="s">
        <v>5568</v>
      </c>
      <c r="AX232" t="s">
        <v>913</v>
      </c>
      <c r="AY232" t="s">
        <v>861</v>
      </c>
      <c r="AZ232" t="s">
        <v>253</v>
      </c>
      <c r="BA232" t="s">
        <v>254</v>
      </c>
      <c r="BB232">
        <v>1</v>
      </c>
      <c r="BC232">
        <v>0</v>
      </c>
      <c r="BD232">
        <v>0</v>
      </c>
      <c r="BE232" t="s">
        <v>5561</v>
      </c>
      <c r="BF232">
        <v>0</v>
      </c>
      <c r="BG232">
        <v>0</v>
      </c>
      <c r="BH232" t="s">
        <v>862</v>
      </c>
      <c r="BI232">
        <v>0</v>
      </c>
      <c r="BJ232" t="s">
        <v>862</v>
      </c>
      <c r="BK232">
        <v>1</v>
      </c>
      <c r="BL232">
        <v>1</v>
      </c>
      <c r="BM232">
        <v>0</v>
      </c>
      <c r="BN232" t="s">
        <v>596</v>
      </c>
      <c r="BO232">
        <v>153406551</v>
      </c>
      <c r="BP232" t="s">
        <v>5560</v>
      </c>
      <c r="BQ232">
        <v>44.748242599999998</v>
      </c>
      <c r="BR232">
        <v>42791459</v>
      </c>
      <c r="BS232">
        <v>-93.382417799999999</v>
      </c>
      <c r="BT232">
        <v>0</v>
      </c>
      <c r="CM232">
        <v>4010</v>
      </c>
      <c r="CO232">
        <v>7360</v>
      </c>
      <c r="CP232">
        <v>0.18329999999999999</v>
      </c>
      <c r="CQ232">
        <v>0.18329999999999999</v>
      </c>
      <c r="CR232">
        <v>0</v>
      </c>
      <c r="CS232">
        <v>0</v>
      </c>
      <c r="CT232" t="s">
        <v>5568</v>
      </c>
      <c r="CU232" t="s">
        <v>5567</v>
      </c>
      <c r="CV232" t="s">
        <v>833</v>
      </c>
      <c r="CW232" t="s">
        <v>834</v>
      </c>
      <c r="CX232" t="s">
        <v>5561</v>
      </c>
      <c r="CY232">
        <v>1</v>
      </c>
      <c r="CZ232">
        <v>1</v>
      </c>
      <c r="DA232" t="s">
        <v>833</v>
      </c>
      <c r="DB232" t="s">
        <v>865</v>
      </c>
      <c r="DC232">
        <v>55378</v>
      </c>
      <c r="DD232">
        <v>17.899999999999999</v>
      </c>
      <c r="DE232" t="s">
        <v>866</v>
      </c>
      <c r="DG232" t="s">
        <v>867</v>
      </c>
      <c r="DH232" t="s">
        <v>851</v>
      </c>
      <c r="DL232" t="s">
        <v>869</v>
      </c>
      <c r="DM232">
        <v>0</v>
      </c>
      <c r="DN232">
        <v>0</v>
      </c>
      <c r="DO232">
        <v>11</v>
      </c>
      <c r="DP232" t="s">
        <v>1010</v>
      </c>
      <c r="DQ232">
        <v>12</v>
      </c>
      <c r="DR232">
        <v>1074</v>
      </c>
      <c r="DS232">
        <v>1794</v>
      </c>
      <c r="DT232">
        <v>6.5</v>
      </c>
      <c r="DU232">
        <v>4</v>
      </c>
      <c r="DW232">
        <v>1</v>
      </c>
      <c r="DX232" t="s">
        <v>596</v>
      </c>
      <c r="DY232" t="s">
        <v>5561</v>
      </c>
      <c r="DZ232">
        <v>0</v>
      </c>
      <c r="EA232">
        <v>0</v>
      </c>
      <c r="EB232">
        <v>1</v>
      </c>
      <c r="EC232">
        <v>0</v>
      </c>
      <c r="ED232">
        <v>0</v>
      </c>
      <c r="EE232">
        <v>1</v>
      </c>
      <c r="EF232" t="s">
        <v>920</v>
      </c>
      <c r="EG232" t="s">
        <v>595</v>
      </c>
      <c r="EH232" t="s">
        <v>1036</v>
      </c>
      <c r="EI232" t="s">
        <v>1036</v>
      </c>
      <c r="EJ232" t="s">
        <v>159</v>
      </c>
      <c r="EK232">
        <v>9090</v>
      </c>
      <c r="EL232">
        <v>1</v>
      </c>
      <c r="EM232" t="s">
        <v>873</v>
      </c>
      <c r="EN232">
        <v>0</v>
      </c>
      <c r="EO232">
        <v>29.9</v>
      </c>
      <c r="EP232">
        <v>99991120</v>
      </c>
      <c r="EQ232" t="s">
        <v>874</v>
      </c>
      <c r="ER232" t="s">
        <v>875</v>
      </c>
      <c r="ES232" t="s">
        <v>876</v>
      </c>
      <c r="ET232" t="s">
        <v>877</v>
      </c>
      <c r="EU232" t="s">
        <v>877</v>
      </c>
      <c r="EV232" t="s">
        <v>920</v>
      </c>
      <c r="EX232" t="s">
        <v>836</v>
      </c>
      <c r="EY232" t="s">
        <v>1121</v>
      </c>
      <c r="EZ232" t="s">
        <v>1122</v>
      </c>
      <c r="FA232" t="s">
        <v>956</v>
      </c>
      <c r="FB232">
        <v>1</v>
      </c>
      <c r="FC232">
        <v>2</v>
      </c>
      <c r="FD232" s="41">
        <v>45913</v>
      </c>
      <c r="FE232" t="s">
        <v>880</v>
      </c>
      <c r="FF232">
        <v>7</v>
      </c>
      <c r="FG232" t="s">
        <v>5569</v>
      </c>
      <c r="FH232" t="s">
        <v>5570</v>
      </c>
      <c r="FI232">
        <v>1</v>
      </c>
      <c r="FJ232" t="s">
        <v>5571</v>
      </c>
      <c r="FK232" t="s">
        <v>5572</v>
      </c>
      <c r="FL232">
        <v>1</v>
      </c>
      <c r="FM232" t="s">
        <v>5573</v>
      </c>
      <c r="FN232" t="s">
        <v>5574</v>
      </c>
      <c r="FO232">
        <v>1</v>
      </c>
      <c r="FP232" t="s">
        <v>5575</v>
      </c>
      <c r="FQ232" t="s">
        <v>5567</v>
      </c>
      <c r="FR232">
        <v>1</v>
      </c>
      <c r="FS232" t="s">
        <v>1273</v>
      </c>
      <c r="FT232" t="s">
        <v>5576</v>
      </c>
      <c r="FU232">
        <v>1</v>
      </c>
      <c r="FV232" t="s">
        <v>5577</v>
      </c>
      <c r="FW232" t="s">
        <v>5578</v>
      </c>
      <c r="FX232">
        <v>1</v>
      </c>
      <c r="FY232" t="s">
        <v>890</v>
      </c>
      <c r="FZ232" t="s">
        <v>5579</v>
      </c>
      <c r="GA232" t="s">
        <v>5571</v>
      </c>
      <c r="GB232">
        <v>1</v>
      </c>
      <c r="GD232">
        <v>0</v>
      </c>
      <c r="GF232">
        <v>0</v>
      </c>
      <c r="GG232">
        <v>1</v>
      </c>
      <c r="GH232" t="s">
        <v>892</v>
      </c>
      <c r="GI232" t="s">
        <v>893</v>
      </c>
      <c r="GJ232" t="s">
        <v>5572</v>
      </c>
      <c r="GM232">
        <v>1</v>
      </c>
      <c r="GN232">
        <v>0</v>
      </c>
      <c r="GO232">
        <v>0</v>
      </c>
      <c r="GP232">
        <v>1</v>
      </c>
      <c r="GQ232">
        <v>1</v>
      </c>
      <c r="GR232">
        <v>0</v>
      </c>
      <c r="GS232">
        <v>1</v>
      </c>
      <c r="GT232">
        <v>0</v>
      </c>
      <c r="GU232">
        <v>1</v>
      </c>
      <c r="GV232">
        <v>0</v>
      </c>
      <c r="GW232">
        <v>1</v>
      </c>
      <c r="GX232">
        <v>0</v>
      </c>
      <c r="GY232">
        <v>1</v>
      </c>
      <c r="GZ232">
        <v>0</v>
      </c>
      <c r="HA232" t="s">
        <v>253</v>
      </c>
      <c r="HB232" t="s">
        <v>894</v>
      </c>
      <c r="HC232" t="s">
        <v>895</v>
      </c>
      <c r="HD232" t="s">
        <v>845</v>
      </c>
      <c r="HE232" t="s">
        <v>836</v>
      </c>
      <c r="HF232" t="s">
        <v>873</v>
      </c>
      <c r="HG232" t="s">
        <v>894</v>
      </c>
      <c r="HH232" t="s">
        <v>895</v>
      </c>
      <c r="HI232" t="s">
        <v>845</v>
      </c>
      <c r="HJ232" t="s">
        <v>836</v>
      </c>
      <c r="HK232" t="s">
        <v>873</v>
      </c>
      <c r="HL232" t="s">
        <v>165</v>
      </c>
      <c r="HM232" t="s">
        <v>854</v>
      </c>
      <c r="HN232">
        <v>36805</v>
      </c>
      <c r="HP232" t="s">
        <v>159</v>
      </c>
      <c r="HQ232" t="s">
        <v>896</v>
      </c>
      <c r="HR232" t="s">
        <v>896</v>
      </c>
      <c r="HS232" t="s">
        <v>896</v>
      </c>
    </row>
    <row r="233" spans="1:227" x14ac:dyDescent="0.2">
      <c r="A233">
        <v>8702</v>
      </c>
      <c r="B233">
        <v>7616704262</v>
      </c>
      <c r="C233" t="s">
        <v>829</v>
      </c>
      <c r="D233" t="s">
        <v>830</v>
      </c>
      <c r="E233" t="s">
        <v>831</v>
      </c>
      <c r="F233">
        <v>0</v>
      </c>
      <c r="G233" t="s">
        <v>5580</v>
      </c>
      <c r="H233" t="s">
        <v>5580</v>
      </c>
      <c r="I233">
        <v>0</v>
      </c>
      <c r="J233" t="s">
        <v>833</v>
      </c>
      <c r="K233" t="s">
        <v>834</v>
      </c>
      <c r="L233">
        <v>153517084</v>
      </c>
      <c r="M233" t="s">
        <v>5581</v>
      </c>
      <c r="N233" t="s">
        <v>836</v>
      </c>
      <c r="O233" t="s">
        <v>837</v>
      </c>
      <c r="P233" t="s">
        <v>838</v>
      </c>
      <c r="Q233" t="s">
        <v>901</v>
      </c>
      <c r="R233" t="s">
        <v>5582</v>
      </c>
      <c r="S233" t="s">
        <v>5583</v>
      </c>
      <c r="T233">
        <v>41477047363</v>
      </c>
      <c r="V233" t="s">
        <v>180</v>
      </c>
      <c r="W233" s="41">
        <v>46189</v>
      </c>
      <c r="X233" t="s">
        <v>5584</v>
      </c>
      <c r="Y233" t="s">
        <v>5585</v>
      </c>
      <c r="AA233">
        <v>0</v>
      </c>
      <c r="AB233" t="s">
        <v>845</v>
      </c>
      <c r="AC233" t="s">
        <v>846</v>
      </c>
      <c r="AD233" t="s">
        <v>907</v>
      </c>
      <c r="AE233" t="s">
        <v>908</v>
      </c>
      <c r="AF233">
        <v>1</v>
      </c>
      <c r="AG233">
        <v>452210</v>
      </c>
      <c r="AH233" t="s">
        <v>849</v>
      </c>
      <c r="AI233" t="s">
        <v>850</v>
      </c>
      <c r="AJ233" t="s">
        <v>851</v>
      </c>
      <c r="AK233" t="s">
        <v>261</v>
      </c>
      <c r="AL233" t="s">
        <v>1363</v>
      </c>
      <c r="AM233" t="s">
        <v>1033</v>
      </c>
      <c r="AN233" t="s">
        <v>854</v>
      </c>
      <c r="AO233">
        <v>36805</v>
      </c>
      <c r="AP233">
        <v>631</v>
      </c>
      <c r="AQ233" t="s">
        <v>855</v>
      </c>
      <c r="AR233">
        <v>66510567</v>
      </c>
      <c r="AS233" t="s">
        <v>856</v>
      </c>
      <c r="AU233" t="s">
        <v>5586</v>
      </c>
      <c r="AV233" t="s">
        <v>5587</v>
      </c>
      <c r="AX233" t="s">
        <v>913</v>
      </c>
      <c r="AY233" t="s">
        <v>861</v>
      </c>
      <c r="AZ233" t="s">
        <v>261</v>
      </c>
      <c r="BA233" t="s">
        <v>262</v>
      </c>
      <c r="BB233">
        <v>0</v>
      </c>
      <c r="BC233">
        <v>1</v>
      </c>
      <c r="BD233">
        <v>0</v>
      </c>
      <c r="BE233" t="s">
        <v>5581</v>
      </c>
      <c r="BF233">
        <v>0</v>
      </c>
      <c r="BG233">
        <v>0</v>
      </c>
      <c r="BH233" t="s">
        <v>862</v>
      </c>
      <c r="BI233">
        <v>0</v>
      </c>
      <c r="BJ233" t="s">
        <v>862</v>
      </c>
      <c r="BK233">
        <v>1</v>
      </c>
      <c r="BL233">
        <v>1</v>
      </c>
      <c r="BM233">
        <v>0</v>
      </c>
      <c r="BN233" t="s">
        <v>596</v>
      </c>
      <c r="BO233">
        <v>153517084</v>
      </c>
      <c r="BP233" t="s">
        <v>5580</v>
      </c>
      <c r="BR233">
        <v>42791743</v>
      </c>
      <c r="BT233">
        <v>2</v>
      </c>
      <c r="BU233" t="s">
        <v>1314</v>
      </c>
      <c r="BY233">
        <v>16</v>
      </c>
      <c r="CA233">
        <v>12</v>
      </c>
      <c r="CE233">
        <v>1</v>
      </c>
      <c r="CI233">
        <v>11</v>
      </c>
      <c r="CJ233" t="s">
        <v>94</v>
      </c>
      <c r="CM233">
        <v>4010</v>
      </c>
      <c r="CO233">
        <v>7360</v>
      </c>
      <c r="CP233">
        <v>1.2833000000000001</v>
      </c>
      <c r="CQ233">
        <v>1.2833000000000001</v>
      </c>
      <c r="CR233">
        <v>0.98329999999999995</v>
      </c>
      <c r="CS233">
        <v>0</v>
      </c>
      <c r="CT233" t="s">
        <v>5587</v>
      </c>
      <c r="CU233" t="s">
        <v>5586</v>
      </c>
      <c r="CV233" t="s">
        <v>833</v>
      </c>
      <c r="CW233" t="s">
        <v>834</v>
      </c>
      <c r="CX233" t="s">
        <v>5581</v>
      </c>
      <c r="CY233">
        <v>1</v>
      </c>
      <c r="CZ233">
        <v>1</v>
      </c>
      <c r="DA233" t="s">
        <v>833</v>
      </c>
      <c r="DB233" t="s">
        <v>865</v>
      </c>
      <c r="DC233">
        <v>62208</v>
      </c>
      <c r="DD233">
        <v>12</v>
      </c>
      <c r="DE233" t="s">
        <v>866</v>
      </c>
      <c r="DG233" t="s">
        <v>867</v>
      </c>
      <c r="DH233" t="s">
        <v>851</v>
      </c>
      <c r="DI233" t="s">
        <v>1525</v>
      </c>
      <c r="DK233" t="s">
        <v>918</v>
      </c>
      <c r="DL233" t="s">
        <v>869</v>
      </c>
      <c r="DM233">
        <v>0</v>
      </c>
      <c r="DN233">
        <v>0</v>
      </c>
      <c r="DO233">
        <v>11</v>
      </c>
      <c r="DP233" t="s">
        <v>1010</v>
      </c>
      <c r="DQ233">
        <v>16</v>
      </c>
      <c r="DR233">
        <v>720</v>
      </c>
      <c r="DS233">
        <v>854</v>
      </c>
      <c r="DT233">
        <v>8.65</v>
      </c>
      <c r="DU233">
        <v>4</v>
      </c>
      <c r="DV233">
        <v>1</v>
      </c>
      <c r="DW233">
        <v>2</v>
      </c>
      <c r="DX233" t="s">
        <v>596</v>
      </c>
      <c r="DY233" t="s">
        <v>5581</v>
      </c>
      <c r="DZ233">
        <v>1</v>
      </c>
      <c r="EA233">
        <v>1</v>
      </c>
      <c r="EB233">
        <v>1</v>
      </c>
      <c r="EC233">
        <v>0</v>
      </c>
      <c r="ED233">
        <v>0</v>
      </c>
      <c r="EE233">
        <v>1</v>
      </c>
      <c r="EF233" t="s">
        <v>920</v>
      </c>
      <c r="EG233" t="s">
        <v>595</v>
      </c>
      <c r="EH233" t="s">
        <v>921</v>
      </c>
      <c r="EI233" t="s">
        <v>921</v>
      </c>
      <c r="EJ233" t="s">
        <v>181</v>
      </c>
      <c r="EK233">
        <v>9090</v>
      </c>
      <c r="EL233">
        <v>1</v>
      </c>
      <c r="EM233" t="s">
        <v>1037</v>
      </c>
      <c r="EN233">
        <v>0.98329999999999995</v>
      </c>
      <c r="EO233">
        <v>14.2333333</v>
      </c>
      <c r="EP233">
        <v>99991120</v>
      </c>
      <c r="EQ233" t="s">
        <v>874</v>
      </c>
      <c r="ER233" t="s">
        <v>875</v>
      </c>
      <c r="ES233" t="s">
        <v>876</v>
      </c>
      <c r="ET233" t="s">
        <v>877</v>
      </c>
      <c r="EU233" t="s">
        <v>877</v>
      </c>
      <c r="EV233" t="s">
        <v>920</v>
      </c>
      <c r="EX233" t="s">
        <v>836</v>
      </c>
      <c r="EY233" t="s">
        <v>1051</v>
      </c>
      <c r="EZ233" t="s">
        <v>1038</v>
      </c>
      <c r="FA233" t="s">
        <v>925</v>
      </c>
      <c r="FB233">
        <v>1</v>
      </c>
      <c r="FC233">
        <v>2</v>
      </c>
      <c r="FD233" s="41">
        <v>46193</v>
      </c>
      <c r="FE233" t="s">
        <v>1315</v>
      </c>
      <c r="FF233">
        <v>13</v>
      </c>
      <c r="FG233" t="s">
        <v>5588</v>
      </c>
      <c r="FH233" t="s">
        <v>5589</v>
      </c>
      <c r="FI233">
        <v>1</v>
      </c>
      <c r="FJ233" t="s">
        <v>5590</v>
      </c>
      <c r="FK233" t="s">
        <v>5589</v>
      </c>
      <c r="FL233">
        <v>1</v>
      </c>
      <c r="FM233" t="s">
        <v>5591</v>
      </c>
      <c r="FN233" t="s">
        <v>5592</v>
      </c>
      <c r="FO233">
        <v>1</v>
      </c>
      <c r="FP233" t="s">
        <v>5593</v>
      </c>
      <c r="FQ233" t="s">
        <v>5586</v>
      </c>
      <c r="FR233">
        <v>1</v>
      </c>
      <c r="FS233" t="s">
        <v>3934</v>
      </c>
      <c r="FT233" t="s">
        <v>5594</v>
      </c>
      <c r="FU233">
        <v>1</v>
      </c>
      <c r="FV233" t="s">
        <v>3936</v>
      </c>
      <c r="FW233" t="s">
        <v>5595</v>
      </c>
      <c r="FX233">
        <v>1</v>
      </c>
      <c r="FY233" t="s">
        <v>890</v>
      </c>
      <c r="FZ233" t="s">
        <v>5596</v>
      </c>
      <c r="GA233" t="s">
        <v>5590</v>
      </c>
      <c r="GB233">
        <v>1</v>
      </c>
      <c r="GD233">
        <v>0</v>
      </c>
      <c r="GF233">
        <v>0</v>
      </c>
      <c r="GG233">
        <v>1</v>
      </c>
      <c r="GH233" t="s">
        <v>892</v>
      </c>
      <c r="GI233" t="s">
        <v>893</v>
      </c>
      <c r="GJ233" t="s">
        <v>5589</v>
      </c>
      <c r="GM233">
        <v>1</v>
      </c>
      <c r="GN233">
        <v>0</v>
      </c>
      <c r="GO233">
        <v>0</v>
      </c>
      <c r="GP233">
        <v>1</v>
      </c>
      <c r="GQ233">
        <v>1</v>
      </c>
      <c r="GR233">
        <v>0</v>
      </c>
      <c r="GS233">
        <v>1</v>
      </c>
      <c r="GT233">
        <v>0</v>
      </c>
      <c r="GU233">
        <v>1</v>
      </c>
      <c r="GV233">
        <v>0</v>
      </c>
      <c r="GW233">
        <v>1</v>
      </c>
      <c r="GX233">
        <v>0</v>
      </c>
      <c r="GY233">
        <v>1</v>
      </c>
      <c r="GZ233">
        <v>0</v>
      </c>
      <c r="HA233" t="s">
        <v>261</v>
      </c>
      <c r="HB233" t="s">
        <v>894</v>
      </c>
      <c r="HC233" t="s">
        <v>895</v>
      </c>
      <c r="HD233" t="s">
        <v>845</v>
      </c>
      <c r="HE233" t="s">
        <v>836</v>
      </c>
      <c r="HF233" t="s">
        <v>1051</v>
      </c>
      <c r="HG233" t="s">
        <v>894</v>
      </c>
      <c r="HH233" t="s">
        <v>895</v>
      </c>
      <c r="HI233" t="s">
        <v>845</v>
      </c>
      <c r="HJ233" t="s">
        <v>836</v>
      </c>
      <c r="HK233" t="s">
        <v>1037</v>
      </c>
      <c r="HL233" t="s">
        <v>180</v>
      </c>
      <c r="HM233" t="s">
        <v>854</v>
      </c>
      <c r="HN233">
        <v>36805</v>
      </c>
      <c r="HP233" t="s">
        <v>181</v>
      </c>
      <c r="HQ233" t="s">
        <v>896</v>
      </c>
      <c r="HR233" t="s">
        <v>896</v>
      </c>
      <c r="HS233" t="s">
        <v>896</v>
      </c>
    </row>
    <row r="234" spans="1:227" x14ac:dyDescent="0.2">
      <c r="A234">
        <v>8702</v>
      </c>
      <c r="B234">
        <v>7613900156</v>
      </c>
      <c r="C234" t="s">
        <v>829</v>
      </c>
      <c r="D234" t="s">
        <v>830</v>
      </c>
      <c r="E234" t="s">
        <v>831</v>
      </c>
      <c r="F234">
        <v>1</v>
      </c>
      <c r="G234" t="s">
        <v>5597</v>
      </c>
      <c r="H234" t="s">
        <v>5597</v>
      </c>
      <c r="I234">
        <v>0</v>
      </c>
      <c r="J234" t="s">
        <v>833</v>
      </c>
      <c r="K234" t="s">
        <v>834</v>
      </c>
      <c r="L234">
        <v>156046177</v>
      </c>
      <c r="M234" t="s">
        <v>1729</v>
      </c>
      <c r="N234" t="s">
        <v>836</v>
      </c>
      <c r="O234" t="s">
        <v>837</v>
      </c>
      <c r="P234" t="s">
        <v>838</v>
      </c>
      <c r="Q234" t="s">
        <v>901</v>
      </c>
      <c r="R234" t="s">
        <v>5598</v>
      </c>
      <c r="S234" t="s">
        <v>5599</v>
      </c>
      <c r="T234">
        <v>41477047363</v>
      </c>
      <c r="V234" t="s">
        <v>1732</v>
      </c>
      <c r="W234" s="41">
        <v>46161</v>
      </c>
      <c r="X234" t="s">
        <v>5600</v>
      </c>
      <c r="Y234" t="s">
        <v>5601</v>
      </c>
      <c r="AA234">
        <v>0</v>
      </c>
      <c r="AB234" t="s">
        <v>845</v>
      </c>
      <c r="AC234" t="s">
        <v>846</v>
      </c>
      <c r="AD234" t="s">
        <v>907</v>
      </c>
      <c r="AE234" t="s">
        <v>908</v>
      </c>
      <c r="AF234">
        <v>1</v>
      </c>
      <c r="AG234">
        <v>452210</v>
      </c>
      <c r="AH234" t="s">
        <v>849</v>
      </c>
      <c r="AI234" t="s">
        <v>850</v>
      </c>
      <c r="AJ234" t="s">
        <v>851</v>
      </c>
      <c r="AK234" t="s">
        <v>261</v>
      </c>
      <c r="AL234" t="s">
        <v>1363</v>
      </c>
      <c r="AM234" t="s">
        <v>1736</v>
      </c>
      <c r="AN234" t="s">
        <v>854</v>
      </c>
      <c r="AO234">
        <v>36805</v>
      </c>
      <c r="AP234">
        <v>494</v>
      </c>
      <c r="AQ234" t="s">
        <v>855</v>
      </c>
      <c r="AR234">
        <v>66469990</v>
      </c>
      <c r="AS234" t="s">
        <v>856</v>
      </c>
      <c r="AU234" t="s">
        <v>5602</v>
      </c>
      <c r="AV234" t="s">
        <v>5603</v>
      </c>
      <c r="AX234" t="s">
        <v>913</v>
      </c>
      <c r="AY234" t="s">
        <v>861</v>
      </c>
      <c r="AZ234" t="s">
        <v>261</v>
      </c>
      <c r="BA234" t="s">
        <v>262</v>
      </c>
      <c r="BB234">
        <v>0</v>
      </c>
      <c r="BC234">
        <v>0</v>
      </c>
      <c r="BD234">
        <v>0</v>
      </c>
      <c r="BE234" t="s">
        <v>1729</v>
      </c>
      <c r="BF234">
        <v>0</v>
      </c>
      <c r="BG234">
        <v>0</v>
      </c>
      <c r="BH234" t="s">
        <v>862</v>
      </c>
      <c r="BI234">
        <v>0</v>
      </c>
      <c r="BJ234" t="s">
        <v>862</v>
      </c>
      <c r="BK234">
        <v>1</v>
      </c>
      <c r="BL234">
        <v>1</v>
      </c>
      <c r="BM234">
        <v>0</v>
      </c>
      <c r="BN234" t="s">
        <v>596</v>
      </c>
      <c r="BO234">
        <v>156046177</v>
      </c>
      <c r="BP234" t="s">
        <v>5597</v>
      </c>
      <c r="BR234">
        <v>42789059</v>
      </c>
      <c r="BT234">
        <v>2</v>
      </c>
      <c r="BU234" t="s">
        <v>1803</v>
      </c>
      <c r="BY234">
        <v>16</v>
      </c>
      <c r="CA234">
        <v>4</v>
      </c>
      <c r="CE234">
        <v>1</v>
      </c>
      <c r="CI234">
        <v>11</v>
      </c>
      <c r="CJ234" t="s">
        <v>94</v>
      </c>
      <c r="CM234">
        <v>4010</v>
      </c>
      <c r="CO234">
        <v>7360</v>
      </c>
      <c r="CP234">
        <v>1.2666999999999999</v>
      </c>
      <c r="CQ234">
        <v>1.2666999999999999</v>
      </c>
      <c r="CR234">
        <v>0.4667</v>
      </c>
      <c r="CS234">
        <v>1</v>
      </c>
      <c r="CT234" t="s">
        <v>5603</v>
      </c>
      <c r="CU234" t="s">
        <v>5602</v>
      </c>
      <c r="CV234" t="s">
        <v>833</v>
      </c>
      <c r="CW234" t="s">
        <v>834</v>
      </c>
      <c r="CX234" t="s">
        <v>1729</v>
      </c>
      <c r="CY234">
        <v>0</v>
      </c>
      <c r="CZ234">
        <v>0</v>
      </c>
      <c r="DA234" t="s">
        <v>833</v>
      </c>
      <c r="DB234" t="s">
        <v>865</v>
      </c>
      <c r="DC234">
        <v>63123</v>
      </c>
      <c r="DD234">
        <v>3.9832999999999998</v>
      </c>
      <c r="DE234" t="s">
        <v>866</v>
      </c>
      <c r="DG234" t="s">
        <v>867</v>
      </c>
      <c r="DH234" t="s">
        <v>851</v>
      </c>
      <c r="DI234" t="s">
        <v>984</v>
      </c>
      <c r="DK234" t="s">
        <v>918</v>
      </c>
      <c r="DL234" t="s">
        <v>869</v>
      </c>
      <c r="DM234">
        <v>0</v>
      </c>
      <c r="DN234">
        <v>0</v>
      </c>
      <c r="DO234">
        <v>3</v>
      </c>
      <c r="DP234" t="s">
        <v>919</v>
      </c>
      <c r="DQ234">
        <v>16</v>
      </c>
      <c r="DR234">
        <v>239</v>
      </c>
      <c r="DS234">
        <v>239</v>
      </c>
      <c r="DT234">
        <v>2.7166999999999999</v>
      </c>
      <c r="DU234">
        <v>4</v>
      </c>
      <c r="DV234">
        <v>1</v>
      </c>
      <c r="DW234">
        <v>2</v>
      </c>
      <c r="DX234" t="s">
        <v>596</v>
      </c>
      <c r="DY234" t="s">
        <v>1729</v>
      </c>
      <c r="DZ234">
        <v>1</v>
      </c>
      <c r="EA234">
        <v>1</v>
      </c>
      <c r="EB234">
        <v>1</v>
      </c>
      <c r="EC234">
        <v>1</v>
      </c>
      <c r="ED234">
        <v>1</v>
      </c>
      <c r="EE234">
        <v>1</v>
      </c>
      <c r="EF234" t="s">
        <v>920</v>
      </c>
      <c r="EG234" t="s">
        <v>595</v>
      </c>
      <c r="EH234" t="s">
        <v>921</v>
      </c>
      <c r="EI234" t="s">
        <v>921</v>
      </c>
      <c r="EJ234" t="s">
        <v>111</v>
      </c>
      <c r="EK234">
        <v>9090</v>
      </c>
      <c r="EL234">
        <v>0</v>
      </c>
      <c r="EM234" t="s">
        <v>1037</v>
      </c>
      <c r="EN234">
        <v>0.4667</v>
      </c>
      <c r="EO234">
        <v>3.9833333</v>
      </c>
      <c r="EP234">
        <v>99991120</v>
      </c>
      <c r="EQ234" t="s">
        <v>874</v>
      </c>
      <c r="ER234" t="s">
        <v>875</v>
      </c>
      <c r="ES234" t="s">
        <v>876</v>
      </c>
      <c r="ET234" t="s">
        <v>877</v>
      </c>
      <c r="EU234" t="s">
        <v>877</v>
      </c>
      <c r="EV234" t="s">
        <v>920</v>
      </c>
      <c r="EX234" t="s">
        <v>900</v>
      </c>
      <c r="EY234" t="s">
        <v>923</v>
      </c>
      <c r="EZ234" t="s">
        <v>1038</v>
      </c>
      <c r="FA234" t="s">
        <v>925</v>
      </c>
      <c r="FB234">
        <v>1</v>
      </c>
      <c r="FC234">
        <v>1</v>
      </c>
      <c r="FD234" s="41">
        <v>46165</v>
      </c>
      <c r="FE234" t="s">
        <v>1808</v>
      </c>
      <c r="FF234">
        <v>6</v>
      </c>
      <c r="FG234" t="s">
        <v>1376</v>
      </c>
      <c r="FH234" t="s">
        <v>5604</v>
      </c>
      <c r="FI234">
        <v>1</v>
      </c>
      <c r="FJ234" t="s">
        <v>5605</v>
      </c>
      <c r="FK234" t="s">
        <v>5606</v>
      </c>
      <c r="FL234">
        <v>1</v>
      </c>
      <c r="FM234" t="s">
        <v>5607</v>
      </c>
      <c r="FN234" t="s">
        <v>5608</v>
      </c>
      <c r="FO234">
        <v>1</v>
      </c>
      <c r="FP234" t="s">
        <v>5609</v>
      </c>
      <c r="FQ234" t="s">
        <v>5602</v>
      </c>
      <c r="FR234">
        <v>1</v>
      </c>
      <c r="FS234" t="s">
        <v>1100</v>
      </c>
      <c r="FT234" t="s">
        <v>5610</v>
      </c>
      <c r="FU234">
        <v>1</v>
      </c>
      <c r="FV234" t="s">
        <v>1102</v>
      </c>
      <c r="FW234" t="s">
        <v>5611</v>
      </c>
      <c r="FX234">
        <v>1</v>
      </c>
      <c r="FY234" t="s">
        <v>890</v>
      </c>
      <c r="FZ234" t="s">
        <v>5612</v>
      </c>
      <c r="GA234" t="s">
        <v>5605</v>
      </c>
      <c r="GB234">
        <v>1</v>
      </c>
      <c r="GD234">
        <v>0</v>
      </c>
      <c r="GF234">
        <v>0</v>
      </c>
      <c r="GG234">
        <v>1</v>
      </c>
      <c r="GH234" t="s">
        <v>892</v>
      </c>
      <c r="GI234" t="s">
        <v>893</v>
      </c>
      <c r="GJ234" t="s">
        <v>5606</v>
      </c>
      <c r="GM234">
        <v>1</v>
      </c>
      <c r="GN234">
        <v>1</v>
      </c>
      <c r="GO234">
        <v>0</v>
      </c>
      <c r="GP234">
        <v>1</v>
      </c>
      <c r="GQ234">
        <v>1</v>
      </c>
      <c r="GR234">
        <v>0</v>
      </c>
      <c r="GS234">
        <v>1</v>
      </c>
      <c r="GT234">
        <v>0</v>
      </c>
      <c r="GU234">
        <v>1</v>
      </c>
      <c r="GV234">
        <v>0</v>
      </c>
      <c r="GW234">
        <v>1</v>
      </c>
      <c r="GX234">
        <v>0</v>
      </c>
      <c r="GY234">
        <v>1</v>
      </c>
      <c r="GZ234">
        <v>0</v>
      </c>
      <c r="HA234" t="s">
        <v>261</v>
      </c>
      <c r="HB234" t="s">
        <v>894</v>
      </c>
      <c r="HC234" t="s">
        <v>895</v>
      </c>
      <c r="HD234" t="s">
        <v>845</v>
      </c>
      <c r="HE234" t="s">
        <v>836</v>
      </c>
      <c r="HF234" t="s">
        <v>1051</v>
      </c>
      <c r="HG234" t="s">
        <v>894</v>
      </c>
      <c r="HH234" t="s">
        <v>895</v>
      </c>
      <c r="HI234" t="s">
        <v>845</v>
      </c>
      <c r="HJ234" t="s">
        <v>836</v>
      </c>
      <c r="HK234" t="s">
        <v>1037</v>
      </c>
      <c r="HL234" t="s">
        <v>1732</v>
      </c>
      <c r="HM234" t="s">
        <v>854</v>
      </c>
      <c r="HN234">
        <v>36805</v>
      </c>
      <c r="HP234" t="s">
        <v>111</v>
      </c>
      <c r="HQ234" t="s">
        <v>896</v>
      </c>
      <c r="HR234" t="s">
        <v>896</v>
      </c>
      <c r="HS234" t="s">
        <v>896</v>
      </c>
    </row>
    <row r="235" spans="1:227" x14ac:dyDescent="0.2">
      <c r="A235">
        <v>8702</v>
      </c>
      <c r="B235">
        <v>7536305744</v>
      </c>
      <c r="C235" t="s">
        <v>829</v>
      </c>
      <c r="D235" t="s">
        <v>830</v>
      </c>
      <c r="E235" t="s">
        <v>897</v>
      </c>
      <c r="F235">
        <v>0</v>
      </c>
      <c r="G235" t="s">
        <v>5613</v>
      </c>
      <c r="H235" t="s">
        <v>5613</v>
      </c>
      <c r="I235">
        <v>0</v>
      </c>
      <c r="J235" t="s">
        <v>833</v>
      </c>
      <c r="K235" t="s">
        <v>834</v>
      </c>
      <c r="L235">
        <v>152946625</v>
      </c>
      <c r="M235" t="s">
        <v>5614</v>
      </c>
      <c r="N235" t="s">
        <v>900</v>
      </c>
      <c r="O235" t="s">
        <v>837</v>
      </c>
      <c r="P235" t="s">
        <v>838</v>
      </c>
      <c r="Q235" t="s">
        <v>1251</v>
      </c>
      <c r="R235" t="s">
        <v>5615</v>
      </c>
      <c r="S235" t="s">
        <v>5616</v>
      </c>
      <c r="T235">
        <v>41477056288</v>
      </c>
      <c r="V235" t="s">
        <v>144</v>
      </c>
      <c r="W235" s="41">
        <v>46020</v>
      </c>
      <c r="X235" t="s">
        <v>5617</v>
      </c>
      <c r="Y235" t="s">
        <v>5618</v>
      </c>
      <c r="Z235" t="s">
        <v>1144</v>
      </c>
      <c r="AA235">
        <v>0</v>
      </c>
      <c r="AB235" t="s">
        <v>845</v>
      </c>
      <c r="AC235" t="s">
        <v>846</v>
      </c>
      <c r="AD235" t="s">
        <v>847</v>
      </c>
      <c r="AE235" t="s">
        <v>848</v>
      </c>
      <c r="AF235">
        <v>1</v>
      </c>
      <c r="AG235">
        <v>452210</v>
      </c>
      <c r="AH235" t="s">
        <v>849</v>
      </c>
      <c r="AI235" t="s">
        <v>850</v>
      </c>
      <c r="AJ235" t="s">
        <v>851</v>
      </c>
      <c r="AK235" t="s">
        <v>279</v>
      </c>
      <c r="AL235" t="s">
        <v>1181</v>
      </c>
      <c r="AM235" t="s">
        <v>1926</v>
      </c>
      <c r="AN235" t="s">
        <v>854</v>
      </c>
      <c r="AO235">
        <v>36805</v>
      </c>
      <c r="AP235">
        <v>528</v>
      </c>
      <c r="AQ235" t="s">
        <v>855</v>
      </c>
      <c r="AR235">
        <v>66266827</v>
      </c>
      <c r="AS235" t="s">
        <v>856</v>
      </c>
      <c r="AU235" t="s">
        <v>5619</v>
      </c>
      <c r="AV235" t="s">
        <v>5620</v>
      </c>
      <c r="AW235" t="s">
        <v>1261</v>
      </c>
      <c r="AX235" t="s">
        <v>1262</v>
      </c>
      <c r="AY235" t="s">
        <v>861</v>
      </c>
      <c r="AZ235" t="s">
        <v>279</v>
      </c>
      <c r="BA235" t="s">
        <v>280</v>
      </c>
      <c r="BB235">
        <v>0</v>
      </c>
      <c r="BC235">
        <v>0</v>
      </c>
      <c r="BD235">
        <v>0</v>
      </c>
      <c r="BE235" t="s">
        <v>5614</v>
      </c>
      <c r="BF235">
        <v>0</v>
      </c>
      <c r="BG235">
        <v>0</v>
      </c>
      <c r="BH235" t="s">
        <v>862</v>
      </c>
      <c r="BI235">
        <v>0</v>
      </c>
      <c r="BJ235" t="s">
        <v>862</v>
      </c>
      <c r="BK235">
        <v>1</v>
      </c>
      <c r="BL235">
        <v>0</v>
      </c>
      <c r="BM235">
        <v>0</v>
      </c>
      <c r="BN235" t="s">
        <v>596</v>
      </c>
      <c r="BO235">
        <v>152946625</v>
      </c>
      <c r="BP235" t="s">
        <v>5613</v>
      </c>
      <c r="BQ235">
        <v>40.001976800000001</v>
      </c>
      <c r="BR235">
        <v>42791441</v>
      </c>
      <c r="BS235">
        <v>-86.107298400000005</v>
      </c>
      <c r="BT235">
        <v>1</v>
      </c>
      <c r="BU235" t="s">
        <v>3226</v>
      </c>
      <c r="CI235">
        <v>11</v>
      </c>
      <c r="CJ235" t="s">
        <v>94</v>
      </c>
      <c r="CM235">
        <v>4010</v>
      </c>
      <c r="CO235">
        <v>7360</v>
      </c>
      <c r="CP235">
        <v>0.26669999999999999</v>
      </c>
      <c r="CQ235">
        <v>0.26669999999999999</v>
      </c>
      <c r="CR235">
        <v>0.55000000000000004</v>
      </c>
      <c r="CS235">
        <v>20</v>
      </c>
      <c r="CT235" t="s">
        <v>5620</v>
      </c>
      <c r="CU235" t="s">
        <v>5619</v>
      </c>
      <c r="CV235" t="s">
        <v>833</v>
      </c>
      <c r="CW235" t="s">
        <v>834</v>
      </c>
      <c r="CX235" t="s">
        <v>5614</v>
      </c>
      <c r="CY235">
        <v>0</v>
      </c>
      <c r="CZ235">
        <v>0</v>
      </c>
      <c r="DA235" t="s">
        <v>833</v>
      </c>
      <c r="DB235" t="s">
        <v>865</v>
      </c>
      <c r="DC235">
        <v>46033</v>
      </c>
      <c r="DD235">
        <v>5.2332999999999998</v>
      </c>
      <c r="DE235" t="s">
        <v>866</v>
      </c>
      <c r="DG235" t="s">
        <v>867</v>
      </c>
      <c r="DH235" t="s">
        <v>851</v>
      </c>
      <c r="DI235" t="s">
        <v>5621</v>
      </c>
      <c r="DK235" t="s">
        <v>918</v>
      </c>
      <c r="DL235" t="s">
        <v>869</v>
      </c>
      <c r="DM235">
        <v>0</v>
      </c>
      <c r="DN235">
        <v>0</v>
      </c>
      <c r="DO235">
        <v>3</v>
      </c>
      <c r="DP235" t="s">
        <v>919</v>
      </c>
      <c r="DQ235">
        <v>16</v>
      </c>
      <c r="DR235">
        <v>314</v>
      </c>
      <c r="DS235">
        <v>314</v>
      </c>
      <c r="DT235">
        <v>4.9667000000000003</v>
      </c>
      <c r="DU235">
        <v>4</v>
      </c>
      <c r="DV235">
        <v>1</v>
      </c>
      <c r="DW235">
        <v>2</v>
      </c>
      <c r="DX235" t="s">
        <v>594</v>
      </c>
      <c r="DY235" t="s">
        <v>5614</v>
      </c>
      <c r="DZ235">
        <v>0</v>
      </c>
      <c r="EA235">
        <v>0</v>
      </c>
      <c r="EB235">
        <v>0</v>
      </c>
      <c r="EC235">
        <v>0</v>
      </c>
      <c r="ED235">
        <v>0</v>
      </c>
      <c r="EE235">
        <v>0</v>
      </c>
      <c r="EF235" t="s">
        <v>920</v>
      </c>
      <c r="EG235" t="s">
        <v>595</v>
      </c>
      <c r="EH235" t="s">
        <v>872</v>
      </c>
      <c r="EI235" t="s">
        <v>872</v>
      </c>
      <c r="EJ235" t="s">
        <v>134</v>
      </c>
      <c r="EK235">
        <v>9090</v>
      </c>
      <c r="EL235">
        <v>0</v>
      </c>
      <c r="EM235" t="s">
        <v>1011</v>
      </c>
      <c r="EN235">
        <v>0.55000000000000004</v>
      </c>
      <c r="EO235">
        <v>5.2333333</v>
      </c>
      <c r="EP235">
        <v>99991120</v>
      </c>
      <c r="EQ235" t="s">
        <v>874</v>
      </c>
      <c r="ER235" t="s">
        <v>875</v>
      </c>
      <c r="ES235" t="s">
        <v>876</v>
      </c>
      <c r="ET235" t="s">
        <v>877</v>
      </c>
      <c r="EU235" t="s">
        <v>877</v>
      </c>
      <c r="EV235" t="s">
        <v>920</v>
      </c>
      <c r="EX235" t="s">
        <v>953</v>
      </c>
      <c r="EY235" t="s">
        <v>1555</v>
      </c>
      <c r="EZ235" t="s">
        <v>1013</v>
      </c>
      <c r="FA235" t="s">
        <v>925</v>
      </c>
      <c r="FB235">
        <v>1</v>
      </c>
      <c r="FC235">
        <v>1</v>
      </c>
      <c r="FD235" s="41">
        <v>46025</v>
      </c>
      <c r="FE235" t="s">
        <v>957</v>
      </c>
      <c r="FF235">
        <v>7</v>
      </c>
      <c r="FG235" t="s">
        <v>5622</v>
      </c>
      <c r="FH235" t="s">
        <v>5623</v>
      </c>
      <c r="FI235">
        <v>1</v>
      </c>
      <c r="FJ235" t="s">
        <v>5622</v>
      </c>
      <c r="FK235" t="s">
        <v>5623</v>
      </c>
      <c r="FL235">
        <v>1</v>
      </c>
      <c r="FM235" t="s">
        <v>5624</v>
      </c>
      <c r="FN235" t="s">
        <v>5625</v>
      </c>
      <c r="FO235">
        <v>1</v>
      </c>
      <c r="FP235" t="s">
        <v>5626</v>
      </c>
      <c r="FQ235" t="s">
        <v>5627</v>
      </c>
      <c r="FR235">
        <v>1</v>
      </c>
      <c r="FS235" t="s">
        <v>1976</v>
      </c>
      <c r="FT235" t="s">
        <v>5628</v>
      </c>
      <c r="FU235">
        <v>1</v>
      </c>
      <c r="FV235" t="s">
        <v>5629</v>
      </c>
      <c r="FW235" t="s">
        <v>5630</v>
      </c>
      <c r="FX235">
        <v>1</v>
      </c>
      <c r="FY235" t="s">
        <v>890</v>
      </c>
      <c r="FZ235" t="s">
        <v>5631</v>
      </c>
      <c r="GA235" t="s">
        <v>5622</v>
      </c>
      <c r="GB235">
        <v>1</v>
      </c>
      <c r="GD235">
        <v>0</v>
      </c>
      <c r="GF235">
        <v>0</v>
      </c>
      <c r="GG235">
        <v>1</v>
      </c>
      <c r="GH235" t="s">
        <v>892</v>
      </c>
      <c r="GI235" t="s">
        <v>893</v>
      </c>
      <c r="GJ235" t="s">
        <v>5623</v>
      </c>
      <c r="GM235">
        <v>1</v>
      </c>
      <c r="GN235">
        <v>1</v>
      </c>
      <c r="GO235">
        <v>0</v>
      </c>
      <c r="GP235">
        <v>1</v>
      </c>
      <c r="GQ235">
        <v>1</v>
      </c>
      <c r="GR235">
        <v>0</v>
      </c>
      <c r="GS235">
        <v>1</v>
      </c>
      <c r="GT235">
        <v>0</v>
      </c>
      <c r="GU235">
        <v>1</v>
      </c>
      <c r="GV235">
        <v>0</v>
      </c>
      <c r="GW235">
        <v>1</v>
      </c>
      <c r="GX235">
        <v>0</v>
      </c>
      <c r="GY235">
        <v>1</v>
      </c>
      <c r="GZ235">
        <v>0</v>
      </c>
      <c r="HA235" t="s">
        <v>279</v>
      </c>
      <c r="HB235" t="s">
        <v>894</v>
      </c>
      <c r="HC235" t="s">
        <v>935</v>
      </c>
      <c r="HD235" t="s">
        <v>845</v>
      </c>
      <c r="HE235" t="s">
        <v>900</v>
      </c>
      <c r="HF235" t="s">
        <v>1012</v>
      </c>
      <c r="HG235" t="s">
        <v>894</v>
      </c>
      <c r="HH235" t="s">
        <v>935</v>
      </c>
      <c r="HI235" t="s">
        <v>845</v>
      </c>
      <c r="HJ235" t="s">
        <v>900</v>
      </c>
      <c r="HK235" t="s">
        <v>1011</v>
      </c>
      <c r="HL235" t="s">
        <v>144</v>
      </c>
      <c r="HM235" t="s">
        <v>854</v>
      </c>
      <c r="HN235">
        <v>36805</v>
      </c>
      <c r="HO235">
        <v>1</v>
      </c>
      <c r="HP235" t="s">
        <v>134</v>
      </c>
      <c r="HQ235" t="s">
        <v>896</v>
      </c>
      <c r="HR235" t="s">
        <v>896</v>
      </c>
      <c r="HS235" t="s">
        <v>896</v>
      </c>
    </row>
    <row r="236" spans="1:227" x14ac:dyDescent="0.2">
      <c r="A236">
        <v>8702</v>
      </c>
      <c r="B236">
        <v>7521604229</v>
      </c>
      <c r="C236" t="s">
        <v>829</v>
      </c>
      <c r="D236" t="s">
        <v>830</v>
      </c>
      <c r="E236" t="s">
        <v>831</v>
      </c>
      <c r="F236">
        <v>1</v>
      </c>
      <c r="G236" t="s">
        <v>5632</v>
      </c>
      <c r="H236" t="s">
        <v>5632</v>
      </c>
      <c r="I236">
        <v>0</v>
      </c>
      <c r="J236" t="s">
        <v>833</v>
      </c>
      <c r="K236" t="s">
        <v>834</v>
      </c>
      <c r="L236">
        <v>153294166</v>
      </c>
      <c r="M236" t="s">
        <v>5633</v>
      </c>
      <c r="N236" t="s">
        <v>836</v>
      </c>
      <c r="O236" t="s">
        <v>837</v>
      </c>
      <c r="P236" t="s">
        <v>838</v>
      </c>
      <c r="Q236" t="s">
        <v>839</v>
      </c>
      <c r="R236" t="s">
        <v>5634</v>
      </c>
      <c r="S236" t="s">
        <v>5635</v>
      </c>
      <c r="T236">
        <v>41477091739</v>
      </c>
      <c r="V236" t="s">
        <v>3701</v>
      </c>
      <c r="W236" s="41">
        <v>45873</v>
      </c>
      <c r="X236" t="s">
        <v>5636</v>
      </c>
      <c r="Y236" t="s">
        <v>5637</v>
      </c>
      <c r="AA236">
        <v>0</v>
      </c>
      <c r="AB236" t="s">
        <v>845</v>
      </c>
      <c r="AC236" t="s">
        <v>846</v>
      </c>
      <c r="AD236" t="s">
        <v>847</v>
      </c>
      <c r="AE236" t="s">
        <v>848</v>
      </c>
      <c r="AF236">
        <v>1</v>
      </c>
      <c r="AG236">
        <v>452210</v>
      </c>
      <c r="AH236" t="s">
        <v>849</v>
      </c>
      <c r="AI236" t="s">
        <v>850</v>
      </c>
      <c r="AJ236" t="s">
        <v>851</v>
      </c>
      <c r="AK236" t="s">
        <v>452</v>
      </c>
      <c r="AL236" t="s">
        <v>4866</v>
      </c>
      <c r="AM236" t="s">
        <v>3705</v>
      </c>
      <c r="AN236" t="s">
        <v>854</v>
      </c>
      <c r="AO236">
        <v>36805</v>
      </c>
      <c r="AP236">
        <v>968</v>
      </c>
      <c r="AQ236" t="s">
        <v>855</v>
      </c>
      <c r="AR236">
        <v>66054789</v>
      </c>
      <c r="AS236" t="s">
        <v>856</v>
      </c>
      <c r="AU236" t="s">
        <v>5638</v>
      </c>
      <c r="AV236" t="s">
        <v>5639</v>
      </c>
      <c r="AW236" t="s">
        <v>1185</v>
      </c>
      <c r="AX236" t="s">
        <v>1186</v>
      </c>
      <c r="AY236" t="s">
        <v>861</v>
      </c>
      <c r="AZ236" t="s">
        <v>452</v>
      </c>
      <c r="BA236" t="s">
        <v>453</v>
      </c>
      <c r="BB236">
        <v>0</v>
      </c>
      <c r="BC236">
        <v>0</v>
      </c>
      <c r="BD236">
        <v>1</v>
      </c>
      <c r="BE236" t="s">
        <v>5633</v>
      </c>
      <c r="BF236">
        <v>0</v>
      </c>
      <c r="BG236">
        <v>0</v>
      </c>
      <c r="BH236" t="s">
        <v>862</v>
      </c>
      <c r="BI236">
        <v>0</v>
      </c>
      <c r="BJ236" t="s">
        <v>862</v>
      </c>
      <c r="BK236">
        <v>1</v>
      </c>
      <c r="BL236">
        <v>0</v>
      </c>
      <c r="BM236">
        <v>0</v>
      </c>
      <c r="BN236" t="s">
        <v>596</v>
      </c>
      <c r="BO236">
        <v>153294166</v>
      </c>
      <c r="BP236" t="s">
        <v>5632</v>
      </c>
      <c r="BQ236">
        <v>41.558298800000003</v>
      </c>
      <c r="BR236">
        <v>42793658</v>
      </c>
      <c r="BS236">
        <v>-90.546629899999999</v>
      </c>
      <c r="BT236">
        <v>0</v>
      </c>
      <c r="CM236">
        <v>4010</v>
      </c>
      <c r="CO236">
        <v>7360</v>
      </c>
      <c r="CP236">
        <v>0.7167</v>
      </c>
      <c r="CQ236">
        <v>0.7167</v>
      </c>
      <c r="CR236">
        <v>0.15</v>
      </c>
      <c r="CS236">
        <v>2</v>
      </c>
      <c r="CT236" t="s">
        <v>5640</v>
      </c>
      <c r="CU236" t="s">
        <v>5641</v>
      </c>
      <c r="CV236" t="s">
        <v>833</v>
      </c>
      <c r="CW236" t="s">
        <v>834</v>
      </c>
      <c r="CX236" t="s">
        <v>5633</v>
      </c>
      <c r="CY236">
        <v>1</v>
      </c>
      <c r="CZ236">
        <v>1</v>
      </c>
      <c r="DA236" t="s">
        <v>833</v>
      </c>
      <c r="DB236" t="s">
        <v>865</v>
      </c>
      <c r="DC236">
        <v>52807</v>
      </c>
      <c r="DD236">
        <v>1.7333000000000001</v>
      </c>
      <c r="DE236" t="s">
        <v>866</v>
      </c>
      <c r="DG236" t="s">
        <v>867</v>
      </c>
      <c r="DH236" t="s">
        <v>851</v>
      </c>
      <c r="DI236" t="s">
        <v>5642</v>
      </c>
      <c r="DL236" t="s">
        <v>869</v>
      </c>
      <c r="DM236">
        <v>0</v>
      </c>
      <c r="DN236">
        <v>0</v>
      </c>
      <c r="DO236">
        <v>11</v>
      </c>
      <c r="DP236" t="s">
        <v>1010</v>
      </c>
      <c r="DQ236">
        <v>16</v>
      </c>
      <c r="DR236">
        <v>104</v>
      </c>
      <c r="DS236">
        <v>104</v>
      </c>
      <c r="DT236">
        <v>1.0166999999999999</v>
      </c>
      <c r="DU236">
        <v>4</v>
      </c>
      <c r="DW236">
        <v>2</v>
      </c>
      <c r="DX236" t="s">
        <v>594</v>
      </c>
      <c r="DY236" t="s">
        <v>5633</v>
      </c>
      <c r="DZ236">
        <v>0</v>
      </c>
      <c r="EA236">
        <v>0</v>
      </c>
      <c r="EB236">
        <v>0</v>
      </c>
      <c r="EC236">
        <v>0</v>
      </c>
      <c r="ED236">
        <v>0</v>
      </c>
      <c r="EE236">
        <v>0</v>
      </c>
      <c r="EF236" t="s">
        <v>920</v>
      </c>
      <c r="EG236" t="s">
        <v>595</v>
      </c>
      <c r="EH236" t="s">
        <v>872</v>
      </c>
      <c r="EI236" t="s">
        <v>872</v>
      </c>
      <c r="EJ236" t="s">
        <v>246</v>
      </c>
      <c r="EK236">
        <v>9090</v>
      </c>
      <c r="EL236">
        <v>0</v>
      </c>
      <c r="EM236" t="s">
        <v>873</v>
      </c>
      <c r="EN236">
        <v>0.15</v>
      </c>
      <c r="EO236">
        <v>1.7333333</v>
      </c>
      <c r="EP236">
        <v>99991120</v>
      </c>
      <c r="EQ236" t="s">
        <v>874</v>
      </c>
      <c r="ER236" t="s">
        <v>875</v>
      </c>
      <c r="ES236" t="s">
        <v>876</v>
      </c>
      <c r="ET236" t="s">
        <v>877</v>
      </c>
      <c r="EU236" t="s">
        <v>877</v>
      </c>
      <c r="EV236" t="s">
        <v>920</v>
      </c>
      <c r="EX236" t="s">
        <v>836</v>
      </c>
      <c r="EY236" t="s">
        <v>873</v>
      </c>
      <c r="EZ236" t="s">
        <v>3709</v>
      </c>
      <c r="FA236" t="s">
        <v>879</v>
      </c>
      <c r="FB236">
        <v>1</v>
      </c>
      <c r="FC236">
        <v>1</v>
      </c>
      <c r="FD236" s="41">
        <v>45878</v>
      </c>
      <c r="FE236" t="s">
        <v>987</v>
      </c>
      <c r="FF236">
        <v>6</v>
      </c>
      <c r="FG236" t="s">
        <v>5643</v>
      </c>
      <c r="FH236" t="s">
        <v>5644</v>
      </c>
      <c r="FI236">
        <v>1</v>
      </c>
      <c r="FJ236" t="s">
        <v>5645</v>
      </c>
      <c r="FK236" t="s">
        <v>5646</v>
      </c>
      <c r="FL236">
        <v>1</v>
      </c>
      <c r="FM236" t="s">
        <v>5647</v>
      </c>
      <c r="FN236" t="s">
        <v>5646</v>
      </c>
      <c r="FO236">
        <v>1</v>
      </c>
      <c r="FP236" t="s">
        <v>5648</v>
      </c>
      <c r="FQ236" t="s">
        <v>5649</v>
      </c>
      <c r="FR236">
        <v>1</v>
      </c>
      <c r="FS236" t="s">
        <v>3718</v>
      </c>
      <c r="FT236" t="s">
        <v>5650</v>
      </c>
      <c r="FU236">
        <v>1</v>
      </c>
      <c r="FV236" t="s">
        <v>5651</v>
      </c>
      <c r="FW236" t="s">
        <v>5652</v>
      </c>
      <c r="FX236">
        <v>1</v>
      </c>
      <c r="FY236" t="s">
        <v>890</v>
      </c>
      <c r="FZ236" t="s">
        <v>5653</v>
      </c>
      <c r="GA236" t="s">
        <v>5645</v>
      </c>
      <c r="GB236">
        <v>1</v>
      </c>
      <c r="GD236">
        <v>0</v>
      </c>
      <c r="GF236">
        <v>0</v>
      </c>
      <c r="GG236">
        <v>1</v>
      </c>
      <c r="GH236" t="s">
        <v>892</v>
      </c>
      <c r="GI236" t="s">
        <v>893</v>
      </c>
      <c r="GJ236" t="s">
        <v>5646</v>
      </c>
      <c r="GM236">
        <v>1</v>
      </c>
      <c r="GN236">
        <v>1</v>
      </c>
      <c r="GO236">
        <v>0</v>
      </c>
      <c r="GP236">
        <v>1</v>
      </c>
      <c r="GQ236">
        <v>1</v>
      </c>
      <c r="GR236">
        <v>0</v>
      </c>
      <c r="GS236">
        <v>1</v>
      </c>
      <c r="GT236">
        <v>0</v>
      </c>
      <c r="GU236">
        <v>1</v>
      </c>
      <c r="GV236">
        <v>0</v>
      </c>
      <c r="GW236">
        <v>1</v>
      </c>
      <c r="GX236">
        <v>0</v>
      </c>
      <c r="GY236">
        <v>1</v>
      </c>
      <c r="GZ236">
        <v>0</v>
      </c>
      <c r="HA236" t="s">
        <v>452</v>
      </c>
      <c r="HB236" t="s">
        <v>894</v>
      </c>
      <c r="HC236" t="s">
        <v>895</v>
      </c>
      <c r="HD236" t="s">
        <v>845</v>
      </c>
      <c r="HE236" t="s">
        <v>836</v>
      </c>
      <c r="HF236" t="s">
        <v>873</v>
      </c>
      <c r="HG236" t="s">
        <v>894</v>
      </c>
      <c r="HH236" t="s">
        <v>895</v>
      </c>
      <c r="HI236" t="s">
        <v>845</v>
      </c>
      <c r="HJ236" t="s">
        <v>836</v>
      </c>
      <c r="HK236" t="s">
        <v>873</v>
      </c>
      <c r="HL236" t="s">
        <v>3701</v>
      </c>
      <c r="HM236" t="s">
        <v>854</v>
      </c>
      <c r="HN236">
        <v>36805</v>
      </c>
      <c r="HP236" t="s">
        <v>246</v>
      </c>
      <c r="HQ236" t="s">
        <v>896</v>
      </c>
      <c r="HR236" t="s">
        <v>896</v>
      </c>
      <c r="HS236" t="s">
        <v>896</v>
      </c>
    </row>
    <row r="237" spans="1:227" x14ac:dyDescent="0.2">
      <c r="A237">
        <v>8702</v>
      </c>
      <c r="B237">
        <v>7610300079</v>
      </c>
      <c r="C237" t="s">
        <v>829</v>
      </c>
      <c r="D237" t="s">
        <v>830</v>
      </c>
      <c r="E237" t="s">
        <v>831</v>
      </c>
      <c r="F237">
        <v>1</v>
      </c>
      <c r="G237" t="s">
        <v>5654</v>
      </c>
      <c r="H237" t="s">
        <v>5654</v>
      </c>
      <c r="I237">
        <v>0</v>
      </c>
      <c r="J237" t="s">
        <v>833</v>
      </c>
      <c r="K237" t="s">
        <v>834</v>
      </c>
      <c r="L237">
        <v>156586345</v>
      </c>
      <c r="M237" t="s">
        <v>1053</v>
      </c>
      <c r="N237" t="s">
        <v>836</v>
      </c>
      <c r="O237" t="s">
        <v>837</v>
      </c>
      <c r="P237" t="s">
        <v>838</v>
      </c>
      <c r="Q237" t="s">
        <v>839</v>
      </c>
      <c r="R237" t="s">
        <v>5655</v>
      </c>
      <c r="S237" t="s">
        <v>5656</v>
      </c>
      <c r="T237">
        <v>41477074532</v>
      </c>
      <c r="V237" t="s">
        <v>1003</v>
      </c>
      <c r="W237" s="41">
        <v>46126</v>
      </c>
      <c r="X237" t="s">
        <v>5657</v>
      </c>
      <c r="Y237" t="s">
        <v>5658</v>
      </c>
      <c r="AA237">
        <v>0</v>
      </c>
      <c r="AB237" t="s">
        <v>845</v>
      </c>
      <c r="AC237" t="s">
        <v>846</v>
      </c>
      <c r="AD237" t="s">
        <v>1113</v>
      </c>
      <c r="AE237" t="s">
        <v>1114</v>
      </c>
      <c r="AF237">
        <v>1</v>
      </c>
      <c r="AG237">
        <v>452210</v>
      </c>
      <c r="AH237" t="s">
        <v>849</v>
      </c>
      <c r="AI237" t="s">
        <v>850</v>
      </c>
      <c r="AJ237" t="s">
        <v>851</v>
      </c>
      <c r="AK237" t="s">
        <v>531</v>
      </c>
      <c r="AL237" t="s">
        <v>4748</v>
      </c>
      <c r="AM237" t="s">
        <v>1059</v>
      </c>
      <c r="AN237" t="s">
        <v>854</v>
      </c>
      <c r="AO237">
        <v>36805</v>
      </c>
      <c r="AP237">
        <v>638</v>
      </c>
      <c r="AQ237" t="s">
        <v>855</v>
      </c>
      <c r="AR237">
        <v>66419149</v>
      </c>
      <c r="AS237" t="s">
        <v>856</v>
      </c>
      <c r="AU237" t="s">
        <v>5659</v>
      </c>
      <c r="AV237" t="s">
        <v>5660</v>
      </c>
      <c r="AX237" t="s">
        <v>913</v>
      </c>
      <c r="AY237" t="s">
        <v>861</v>
      </c>
      <c r="AZ237" t="s">
        <v>531</v>
      </c>
      <c r="BA237" t="s">
        <v>438</v>
      </c>
      <c r="BB237">
        <v>0</v>
      </c>
      <c r="BC237">
        <v>0</v>
      </c>
      <c r="BD237">
        <v>1</v>
      </c>
      <c r="BE237" t="s">
        <v>1053</v>
      </c>
      <c r="BF237">
        <v>0</v>
      </c>
      <c r="BG237">
        <v>0</v>
      </c>
      <c r="BH237" t="s">
        <v>862</v>
      </c>
      <c r="BI237">
        <v>0</v>
      </c>
      <c r="BJ237" t="s">
        <v>862</v>
      </c>
      <c r="BK237">
        <v>1</v>
      </c>
      <c r="BL237">
        <v>1</v>
      </c>
      <c r="BM237">
        <v>0</v>
      </c>
      <c r="BN237" t="s">
        <v>596</v>
      </c>
      <c r="BO237">
        <v>156586345</v>
      </c>
      <c r="BP237" t="s">
        <v>5654</v>
      </c>
      <c r="BQ237">
        <v>40.483128499999999</v>
      </c>
      <c r="BR237">
        <v>42791770</v>
      </c>
      <c r="BS237">
        <v>-88.951161299999995</v>
      </c>
      <c r="BT237">
        <v>2</v>
      </c>
      <c r="BU237" t="s">
        <v>1119</v>
      </c>
      <c r="BY237">
        <v>16</v>
      </c>
      <c r="CA237">
        <v>8</v>
      </c>
      <c r="CE237">
        <v>1</v>
      </c>
      <c r="CI237">
        <v>11</v>
      </c>
      <c r="CJ237" t="s">
        <v>94</v>
      </c>
      <c r="CM237">
        <v>4010</v>
      </c>
      <c r="CO237">
        <v>7360</v>
      </c>
      <c r="CP237">
        <v>0.76670000000000005</v>
      </c>
      <c r="CQ237">
        <v>0.76670000000000005</v>
      </c>
      <c r="CR237">
        <v>0.86670000000000003</v>
      </c>
      <c r="CS237">
        <v>13</v>
      </c>
      <c r="CT237" t="s">
        <v>5661</v>
      </c>
      <c r="CU237" t="s">
        <v>5662</v>
      </c>
      <c r="CV237" t="s">
        <v>833</v>
      </c>
      <c r="CW237" t="s">
        <v>834</v>
      </c>
      <c r="CX237" t="s">
        <v>1053</v>
      </c>
      <c r="CY237">
        <v>1</v>
      </c>
      <c r="CZ237">
        <v>1</v>
      </c>
      <c r="DA237" t="s">
        <v>833</v>
      </c>
      <c r="DB237" t="s">
        <v>865</v>
      </c>
      <c r="DC237">
        <v>61704</v>
      </c>
      <c r="DD237">
        <v>8.3833000000000002</v>
      </c>
      <c r="DE237" t="s">
        <v>866</v>
      </c>
      <c r="DG237" t="s">
        <v>867</v>
      </c>
      <c r="DH237" t="s">
        <v>851</v>
      </c>
      <c r="DK237" t="s">
        <v>918</v>
      </c>
      <c r="DL237" t="s">
        <v>869</v>
      </c>
      <c r="DM237">
        <v>0</v>
      </c>
      <c r="DN237">
        <v>0</v>
      </c>
      <c r="DO237">
        <v>11</v>
      </c>
      <c r="DP237" t="s">
        <v>1010</v>
      </c>
      <c r="DQ237">
        <v>0</v>
      </c>
      <c r="DR237">
        <v>503</v>
      </c>
      <c r="DS237">
        <v>1223</v>
      </c>
      <c r="DT237">
        <v>7.6166999999999998</v>
      </c>
      <c r="DU237">
        <v>0</v>
      </c>
      <c r="DV237">
        <v>1</v>
      </c>
      <c r="DW237">
        <v>2</v>
      </c>
      <c r="DX237" t="s">
        <v>596</v>
      </c>
      <c r="DY237" t="s">
        <v>1053</v>
      </c>
      <c r="DZ237">
        <v>1</v>
      </c>
      <c r="EA237">
        <v>1</v>
      </c>
      <c r="EB237">
        <v>1</v>
      </c>
      <c r="EC237">
        <v>1</v>
      </c>
      <c r="ED237">
        <v>1</v>
      </c>
      <c r="EE237">
        <v>1</v>
      </c>
      <c r="EF237" t="s">
        <v>920</v>
      </c>
      <c r="EG237" t="s">
        <v>595</v>
      </c>
      <c r="EH237" t="s">
        <v>921</v>
      </c>
      <c r="EI237" t="s">
        <v>921</v>
      </c>
      <c r="EJ237" t="s">
        <v>181</v>
      </c>
      <c r="EK237">
        <v>9090</v>
      </c>
      <c r="EL237">
        <v>0</v>
      </c>
      <c r="EM237" t="s">
        <v>873</v>
      </c>
      <c r="EN237">
        <v>0.86670000000000003</v>
      </c>
      <c r="EO237">
        <v>20.3833333</v>
      </c>
      <c r="EP237">
        <v>99991120</v>
      </c>
      <c r="EQ237" t="s">
        <v>874</v>
      </c>
      <c r="ER237" t="s">
        <v>875</v>
      </c>
      <c r="ES237" t="s">
        <v>876</v>
      </c>
      <c r="ET237" t="s">
        <v>877</v>
      </c>
      <c r="EU237" t="s">
        <v>877</v>
      </c>
      <c r="EV237" t="s">
        <v>920</v>
      </c>
      <c r="EX237" t="s">
        <v>836</v>
      </c>
      <c r="EY237" t="s">
        <v>873</v>
      </c>
      <c r="EZ237" t="s">
        <v>1065</v>
      </c>
      <c r="FA237" t="s">
        <v>879</v>
      </c>
      <c r="FB237">
        <v>1</v>
      </c>
      <c r="FC237">
        <v>1</v>
      </c>
      <c r="FD237" s="41">
        <v>46130</v>
      </c>
      <c r="FE237" t="s">
        <v>1123</v>
      </c>
      <c r="FF237">
        <v>5</v>
      </c>
      <c r="FI237">
        <v>0</v>
      </c>
      <c r="FJ237" t="s">
        <v>5663</v>
      </c>
      <c r="FK237" t="s">
        <v>5664</v>
      </c>
      <c r="FL237">
        <v>1</v>
      </c>
      <c r="FM237" t="s">
        <v>1071</v>
      </c>
      <c r="FN237" t="s">
        <v>5665</v>
      </c>
      <c r="FO237">
        <v>1</v>
      </c>
      <c r="FP237" t="s">
        <v>5666</v>
      </c>
      <c r="FQ237" t="s">
        <v>5662</v>
      </c>
      <c r="FR237">
        <v>1</v>
      </c>
      <c r="FS237" t="s">
        <v>5667</v>
      </c>
      <c r="FT237" t="s">
        <v>5668</v>
      </c>
      <c r="FU237">
        <v>1</v>
      </c>
      <c r="FV237" t="s">
        <v>5669</v>
      </c>
      <c r="FW237" t="s">
        <v>5670</v>
      </c>
      <c r="FX237">
        <v>1</v>
      </c>
      <c r="FY237" t="s">
        <v>890</v>
      </c>
      <c r="FZ237" t="s">
        <v>5671</v>
      </c>
      <c r="GA237" t="s">
        <v>5663</v>
      </c>
      <c r="GB237">
        <v>1</v>
      </c>
      <c r="GD237">
        <v>0</v>
      </c>
      <c r="GF237">
        <v>0</v>
      </c>
      <c r="GG237">
        <v>1</v>
      </c>
      <c r="GH237" t="s">
        <v>892</v>
      </c>
      <c r="GI237" t="s">
        <v>893</v>
      </c>
      <c r="GJ237" t="s">
        <v>5664</v>
      </c>
      <c r="GM237">
        <v>1</v>
      </c>
      <c r="GN237">
        <v>1</v>
      </c>
      <c r="GO237">
        <v>0</v>
      </c>
      <c r="GP237">
        <v>1</v>
      </c>
      <c r="GQ237">
        <v>1</v>
      </c>
      <c r="GR237">
        <v>0</v>
      </c>
      <c r="GS237">
        <v>1</v>
      </c>
      <c r="GT237">
        <v>0</v>
      </c>
      <c r="GU237">
        <v>1</v>
      </c>
      <c r="GV237">
        <v>0</v>
      </c>
      <c r="GW237">
        <v>1</v>
      </c>
      <c r="GX237">
        <v>0</v>
      </c>
      <c r="GY237">
        <v>1</v>
      </c>
      <c r="GZ237">
        <v>0</v>
      </c>
      <c r="HA237" t="s">
        <v>531</v>
      </c>
      <c r="HB237" t="s">
        <v>894</v>
      </c>
      <c r="HC237" t="s">
        <v>895</v>
      </c>
      <c r="HD237" t="s">
        <v>845</v>
      </c>
      <c r="HE237" t="s">
        <v>836</v>
      </c>
      <c r="HF237" t="s">
        <v>873</v>
      </c>
      <c r="HG237" t="s">
        <v>894</v>
      </c>
      <c r="HH237" t="s">
        <v>895</v>
      </c>
      <c r="HI237" t="s">
        <v>845</v>
      </c>
      <c r="HJ237" t="s">
        <v>836</v>
      </c>
      <c r="HK237" t="s">
        <v>873</v>
      </c>
      <c r="HL237" t="s">
        <v>1003</v>
      </c>
      <c r="HM237" t="s">
        <v>854</v>
      </c>
      <c r="HN237">
        <v>36805</v>
      </c>
      <c r="HP237" t="s">
        <v>181</v>
      </c>
      <c r="HQ237" t="s">
        <v>896</v>
      </c>
      <c r="HR237" t="s">
        <v>896</v>
      </c>
      <c r="HS237" t="s">
        <v>896</v>
      </c>
    </row>
    <row r="238" spans="1:227" x14ac:dyDescent="0.2">
      <c r="A238">
        <v>8702</v>
      </c>
      <c r="B238">
        <v>7524711826</v>
      </c>
      <c r="C238">
        <v>34</v>
      </c>
      <c r="D238" t="s">
        <v>996</v>
      </c>
      <c r="E238" t="s">
        <v>831</v>
      </c>
      <c r="F238">
        <v>0</v>
      </c>
      <c r="G238" t="s">
        <v>5672</v>
      </c>
      <c r="H238" t="s">
        <v>5672</v>
      </c>
      <c r="I238">
        <v>0</v>
      </c>
      <c r="J238" t="s">
        <v>833</v>
      </c>
      <c r="K238" t="s">
        <v>834</v>
      </c>
      <c r="L238">
        <v>153524596</v>
      </c>
      <c r="M238" t="s">
        <v>5673</v>
      </c>
      <c r="N238" t="s">
        <v>836</v>
      </c>
      <c r="O238" t="s">
        <v>837</v>
      </c>
      <c r="P238" t="s">
        <v>999</v>
      </c>
      <c r="Q238" t="s">
        <v>2459</v>
      </c>
      <c r="R238" t="s">
        <v>5674</v>
      </c>
      <c r="S238" t="s">
        <v>5675</v>
      </c>
      <c r="T238">
        <v>30300127006</v>
      </c>
      <c r="V238" t="s">
        <v>2903</v>
      </c>
      <c r="W238" s="41">
        <v>45904</v>
      </c>
      <c r="X238" t="s">
        <v>5676</v>
      </c>
      <c r="Y238" t="s">
        <v>5677</v>
      </c>
      <c r="AA238">
        <v>0</v>
      </c>
      <c r="AB238" t="s">
        <v>845</v>
      </c>
      <c r="AC238" t="s">
        <v>846</v>
      </c>
      <c r="AD238" t="s">
        <v>847</v>
      </c>
      <c r="AE238" t="s">
        <v>848</v>
      </c>
      <c r="AF238">
        <v>1</v>
      </c>
      <c r="AG238">
        <v>452210</v>
      </c>
      <c r="AH238" t="s">
        <v>849</v>
      </c>
      <c r="AI238" t="s">
        <v>850</v>
      </c>
      <c r="AJ238" t="s">
        <v>851</v>
      </c>
      <c r="AK238" t="s">
        <v>255</v>
      </c>
      <c r="AL238" t="s">
        <v>2605</v>
      </c>
      <c r="AM238" t="s">
        <v>2907</v>
      </c>
      <c r="AN238" t="s">
        <v>854</v>
      </c>
      <c r="AO238">
        <v>36805</v>
      </c>
      <c r="AP238">
        <v>563</v>
      </c>
      <c r="AQ238" t="s">
        <v>855</v>
      </c>
      <c r="AR238">
        <v>66099620</v>
      </c>
      <c r="AS238" t="s">
        <v>856</v>
      </c>
      <c r="AU238" t="s">
        <v>5678</v>
      </c>
      <c r="AV238" t="s">
        <v>5679</v>
      </c>
      <c r="AX238" t="s">
        <v>913</v>
      </c>
      <c r="AY238" t="s">
        <v>861</v>
      </c>
      <c r="AZ238" t="s">
        <v>255</v>
      </c>
      <c r="BA238" t="s">
        <v>256</v>
      </c>
      <c r="BB238">
        <v>0</v>
      </c>
      <c r="BC238">
        <v>0</v>
      </c>
      <c r="BD238">
        <v>1</v>
      </c>
      <c r="BE238" t="s">
        <v>5673</v>
      </c>
      <c r="BF238">
        <v>0</v>
      </c>
      <c r="BG238">
        <v>0</v>
      </c>
      <c r="BH238" t="s">
        <v>862</v>
      </c>
      <c r="BI238">
        <v>0</v>
      </c>
      <c r="BJ238" t="s">
        <v>862</v>
      </c>
      <c r="BK238">
        <v>1</v>
      </c>
      <c r="BL238">
        <v>1</v>
      </c>
      <c r="BM238">
        <v>0</v>
      </c>
      <c r="BN238" t="s">
        <v>596</v>
      </c>
      <c r="BO238">
        <v>153524596</v>
      </c>
      <c r="BP238" t="s">
        <v>5672</v>
      </c>
      <c r="BR238">
        <v>42791465</v>
      </c>
      <c r="BT238">
        <v>0</v>
      </c>
      <c r="CM238">
        <v>4010</v>
      </c>
      <c r="CO238">
        <v>7360</v>
      </c>
      <c r="CP238">
        <v>0.4667</v>
      </c>
      <c r="CQ238">
        <v>0.4667</v>
      </c>
      <c r="CR238">
        <v>1</v>
      </c>
      <c r="CS238">
        <v>3</v>
      </c>
      <c r="CT238" t="s">
        <v>5680</v>
      </c>
      <c r="CU238" t="s">
        <v>5681</v>
      </c>
      <c r="CV238" t="s">
        <v>833</v>
      </c>
      <c r="CW238" t="s">
        <v>834</v>
      </c>
      <c r="CX238" t="s">
        <v>5673</v>
      </c>
      <c r="CY238">
        <v>1</v>
      </c>
      <c r="CZ238">
        <v>1</v>
      </c>
      <c r="DA238" t="s">
        <v>833</v>
      </c>
      <c r="DB238" t="s">
        <v>865</v>
      </c>
      <c r="DC238">
        <v>55902</v>
      </c>
      <c r="DD238">
        <v>2.9</v>
      </c>
      <c r="DE238" t="s">
        <v>866</v>
      </c>
      <c r="DG238" t="s">
        <v>867</v>
      </c>
      <c r="DH238" t="s">
        <v>851</v>
      </c>
      <c r="DI238" t="s">
        <v>1266</v>
      </c>
      <c r="DL238" t="s">
        <v>869</v>
      </c>
      <c r="DM238">
        <v>0</v>
      </c>
      <c r="DN238">
        <v>0</v>
      </c>
      <c r="DO238">
        <v>11</v>
      </c>
      <c r="DP238" t="s">
        <v>1010</v>
      </c>
      <c r="DQ238">
        <v>16</v>
      </c>
      <c r="DR238">
        <v>174</v>
      </c>
      <c r="DS238">
        <v>174</v>
      </c>
      <c r="DT238">
        <v>2.4333</v>
      </c>
      <c r="DU238">
        <v>4</v>
      </c>
      <c r="DW238">
        <v>2</v>
      </c>
      <c r="DX238" t="s">
        <v>596</v>
      </c>
      <c r="DY238" t="s">
        <v>5673</v>
      </c>
      <c r="DZ238">
        <v>1</v>
      </c>
      <c r="EA238">
        <v>1</v>
      </c>
      <c r="EB238">
        <v>1</v>
      </c>
      <c r="EC238">
        <v>1</v>
      </c>
      <c r="ED238">
        <v>1</v>
      </c>
      <c r="EE238">
        <v>1</v>
      </c>
      <c r="EF238" t="s">
        <v>871</v>
      </c>
      <c r="EG238" t="s">
        <v>595</v>
      </c>
      <c r="EH238" t="s">
        <v>921</v>
      </c>
      <c r="EI238" t="s">
        <v>921</v>
      </c>
      <c r="EJ238" t="s">
        <v>159</v>
      </c>
      <c r="EK238">
        <v>9090</v>
      </c>
      <c r="EL238">
        <v>0</v>
      </c>
      <c r="EM238" t="s">
        <v>1436</v>
      </c>
      <c r="EN238">
        <v>1</v>
      </c>
      <c r="EO238">
        <v>2.9</v>
      </c>
      <c r="EP238">
        <v>99991120</v>
      </c>
      <c r="EQ238" t="s">
        <v>874</v>
      </c>
      <c r="ER238" t="s">
        <v>875</v>
      </c>
      <c r="ES238" t="s">
        <v>876</v>
      </c>
      <c r="ET238" t="s">
        <v>877</v>
      </c>
      <c r="EU238" t="s">
        <v>877</v>
      </c>
      <c r="EV238" t="s">
        <v>871</v>
      </c>
      <c r="EX238" t="s">
        <v>836</v>
      </c>
      <c r="EY238" t="s">
        <v>1121</v>
      </c>
      <c r="EZ238" t="s">
        <v>2913</v>
      </c>
      <c r="FA238" t="s">
        <v>1212</v>
      </c>
      <c r="FB238">
        <v>1</v>
      </c>
      <c r="FC238">
        <v>1</v>
      </c>
      <c r="FD238" s="41">
        <v>45906</v>
      </c>
      <c r="FE238" t="s">
        <v>880</v>
      </c>
      <c r="FF238">
        <v>7</v>
      </c>
      <c r="FG238" t="s">
        <v>5682</v>
      </c>
      <c r="FH238" t="s">
        <v>5683</v>
      </c>
      <c r="FI238">
        <v>1</v>
      </c>
      <c r="FJ238" t="s">
        <v>5684</v>
      </c>
      <c r="FK238" t="s">
        <v>5685</v>
      </c>
      <c r="FL238">
        <v>1</v>
      </c>
      <c r="FM238" t="s">
        <v>5686</v>
      </c>
      <c r="FN238" t="s">
        <v>5687</v>
      </c>
      <c r="FO238">
        <v>1</v>
      </c>
      <c r="FP238" t="s">
        <v>5688</v>
      </c>
      <c r="FQ238" t="s">
        <v>5681</v>
      </c>
      <c r="FR238">
        <v>1</v>
      </c>
      <c r="FS238" t="s">
        <v>5689</v>
      </c>
      <c r="FT238" t="s">
        <v>5690</v>
      </c>
      <c r="FU238">
        <v>1</v>
      </c>
      <c r="FV238" t="s">
        <v>5691</v>
      </c>
      <c r="FW238" t="s">
        <v>5692</v>
      </c>
      <c r="FX238">
        <v>1</v>
      </c>
      <c r="FY238" t="s">
        <v>890</v>
      </c>
      <c r="FZ238" t="s">
        <v>5693</v>
      </c>
      <c r="GA238" t="s">
        <v>5684</v>
      </c>
      <c r="GB238">
        <v>1</v>
      </c>
      <c r="GD238">
        <v>0</v>
      </c>
      <c r="GF238">
        <v>0</v>
      </c>
      <c r="GG238">
        <v>1</v>
      </c>
      <c r="GH238" t="s">
        <v>892</v>
      </c>
      <c r="GI238" t="s">
        <v>893</v>
      </c>
      <c r="GJ238" t="s">
        <v>5685</v>
      </c>
      <c r="GM238">
        <v>1</v>
      </c>
      <c r="GN238">
        <v>1</v>
      </c>
      <c r="GO238">
        <v>0</v>
      </c>
      <c r="GP238">
        <v>1</v>
      </c>
      <c r="GQ238">
        <v>1</v>
      </c>
      <c r="GR238">
        <v>0</v>
      </c>
      <c r="GS238">
        <v>1</v>
      </c>
      <c r="GT238">
        <v>0</v>
      </c>
      <c r="GU238">
        <v>1</v>
      </c>
      <c r="GV238">
        <v>0</v>
      </c>
      <c r="GW238">
        <v>1</v>
      </c>
      <c r="GX238">
        <v>0</v>
      </c>
      <c r="GY238">
        <v>1</v>
      </c>
      <c r="GZ238">
        <v>0</v>
      </c>
      <c r="HA238" t="s">
        <v>255</v>
      </c>
      <c r="HB238" t="s">
        <v>894</v>
      </c>
      <c r="HC238" t="s">
        <v>895</v>
      </c>
      <c r="HD238" t="s">
        <v>845</v>
      </c>
      <c r="HE238" t="s">
        <v>836</v>
      </c>
      <c r="HF238" t="s">
        <v>873</v>
      </c>
      <c r="HG238" t="s">
        <v>894</v>
      </c>
      <c r="HH238" t="s">
        <v>895</v>
      </c>
      <c r="HI238" t="s">
        <v>845</v>
      </c>
      <c r="HJ238" t="s">
        <v>836</v>
      </c>
      <c r="HK238" t="s">
        <v>1436</v>
      </c>
      <c r="HL238" t="s">
        <v>2903</v>
      </c>
      <c r="HM238" t="s">
        <v>854</v>
      </c>
      <c r="HN238">
        <v>36805</v>
      </c>
      <c r="HP238" t="s">
        <v>159</v>
      </c>
      <c r="HQ238" t="s">
        <v>896</v>
      </c>
      <c r="HR238" t="s">
        <v>896</v>
      </c>
      <c r="HS238" t="s">
        <v>896</v>
      </c>
    </row>
    <row r="239" spans="1:227" x14ac:dyDescent="0.2">
      <c r="A239">
        <v>8702</v>
      </c>
      <c r="B239">
        <v>7521905061</v>
      </c>
      <c r="C239">
        <v>36</v>
      </c>
      <c r="D239" t="s">
        <v>1302</v>
      </c>
      <c r="E239" t="s">
        <v>831</v>
      </c>
      <c r="F239">
        <v>0</v>
      </c>
      <c r="G239" t="s">
        <v>5694</v>
      </c>
      <c r="H239" t="s">
        <v>5694</v>
      </c>
      <c r="I239">
        <v>0</v>
      </c>
      <c r="J239" t="s">
        <v>833</v>
      </c>
      <c r="K239" t="s">
        <v>834</v>
      </c>
      <c r="L239">
        <v>153406569</v>
      </c>
      <c r="M239" t="s">
        <v>1358</v>
      </c>
      <c r="N239" t="s">
        <v>836</v>
      </c>
      <c r="O239" t="s">
        <v>837</v>
      </c>
      <c r="P239" t="s">
        <v>1302</v>
      </c>
      <c r="Q239" t="s">
        <v>1517</v>
      </c>
      <c r="R239" t="s">
        <v>5695</v>
      </c>
      <c r="S239" t="s">
        <v>5696</v>
      </c>
      <c r="T239">
        <v>41477009164</v>
      </c>
      <c r="V239" t="s">
        <v>117</v>
      </c>
      <c r="W239" s="41">
        <v>45877</v>
      </c>
      <c r="X239" t="s">
        <v>5697</v>
      </c>
      <c r="Y239" t="s">
        <v>5698</v>
      </c>
      <c r="AA239">
        <v>0</v>
      </c>
      <c r="AB239" t="s">
        <v>845</v>
      </c>
      <c r="AC239" t="s">
        <v>846</v>
      </c>
      <c r="AD239" t="s">
        <v>847</v>
      </c>
      <c r="AE239" t="s">
        <v>848</v>
      </c>
      <c r="AF239">
        <v>1</v>
      </c>
      <c r="AG239">
        <v>452210</v>
      </c>
      <c r="AH239" t="s">
        <v>849</v>
      </c>
      <c r="AI239" t="s">
        <v>850</v>
      </c>
      <c r="AJ239" t="s">
        <v>851</v>
      </c>
      <c r="AK239" t="s">
        <v>357</v>
      </c>
      <c r="AL239" t="s">
        <v>1735</v>
      </c>
      <c r="AM239" t="s">
        <v>1364</v>
      </c>
      <c r="AN239" t="s">
        <v>854</v>
      </c>
      <c r="AO239">
        <v>36805</v>
      </c>
      <c r="AP239">
        <v>493</v>
      </c>
      <c r="AQ239" t="s">
        <v>855</v>
      </c>
      <c r="AR239">
        <v>66060788</v>
      </c>
      <c r="AS239" t="s">
        <v>856</v>
      </c>
      <c r="AU239" t="s">
        <v>5699</v>
      </c>
      <c r="AV239" t="s">
        <v>5700</v>
      </c>
      <c r="AW239" t="s">
        <v>950</v>
      </c>
      <c r="AX239" t="s">
        <v>951</v>
      </c>
      <c r="AY239" t="s">
        <v>861</v>
      </c>
      <c r="AZ239" t="s">
        <v>357</v>
      </c>
      <c r="BA239" t="s">
        <v>358</v>
      </c>
      <c r="BB239">
        <v>0</v>
      </c>
      <c r="BC239">
        <v>0</v>
      </c>
      <c r="BD239">
        <v>0</v>
      </c>
      <c r="BE239" t="s">
        <v>1358</v>
      </c>
      <c r="BF239">
        <v>0</v>
      </c>
      <c r="BG239">
        <v>0</v>
      </c>
      <c r="BH239" t="s">
        <v>862</v>
      </c>
      <c r="BI239">
        <v>0</v>
      </c>
      <c r="BJ239" t="s">
        <v>862</v>
      </c>
      <c r="BK239">
        <v>1</v>
      </c>
      <c r="BL239">
        <v>0</v>
      </c>
      <c r="BM239">
        <v>0</v>
      </c>
      <c r="BN239" t="s">
        <v>596</v>
      </c>
      <c r="BO239">
        <v>153406569</v>
      </c>
      <c r="BP239" t="s">
        <v>5694</v>
      </c>
      <c r="BQ239">
        <v>38.779366199999998</v>
      </c>
      <c r="BR239">
        <v>42789054</v>
      </c>
      <c r="BS239">
        <v>-90.702766999999994</v>
      </c>
      <c r="BT239">
        <v>0</v>
      </c>
      <c r="CM239">
        <v>4010</v>
      </c>
      <c r="CO239">
        <v>7360</v>
      </c>
      <c r="CP239">
        <v>0.1167</v>
      </c>
      <c r="CQ239">
        <v>0.1167</v>
      </c>
      <c r="CR239">
        <v>0</v>
      </c>
      <c r="CS239">
        <v>3</v>
      </c>
      <c r="CT239" t="s">
        <v>5700</v>
      </c>
      <c r="CU239" t="s">
        <v>5699</v>
      </c>
      <c r="CV239" t="s">
        <v>833</v>
      </c>
      <c r="CW239" t="s">
        <v>834</v>
      </c>
      <c r="CX239" t="s">
        <v>1358</v>
      </c>
      <c r="CY239">
        <v>0</v>
      </c>
      <c r="CZ239">
        <v>0</v>
      </c>
      <c r="DA239" t="s">
        <v>833</v>
      </c>
      <c r="DB239" t="s">
        <v>865</v>
      </c>
      <c r="DC239">
        <v>63368</v>
      </c>
      <c r="DD239">
        <v>11.6</v>
      </c>
      <c r="DE239" t="s">
        <v>866</v>
      </c>
      <c r="DG239" t="s">
        <v>867</v>
      </c>
      <c r="DH239" t="s">
        <v>851</v>
      </c>
      <c r="DL239" t="s">
        <v>869</v>
      </c>
      <c r="DM239">
        <v>0</v>
      </c>
      <c r="DN239">
        <v>0</v>
      </c>
      <c r="DO239">
        <v>2</v>
      </c>
      <c r="DP239" t="s">
        <v>870</v>
      </c>
      <c r="DQ239">
        <v>16</v>
      </c>
      <c r="DR239">
        <v>696</v>
      </c>
      <c r="DS239">
        <v>1416</v>
      </c>
      <c r="DT239">
        <v>11.4833</v>
      </c>
      <c r="DU239">
        <v>4</v>
      </c>
      <c r="DW239">
        <v>2</v>
      </c>
      <c r="DX239" t="s">
        <v>594</v>
      </c>
      <c r="DY239" t="s">
        <v>1358</v>
      </c>
      <c r="DZ239">
        <v>0</v>
      </c>
      <c r="EA239">
        <v>0</v>
      </c>
      <c r="EB239">
        <v>0</v>
      </c>
      <c r="EC239">
        <v>0</v>
      </c>
      <c r="ED239">
        <v>0</v>
      </c>
      <c r="EE239">
        <v>0</v>
      </c>
      <c r="EF239" t="s">
        <v>920</v>
      </c>
      <c r="EG239" t="s">
        <v>595</v>
      </c>
      <c r="EH239" t="s">
        <v>872</v>
      </c>
      <c r="EI239" t="s">
        <v>872</v>
      </c>
      <c r="EJ239" t="s">
        <v>111</v>
      </c>
      <c r="EK239">
        <v>9090</v>
      </c>
      <c r="EL239">
        <v>0</v>
      </c>
      <c r="EM239" t="s">
        <v>1037</v>
      </c>
      <c r="EN239">
        <v>0</v>
      </c>
      <c r="EO239">
        <v>23.6</v>
      </c>
      <c r="EP239">
        <v>99991120</v>
      </c>
      <c r="EQ239" t="s">
        <v>874</v>
      </c>
      <c r="ER239" t="s">
        <v>875</v>
      </c>
      <c r="ES239" t="s">
        <v>876</v>
      </c>
      <c r="ET239" t="s">
        <v>877</v>
      </c>
      <c r="EU239" t="s">
        <v>877</v>
      </c>
      <c r="EV239" t="s">
        <v>920</v>
      </c>
      <c r="EX239" t="s">
        <v>900</v>
      </c>
      <c r="EY239" t="s">
        <v>923</v>
      </c>
      <c r="EZ239" t="s">
        <v>1038</v>
      </c>
      <c r="FA239" t="s">
        <v>925</v>
      </c>
      <c r="FB239">
        <v>1</v>
      </c>
      <c r="FC239">
        <v>1</v>
      </c>
      <c r="FD239" s="41">
        <v>45878</v>
      </c>
      <c r="FE239" t="s">
        <v>987</v>
      </c>
      <c r="FF239">
        <v>7</v>
      </c>
      <c r="FG239" t="s">
        <v>5701</v>
      </c>
      <c r="FH239" t="s">
        <v>5702</v>
      </c>
      <c r="FI239">
        <v>1</v>
      </c>
      <c r="FJ239" t="s">
        <v>5701</v>
      </c>
      <c r="FK239" t="s">
        <v>5702</v>
      </c>
      <c r="FL239">
        <v>1</v>
      </c>
      <c r="FM239" t="s">
        <v>1373</v>
      </c>
      <c r="FN239" t="s">
        <v>5703</v>
      </c>
      <c r="FO239">
        <v>1</v>
      </c>
      <c r="FP239" t="s">
        <v>5704</v>
      </c>
      <c r="FQ239" t="s">
        <v>5705</v>
      </c>
      <c r="FR239">
        <v>1</v>
      </c>
      <c r="FS239" t="s">
        <v>2453</v>
      </c>
      <c r="FT239" t="s">
        <v>5706</v>
      </c>
      <c r="FU239">
        <v>1</v>
      </c>
      <c r="FV239" t="s">
        <v>3278</v>
      </c>
      <c r="FW239" t="s">
        <v>5707</v>
      </c>
      <c r="FX239">
        <v>1</v>
      </c>
      <c r="FY239" t="s">
        <v>890</v>
      </c>
      <c r="FZ239" t="s">
        <v>5708</v>
      </c>
      <c r="GA239" t="s">
        <v>5701</v>
      </c>
      <c r="GB239">
        <v>1</v>
      </c>
      <c r="GD239">
        <v>0</v>
      </c>
      <c r="GF239">
        <v>0</v>
      </c>
      <c r="GG239">
        <v>1</v>
      </c>
      <c r="GH239" t="s">
        <v>892</v>
      </c>
      <c r="GI239" t="s">
        <v>893</v>
      </c>
      <c r="GJ239" t="s">
        <v>5702</v>
      </c>
      <c r="GM239">
        <v>1</v>
      </c>
      <c r="GN239">
        <v>1</v>
      </c>
      <c r="GO239">
        <v>0</v>
      </c>
      <c r="GP239">
        <v>1</v>
      </c>
      <c r="GQ239">
        <v>1</v>
      </c>
      <c r="GR239">
        <v>0</v>
      </c>
      <c r="GS239">
        <v>1</v>
      </c>
      <c r="GT239">
        <v>0</v>
      </c>
      <c r="GU239">
        <v>1</v>
      </c>
      <c r="GV239">
        <v>0</v>
      </c>
      <c r="GW239">
        <v>1</v>
      </c>
      <c r="GX239">
        <v>0</v>
      </c>
      <c r="GY239">
        <v>1</v>
      </c>
      <c r="GZ239">
        <v>0</v>
      </c>
      <c r="HA239" t="s">
        <v>357</v>
      </c>
      <c r="HB239" t="s">
        <v>894</v>
      </c>
      <c r="HC239" t="s">
        <v>895</v>
      </c>
      <c r="HD239" t="s">
        <v>845</v>
      </c>
      <c r="HE239" t="s">
        <v>836</v>
      </c>
      <c r="HF239" t="s">
        <v>1051</v>
      </c>
      <c r="HG239" t="s">
        <v>894</v>
      </c>
      <c r="HH239" t="s">
        <v>895</v>
      </c>
      <c r="HI239" t="s">
        <v>845</v>
      </c>
      <c r="HJ239" t="s">
        <v>836</v>
      </c>
      <c r="HK239" t="s">
        <v>1037</v>
      </c>
      <c r="HL239" t="s">
        <v>117</v>
      </c>
      <c r="HM239" t="s">
        <v>854</v>
      </c>
      <c r="HN239">
        <v>36805</v>
      </c>
      <c r="HP239" t="s">
        <v>111</v>
      </c>
      <c r="HQ239" t="s">
        <v>896</v>
      </c>
      <c r="HR239" t="s">
        <v>896</v>
      </c>
      <c r="HS239" t="s">
        <v>896</v>
      </c>
    </row>
    <row r="240" spans="1:227" x14ac:dyDescent="0.2">
      <c r="A240">
        <v>8702</v>
      </c>
      <c r="B240">
        <v>7535300490</v>
      </c>
      <c r="C240">
        <v>82</v>
      </c>
      <c r="D240" t="s">
        <v>969</v>
      </c>
      <c r="E240" t="s">
        <v>897</v>
      </c>
      <c r="F240">
        <v>0</v>
      </c>
      <c r="G240" t="s">
        <v>5709</v>
      </c>
      <c r="H240" t="s">
        <v>5709</v>
      </c>
      <c r="I240">
        <v>0</v>
      </c>
      <c r="J240" t="s">
        <v>833</v>
      </c>
      <c r="K240" t="s">
        <v>834</v>
      </c>
      <c r="L240">
        <v>152858766</v>
      </c>
      <c r="M240" t="s">
        <v>2571</v>
      </c>
      <c r="N240" t="s">
        <v>900</v>
      </c>
      <c r="O240" t="s">
        <v>837</v>
      </c>
      <c r="P240" t="s">
        <v>5710</v>
      </c>
      <c r="Q240" t="s">
        <v>5711</v>
      </c>
      <c r="R240" t="s">
        <v>5712</v>
      </c>
      <c r="S240" t="s">
        <v>5713</v>
      </c>
      <c r="T240">
        <v>41477050828</v>
      </c>
      <c r="V240" t="s">
        <v>210</v>
      </c>
      <c r="W240" s="41">
        <v>46010</v>
      </c>
      <c r="X240" t="s">
        <v>5714</v>
      </c>
      <c r="Y240" t="s">
        <v>5715</v>
      </c>
      <c r="AA240">
        <v>0</v>
      </c>
      <c r="AB240" t="s">
        <v>845</v>
      </c>
      <c r="AC240" t="s">
        <v>846</v>
      </c>
      <c r="AD240" t="s">
        <v>847</v>
      </c>
      <c r="AE240" t="s">
        <v>848</v>
      </c>
      <c r="AF240">
        <v>1</v>
      </c>
      <c r="AG240">
        <v>452210</v>
      </c>
      <c r="AH240" t="s">
        <v>849</v>
      </c>
      <c r="AI240" t="s">
        <v>850</v>
      </c>
      <c r="AJ240" t="s">
        <v>851</v>
      </c>
      <c r="AK240" t="s">
        <v>423</v>
      </c>
      <c r="AL240" t="s">
        <v>4471</v>
      </c>
      <c r="AM240" t="s">
        <v>1408</v>
      </c>
      <c r="AN240" t="s">
        <v>854</v>
      </c>
      <c r="AO240">
        <v>36805</v>
      </c>
      <c r="AP240">
        <v>648</v>
      </c>
      <c r="AQ240" t="s">
        <v>855</v>
      </c>
      <c r="AR240">
        <v>66252683</v>
      </c>
      <c r="AS240" t="s">
        <v>856</v>
      </c>
      <c r="AU240" t="s">
        <v>5716</v>
      </c>
      <c r="AV240" t="s">
        <v>5717</v>
      </c>
      <c r="AW240" t="s">
        <v>1149</v>
      </c>
      <c r="AX240" t="s">
        <v>1150</v>
      </c>
      <c r="AY240" t="s">
        <v>861</v>
      </c>
      <c r="AZ240" t="s">
        <v>423</v>
      </c>
      <c r="BA240" t="s">
        <v>424</v>
      </c>
      <c r="BB240">
        <v>0</v>
      </c>
      <c r="BC240">
        <v>0</v>
      </c>
      <c r="BD240">
        <v>0</v>
      </c>
      <c r="BE240" t="s">
        <v>2571</v>
      </c>
      <c r="BF240">
        <v>0</v>
      </c>
      <c r="BG240">
        <v>0</v>
      </c>
      <c r="BH240" t="s">
        <v>862</v>
      </c>
      <c r="BI240">
        <v>0</v>
      </c>
      <c r="BJ240" t="s">
        <v>862</v>
      </c>
      <c r="BK240">
        <v>1</v>
      </c>
      <c r="BL240">
        <v>0</v>
      </c>
      <c r="BM240">
        <v>0</v>
      </c>
      <c r="BN240" t="s">
        <v>596</v>
      </c>
      <c r="BO240">
        <v>152858766</v>
      </c>
      <c r="BP240" t="s">
        <v>5709</v>
      </c>
      <c r="BR240">
        <v>42791781</v>
      </c>
      <c r="BT240">
        <v>0</v>
      </c>
      <c r="CM240">
        <v>4010</v>
      </c>
      <c r="CO240">
        <v>7360</v>
      </c>
      <c r="CP240">
        <v>0.16669999999999999</v>
      </c>
      <c r="CQ240">
        <v>0.16669999999999999</v>
      </c>
      <c r="CR240">
        <v>0.31669999999999998</v>
      </c>
      <c r="CS240">
        <v>9</v>
      </c>
      <c r="CT240" t="s">
        <v>5718</v>
      </c>
      <c r="CU240" t="s">
        <v>5719</v>
      </c>
      <c r="CV240" t="s">
        <v>833</v>
      </c>
      <c r="CW240" t="s">
        <v>834</v>
      </c>
      <c r="CX240" t="s">
        <v>2571</v>
      </c>
      <c r="CY240">
        <v>0</v>
      </c>
      <c r="CZ240">
        <v>0</v>
      </c>
      <c r="DA240" t="s">
        <v>833</v>
      </c>
      <c r="DB240" t="s">
        <v>865</v>
      </c>
      <c r="DC240">
        <v>48197</v>
      </c>
      <c r="DD240">
        <v>3.0667</v>
      </c>
      <c r="DE240" t="s">
        <v>866</v>
      </c>
      <c r="DG240" t="s">
        <v>867</v>
      </c>
      <c r="DH240" t="s">
        <v>851</v>
      </c>
      <c r="DI240" t="s">
        <v>2105</v>
      </c>
      <c r="DJ240" t="s">
        <v>2576</v>
      </c>
      <c r="DL240" t="s">
        <v>869</v>
      </c>
      <c r="DM240">
        <v>0</v>
      </c>
      <c r="DN240">
        <v>0</v>
      </c>
      <c r="DO240">
        <v>2</v>
      </c>
      <c r="DP240" t="s">
        <v>870</v>
      </c>
      <c r="DQ240">
        <v>16</v>
      </c>
      <c r="DR240">
        <v>184</v>
      </c>
      <c r="DS240">
        <v>184</v>
      </c>
      <c r="DT240">
        <v>2.9</v>
      </c>
      <c r="DU240">
        <v>4</v>
      </c>
      <c r="DW240">
        <v>2</v>
      </c>
      <c r="DX240" t="s">
        <v>599</v>
      </c>
      <c r="DY240" t="s">
        <v>2571</v>
      </c>
      <c r="DZ240">
        <v>0</v>
      </c>
      <c r="EA240">
        <v>0</v>
      </c>
      <c r="EB240">
        <v>0</v>
      </c>
      <c r="EC240">
        <v>0</v>
      </c>
      <c r="ED240">
        <v>0</v>
      </c>
      <c r="EE240">
        <v>0</v>
      </c>
      <c r="EF240" t="s">
        <v>871</v>
      </c>
      <c r="EG240" t="s">
        <v>595</v>
      </c>
      <c r="EH240" t="s">
        <v>3582</v>
      </c>
      <c r="EI240" t="s">
        <v>3582</v>
      </c>
      <c r="EJ240" t="s">
        <v>178</v>
      </c>
      <c r="EK240">
        <v>9090</v>
      </c>
      <c r="EL240">
        <v>0</v>
      </c>
      <c r="EM240" t="s">
        <v>952</v>
      </c>
      <c r="EN240">
        <v>0.31669999999999998</v>
      </c>
      <c r="EO240">
        <v>3.0666666</v>
      </c>
      <c r="EP240">
        <v>99991120</v>
      </c>
      <c r="EQ240" t="s">
        <v>874</v>
      </c>
      <c r="ER240" t="s">
        <v>875</v>
      </c>
      <c r="ES240" t="s">
        <v>876</v>
      </c>
      <c r="ET240" t="s">
        <v>877</v>
      </c>
      <c r="EU240" t="s">
        <v>877</v>
      </c>
      <c r="EV240" t="s">
        <v>871</v>
      </c>
      <c r="EX240" t="s">
        <v>953</v>
      </c>
      <c r="EY240" t="s">
        <v>954</v>
      </c>
      <c r="EZ240" t="s">
        <v>955</v>
      </c>
      <c r="FA240" t="s">
        <v>956</v>
      </c>
      <c r="FB240">
        <v>1</v>
      </c>
      <c r="FC240">
        <v>1</v>
      </c>
      <c r="FD240" s="41">
        <v>46011</v>
      </c>
      <c r="FE240" t="s">
        <v>957</v>
      </c>
      <c r="FF240">
        <v>5</v>
      </c>
      <c r="FI240">
        <v>0</v>
      </c>
      <c r="FJ240" t="s">
        <v>5720</v>
      </c>
      <c r="FK240" t="s">
        <v>5721</v>
      </c>
      <c r="FL240">
        <v>1</v>
      </c>
      <c r="FM240" t="s">
        <v>3365</v>
      </c>
      <c r="FN240" t="s">
        <v>5722</v>
      </c>
      <c r="FO240">
        <v>1</v>
      </c>
      <c r="FP240" t="s">
        <v>5723</v>
      </c>
      <c r="FQ240" t="s">
        <v>5719</v>
      </c>
      <c r="FR240">
        <v>1</v>
      </c>
      <c r="FS240" t="s">
        <v>4479</v>
      </c>
      <c r="FT240" t="s">
        <v>5724</v>
      </c>
      <c r="FU240">
        <v>1</v>
      </c>
      <c r="FV240" t="s">
        <v>5725</v>
      </c>
      <c r="FW240" t="s">
        <v>5721</v>
      </c>
      <c r="FX240">
        <v>1</v>
      </c>
      <c r="FY240" t="s">
        <v>890</v>
      </c>
      <c r="FZ240" t="s">
        <v>5726</v>
      </c>
      <c r="GA240" t="s">
        <v>5720</v>
      </c>
      <c r="GB240">
        <v>1</v>
      </c>
      <c r="GD240">
        <v>0</v>
      </c>
      <c r="GF240">
        <v>0</v>
      </c>
      <c r="GG240">
        <v>1</v>
      </c>
      <c r="GH240" t="s">
        <v>892</v>
      </c>
      <c r="GI240" t="s">
        <v>893</v>
      </c>
      <c r="GJ240" t="s">
        <v>5721</v>
      </c>
      <c r="GM240">
        <v>1</v>
      </c>
      <c r="GN240">
        <v>1</v>
      </c>
      <c r="GO240">
        <v>0</v>
      </c>
      <c r="GP240">
        <v>1</v>
      </c>
      <c r="GQ240">
        <v>1</v>
      </c>
      <c r="GR240">
        <v>0</v>
      </c>
      <c r="GS240">
        <v>1</v>
      </c>
      <c r="GT240">
        <v>0</v>
      </c>
      <c r="GU240">
        <v>1</v>
      </c>
      <c r="GV240">
        <v>0</v>
      </c>
      <c r="GW240">
        <v>1</v>
      </c>
      <c r="GX240">
        <v>0</v>
      </c>
      <c r="GY240">
        <v>1</v>
      </c>
      <c r="GZ240">
        <v>0</v>
      </c>
      <c r="HA240" t="s">
        <v>423</v>
      </c>
      <c r="HB240" t="s">
        <v>894</v>
      </c>
      <c r="HC240" t="s">
        <v>935</v>
      </c>
      <c r="HD240" t="s">
        <v>845</v>
      </c>
      <c r="HE240" t="s">
        <v>900</v>
      </c>
      <c r="HF240" t="s">
        <v>923</v>
      </c>
      <c r="HG240" t="s">
        <v>894</v>
      </c>
      <c r="HH240" t="s">
        <v>935</v>
      </c>
      <c r="HI240" t="s">
        <v>845</v>
      </c>
      <c r="HJ240" t="s">
        <v>900</v>
      </c>
      <c r="HK240" t="s">
        <v>952</v>
      </c>
      <c r="HL240" t="s">
        <v>210</v>
      </c>
      <c r="HM240" t="s">
        <v>854</v>
      </c>
      <c r="HN240">
        <v>36805</v>
      </c>
      <c r="HP240" t="s">
        <v>178</v>
      </c>
      <c r="HQ240" t="s">
        <v>896</v>
      </c>
      <c r="HR240" t="s">
        <v>896</v>
      </c>
      <c r="HS240" t="s">
        <v>896</v>
      </c>
    </row>
    <row r="241" spans="1:227" x14ac:dyDescent="0.2">
      <c r="A241">
        <v>8702</v>
      </c>
      <c r="B241">
        <v>7528205165</v>
      </c>
      <c r="C241" t="s">
        <v>936</v>
      </c>
      <c r="D241" t="s">
        <v>937</v>
      </c>
      <c r="E241" t="s">
        <v>897</v>
      </c>
      <c r="F241">
        <v>0</v>
      </c>
      <c r="G241" t="s">
        <v>5727</v>
      </c>
      <c r="H241" t="s">
        <v>5727</v>
      </c>
      <c r="I241">
        <v>0</v>
      </c>
      <c r="J241" t="s">
        <v>833</v>
      </c>
      <c r="K241" t="s">
        <v>834</v>
      </c>
      <c r="L241">
        <v>153406467</v>
      </c>
      <c r="M241" t="s">
        <v>1964</v>
      </c>
      <c r="N241" t="s">
        <v>900</v>
      </c>
      <c r="O241" t="s">
        <v>837</v>
      </c>
      <c r="P241" t="s">
        <v>940</v>
      </c>
      <c r="Q241" t="s">
        <v>2404</v>
      </c>
      <c r="R241" t="s">
        <v>5728</v>
      </c>
      <c r="S241" t="s">
        <v>5729</v>
      </c>
      <c r="T241">
        <v>41477122910</v>
      </c>
      <c r="V241" t="s">
        <v>133</v>
      </c>
      <c r="W241" s="41">
        <v>45939</v>
      </c>
      <c r="X241" t="s">
        <v>5730</v>
      </c>
      <c r="Y241" t="s">
        <v>5731</v>
      </c>
      <c r="AA241">
        <v>0</v>
      </c>
      <c r="AB241" t="s">
        <v>845</v>
      </c>
      <c r="AC241" t="s">
        <v>846</v>
      </c>
      <c r="AD241" t="s">
        <v>847</v>
      </c>
      <c r="AE241" t="s">
        <v>848</v>
      </c>
      <c r="AF241">
        <v>1</v>
      </c>
      <c r="AG241">
        <v>452210</v>
      </c>
      <c r="AH241" t="s">
        <v>849</v>
      </c>
      <c r="AI241" t="s">
        <v>850</v>
      </c>
      <c r="AJ241" t="s">
        <v>851</v>
      </c>
      <c r="AK241" t="s">
        <v>259</v>
      </c>
      <c r="AL241" t="s">
        <v>1547</v>
      </c>
      <c r="AM241" t="s">
        <v>1970</v>
      </c>
      <c r="AN241" t="s">
        <v>854</v>
      </c>
      <c r="AO241">
        <v>36805</v>
      </c>
      <c r="AP241">
        <v>532</v>
      </c>
      <c r="AQ241" t="s">
        <v>855</v>
      </c>
      <c r="AR241">
        <v>66149966</v>
      </c>
      <c r="AS241" t="s">
        <v>856</v>
      </c>
      <c r="AU241" t="s">
        <v>5732</v>
      </c>
      <c r="AV241" t="s">
        <v>5733</v>
      </c>
      <c r="AX241" t="s">
        <v>913</v>
      </c>
      <c r="AY241" t="s">
        <v>861</v>
      </c>
      <c r="AZ241" t="s">
        <v>259</v>
      </c>
      <c r="BA241" t="s">
        <v>260</v>
      </c>
      <c r="BB241">
        <v>1</v>
      </c>
      <c r="BC241">
        <v>0</v>
      </c>
      <c r="BD241">
        <v>0</v>
      </c>
      <c r="BE241" t="s">
        <v>1964</v>
      </c>
      <c r="BF241">
        <v>0</v>
      </c>
      <c r="BG241">
        <v>0</v>
      </c>
      <c r="BH241" t="s">
        <v>862</v>
      </c>
      <c r="BI241">
        <v>0</v>
      </c>
      <c r="BJ241" t="s">
        <v>862</v>
      </c>
      <c r="BK241">
        <v>1</v>
      </c>
      <c r="BL241">
        <v>0</v>
      </c>
      <c r="BM241">
        <v>0</v>
      </c>
      <c r="BN241" t="s">
        <v>596</v>
      </c>
      <c r="BO241">
        <v>153406467</v>
      </c>
      <c r="BP241" t="s">
        <v>5727</v>
      </c>
      <c r="BR241">
        <v>42791447</v>
      </c>
      <c r="BT241">
        <v>0</v>
      </c>
      <c r="CM241">
        <v>4010</v>
      </c>
      <c r="CO241">
        <v>7360</v>
      </c>
      <c r="CP241">
        <v>1.3332999999999999</v>
      </c>
      <c r="CQ241">
        <v>1.3332999999999999</v>
      </c>
      <c r="CR241">
        <v>0.43330000000000002</v>
      </c>
      <c r="CS241">
        <v>0</v>
      </c>
      <c r="CT241" t="s">
        <v>5733</v>
      </c>
      <c r="CU241" t="s">
        <v>5732</v>
      </c>
      <c r="CV241" t="s">
        <v>833</v>
      </c>
      <c r="CW241" t="s">
        <v>834</v>
      </c>
      <c r="CX241" t="s">
        <v>1964</v>
      </c>
      <c r="CY241">
        <v>1</v>
      </c>
      <c r="CZ241">
        <v>1</v>
      </c>
      <c r="DA241" t="s">
        <v>833</v>
      </c>
      <c r="DB241" t="s">
        <v>865</v>
      </c>
      <c r="DC241">
        <v>46234</v>
      </c>
      <c r="DD241">
        <v>2.8332999999999999</v>
      </c>
      <c r="DE241" t="s">
        <v>866</v>
      </c>
      <c r="DG241" t="s">
        <v>867</v>
      </c>
      <c r="DH241" t="s">
        <v>851</v>
      </c>
      <c r="DJ241">
        <v>532</v>
      </c>
      <c r="DL241" t="s">
        <v>869</v>
      </c>
      <c r="DM241">
        <v>0</v>
      </c>
      <c r="DN241">
        <v>0</v>
      </c>
      <c r="DO241">
        <v>11</v>
      </c>
      <c r="DP241" t="s">
        <v>1010</v>
      </c>
      <c r="DQ241">
        <v>16</v>
      </c>
      <c r="DR241">
        <v>170</v>
      </c>
      <c r="DS241">
        <v>170</v>
      </c>
      <c r="DT241">
        <v>0.66669999999999996</v>
      </c>
      <c r="DU241">
        <v>4</v>
      </c>
      <c r="DW241">
        <v>2</v>
      </c>
      <c r="DX241" t="s">
        <v>596</v>
      </c>
      <c r="DY241" t="s">
        <v>1964</v>
      </c>
      <c r="DZ241">
        <v>0</v>
      </c>
      <c r="EA241">
        <v>0</v>
      </c>
      <c r="EB241">
        <v>0</v>
      </c>
      <c r="EC241">
        <v>0</v>
      </c>
      <c r="ED241">
        <v>0</v>
      </c>
      <c r="EE241">
        <v>0</v>
      </c>
      <c r="EF241" t="s">
        <v>871</v>
      </c>
      <c r="EG241" t="s">
        <v>595</v>
      </c>
      <c r="EH241" t="s">
        <v>921</v>
      </c>
      <c r="EI241" t="s">
        <v>921</v>
      </c>
      <c r="EJ241" t="s">
        <v>134</v>
      </c>
      <c r="EK241">
        <v>9090</v>
      </c>
      <c r="EL241">
        <v>1</v>
      </c>
      <c r="EM241" t="s">
        <v>1011</v>
      </c>
      <c r="EN241">
        <v>0.43330000000000002</v>
      </c>
      <c r="EO241">
        <v>2.8333333000000001</v>
      </c>
      <c r="EP241">
        <v>99991120</v>
      </c>
      <c r="EQ241" t="s">
        <v>874</v>
      </c>
      <c r="ER241" t="s">
        <v>875</v>
      </c>
      <c r="ES241" t="s">
        <v>876</v>
      </c>
      <c r="ET241" t="s">
        <v>877</v>
      </c>
      <c r="EU241" t="s">
        <v>877</v>
      </c>
      <c r="EV241" t="s">
        <v>871</v>
      </c>
      <c r="EX241" t="s">
        <v>953</v>
      </c>
      <c r="EY241" t="s">
        <v>1555</v>
      </c>
      <c r="EZ241" t="s">
        <v>1013</v>
      </c>
      <c r="FA241" t="s">
        <v>925</v>
      </c>
      <c r="FB241">
        <v>1</v>
      </c>
      <c r="FC241">
        <v>2</v>
      </c>
      <c r="FD241" s="41">
        <v>45941</v>
      </c>
      <c r="FE241" t="s">
        <v>1039</v>
      </c>
      <c r="FF241">
        <v>10</v>
      </c>
      <c r="FG241" t="s">
        <v>5734</v>
      </c>
      <c r="FH241" t="s">
        <v>5735</v>
      </c>
      <c r="FI241">
        <v>1</v>
      </c>
      <c r="FJ241" t="s">
        <v>5736</v>
      </c>
      <c r="FK241" t="s">
        <v>5737</v>
      </c>
      <c r="FL241">
        <v>1</v>
      </c>
      <c r="FM241" t="s">
        <v>1980</v>
      </c>
      <c r="FN241" t="s">
        <v>5738</v>
      </c>
      <c r="FO241">
        <v>1</v>
      </c>
      <c r="FP241" t="s">
        <v>5739</v>
      </c>
      <c r="FQ241" t="s">
        <v>5732</v>
      </c>
      <c r="FR241">
        <v>1</v>
      </c>
      <c r="FS241" t="s">
        <v>1934</v>
      </c>
      <c r="FT241" t="s">
        <v>5740</v>
      </c>
      <c r="FU241">
        <v>1</v>
      </c>
      <c r="FV241" t="s">
        <v>5741</v>
      </c>
      <c r="FW241" t="s">
        <v>5742</v>
      </c>
      <c r="FX241">
        <v>1</v>
      </c>
      <c r="FY241" t="s">
        <v>890</v>
      </c>
      <c r="FZ241" t="s">
        <v>5743</v>
      </c>
      <c r="GA241" t="s">
        <v>5734</v>
      </c>
      <c r="GB241">
        <v>1</v>
      </c>
      <c r="GD241">
        <v>0</v>
      </c>
      <c r="GF241">
        <v>0</v>
      </c>
      <c r="GG241">
        <v>1</v>
      </c>
      <c r="GH241" t="s">
        <v>892</v>
      </c>
      <c r="GI241" t="s">
        <v>893</v>
      </c>
      <c r="GJ241" t="s">
        <v>5735</v>
      </c>
      <c r="GM241">
        <v>1</v>
      </c>
      <c r="GN241">
        <v>0</v>
      </c>
      <c r="GO241">
        <v>0</v>
      </c>
      <c r="GP241">
        <v>1</v>
      </c>
      <c r="GQ241">
        <v>1</v>
      </c>
      <c r="GR241">
        <v>0</v>
      </c>
      <c r="GS241">
        <v>1</v>
      </c>
      <c r="GT241">
        <v>0</v>
      </c>
      <c r="GU241">
        <v>1</v>
      </c>
      <c r="GV241">
        <v>0</v>
      </c>
      <c r="GW241">
        <v>1</v>
      </c>
      <c r="GX241">
        <v>0</v>
      </c>
      <c r="GY241">
        <v>1</v>
      </c>
      <c r="GZ241">
        <v>0</v>
      </c>
      <c r="HA241" t="s">
        <v>259</v>
      </c>
      <c r="HB241" t="s">
        <v>894</v>
      </c>
      <c r="HC241" t="s">
        <v>935</v>
      </c>
      <c r="HD241" t="s">
        <v>845</v>
      </c>
      <c r="HE241" t="s">
        <v>900</v>
      </c>
      <c r="HF241" t="s">
        <v>1012</v>
      </c>
      <c r="HG241" t="s">
        <v>894</v>
      </c>
      <c r="HH241" t="s">
        <v>935</v>
      </c>
      <c r="HI241" t="s">
        <v>845</v>
      </c>
      <c r="HJ241" t="s">
        <v>900</v>
      </c>
      <c r="HK241" t="s">
        <v>1011</v>
      </c>
      <c r="HL241" t="s">
        <v>133</v>
      </c>
      <c r="HM241" t="s">
        <v>854</v>
      </c>
      <c r="HN241">
        <v>36805</v>
      </c>
      <c r="HP241" t="s">
        <v>134</v>
      </c>
      <c r="HQ241" t="s">
        <v>896</v>
      </c>
      <c r="HR241" t="s">
        <v>896</v>
      </c>
      <c r="HS241" t="s">
        <v>896</v>
      </c>
    </row>
    <row r="242" spans="1:227" x14ac:dyDescent="0.2">
      <c r="A242">
        <v>8702</v>
      </c>
      <c r="B242">
        <v>7621706232</v>
      </c>
      <c r="C242" t="s">
        <v>829</v>
      </c>
      <c r="D242" t="s">
        <v>830</v>
      </c>
      <c r="E242" t="s">
        <v>897</v>
      </c>
      <c r="F242">
        <v>1</v>
      </c>
      <c r="G242" t="s">
        <v>5744</v>
      </c>
      <c r="H242" t="s">
        <v>5744</v>
      </c>
      <c r="I242">
        <v>0</v>
      </c>
      <c r="J242" t="s">
        <v>833</v>
      </c>
      <c r="K242" t="s">
        <v>834</v>
      </c>
      <c r="L242">
        <v>152946619</v>
      </c>
      <c r="M242" t="s">
        <v>3886</v>
      </c>
      <c r="N242" t="s">
        <v>900</v>
      </c>
      <c r="O242" t="s">
        <v>837</v>
      </c>
      <c r="P242" t="s">
        <v>838</v>
      </c>
      <c r="Q242" t="s">
        <v>901</v>
      </c>
      <c r="R242" t="s">
        <v>5745</v>
      </c>
      <c r="S242" t="s">
        <v>5746</v>
      </c>
      <c r="T242">
        <v>30300136758</v>
      </c>
      <c r="V242" t="s">
        <v>200</v>
      </c>
      <c r="W242" s="41">
        <v>46239</v>
      </c>
      <c r="X242" t="s">
        <v>5747</v>
      </c>
      <c r="Y242" t="s">
        <v>5748</v>
      </c>
      <c r="AA242">
        <v>0</v>
      </c>
      <c r="AB242" t="s">
        <v>845</v>
      </c>
      <c r="AC242" t="s">
        <v>846</v>
      </c>
      <c r="AD242" t="s">
        <v>907</v>
      </c>
      <c r="AE242" t="s">
        <v>908</v>
      </c>
      <c r="AF242">
        <v>1</v>
      </c>
      <c r="AG242">
        <v>452210</v>
      </c>
      <c r="AH242" t="s">
        <v>849</v>
      </c>
      <c r="AI242" t="s">
        <v>850</v>
      </c>
      <c r="AJ242" t="s">
        <v>851</v>
      </c>
      <c r="AK242" t="s">
        <v>267</v>
      </c>
      <c r="AL242" t="s">
        <v>3244</v>
      </c>
      <c r="AM242" t="s">
        <v>3245</v>
      </c>
      <c r="AN242" t="s">
        <v>854</v>
      </c>
      <c r="AO242">
        <v>36805</v>
      </c>
      <c r="AP242">
        <v>642</v>
      </c>
      <c r="AQ242" t="s">
        <v>855</v>
      </c>
      <c r="AR242">
        <v>66582284</v>
      </c>
      <c r="AS242" t="s">
        <v>856</v>
      </c>
      <c r="AU242" t="s">
        <v>5749</v>
      </c>
      <c r="AV242" t="s">
        <v>5750</v>
      </c>
      <c r="AX242" t="s">
        <v>913</v>
      </c>
      <c r="AY242" t="s">
        <v>861</v>
      </c>
      <c r="AZ242" t="s">
        <v>267</v>
      </c>
      <c r="BA242" t="s">
        <v>268</v>
      </c>
      <c r="BB242">
        <v>0</v>
      </c>
      <c r="BC242">
        <v>0</v>
      </c>
      <c r="BD242">
        <v>0</v>
      </c>
      <c r="BE242" t="s">
        <v>3886</v>
      </c>
      <c r="BF242">
        <v>0</v>
      </c>
      <c r="BG242">
        <v>0</v>
      </c>
      <c r="BH242" t="s">
        <v>862</v>
      </c>
      <c r="BI242">
        <v>0</v>
      </c>
      <c r="BJ242" t="s">
        <v>862</v>
      </c>
      <c r="BK242">
        <v>1</v>
      </c>
      <c r="BL242">
        <v>1</v>
      </c>
      <c r="BM242">
        <v>0</v>
      </c>
      <c r="BN242" t="s">
        <v>596</v>
      </c>
      <c r="BO242">
        <v>152946619</v>
      </c>
      <c r="BP242" t="s">
        <v>5744</v>
      </c>
      <c r="BR242">
        <v>42791773</v>
      </c>
      <c r="BT242">
        <v>2</v>
      </c>
      <c r="BU242" t="s">
        <v>914</v>
      </c>
      <c r="BY242">
        <v>16</v>
      </c>
      <c r="CA242">
        <v>4</v>
      </c>
      <c r="CE242">
        <v>1</v>
      </c>
      <c r="CI242">
        <v>11</v>
      </c>
      <c r="CJ242" t="s">
        <v>94</v>
      </c>
      <c r="CM242">
        <v>4010</v>
      </c>
      <c r="CO242">
        <v>7360</v>
      </c>
      <c r="CP242">
        <v>1.3</v>
      </c>
      <c r="CQ242">
        <v>1.3</v>
      </c>
      <c r="CR242">
        <v>0.4</v>
      </c>
      <c r="CS242">
        <v>6</v>
      </c>
      <c r="CT242" t="s">
        <v>5750</v>
      </c>
      <c r="CU242" t="s">
        <v>5749</v>
      </c>
      <c r="CV242" t="s">
        <v>833</v>
      </c>
      <c r="CW242" t="s">
        <v>834</v>
      </c>
      <c r="CX242" t="s">
        <v>3886</v>
      </c>
      <c r="CY242">
        <v>0</v>
      </c>
      <c r="CZ242">
        <v>0</v>
      </c>
      <c r="DA242" t="s">
        <v>833</v>
      </c>
      <c r="DB242" t="s">
        <v>865</v>
      </c>
      <c r="DC242">
        <v>48168</v>
      </c>
      <c r="DD242">
        <v>3.85</v>
      </c>
      <c r="DE242" t="s">
        <v>866</v>
      </c>
      <c r="DG242" t="s">
        <v>867</v>
      </c>
      <c r="DH242" t="s">
        <v>851</v>
      </c>
      <c r="DI242" t="s">
        <v>3895</v>
      </c>
      <c r="DK242" t="s">
        <v>918</v>
      </c>
      <c r="DL242" t="s">
        <v>869</v>
      </c>
      <c r="DM242">
        <v>0</v>
      </c>
      <c r="DN242">
        <v>0</v>
      </c>
      <c r="DO242">
        <v>3</v>
      </c>
      <c r="DP242" t="s">
        <v>919</v>
      </c>
      <c r="DQ242">
        <v>16</v>
      </c>
      <c r="DR242">
        <v>231</v>
      </c>
      <c r="DS242">
        <v>231</v>
      </c>
      <c r="DT242">
        <v>2.5499999999999998</v>
      </c>
      <c r="DU242">
        <v>4</v>
      </c>
      <c r="DV242">
        <v>1</v>
      </c>
      <c r="DW242">
        <v>2</v>
      </c>
      <c r="DX242" t="s">
        <v>596</v>
      </c>
      <c r="DY242" t="s">
        <v>3886</v>
      </c>
      <c r="DZ242">
        <v>1</v>
      </c>
      <c r="EA242">
        <v>1</v>
      </c>
      <c r="EB242">
        <v>1</v>
      </c>
      <c r="EC242">
        <v>1</v>
      </c>
      <c r="ED242">
        <v>1</v>
      </c>
      <c r="EE242">
        <v>1</v>
      </c>
      <c r="EF242" t="s">
        <v>920</v>
      </c>
      <c r="EG242" t="s">
        <v>595</v>
      </c>
      <c r="EH242" t="s">
        <v>921</v>
      </c>
      <c r="EI242" t="s">
        <v>921</v>
      </c>
      <c r="EJ242" t="s">
        <v>178</v>
      </c>
      <c r="EK242">
        <v>9090</v>
      </c>
      <c r="EL242">
        <v>0</v>
      </c>
      <c r="EM242" t="s">
        <v>952</v>
      </c>
      <c r="EN242">
        <v>0.91669999999999996</v>
      </c>
      <c r="EO242">
        <v>3.85</v>
      </c>
      <c r="EP242">
        <v>99991120</v>
      </c>
      <c r="EQ242" t="s">
        <v>874</v>
      </c>
      <c r="ER242" t="s">
        <v>875</v>
      </c>
      <c r="ES242" t="s">
        <v>876</v>
      </c>
      <c r="ET242" t="s">
        <v>877</v>
      </c>
      <c r="EU242" t="s">
        <v>877</v>
      </c>
      <c r="EV242" t="s">
        <v>920</v>
      </c>
      <c r="EX242" t="s">
        <v>900</v>
      </c>
      <c r="EY242" t="s">
        <v>923</v>
      </c>
      <c r="EZ242" t="s">
        <v>955</v>
      </c>
      <c r="FA242" t="s">
        <v>956</v>
      </c>
      <c r="FB242">
        <v>1</v>
      </c>
      <c r="FC242">
        <v>1</v>
      </c>
      <c r="FD242" s="41">
        <v>46242</v>
      </c>
      <c r="FE242" t="s">
        <v>926</v>
      </c>
      <c r="FF242">
        <v>6</v>
      </c>
      <c r="FG242" t="s">
        <v>3249</v>
      </c>
      <c r="FH242" t="s">
        <v>5751</v>
      </c>
      <c r="FI242">
        <v>1</v>
      </c>
      <c r="FJ242" t="s">
        <v>5752</v>
      </c>
      <c r="FK242" t="s">
        <v>5753</v>
      </c>
      <c r="FL242">
        <v>1</v>
      </c>
      <c r="FM242" t="s">
        <v>5754</v>
      </c>
      <c r="FN242" t="s">
        <v>5755</v>
      </c>
      <c r="FO242">
        <v>1</v>
      </c>
      <c r="FP242" t="s">
        <v>5756</v>
      </c>
      <c r="FQ242" t="s">
        <v>5749</v>
      </c>
      <c r="FR242">
        <v>1</v>
      </c>
      <c r="FS242" t="s">
        <v>5757</v>
      </c>
      <c r="FT242" t="s">
        <v>5758</v>
      </c>
      <c r="FU242">
        <v>1</v>
      </c>
      <c r="FV242" t="s">
        <v>5759</v>
      </c>
      <c r="FW242" t="s">
        <v>5760</v>
      </c>
      <c r="FX242">
        <v>1</v>
      </c>
      <c r="FY242" t="s">
        <v>890</v>
      </c>
      <c r="FZ242" t="s">
        <v>5761</v>
      </c>
      <c r="GA242" t="s">
        <v>5752</v>
      </c>
      <c r="GB242">
        <v>1</v>
      </c>
      <c r="GD242">
        <v>0</v>
      </c>
      <c r="GF242">
        <v>0</v>
      </c>
      <c r="GG242">
        <v>1</v>
      </c>
      <c r="GH242" t="s">
        <v>892</v>
      </c>
      <c r="GI242" t="s">
        <v>893</v>
      </c>
      <c r="GJ242" t="s">
        <v>5753</v>
      </c>
      <c r="GM242">
        <v>1</v>
      </c>
      <c r="GN242">
        <v>1</v>
      </c>
      <c r="GO242">
        <v>0</v>
      </c>
      <c r="GP242">
        <v>1</v>
      </c>
      <c r="GQ242">
        <v>1</v>
      </c>
      <c r="GR242">
        <v>0</v>
      </c>
      <c r="GS242">
        <v>1</v>
      </c>
      <c r="GT242">
        <v>0</v>
      </c>
      <c r="GU242">
        <v>1</v>
      </c>
      <c r="GV242">
        <v>0</v>
      </c>
      <c r="GW242">
        <v>1</v>
      </c>
      <c r="GX242">
        <v>0</v>
      </c>
      <c r="GY242">
        <v>1</v>
      </c>
      <c r="GZ242">
        <v>0</v>
      </c>
      <c r="HA242" t="s">
        <v>267</v>
      </c>
      <c r="HB242" t="s">
        <v>894</v>
      </c>
      <c r="HC242" t="s">
        <v>935</v>
      </c>
      <c r="HD242" t="s">
        <v>845</v>
      </c>
      <c r="HE242" t="s">
        <v>900</v>
      </c>
      <c r="HF242" t="s">
        <v>923</v>
      </c>
      <c r="HG242" t="s">
        <v>894</v>
      </c>
      <c r="HH242" t="s">
        <v>935</v>
      </c>
      <c r="HI242" t="s">
        <v>845</v>
      </c>
      <c r="HJ242" t="s">
        <v>900</v>
      </c>
      <c r="HK242" t="s">
        <v>952</v>
      </c>
      <c r="HL242" t="s">
        <v>200</v>
      </c>
      <c r="HM242" t="s">
        <v>854</v>
      </c>
      <c r="HN242">
        <v>36805</v>
      </c>
      <c r="HP242" t="s">
        <v>178</v>
      </c>
      <c r="HQ242" t="s">
        <v>896</v>
      </c>
      <c r="HR242" t="s">
        <v>896</v>
      </c>
      <c r="HS242" t="s">
        <v>896</v>
      </c>
    </row>
    <row r="243" spans="1:227" x14ac:dyDescent="0.2">
      <c r="A243">
        <v>8702</v>
      </c>
      <c r="B243">
        <v>7600903511</v>
      </c>
      <c r="C243">
        <v>36</v>
      </c>
      <c r="D243" t="s">
        <v>1302</v>
      </c>
      <c r="E243" t="s">
        <v>831</v>
      </c>
      <c r="F243">
        <v>0</v>
      </c>
      <c r="G243" t="s">
        <v>5762</v>
      </c>
      <c r="H243" t="s">
        <v>5762</v>
      </c>
      <c r="I243">
        <v>0</v>
      </c>
      <c r="J243" t="s">
        <v>833</v>
      </c>
      <c r="K243" t="s">
        <v>834</v>
      </c>
      <c r="L243">
        <v>153008216</v>
      </c>
      <c r="M243" t="s">
        <v>5370</v>
      </c>
      <c r="N243" t="s">
        <v>836</v>
      </c>
      <c r="O243" t="s">
        <v>837</v>
      </c>
      <c r="P243" t="s">
        <v>1302</v>
      </c>
      <c r="Q243" t="s">
        <v>5763</v>
      </c>
      <c r="R243" t="s">
        <v>5764</v>
      </c>
      <c r="S243" t="s">
        <v>5765</v>
      </c>
      <c r="T243">
        <v>41477010629</v>
      </c>
      <c r="V243" t="s">
        <v>1109</v>
      </c>
      <c r="W243" s="41">
        <v>46035</v>
      </c>
      <c r="X243" t="s">
        <v>5766</v>
      </c>
      <c r="Y243" t="s">
        <v>5767</v>
      </c>
      <c r="Z243" t="s">
        <v>5768</v>
      </c>
      <c r="AA243">
        <v>0</v>
      </c>
      <c r="AB243" t="s">
        <v>845</v>
      </c>
      <c r="AC243" t="s">
        <v>846</v>
      </c>
      <c r="AD243" t="s">
        <v>847</v>
      </c>
      <c r="AE243" t="s">
        <v>848</v>
      </c>
      <c r="AF243">
        <v>1</v>
      </c>
      <c r="AG243">
        <v>452210</v>
      </c>
      <c r="AH243" t="s">
        <v>849</v>
      </c>
      <c r="AI243" t="s">
        <v>850</v>
      </c>
      <c r="AJ243" t="s">
        <v>851</v>
      </c>
      <c r="AK243" t="s">
        <v>326</v>
      </c>
      <c r="AL243" t="s">
        <v>4004</v>
      </c>
      <c r="AM243" t="s">
        <v>1116</v>
      </c>
      <c r="AN243" t="s">
        <v>854</v>
      </c>
      <c r="AO243">
        <v>36805</v>
      </c>
      <c r="AP243">
        <v>545</v>
      </c>
      <c r="AQ243" t="s">
        <v>855</v>
      </c>
      <c r="AR243">
        <v>66288427</v>
      </c>
      <c r="AS243" t="s">
        <v>856</v>
      </c>
      <c r="AU243" t="s">
        <v>5769</v>
      </c>
      <c r="AV243" t="s">
        <v>5770</v>
      </c>
      <c r="AW243" t="s">
        <v>1185</v>
      </c>
      <c r="AX243" t="s">
        <v>1186</v>
      </c>
      <c r="AY243" t="s">
        <v>861</v>
      </c>
      <c r="AZ243" t="s">
        <v>326</v>
      </c>
      <c r="BA243" t="s">
        <v>327</v>
      </c>
      <c r="BB243">
        <v>0</v>
      </c>
      <c r="BC243">
        <v>1</v>
      </c>
      <c r="BD243">
        <v>0</v>
      </c>
      <c r="BE243" t="s">
        <v>5370</v>
      </c>
      <c r="BF243">
        <v>0</v>
      </c>
      <c r="BG243">
        <v>0</v>
      </c>
      <c r="BH243" t="s">
        <v>862</v>
      </c>
      <c r="BI243">
        <v>0</v>
      </c>
      <c r="BJ243" t="s">
        <v>862</v>
      </c>
      <c r="BK243">
        <v>1</v>
      </c>
      <c r="BL243">
        <v>0</v>
      </c>
      <c r="BM243">
        <v>0</v>
      </c>
      <c r="BN243" t="s">
        <v>596</v>
      </c>
      <c r="BO243">
        <v>153008216</v>
      </c>
      <c r="BP243" t="s">
        <v>5762</v>
      </c>
      <c r="BQ243">
        <v>45.052397999999997</v>
      </c>
      <c r="BR243">
        <v>42791461</v>
      </c>
      <c r="BS243">
        <v>-93.061906800000003</v>
      </c>
      <c r="BT243">
        <v>1</v>
      </c>
      <c r="BU243" t="s">
        <v>1367</v>
      </c>
      <c r="CI243">
        <v>11</v>
      </c>
      <c r="CJ243" t="s">
        <v>94</v>
      </c>
      <c r="CM243">
        <v>4010</v>
      </c>
      <c r="CO243">
        <v>7360</v>
      </c>
      <c r="CP243">
        <v>1.6833</v>
      </c>
      <c r="CQ243">
        <v>1.6833</v>
      </c>
      <c r="CR243">
        <v>3.1</v>
      </c>
      <c r="CS243">
        <v>0</v>
      </c>
      <c r="CT243" t="s">
        <v>5770</v>
      </c>
      <c r="CU243" t="s">
        <v>5769</v>
      </c>
      <c r="CV243" t="s">
        <v>833</v>
      </c>
      <c r="CW243" t="s">
        <v>834</v>
      </c>
      <c r="CX243" t="s">
        <v>5370</v>
      </c>
      <c r="CY243">
        <v>1</v>
      </c>
      <c r="CZ243">
        <v>1</v>
      </c>
      <c r="DA243" t="s">
        <v>833</v>
      </c>
      <c r="DB243" t="s">
        <v>865</v>
      </c>
      <c r="DC243">
        <v>55127</v>
      </c>
      <c r="DD243">
        <v>53.433300000000003</v>
      </c>
      <c r="DE243" t="s">
        <v>866</v>
      </c>
      <c r="DG243" t="s">
        <v>867</v>
      </c>
      <c r="DH243" t="s">
        <v>851</v>
      </c>
      <c r="DK243" t="s">
        <v>918</v>
      </c>
      <c r="DL243" t="s">
        <v>869</v>
      </c>
      <c r="DM243">
        <v>0</v>
      </c>
      <c r="DN243">
        <v>0</v>
      </c>
      <c r="DO243">
        <v>48</v>
      </c>
      <c r="DP243" t="s">
        <v>3651</v>
      </c>
      <c r="DQ243">
        <v>16</v>
      </c>
      <c r="DR243">
        <v>2633</v>
      </c>
      <c r="DS243">
        <v>6086</v>
      </c>
      <c r="DT243">
        <v>1.3167</v>
      </c>
      <c r="DU243">
        <v>4</v>
      </c>
      <c r="DV243">
        <v>1</v>
      </c>
      <c r="DW243">
        <v>2</v>
      </c>
      <c r="DX243" t="s">
        <v>594</v>
      </c>
      <c r="DY243" t="s">
        <v>5370</v>
      </c>
      <c r="DZ243">
        <v>0</v>
      </c>
      <c r="EA243">
        <v>0</v>
      </c>
      <c r="EB243">
        <v>0</v>
      </c>
      <c r="EC243">
        <v>0</v>
      </c>
      <c r="ED243">
        <v>0</v>
      </c>
      <c r="EE243">
        <v>0</v>
      </c>
      <c r="EF243" t="s">
        <v>871</v>
      </c>
      <c r="EG243" t="s">
        <v>595</v>
      </c>
      <c r="EH243" t="s">
        <v>872</v>
      </c>
      <c r="EI243" t="s">
        <v>872</v>
      </c>
      <c r="EJ243" t="s">
        <v>159</v>
      </c>
      <c r="EK243">
        <v>9090</v>
      </c>
      <c r="EL243">
        <v>1</v>
      </c>
      <c r="EM243" t="s">
        <v>873</v>
      </c>
      <c r="EN243">
        <v>3.1</v>
      </c>
      <c r="EO243">
        <v>101.4333333</v>
      </c>
      <c r="EP243">
        <v>99991120</v>
      </c>
      <c r="EQ243" t="s">
        <v>874</v>
      </c>
      <c r="ER243" t="s">
        <v>875</v>
      </c>
      <c r="ES243" t="s">
        <v>876</v>
      </c>
      <c r="ET243" t="s">
        <v>877</v>
      </c>
      <c r="EU243" t="s">
        <v>877</v>
      </c>
      <c r="EV243" t="s">
        <v>871</v>
      </c>
      <c r="EX243" t="s">
        <v>836</v>
      </c>
      <c r="EY243" t="s">
        <v>1121</v>
      </c>
      <c r="EZ243" t="s">
        <v>1122</v>
      </c>
      <c r="FA243" t="s">
        <v>956</v>
      </c>
      <c r="FB243">
        <v>1</v>
      </c>
      <c r="FC243">
        <v>3</v>
      </c>
      <c r="FD243" s="41">
        <v>46039</v>
      </c>
      <c r="FE243" t="s">
        <v>1370</v>
      </c>
      <c r="FF243">
        <v>21</v>
      </c>
      <c r="FG243" t="s">
        <v>5771</v>
      </c>
      <c r="FH243" t="s">
        <v>5772</v>
      </c>
      <c r="FI243">
        <v>1</v>
      </c>
      <c r="FJ243" t="s">
        <v>5380</v>
      </c>
      <c r="FK243" t="s">
        <v>5773</v>
      </c>
      <c r="FL243">
        <v>1</v>
      </c>
      <c r="FM243" t="s">
        <v>5774</v>
      </c>
      <c r="FN243" t="s">
        <v>5775</v>
      </c>
      <c r="FO243">
        <v>1</v>
      </c>
      <c r="FP243" t="s">
        <v>5776</v>
      </c>
      <c r="FQ243" t="s">
        <v>5777</v>
      </c>
      <c r="FR243">
        <v>1</v>
      </c>
      <c r="FS243" t="s">
        <v>1502</v>
      </c>
      <c r="FT243" t="s">
        <v>5778</v>
      </c>
      <c r="FU243">
        <v>1</v>
      </c>
      <c r="FV243" t="s">
        <v>2718</v>
      </c>
      <c r="FW243" t="s">
        <v>5779</v>
      </c>
      <c r="FX243">
        <v>1</v>
      </c>
      <c r="FY243" t="s">
        <v>890</v>
      </c>
      <c r="FZ243" t="s">
        <v>5780</v>
      </c>
      <c r="GA243" t="s">
        <v>5771</v>
      </c>
      <c r="GB243">
        <v>1</v>
      </c>
      <c r="GD243">
        <v>0</v>
      </c>
      <c r="GF243">
        <v>0</v>
      </c>
      <c r="GG243">
        <v>1</v>
      </c>
      <c r="GH243" t="s">
        <v>892</v>
      </c>
      <c r="GI243" t="s">
        <v>893</v>
      </c>
      <c r="GJ243" t="s">
        <v>5772</v>
      </c>
      <c r="GM243">
        <v>1</v>
      </c>
      <c r="GN243">
        <v>0</v>
      </c>
      <c r="GO243">
        <v>0</v>
      </c>
      <c r="GP243">
        <v>1</v>
      </c>
      <c r="GQ243">
        <v>1</v>
      </c>
      <c r="GR243">
        <v>0</v>
      </c>
      <c r="GS243">
        <v>1</v>
      </c>
      <c r="GT243">
        <v>0</v>
      </c>
      <c r="GU243">
        <v>1</v>
      </c>
      <c r="GV243">
        <v>0</v>
      </c>
      <c r="GW243">
        <v>1</v>
      </c>
      <c r="GX243">
        <v>0</v>
      </c>
      <c r="GY243">
        <v>1</v>
      </c>
      <c r="GZ243">
        <v>0</v>
      </c>
      <c r="HA243" t="s">
        <v>326</v>
      </c>
      <c r="HB243" t="s">
        <v>894</v>
      </c>
      <c r="HC243" t="s">
        <v>895</v>
      </c>
      <c r="HD243" t="s">
        <v>845</v>
      </c>
      <c r="HE243" t="s">
        <v>836</v>
      </c>
      <c r="HF243" t="s">
        <v>873</v>
      </c>
      <c r="HG243" t="s">
        <v>894</v>
      </c>
      <c r="HH243" t="s">
        <v>895</v>
      </c>
      <c r="HI243" t="s">
        <v>845</v>
      </c>
      <c r="HJ243" t="s">
        <v>836</v>
      </c>
      <c r="HK243" t="s">
        <v>873</v>
      </c>
      <c r="HL243" t="s">
        <v>1109</v>
      </c>
      <c r="HM243" t="s">
        <v>854</v>
      </c>
      <c r="HN243">
        <v>36805</v>
      </c>
      <c r="HO243">
        <v>1</v>
      </c>
      <c r="HP243" t="s">
        <v>159</v>
      </c>
      <c r="HQ243" t="s">
        <v>896</v>
      </c>
      <c r="HR243" t="s">
        <v>896</v>
      </c>
      <c r="HS243" t="s">
        <v>896</v>
      </c>
    </row>
    <row r="244" spans="1:227" x14ac:dyDescent="0.2">
      <c r="A244">
        <v>8702</v>
      </c>
      <c r="B244">
        <v>7609700604</v>
      </c>
      <c r="C244" t="s">
        <v>829</v>
      </c>
      <c r="D244" t="s">
        <v>830</v>
      </c>
      <c r="E244" t="s">
        <v>897</v>
      </c>
      <c r="F244">
        <v>1</v>
      </c>
      <c r="G244" t="s">
        <v>5781</v>
      </c>
      <c r="H244" t="s">
        <v>5781</v>
      </c>
      <c r="I244">
        <v>0</v>
      </c>
      <c r="J244" t="s">
        <v>833</v>
      </c>
      <c r="K244" t="s">
        <v>834</v>
      </c>
      <c r="L244">
        <v>153406486</v>
      </c>
      <c r="M244" t="s">
        <v>5782</v>
      </c>
      <c r="N244" t="s">
        <v>900</v>
      </c>
      <c r="O244" t="s">
        <v>837</v>
      </c>
      <c r="P244" t="s">
        <v>838</v>
      </c>
      <c r="Q244" t="s">
        <v>1251</v>
      </c>
      <c r="R244" t="s">
        <v>5783</v>
      </c>
      <c r="S244" t="s">
        <v>5784</v>
      </c>
      <c r="T244">
        <v>30300098918</v>
      </c>
      <c r="V244" t="s">
        <v>202</v>
      </c>
      <c r="W244" s="41">
        <v>46119</v>
      </c>
      <c r="X244" t="s">
        <v>5785</v>
      </c>
      <c r="Y244" t="s">
        <v>5786</v>
      </c>
      <c r="AA244">
        <v>0</v>
      </c>
      <c r="AB244" t="s">
        <v>845</v>
      </c>
      <c r="AC244" t="s">
        <v>846</v>
      </c>
      <c r="AD244" t="s">
        <v>1113</v>
      </c>
      <c r="AE244" t="s">
        <v>1114</v>
      </c>
      <c r="AF244">
        <v>1</v>
      </c>
      <c r="AG244">
        <v>452210</v>
      </c>
      <c r="AH244" t="s">
        <v>849</v>
      </c>
      <c r="AI244" t="s">
        <v>850</v>
      </c>
      <c r="AJ244" t="s">
        <v>851</v>
      </c>
      <c r="AK244" t="s">
        <v>348</v>
      </c>
      <c r="AL244" t="s">
        <v>5043</v>
      </c>
      <c r="AM244" t="s">
        <v>947</v>
      </c>
      <c r="AN244" t="s">
        <v>854</v>
      </c>
      <c r="AO244">
        <v>36805</v>
      </c>
      <c r="AP244">
        <v>643</v>
      </c>
      <c r="AQ244" t="s">
        <v>855</v>
      </c>
      <c r="AR244">
        <v>66409039</v>
      </c>
      <c r="AS244" t="s">
        <v>856</v>
      </c>
      <c r="AU244" t="s">
        <v>5787</v>
      </c>
      <c r="AV244" t="s">
        <v>5788</v>
      </c>
      <c r="AX244" t="s">
        <v>913</v>
      </c>
      <c r="AY244" t="s">
        <v>861</v>
      </c>
      <c r="AZ244" t="s">
        <v>348</v>
      </c>
      <c r="BA244" t="s">
        <v>349</v>
      </c>
      <c r="BB244">
        <v>0</v>
      </c>
      <c r="BC244">
        <v>0</v>
      </c>
      <c r="BD244">
        <v>0</v>
      </c>
      <c r="BE244" t="s">
        <v>5782</v>
      </c>
      <c r="BF244">
        <v>0</v>
      </c>
      <c r="BG244">
        <v>0</v>
      </c>
      <c r="BH244" t="s">
        <v>862</v>
      </c>
      <c r="BI244">
        <v>0</v>
      </c>
      <c r="BJ244" t="s">
        <v>862</v>
      </c>
      <c r="BK244">
        <v>1</v>
      </c>
      <c r="BL244">
        <v>1</v>
      </c>
      <c r="BM244">
        <v>0</v>
      </c>
      <c r="BN244" t="s">
        <v>596</v>
      </c>
      <c r="BO244">
        <v>153406486</v>
      </c>
      <c r="BP244" t="s">
        <v>5781</v>
      </c>
      <c r="BR244">
        <v>42791774</v>
      </c>
      <c r="BT244">
        <v>2</v>
      </c>
      <c r="BU244" t="s">
        <v>1119</v>
      </c>
      <c r="BY244">
        <v>16</v>
      </c>
      <c r="CA244">
        <v>3</v>
      </c>
      <c r="CE244">
        <v>1</v>
      </c>
      <c r="CI244">
        <v>11</v>
      </c>
      <c r="CJ244" t="s">
        <v>94</v>
      </c>
      <c r="CM244">
        <v>4010</v>
      </c>
      <c r="CO244">
        <v>7360</v>
      </c>
      <c r="CP244">
        <v>1.5166999999999999</v>
      </c>
      <c r="CQ244">
        <v>1.5166999999999999</v>
      </c>
      <c r="CR244">
        <v>0.5</v>
      </c>
      <c r="CS244">
        <v>55</v>
      </c>
      <c r="CT244" t="s">
        <v>5788</v>
      </c>
      <c r="CU244" t="s">
        <v>5787</v>
      </c>
      <c r="CV244" t="s">
        <v>833</v>
      </c>
      <c r="CW244" t="s">
        <v>834</v>
      </c>
      <c r="CX244" t="s">
        <v>5782</v>
      </c>
      <c r="CY244">
        <v>0</v>
      </c>
      <c r="CZ244">
        <v>0</v>
      </c>
      <c r="DA244" t="s">
        <v>833</v>
      </c>
      <c r="DB244" t="s">
        <v>865</v>
      </c>
      <c r="DC244">
        <v>48083</v>
      </c>
      <c r="DD244">
        <v>2.85</v>
      </c>
      <c r="DE244" t="s">
        <v>866</v>
      </c>
      <c r="DG244" t="s">
        <v>867</v>
      </c>
      <c r="DH244" t="s">
        <v>851</v>
      </c>
      <c r="DJ244" t="s">
        <v>5789</v>
      </c>
      <c r="DK244" t="s">
        <v>918</v>
      </c>
      <c r="DL244" t="s">
        <v>869</v>
      </c>
      <c r="DM244">
        <v>0</v>
      </c>
      <c r="DN244">
        <v>0</v>
      </c>
      <c r="DO244">
        <v>3</v>
      </c>
      <c r="DP244" t="s">
        <v>919</v>
      </c>
      <c r="DQ244">
        <v>0</v>
      </c>
      <c r="DR244">
        <v>171</v>
      </c>
      <c r="DS244">
        <v>891</v>
      </c>
      <c r="DT244">
        <v>1.3332999999999999</v>
      </c>
      <c r="DU244">
        <v>0</v>
      </c>
      <c r="DV244">
        <v>1</v>
      </c>
      <c r="DW244">
        <v>2</v>
      </c>
      <c r="DX244" t="s">
        <v>596</v>
      </c>
      <c r="DY244" t="s">
        <v>5782</v>
      </c>
      <c r="DZ244">
        <v>1</v>
      </c>
      <c r="EA244">
        <v>1</v>
      </c>
      <c r="EB244">
        <v>1</v>
      </c>
      <c r="EC244">
        <v>1</v>
      </c>
      <c r="ED244">
        <v>1</v>
      </c>
      <c r="EE244">
        <v>1</v>
      </c>
      <c r="EF244" t="s">
        <v>920</v>
      </c>
      <c r="EG244" t="s">
        <v>595</v>
      </c>
      <c r="EH244" t="s">
        <v>921</v>
      </c>
      <c r="EI244" t="s">
        <v>921</v>
      </c>
      <c r="EJ244" t="s">
        <v>178</v>
      </c>
      <c r="EK244">
        <v>9090</v>
      </c>
      <c r="EL244">
        <v>0</v>
      </c>
      <c r="EM244" t="s">
        <v>952</v>
      </c>
      <c r="EN244">
        <v>0.5</v>
      </c>
      <c r="EO244">
        <v>14.85</v>
      </c>
      <c r="EP244">
        <v>99991120</v>
      </c>
      <c r="EQ244" t="s">
        <v>874</v>
      </c>
      <c r="ER244" t="s">
        <v>875</v>
      </c>
      <c r="ES244" t="s">
        <v>876</v>
      </c>
      <c r="ET244" t="s">
        <v>877</v>
      </c>
      <c r="EU244" t="s">
        <v>877</v>
      </c>
      <c r="EV244" t="s">
        <v>920</v>
      </c>
      <c r="EX244" t="s">
        <v>953</v>
      </c>
      <c r="EY244" t="s">
        <v>954</v>
      </c>
      <c r="EZ244" t="s">
        <v>955</v>
      </c>
      <c r="FA244" t="s">
        <v>956</v>
      </c>
      <c r="FB244">
        <v>1</v>
      </c>
      <c r="FC244">
        <v>1</v>
      </c>
      <c r="FD244" s="41">
        <v>46123</v>
      </c>
      <c r="FE244" t="s">
        <v>1123</v>
      </c>
      <c r="FF244">
        <v>4</v>
      </c>
      <c r="FI244">
        <v>0</v>
      </c>
      <c r="FL244">
        <v>0</v>
      </c>
      <c r="FM244" t="s">
        <v>5790</v>
      </c>
      <c r="FN244" t="s">
        <v>5791</v>
      </c>
      <c r="FO244">
        <v>1</v>
      </c>
      <c r="FP244" t="s">
        <v>5792</v>
      </c>
      <c r="FQ244" t="s">
        <v>5793</v>
      </c>
      <c r="FR244">
        <v>1</v>
      </c>
      <c r="FS244" t="s">
        <v>5046</v>
      </c>
      <c r="FT244" t="s">
        <v>5794</v>
      </c>
      <c r="FU244">
        <v>1</v>
      </c>
      <c r="FV244" t="s">
        <v>5795</v>
      </c>
      <c r="FW244" t="s">
        <v>5796</v>
      </c>
      <c r="FX244">
        <v>1</v>
      </c>
      <c r="FY244" t="s">
        <v>890</v>
      </c>
      <c r="FZ244" t="s">
        <v>5797</v>
      </c>
      <c r="GA244" t="s">
        <v>5795</v>
      </c>
      <c r="GB244">
        <v>1</v>
      </c>
      <c r="GD244">
        <v>0</v>
      </c>
      <c r="GF244">
        <v>0</v>
      </c>
      <c r="GG244">
        <v>1</v>
      </c>
      <c r="GH244" t="s">
        <v>892</v>
      </c>
      <c r="GI244" t="s">
        <v>893</v>
      </c>
      <c r="GJ244" t="s">
        <v>5796</v>
      </c>
      <c r="GM244">
        <v>1</v>
      </c>
      <c r="GN244">
        <v>1</v>
      </c>
      <c r="GO244">
        <v>0</v>
      </c>
      <c r="GP244">
        <v>1</v>
      </c>
      <c r="GQ244">
        <v>1</v>
      </c>
      <c r="GR244">
        <v>0</v>
      </c>
      <c r="GS244">
        <v>1</v>
      </c>
      <c r="GT244">
        <v>0</v>
      </c>
      <c r="GU244">
        <v>1</v>
      </c>
      <c r="GV244">
        <v>0</v>
      </c>
      <c r="GW244">
        <v>1</v>
      </c>
      <c r="GX244">
        <v>0</v>
      </c>
      <c r="GY244">
        <v>1</v>
      </c>
      <c r="GZ244">
        <v>0</v>
      </c>
      <c r="HA244" t="s">
        <v>348</v>
      </c>
      <c r="HB244" t="s">
        <v>894</v>
      </c>
      <c r="HC244" t="s">
        <v>935</v>
      </c>
      <c r="HD244" t="s">
        <v>845</v>
      </c>
      <c r="HE244" t="s">
        <v>900</v>
      </c>
      <c r="HF244" t="s">
        <v>923</v>
      </c>
      <c r="HG244" t="s">
        <v>894</v>
      </c>
      <c r="HH244" t="s">
        <v>935</v>
      </c>
      <c r="HI244" t="s">
        <v>845</v>
      </c>
      <c r="HJ244" t="s">
        <v>900</v>
      </c>
      <c r="HK244" t="s">
        <v>952</v>
      </c>
      <c r="HL244" t="s">
        <v>202</v>
      </c>
      <c r="HM244" t="s">
        <v>854</v>
      </c>
      <c r="HN244">
        <v>36805</v>
      </c>
      <c r="HP244" t="s">
        <v>178</v>
      </c>
      <c r="HQ244" t="s">
        <v>896</v>
      </c>
      <c r="HR244" t="s">
        <v>896</v>
      </c>
      <c r="HS244" t="s">
        <v>896</v>
      </c>
    </row>
    <row r="245" spans="1:227" x14ac:dyDescent="0.2">
      <c r="A245">
        <v>8702</v>
      </c>
      <c r="B245">
        <v>7533600520</v>
      </c>
      <c r="C245">
        <v>82</v>
      </c>
      <c r="D245" t="s">
        <v>969</v>
      </c>
      <c r="E245" t="s">
        <v>831</v>
      </c>
      <c r="F245">
        <v>1</v>
      </c>
      <c r="G245" t="s">
        <v>5798</v>
      </c>
      <c r="H245" t="s">
        <v>5798</v>
      </c>
      <c r="I245">
        <v>0</v>
      </c>
      <c r="J245" t="s">
        <v>833</v>
      </c>
      <c r="K245" t="s">
        <v>834</v>
      </c>
      <c r="L245">
        <v>153524590</v>
      </c>
      <c r="M245" t="s">
        <v>5799</v>
      </c>
      <c r="N245" t="s">
        <v>836</v>
      </c>
      <c r="O245" t="s">
        <v>837</v>
      </c>
      <c r="P245" t="s">
        <v>972</v>
      </c>
      <c r="Q245" t="s">
        <v>973</v>
      </c>
      <c r="R245" t="s">
        <v>5800</v>
      </c>
      <c r="S245" t="s">
        <v>5801</v>
      </c>
      <c r="T245">
        <v>41477010629</v>
      </c>
      <c r="V245" t="s">
        <v>1003</v>
      </c>
      <c r="W245" s="41">
        <v>45998</v>
      </c>
      <c r="X245" t="s">
        <v>5802</v>
      </c>
      <c r="Y245" t="s">
        <v>5803</v>
      </c>
      <c r="AA245">
        <v>0</v>
      </c>
      <c r="AB245" t="s">
        <v>845</v>
      </c>
      <c r="AC245" t="s">
        <v>846</v>
      </c>
      <c r="AD245" t="s">
        <v>847</v>
      </c>
      <c r="AE245" t="s">
        <v>848</v>
      </c>
      <c r="AF245">
        <v>1</v>
      </c>
      <c r="AG245">
        <v>452210</v>
      </c>
      <c r="AH245" t="s">
        <v>849</v>
      </c>
      <c r="AI245" t="s">
        <v>850</v>
      </c>
      <c r="AJ245" t="s">
        <v>851</v>
      </c>
      <c r="AK245" t="s">
        <v>326</v>
      </c>
      <c r="AL245" t="s">
        <v>4004</v>
      </c>
      <c r="AM245" t="s">
        <v>1311</v>
      </c>
      <c r="AN245" t="s">
        <v>854</v>
      </c>
      <c r="AO245">
        <v>36805</v>
      </c>
      <c r="AP245">
        <v>541</v>
      </c>
      <c r="AQ245" t="s">
        <v>855</v>
      </c>
      <c r="AR245">
        <v>66235174</v>
      </c>
      <c r="AS245" t="s">
        <v>856</v>
      </c>
      <c r="AU245" t="s">
        <v>5804</v>
      </c>
      <c r="AV245" t="s">
        <v>5805</v>
      </c>
      <c r="AX245" t="s">
        <v>913</v>
      </c>
      <c r="AY245" t="s">
        <v>861</v>
      </c>
      <c r="AZ245" t="s">
        <v>326</v>
      </c>
      <c r="BA245" t="s">
        <v>327</v>
      </c>
      <c r="BB245">
        <v>0</v>
      </c>
      <c r="BC245">
        <v>1</v>
      </c>
      <c r="BD245">
        <v>0</v>
      </c>
      <c r="BE245" t="s">
        <v>5799</v>
      </c>
      <c r="BF245">
        <v>0</v>
      </c>
      <c r="BG245">
        <v>0</v>
      </c>
      <c r="BH245" t="s">
        <v>862</v>
      </c>
      <c r="BI245">
        <v>0</v>
      </c>
      <c r="BJ245" t="s">
        <v>862</v>
      </c>
      <c r="BK245">
        <v>1</v>
      </c>
      <c r="BL245">
        <v>1</v>
      </c>
      <c r="BM245">
        <v>0</v>
      </c>
      <c r="BN245" t="s">
        <v>596</v>
      </c>
      <c r="BO245">
        <v>153524590</v>
      </c>
      <c r="BP245" t="s">
        <v>5798</v>
      </c>
      <c r="BQ245">
        <v>44.858200400000001</v>
      </c>
      <c r="BR245">
        <v>42791455</v>
      </c>
      <c r="BS245">
        <v>-93.307276799999997</v>
      </c>
      <c r="BT245">
        <v>0</v>
      </c>
      <c r="CM245">
        <v>4010</v>
      </c>
      <c r="CO245">
        <v>7360</v>
      </c>
      <c r="CP245">
        <v>1.5333000000000001</v>
      </c>
      <c r="CQ245">
        <v>1.5333000000000001</v>
      </c>
      <c r="CR245">
        <v>1.65</v>
      </c>
      <c r="CS245">
        <v>0</v>
      </c>
      <c r="CT245" t="s">
        <v>5805</v>
      </c>
      <c r="CU245" t="s">
        <v>5804</v>
      </c>
      <c r="CV245" t="s">
        <v>833</v>
      </c>
      <c r="CW245" t="s">
        <v>834</v>
      </c>
      <c r="CX245" t="s">
        <v>5799</v>
      </c>
      <c r="CY245">
        <v>1</v>
      </c>
      <c r="CZ245">
        <v>1</v>
      </c>
      <c r="DA245" t="s">
        <v>833</v>
      </c>
      <c r="DB245" t="s">
        <v>865</v>
      </c>
      <c r="DC245">
        <v>55431</v>
      </c>
      <c r="DD245">
        <v>61.75</v>
      </c>
      <c r="DE245" t="s">
        <v>866</v>
      </c>
      <c r="DG245" t="s">
        <v>867</v>
      </c>
      <c r="DH245" t="s">
        <v>851</v>
      </c>
      <c r="DI245" t="s">
        <v>1266</v>
      </c>
      <c r="DL245" t="s">
        <v>869</v>
      </c>
      <c r="DM245">
        <v>0</v>
      </c>
      <c r="DN245">
        <v>0</v>
      </c>
      <c r="DO245">
        <v>11</v>
      </c>
      <c r="DP245" t="s">
        <v>1010</v>
      </c>
      <c r="DQ245">
        <v>16</v>
      </c>
      <c r="DR245">
        <v>3705</v>
      </c>
      <c r="DS245">
        <v>7305</v>
      </c>
      <c r="DT245">
        <v>9.4666999999999994</v>
      </c>
      <c r="DU245">
        <v>4</v>
      </c>
      <c r="DW245">
        <v>2</v>
      </c>
      <c r="DX245" t="s">
        <v>596</v>
      </c>
      <c r="DY245" t="s">
        <v>5799</v>
      </c>
      <c r="DZ245">
        <v>0</v>
      </c>
      <c r="EA245">
        <v>0</v>
      </c>
      <c r="EB245">
        <v>1</v>
      </c>
      <c r="EC245">
        <v>0</v>
      </c>
      <c r="ED245">
        <v>0</v>
      </c>
      <c r="EE245">
        <v>1</v>
      </c>
      <c r="EF245" t="s">
        <v>920</v>
      </c>
      <c r="EG245" t="s">
        <v>595</v>
      </c>
      <c r="EH245" t="s">
        <v>921</v>
      </c>
      <c r="EI245" t="s">
        <v>921</v>
      </c>
      <c r="EJ245" t="s">
        <v>159</v>
      </c>
      <c r="EK245">
        <v>9090</v>
      </c>
      <c r="EL245">
        <v>1</v>
      </c>
      <c r="EM245" t="s">
        <v>873</v>
      </c>
      <c r="EN245">
        <v>1.65</v>
      </c>
      <c r="EO245">
        <v>121.75</v>
      </c>
      <c r="EP245">
        <v>99991120</v>
      </c>
      <c r="EQ245" t="s">
        <v>874</v>
      </c>
      <c r="ER245" t="s">
        <v>875</v>
      </c>
      <c r="ES245" t="s">
        <v>876</v>
      </c>
      <c r="ET245" t="s">
        <v>877</v>
      </c>
      <c r="EU245" t="s">
        <v>877</v>
      </c>
      <c r="EV245" t="s">
        <v>920</v>
      </c>
      <c r="EX245" t="s">
        <v>836</v>
      </c>
      <c r="EY245" t="s">
        <v>1121</v>
      </c>
      <c r="EZ245" t="s">
        <v>1122</v>
      </c>
      <c r="FA245" t="s">
        <v>956</v>
      </c>
      <c r="FB245">
        <v>1</v>
      </c>
      <c r="FC245">
        <v>2</v>
      </c>
      <c r="FD245" s="41">
        <v>46004</v>
      </c>
      <c r="FE245" t="s">
        <v>957</v>
      </c>
      <c r="FF245">
        <v>15</v>
      </c>
      <c r="FG245" t="s">
        <v>1679</v>
      </c>
      <c r="FH245" t="s">
        <v>5806</v>
      </c>
      <c r="FI245">
        <v>1</v>
      </c>
      <c r="FJ245" t="s">
        <v>5807</v>
      </c>
      <c r="FK245" t="s">
        <v>5808</v>
      </c>
      <c r="FL245">
        <v>1</v>
      </c>
      <c r="FM245" t="s">
        <v>5809</v>
      </c>
      <c r="FN245" t="s">
        <v>5810</v>
      </c>
      <c r="FO245">
        <v>1</v>
      </c>
      <c r="FP245" t="s">
        <v>5811</v>
      </c>
      <c r="FQ245" t="s">
        <v>5812</v>
      </c>
      <c r="FR245">
        <v>1</v>
      </c>
      <c r="FS245" t="s">
        <v>5032</v>
      </c>
      <c r="FT245" t="s">
        <v>5813</v>
      </c>
      <c r="FU245">
        <v>1</v>
      </c>
      <c r="FV245" t="s">
        <v>5160</v>
      </c>
      <c r="FW245" t="s">
        <v>5814</v>
      </c>
      <c r="FX245">
        <v>1</v>
      </c>
      <c r="FY245" t="s">
        <v>890</v>
      </c>
      <c r="FZ245" t="s">
        <v>5815</v>
      </c>
      <c r="GA245" t="s">
        <v>5807</v>
      </c>
      <c r="GB245">
        <v>1</v>
      </c>
      <c r="GD245">
        <v>0</v>
      </c>
      <c r="GF245">
        <v>0</v>
      </c>
      <c r="GG245">
        <v>1</v>
      </c>
      <c r="GH245" t="s">
        <v>892</v>
      </c>
      <c r="GI245" t="s">
        <v>893</v>
      </c>
      <c r="GJ245" t="s">
        <v>5808</v>
      </c>
      <c r="GM245">
        <v>1</v>
      </c>
      <c r="GN245">
        <v>0</v>
      </c>
      <c r="GO245">
        <v>0</v>
      </c>
      <c r="GP245">
        <v>1</v>
      </c>
      <c r="GQ245">
        <v>1</v>
      </c>
      <c r="GR245">
        <v>0</v>
      </c>
      <c r="GS245">
        <v>1</v>
      </c>
      <c r="GT245">
        <v>0</v>
      </c>
      <c r="GU245">
        <v>1</v>
      </c>
      <c r="GV245">
        <v>0</v>
      </c>
      <c r="GW245">
        <v>1</v>
      </c>
      <c r="GX245">
        <v>0</v>
      </c>
      <c r="GY245">
        <v>1</v>
      </c>
      <c r="GZ245">
        <v>0</v>
      </c>
      <c r="HA245" t="s">
        <v>326</v>
      </c>
      <c r="HB245" t="s">
        <v>894</v>
      </c>
      <c r="HC245" t="s">
        <v>895</v>
      </c>
      <c r="HD245" t="s">
        <v>845</v>
      </c>
      <c r="HE245" t="s">
        <v>836</v>
      </c>
      <c r="HF245" t="s">
        <v>873</v>
      </c>
      <c r="HG245" t="s">
        <v>894</v>
      </c>
      <c r="HH245" t="s">
        <v>895</v>
      </c>
      <c r="HI245" t="s">
        <v>845</v>
      </c>
      <c r="HJ245" t="s">
        <v>836</v>
      </c>
      <c r="HK245" t="s">
        <v>873</v>
      </c>
      <c r="HL245" t="s">
        <v>1003</v>
      </c>
      <c r="HM245" t="s">
        <v>854</v>
      </c>
      <c r="HN245">
        <v>36805</v>
      </c>
      <c r="HP245" t="s">
        <v>159</v>
      </c>
      <c r="HQ245" t="s">
        <v>896</v>
      </c>
      <c r="HR245" t="s">
        <v>896</v>
      </c>
      <c r="HS245" t="s">
        <v>896</v>
      </c>
    </row>
    <row r="246" spans="1:227" x14ac:dyDescent="0.2">
      <c r="A246">
        <v>8702</v>
      </c>
      <c r="B246">
        <v>7534410347</v>
      </c>
      <c r="C246" t="s">
        <v>829</v>
      </c>
      <c r="D246" t="s">
        <v>830</v>
      </c>
      <c r="E246" t="s">
        <v>831</v>
      </c>
      <c r="F246">
        <v>1</v>
      </c>
      <c r="G246" t="s">
        <v>5816</v>
      </c>
      <c r="H246" t="s">
        <v>5816</v>
      </c>
      <c r="I246">
        <v>0</v>
      </c>
      <c r="J246" t="s">
        <v>833</v>
      </c>
      <c r="K246" t="s">
        <v>834</v>
      </c>
      <c r="L246">
        <v>153406433</v>
      </c>
      <c r="M246" t="s">
        <v>5271</v>
      </c>
      <c r="N246" t="s">
        <v>836</v>
      </c>
      <c r="O246" t="s">
        <v>837</v>
      </c>
      <c r="P246" t="s">
        <v>838</v>
      </c>
      <c r="Q246" t="s">
        <v>1251</v>
      </c>
      <c r="R246" t="s">
        <v>5817</v>
      </c>
      <c r="S246" t="s">
        <v>5818</v>
      </c>
      <c r="T246">
        <v>41477092613</v>
      </c>
      <c r="V246" t="s">
        <v>1003</v>
      </c>
      <c r="W246" s="41">
        <v>46001</v>
      </c>
      <c r="X246" t="s">
        <v>5819</v>
      </c>
      <c r="Y246" t="s">
        <v>5820</v>
      </c>
      <c r="AA246">
        <v>0</v>
      </c>
      <c r="AB246" t="s">
        <v>845</v>
      </c>
      <c r="AC246" t="s">
        <v>846</v>
      </c>
      <c r="AD246" t="s">
        <v>847</v>
      </c>
      <c r="AE246" t="s">
        <v>848</v>
      </c>
      <c r="AF246">
        <v>1</v>
      </c>
      <c r="AG246">
        <v>452210</v>
      </c>
      <c r="AH246" t="s">
        <v>849</v>
      </c>
      <c r="AI246" t="s">
        <v>850</v>
      </c>
      <c r="AJ246" t="s">
        <v>851</v>
      </c>
      <c r="AK246" t="s">
        <v>253</v>
      </c>
      <c r="AL246" t="s">
        <v>1257</v>
      </c>
      <c r="AM246" t="s">
        <v>1311</v>
      </c>
      <c r="AN246" t="s">
        <v>854</v>
      </c>
      <c r="AO246">
        <v>36805</v>
      </c>
      <c r="AP246">
        <v>541</v>
      </c>
      <c r="AQ246" t="s">
        <v>855</v>
      </c>
      <c r="AR246">
        <v>66239248</v>
      </c>
      <c r="AS246" t="s">
        <v>856</v>
      </c>
      <c r="AU246" t="s">
        <v>5821</v>
      </c>
      <c r="AV246" t="s">
        <v>5822</v>
      </c>
      <c r="AX246" t="s">
        <v>913</v>
      </c>
      <c r="AY246" t="s">
        <v>861</v>
      </c>
      <c r="AZ246" t="s">
        <v>253</v>
      </c>
      <c r="BA246" t="s">
        <v>254</v>
      </c>
      <c r="BB246">
        <v>0</v>
      </c>
      <c r="BC246">
        <v>0</v>
      </c>
      <c r="BD246">
        <v>0</v>
      </c>
      <c r="BE246" t="s">
        <v>5271</v>
      </c>
      <c r="BF246">
        <v>0</v>
      </c>
      <c r="BG246">
        <v>0</v>
      </c>
      <c r="BH246" t="s">
        <v>862</v>
      </c>
      <c r="BI246">
        <v>0</v>
      </c>
      <c r="BJ246" t="s">
        <v>862</v>
      </c>
      <c r="BK246">
        <v>1</v>
      </c>
      <c r="BL246">
        <v>1</v>
      </c>
      <c r="BM246">
        <v>0</v>
      </c>
      <c r="BN246" t="s">
        <v>596</v>
      </c>
      <c r="BO246">
        <v>153406433</v>
      </c>
      <c r="BP246" t="s">
        <v>5816</v>
      </c>
      <c r="BR246">
        <v>42791455</v>
      </c>
      <c r="BT246">
        <v>0</v>
      </c>
      <c r="CM246">
        <v>4010</v>
      </c>
      <c r="CO246">
        <v>7360</v>
      </c>
      <c r="CP246">
        <v>1.2166999999999999</v>
      </c>
      <c r="CQ246">
        <v>1.2166999999999999</v>
      </c>
      <c r="CR246">
        <v>0.51670000000000005</v>
      </c>
      <c r="CS246">
        <v>3</v>
      </c>
      <c r="CT246" t="s">
        <v>5823</v>
      </c>
      <c r="CU246" t="s">
        <v>5824</v>
      </c>
      <c r="CV246" t="s">
        <v>833</v>
      </c>
      <c r="CW246" t="s">
        <v>834</v>
      </c>
      <c r="CX246" t="s">
        <v>5271</v>
      </c>
      <c r="CY246">
        <v>0</v>
      </c>
      <c r="CZ246">
        <v>0</v>
      </c>
      <c r="DA246" t="s">
        <v>833</v>
      </c>
      <c r="DB246" t="s">
        <v>865</v>
      </c>
      <c r="DC246">
        <v>55431</v>
      </c>
      <c r="DD246">
        <v>4.7</v>
      </c>
      <c r="DE246" t="s">
        <v>866</v>
      </c>
      <c r="DG246" t="s">
        <v>867</v>
      </c>
      <c r="DH246" t="s">
        <v>851</v>
      </c>
      <c r="DL246" t="s">
        <v>869</v>
      </c>
      <c r="DM246">
        <v>0</v>
      </c>
      <c r="DN246">
        <v>0</v>
      </c>
      <c r="DO246">
        <v>2</v>
      </c>
      <c r="DP246" t="s">
        <v>870</v>
      </c>
      <c r="DQ246">
        <v>16</v>
      </c>
      <c r="DR246">
        <v>282</v>
      </c>
      <c r="DS246">
        <v>968</v>
      </c>
      <c r="DT246">
        <v>3.4832999999999998</v>
      </c>
      <c r="DU246">
        <v>4</v>
      </c>
      <c r="DW246">
        <v>2</v>
      </c>
      <c r="DX246" t="s">
        <v>596</v>
      </c>
      <c r="DY246" t="s">
        <v>5271</v>
      </c>
      <c r="DZ246">
        <v>1</v>
      </c>
      <c r="EA246">
        <v>1</v>
      </c>
      <c r="EB246">
        <v>1</v>
      </c>
      <c r="EC246">
        <v>1</v>
      </c>
      <c r="ED246">
        <v>1</v>
      </c>
      <c r="EE246">
        <v>1</v>
      </c>
      <c r="EF246" t="s">
        <v>871</v>
      </c>
      <c r="EG246" t="s">
        <v>595</v>
      </c>
      <c r="EH246" t="s">
        <v>921</v>
      </c>
      <c r="EI246" t="s">
        <v>921</v>
      </c>
      <c r="EJ246" t="s">
        <v>159</v>
      </c>
      <c r="EK246">
        <v>9090</v>
      </c>
      <c r="EL246">
        <v>0</v>
      </c>
      <c r="EM246" t="s">
        <v>873</v>
      </c>
      <c r="EN246">
        <v>0.51670000000000005</v>
      </c>
      <c r="EO246">
        <v>16.1333333</v>
      </c>
      <c r="EP246">
        <v>99991120</v>
      </c>
      <c r="EQ246" t="s">
        <v>874</v>
      </c>
      <c r="ER246" t="s">
        <v>875</v>
      </c>
      <c r="ES246" t="s">
        <v>876</v>
      </c>
      <c r="ET246" t="s">
        <v>877</v>
      </c>
      <c r="EU246" t="s">
        <v>877</v>
      </c>
      <c r="EV246" t="s">
        <v>871</v>
      </c>
      <c r="EX246" t="s">
        <v>836</v>
      </c>
      <c r="EY246" t="s">
        <v>1121</v>
      </c>
      <c r="EZ246" t="s">
        <v>1122</v>
      </c>
      <c r="FA246" t="s">
        <v>956</v>
      </c>
      <c r="FB246">
        <v>1</v>
      </c>
      <c r="FC246">
        <v>1</v>
      </c>
      <c r="FD246" s="41">
        <v>46004</v>
      </c>
      <c r="FE246" t="s">
        <v>957</v>
      </c>
      <c r="FF246">
        <v>6</v>
      </c>
      <c r="FG246" t="s">
        <v>1273</v>
      </c>
      <c r="FH246" t="s">
        <v>5825</v>
      </c>
      <c r="FI246">
        <v>1</v>
      </c>
      <c r="FJ246" t="s">
        <v>5826</v>
      </c>
      <c r="FK246" t="s">
        <v>5827</v>
      </c>
      <c r="FL246">
        <v>1</v>
      </c>
      <c r="FM246" t="s">
        <v>5281</v>
      </c>
      <c r="FN246" t="s">
        <v>5828</v>
      </c>
      <c r="FO246">
        <v>1</v>
      </c>
      <c r="FP246" t="s">
        <v>5829</v>
      </c>
      <c r="FQ246" t="s">
        <v>5830</v>
      </c>
      <c r="FR246">
        <v>1</v>
      </c>
      <c r="FS246" t="s">
        <v>1502</v>
      </c>
      <c r="FT246" t="s">
        <v>5831</v>
      </c>
      <c r="FU246">
        <v>1</v>
      </c>
      <c r="FV246" t="s">
        <v>2718</v>
      </c>
      <c r="FW246" t="s">
        <v>5832</v>
      </c>
      <c r="FX246">
        <v>1</v>
      </c>
      <c r="FY246" t="s">
        <v>890</v>
      </c>
      <c r="FZ246" t="s">
        <v>5833</v>
      </c>
      <c r="GA246" t="s">
        <v>5826</v>
      </c>
      <c r="GB246">
        <v>1</v>
      </c>
      <c r="GD246">
        <v>0</v>
      </c>
      <c r="GF246">
        <v>0</v>
      </c>
      <c r="GG246">
        <v>1</v>
      </c>
      <c r="GH246" t="s">
        <v>892</v>
      </c>
      <c r="GI246" t="s">
        <v>893</v>
      </c>
      <c r="GJ246" t="s">
        <v>5827</v>
      </c>
      <c r="GM246">
        <v>1</v>
      </c>
      <c r="GN246">
        <v>1</v>
      </c>
      <c r="GO246">
        <v>0</v>
      </c>
      <c r="GP246">
        <v>1</v>
      </c>
      <c r="GQ246">
        <v>1</v>
      </c>
      <c r="GR246">
        <v>0</v>
      </c>
      <c r="GS246">
        <v>1</v>
      </c>
      <c r="GT246">
        <v>0</v>
      </c>
      <c r="GU246">
        <v>1</v>
      </c>
      <c r="GV246">
        <v>0</v>
      </c>
      <c r="GW246">
        <v>1</v>
      </c>
      <c r="GX246">
        <v>0</v>
      </c>
      <c r="GY246">
        <v>1</v>
      </c>
      <c r="GZ246">
        <v>0</v>
      </c>
      <c r="HA246" t="s">
        <v>253</v>
      </c>
      <c r="HB246" t="s">
        <v>894</v>
      </c>
      <c r="HC246" t="s">
        <v>895</v>
      </c>
      <c r="HD246" t="s">
        <v>845</v>
      </c>
      <c r="HE246" t="s">
        <v>836</v>
      </c>
      <c r="HF246" t="s">
        <v>873</v>
      </c>
      <c r="HG246" t="s">
        <v>894</v>
      </c>
      <c r="HH246" t="s">
        <v>895</v>
      </c>
      <c r="HI246" t="s">
        <v>845</v>
      </c>
      <c r="HJ246" t="s">
        <v>836</v>
      </c>
      <c r="HK246" t="s">
        <v>873</v>
      </c>
      <c r="HL246" t="s">
        <v>1003</v>
      </c>
      <c r="HM246" t="s">
        <v>854</v>
      </c>
      <c r="HN246">
        <v>36805</v>
      </c>
      <c r="HP246" t="s">
        <v>159</v>
      </c>
      <c r="HQ246" t="s">
        <v>896</v>
      </c>
      <c r="HR246" t="s">
        <v>896</v>
      </c>
      <c r="HS246" t="s">
        <v>896</v>
      </c>
    </row>
    <row r="247" spans="1:227" x14ac:dyDescent="0.2">
      <c r="A247">
        <v>8702</v>
      </c>
      <c r="B247">
        <v>7621816816</v>
      </c>
      <c r="C247" t="s">
        <v>936</v>
      </c>
      <c r="D247" t="s">
        <v>937</v>
      </c>
      <c r="E247" t="s">
        <v>831</v>
      </c>
      <c r="F247">
        <v>0</v>
      </c>
      <c r="G247" t="s">
        <v>5834</v>
      </c>
      <c r="H247" t="s">
        <v>5834</v>
      </c>
      <c r="I247">
        <v>0</v>
      </c>
      <c r="J247" t="s">
        <v>833</v>
      </c>
      <c r="K247" t="s">
        <v>834</v>
      </c>
      <c r="L247">
        <v>153008228</v>
      </c>
      <c r="M247" t="s">
        <v>5835</v>
      </c>
      <c r="N247" t="s">
        <v>836</v>
      </c>
      <c r="O247" t="s">
        <v>837</v>
      </c>
      <c r="P247" t="s">
        <v>940</v>
      </c>
      <c r="Q247" t="s">
        <v>1080</v>
      </c>
      <c r="R247" t="s">
        <v>5836</v>
      </c>
      <c r="S247" t="s">
        <v>5837</v>
      </c>
      <c r="T247">
        <v>41477093838</v>
      </c>
      <c r="V247" t="s">
        <v>219</v>
      </c>
      <c r="W247" s="41">
        <v>46240</v>
      </c>
      <c r="X247" t="s">
        <v>5838</v>
      </c>
      <c r="Y247" t="s">
        <v>5839</v>
      </c>
      <c r="AA247">
        <v>0</v>
      </c>
      <c r="AB247" t="s">
        <v>845</v>
      </c>
      <c r="AC247" t="s">
        <v>846</v>
      </c>
      <c r="AD247" t="s">
        <v>907</v>
      </c>
      <c r="AE247" t="s">
        <v>908</v>
      </c>
      <c r="AF247">
        <v>1</v>
      </c>
      <c r="AG247">
        <v>452210</v>
      </c>
      <c r="AH247" t="s">
        <v>849</v>
      </c>
      <c r="AI247" t="s">
        <v>850</v>
      </c>
      <c r="AJ247" t="s">
        <v>851</v>
      </c>
      <c r="AK247" t="s">
        <v>510</v>
      </c>
      <c r="AL247" t="s">
        <v>5840</v>
      </c>
      <c r="AM247" t="s">
        <v>2823</v>
      </c>
      <c r="AN247" t="s">
        <v>854</v>
      </c>
      <c r="AO247">
        <v>36805</v>
      </c>
      <c r="AP247">
        <v>708</v>
      </c>
      <c r="AQ247" t="s">
        <v>855</v>
      </c>
      <c r="AR247">
        <v>66583384</v>
      </c>
      <c r="AS247" t="s">
        <v>856</v>
      </c>
      <c r="AU247" t="s">
        <v>5841</v>
      </c>
      <c r="AV247" t="s">
        <v>5842</v>
      </c>
      <c r="AX247" t="s">
        <v>913</v>
      </c>
      <c r="AY247" t="s">
        <v>861</v>
      </c>
      <c r="AZ247" t="s">
        <v>510</v>
      </c>
      <c r="BA247" t="s">
        <v>390</v>
      </c>
      <c r="BB247">
        <v>0</v>
      </c>
      <c r="BC247">
        <v>0</v>
      </c>
      <c r="BD247">
        <v>0</v>
      </c>
      <c r="BE247" t="s">
        <v>5835</v>
      </c>
      <c r="BF247">
        <v>0</v>
      </c>
      <c r="BG247">
        <v>0</v>
      </c>
      <c r="BH247" t="s">
        <v>862</v>
      </c>
      <c r="BI247">
        <v>0</v>
      </c>
      <c r="BJ247" t="s">
        <v>862</v>
      </c>
      <c r="BK247">
        <v>1</v>
      </c>
      <c r="BL247">
        <v>1</v>
      </c>
      <c r="BM247">
        <v>0</v>
      </c>
      <c r="BN247" t="s">
        <v>596</v>
      </c>
      <c r="BO247">
        <v>153008228</v>
      </c>
      <c r="BP247" t="s">
        <v>5834</v>
      </c>
      <c r="BR247">
        <v>42791787</v>
      </c>
      <c r="BT247">
        <v>2</v>
      </c>
      <c r="BU247" t="s">
        <v>914</v>
      </c>
      <c r="BY247">
        <v>16</v>
      </c>
      <c r="CA247">
        <v>3</v>
      </c>
      <c r="CE247">
        <v>1</v>
      </c>
      <c r="CI247">
        <v>11</v>
      </c>
      <c r="CJ247" t="s">
        <v>94</v>
      </c>
      <c r="CM247">
        <v>4010</v>
      </c>
      <c r="CO247">
        <v>7360</v>
      </c>
      <c r="CP247">
        <v>0.56669999999999998</v>
      </c>
      <c r="CQ247">
        <v>0.56669999999999998</v>
      </c>
      <c r="CR247">
        <v>0.36670000000000003</v>
      </c>
      <c r="CS247">
        <v>1</v>
      </c>
      <c r="CT247" t="s">
        <v>5843</v>
      </c>
      <c r="CU247" t="s">
        <v>5844</v>
      </c>
      <c r="CV247" t="s">
        <v>833</v>
      </c>
      <c r="CW247" t="s">
        <v>834</v>
      </c>
      <c r="CX247" t="s">
        <v>5835</v>
      </c>
      <c r="CY247">
        <v>0</v>
      </c>
      <c r="CZ247">
        <v>0</v>
      </c>
      <c r="DA247" t="s">
        <v>833</v>
      </c>
      <c r="DB247" t="s">
        <v>865</v>
      </c>
      <c r="DC247">
        <v>53142</v>
      </c>
      <c r="DD247">
        <v>3.0333000000000001</v>
      </c>
      <c r="DE247" t="s">
        <v>866</v>
      </c>
      <c r="DG247" t="s">
        <v>867</v>
      </c>
      <c r="DH247" t="s">
        <v>851</v>
      </c>
      <c r="DK247" t="s">
        <v>918</v>
      </c>
      <c r="DL247" t="s">
        <v>869</v>
      </c>
      <c r="DM247">
        <v>0</v>
      </c>
      <c r="DN247">
        <v>0</v>
      </c>
      <c r="DO247">
        <v>1</v>
      </c>
      <c r="DP247" t="s">
        <v>985</v>
      </c>
      <c r="DQ247">
        <v>16</v>
      </c>
      <c r="DR247">
        <v>182</v>
      </c>
      <c r="DS247">
        <v>182</v>
      </c>
      <c r="DT247">
        <v>2.4666999999999999</v>
      </c>
      <c r="DU247">
        <v>4</v>
      </c>
      <c r="DV247">
        <v>1</v>
      </c>
      <c r="DW247">
        <v>2</v>
      </c>
      <c r="DX247" t="s">
        <v>596</v>
      </c>
      <c r="DY247" t="s">
        <v>5835</v>
      </c>
      <c r="DZ247">
        <v>1</v>
      </c>
      <c r="EA247">
        <v>1</v>
      </c>
      <c r="EB247">
        <v>1</v>
      </c>
      <c r="EC247">
        <v>1</v>
      </c>
      <c r="ED247">
        <v>1</v>
      </c>
      <c r="EE247">
        <v>1</v>
      </c>
      <c r="EF247" t="s">
        <v>871</v>
      </c>
      <c r="EG247" t="s">
        <v>595</v>
      </c>
      <c r="EH247" t="s">
        <v>921</v>
      </c>
      <c r="EI247" t="s">
        <v>921</v>
      </c>
      <c r="EJ247" t="s">
        <v>215</v>
      </c>
      <c r="EK247">
        <v>9090</v>
      </c>
      <c r="EL247">
        <v>0</v>
      </c>
      <c r="EM247" t="s">
        <v>1436</v>
      </c>
      <c r="EN247">
        <v>0.36670000000000003</v>
      </c>
      <c r="EO247">
        <v>3.0333332999999998</v>
      </c>
      <c r="EP247">
        <v>99991120</v>
      </c>
      <c r="EQ247" t="s">
        <v>874</v>
      </c>
      <c r="ER247" t="s">
        <v>875</v>
      </c>
      <c r="ES247" t="s">
        <v>876</v>
      </c>
      <c r="ET247" t="s">
        <v>877</v>
      </c>
      <c r="EU247" t="s">
        <v>877</v>
      </c>
      <c r="EV247" t="s">
        <v>871</v>
      </c>
      <c r="EX247" t="s">
        <v>836</v>
      </c>
      <c r="EY247" t="s">
        <v>873</v>
      </c>
      <c r="EZ247" t="s">
        <v>1807</v>
      </c>
      <c r="FA247" t="s">
        <v>925</v>
      </c>
      <c r="FB247">
        <v>1</v>
      </c>
      <c r="FC247">
        <v>1</v>
      </c>
      <c r="FD247" s="41">
        <v>46242</v>
      </c>
      <c r="FE247" t="s">
        <v>926</v>
      </c>
      <c r="FF247">
        <v>4</v>
      </c>
      <c r="FI247">
        <v>0</v>
      </c>
      <c r="FL247">
        <v>0</v>
      </c>
      <c r="FM247" t="s">
        <v>5845</v>
      </c>
      <c r="FN247" t="s">
        <v>5846</v>
      </c>
      <c r="FO247">
        <v>1</v>
      </c>
      <c r="FP247" t="s">
        <v>5847</v>
      </c>
      <c r="FQ247" t="s">
        <v>5844</v>
      </c>
      <c r="FR247">
        <v>1</v>
      </c>
      <c r="FS247" t="s">
        <v>5848</v>
      </c>
      <c r="FT247" t="s">
        <v>5849</v>
      </c>
      <c r="FU247">
        <v>1</v>
      </c>
      <c r="FV247" t="s">
        <v>5850</v>
      </c>
      <c r="FW247" t="s">
        <v>5851</v>
      </c>
      <c r="FX247">
        <v>1</v>
      </c>
      <c r="FY247" t="s">
        <v>890</v>
      </c>
      <c r="FZ247" t="s">
        <v>5852</v>
      </c>
      <c r="GA247" t="s">
        <v>5850</v>
      </c>
      <c r="GB247">
        <v>1</v>
      </c>
      <c r="GD247">
        <v>0</v>
      </c>
      <c r="GF247">
        <v>0</v>
      </c>
      <c r="GG247">
        <v>1</v>
      </c>
      <c r="GH247" t="s">
        <v>892</v>
      </c>
      <c r="GI247" t="s">
        <v>893</v>
      </c>
      <c r="GJ247" t="s">
        <v>5851</v>
      </c>
      <c r="GM247">
        <v>1</v>
      </c>
      <c r="GN247">
        <v>1</v>
      </c>
      <c r="GO247">
        <v>0</v>
      </c>
      <c r="GP247">
        <v>1</v>
      </c>
      <c r="GQ247">
        <v>1</v>
      </c>
      <c r="GR247">
        <v>0</v>
      </c>
      <c r="GS247">
        <v>1</v>
      </c>
      <c r="GT247">
        <v>0</v>
      </c>
      <c r="GU247">
        <v>1</v>
      </c>
      <c r="GV247">
        <v>0</v>
      </c>
      <c r="GW247">
        <v>1</v>
      </c>
      <c r="GX247">
        <v>0</v>
      </c>
      <c r="GY247">
        <v>1</v>
      </c>
      <c r="GZ247">
        <v>0</v>
      </c>
      <c r="HA247" t="s">
        <v>510</v>
      </c>
      <c r="HB247" t="s">
        <v>894</v>
      </c>
      <c r="HC247" t="s">
        <v>895</v>
      </c>
      <c r="HD247" t="s">
        <v>845</v>
      </c>
      <c r="HE247" t="s">
        <v>836</v>
      </c>
      <c r="HF247" t="s">
        <v>873</v>
      </c>
      <c r="HG247" t="s">
        <v>894</v>
      </c>
      <c r="HH247" t="s">
        <v>895</v>
      </c>
      <c r="HI247" t="s">
        <v>845</v>
      </c>
      <c r="HJ247" t="s">
        <v>836</v>
      </c>
      <c r="HK247" t="s">
        <v>1436</v>
      </c>
      <c r="HL247" t="s">
        <v>219</v>
      </c>
      <c r="HM247" t="s">
        <v>854</v>
      </c>
      <c r="HN247">
        <v>36805</v>
      </c>
      <c r="HP247" t="s">
        <v>215</v>
      </c>
      <c r="HQ247" t="s">
        <v>896</v>
      </c>
      <c r="HR247" t="s">
        <v>896</v>
      </c>
      <c r="HS247" t="s">
        <v>896</v>
      </c>
    </row>
    <row r="248" spans="1:227" x14ac:dyDescent="0.2">
      <c r="A248">
        <v>8702</v>
      </c>
      <c r="B248">
        <v>7605302045</v>
      </c>
      <c r="C248">
        <v>34</v>
      </c>
      <c r="D248" t="s">
        <v>996</v>
      </c>
      <c r="E248" t="s">
        <v>897</v>
      </c>
      <c r="F248">
        <v>1</v>
      </c>
      <c r="G248" t="s">
        <v>5853</v>
      </c>
      <c r="H248" t="s">
        <v>5853</v>
      </c>
      <c r="I248">
        <v>0</v>
      </c>
      <c r="J248" t="s">
        <v>833</v>
      </c>
      <c r="K248" t="s">
        <v>834</v>
      </c>
      <c r="L248">
        <v>153406484</v>
      </c>
      <c r="M248" t="s">
        <v>4524</v>
      </c>
      <c r="N248" t="s">
        <v>900</v>
      </c>
      <c r="O248" t="s">
        <v>837</v>
      </c>
      <c r="P248" t="s">
        <v>999</v>
      </c>
      <c r="Q248" t="s">
        <v>1000</v>
      </c>
      <c r="R248" t="s">
        <v>5854</v>
      </c>
      <c r="S248" t="s">
        <v>5855</v>
      </c>
      <c r="T248">
        <v>41477093182</v>
      </c>
      <c r="V248" t="s">
        <v>202</v>
      </c>
      <c r="W248" s="41">
        <v>46076</v>
      </c>
      <c r="X248" t="s">
        <v>5856</v>
      </c>
      <c r="Y248" t="s">
        <v>5857</v>
      </c>
      <c r="Z248" t="s">
        <v>3068</v>
      </c>
      <c r="AA248">
        <v>0</v>
      </c>
      <c r="AB248" t="s">
        <v>845</v>
      </c>
      <c r="AC248" t="s">
        <v>846</v>
      </c>
      <c r="AD248" t="s">
        <v>1113</v>
      </c>
      <c r="AE248" t="s">
        <v>1114</v>
      </c>
      <c r="AF248">
        <v>1</v>
      </c>
      <c r="AG248">
        <v>452210</v>
      </c>
      <c r="AH248" t="s">
        <v>849</v>
      </c>
      <c r="AI248" t="s">
        <v>850</v>
      </c>
      <c r="AJ248" t="s">
        <v>851</v>
      </c>
      <c r="AK248" t="s">
        <v>283</v>
      </c>
      <c r="AL248" t="s">
        <v>2802</v>
      </c>
      <c r="AM248" t="s">
        <v>947</v>
      </c>
      <c r="AN248" t="s">
        <v>854</v>
      </c>
      <c r="AO248">
        <v>36805</v>
      </c>
      <c r="AP248">
        <v>643</v>
      </c>
      <c r="AQ248" t="s">
        <v>855</v>
      </c>
      <c r="AR248">
        <v>66347432</v>
      </c>
      <c r="AS248" t="s">
        <v>856</v>
      </c>
      <c r="AU248" t="s">
        <v>5858</v>
      </c>
      <c r="AV248" t="s">
        <v>5859</v>
      </c>
      <c r="AW248" t="s">
        <v>950</v>
      </c>
      <c r="AX248" t="s">
        <v>951</v>
      </c>
      <c r="AY248" t="s">
        <v>861</v>
      </c>
      <c r="AZ248" t="s">
        <v>283</v>
      </c>
      <c r="BA248" t="s">
        <v>284</v>
      </c>
      <c r="BB248">
        <v>1</v>
      </c>
      <c r="BC248">
        <v>0</v>
      </c>
      <c r="BD248">
        <v>0</v>
      </c>
      <c r="BE248" t="s">
        <v>4524</v>
      </c>
      <c r="BF248">
        <v>0</v>
      </c>
      <c r="BG248">
        <v>0</v>
      </c>
      <c r="BH248" t="s">
        <v>862</v>
      </c>
      <c r="BI248">
        <v>0</v>
      </c>
      <c r="BJ248" t="s">
        <v>862</v>
      </c>
      <c r="BK248">
        <v>1</v>
      </c>
      <c r="BL248">
        <v>0</v>
      </c>
      <c r="BM248">
        <v>0</v>
      </c>
      <c r="BN248" t="s">
        <v>596</v>
      </c>
      <c r="BO248">
        <v>153406484</v>
      </c>
      <c r="BP248" t="s">
        <v>5853</v>
      </c>
      <c r="BQ248">
        <v>42.563953699999999</v>
      </c>
      <c r="BR248">
        <v>42791774</v>
      </c>
      <c r="BS248">
        <v>-83.130437200000003</v>
      </c>
      <c r="BT248">
        <v>1</v>
      </c>
      <c r="BU248" t="s">
        <v>1780</v>
      </c>
      <c r="CI248">
        <v>11</v>
      </c>
      <c r="CJ248" t="s">
        <v>94</v>
      </c>
      <c r="CM248">
        <v>4010</v>
      </c>
      <c r="CO248">
        <v>7360</v>
      </c>
      <c r="CP248">
        <v>1.2333000000000001</v>
      </c>
      <c r="CQ248">
        <v>1.2333000000000001</v>
      </c>
      <c r="CR248">
        <v>0</v>
      </c>
      <c r="CS248">
        <v>0</v>
      </c>
      <c r="CT248" t="s">
        <v>5860</v>
      </c>
      <c r="CU248" t="s">
        <v>5861</v>
      </c>
      <c r="CV248" t="s">
        <v>833</v>
      </c>
      <c r="CW248" t="s">
        <v>834</v>
      </c>
      <c r="CX248" t="s">
        <v>4524</v>
      </c>
      <c r="CY248">
        <v>1</v>
      </c>
      <c r="CZ248">
        <v>1</v>
      </c>
      <c r="DA248" t="s">
        <v>833</v>
      </c>
      <c r="DB248" t="s">
        <v>865</v>
      </c>
      <c r="DC248">
        <v>48083</v>
      </c>
      <c r="DD248">
        <v>18.100000000000001</v>
      </c>
      <c r="DE248" t="s">
        <v>866</v>
      </c>
      <c r="DG248" t="s">
        <v>867</v>
      </c>
      <c r="DH248" t="s">
        <v>851</v>
      </c>
      <c r="DK248" t="s">
        <v>918</v>
      </c>
      <c r="DL248" t="s">
        <v>869</v>
      </c>
      <c r="DM248">
        <v>0</v>
      </c>
      <c r="DN248">
        <v>0</v>
      </c>
      <c r="DO248">
        <v>11</v>
      </c>
      <c r="DP248" t="s">
        <v>1010</v>
      </c>
      <c r="DQ248">
        <v>0</v>
      </c>
      <c r="DR248">
        <v>1086</v>
      </c>
      <c r="DS248">
        <v>1806</v>
      </c>
      <c r="DT248">
        <v>2.6</v>
      </c>
      <c r="DU248">
        <v>0</v>
      </c>
      <c r="DV248">
        <v>1</v>
      </c>
      <c r="DW248">
        <v>2</v>
      </c>
      <c r="DX248" t="s">
        <v>594</v>
      </c>
      <c r="DY248" t="s">
        <v>4524</v>
      </c>
      <c r="DZ248">
        <v>1</v>
      </c>
      <c r="EA248">
        <v>1</v>
      </c>
      <c r="EB248">
        <v>1</v>
      </c>
      <c r="EC248">
        <v>1</v>
      </c>
      <c r="ED248">
        <v>1</v>
      </c>
      <c r="EE248">
        <v>1</v>
      </c>
      <c r="EF248" t="s">
        <v>920</v>
      </c>
      <c r="EG248" t="s">
        <v>595</v>
      </c>
      <c r="EH248" t="s">
        <v>872</v>
      </c>
      <c r="EI248" t="s">
        <v>872</v>
      </c>
      <c r="EJ248" t="s">
        <v>178</v>
      </c>
      <c r="EK248">
        <v>9090</v>
      </c>
      <c r="EL248">
        <v>1</v>
      </c>
      <c r="EM248" t="s">
        <v>952</v>
      </c>
      <c r="EN248">
        <v>0</v>
      </c>
      <c r="EO248">
        <v>30.1</v>
      </c>
      <c r="EP248">
        <v>99991120</v>
      </c>
      <c r="EQ248" t="s">
        <v>874</v>
      </c>
      <c r="ER248" t="s">
        <v>875</v>
      </c>
      <c r="ES248" t="s">
        <v>876</v>
      </c>
      <c r="ET248" t="s">
        <v>877</v>
      </c>
      <c r="EU248" t="s">
        <v>877</v>
      </c>
      <c r="EV248" t="s">
        <v>920</v>
      </c>
      <c r="EX248" t="s">
        <v>953</v>
      </c>
      <c r="EY248" t="s">
        <v>954</v>
      </c>
      <c r="EZ248" t="s">
        <v>955</v>
      </c>
      <c r="FA248" t="s">
        <v>956</v>
      </c>
      <c r="FB248">
        <v>1</v>
      </c>
      <c r="FC248">
        <v>2</v>
      </c>
      <c r="FD248" s="41">
        <v>46081</v>
      </c>
      <c r="FE248" t="s">
        <v>1267</v>
      </c>
      <c r="FF248">
        <v>16</v>
      </c>
      <c r="FG248" t="s">
        <v>3071</v>
      </c>
      <c r="FH248" t="s">
        <v>5862</v>
      </c>
      <c r="FI248">
        <v>1</v>
      </c>
      <c r="FJ248" t="s">
        <v>5863</v>
      </c>
      <c r="FK248" t="s">
        <v>5864</v>
      </c>
      <c r="FL248">
        <v>1</v>
      </c>
      <c r="FM248" t="s">
        <v>5865</v>
      </c>
      <c r="FN248" t="s">
        <v>3076</v>
      </c>
      <c r="FO248">
        <v>1</v>
      </c>
      <c r="FP248" t="s">
        <v>5866</v>
      </c>
      <c r="FQ248" t="s">
        <v>5867</v>
      </c>
      <c r="FR248">
        <v>1</v>
      </c>
      <c r="FS248" t="s">
        <v>3316</v>
      </c>
      <c r="FT248" t="s">
        <v>5868</v>
      </c>
      <c r="FU248">
        <v>1</v>
      </c>
      <c r="FV248" t="s">
        <v>5869</v>
      </c>
      <c r="FW248" t="s">
        <v>5868</v>
      </c>
      <c r="FX248">
        <v>1</v>
      </c>
      <c r="FY248" t="s">
        <v>890</v>
      </c>
      <c r="FZ248" t="s">
        <v>5870</v>
      </c>
      <c r="GA248" t="s">
        <v>3071</v>
      </c>
      <c r="GB248">
        <v>1</v>
      </c>
      <c r="GC248" t="s">
        <v>5871</v>
      </c>
      <c r="GD248">
        <v>1</v>
      </c>
      <c r="GF248">
        <v>0</v>
      </c>
      <c r="GG248">
        <v>1</v>
      </c>
      <c r="GH248" t="s">
        <v>892</v>
      </c>
      <c r="GI248" t="s">
        <v>893</v>
      </c>
      <c r="GJ248" t="s">
        <v>5862</v>
      </c>
      <c r="GK248" t="s">
        <v>5872</v>
      </c>
      <c r="GM248">
        <v>1</v>
      </c>
      <c r="GN248">
        <v>0</v>
      </c>
      <c r="GO248">
        <v>0</v>
      </c>
      <c r="GP248">
        <v>1</v>
      </c>
      <c r="GQ248">
        <v>1</v>
      </c>
      <c r="GR248">
        <v>0</v>
      </c>
      <c r="GS248">
        <v>1</v>
      </c>
      <c r="GT248">
        <v>0</v>
      </c>
      <c r="GU248">
        <v>1</v>
      </c>
      <c r="GV248">
        <v>0</v>
      </c>
      <c r="GW248">
        <v>1</v>
      </c>
      <c r="GX248">
        <v>0</v>
      </c>
      <c r="GY248">
        <v>1</v>
      </c>
      <c r="GZ248">
        <v>0</v>
      </c>
      <c r="HA248" t="s">
        <v>283</v>
      </c>
      <c r="HB248" t="s">
        <v>894</v>
      </c>
      <c r="HC248" t="s">
        <v>935</v>
      </c>
      <c r="HD248" t="s">
        <v>845</v>
      </c>
      <c r="HE248" t="s">
        <v>900</v>
      </c>
      <c r="HF248" t="s">
        <v>923</v>
      </c>
      <c r="HG248" t="s">
        <v>894</v>
      </c>
      <c r="HH248" t="s">
        <v>935</v>
      </c>
      <c r="HI248" t="s">
        <v>845</v>
      </c>
      <c r="HJ248" t="s">
        <v>900</v>
      </c>
      <c r="HK248" t="s">
        <v>952</v>
      </c>
      <c r="HL248" t="s">
        <v>202</v>
      </c>
      <c r="HM248" t="s">
        <v>854</v>
      </c>
      <c r="HN248">
        <v>36805</v>
      </c>
      <c r="HO248">
        <v>1</v>
      </c>
      <c r="HP248" t="s">
        <v>178</v>
      </c>
      <c r="HQ248" t="s">
        <v>896</v>
      </c>
      <c r="HR248" t="s">
        <v>896</v>
      </c>
      <c r="HS248" t="s">
        <v>896</v>
      </c>
    </row>
    <row r="249" spans="1:227" x14ac:dyDescent="0.2">
      <c r="A249">
        <v>8702</v>
      </c>
      <c r="B249">
        <v>7615900507</v>
      </c>
      <c r="C249" t="s">
        <v>936</v>
      </c>
      <c r="D249" t="s">
        <v>937</v>
      </c>
      <c r="E249" t="s">
        <v>831</v>
      </c>
      <c r="F249">
        <v>0</v>
      </c>
      <c r="G249" t="s">
        <v>5873</v>
      </c>
      <c r="H249" t="s">
        <v>5873</v>
      </c>
      <c r="I249">
        <v>0</v>
      </c>
      <c r="J249" t="s">
        <v>833</v>
      </c>
      <c r="K249" t="s">
        <v>834</v>
      </c>
      <c r="L249">
        <v>153406453</v>
      </c>
      <c r="M249" t="s">
        <v>5874</v>
      </c>
      <c r="N249" t="s">
        <v>836</v>
      </c>
      <c r="O249" t="s">
        <v>837</v>
      </c>
      <c r="P249" t="s">
        <v>940</v>
      </c>
      <c r="Q249" t="s">
        <v>2404</v>
      </c>
      <c r="R249" t="s">
        <v>5875</v>
      </c>
      <c r="S249" t="s">
        <v>5876</v>
      </c>
      <c r="T249">
        <v>30300130770</v>
      </c>
      <c r="V249" t="s">
        <v>4001</v>
      </c>
      <c r="W249" s="41">
        <v>46181</v>
      </c>
      <c r="X249" t="s">
        <v>5877</v>
      </c>
      <c r="Y249" t="s">
        <v>5878</v>
      </c>
      <c r="AA249">
        <v>0</v>
      </c>
      <c r="AB249" t="s">
        <v>845</v>
      </c>
      <c r="AC249" t="s">
        <v>846</v>
      </c>
      <c r="AD249" t="s">
        <v>907</v>
      </c>
      <c r="AE249" t="s">
        <v>908</v>
      </c>
      <c r="AF249">
        <v>1</v>
      </c>
      <c r="AG249">
        <v>452210</v>
      </c>
      <c r="AH249" t="s">
        <v>849</v>
      </c>
      <c r="AI249" t="s">
        <v>850</v>
      </c>
      <c r="AJ249" t="s">
        <v>851</v>
      </c>
      <c r="AK249" t="s">
        <v>520</v>
      </c>
      <c r="AL249" t="s">
        <v>3870</v>
      </c>
      <c r="AM249" t="s">
        <v>4005</v>
      </c>
      <c r="AN249" t="s">
        <v>854</v>
      </c>
      <c r="AO249">
        <v>36805</v>
      </c>
      <c r="AP249">
        <v>543</v>
      </c>
      <c r="AQ249" t="s">
        <v>855</v>
      </c>
      <c r="AR249">
        <v>66498593</v>
      </c>
      <c r="AS249" t="s">
        <v>856</v>
      </c>
      <c r="AU249" t="s">
        <v>5879</v>
      </c>
      <c r="AV249" t="s">
        <v>5880</v>
      </c>
      <c r="AX249" t="s">
        <v>913</v>
      </c>
      <c r="AY249" t="s">
        <v>861</v>
      </c>
      <c r="AZ249" t="s">
        <v>520</v>
      </c>
      <c r="BA249" t="s">
        <v>396</v>
      </c>
      <c r="BB249">
        <v>0</v>
      </c>
      <c r="BC249">
        <v>0</v>
      </c>
      <c r="BD249">
        <v>0</v>
      </c>
      <c r="BE249" t="s">
        <v>5874</v>
      </c>
      <c r="BF249">
        <v>0</v>
      </c>
      <c r="BG249">
        <v>0</v>
      </c>
      <c r="BH249" t="s">
        <v>862</v>
      </c>
      <c r="BI249">
        <v>0</v>
      </c>
      <c r="BJ249" t="s">
        <v>862</v>
      </c>
      <c r="BK249">
        <v>1</v>
      </c>
      <c r="BL249">
        <v>0</v>
      </c>
      <c r="BM249">
        <v>0</v>
      </c>
      <c r="BN249" t="s">
        <v>596</v>
      </c>
      <c r="BO249">
        <v>153406453</v>
      </c>
      <c r="BP249" t="s">
        <v>5873</v>
      </c>
      <c r="BQ249">
        <v>44.932670000000002</v>
      </c>
      <c r="BR249">
        <v>42791458</v>
      </c>
      <c r="BS249">
        <v>-93.343113299999999</v>
      </c>
      <c r="BT249">
        <v>2</v>
      </c>
      <c r="BU249" t="s">
        <v>1314</v>
      </c>
      <c r="BY249">
        <v>16</v>
      </c>
      <c r="CA249">
        <v>7</v>
      </c>
      <c r="CE249">
        <v>1</v>
      </c>
      <c r="CI249">
        <v>11</v>
      </c>
      <c r="CJ249" t="s">
        <v>94</v>
      </c>
      <c r="CM249">
        <v>4010</v>
      </c>
      <c r="CO249">
        <v>7360</v>
      </c>
      <c r="CP249">
        <v>1.6167</v>
      </c>
      <c r="CQ249">
        <v>1.6167</v>
      </c>
      <c r="CR249">
        <v>0.7167</v>
      </c>
      <c r="CS249">
        <v>3</v>
      </c>
      <c r="CT249" t="s">
        <v>5881</v>
      </c>
      <c r="CU249" t="s">
        <v>5882</v>
      </c>
      <c r="CV249" t="s">
        <v>833</v>
      </c>
      <c r="CW249" t="s">
        <v>834</v>
      </c>
      <c r="CX249" t="s">
        <v>5874</v>
      </c>
      <c r="CY249">
        <v>0</v>
      </c>
      <c r="CZ249">
        <v>0</v>
      </c>
      <c r="DA249" t="s">
        <v>833</v>
      </c>
      <c r="DB249" t="s">
        <v>865</v>
      </c>
      <c r="DC249">
        <v>55416</v>
      </c>
      <c r="DD249">
        <v>6.85</v>
      </c>
      <c r="DE249" t="s">
        <v>866</v>
      </c>
      <c r="DG249" t="s">
        <v>867</v>
      </c>
      <c r="DH249" t="s">
        <v>851</v>
      </c>
      <c r="DK249" t="s">
        <v>918</v>
      </c>
      <c r="DL249" t="s">
        <v>869</v>
      </c>
      <c r="DM249">
        <v>0</v>
      </c>
      <c r="DN249">
        <v>0</v>
      </c>
      <c r="DO249">
        <v>2</v>
      </c>
      <c r="DP249" t="s">
        <v>870</v>
      </c>
      <c r="DQ249">
        <v>16</v>
      </c>
      <c r="DR249">
        <v>411</v>
      </c>
      <c r="DS249">
        <v>1131</v>
      </c>
      <c r="DT249">
        <v>5.2332999999999998</v>
      </c>
      <c r="DU249">
        <v>4</v>
      </c>
      <c r="DV249">
        <v>1</v>
      </c>
      <c r="DW249">
        <v>2</v>
      </c>
      <c r="DX249" t="s">
        <v>596</v>
      </c>
      <c r="DY249" t="s">
        <v>5874</v>
      </c>
      <c r="DZ249">
        <v>0</v>
      </c>
      <c r="EA249">
        <v>0</v>
      </c>
      <c r="EB249">
        <v>0</v>
      </c>
      <c r="EC249">
        <v>0</v>
      </c>
      <c r="ED249">
        <v>0</v>
      </c>
      <c r="EE249">
        <v>0</v>
      </c>
      <c r="EF249" t="s">
        <v>920</v>
      </c>
      <c r="EG249" t="s">
        <v>595</v>
      </c>
      <c r="EH249" t="s">
        <v>921</v>
      </c>
      <c r="EI249" t="s">
        <v>921</v>
      </c>
      <c r="EJ249" t="s">
        <v>159</v>
      </c>
      <c r="EK249">
        <v>9090</v>
      </c>
      <c r="EL249">
        <v>0</v>
      </c>
      <c r="EM249" t="s">
        <v>873</v>
      </c>
      <c r="EN249">
        <v>0.7167</v>
      </c>
      <c r="EO249">
        <v>18.850000000000001</v>
      </c>
      <c r="EP249">
        <v>99991120</v>
      </c>
      <c r="EQ249" t="s">
        <v>874</v>
      </c>
      <c r="ER249" t="s">
        <v>875</v>
      </c>
      <c r="ES249" t="s">
        <v>876</v>
      </c>
      <c r="ET249" t="s">
        <v>877</v>
      </c>
      <c r="EU249" t="s">
        <v>877</v>
      </c>
      <c r="EV249" t="s">
        <v>920</v>
      </c>
      <c r="EX249" t="s">
        <v>836</v>
      </c>
      <c r="EY249" t="s">
        <v>873</v>
      </c>
      <c r="EZ249" t="s">
        <v>1122</v>
      </c>
      <c r="FA249" t="s">
        <v>956</v>
      </c>
      <c r="FB249">
        <v>1</v>
      </c>
      <c r="FC249">
        <v>1</v>
      </c>
      <c r="FD249" s="41">
        <v>46186</v>
      </c>
      <c r="FE249" t="s">
        <v>1315</v>
      </c>
      <c r="FF249">
        <v>5</v>
      </c>
      <c r="FI249">
        <v>0</v>
      </c>
      <c r="FJ249" t="s">
        <v>5883</v>
      </c>
      <c r="FK249" t="s">
        <v>5884</v>
      </c>
      <c r="FL249">
        <v>1</v>
      </c>
      <c r="FM249" t="s">
        <v>5885</v>
      </c>
      <c r="FN249" t="s">
        <v>5886</v>
      </c>
      <c r="FO249">
        <v>1</v>
      </c>
      <c r="FP249" t="s">
        <v>5887</v>
      </c>
      <c r="FQ249" t="s">
        <v>5882</v>
      </c>
      <c r="FR249">
        <v>1</v>
      </c>
      <c r="FS249" t="s">
        <v>3828</v>
      </c>
      <c r="FT249" t="s">
        <v>5888</v>
      </c>
      <c r="FU249">
        <v>1</v>
      </c>
      <c r="FV249" t="s">
        <v>5883</v>
      </c>
      <c r="FW249" t="s">
        <v>5889</v>
      </c>
      <c r="FX249">
        <v>1</v>
      </c>
      <c r="FY249" t="s">
        <v>890</v>
      </c>
      <c r="FZ249" t="s">
        <v>5890</v>
      </c>
      <c r="GA249" t="s">
        <v>5883</v>
      </c>
      <c r="GB249">
        <v>1</v>
      </c>
      <c r="GD249">
        <v>0</v>
      </c>
      <c r="GF249">
        <v>0</v>
      </c>
      <c r="GG249">
        <v>1</v>
      </c>
      <c r="GH249" t="s">
        <v>892</v>
      </c>
      <c r="GI249" t="s">
        <v>893</v>
      </c>
      <c r="GJ249" t="s">
        <v>5889</v>
      </c>
      <c r="GM249">
        <v>1</v>
      </c>
      <c r="GN249">
        <v>1</v>
      </c>
      <c r="GO249">
        <v>0</v>
      </c>
      <c r="GP249">
        <v>1</v>
      </c>
      <c r="GQ249">
        <v>1</v>
      </c>
      <c r="GR249">
        <v>0</v>
      </c>
      <c r="GS249">
        <v>1</v>
      </c>
      <c r="GT249">
        <v>0</v>
      </c>
      <c r="GU249">
        <v>1</v>
      </c>
      <c r="GV249">
        <v>0</v>
      </c>
      <c r="GW249">
        <v>1</v>
      </c>
      <c r="GX249">
        <v>0</v>
      </c>
      <c r="GY249">
        <v>1</v>
      </c>
      <c r="GZ249">
        <v>0</v>
      </c>
      <c r="HA249" t="s">
        <v>520</v>
      </c>
      <c r="HB249" t="s">
        <v>894</v>
      </c>
      <c r="HC249" t="s">
        <v>895</v>
      </c>
      <c r="HD249" t="s">
        <v>845</v>
      </c>
      <c r="HE249" t="s">
        <v>836</v>
      </c>
      <c r="HF249" t="s">
        <v>873</v>
      </c>
      <c r="HG249" t="s">
        <v>894</v>
      </c>
      <c r="HH249" t="s">
        <v>895</v>
      </c>
      <c r="HI249" t="s">
        <v>845</v>
      </c>
      <c r="HJ249" t="s">
        <v>836</v>
      </c>
      <c r="HK249" t="s">
        <v>873</v>
      </c>
      <c r="HL249" t="s">
        <v>4001</v>
      </c>
      <c r="HM249" t="s">
        <v>854</v>
      </c>
      <c r="HN249">
        <v>36805</v>
      </c>
      <c r="HP249" t="s">
        <v>159</v>
      </c>
      <c r="HQ249" t="s">
        <v>896</v>
      </c>
      <c r="HR249" t="s">
        <v>896</v>
      </c>
      <c r="HS249" t="s">
        <v>896</v>
      </c>
    </row>
    <row r="250" spans="1:227" x14ac:dyDescent="0.2">
      <c r="A250">
        <v>8702</v>
      </c>
      <c r="B250">
        <v>7522202824</v>
      </c>
      <c r="C250">
        <v>34</v>
      </c>
      <c r="D250" t="s">
        <v>996</v>
      </c>
      <c r="E250" t="s">
        <v>897</v>
      </c>
      <c r="F250">
        <v>0</v>
      </c>
      <c r="G250" t="s">
        <v>5891</v>
      </c>
      <c r="H250" t="s">
        <v>5891</v>
      </c>
      <c r="I250">
        <v>0</v>
      </c>
      <c r="J250" t="s">
        <v>833</v>
      </c>
      <c r="K250" t="s">
        <v>834</v>
      </c>
      <c r="L250">
        <v>153195499</v>
      </c>
      <c r="M250" t="s">
        <v>4098</v>
      </c>
      <c r="N250" t="s">
        <v>900</v>
      </c>
      <c r="O250" t="s">
        <v>837</v>
      </c>
      <c r="P250" t="s">
        <v>999</v>
      </c>
      <c r="Q250" t="s">
        <v>1027</v>
      </c>
      <c r="R250" t="s">
        <v>5892</v>
      </c>
      <c r="S250" t="s">
        <v>5893</v>
      </c>
      <c r="T250">
        <v>41477090543</v>
      </c>
      <c r="V250" t="s">
        <v>1226</v>
      </c>
      <c r="W250" s="41">
        <v>45880</v>
      </c>
      <c r="X250" t="s">
        <v>5894</v>
      </c>
      <c r="Y250" t="s">
        <v>5895</v>
      </c>
      <c r="AA250">
        <v>0</v>
      </c>
      <c r="AB250" t="s">
        <v>845</v>
      </c>
      <c r="AC250" t="s">
        <v>846</v>
      </c>
      <c r="AD250" t="s">
        <v>847</v>
      </c>
      <c r="AE250" t="s">
        <v>848</v>
      </c>
      <c r="AF250">
        <v>1</v>
      </c>
      <c r="AG250">
        <v>452210</v>
      </c>
      <c r="AH250" t="s">
        <v>849</v>
      </c>
      <c r="AI250" t="s">
        <v>850</v>
      </c>
      <c r="AJ250" t="s">
        <v>851</v>
      </c>
      <c r="AK250" t="s">
        <v>371</v>
      </c>
      <c r="AL250" t="s">
        <v>4598</v>
      </c>
      <c r="AM250" t="s">
        <v>1230</v>
      </c>
      <c r="AN250" t="s">
        <v>854</v>
      </c>
      <c r="AO250">
        <v>36805</v>
      </c>
      <c r="AP250">
        <v>925</v>
      </c>
      <c r="AQ250" t="s">
        <v>855</v>
      </c>
      <c r="AR250">
        <v>66065087</v>
      </c>
      <c r="AS250" t="s">
        <v>856</v>
      </c>
      <c r="AU250" t="s">
        <v>5896</v>
      </c>
      <c r="AV250" t="s">
        <v>5897</v>
      </c>
      <c r="AX250" t="s">
        <v>913</v>
      </c>
      <c r="AY250" t="s">
        <v>861</v>
      </c>
      <c r="AZ250" t="s">
        <v>371</v>
      </c>
      <c r="BA250" t="s">
        <v>372</v>
      </c>
      <c r="BB250">
        <v>0</v>
      </c>
      <c r="BC250">
        <v>0</v>
      </c>
      <c r="BD250">
        <v>1</v>
      </c>
      <c r="BE250" t="s">
        <v>4098</v>
      </c>
      <c r="BF250">
        <v>0</v>
      </c>
      <c r="BG250">
        <v>0</v>
      </c>
      <c r="BH250" t="s">
        <v>862</v>
      </c>
      <c r="BI250">
        <v>0</v>
      </c>
      <c r="BJ250" t="s">
        <v>862</v>
      </c>
      <c r="BK250">
        <v>1</v>
      </c>
      <c r="BL250">
        <v>1</v>
      </c>
      <c r="BM250">
        <v>0</v>
      </c>
      <c r="BN250" t="s">
        <v>596</v>
      </c>
      <c r="BO250">
        <v>153195499</v>
      </c>
      <c r="BP250" t="s">
        <v>5891</v>
      </c>
      <c r="BQ250">
        <v>41.518274400000003</v>
      </c>
      <c r="BR250">
        <v>42793649</v>
      </c>
      <c r="BS250">
        <v>-81.448971799999995</v>
      </c>
      <c r="BT250">
        <v>0</v>
      </c>
      <c r="CM250">
        <v>4010</v>
      </c>
      <c r="CO250">
        <v>7360</v>
      </c>
      <c r="CP250">
        <v>0.26669999999999999</v>
      </c>
      <c r="CQ250">
        <v>0.26669999999999999</v>
      </c>
      <c r="CR250">
        <v>0.45</v>
      </c>
      <c r="CS250">
        <v>10</v>
      </c>
      <c r="CT250" t="s">
        <v>5897</v>
      </c>
      <c r="CU250" t="s">
        <v>5896</v>
      </c>
      <c r="CV250" t="s">
        <v>833</v>
      </c>
      <c r="CW250" t="s">
        <v>834</v>
      </c>
      <c r="CX250" t="s">
        <v>4098</v>
      </c>
      <c r="CY250">
        <v>1</v>
      </c>
      <c r="CZ250">
        <v>1</v>
      </c>
      <c r="DA250" t="s">
        <v>833</v>
      </c>
      <c r="DB250" t="s">
        <v>865</v>
      </c>
      <c r="DC250">
        <v>44124</v>
      </c>
      <c r="DD250">
        <v>9.25</v>
      </c>
      <c r="DE250" t="s">
        <v>866</v>
      </c>
      <c r="DG250" t="s">
        <v>867</v>
      </c>
      <c r="DH250" t="s">
        <v>851</v>
      </c>
      <c r="DI250" t="s">
        <v>3407</v>
      </c>
      <c r="DL250" t="s">
        <v>869</v>
      </c>
      <c r="DM250">
        <v>0</v>
      </c>
      <c r="DN250">
        <v>0</v>
      </c>
      <c r="DO250">
        <v>11</v>
      </c>
      <c r="DP250" t="s">
        <v>1010</v>
      </c>
      <c r="DQ250">
        <v>12</v>
      </c>
      <c r="DR250">
        <v>555</v>
      </c>
      <c r="DS250">
        <v>1275</v>
      </c>
      <c r="DT250">
        <v>8.9832999999999998</v>
      </c>
      <c r="DU250">
        <v>4</v>
      </c>
      <c r="DW250">
        <v>1</v>
      </c>
      <c r="DX250" t="s">
        <v>596</v>
      </c>
      <c r="DY250" t="s">
        <v>4098</v>
      </c>
      <c r="DZ250">
        <v>1</v>
      </c>
      <c r="EA250">
        <v>1</v>
      </c>
      <c r="EB250">
        <v>1</v>
      </c>
      <c r="EC250">
        <v>0</v>
      </c>
      <c r="ED250">
        <v>0</v>
      </c>
      <c r="EE250">
        <v>1</v>
      </c>
      <c r="EF250" t="s">
        <v>920</v>
      </c>
      <c r="EG250" t="s">
        <v>595</v>
      </c>
      <c r="EH250" t="s">
        <v>1036</v>
      </c>
      <c r="EI250" t="s">
        <v>1036</v>
      </c>
      <c r="EJ250" t="s">
        <v>226</v>
      </c>
      <c r="EK250">
        <v>9090</v>
      </c>
      <c r="EL250">
        <v>0</v>
      </c>
      <c r="EM250" t="s">
        <v>1157</v>
      </c>
      <c r="EN250">
        <v>0.45</v>
      </c>
      <c r="EO250">
        <v>21.25</v>
      </c>
      <c r="EP250">
        <v>99991120</v>
      </c>
      <c r="EQ250" t="s">
        <v>874</v>
      </c>
      <c r="ER250" t="s">
        <v>875</v>
      </c>
      <c r="ES250" t="s">
        <v>876</v>
      </c>
      <c r="ET250" t="s">
        <v>877</v>
      </c>
      <c r="EU250" t="s">
        <v>877</v>
      </c>
      <c r="EV250" t="s">
        <v>920</v>
      </c>
      <c r="EX250" t="s">
        <v>953</v>
      </c>
      <c r="EY250" t="s">
        <v>986</v>
      </c>
      <c r="EZ250" t="s">
        <v>1236</v>
      </c>
      <c r="FA250" t="s">
        <v>956</v>
      </c>
      <c r="FB250">
        <v>1</v>
      </c>
      <c r="FC250">
        <v>1</v>
      </c>
      <c r="FD250" s="41">
        <v>45885</v>
      </c>
      <c r="FE250" t="s">
        <v>987</v>
      </c>
      <c r="FF250">
        <v>6</v>
      </c>
      <c r="FG250" t="s">
        <v>4113</v>
      </c>
      <c r="FH250" t="s">
        <v>5898</v>
      </c>
      <c r="FI250">
        <v>1</v>
      </c>
      <c r="FJ250" t="s">
        <v>4603</v>
      </c>
      <c r="FK250" t="s">
        <v>5899</v>
      </c>
      <c r="FL250">
        <v>1</v>
      </c>
      <c r="FM250" t="s">
        <v>5900</v>
      </c>
      <c r="FN250" t="s">
        <v>5901</v>
      </c>
      <c r="FO250">
        <v>1</v>
      </c>
      <c r="FP250" t="s">
        <v>5902</v>
      </c>
      <c r="FQ250" t="s">
        <v>5903</v>
      </c>
      <c r="FR250">
        <v>1</v>
      </c>
      <c r="FS250" t="s">
        <v>1244</v>
      </c>
      <c r="FT250" t="s">
        <v>5904</v>
      </c>
      <c r="FU250">
        <v>1</v>
      </c>
      <c r="FV250" t="s">
        <v>1246</v>
      </c>
      <c r="FW250" t="s">
        <v>5905</v>
      </c>
      <c r="FX250">
        <v>1</v>
      </c>
      <c r="FY250" t="s">
        <v>890</v>
      </c>
      <c r="FZ250" t="s">
        <v>5906</v>
      </c>
      <c r="GA250" t="s">
        <v>4603</v>
      </c>
      <c r="GB250">
        <v>1</v>
      </c>
      <c r="GD250">
        <v>0</v>
      </c>
      <c r="GF250">
        <v>0</v>
      </c>
      <c r="GG250">
        <v>1</v>
      </c>
      <c r="GH250" t="s">
        <v>892</v>
      </c>
      <c r="GI250" t="s">
        <v>893</v>
      </c>
      <c r="GJ250" t="s">
        <v>5899</v>
      </c>
      <c r="GM250">
        <v>1</v>
      </c>
      <c r="GN250">
        <v>1</v>
      </c>
      <c r="GO250">
        <v>0</v>
      </c>
      <c r="GP250">
        <v>1</v>
      </c>
      <c r="GQ250">
        <v>1</v>
      </c>
      <c r="GR250">
        <v>0</v>
      </c>
      <c r="GS250">
        <v>1</v>
      </c>
      <c r="GT250">
        <v>0</v>
      </c>
      <c r="GU250">
        <v>1</v>
      </c>
      <c r="GV250">
        <v>0</v>
      </c>
      <c r="GW250">
        <v>1</v>
      </c>
      <c r="GX250">
        <v>0</v>
      </c>
      <c r="GY250">
        <v>1</v>
      </c>
      <c r="GZ250">
        <v>0</v>
      </c>
      <c r="HA250" t="s">
        <v>371</v>
      </c>
      <c r="HB250" t="s">
        <v>894</v>
      </c>
      <c r="HC250" t="s">
        <v>935</v>
      </c>
      <c r="HD250" t="s">
        <v>845</v>
      </c>
      <c r="HE250" t="s">
        <v>900</v>
      </c>
      <c r="HF250" t="s">
        <v>923</v>
      </c>
      <c r="HG250" t="s">
        <v>894</v>
      </c>
      <c r="HH250" t="s">
        <v>935</v>
      </c>
      <c r="HI250" t="s">
        <v>845</v>
      </c>
      <c r="HJ250" t="s">
        <v>900</v>
      </c>
      <c r="HK250" t="s">
        <v>922</v>
      </c>
      <c r="HL250" t="s">
        <v>1226</v>
      </c>
      <c r="HM250" t="s">
        <v>854</v>
      </c>
      <c r="HN250">
        <v>36805</v>
      </c>
      <c r="HP250" t="s">
        <v>226</v>
      </c>
      <c r="HQ250" t="s">
        <v>896</v>
      </c>
      <c r="HR250" t="s">
        <v>896</v>
      </c>
      <c r="HS250" t="s">
        <v>896</v>
      </c>
    </row>
    <row r="251" spans="1:227" x14ac:dyDescent="0.2">
      <c r="A251">
        <v>8702</v>
      </c>
      <c r="B251">
        <v>7529504246</v>
      </c>
      <c r="C251" t="s">
        <v>2265</v>
      </c>
      <c r="D251" t="s">
        <v>2266</v>
      </c>
      <c r="E251" t="s">
        <v>831</v>
      </c>
      <c r="F251">
        <v>2</v>
      </c>
      <c r="G251" t="s">
        <v>5907</v>
      </c>
      <c r="H251" t="s">
        <v>5907</v>
      </c>
      <c r="I251">
        <v>0</v>
      </c>
      <c r="J251" t="s">
        <v>833</v>
      </c>
      <c r="K251" t="s">
        <v>834</v>
      </c>
      <c r="L251">
        <v>153524535</v>
      </c>
      <c r="M251" t="s">
        <v>2338</v>
      </c>
      <c r="N251" t="s">
        <v>836</v>
      </c>
      <c r="O251" t="s">
        <v>837</v>
      </c>
      <c r="P251" t="s">
        <v>5908</v>
      </c>
      <c r="Q251" t="s">
        <v>5909</v>
      </c>
      <c r="R251" t="s">
        <v>5910</v>
      </c>
      <c r="S251" t="s">
        <v>5911</v>
      </c>
      <c r="T251">
        <v>41477059751</v>
      </c>
      <c r="V251" t="s">
        <v>2032</v>
      </c>
      <c r="W251" s="41">
        <v>45952</v>
      </c>
      <c r="X251" t="s">
        <v>5912</v>
      </c>
      <c r="Y251" t="s">
        <v>5913</v>
      </c>
      <c r="AA251">
        <v>0</v>
      </c>
      <c r="AB251" t="s">
        <v>845</v>
      </c>
      <c r="AC251" t="s">
        <v>846</v>
      </c>
      <c r="AD251" t="s">
        <v>847</v>
      </c>
      <c r="AE251" t="s">
        <v>848</v>
      </c>
      <c r="AF251">
        <v>1</v>
      </c>
      <c r="AG251">
        <v>452210</v>
      </c>
      <c r="AH251" t="s">
        <v>849</v>
      </c>
      <c r="AI251" t="s">
        <v>850</v>
      </c>
      <c r="AJ251" t="s">
        <v>851</v>
      </c>
      <c r="AK251" t="s">
        <v>299</v>
      </c>
      <c r="AL251" t="s">
        <v>2035</v>
      </c>
      <c r="AM251" t="s">
        <v>2036</v>
      </c>
      <c r="AN251" t="s">
        <v>854</v>
      </c>
      <c r="AO251">
        <v>36805</v>
      </c>
      <c r="AP251">
        <v>537</v>
      </c>
      <c r="AQ251" t="s">
        <v>855</v>
      </c>
      <c r="AR251">
        <v>66168882</v>
      </c>
      <c r="AS251" t="s">
        <v>856</v>
      </c>
      <c r="AU251" t="s">
        <v>5914</v>
      </c>
      <c r="AV251" t="s">
        <v>5915</v>
      </c>
      <c r="AX251" t="s">
        <v>913</v>
      </c>
      <c r="AY251" t="s">
        <v>861</v>
      </c>
      <c r="AZ251" t="s">
        <v>299</v>
      </c>
      <c r="BA251" t="s">
        <v>300</v>
      </c>
      <c r="BB251">
        <v>0</v>
      </c>
      <c r="BC251">
        <v>0</v>
      </c>
      <c r="BD251">
        <v>0</v>
      </c>
      <c r="BE251" t="s">
        <v>2338</v>
      </c>
      <c r="BF251">
        <v>0</v>
      </c>
      <c r="BG251">
        <v>0</v>
      </c>
      <c r="BH251" t="s">
        <v>862</v>
      </c>
      <c r="BI251">
        <v>0</v>
      </c>
      <c r="BJ251" t="s">
        <v>862</v>
      </c>
      <c r="BK251">
        <v>1</v>
      </c>
      <c r="BL251">
        <v>1</v>
      </c>
      <c r="BM251">
        <v>0</v>
      </c>
      <c r="BN251" t="s">
        <v>596</v>
      </c>
      <c r="BO251">
        <v>153524535</v>
      </c>
      <c r="BP251" t="s">
        <v>5907</v>
      </c>
      <c r="BQ251">
        <v>40.452024700000003</v>
      </c>
      <c r="BR251">
        <v>42791480</v>
      </c>
      <c r="BS251">
        <v>-86.914260799999994</v>
      </c>
      <c r="BT251">
        <v>0</v>
      </c>
      <c r="CM251">
        <v>4010</v>
      </c>
      <c r="CO251">
        <v>7360</v>
      </c>
      <c r="CP251">
        <v>2.35</v>
      </c>
      <c r="CQ251">
        <v>2.35</v>
      </c>
      <c r="CR251">
        <v>0.7</v>
      </c>
      <c r="CS251">
        <v>3</v>
      </c>
      <c r="CT251" t="s">
        <v>5916</v>
      </c>
      <c r="CU251" t="s">
        <v>5917</v>
      </c>
      <c r="CV251" t="s">
        <v>833</v>
      </c>
      <c r="CW251" t="s">
        <v>834</v>
      </c>
      <c r="CX251" t="s">
        <v>2338</v>
      </c>
      <c r="CY251">
        <v>0</v>
      </c>
      <c r="CZ251">
        <v>0</v>
      </c>
      <c r="DA251" t="s">
        <v>833</v>
      </c>
      <c r="DB251" t="s">
        <v>865</v>
      </c>
      <c r="DC251">
        <v>47906</v>
      </c>
      <c r="DD251">
        <v>3.85</v>
      </c>
      <c r="DE251" t="s">
        <v>866</v>
      </c>
      <c r="DG251" t="s">
        <v>867</v>
      </c>
      <c r="DH251" t="s">
        <v>851</v>
      </c>
      <c r="DI251" t="s">
        <v>1291</v>
      </c>
      <c r="DL251" t="s">
        <v>869</v>
      </c>
      <c r="DM251">
        <v>0</v>
      </c>
      <c r="DN251">
        <v>0</v>
      </c>
      <c r="DO251">
        <v>1</v>
      </c>
      <c r="DP251" t="s">
        <v>985</v>
      </c>
      <c r="DQ251">
        <v>12</v>
      </c>
      <c r="DR251">
        <v>231</v>
      </c>
      <c r="DS251">
        <v>231</v>
      </c>
      <c r="DT251">
        <v>1.5</v>
      </c>
      <c r="DU251">
        <v>4</v>
      </c>
      <c r="DW251">
        <v>1</v>
      </c>
      <c r="DX251" t="s">
        <v>596</v>
      </c>
      <c r="DY251" t="s">
        <v>2338</v>
      </c>
      <c r="DZ251">
        <v>1</v>
      </c>
      <c r="EA251">
        <v>1</v>
      </c>
      <c r="EB251">
        <v>1</v>
      </c>
      <c r="EC251">
        <v>1</v>
      </c>
      <c r="ED251">
        <v>1</v>
      </c>
      <c r="EE251">
        <v>1</v>
      </c>
      <c r="EF251" t="s">
        <v>920</v>
      </c>
      <c r="EG251" t="s">
        <v>595</v>
      </c>
      <c r="EH251" t="s">
        <v>1036</v>
      </c>
      <c r="EI251" t="s">
        <v>1036</v>
      </c>
      <c r="EJ251" t="s">
        <v>134</v>
      </c>
      <c r="EK251">
        <v>9090</v>
      </c>
      <c r="EL251">
        <v>0</v>
      </c>
      <c r="EM251" t="s">
        <v>1436</v>
      </c>
      <c r="EN251">
        <v>1.8667</v>
      </c>
      <c r="EO251">
        <v>3.85</v>
      </c>
      <c r="EP251">
        <v>99991120</v>
      </c>
      <c r="EQ251" t="s">
        <v>874</v>
      </c>
      <c r="ER251" t="s">
        <v>875</v>
      </c>
      <c r="ES251" t="s">
        <v>876</v>
      </c>
      <c r="ET251" t="s">
        <v>877</v>
      </c>
      <c r="EU251" t="s">
        <v>877</v>
      </c>
      <c r="EV251" t="s">
        <v>920</v>
      </c>
      <c r="EX251" t="s">
        <v>953</v>
      </c>
      <c r="EY251" t="s">
        <v>1555</v>
      </c>
      <c r="EZ251" t="s">
        <v>1211</v>
      </c>
      <c r="FA251" t="s">
        <v>1212</v>
      </c>
      <c r="FB251">
        <v>1</v>
      </c>
      <c r="FC251">
        <v>1</v>
      </c>
      <c r="FD251" s="41">
        <v>45955</v>
      </c>
      <c r="FE251" t="s">
        <v>1039</v>
      </c>
      <c r="FF251">
        <v>5</v>
      </c>
      <c r="FI251">
        <v>0</v>
      </c>
      <c r="FJ251" t="s">
        <v>5918</v>
      </c>
      <c r="FK251" t="s">
        <v>5919</v>
      </c>
      <c r="FL251">
        <v>1</v>
      </c>
      <c r="FM251" t="s">
        <v>5920</v>
      </c>
      <c r="FN251" t="s">
        <v>5921</v>
      </c>
      <c r="FO251">
        <v>1</v>
      </c>
      <c r="FP251" t="s">
        <v>5922</v>
      </c>
      <c r="FQ251" t="s">
        <v>5917</v>
      </c>
      <c r="FR251">
        <v>1</v>
      </c>
      <c r="FS251" t="s">
        <v>2048</v>
      </c>
      <c r="FT251" t="s">
        <v>5923</v>
      </c>
      <c r="FU251">
        <v>1</v>
      </c>
      <c r="FV251" t="s">
        <v>2338</v>
      </c>
      <c r="FW251" t="s">
        <v>5919</v>
      </c>
      <c r="FX251">
        <v>1</v>
      </c>
      <c r="FY251" t="s">
        <v>890</v>
      </c>
      <c r="FZ251" t="s">
        <v>5924</v>
      </c>
      <c r="GA251" t="s">
        <v>5918</v>
      </c>
      <c r="GB251">
        <v>1</v>
      </c>
      <c r="GD251">
        <v>0</v>
      </c>
      <c r="GF251">
        <v>0</v>
      </c>
      <c r="GG251">
        <v>1</v>
      </c>
      <c r="GH251" t="s">
        <v>892</v>
      </c>
      <c r="GI251" t="s">
        <v>893</v>
      </c>
      <c r="GJ251" t="s">
        <v>5919</v>
      </c>
      <c r="GM251">
        <v>1</v>
      </c>
      <c r="GN251">
        <v>1</v>
      </c>
      <c r="GO251">
        <v>0</v>
      </c>
      <c r="GP251">
        <v>1</v>
      </c>
      <c r="GQ251">
        <v>1</v>
      </c>
      <c r="GR251">
        <v>0</v>
      </c>
      <c r="GS251">
        <v>1</v>
      </c>
      <c r="GT251">
        <v>0</v>
      </c>
      <c r="GU251">
        <v>1</v>
      </c>
      <c r="GV251">
        <v>0</v>
      </c>
      <c r="GW251">
        <v>1</v>
      </c>
      <c r="GX251">
        <v>0</v>
      </c>
      <c r="GY251">
        <v>1</v>
      </c>
      <c r="GZ251">
        <v>0</v>
      </c>
      <c r="HA251" t="s">
        <v>299</v>
      </c>
      <c r="HB251" t="s">
        <v>894</v>
      </c>
      <c r="HC251" t="s">
        <v>895</v>
      </c>
      <c r="HD251" t="s">
        <v>845</v>
      </c>
      <c r="HE251" t="s">
        <v>836</v>
      </c>
      <c r="HF251" t="s">
        <v>873</v>
      </c>
      <c r="HG251" t="s">
        <v>894</v>
      </c>
      <c r="HH251" t="s">
        <v>895</v>
      </c>
      <c r="HI251" t="s">
        <v>845</v>
      </c>
      <c r="HJ251" t="s">
        <v>836</v>
      </c>
      <c r="HK251" t="s">
        <v>1436</v>
      </c>
      <c r="HL251" t="s">
        <v>2032</v>
      </c>
      <c r="HM251" t="s">
        <v>854</v>
      </c>
      <c r="HN251">
        <v>36805</v>
      </c>
      <c r="HP251" t="s">
        <v>134</v>
      </c>
      <c r="HQ251" t="s">
        <v>896</v>
      </c>
      <c r="HR251" t="s">
        <v>896</v>
      </c>
      <c r="HS251" t="s">
        <v>896</v>
      </c>
    </row>
    <row r="252" spans="1:227" x14ac:dyDescent="0.2">
      <c r="A252">
        <v>8702</v>
      </c>
      <c r="B252">
        <v>7522810592</v>
      </c>
      <c r="C252" t="s">
        <v>829</v>
      </c>
      <c r="D252" t="s">
        <v>830</v>
      </c>
      <c r="E252" t="s">
        <v>831</v>
      </c>
      <c r="F252">
        <v>0</v>
      </c>
      <c r="G252" t="s">
        <v>5925</v>
      </c>
      <c r="H252" t="s">
        <v>5925</v>
      </c>
      <c r="I252">
        <v>0</v>
      </c>
      <c r="J252" t="s">
        <v>833</v>
      </c>
      <c r="K252" t="s">
        <v>834</v>
      </c>
      <c r="L252">
        <v>153294188</v>
      </c>
      <c r="M252" t="s">
        <v>5926</v>
      </c>
      <c r="N252" t="s">
        <v>836</v>
      </c>
      <c r="O252" t="s">
        <v>837</v>
      </c>
      <c r="P252" t="s">
        <v>838</v>
      </c>
      <c r="Q252" t="s">
        <v>1593</v>
      </c>
      <c r="R252" t="s">
        <v>5927</v>
      </c>
      <c r="S252" t="s">
        <v>5928</v>
      </c>
      <c r="T252">
        <v>41477094299</v>
      </c>
      <c r="V252" t="s">
        <v>136</v>
      </c>
      <c r="W252" s="41">
        <v>45885</v>
      </c>
      <c r="X252" t="s">
        <v>5929</v>
      </c>
      <c r="Y252" t="s">
        <v>5930</v>
      </c>
      <c r="AA252">
        <v>0</v>
      </c>
      <c r="AB252" t="s">
        <v>845</v>
      </c>
      <c r="AC252" t="s">
        <v>846</v>
      </c>
      <c r="AD252" t="s">
        <v>847</v>
      </c>
      <c r="AE252" t="s">
        <v>848</v>
      </c>
      <c r="AF252">
        <v>1</v>
      </c>
      <c r="AG252">
        <v>452210</v>
      </c>
      <c r="AH252" t="s">
        <v>849</v>
      </c>
      <c r="AI252" t="s">
        <v>850</v>
      </c>
      <c r="AJ252" t="s">
        <v>851</v>
      </c>
      <c r="AK252" t="s">
        <v>354</v>
      </c>
      <c r="AL252" t="s">
        <v>1206</v>
      </c>
      <c r="AM252" t="s">
        <v>1207</v>
      </c>
      <c r="AN252" t="s">
        <v>854</v>
      </c>
      <c r="AO252">
        <v>36805</v>
      </c>
      <c r="AP252">
        <v>523</v>
      </c>
      <c r="AQ252" t="s">
        <v>855</v>
      </c>
      <c r="AR252">
        <v>66072581</v>
      </c>
      <c r="AS252" t="s">
        <v>856</v>
      </c>
      <c r="AU252" t="s">
        <v>5931</v>
      </c>
      <c r="AV252" t="s">
        <v>5932</v>
      </c>
      <c r="AX252" t="s">
        <v>913</v>
      </c>
      <c r="AY252" t="s">
        <v>861</v>
      </c>
      <c r="AZ252" t="s">
        <v>354</v>
      </c>
      <c r="BA252" t="s">
        <v>355</v>
      </c>
      <c r="BB252">
        <v>0</v>
      </c>
      <c r="BC252">
        <v>0</v>
      </c>
      <c r="BD252">
        <v>0</v>
      </c>
      <c r="BE252" t="s">
        <v>5926</v>
      </c>
      <c r="BF252">
        <v>0</v>
      </c>
      <c r="BG252">
        <v>0</v>
      </c>
      <c r="BH252" t="s">
        <v>862</v>
      </c>
      <c r="BI252">
        <v>0</v>
      </c>
      <c r="BJ252" t="s">
        <v>862</v>
      </c>
      <c r="BK252">
        <v>1</v>
      </c>
      <c r="BL252">
        <v>1</v>
      </c>
      <c r="BM252">
        <v>0</v>
      </c>
      <c r="BN252" t="s">
        <v>596</v>
      </c>
      <c r="BO252">
        <v>153294188</v>
      </c>
      <c r="BP252" t="s">
        <v>5925</v>
      </c>
      <c r="BQ252">
        <v>40.413072800000002</v>
      </c>
      <c r="BR252">
        <v>42791433</v>
      </c>
      <c r="BS252">
        <v>-86.839506700000001</v>
      </c>
      <c r="BT252">
        <v>0</v>
      </c>
      <c r="CM252">
        <v>4010</v>
      </c>
      <c r="CO252">
        <v>7360</v>
      </c>
      <c r="CP252">
        <v>0.66669999999999996</v>
      </c>
      <c r="CQ252">
        <v>0.66669999999999996</v>
      </c>
      <c r="CR252">
        <v>1.7166999999999999</v>
      </c>
      <c r="CS252">
        <v>8</v>
      </c>
      <c r="CT252" t="s">
        <v>5932</v>
      </c>
      <c r="CU252" t="s">
        <v>5931</v>
      </c>
      <c r="CV252" t="s">
        <v>833</v>
      </c>
      <c r="CW252" t="s">
        <v>834</v>
      </c>
      <c r="CX252" t="s">
        <v>5926</v>
      </c>
      <c r="CY252">
        <v>0</v>
      </c>
      <c r="CZ252">
        <v>0</v>
      </c>
      <c r="DA252" t="s">
        <v>833</v>
      </c>
      <c r="DB252" t="s">
        <v>865</v>
      </c>
      <c r="DC252">
        <v>47905</v>
      </c>
      <c r="DD252">
        <v>8.4</v>
      </c>
      <c r="DE252" t="s">
        <v>866</v>
      </c>
      <c r="DG252" t="s">
        <v>867</v>
      </c>
      <c r="DH252" t="s">
        <v>851</v>
      </c>
      <c r="DI252" t="s">
        <v>3154</v>
      </c>
      <c r="DL252" t="s">
        <v>869</v>
      </c>
      <c r="DM252">
        <v>0</v>
      </c>
      <c r="DN252">
        <v>0</v>
      </c>
      <c r="DO252">
        <v>2</v>
      </c>
      <c r="DP252" t="s">
        <v>870</v>
      </c>
      <c r="DQ252">
        <v>16</v>
      </c>
      <c r="DR252">
        <v>504</v>
      </c>
      <c r="DS252">
        <v>504</v>
      </c>
      <c r="DT252">
        <v>7.7332999999999998</v>
      </c>
      <c r="DU252">
        <v>4</v>
      </c>
      <c r="DW252">
        <v>2</v>
      </c>
      <c r="DX252" t="s">
        <v>596</v>
      </c>
      <c r="DY252" t="s">
        <v>5926</v>
      </c>
      <c r="DZ252">
        <v>1</v>
      </c>
      <c r="EA252">
        <v>1</v>
      </c>
      <c r="EB252">
        <v>1</v>
      </c>
      <c r="EC252">
        <v>0</v>
      </c>
      <c r="ED252">
        <v>0</v>
      </c>
      <c r="EE252">
        <v>1</v>
      </c>
      <c r="EF252" t="s">
        <v>920</v>
      </c>
      <c r="EG252" t="s">
        <v>595</v>
      </c>
      <c r="EH252" t="s">
        <v>921</v>
      </c>
      <c r="EI252" t="s">
        <v>921</v>
      </c>
      <c r="EJ252" t="s">
        <v>134</v>
      </c>
      <c r="EK252">
        <v>9090</v>
      </c>
      <c r="EL252">
        <v>0</v>
      </c>
      <c r="EM252" t="s">
        <v>1436</v>
      </c>
      <c r="EN252">
        <v>1.7166999999999999</v>
      </c>
      <c r="EO252">
        <v>8.4</v>
      </c>
      <c r="EP252">
        <v>99991120</v>
      </c>
      <c r="EQ252" t="s">
        <v>874</v>
      </c>
      <c r="ER252" t="s">
        <v>875</v>
      </c>
      <c r="ES252" t="s">
        <v>876</v>
      </c>
      <c r="ET252" t="s">
        <v>877</v>
      </c>
      <c r="EU252" t="s">
        <v>877</v>
      </c>
      <c r="EV252" t="s">
        <v>920</v>
      </c>
      <c r="EX252" t="s">
        <v>953</v>
      </c>
      <c r="EY252" t="s">
        <v>1555</v>
      </c>
      <c r="EZ252" t="s">
        <v>1211</v>
      </c>
      <c r="FA252" t="s">
        <v>1212</v>
      </c>
      <c r="FB252">
        <v>1</v>
      </c>
      <c r="FC252">
        <v>1</v>
      </c>
      <c r="FD252" s="41">
        <v>45885</v>
      </c>
      <c r="FE252" t="s">
        <v>987</v>
      </c>
      <c r="FF252">
        <v>5</v>
      </c>
      <c r="FI252">
        <v>0</v>
      </c>
      <c r="FJ252" t="s">
        <v>5933</v>
      </c>
      <c r="FK252" t="s">
        <v>5934</v>
      </c>
      <c r="FL252">
        <v>1</v>
      </c>
      <c r="FM252" t="s">
        <v>5935</v>
      </c>
      <c r="FN252" t="s">
        <v>5936</v>
      </c>
      <c r="FO252">
        <v>1</v>
      </c>
      <c r="FP252" t="s">
        <v>5937</v>
      </c>
      <c r="FQ252" t="s">
        <v>5931</v>
      </c>
      <c r="FR252">
        <v>1</v>
      </c>
      <c r="FS252" t="s">
        <v>5938</v>
      </c>
      <c r="FT252" t="s">
        <v>5939</v>
      </c>
      <c r="FU252">
        <v>1</v>
      </c>
      <c r="FV252" t="s">
        <v>5940</v>
      </c>
      <c r="FW252" t="s">
        <v>5934</v>
      </c>
      <c r="FX252">
        <v>1</v>
      </c>
      <c r="FY252" t="s">
        <v>890</v>
      </c>
      <c r="FZ252" t="s">
        <v>5941</v>
      </c>
      <c r="GA252" t="s">
        <v>5933</v>
      </c>
      <c r="GB252">
        <v>1</v>
      </c>
      <c r="GD252">
        <v>0</v>
      </c>
      <c r="GF252">
        <v>0</v>
      </c>
      <c r="GG252">
        <v>1</v>
      </c>
      <c r="GH252" t="s">
        <v>892</v>
      </c>
      <c r="GI252" t="s">
        <v>893</v>
      </c>
      <c r="GJ252" t="s">
        <v>5934</v>
      </c>
      <c r="GM252">
        <v>1</v>
      </c>
      <c r="GN252">
        <v>1</v>
      </c>
      <c r="GO252">
        <v>0</v>
      </c>
      <c r="GP252">
        <v>1</v>
      </c>
      <c r="GQ252">
        <v>1</v>
      </c>
      <c r="GR252">
        <v>0</v>
      </c>
      <c r="GS252">
        <v>1</v>
      </c>
      <c r="GT252">
        <v>0</v>
      </c>
      <c r="GU252">
        <v>1</v>
      </c>
      <c r="GV252">
        <v>0</v>
      </c>
      <c r="GW252">
        <v>1</v>
      </c>
      <c r="GX252">
        <v>0</v>
      </c>
      <c r="GY252">
        <v>1</v>
      </c>
      <c r="GZ252">
        <v>0</v>
      </c>
      <c r="HA252" t="s">
        <v>354</v>
      </c>
      <c r="HB252" t="s">
        <v>894</v>
      </c>
      <c r="HC252" t="s">
        <v>895</v>
      </c>
      <c r="HD252" t="s">
        <v>845</v>
      </c>
      <c r="HE252" t="s">
        <v>836</v>
      </c>
      <c r="HF252" t="s">
        <v>873</v>
      </c>
      <c r="HG252" t="s">
        <v>894</v>
      </c>
      <c r="HH252" t="s">
        <v>895</v>
      </c>
      <c r="HI252" t="s">
        <v>845</v>
      </c>
      <c r="HJ252" t="s">
        <v>836</v>
      </c>
      <c r="HK252" t="s">
        <v>1436</v>
      </c>
      <c r="HL252" t="s">
        <v>136</v>
      </c>
      <c r="HM252" t="s">
        <v>854</v>
      </c>
      <c r="HN252">
        <v>36805</v>
      </c>
      <c r="HP252" t="s">
        <v>134</v>
      </c>
      <c r="HQ252" t="s">
        <v>896</v>
      </c>
      <c r="HR252" t="s">
        <v>896</v>
      </c>
      <c r="HS252" t="s">
        <v>896</v>
      </c>
    </row>
    <row r="253" spans="1:227" x14ac:dyDescent="0.2">
      <c r="A253">
        <v>8702</v>
      </c>
      <c r="B253">
        <v>7600402168</v>
      </c>
      <c r="C253" t="s">
        <v>936</v>
      </c>
      <c r="D253" t="s">
        <v>937</v>
      </c>
      <c r="E253" t="s">
        <v>831</v>
      </c>
      <c r="F253">
        <v>0</v>
      </c>
      <c r="G253" t="s">
        <v>5942</v>
      </c>
      <c r="H253" t="s">
        <v>5942</v>
      </c>
      <c r="I253">
        <v>0</v>
      </c>
      <c r="J253" t="s">
        <v>833</v>
      </c>
      <c r="K253" t="s">
        <v>834</v>
      </c>
      <c r="L253">
        <v>153406480</v>
      </c>
      <c r="M253" t="s">
        <v>1940</v>
      </c>
      <c r="N253" t="s">
        <v>836</v>
      </c>
      <c r="O253" t="s">
        <v>837</v>
      </c>
      <c r="P253" t="s">
        <v>940</v>
      </c>
      <c r="Q253" t="s">
        <v>1080</v>
      </c>
      <c r="R253" t="s">
        <v>5943</v>
      </c>
      <c r="S253" t="s">
        <v>5944</v>
      </c>
      <c r="T253">
        <v>30300131301</v>
      </c>
      <c r="V253" t="s">
        <v>1943</v>
      </c>
      <c r="W253" s="41">
        <v>46026</v>
      </c>
      <c r="X253" t="s">
        <v>5945</v>
      </c>
      <c r="Y253" t="s">
        <v>5946</v>
      </c>
      <c r="Z253" t="s">
        <v>1144</v>
      </c>
      <c r="AA253">
        <v>0</v>
      </c>
      <c r="AB253" t="s">
        <v>845</v>
      </c>
      <c r="AC253" t="s">
        <v>846</v>
      </c>
      <c r="AD253" t="s">
        <v>847</v>
      </c>
      <c r="AE253" t="s">
        <v>848</v>
      </c>
      <c r="AF253">
        <v>1</v>
      </c>
      <c r="AG253">
        <v>452210</v>
      </c>
      <c r="AH253" t="s">
        <v>849</v>
      </c>
      <c r="AI253" t="s">
        <v>850</v>
      </c>
      <c r="AJ253" t="s">
        <v>851</v>
      </c>
      <c r="AK253" t="s">
        <v>305</v>
      </c>
      <c r="AL253" t="s">
        <v>1946</v>
      </c>
      <c r="AM253" t="s">
        <v>1947</v>
      </c>
      <c r="AN253" t="s">
        <v>854</v>
      </c>
      <c r="AO253">
        <v>36805</v>
      </c>
      <c r="AP253">
        <v>562</v>
      </c>
      <c r="AQ253" t="s">
        <v>855</v>
      </c>
      <c r="AR253">
        <v>66275172</v>
      </c>
      <c r="AS253" t="s">
        <v>856</v>
      </c>
      <c r="AU253" t="s">
        <v>5947</v>
      </c>
      <c r="AV253" t="s">
        <v>5948</v>
      </c>
      <c r="AW253" t="s">
        <v>1149</v>
      </c>
      <c r="AX253" t="s">
        <v>1150</v>
      </c>
      <c r="AY253" t="s">
        <v>861</v>
      </c>
      <c r="AZ253" t="s">
        <v>305</v>
      </c>
      <c r="BA253" t="s">
        <v>306</v>
      </c>
      <c r="BB253">
        <v>0</v>
      </c>
      <c r="BC253">
        <v>0</v>
      </c>
      <c r="BD253">
        <v>0</v>
      </c>
      <c r="BE253" t="s">
        <v>1940</v>
      </c>
      <c r="BF253">
        <v>0</v>
      </c>
      <c r="BG253">
        <v>0</v>
      </c>
      <c r="BH253" t="s">
        <v>862</v>
      </c>
      <c r="BI253">
        <v>0</v>
      </c>
      <c r="BJ253" t="s">
        <v>862</v>
      </c>
      <c r="BK253">
        <v>1</v>
      </c>
      <c r="BL253">
        <v>0</v>
      </c>
      <c r="BM253">
        <v>0</v>
      </c>
      <c r="BN253" t="s">
        <v>596</v>
      </c>
      <c r="BO253">
        <v>153406480</v>
      </c>
      <c r="BP253" t="s">
        <v>5942</v>
      </c>
      <c r="BR253">
        <v>42791464</v>
      </c>
      <c r="BT253">
        <v>1</v>
      </c>
      <c r="BU253" t="s">
        <v>1367</v>
      </c>
      <c r="CI253">
        <v>11</v>
      </c>
      <c r="CJ253" t="s">
        <v>94</v>
      </c>
      <c r="CM253">
        <v>4010</v>
      </c>
      <c r="CO253">
        <v>7360</v>
      </c>
      <c r="CP253">
        <v>0.26669999999999999</v>
      </c>
      <c r="CQ253">
        <v>0.26669999999999999</v>
      </c>
      <c r="CR253">
        <v>0.2167</v>
      </c>
      <c r="CS253">
        <v>0</v>
      </c>
      <c r="CT253" t="s">
        <v>5948</v>
      </c>
      <c r="CU253" t="s">
        <v>5947</v>
      </c>
      <c r="CV253" t="s">
        <v>833</v>
      </c>
      <c r="CW253" t="s">
        <v>834</v>
      </c>
      <c r="CX253" t="s">
        <v>1940</v>
      </c>
      <c r="CY253">
        <v>0</v>
      </c>
      <c r="CZ253">
        <v>0</v>
      </c>
      <c r="DA253" t="s">
        <v>833</v>
      </c>
      <c r="DB253" t="s">
        <v>865</v>
      </c>
      <c r="DC253">
        <v>56387</v>
      </c>
      <c r="DD253">
        <v>1.25</v>
      </c>
      <c r="DE253" t="s">
        <v>866</v>
      </c>
      <c r="DG253" t="s">
        <v>867</v>
      </c>
      <c r="DH253" t="s">
        <v>851</v>
      </c>
      <c r="DK253" t="s">
        <v>918</v>
      </c>
      <c r="DL253" t="s">
        <v>869</v>
      </c>
      <c r="DM253">
        <v>0</v>
      </c>
      <c r="DN253">
        <v>0</v>
      </c>
      <c r="DO253">
        <v>5</v>
      </c>
      <c r="DP253" t="s">
        <v>2086</v>
      </c>
      <c r="DQ253">
        <v>16</v>
      </c>
      <c r="DR253">
        <v>75</v>
      </c>
      <c r="DS253">
        <v>75</v>
      </c>
      <c r="DT253">
        <v>0.98329999999999995</v>
      </c>
      <c r="DU253">
        <v>4</v>
      </c>
      <c r="DV253">
        <v>1</v>
      </c>
      <c r="DW253">
        <v>2</v>
      </c>
      <c r="DX253" t="s">
        <v>594</v>
      </c>
      <c r="DY253" t="s">
        <v>1940</v>
      </c>
      <c r="DZ253">
        <v>0</v>
      </c>
      <c r="EA253">
        <v>0</v>
      </c>
      <c r="EB253">
        <v>0</v>
      </c>
      <c r="EC253">
        <v>0</v>
      </c>
      <c r="ED253">
        <v>0</v>
      </c>
      <c r="EE253">
        <v>0</v>
      </c>
      <c r="EF253" t="s">
        <v>920</v>
      </c>
      <c r="EG253" t="s">
        <v>595</v>
      </c>
      <c r="EH253" t="s">
        <v>872</v>
      </c>
      <c r="EI253" t="s">
        <v>872</v>
      </c>
      <c r="EJ253" t="s">
        <v>159</v>
      </c>
      <c r="EK253">
        <v>9090</v>
      </c>
      <c r="EL253">
        <v>0</v>
      </c>
      <c r="EM253" t="s">
        <v>873</v>
      </c>
      <c r="EN253">
        <v>0.2167</v>
      </c>
      <c r="EO253">
        <v>1.25</v>
      </c>
      <c r="EP253">
        <v>99991120</v>
      </c>
      <c r="EQ253" t="s">
        <v>874</v>
      </c>
      <c r="ER253" t="s">
        <v>875</v>
      </c>
      <c r="ES253" t="s">
        <v>876</v>
      </c>
      <c r="ET253" t="s">
        <v>877</v>
      </c>
      <c r="EU253" t="s">
        <v>877</v>
      </c>
      <c r="EV253" t="s">
        <v>920</v>
      </c>
      <c r="EX253" t="s">
        <v>836</v>
      </c>
      <c r="EY253" t="s">
        <v>1121</v>
      </c>
      <c r="EZ253" t="s">
        <v>1122</v>
      </c>
      <c r="FA253" t="s">
        <v>956</v>
      </c>
      <c r="FB253">
        <v>1</v>
      </c>
      <c r="FC253">
        <v>1</v>
      </c>
      <c r="FD253" s="41">
        <v>46032</v>
      </c>
      <c r="FE253" t="s">
        <v>1370</v>
      </c>
      <c r="FF253">
        <v>5</v>
      </c>
      <c r="FI253">
        <v>0</v>
      </c>
      <c r="FJ253" t="s">
        <v>5312</v>
      </c>
      <c r="FK253" t="s">
        <v>5949</v>
      </c>
      <c r="FL253">
        <v>1</v>
      </c>
      <c r="FM253" t="s">
        <v>1954</v>
      </c>
      <c r="FN253" t="s">
        <v>5950</v>
      </c>
      <c r="FO253">
        <v>1</v>
      </c>
      <c r="FP253" t="s">
        <v>5951</v>
      </c>
      <c r="FQ253" t="s">
        <v>5947</v>
      </c>
      <c r="FR253">
        <v>1</v>
      </c>
      <c r="FS253" t="s">
        <v>4643</v>
      </c>
      <c r="FT253" t="s">
        <v>5952</v>
      </c>
      <c r="FU253">
        <v>1</v>
      </c>
      <c r="FV253" t="s">
        <v>5318</v>
      </c>
      <c r="FW253" t="s">
        <v>5949</v>
      </c>
      <c r="FX253">
        <v>1</v>
      </c>
      <c r="FY253" t="s">
        <v>890</v>
      </c>
      <c r="FZ253" t="s">
        <v>5953</v>
      </c>
      <c r="GA253" t="s">
        <v>5312</v>
      </c>
      <c r="GB253">
        <v>1</v>
      </c>
      <c r="GD253">
        <v>0</v>
      </c>
      <c r="GF253">
        <v>0</v>
      </c>
      <c r="GG253">
        <v>1</v>
      </c>
      <c r="GH253" t="s">
        <v>892</v>
      </c>
      <c r="GI253" t="s">
        <v>893</v>
      </c>
      <c r="GJ253" t="s">
        <v>5949</v>
      </c>
      <c r="GM253">
        <v>1</v>
      </c>
      <c r="GN253">
        <v>1</v>
      </c>
      <c r="GO253">
        <v>0</v>
      </c>
      <c r="GP253">
        <v>1</v>
      </c>
      <c r="GQ253">
        <v>1</v>
      </c>
      <c r="GR253">
        <v>0</v>
      </c>
      <c r="GS253">
        <v>1</v>
      </c>
      <c r="GT253">
        <v>0</v>
      </c>
      <c r="GU253">
        <v>1</v>
      </c>
      <c r="GV253">
        <v>0</v>
      </c>
      <c r="GW253">
        <v>1</v>
      </c>
      <c r="GX253">
        <v>0</v>
      </c>
      <c r="GY253">
        <v>1</v>
      </c>
      <c r="GZ253">
        <v>0</v>
      </c>
      <c r="HA253" t="s">
        <v>305</v>
      </c>
      <c r="HB253" t="s">
        <v>894</v>
      </c>
      <c r="HC253" t="s">
        <v>895</v>
      </c>
      <c r="HD253" t="s">
        <v>845</v>
      </c>
      <c r="HE253" t="s">
        <v>836</v>
      </c>
      <c r="HF253" t="s">
        <v>873</v>
      </c>
      <c r="HG253" t="s">
        <v>894</v>
      </c>
      <c r="HH253" t="s">
        <v>895</v>
      </c>
      <c r="HI253" t="s">
        <v>845</v>
      </c>
      <c r="HJ253" t="s">
        <v>836</v>
      </c>
      <c r="HK253" t="s">
        <v>873</v>
      </c>
      <c r="HL253" t="s">
        <v>1943</v>
      </c>
      <c r="HM253" t="s">
        <v>854</v>
      </c>
      <c r="HN253">
        <v>36805</v>
      </c>
      <c r="HO253">
        <v>1</v>
      </c>
      <c r="HP253" t="s">
        <v>159</v>
      </c>
      <c r="HQ253" t="s">
        <v>896</v>
      </c>
      <c r="HR253" t="s">
        <v>896</v>
      </c>
      <c r="HS253" t="s">
        <v>896</v>
      </c>
    </row>
    <row r="254" spans="1:227" x14ac:dyDescent="0.2">
      <c r="A254">
        <v>8702</v>
      </c>
      <c r="B254">
        <v>7532906816</v>
      </c>
      <c r="C254">
        <v>36</v>
      </c>
      <c r="D254" t="s">
        <v>1302</v>
      </c>
      <c r="E254" t="s">
        <v>897</v>
      </c>
      <c r="F254">
        <v>0</v>
      </c>
      <c r="G254" t="s">
        <v>5954</v>
      </c>
      <c r="H254" t="s">
        <v>5954</v>
      </c>
      <c r="I254">
        <v>0</v>
      </c>
      <c r="J254" t="s">
        <v>833</v>
      </c>
      <c r="K254" t="s">
        <v>834</v>
      </c>
      <c r="L254">
        <v>153008359</v>
      </c>
      <c r="M254" t="s">
        <v>1472</v>
      </c>
      <c r="N254" t="s">
        <v>900</v>
      </c>
      <c r="O254" t="s">
        <v>837</v>
      </c>
      <c r="P254" t="s">
        <v>1302</v>
      </c>
      <c r="Q254" t="s">
        <v>1305</v>
      </c>
      <c r="R254" t="s">
        <v>5955</v>
      </c>
      <c r="S254" t="s">
        <v>5956</v>
      </c>
      <c r="T254">
        <v>30300136030</v>
      </c>
      <c r="V254" t="s">
        <v>1476</v>
      </c>
      <c r="W254" s="41">
        <v>45991</v>
      </c>
      <c r="X254" t="s">
        <v>5957</v>
      </c>
      <c r="Y254" t="s">
        <v>5958</v>
      </c>
      <c r="Z254" t="s">
        <v>5959</v>
      </c>
      <c r="AA254">
        <v>0</v>
      </c>
      <c r="AB254" t="s">
        <v>845</v>
      </c>
      <c r="AC254" t="s">
        <v>846</v>
      </c>
      <c r="AD254" t="s">
        <v>847</v>
      </c>
      <c r="AE254" t="s">
        <v>848</v>
      </c>
      <c r="AF254">
        <v>1</v>
      </c>
      <c r="AG254">
        <v>452210</v>
      </c>
      <c r="AH254" t="s">
        <v>849</v>
      </c>
      <c r="AI254" t="s">
        <v>850</v>
      </c>
      <c r="AJ254" t="s">
        <v>851</v>
      </c>
      <c r="AK254" t="s">
        <v>315</v>
      </c>
      <c r="AL254" t="s">
        <v>1755</v>
      </c>
      <c r="AM254" t="s">
        <v>1480</v>
      </c>
      <c r="AN254" t="s">
        <v>854</v>
      </c>
      <c r="AO254">
        <v>36805</v>
      </c>
      <c r="AP254">
        <v>931</v>
      </c>
      <c r="AQ254" t="s">
        <v>855</v>
      </c>
      <c r="AR254">
        <v>66224999</v>
      </c>
      <c r="AS254" t="s">
        <v>856</v>
      </c>
      <c r="AU254" t="s">
        <v>5960</v>
      </c>
      <c r="AV254" t="s">
        <v>5961</v>
      </c>
      <c r="AX254" t="s">
        <v>913</v>
      </c>
      <c r="AY254" t="s">
        <v>861</v>
      </c>
      <c r="AZ254" t="s">
        <v>315</v>
      </c>
      <c r="BA254" t="s">
        <v>316</v>
      </c>
      <c r="BB254">
        <v>0</v>
      </c>
      <c r="BC254">
        <v>0</v>
      </c>
      <c r="BD254">
        <v>0</v>
      </c>
      <c r="BE254" t="s">
        <v>1472</v>
      </c>
      <c r="BF254">
        <v>0</v>
      </c>
      <c r="BG254">
        <v>0</v>
      </c>
      <c r="BH254" t="s">
        <v>862</v>
      </c>
      <c r="BI254">
        <v>0</v>
      </c>
      <c r="BJ254" t="s">
        <v>862</v>
      </c>
      <c r="BK254">
        <v>1</v>
      </c>
      <c r="BL254">
        <v>1</v>
      </c>
      <c r="BM254">
        <v>0</v>
      </c>
      <c r="BN254" t="s">
        <v>596</v>
      </c>
      <c r="BO254">
        <v>153008359</v>
      </c>
      <c r="BP254" t="s">
        <v>5954</v>
      </c>
      <c r="BR254">
        <v>42793655</v>
      </c>
      <c r="BT254">
        <v>1</v>
      </c>
      <c r="BU254" t="s">
        <v>1551</v>
      </c>
      <c r="CI254">
        <v>11</v>
      </c>
      <c r="CJ254" t="s">
        <v>94</v>
      </c>
      <c r="CM254">
        <v>4010</v>
      </c>
      <c r="CO254">
        <v>7360</v>
      </c>
      <c r="CP254">
        <v>0.6</v>
      </c>
      <c r="CQ254">
        <v>0.6</v>
      </c>
      <c r="CR254">
        <v>0.4667</v>
      </c>
      <c r="CS254">
        <v>14</v>
      </c>
      <c r="CT254" t="s">
        <v>5962</v>
      </c>
      <c r="CU254" t="s">
        <v>5963</v>
      </c>
      <c r="CV254" t="s">
        <v>833</v>
      </c>
      <c r="CW254" t="s">
        <v>834</v>
      </c>
      <c r="CX254" t="s">
        <v>1472</v>
      </c>
      <c r="CY254">
        <v>0</v>
      </c>
      <c r="CZ254">
        <v>0</v>
      </c>
      <c r="DA254" t="s">
        <v>833</v>
      </c>
      <c r="DB254" t="s">
        <v>865</v>
      </c>
      <c r="DC254">
        <v>44720</v>
      </c>
      <c r="DD254">
        <v>62.433300000000003</v>
      </c>
      <c r="DE254" t="s">
        <v>866</v>
      </c>
      <c r="DG254" t="s">
        <v>867</v>
      </c>
      <c r="DH254" t="s">
        <v>851</v>
      </c>
      <c r="DI254" t="s">
        <v>1483</v>
      </c>
      <c r="DK254" t="s">
        <v>1155</v>
      </c>
      <c r="DL254" t="s">
        <v>869</v>
      </c>
      <c r="DM254">
        <v>0</v>
      </c>
      <c r="DN254">
        <v>0</v>
      </c>
      <c r="DO254">
        <v>12</v>
      </c>
      <c r="DP254" t="s">
        <v>1190</v>
      </c>
      <c r="DQ254">
        <v>16</v>
      </c>
      <c r="DR254">
        <v>3746</v>
      </c>
      <c r="DS254">
        <v>7346</v>
      </c>
      <c r="DT254">
        <v>61.833300000000001</v>
      </c>
      <c r="DU254">
        <v>4</v>
      </c>
      <c r="DV254">
        <v>1</v>
      </c>
      <c r="DW254">
        <v>2</v>
      </c>
      <c r="DX254" t="s">
        <v>596</v>
      </c>
      <c r="DY254" t="s">
        <v>1472</v>
      </c>
      <c r="DZ254">
        <v>0</v>
      </c>
      <c r="EA254">
        <v>0</v>
      </c>
      <c r="EB254">
        <v>1</v>
      </c>
      <c r="EC254">
        <v>0</v>
      </c>
      <c r="ED254">
        <v>0</v>
      </c>
      <c r="EE254">
        <v>1</v>
      </c>
      <c r="EF254" t="s">
        <v>920</v>
      </c>
      <c r="EG254" t="s">
        <v>595</v>
      </c>
      <c r="EH254" t="s">
        <v>921</v>
      </c>
      <c r="EI254" t="s">
        <v>921</v>
      </c>
      <c r="EJ254" t="s">
        <v>226</v>
      </c>
      <c r="EK254">
        <v>9090</v>
      </c>
      <c r="EL254">
        <v>0</v>
      </c>
      <c r="EM254" t="s">
        <v>1157</v>
      </c>
      <c r="EN254">
        <v>0.4667</v>
      </c>
      <c r="EO254">
        <v>122.4333333</v>
      </c>
      <c r="EP254">
        <v>99991120</v>
      </c>
      <c r="EQ254" t="s">
        <v>874</v>
      </c>
      <c r="ER254" t="s">
        <v>875</v>
      </c>
      <c r="ES254" t="s">
        <v>876</v>
      </c>
      <c r="ET254" t="s">
        <v>877</v>
      </c>
      <c r="EU254" t="s">
        <v>877</v>
      </c>
      <c r="EV254" t="s">
        <v>920</v>
      </c>
      <c r="EX254" t="s">
        <v>953</v>
      </c>
      <c r="EY254" t="s">
        <v>986</v>
      </c>
      <c r="EZ254" t="s">
        <v>1236</v>
      </c>
      <c r="FA254" t="s">
        <v>956</v>
      </c>
      <c r="FB254">
        <v>1</v>
      </c>
      <c r="FC254">
        <v>1</v>
      </c>
      <c r="FD254" s="41">
        <v>45997</v>
      </c>
      <c r="FE254" t="s">
        <v>1438</v>
      </c>
      <c r="FF254">
        <v>4</v>
      </c>
      <c r="FI254">
        <v>0</v>
      </c>
      <c r="FL254">
        <v>0</v>
      </c>
      <c r="FM254" t="s">
        <v>1484</v>
      </c>
      <c r="FN254" t="s">
        <v>5964</v>
      </c>
      <c r="FO254">
        <v>1</v>
      </c>
      <c r="FP254" t="s">
        <v>5965</v>
      </c>
      <c r="FQ254" t="s">
        <v>5963</v>
      </c>
      <c r="FR254">
        <v>1</v>
      </c>
      <c r="FS254" t="s">
        <v>1766</v>
      </c>
      <c r="FT254" t="s">
        <v>5966</v>
      </c>
      <c r="FU254">
        <v>1</v>
      </c>
      <c r="FV254" t="s">
        <v>5967</v>
      </c>
      <c r="FW254" t="s">
        <v>5968</v>
      </c>
      <c r="FX254">
        <v>1</v>
      </c>
      <c r="FY254" t="s">
        <v>890</v>
      </c>
      <c r="FZ254" t="s">
        <v>5969</v>
      </c>
      <c r="GA254" t="s">
        <v>5967</v>
      </c>
      <c r="GB254">
        <v>1</v>
      </c>
      <c r="GD254">
        <v>0</v>
      </c>
      <c r="GF254">
        <v>0</v>
      </c>
      <c r="GG254">
        <v>1</v>
      </c>
      <c r="GH254" t="s">
        <v>892</v>
      </c>
      <c r="GI254" t="s">
        <v>893</v>
      </c>
      <c r="GJ254" t="s">
        <v>5968</v>
      </c>
      <c r="GM254">
        <v>1</v>
      </c>
      <c r="GN254">
        <v>1</v>
      </c>
      <c r="GO254">
        <v>0</v>
      </c>
      <c r="GP254">
        <v>1</v>
      </c>
      <c r="GQ254">
        <v>1</v>
      </c>
      <c r="GR254">
        <v>0</v>
      </c>
      <c r="GS254">
        <v>1</v>
      </c>
      <c r="GT254">
        <v>0</v>
      </c>
      <c r="GU254">
        <v>1</v>
      </c>
      <c r="GV254">
        <v>0</v>
      </c>
      <c r="GW254">
        <v>1</v>
      </c>
      <c r="GX254">
        <v>0</v>
      </c>
      <c r="GY254">
        <v>1</v>
      </c>
      <c r="GZ254">
        <v>0</v>
      </c>
      <c r="HA254" t="s">
        <v>315</v>
      </c>
      <c r="HB254" t="s">
        <v>894</v>
      </c>
      <c r="HC254" t="s">
        <v>935</v>
      </c>
      <c r="HD254" t="s">
        <v>845</v>
      </c>
      <c r="HE254" t="s">
        <v>900</v>
      </c>
      <c r="HF254" t="s">
        <v>923</v>
      </c>
      <c r="HG254" t="s">
        <v>894</v>
      </c>
      <c r="HH254" t="s">
        <v>935</v>
      </c>
      <c r="HI254" t="s">
        <v>845</v>
      </c>
      <c r="HJ254" t="s">
        <v>900</v>
      </c>
      <c r="HK254" t="s">
        <v>922</v>
      </c>
      <c r="HL254" t="s">
        <v>1476</v>
      </c>
      <c r="HM254" t="s">
        <v>854</v>
      </c>
      <c r="HN254">
        <v>36805</v>
      </c>
      <c r="HO254">
        <v>1</v>
      </c>
      <c r="HP254" t="s">
        <v>226</v>
      </c>
      <c r="HQ254" t="s">
        <v>896</v>
      </c>
      <c r="HR254" t="s">
        <v>896</v>
      </c>
      <c r="HS254" t="s">
        <v>896</v>
      </c>
    </row>
    <row r="255" spans="1:227" x14ac:dyDescent="0.2">
      <c r="A255">
        <v>8702</v>
      </c>
      <c r="B255">
        <v>7527903084</v>
      </c>
      <c r="C255" t="s">
        <v>936</v>
      </c>
      <c r="D255" t="s">
        <v>937</v>
      </c>
      <c r="E255" t="s">
        <v>897</v>
      </c>
      <c r="F255">
        <v>0</v>
      </c>
      <c r="G255" t="s">
        <v>5970</v>
      </c>
      <c r="H255" t="s">
        <v>5970</v>
      </c>
      <c r="I255">
        <v>0</v>
      </c>
      <c r="J255" t="s">
        <v>833</v>
      </c>
      <c r="K255" t="s">
        <v>834</v>
      </c>
      <c r="L255">
        <v>156046217</v>
      </c>
      <c r="M255" t="s">
        <v>2742</v>
      </c>
      <c r="N255" t="s">
        <v>900</v>
      </c>
      <c r="O255" t="s">
        <v>837</v>
      </c>
      <c r="P255" t="s">
        <v>940</v>
      </c>
      <c r="Q255" t="s">
        <v>4334</v>
      </c>
      <c r="R255" t="s">
        <v>5971</v>
      </c>
      <c r="S255" t="s">
        <v>5972</v>
      </c>
      <c r="T255">
        <v>41477124348</v>
      </c>
      <c r="V255" t="s">
        <v>208</v>
      </c>
      <c r="W255" s="41">
        <v>45936</v>
      </c>
      <c r="X255" t="s">
        <v>5973</v>
      </c>
      <c r="Y255" t="s">
        <v>5974</v>
      </c>
      <c r="AA255">
        <v>0</v>
      </c>
      <c r="AB255" t="s">
        <v>845</v>
      </c>
      <c r="AC255" t="s">
        <v>846</v>
      </c>
      <c r="AD255" t="s">
        <v>847</v>
      </c>
      <c r="AE255" t="s">
        <v>848</v>
      </c>
      <c r="AF255">
        <v>1</v>
      </c>
      <c r="AG255">
        <v>452210</v>
      </c>
      <c r="AH255" t="s">
        <v>849</v>
      </c>
      <c r="AI255" t="s">
        <v>850</v>
      </c>
      <c r="AJ255" t="s">
        <v>851</v>
      </c>
      <c r="AK255" t="s">
        <v>330</v>
      </c>
      <c r="AL255" t="s">
        <v>2748</v>
      </c>
      <c r="AM255" t="s">
        <v>979</v>
      </c>
      <c r="AN255" t="s">
        <v>854</v>
      </c>
      <c r="AO255">
        <v>36805</v>
      </c>
      <c r="AP255">
        <v>647</v>
      </c>
      <c r="AQ255" t="s">
        <v>855</v>
      </c>
      <c r="AR255">
        <v>66145809</v>
      </c>
      <c r="AS255" t="s">
        <v>856</v>
      </c>
      <c r="AU255" t="s">
        <v>5975</v>
      </c>
      <c r="AV255" t="s">
        <v>5976</v>
      </c>
      <c r="AX255" t="s">
        <v>913</v>
      </c>
      <c r="AY255" t="s">
        <v>861</v>
      </c>
      <c r="AZ255" t="s">
        <v>330</v>
      </c>
      <c r="BA255" t="s">
        <v>331</v>
      </c>
      <c r="BB255">
        <v>0</v>
      </c>
      <c r="BC255">
        <v>0</v>
      </c>
      <c r="BD255">
        <v>0</v>
      </c>
      <c r="BE255" t="s">
        <v>2742</v>
      </c>
      <c r="BF255">
        <v>0</v>
      </c>
      <c r="BG255">
        <v>0</v>
      </c>
      <c r="BH255" t="s">
        <v>862</v>
      </c>
      <c r="BI255">
        <v>0</v>
      </c>
      <c r="BJ255" t="s">
        <v>862</v>
      </c>
      <c r="BK255">
        <v>1</v>
      </c>
      <c r="BL255">
        <v>1</v>
      </c>
      <c r="BM255">
        <v>0</v>
      </c>
      <c r="BN255" t="s">
        <v>596</v>
      </c>
      <c r="BO255">
        <v>156046217</v>
      </c>
      <c r="BP255" t="s">
        <v>5970</v>
      </c>
      <c r="BQ255">
        <v>42.226768999999997</v>
      </c>
      <c r="BR255">
        <v>42791779</v>
      </c>
      <c r="BS255">
        <v>-85.591472600000003</v>
      </c>
      <c r="BT255">
        <v>0</v>
      </c>
      <c r="CM255">
        <v>4010</v>
      </c>
      <c r="CO255">
        <v>7360</v>
      </c>
      <c r="CP255">
        <v>0.16669999999999999</v>
      </c>
      <c r="CQ255">
        <v>0.16669999999999999</v>
      </c>
      <c r="CR255">
        <v>0.51670000000000005</v>
      </c>
      <c r="CS255">
        <v>2</v>
      </c>
      <c r="CT255" t="s">
        <v>5976</v>
      </c>
      <c r="CU255" t="s">
        <v>5975</v>
      </c>
      <c r="CV255" t="s">
        <v>833</v>
      </c>
      <c r="CW255" t="s">
        <v>834</v>
      </c>
      <c r="CX255" t="s">
        <v>2742</v>
      </c>
      <c r="CY255">
        <v>0</v>
      </c>
      <c r="CZ255">
        <v>0</v>
      </c>
      <c r="DA255" t="s">
        <v>833</v>
      </c>
      <c r="DB255" t="s">
        <v>865</v>
      </c>
      <c r="DC255">
        <v>49002</v>
      </c>
      <c r="DD255">
        <v>4.8666999999999998</v>
      </c>
      <c r="DE255" t="s">
        <v>866</v>
      </c>
      <c r="DG255" t="s">
        <v>867</v>
      </c>
      <c r="DH255" t="s">
        <v>851</v>
      </c>
      <c r="DI255" t="s">
        <v>984</v>
      </c>
      <c r="DL255" t="s">
        <v>869</v>
      </c>
      <c r="DM255">
        <v>0</v>
      </c>
      <c r="DN255">
        <v>0</v>
      </c>
      <c r="DO255">
        <v>3</v>
      </c>
      <c r="DP255" t="s">
        <v>919</v>
      </c>
      <c r="DQ255">
        <v>16</v>
      </c>
      <c r="DR255">
        <v>292</v>
      </c>
      <c r="DS255">
        <v>292</v>
      </c>
      <c r="DT255">
        <v>4.7</v>
      </c>
      <c r="DU255">
        <v>4</v>
      </c>
      <c r="DW255">
        <v>2</v>
      </c>
      <c r="DX255" t="s">
        <v>596</v>
      </c>
      <c r="DY255" t="s">
        <v>2742</v>
      </c>
      <c r="DZ255">
        <v>1</v>
      </c>
      <c r="EA255">
        <v>1</v>
      </c>
      <c r="EB255">
        <v>1</v>
      </c>
      <c r="EC255">
        <v>0</v>
      </c>
      <c r="ED255">
        <v>0</v>
      </c>
      <c r="EE255">
        <v>1</v>
      </c>
      <c r="EF255" t="s">
        <v>920</v>
      </c>
      <c r="EG255" t="s">
        <v>595</v>
      </c>
      <c r="EH255" t="s">
        <v>921</v>
      </c>
      <c r="EI255" t="s">
        <v>921</v>
      </c>
      <c r="EJ255" t="s">
        <v>178</v>
      </c>
      <c r="EK255">
        <v>9090</v>
      </c>
      <c r="EL255">
        <v>0</v>
      </c>
      <c r="EM255" t="s">
        <v>922</v>
      </c>
      <c r="EN255">
        <v>0.51670000000000005</v>
      </c>
      <c r="EO255">
        <v>4.8666666000000003</v>
      </c>
      <c r="EP255">
        <v>99991120</v>
      </c>
      <c r="EQ255" t="s">
        <v>874</v>
      </c>
      <c r="ER255" t="s">
        <v>875</v>
      </c>
      <c r="ES255" t="s">
        <v>876</v>
      </c>
      <c r="ET255" t="s">
        <v>877</v>
      </c>
      <c r="EU255" t="s">
        <v>877</v>
      </c>
      <c r="EV255" t="s">
        <v>920</v>
      </c>
      <c r="EX255" t="s">
        <v>953</v>
      </c>
      <c r="EY255" t="s">
        <v>986</v>
      </c>
      <c r="EZ255" t="s">
        <v>924</v>
      </c>
      <c r="FA255" t="s">
        <v>925</v>
      </c>
      <c r="FB255">
        <v>1</v>
      </c>
      <c r="FC255">
        <v>1</v>
      </c>
      <c r="FD255" s="41">
        <v>45941</v>
      </c>
      <c r="FE255" t="s">
        <v>1039</v>
      </c>
      <c r="FF255">
        <v>4</v>
      </c>
      <c r="FI255">
        <v>0</v>
      </c>
      <c r="FL255">
        <v>0</v>
      </c>
      <c r="FM255" t="s">
        <v>5977</v>
      </c>
      <c r="FN255" t="s">
        <v>5978</v>
      </c>
      <c r="FO255">
        <v>1</v>
      </c>
      <c r="FP255" t="s">
        <v>5979</v>
      </c>
      <c r="FQ255" t="s">
        <v>5980</v>
      </c>
      <c r="FR255">
        <v>1</v>
      </c>
      <c r="FS255" t="s">
        <v>5981</v>
      </c>
      <c r="FT255" t="s">
        <v>5982</v>
      </c>
      <c r="FU255">
        <v>1</v>
      </c>
      <c r="FV255" t="s">
        <v>5983</v>
      </c>
      <c r="FW255" t="s">
        <v>5984</v>
      </c>
      <c r="FX255">
        <v>1</v>
      </c>
      <c r="FY255" t="s">
        <v>890</v>
      </c>
      <c r="FZ255" t="s">
        <v>5985</v>
      </c>
      <c r="GA255" t="s">
        <v>5983</v>
      </c>
      <c r="GB255">
        <v>1</v>
      </c>
      <c r="GD255">
        <v>0</v>
      </c>
      <c r="GF255">
        <v>0</v>
      </c>
      <c r="GG255">
        <v>1</v>
      </c>
      <c r="GH255" t="s">
        <v>892</v>
      </c>
      <c r="GI255" t="s">
        <v>893</v>
      </c>
      <c r="GJ255" t="s">
        <v>5984</v>
      </c>
      <c r="GM255">
        <v>1</v>
      </c>
      <c r="GN255">
        <v>1</v>
      </c>
      <c r="GO255">
        <v>0</v>
      </c>
      <c r="GP255">
        <v>1</v>
      </c>
      <c r="GQ255">
        <v>1</v>
      </c>
      <c r="GR255">
        <v>0</v>
      </c>
      <c r="GS255">
        <v>1</v>
      </c>
      <c r="GT255">
        <v>0</v>
      </c>
      <c r="GU255">
        <v>1</v>
      </c>
      <c r="GV255">
        <v>0</v>
      </c>
      <c r="GW255">
        <v>1</v>
      </c>
      <c r="GX255">
        <v>0</v>
      </c>
      <c r="GY255">
        <v>1</v>
      </c>
      <c r="GZ255">
        <v>0</v>
      </c>
      <c r="HA255" t="s">
        <v>330</v>
      </c>
      <c r="HB255" t="s">
        <v>894</v>
      </c>
      <c r="HC255" t="s">
        <v>935</v>
      </c>
      <c r="HD255" t="s">
        <v>845</v>
      </c>
      <c r="HE255" t="s">
        <v>900</v>
      </c>
      <c r="HF255" t="s">
        <v>923</v>
      </c>
      <c r="HG255" t="s">
        <v>894</v>
      </c>
      <c r="HH255" t="s">
        <v>935</v>
      </c>
      <c r="HI255" t="s">
        <v>845</v>
      </c>
      <c r="HJ255" t="s">
        <v>900</v>
      </c>
      <c r="HK255" t="s">
        <v>922</v>
      </c>
      <c r="HL255" t="s">
        <v>208</v>
      </c>
      <c r="HM255" t="s">
        <v>854</v>
      </c>
      <c r="HN255">
        <v>36805</v>
      </c>
      <c r="HP255" t="s">
        <v>178</v>
      </c>
      <c r="HQ255" t="s">
        <v>896</v>
      </c>
      <c r="HR255" t="s">
        <v>896</v>
      </c>
      <c r="HS255" t="s">
        <v>896</v>
      </c>
    </row>
    <row r="256" spans="1:227" x14ac:dyDescent="0.2">
      <c r="A256">
        <v>8702</v>
      </c>
      <c r="B256">
        <v>7609201041</v>
      </c>
      <c r="C256" t="s">
        <v>829</v>
      </c>
      <c r="D256" t="s">
        <v>830</v>
      </c>
      <c r="E256" t="s">
        <v>897</v>
      </c>
      <c r="F256">
        <v>0</v>
      </c>
      <c r="G256" t="s">
        <v>5986</v>
      </c>
      <c r="H256" t="s">
        <v>5986</v>
      </c>
      <c r="I256">
        <v>0</v>
      </c>
      <c r="J256" t="s">
        <v>833</v>
      </c>
      <c r="K256" t="s">
        <v>834</v>
      </c>
      <c r="L256">
        <v>153402680</v>
      </c>
      <c r="M256" t="s">
        <v>1136</v>
      </c>
      <c r="N256" t="s">
        <v>900</v>
      </c>
      <c r="O256" t="s">
        <v>837</v>
      </c>
      <c r="P256" t="s">
        <v>838</v>
      </c>
      <c r="Q256" t="s">
        <v>839</v>
      </c>
      <c r="R256" t="s">
        <v>5987</v>
      </c>
      <c r="S256" t="s">
        <v>5988</v>
      </c>
      <c r="T256">
        <v>41477101013</v>
      </c>
      <c r="V256" t="s">
        <v>1141</v>
      </c>
      <c r="W256" s="41">
        <v>46114</v>
      </c>
      <c r="X256" t="s">
        <v>5989</v>
      </c>
      <c r="Y256" t="s">
        <v>5990</v>
      </c>
      <c r="AA256">
        <v>0</v>
      </c>
      <c r="AB256" t="s">
        <v>845</v>
      </c>
      <c r="AC256" t="s">
        <v>846</v>
      </c>
      <c r="AD256" t="s">
        <v>1113</v>
      </c>
      <c r="AE256" t="s">
        <v>1114</v>
      </c>
      <c r="AF256">
        <v>1</v>
      </c>
      <c r="AG256">
        <v>452210</v>
      </c>
      <c r="AH256" t="s">
        <v>849</v>
      </c>
      <c r="AI256" t="s">
        <v>850</v>
      </c>
      <c r="AJ256" t="s">
        <v>851</v>
      </c>
      <c r="AK256" t="s">
        <v>476</v>
      </c>
      <c r="AL256" t="s">
        <v>5991</v>
      </c>
      <c r="AM256" t="s">
        <v>1146</v>
      </c>
      <c r="AN256" t="s">
        <v>854</v>
      </c>
      <c r="AO256">
        <v>36805</v>
      </c>
      <c r="AP256">
        <v>926</v>
      </c>
      <c r="AQ256" t="s">
        <v>855</v>
      </c>
      <c r="AR256">
        <v>66402280</v>
      </c>
      <c r="AS256" t="s">
        <v>856</v>
      </c>
      <c r="AU256" t="s">
        <v>5992</v>
      </c>
      <c r="AV256" t="s">
        <v>5993</v>
      </c>
      <c r="AX256" t="s">
        <v>913</v>
      </c>
      <c r="AY256" t="s">
        <v>861</v>
      </c>
      <c r="AZ256" t="s">
        <v>476</v>
      </c>
      <c r="BA256" t="s">
        <v>477</v>
      </c>
      <c r="BB256">
        <v>0</v>
      </c>
      <c r="BC256">
        <v>0</v>
      </c>
      <c r="BD256">
        <v>0</v>
      </c>
      <c r="BE256" t="s">
        <v>1136</v>
      </c>
      <c r="BF256">
        <v>0</v>
      </c>
      <c r="BG256">
        <v>0</v>
      </c>
      <c r="BH256" t="s">
        <v>862</v>
      </c>
      <c r="BI256">
        <v>0</v>
      </c>
      <c r="BJ256" t="s">
        <v>862</v>
      </c>
      <c r="BK256">
        <v>1</v>
      </c>
      <c r="BL256">
        <v>1</v>
      </c>
      <c r="BM256">
        <v>0</v>
      </c>
      <c r="BN256" t="s">
        <v>596</v>
      </c>
      <c r="BO256">
        <v>153402680</v>
      </c>
      <c r="BP256" t="s">
        <v>5986</v>
      </c>
      <c r="BR256">
        <v>42793651</v>
      </c>
      <c r="BT256">
        <v>2</v>
      </c>
      <c r="BU256" t="s">
        <v>1119</v>
      </c>
      <c r="BY256">
        <v>16</v>
      </c>
      <c r="CA256">
        <v>2</v>
      </c>
      <c r="CE256">
        <v>1</v>
      </c>
      <c r="CI256">
        <v>11</v>
      </c>
      <c r="CJ256" t="s">
        <v>94</v>
      </c>
      <c r="CM256">
        <v>4010</v>
      </c>
      <c r="CO256">
        <v>7360</v>
      </c>
      <c r="CP256">
        <v>0.56669999999999998</v>
      </c>
      <c r="CQ256">
        <v>0.56669999999999998</v>
      </c>
      <c r="CR256">
        <v>0.51670000000000005</v>
      </c>
      <c r="CS256">
        <v>6</v>
      </c>
      <c r="CT256" t="s">
        <v>5993</v>
      </c>
      <c r="CU256" t="s">
        <v>5992</v>
      </c>
      <c r="CV256" t="s">
        <v>833</v>
      </c>
      <c r="CW256" t="s">
        <v>834</v>
      </c>
      <c r="CX256" t="s">
        <v>1136</v>
      </c>
      <c r="CY256">
        <v>0</v>
      </c>
      <c r="CZ256">
        <v>0</v>
      </c>
      <c r="DA256" t="s">
        <v>833</v>
      </c>
      <c r="DB256" t="s">
        <v>865</v>
      </c>
      <c r="DC256">
        <v>43240</v>
      </c>
      <c r="DD256">
        <v>1.85</v>
      </c>
      <c r="DE256" t="s">
        <v>866</v>
      </c>
      <c r="DG256" t="s">
        <v>867</v>
      </c>
      <c r="DH256" t="s">
        <v>851</v>
      </c>
      <c r="DI256" t="s">
        <v>1154</v>
      </c>
      <c r="DK256" t="s">
        <v>918</v>
      </c>
      <c r="DL256" t="s">
        <v>869</v>
      </c>
      <c r="DM256">
        <v>0</v>
      </c>
      <c r="DN256">
        <v>0</v>
      </c>
      <c r="DO256">
        <v>3</v>
      </c>
      <c r="DP256" t="s">
        <v>919</v>
      </c>
      <c r="DQ256">
        <v>0</v>
      </c>
      <c r="DR256">
        <v>111</v>
      </c>
      <c r="DS256">
        <v>111</v>
      </c>
      <c r="DT256">
        <v>1.2833000000000001</v>
      </c>
      <c r="DU256">
        <v>0</v>
      </c>
      <c r="DV256">
        <v>1</v>
      </c>
      <c r="DW256">
        <v>2</v>
      </c>
      <c r="DX256" t="s">
        <v>596</v>
      </c>
      <c r="DY256" t="s">
        <v>1136</v>
      </c>
      <c r="DZ256">
        <v>1</v>
      </c>
      <c r="EA256">
        <v>1</v>
      </c>
      <c r="EB256">
        <v>1</v>
      </c>
      <c r="EC256">
        <v>1</v>
      </c>
      <c r="ED256">
        <v>1</v>
      </c>
      <c r="EE256">
        <v>1</v>
      </c>
      <c r="EF256" t="s">
        <v>871</v>
      </c>
      <c r="EG256" t="s">
        <v>595</v>
      </c>
      <c r="EH256" t="s">
        <v>921</v>
      </c>
      <c r="EI256" t="s">
        <v>921</v>
      </c>
      <c r="EJ256" t="s">
        <v>226</v>
      </c>
      <c r="EK256">
        <v>9090</v>
      </c>
      <c r="EL256">
        <v>0</v>
      </c>
      <c r="EM256" t="s">
        <v>1157</v>
      </c>
      <c r="EN256">
        <v>0.51670000000000005</v>
      </c>
      <c r="EO256">
        <v>1.85</v>
      </c>
      <c r="EP256">
        <v>99991120</v>
      </c>
      <c r="EQ256" t="s">
        <v>874</v>
      </c>
      <c r="ER256" t="s">
        <v>875</v>
      </c>
      <c r="ES256" t="s">
        <v>876</v>
      </c>
      <c r="ET256" t="s">
        <v>877</v>
      </c>
      <c r="EU256" t="s">
        <v>877</v>
      </c>
      <c r="EV256" t="s">
        <v>871</v>
      </c>
      <c r="EX256" t="s">
        <v>953</v>
      </c>
      <c r="EY256" t="s">
        <v>986</v>
      </c>
      <c r="EZ256" t="s">
        <v>1158</v>
      </c>
      <c r="FA256" t="s">
        <v>925</v>
      </c>
      <c r="FB256">
        <v>1</v>
      </c>
      <c r="FC256">
        <v>1</v>
      </c>
      <c r="FD256" s="41">
        <v>46116</v>
      </c>
      <c r="FE256" t="s">
        <v>1123</v>
      </c>
      <c r="FF256">
        <v>6</v>
      </c>
      <c r="FG256" t="s">
        <v>1166</v>
      </c>
      <c r="FH256" t="s">
        <v>5994</v>
      </c>
      <c r="FI256">
        <v>1</v>
      </c>
      <c r="FJ256" t="s">
        <v>5995</v>
      </c>
      <c r="FK256" t="s">
        <v>5996</v>
      </c>
      <c r="FL256">
        <v>1</v>
      </c>
      <c r="FM256" t="s">
        <v>1163</v>
      </c>
      <c r="FN256" t="s">
        <v>5997</v>
      </c>
      <c r="FO256">
        <v>1</v>
      </c>
      <c r="FP256" t="s">
        <v>5998</v>
      </c>
      <c r="FQ256" t="s">
        <v>5992</v>
      </c>
      <c r="FR256">
        <v>1</v>
      </c>
      <c r="FS256" t="s">
        <v>5999</v>
      </c>
      <c r="FT256" t="s">
        <v>6000</v>
      </c>
      <c r="FU256">
        <v>1</v>
      </c>
      <c r="FV256" t="s">
        <v>6001</v>
      </c>
      <c r="FW256" t="s">
        <v>6002</v>
      </c>
      <c r="FX256">
        <v>1</v>
      </c>
      <c r="FY256" t="s">
        <v>890</v>
      </c>
      <c r="FZ256" t="s">
        <v>6003</v>
      </c>
      <c r="GA256" t="s">
        <v>5995</v>
      </c>
      <c r="GB256">
        <v>1</v>
      </c>
      <c r="GD256">
        <v>0</v>
      </c>
      <c r="GF256">
        <v>0</v>
      </c>
      <c r="GG256">
        <v>1</v>
      </c>
      <c r="GH256" t="s">
        <v>892</v>
      </c>
      <c r="GI256" t="s">
        <v>893</v>
      </c>
      <c r="GJ256" t="s">
        <v>5996</v>
      </c>
      <c r="GM256">
        <v>1</v>
      </c>
      <c r="GN256">
        <v>1</v>
      </c>
      <c r="GO256">
        <v>0</v>
      </c>
      <c r="GP256">
        <v>1</v>
      </c>
      <c r="GQ256">
        <v>1</v>
      </c>
      <c r="GR256">
        <v>0</v>
      </c>
      <c r="GS256">
        <v>1</v>
      </c>
      <c r="GT256">
        <v>0</v>
      </c>
      <c r="GU256">
        <v>1</v>
      </c>
      <c r="GV256">
        <v>0</v>
      </c>
      <c r="GW256">
        <v>1</v>
      </c>
      <c r="GX256">
        <v>0</v>
      </c>
      <c r="GY256">
        <v>1</v>
      </c>
      <c r="GZ256">
        <v>0</v>
      </c>
      <c r="HA256" t="s">
        <v>476</v>
      </c>
      <c r="HB256" t="s">
        <v>894</v>
      </c>
      <c r="HC256" t="s">
        <v>935</v>
      </c>
      <c r="HD256" t="s">
        <v>845</v>
      </c>
      <c r="HE256" t="s">
        <v>900</v>
      </c>
      <c r="HF256" t="s">
        <v>923</v>
      </c>
      <c r="HG256" t="s">
        <v>894</v>
      </c>
      <c r="HH256" t="s">
        <v>935</v>
      </c>
      <c r="HI256" t="s">
        <v>845</v>
      </c>
      <c r="HJ256" t="s">
        <v>900</v>
      </c>
      <c r="HK256" t="s">
        <v>922</v>
      </c>
      <c r="HL256" t="s">
        <v>1141</v>
      </c>
      <c r="HM256" t="s">
        <v>854</v>
      </c>
      <c r="HN256">
        <v>36805</v>
      </c>
      <c r="HP256" t="s">
        <v>226</v>
      </c>
      <c r="HQ256" t="s">
        <v>896</v>
      </c>
      <c r="HR256" t="s">
        <v>896</v>
      </c>
      <c r="HS256" t="s">
        <v>896</v>
      </c>
    </row>
    <row r="257" spans="1:227" x14ac:dyDescent="0.2">
      <c r="A257">
        <v>8702</v>
      </c>
      <c r="B257">
        <v>7525302371</v>
      </c>
      <c r="C257" t="s">
        <v>936</v>
      </c>
      <c r="D257" t="s">
        <v>937</v>
      </c>
      <c r="E257" t="s">
        <v>831</v>
      </c>
      <c r="F257">
        <v>0</v>
      </c>
      <c r="G257" t="s">
        <v>6004</v>
      </c>
      <c r="H257" t="s">
        <v>6004</v>
      </c>
      <c r="I257">
        <v>0</v>
      </c>
      <c r="J257" t="s">
        <v>833</v>
      </c>
      <c r="K257" t="s">
        <v>834</v>
      </c>
      <c r="L257">
        <v>152858783</v>
      </c>
      <c r="M257" t="s">
        <v>4743</v>
      </c>
      <c r="N257" t="s">
        <v>836</v>
      </c>
      <c r="O257" t="s">
        <v>837</v>
      </c>
      <c r="P257" t="s">
        <v>940</v>
      </c>
      <c r="Q257" t="s">
        <v>2404</v>
      </c>
      <c r="R257" t="s">
        <v>6005</v>
      </c>
      <c r="S257" t="s">
        <v>6006</v>
      </c>
      <c r="T257">
        <v>41477094379</v>
      </c>
      <c r="V257" t="s">
        <v>1003</v>
      </c>
      <c r="W257" s="41">
        <v>45910</v>
      </c>
      <c r="X257" t="s">
        <v>6007</v>
      </c>
      <c r="Y257" t="s">
        <v>6008</v>
      </c>
      <c r="AA257">
        <v>0</v>
      </c>
      <c r="AB257" t="s">
        <v>845</v>
      </c>
      <c r="AC257" t="s">
        <v>846</v>
      </c>
      <c r="AD257" t="s">
        <v>847</v>
      </c>
      <c r="AE257" t="s">
        <v>848</v>
      </c>
      <c r="AF257">
        <v>1</v>
      </c>
      <c r="AG257">
        <v>452210</v>
      </c>
      <c r="AH257" t="s">
        <v>849</v>
      </c>
      <c r="AI257" t="s">
        <v>850</v>
      </c>
      <c r="AJ257" t="s">
        <v>851</v>
      </c>
      <c r="AK257" t="s">
        <v>435</v>
      </c>
      <c r="AL257" t="s">
        <v>6009</v>
      </c>
      <c r="AM257" t="s">
        <v>1059</v>
      </c>
      <c r="AN257" t="s">
        <v>854</v>
      </c>
      <c r="AO257">
        <v>36805</v>
      </c>
      <c r="AP257">
        <v>638</v>
      </c>
      <c r="AQ257" t="s">
        <v>855</v>
      </c>
      <c r="AR257">
        <v>66108202</v>
      </c>
      <c r="AS257" t="s">
        <v>856</v>
      </c>
      <c r="AU257" t="s">
        <v>6010</v>
      </c>
      <c r="AV257" t="s">
        <v>6011</v>
      </c>
      <c r="AW257" t="s">
        <v>859</v>
      </c>
      <c r="AX257" t="s">
        <v>860</v>
      </c>
      <c r="AY257" t="s">
        <v>861</v>
      </c>
      <c r="AZ257" t="s">
        <v>435</v>
      </c>
      <c r="BA257" t="s">
        <v>436</v>
      </c>
      <c r="BB257">
        <v>0</v>
      </c>
      <c r="BC257">
        <v>0</v>
      </c>
      <c r="BD257">
        <v>0</v>
      </c>
      <c r="BE257" t="s">
        <v>4743</v>
      </c>
      <c r="BF257">
        <v>0</v>
      </c>
      <c r="BG257">
        <v>0</v>
      </c>
      <c r="BH257" t="s">
        <v>862</v>
      </c>
      <c r="BI257">
        <v>0</v>
      </c>
      <c r="BJ257" t="s">
        <v>862</v>
      </c>
      <c r="BK257">
        <v>1</v>
      </c>
      <c r="BL257">
        <v>0</v>
      </c>
      <c r="BM257">
        <v>0</v>
      </c>
      <c r="BN257" t="s">
        <v>596</v>
      </c>
      <c r="BO257">
        <v>152858783</v>
      </c>
      <c r="BP257" t="s">
        <v>6004</v>
      </c>
      <c r="BR257">
        <v>42791770</v>
      </c>
      <c r="BT257">
        <v>0</v>
      </c>
      <c r="CM257">
        <v>4010</v>
      </c>
      <c r="CO257">
        <v>7360</v>
      </c>
      <c r="CP257">
        <v>0.7</v>
      </c>
      <c r="CQ257">
        <v>0.7</v>
      </c>
      <c r="CR257">
        <v>0.86670000000000003</v>
      </c>
      <c r="CS257">
        <v>4</v>
      </c>
      <c r="CT257" t="s">
        <v>6012</v>
      </c>
      <c r="CU257" t="s">
        <v>6013</v>
      </c>
      <c r="CV257" t="s">
        <v>833</v>
      </c>
      <c r="CW257" t="s">
        <v>834</v>
      </c>
      <c r="CX257" t="s">
        <v>4743</v>
      </c>
      <c r="CY257">
        <v>0</v>
      </c>
      <c r="CZ257">
        <v>0</v>
      </c>
      <c r="DA257" t="s">
        <v>833</v>
      </c>
      <c r="DB257" t="s">
        <v>865</v>
      </c>
      <c r="DC257">
        <v>61704</v>
      </c>
      <c r="DD257">
        <v>4.0833000000000004</v>
      </c>
      <c r="DE257" t="s">
        <v>866</v>
      </c>
      <c r="DG257" t="s">
        <v>867</v>
      </c>
      <c r="DH257" t="s">
        <v>851</v>
      </c>
      <c r="DI257" t="s">
        <v>4753</v>
      </c>
      <c r="DL257" t="s">
        <v>869</v>
      </c>
      <c r="DM257">
        <v>0</v>
      </c>
      <c r="DN257">
        <v>0</v>
      </c>
      <c r="DO257">
        <v>53</v>
      </c>
      <c r="DP257" t="s">
        <v>1156</v>
      </c>
      <c r="DQ257">
        <v>12</v>
      </c>
      <c r="DR257">
        <v>245</v>
      </c>
      <c r="DS257">
        <v>266</v>
      </c>
      <c r="DT257">
        <v>3.3833000000000002</v>
      </c>
      <c r="DU257">
        <v>4</v>
      </c>
      <c r="DW257">
        <v>1</v>
      </c>
      <c r="DX257" t="s">
        <v>594</v>
      </c>
      <c r="DY257" t="s">
        <v>4743</v>
      </c>
      <c r="DZ257">
        <v>0</v>
      </c>
      <c r="EA257">
        <v>0</v>
      </c>
      <c r="EB257">
        <v>0</v>
      </c>
      <c r="EC257">
        <v>0</v>
      </c>
      <c r="ED257">
        <v>0</v>
      </c>
      <c r="EE257">
        <v>0</v>
      </c>
      <c r="EF257" t="s">
        <v>920</v>
      </c>
      <c r="EG257" t="s">
        <v>595</v>
      </c>
      <c r="EH257" t="s">
        <v>1695</v>
      </c>
      <c r="EI257" t="s">
        <v>1695</v>
      </c>
      <c r="EJ257" t="s">
        <v>181</v>
      </c>
      <c r="EK257">
        <v>9090</v>
      </c>
      <c r="EL257">
        <v>0</v>
      </c>
      <c r="EM257" t="s">
        <v>1037</v>
      </c>
      <c r="EN257">
        <v>0.86670000000000003</v>
      </c>
      <c r="EO257">
        <v>4.4333333000000001</v>
      </c>
      <c r="EP257">
        <v>99991120</v>
      </c>
      <c r="EQ257" t="s">
        <v>874</v>
      </c>
      <c r="ER257" t="s">
        <v>875</v>
      </c>
      <c r="ES257" t="s">
        <v>876</v>
      </c>
      <c r="ET257" t="s">
        <v>877</v>
      </c>
      <c r="EU257" t="s">
        <v>877</v>
      </c>
      <c r="EV257" t="s">
        <v>920</v>
      </c>
      <c r="EX257" t="s">
        <v>836</v>
      </c>
      <c r="EY257" t="s">
        <v>873</v>
      </c>
      <c r="EZ257" t="s">
        <v>1065</v>
      </c>
      <c r="FA257" t="s">
        <v>879</v>
      </c>
      <c r="FB257">
        <v>1</v>
      </c>
      <c r="FC257">
        <v>1</v>
      </c>
      <c r="FD257" s="41">
        <v>45913</v>
      </c>
      <c r="FE257" t="s">
        <v>880</v>
      </c>
      <c r="FF257">
        <v>9</v>
      </c>
      <c r="FG257" t="s">
        <v>6014</v>
      </c>
      <c r="FH257" t="s">
        <v>6015</v>
      </c>
      <c r="FI257">
        <v>1</v>
      </c>
      <c r="FJ257" t="s">
        <v>6016</v>
      </c>
      <c r="FK257" t="s">
        <v>6015</v>
      </c>
      <c r="FL257">
        <v>1</v>
      </c>
      <c r="FM257" t="s">
        <v>6017</v>
      </c>
      <c r="FN257" t="s">
        <v>6018</v>
      </c>
      <c r="FO257">
        <v>1</v>
      </c>
      <c r="FP257" t="s">
        <v>6019</v>
      </c>
      <c r="FQ257" t="s">
        <v>6013</v>
      </c>
      <c r="FR257">
        <v>1</v>
      </c>
      <c r="FS257" t="s">
        <v>6020</v>
      </c>
      <c r="FT257" t="s">
        <v>6021</v>
      </c>
      <c r="FU257">
        <v>1</v>
      </c>
      <c r="FV257" t="s">
        <v>6022</v>
      </c>
      <c r="FW257" t="s">
        <v>6023</v>
      </c>
      <c r="FX257">
        <v>1</v>
      </c>
      <c r="FY257" t="s">
        <v>890</v>
      </c>
      <c r="FZ257" t="s">
        <v>6024</v>
      </c>
      <c r="GA257" t="s">
        <v>6016</v>
      </c>
      <c r="GB257">
        <v>1</v>
      </c>
      <c r="GD257">
        <v>0</v>
      </c>
      <c r="GF257">
        <v>0</v>
      </c>
      <c r="GG257">
        <v>1</v>
      </c>
      <c r="GH257" t="s">
        <v>892</v>
      </c>
      <c r="GI257" t="s">
        <v>893</v>
      </c>
      <c r="GJ257" t="s">
        <v>6015</v>
      </c>
      <c r="GM257">
        <v>1</v>
      </c>
      <c r="GN257">
        <v>1</v>
      </c>
      <c r="GO257">
        <v>0</v>
      </c>
      <c r="GP257">
        <v>1</v>
      </c>
      <c r="GQ257">
        <v>1</v>
      </c>
      <c r="GR257">
        <v>0</v>
      </c>
      <c r="GS257">
        <v>1</v>
      </c>
      <c r="GT257">
        <v>0</v>
      </c>
      <c r="GU257">
        <v>1</v>
      </c>
      <c r="GV257">
        <v>0</v>
      </c>
      <c r="GW257">
        <v>1</v>
      </c>
      <c r="GX257">
        <v>0</v>
      </c>
      <c r="GY257">
        <v>1</v>
      </c>
      <c r="GZ257">
        <v>0</v>
      </c>
      <c r="HA257" t="s">
        <v>435</v>
      </c>
      <c r="HB257" t="s">
        <v>894</v>
      </c>
      <c r="HC257" t="s">
        <v>895</v>
      </c>
      <c r="HD257" t="s">
        <v>845</v>
      </c>
      <c r="HE257" t="s">
        <v>836</v>
      </c>
      <c r="HF257" t="s">
        <v>1051</v>
      </c>
      <c r="HG257" t="s">
        <v>894</v>
      </c>
      <c r="HH257" t="s">
        <v>895</v>
      </c>
      <c r="HI257" t="s">
        <v>845</v>
      </c>
      <c r="HJ257" t="s">
        <v>836</v>
      </c>
      <c r="HK257" t="s">
        <v>1037</v>
      </c>
      <c r="HL257" t="s">
        <v>1003</v>
      </c>
      <c r="HM257" t="s">
        <v>854</v>
      </c>
      <c r="HN257">
        <v>36805</v>
      </c>
      <c r="HP257" t="s">
        <v>181</v>
      </c>
      <c r="HQ257" t="s">
        <v>896</v>
      </c>
      <c r="HR257" t="s">
        <v>896</v>
      </c>
      <c r="HS257" t="s">
        <v>896</v>
      </c>
    </row>
    <row r="258" spans="1:227" x14ac:dyDescent="0.2">
      <c r="A258">
        <v>8702</v>
      </c>
      <c r="B258">
        <v>7527303692</v>
      </c>
      <c r="C258" t="s">
        <v>1171</v>
      </c>
      <c r="D258" t="s">
        <v>1172</v>
      </c>
      <c r="E258" t="s">
        <v>831</v>
      </c>
      <c r="F258">
        <v>0</v>
      </c>
      <c r="G258" t="s">
        <v>6025</v>
      </c>
      <c r="H258" t="s">
        <v>6025</v>
      </c>
      <c r="I258">
        <v>0</v>
      </c>
      <c r="J258" t="s">
        <v>833</v>
      </c>
      <c r="K258" t="s">
        <v>834</v>
      </c>
      <c r="L258">
        <v>152254550</v>
      </c>
      <c r="M258" t="s">
        <v>6026</v>
      </c>
      <c r="N258" t="s">
        <v>836</v>
      </c>
      <c r="O258" t="s">
        <v>837</v>
      </c>
      <c r="P258" t="s">
        <v>1175</v>
      </c>
      <c r="Q258" t="s">
        <v>1176</v>
      </c>
      <c r="R258" t="s">
        <v>6027</v>
      </c>
      <c r="S258" t="s">
        <v>6028</v>
      </c>
      <c r="T258">
        <v>41477124943</v>
      </c>
      <c r="V258" t="s">
        <v>214</v>
      </c>
      <c r="W258" s="41">
        <v>45930</v>
      </c>
      <c r="X258" t="s">
        <v>6029</v>
      </c>
      <c r="Y258" t="s">
        <v>6030</v>
      </c>
      <c r="AA258">
        <v>0</v>
      </c>
      <c r="AB258" t="s">
        <v>845</v>
      </c>
      <c r="AC258" t="s">
        <v>846</v>
      </c>
      <c r="AD258" t="s">
        <v>1335</v>
      </c>
      <c r="AE258" t="s">
        <v>1336</v>
      </c>
      <c r="AF258">
        <v>1</v>
      </c>
      <c r="AG258">
        <v>452210</v>
      </c>
      <c r="AH258" t="s">
        <v>849</v>
      </c>
      <c r="AI258" t="s">
        <v>850</v>
      </c>
      <c r="AJ258" t="s">
        <v>851</v>
      </c>
      <c r="AK258" t="s">
        <v>447</v>
      </c>
      <c r="AL258" t="s">
        <v>6031</v>
      </c>
      <c r="AM258" t="s">
        <v>1902</v>
      </c>
      <c r="AN258" t="s">
        <v>854</v>
      </c>
      <c r="AO258">
        <v>36805</v>
      </c>
      <c r="AP258">
        <v>701</v>
      </c>
      <c r="AQ258" t="s">
        <v>855</v>
      </c>
      <c r="AR258">
        <v>66137230</v>
      </c>
      <c r="AS258" t="s">
        <v>856</v>
      </c>
      <c r="AU258" t="s">
        <v>6032</v>
      </c>
      <c r="AV258" t="s">
        <v>6033</v>
      </c>
      <c r="AX258" t="s">
        <v>913</v>
      </c>
      <c r="AY258" t="s">
        <v>861</v>
      </c>
      <c r="AZ258" t="s">
        <v>447</v>
      </c>
      <c r="BA258" t="s">
        <v>448</v>
      </c>
      <c r="BB258">
        <v>0</v>
      </c>
      <c r="BC258">
        <v>0</v>
      </c>
      <c r="BD258">
        <v>0</v>
      </c>
      <c r="BE258" t="s">
        <v>6026</v>
      </c>
      <c r="BF258">
        <v>0</v>
      </c>
      <c r="BG258">
        <v>0</v>
      </c>
      <c r="BH258" t="s">
        <v>862</v>
      </c>
      <c r="BI258">
        <v>0</v>
      </c>
      <c r="BJ258" t="s">
        <v>862</v>
      </c>
      <c r="BK258">
        <v>1</v>
      </c>
      <c r="BL258">
        <v>1</v>
      </c>
      <c r="BM258">
        <v>0</v>
      </c>
      <c r="BN258" t="s">
        <v>596</v>
      </c>
      <c r="BP258" t="s">
        <v>6025</v>
      </c>
      <c r="BQ258">
        <v>43.051284799999998</v>
      </c>
      <c r="BR258">
        <v>42791783</v>
      </c>
      <c r="BS258">
        <v>-87.9064348</v>
      </c>
      <c r="BT258">
        <v>0</v>
      </c>
      <c r="CM258">
        <v>4010</v>
      </c>
      <c r="CO258">
        <v>7360</v>
      </c>
      <c r="CP258">
        <v>0.25</v>
      </c>
      <c r="CQ258">
        <v>0.25</v>
      </c>
      <c r="CR258">
        <v>0.8</v>
      </c>
      <c r="CS258">
        <v>3</v>
      </c>
      <c r="CT258" t="s">
        <v>6033</v>
      </c>
      <c r="CU258" t="s">
        <v>6032</v>
      </c>
      <c r="CV258" t="s">
        <v>833</v>
      </c>
      <c r="CW258" t="s">
        <v>834</v>
      </c>
      <c r="CX258" t="s">
        <v>1897</v>
      </c>
      <c r="CY258">
        <v>0</v>
      </c>
      <c r="CZ258">
        <v>0</v>
      </c>
      <c r="DA258" t="s">
        <v>833</v>
      </c>
      <c r="DB258" t="s">
        <v>865</v>
      </c>
      <c r="DC258">
        <v>53202</v>
      </c>
      <c r="DD258">
        <v>3.9666999999999999</v>
      </c>
      <c r="DE258" t="s">
        <v>866</v>
      </c>
      <c r="DG258" t="s">
        <v>867</v>
      </c>
      <c r="DH258" t="s">
        <v>851</v>
      </c>
      <c r="DL258" t="s">
        <v>869</v>
      </c>
      <c r="DM258">
        <v>0</v>
      </c>
      <c r="DN258">
        <v>0</v>
      </c>
      <c r="DO258">
        <v>3</v>
      </c>
      <c r="DP258" t="s">
        <v>919</v>
      </c>
      <c r="DQ258">
        <v>16</v>
      </c>
      <c r="DR258">
        <v>238</v>
      </c>
      <c r="DS258">
        <v>238</v>
      </c>
      <c r="DT258">
        <v>3.7166999999999999</v>
      </c>
      <c r="DU258">
        <v>4</v>
      </c>
      <c r="DW258">
        <v>2</v>
      </c>
      <c r="DX258" t="s">
        <v>596</v>
      </c>
      <c r="DY258" t="s">
        <v>6026</v>
      </c>
      <c r="DZ258">
        <v>1</v>
      </c>
      <c r="EA258">
        <v>1</v>
      </c>
      <c r="EB258">
        <v>1</v>
      </c>
      <c r="EC258">
        <v>1</v>
      </c>
      <c r="ED258">
        <v>1</v>
      </c>
      <c r="EE258">
        <v>1</v>
      </c>
      <c r="EF258" t="s">
        <v>920</v>
      </c>
      <c r="EG258" t="s">
        <v>595</v>
      </c>
      <c r="EH258" t="s">
        <v>921</v>
      </c>
      <c r="EI258" t="s">
        <v>921</v>
      </c>
      <c r="EJ258" t="s">
        <v>215</v>
      </c>
      <c r="EK258">
        <v>9090</v>
      </c>
      <c r="EL258">
        <v>0</v>
      </c>
      <c r="EM258" t="s">
        <v>873</v>
      </c>
      <c r="EN258">
        <v>0.8</v>
      </c>
      <c r="EO258">
        <v>3.9666665999999999</v>
      </c>
      <c r="EP258">
        <v>99991120</v>
      </c>
      <c r="EQ258" t="s">
        <v>874</v>
      </c>
      <c r="ER258" t="s">
        <v>875</v>
      </c>
      <c r="ES258" t="s">
        <v>876</v>
      </c>
      <c r="ET258" t="s">
        <v>877</v>
      </c>
      <c r="EU258" t="s">
        <v>877</v>
      </c>
      <c r="EV258" t="s">
        <v>920</v>
      </c>
      <c r="EX258" t="s">
        <v>836</v>
      </c>
      <c r="EY258" t="s">
        <v>873</v>
      </c>
      <c r="EZ258" t="s">
        <v>1807</v>
      </c>
      <c r="FA258" t="s">
        <v>925</v>
      </c>
      <c r="FB258">
        <v>1</v>
      </c>
      <c r="FC258">
        <v>1</v>
      </c>
      <c r="FD258" s="41">
        <v>45934</v>
      </c>
      <c r="FE258" t="s">
        <v>880</v>
      </c>
      <c r="FF258">
        <v>6</v>
      </c>
      <c r="FG258" t="s">
        <v>6034</v>
      </c>
      <c r="FH258" t="s">
        <v>6035</v>
      </c>
      <c r="FI258">
        <v>1</v>
      </c>
      <c r="FJ258" t="s">
        <v>6036</v>
      </c>
      <c r="FK258" t="s">
        <v>6037</v>
      </c>
      <c r="FL258">
        <v>1</v>
      </c>
      <c r="FM258" t="s">
        <v>6038</v>
      </c>
      <c r="FN258" t="s">
        <v>6039</v>
      </c>
      <c r="FO258">
        <v>1</v>
      </c>
      <c r="FP258" t="s">
        <v>6040</v>
      </c>
      <c r="FQ258" t="s">
        <v>6032</v>
      </c>
      <c r="FR258">
        <v>1</v>
      </c>
      <c r="FS258" t="s">
        <v>2151</v>
      </c>
      <c r="FT258" t="s">
        <v>6041</v>
      </c>
      <c r="FU258">
        <v>1</v>
      </c>
      <c r="FV258" t="s">
        <v>6042</v>
      </c>
      <c r="FW258" t="s">
        <v>6043</v>
      </c>
      <c r="FX258">
        <v>1</v>
      </c>
      <c r="FY258" t="s">
        <v>890</v>
      </c>
      <c r="FZ258" t="s">
        <v>6044</v>
      </c>
      <c r="GA258" t="s">
        <v>6036</v>
      </c>
      <c r="GB258">
        <v>1</v>
      </c>
      <c r="GD258">
        <v>0</v>
      </c>
      <c r="GF258">
        <v>0</v>
      </c>
      <c r="GG258">
        <v>1</v>
      </c>
      <c r="GH258" t="s">
        <v>892</v>
      </c>
      <c r="GI258" t="s">
        <v>893</v>
      </c>
      <c r="GJ258" t="s">
        <v>6037</v>
      </c>
      <c r="GM258">
        <v>1</v>
      </c>
      <c r="GN258">
        <v>1</v>
      </c>
      <c r="GO258">
        <v>0</v>
      </c>
      <c r="GP258">
        <v>1</v>
      </c>
      <c r="GQ258">
        <v>1</v>
      </c>
      <c r="GR258">
        <v>0</v>
      </c>
      <c r="GS258">
        <v>1</v>
      </c>
      <c r="GT258">
        <v>0</v>
      </c>
      <c r="GU258">
        <v>1</v>
      </c>
      <c r="GV258">
        <v>0</v>
      </c>
      <c r="GW258">
        <v>1</v>
      </c>
      <c r="GX258">
        <v>0</v>
      </c>
      <c r="GY258">
        <v>1</v>
      </c>
      <c r="GZ258">
        <v>0</v>
      </c>
      <c r="HA258" t="s">
        <v>447</v>
      </c>
      <c r="HB258" t="s">
        <v>894</v>
      </c>
      <c r="HC258" t="s">
        <v>895</v>
      </c>
      <c r="HD258" t="s">
        <v>845</v>
      </c>
      <c r="HE258" t="s">
        <v>836</v>
      </c>
      <c r="HF258" t="s">
        <v>873</v>
      </c>
      <c r="HG258" t="s">
        <v>894</v>
      </c>
      <c r="HH258" t="s">
        <v>895</v>
      </c>
      <c r="HI258" t="s">
        <v>845</v>
      </c>
      <c r="HJ258" t="s">
        <v>836</v>
      </c>
      <c r="HK258" t="s">
        <v>873</v>
      </c>
      <c r="HL258" t="s">
        <v>214</v>
      </c>
      <c r="HM258" t="s">
        <v>854</v>
      </c>
      <c r="HN258">
        <v>36805</v>
      </c>
      <c r="HP258" t="s">
        <v>215</v>
      </c>
      <c r="HQ258" t="s">
        <v>896</v>
      </c>
      <c r="HR258" t="s">
        <v>896</v>
      </c>
      <c r="HS258" t="s">
        <v>896</v>
      </c>
    </row>
    <row r="259" spans="1:227" x14ac:dyDescent="0.2">
      <c r="A259">
        <v>8702</v>
      </c>
      <c r="B259">
        <v>7605405441</v>
      </c>
      <c r="C259">
        <v>34</v>
      </c>
      <c r="D259" t="s">
        <v>996</v>
      </c>
      <c r="E259" t="s">
        <v>831</v>
      </c>
      <c r="F259">
        <v>0</v>
      </c>
      <c r="G259" t="s">
        <v>6045</v>
      </c>
      <c r="H259" t="s">
        <v>6045</v>
      </c>
      <c r="I259">
        <v>0</v>
      </c>
      <c r="J259" t="s">
        <v>833</v>
      </c>
      <c r="K259" t="s">
        <v>834</v>
      </c>
      <c r="L259">
        <v>156586319</v>
      </c>
      <c r="M259" t="s">
        <v>1706</v>
      </c>
      <c r="N259" t="s">
        <v>836</v>
      </c>
      <c r="O259" t="s">
        <v>837</v>
      </c>
      <c r="P259" t="s">
        <v>999</v>
      </c>
      <c r="Q259" t="s">
        <v>1027</v>
      </c>
      <c r="R259" t="s">
        <v>5328</v>
      </c>
      <c r="S259" t="s">
        <v>6046</v>
      </c>
      <c r="T259">
        <v>30300127006</v>
      </c>
      <c r="V259" t="s">
        <v>196</v>
      </c>
      <c r="W259" s="41">
        <v>46076</v>
      </c>
      <c r="X259" t="s">
        <v>6047</v>
      </c>
      <c r="Y259" t="s">
        <v>6048</v>
      </c>
      <c r="AA259">
        <v>0</v>
      </c>
      <c r="AB259" t="s">
        <v>845</v>
      </c>
      <c r="AC259" t="s">
        <v>846</v>
      </c>
      <c r="AD259" t="s">
        <v>1113</v>
      </c>
      <c r="AE259" t="s">
        <v>1114</v>
      </c>
      <c r="AF259">
        <v>1</v>
      </c>
      <c r="AG259">
        <v>452210</v>
      </c>
      <c r="AH259" t="s">
        <v>849</v>
      </c>
      <c r="AI259" t="s">
        <v>850</v>
      </c>
      <c r="AJ259" t="s">
        <v>851</v>
      </c>
      <c r="AK259" t="s">
        <v>255</v>
      </c>
      <c r="AL259" t="s">
        <v>2605</v>
      </c>
      <c r="AM259" t="s">
        <v>1712</v>
      </c>
      <c r="AN259" t="s">
        <v>854</v>
      </c>
      <c r="AO259">
        <v>36805</v>
      </c>
      <c r="AP259">
        <v>639</v>
      </c>
      <c r="AQ259" t="s">
        <v>855</v>
      </c>
      <c r="AR259">
        <v>66347305</v>
      </c>
      <c r="AS259" t="s">
        <v>856</v>
      </c>
      <c r="AU259" t="s">
        <v>6049</v>
      </c>
      <c r="AV259" t="s">
        <v>6050</v>
      </c>
      <c r="AX259" t="s">
        <v>913</v>
      </c>
      <c r="AY259" t="s">
        <v>861</v>
      </c>
      <c r="AZ259" t="s">
        <v>255</v>
      </c>
      <c r="BA259" t="s">
        <v>256</v>
      </c>
      <c r="BB259">
        <v>0</v>
      </c>
      <c r="BC259">
        <v>0</v>
      </c>
      <c r="BD259">
        <v>0</v>
      </c>
      <c r="BE259" t="s">
        <v>1706</v>
      </c>
      <c r="BF259">
        <v>0</v>
      </c>
      <c r="BG259">
        <v>0</v>
      </c>
      <c r="BH259" t="s">
        <v>862</v>
      </c>
      <c r="BI259">
        <v>0</v>
      </c>
      <c r="BJ259" t="s">
        <v>862</v>
      </c>
      <c r="BK259">
        <v>1</v>
      </c>
      <c r="BL259">
        <v>1</v>
      </c>
      <c r="BM259">
        <v>0</v>
      </c>
      <c r="BN259" t="s">
        <v>596</v>
      </c>
      <c r="BO259">
        <v>156586319</v>
      </c>
      <c r="BP259" t="s">
        <v>6045</v>
      </c>
      <c r="BR259">
        <v>42791771</v>
      </c>
      <c r="BT259">
        <v>2</v>
      </c>
      <c r="BU259" t="s">
        <v>1780</v>
      </c>
      <c r="CE259">
        <v>1</v>
      </c>
      <c r="CI259">
        <v>11</v>
      </c>
      <c r="CJ259" t="s">
        <v>94</v>
      </c>
      <c r="CM259">
        <v>4010</v>
      </c>
      <c r="CO259">
        <v>7360</v>
      </c>
      <c r="CP259">
        <v>0.05</v>
      </c>
      <c r="CQ259">
        <v>0.05</v>
      </c>
      <c r="CR259">
        <v>1.67E-2</v>
      </c>
      <c r="CS259">
        <v>2</v>
      </c>
      <c r="CT259" t="s">
        <v>6050</v>
      </c>
      <c r="CU259" t="s">
        <v>6049</v>
      </c>
      <c r="CV259" t="s">
        <v>833</v>
      </c>
      <c r="CW259" t="s">
        <v>834</v>
      </c>
      <c r="CX259" t="s">
        <v>1706</v>
      </c>
      <c r="CY259">
        <v>0</v>
      </c>
      <c r="CZ259">
        <v>0</v>
      </c>
      <c r="DA259" t="s">
        <v>833</v>
      </c>
      <c r="DB259" t="s">
        <v>865</v>
      </c>
      <c r="DC259">
        <v>60134</v>
      </c>
      <c r="DD259">
        <v>3.8332999999999999</v>
      </c>
      <c r="DE259" t="s">
        <v>866</v>
      </c>
      <c r="DG259" t="s">
        <v>867</v>
      </c>
      <c r="DH259" t="s">
        <v>851</v>
      </c>
      <c r="DJ259" t="s">
        <v>1718</v>
      </c>
      <c r="DK259" t="s">
        <v>918</v>
      </c>
      <c r="DL259" t="s">
        <v>869</v>
      </c>
      <c r="DM259">
        <v>0</v>
      </c>
      <c r="DN259">
        <v>0</v>
      </c>
      <c r="DO259">
        <v>2</v>
      </c>
      <c r="DP259" t="s">
        <v>870</v>
      </c>
      <c r="DQ259">
        <v>0</v>
      </c>
      <c r="DR259">
        <v>230</v>
      </c>
      <c r="DS259">
        <v>230</v>
      </c>
      <c r="DT259">
        <v>3.7833000000000001</v>
      </c>
      <c r="DU259">
        <v>0</v>
      </c>
      <c r="DV259">
        <v>1</v>
      </c>
      <c r="DW259">
        <v>1</v>
      </c>
      <c r="DX259" t="s">
        <v>596</v>
      </c>
      <c r="DY259" t="s">
        <v>1706</v>
      </c>
      <c r="DZ259">
        <v>1</v>
      </c>
      <c r="EA259">
        <v>1</v>
      </c>
      <c r="EB259">
        <v>1</v>
      </c>
      <c r="EC259">
        <v>1</v>
      </c>
      <c r="ED259">
        <v>1</v>
      </c>
      <c r="EE259">
        <v>1</v>
      </c>
      <c r="EF259" t="s">
        <v>871</v>
      </c>
      <c r="EG259" t="s">
        <v>595</v>
      </c>
      <c r="EH259" t="s">
        <v>1036</v>
      </c>
      <c r="EI259" t="s">
        <v>1036</v>
      </c>
      <c r="EJ259" t="s">
        <v>181</v>
      </c>
      <c r="EK259">
        <v>9090</v>
      </c>
      <c r="EL259">
        <v>0</v>
      </c>
      <c r="EM259" t="s">
        <v>1436</v>
      </c>
      <c r="EN259">
        <v>1.67E-2</v>
      </c>
      <c r="EO259">
        <v>3.8333333000000001</v>
      </c>
      <c r="EP259">
        <v>99991120</v>
      </c>
      <c r="EQ259" t="s">
        <v>874</v>
      </c>
      <c r="ER259" t="s">
        <v>875</v>
      </c>
      <c r="ES259" t="s">
        <v>876</v>
      </c>
      <c r="ET259" t="s">
        <v>877</v>
      </c>
      <c r="EU259" t="s">
        <v>877</v>
      </c>
      <c r="EV259" t="s">
        <v>871</v>
      </c>
      <c r="EX259" t="s">
        <v>836</v>
      </c>
      <c r="EY259" t="s">
        <v>873</v>
      </c>
      <c r="EZ259" t="s">
        <v>1437</v>
      </c>
      <c r="FA259" t="s">
        <v>956</v>
      </c>
      <c r="FB259">
        <v>1</v>
      </c>
      <c r="FC259">
        <v>1</v>
      </c>
      <c r="FD259" s="41">
        <v>46081</v>
      </c>
      <c r="FE259" t="s">
        <v>1267</v>
      </c>
      <c r="FF259">
        <v>7</v>
      </c>
      <c r="FG259" t="s">
        <v>6051</v>
      </c>
      <c r="FH259" t="s">
        <v>2731</v>
      </c>
      <c r="FI259">
        <v>1</v>
      </c>
      <c r="FJ259" t="s">
        <v>6052</v>
      </c>
      <c r="FK259" t="s">
        <v>6053</v>
      </c>
      <c r="FL259">
        <v>1</v>
      </c>
      <c r="FM259" t="s">
        <v>1720</v>
      </c>
      <c r="FN259" t="s">
        <v>6054</v>
      </c>
      <c r="FO259">
        <v>1</v>
      </c>
      <c r="FP259" t="s">
        <v>6055</v>
      </c>
      <c r="FQ259" t="s">
        <v>6049</v>
      </c>
      <c r="FR259">
        <v>1</v>
      </c>
      <c r="FS259" t="s">
        <v>2736</v>
      </c>
      <c r="FT259" t="s">
        <v>6056</v>
      </c>
      <c r="FU259">
        <v>1</v>
      </c>
      <c r="FV259" t="s">
        <v>2738</v>
      </c>
      <c r="FW259" t="s">
        <v>6057</v>
      </c>
      <c r="FX259">
        <v>1</v>
      </c>
      <c r="FY259" t="s">
        <v>890</v>
      </c>
      <c r="FZ259" t="s">
        <v>6058</v>
      </c>
      <c r="GA259" t="s">
        <v>6052</v>
      </c>
      <c r="GB259">
        <v>1</v>
      </c>
      <c r="GD259">
        <v>0</v>
      </c>
      <c r="GF259">
        <v>0</v>
      </c>
      <c r="GG259">
        <v>1</v>
      </c>
      <c r="GH259" t="s">
        <v>892</v>
      </c>
      <c r="GI259" t="s">
        <v>893</v>
      </c>
      <c r="GJ259" t="s">
        <v>6053</v>
      </c>
      <c r="GM259">
        <v>1</v>
      </c>
      <c r="GN259">
        <v>1</v>
      </c>
      <c r="GO259">
        <v>0</v>
      </c>
      <c r="GP259">
        <v>1</v>
      </c>
      <c r="GQ259">
        <v>1</v>
      </c>
      <c r="GR259">
        <v>0</v>
      </c>
      <c r="GS259">
        <v>1</v>
      </c>
      <c r="GT259">
        <v>1</v>
      </c>
      <c r="GU259">
        <v>1</v>
      </c>
      <c r="GV259">
        <v>0</v>
      </c>
      <c r="GW259">
        <v>1</v>
      </c>
      <c r="GX259">
        <v>1</v>
      </c>
      <c r="GY259">
        <v>1</v>
      </c>
      <c r="GZ259">
        <v>0</v>
      </c>
      <c r="HA259" t="s">
        <v>255</v>
      </c>
      <c r="HB259" t="s">
        <v>894</v>
      </c>
      <c r="HC259" t="s">
        <v>895</v>
      </c>
      <c r="HD259" t="s">
        <v>845</v>
      </c>
      <c r="HE259" t="s">
        <v>836</v>
      </c>
      <c r="HF259" t="s">
        <v>873</v>
      </c>
      <c r="HG259" t="s">
        <v>894</v>
      </c>
      <c r="HH259" t="s">
        <v>895</v>
      </c>
      <c r="HI259" t="s">
        <v>845</v>
      </c>
      <c r="HJ259" t="s">
        <v>836</v>
      </c>
      <c r="HK259" t="s">
        <v>1436</v>
      </c>
      <c r="HL259" t="s">
        <v>196</v>
      </c>
      <c r="HM259" t="s">
        <v>854</v>
      </c>
      <c r="HN259">
        <v>36805</v>
      </c>
      <c r="HP259" t="s">
        <v>181</v>
      </c>
      <c r="HQ259" t="s">
        <v>896</v>
      </c>
      <c r="HR259" t="s">
        <v>896</v>
      </c>
      <c r="HS259" t="s">
        <v>896</v>
      </c>
    </row>
    <row r="260" spans="1:227" x14ac:dyDescent="0.2">
      <c r="A260">
        <v>8702</v>
      </c>
      <c r="B260">
        <v>7610802332</v>
      </c>
      <c r="C260" t="s">
        <v>1171</v>
      </c>
      <c r="D260" t="s">
        <v>1172</v>
      </c>
      <c r="E260" t="s">
        <v>897</v>
      </c>
      <c r="F260">
        <v>0</v>
      </c>
      <c r="G260" t="s">
        <v>6059</v>
      </c>
      <c r="H260" t="s">
        <v>6059</v>
      </c>
      <c r="I260">
        <v>0</v>
      </c>
      <c r="J260" t="s">
        <v>833</v>
      </c>
      <c r="K260" t="s">
        <v>834</v>
      </c>
      <c r="L260">
        <v>152858777</v>
      </c>
      <c r="M260" t="s">
        <v>6060</v>
      </c>
      <c r="N260" t="s">
        <v>900</v>
      </c>
      <c r="O260" t="s">
        <v>837</v>
      </c>
      <c r="P260" t="s">
        <v>1175</v>
      </c>
      <c r="Q260" t="s">
        <v>1176</v>
      </c>
      <c r="R260" t="s">
        <v>6061</v>
      </c>
      <c r="S260" t="s">
        <v>6062</v>
      </c>
      <c r="T260">
        <v>41477095626</v>
      </c>
      <c r="V260" t="s">
        <v>1226</v>
      </c>
      <c r="W260" s="41">
        <v>46130</v>
      </c>
      <c r="X260" t="s">
        <v>6063</v>
      </c>
      <c r="Y260" t="s">
        <v>6064</v>
      </c>
      <c r="AA260">
        <v>0</v>
      </c>
      <c r="AB260" t="s">
        <v>845</v>
      </c>
      <c r="AC260" t="s">
        <v>846</v>
      </c>
      <c r="AD260" t="s">
        <v>1113</v>
      </c>
      <c r="AE260" t="s">
        <v>1114</v>
      </c>
      <c r="AF260">
        <v>1</v>
      </c>
      <c r="AG260">
        <v>452210</v>
      </c>
      <c r="AH260" t="s">
        <v>849</v>
      </c>
      <c r="AI260" t="s">
        <v>850</v>
      </c>
      <c r="AJ260" t="s">
        <v>851</v>
      </c>
      <c r="AK260" t="s">
        <v>277</v>
      </c>
      <c r="AL260" t="s">
        <v>1229</v>
      </c>
      <c r="AM260" t="s">
        <v>1230</v>
      </c>
      <c r="AN260" t="s">
        <v>854</v>
      </c>
      <c r="AO260">
        <v>36805</v>
      </c>
      <c r="AP260">
        <v>925</v>
      </c>
      <c r="AQ260" t="s">
        <v>855</v>
      </c>
      <c r="AR260">
        <v>66425216</v>
      </c>
      <c r="AS260" t="s">
        <v>856</v>
      </c>
      <c r="AU260" t="s">
        <v>6065</v>
      </c>
      <c r="AV260" t="s">
        <v>6066</v>
      </c>
      <c r="AW260" t="s">
        <v>859</v>
      </c>
      <c r="AX260" t="s">
        <v>860</v>
      </c>
      <c r="AY260" t="s">
        <v>861</v>
      </c>
      <c r="AZ260" t="s">
        <v>277</v>
      </c>
      <c r="BA260" t="s">
        <v>278</v>
      </c>
      <c r="BB260">
        <v>0</v>
      </c>
      <c r="BC260">
        <v>0</v>
      </c>
      <c r="BD260">
        <v>0</v>
      </c>
      <c r="BE260" t="s">
        <v>6060</v>
      </c>
      <c r="BF260">
        <v>0</v>
      </c>
      <c r="BG260">
        <v>0</v>
      </c>
      <c r="BH260" t="s">
        <v>862</v>
      </c>
      <c r="BI260">
        <v>0</v>
      </c>
      <c r="BJ260" t="s">
        <v>862</v>
      </c>
      <c r="BK260">
        <v>1</v>
      </c>
      <c r="BL260">
        <v>0</v>
      </c>
      <c r="BM260">
        <v>0</v>
      </c>
      <c r="BN260" t="s">
        <v>596</v>
      </c>
      <c r="BO260">
        <v>152858777</v>
      </c>
      <c r="BP260" t="s">
        <v>6059</v>
      </c>
      <c r="BQ260">
        <v>41.518320899999999</v>
      </c>
      <c r="BR260">
        <v>42793649</v>
      </c>
      <c r="BS260">
        <v>-81.449602900000002</v>
      </c>
      <c r="BT260">
        <v>2</v>
      </c>
      <c r="BU260" t="s">
        <v>1119</v>
      </c>
      <c r="BY260">
        <v>16</v>
      </c>
      <c r="CA260">
        <v>7</v>
      </c>
      <c r="CE260">
        <v>1</v>
      </c>
      <c r="CI260">
        <v>11</v>
      </c>
      <c r="CJ260" t="s">
        <v>94</v>
      </c>
      <c r="CM260">
        <v>4010</v>
      </c>
      <c r="CO260">
        <v>7360</v>
      </c>
      <c r="CP260">
        <v>0.16669999999999999</v>
      </c>
      <c r="CQ260">
        <v>0.16669999999999999</v>
      </c>
      <c r="CR260">
        <v>0.56669999999999998</v>
      </c>
      <c r="CS260">
        <v>34</v>
      </c>
      <c r="CT260" t="s">
        <v>6066</v>
      </c>
      <c r="CU260" t="s">
        <v>6065</v>
      </c>
      <c r="CV260" t="s">
        <v>833</v>
      </c>
      <c r="CW260" t="s">
        <v>834</v>
      </c>
      <c r="CX260" t="s">
        <v>6060</v>
      </c>
      <c r="CY260">
        <v>0</v>
      </c>
      <c r="CZ260">
        <v>0</v>
      </c>
      <c r="DA260" t="s">
        <v>833</v>
      </c>
      <c r="DB260" t="s">
        <v>865</v>
      </c>
      <c r="DC260">
        <v>44124</v>
      </c>
      <c r="DD260">
        <v>7.1166999999999998</v>
      </c>
      <c r="DE260" t="s">
        <v>866</v>
      </c>
      <c r="DG260" t="s">
        <v>867</v>
      </c>
      <c r="DH260" t="s">
        <v>851</v>
      </c>
      <c r="DI260" t="s">
        <v>1846</v>
      </c>
      <c r="DK260" t="s">
        <v>918</v>
      </c>
      <c r="DL260" t="s">
        <v>869</v>
      </c>
      <c r="DM260">
        <v>0</v>
      </c>
      <c r="DN260">
        <v>0</v>
      </c>
      <c r="DO260">
        <v>53</v>
      </c>
      <c r="DP260" t="s">
        <v>1156</v>
      </c>
      <c r="DQ260">
        <v>0</v>
      </c>
      <c r="DR260">
        <v>427</v>
      </c>
      <c r="DS260">
        <v>520</v>
      </c>
      <c r="DT260">
        <v>6.95</v>
      </c>
      <c r="DU260">
        <v>0</v>
      </c>
      <c r="DV260">
        <v>1</v>
      </c>
      <c r="DW260">
        <v>2</v>
      </c>
      <c r="DX260" t="s">
        <v>594</v>
      </c>
      <c r="DY260" t="s">
        <v>6060</v>
      </c>
      <c r="DZ260">
        <v>1</v>
      </c>
      <c r="EA260">
        <v>1</v>
      </c>
      <c r="EB260">
        <v>1</v>
      </c>
      <c r="EC260">
        <v>1</v>
      </c>
      <c r="ED260">
        <v>1</v>
      </c>
      <c r="EE260">
        <v>1</v>
      </c>
      <c r="EF260" t="s">
        <v>920</v>
      </c>
      <c r="EG260" t="s">
        <v>595</v>
      </c>
      <c r="EH260" t="s">
        <v>872</v>
      </c>
      <c r="EI260" t="s">
        <v>872</v>
      </c>
      <c r="EJ260" t="s">
        <v>226</v>
      </c>
      <c r="EK260">
        <v>9090</v>
      </c>
      <c r="EL260">
        <v>0</v>
      </c>
      <c r="EM260" t="s">
        <v>1157</v>
      </c>
      <c r="EN260">
        <v>0.56669999999999998</v>
      </c>
      <c r="EO260">
        <v>8.6666667000000004</v>
      </c>
      <c r="EP260">
        <v>99991120</v>
      </c>
      <c r="EQ260" t="s">
        <v>874</v>
      </c>
      <c r="ER260" t="s">
        <v>875</v>
      </c>
      <c r="ES260" t="s">
        <v>876</v>
      </c>
      <c r="ET260" t="s">
        <v>877</v>
      </c>
      <c r="EU260" t="s">
        <v>877</v>
      </c>
      <c r="EV260" t="s">
        <v>920</v>
      </c>
      <c r="EX260" t="s">
        <v>953</v>
      </c>
      <c r="EY260" t="s">
        <v>986</v>
      </c>
      <c r="EZ260" t="s">
        <v>1236</v>
      </c>
      <c r="FA260" t="s">
        <v>956</v>
      </c>
      <c r="FB260">
        <v>1</v>
      </c>
      <c r="FC260">
        <v>1</v>
      </c>
      <c r="FD260" s="41">
        <v>46130</v>
      </c>
      <c r="FE260" t="s">
        <v>1123</v>
      </c>
      <c r="FF260">
        <v>5</v>
      </c>
      <c r="FI260">
        <v>0</v>
      </c>
      <c r="FJ260" t="s">
        <v>6067</v>
      </c>
      <c r="FK260" t="s">
        <v>6068</v>
      </c>
      <c r="FL260">
        <v>1</v>
      </c>
      <c r="FM260" t="s">
        <v>6069</v>
      </c>
      <c r="FN260" t="s">
        <v>6070</v>
      </c>
      <c r="FO260">
        <v>1</v>
      </c>
      <c r="FP260" t="s">
        <v>6071</v>
      </c>
      <c r="FQ260" t="s">
        <v>6065</v>
      </c>
      <c r="FR260">
        <v>1</v>
      </c>
      <c r="FS260" t="s">
        <v>1244</v>
      </c>
      <c r="FT260" t="s">
        <v>6072</v>
      </c>
      <c r="FU260">
        <v>1</v>
      </c>
      <c r="FV260" t="s">
        <v>6073</v>
      </c>
      <c r="FW260" t="s">
        <v>6068</v>
      </c>
      <c r="FX260">
        <v>1</v>
      </c>
      <c r="FY260" t="s">
        <v>890</v>
      </c>
      <c r="FZ260" t="s">
        <v>6074</v>
      </c>
      <c r="GA260" t="s">
        <v>6067</v>
      </c>
      <c r="GB260">
        <v>1</v>
      </c>
      <c r="GD260">
        <v>0</v>
      </c>
      <c r="GF260">
        <v>0</v>
      </c>
      <c r="GG260">
        <v>1</v>
      </c>
      <c r="GH260" t="s">
        <v>892</v>
      </c>
      <c r="GI260" t="s">
        <v>893</v>
      </c>
      <c r="GJ260" t="s">
        <v>6068</v>
      </c>
      <c r="GM260">
        <v>1</v>
      </c>
      <c r="GN260">
        <v>1</v>
      </c>
      <c r="GO260">
        <v>0</v>
      </c>
      <c r="GP260">
        <v>1</v>
      </c>
      <c r="GQ260">
        <v>1</v>
      </c>
      <c r="GR260">
        <v>0</v>
      </c>
      <c r="GS260">
        <v>1</v>
      </c>
      <c r="GT260">
        <v>0</v>
      </c>
      <c r="GU260">
        <v>1</v>
      </c>
      <c r="GV260">
        <v>0</v>
      </c>
      <c r="GW260">
        <v>1</v>
      </c>
      <c r="GX260">
        <v>0</v>
      </c>
      <c r="GY260">
        <v>1</v>
      </c>
      <c r="GZ260">
        <v>0</v>
      </c>
      <c r="HA260" t="s">
        <v>277</v>
      </c>
      <c r="HB260" t="s">
        <v>894</v>
      </c>
      <c r="HC260" t="s">
        <v>935</v>
      </c>
      <c r="HD260" t="s">
        <v>845</v>
      </c>
      <c r="HE260" t="s">
        <v>900</v>
      </c>
      <c r="HF260" t="s">
        <v>923</v>
      </c>
      <c r="HG260" t="s">
        <v>894</v>
      </c>
      <c r="HH260" t="s">
        <v>935</v>
      </c>
      <c r="HI260" t="s">
        <v>845</v>
      </c>
      <c r="HJ260" t="s">
        <v>900</v>
      </c>
      <c r="HK260" t="s">
        <v>922</v>
      </c>
      <c r="HL260" t="s">
        <v>1226</v>
      </c>
      <c r="HM260" t="s">
        <v>854</v>
      </c>
      <c r="HN260">
        <v>36805</v>
      </c>
      <c r="HP260" t="s">
        <v>226</v>
      </c>
      <c r="HQ260" t="s">
        <v>896</v>
      </c>
      <c r="HR260" t="s">
        <v>896</v>
      </c>
      <c r="HS260" t="s">
        <v>896</v>
      </c>
    </row>
    <row r="261" spans="1:227" x14ac:dyDescent="0.2">
      <c r="A261">
        <v>8702</v>
      </c>
      <c r="B261">
        <v>7602703640</v>
      </c>
      <c r="C261">
        <v>34</v>
      </c>
      <c r="D261" t="s">
        <v>996</v>
      </c>
      <c r="E261" t="s">
        <v>831</v>
      </c>
      <c r="F261">
        <v>0</v>
      </c>
      <c r="G261" t="s">
        <v>6075</v>
      </c>
      <c r="H261" t="s">
        <v>6075</v>
      </c>
      <c r="I261">
        <v>0</v>
      </c>
      <c r="J261" t="s">
        <v>833</v>
      </c>
      <c r="K261" t="s">
        <v>834</v>
      </c>
      <c r="L261">
        <v>153294174</v>
      </c>
      <c r="M261" t="s">
        <v>2959</v>
      </c>
      <c r="N261" t="s">
        <v>836</v>
      </c>
      <c r="O261" t="s">
        <v>837</v>
      </c>
      <c r="P261" t="s">
        <v>999</v>
      </c>
      <c r="Q261" t="s">
        <v>2459</v>
      </c>
      <c r="R261" t="s">
        <v>6076</v>
      </c>
      <c r="S261" t="s">
        <v>6077</v>
      </c>
      <c r="T261">
        <v>30300127006</v>
      </c>
      <c r="V261" t="s">
        <v>2962</v>
      </c>
      <c r="W261" s="41">
        <v>46050</v>
      </c>
      <c r="X261" t="s">
        <v>6078</v>
      </c>
      <c r="Y261" t="s">
        <v>6079</v>
      </c>
      <c r="Z261" t="s">
        <v>6080</v>
      </c>
      <c r="AA261">
        <v>0</v>
      </c>
      <c r="AB261" t="s">
        <v>845</v>
      </c>
      <c r="AC261" t="s">
        <v>846</v>
      </c>
      <c r="AD261" t="s">
        <v>847</v>
      </c>
      <c r="AE261" t="s">
        <v>848</v>
      </c>
      <c r="AF261">
        <v>1</v>
      </c>
      <c r="AG261">
        <v>452210</v>
      </c>
      <c r="AH261" t="s">
        <v>849</v>
      </c>
      <c r="AI261" t="s">
        <v>850</v>
      </c>
      <c r="AJ261" t="s">
        <v>851</v>
      </c>
      <c r="AK261" t="s">
        <v>255</v>
      </c>
      <c r="AL261" t="s">
        <v>2605</v>
      </c>
      <c r="AM261" t="s">
        <v>2966</v>
      </c>
      <c r="AN261" t="s">
        <v>854</v>
      </c>
      <c r="AO261">
        <v>36805</v>
      </c>
      <c r="AP261">
        <v>715</v>
      </c>
      <c r="AQ261" t="s">
        <v>855</v>
      </c>
      <c r="AR261">
        <v>66310047</v>
      </c>
      <c r="AS261" t="s">
        <v>856</v>
      </c>
      <c r="AU261" t="s">
        <v>6081</v>
      </c>
      <c r="AV261" t="s">
        <v>6082</v>
      </c>
      <c r="AX261" t="s">
        <v>913</v>
      </c>
      <c r="AY261" t="s">
        <v>861</v>
      </c>
      <c r="AZ261" t="s">
        <v>255</v>
      </c>
      <c r="BA261" t="s">
        <v>256</v>
      </c>
      <c r="BB261">
        <v>0</v>
      </c>
      <c r="BC261">
        <v>1</v>
      </c>
      <c r="BD261">
        <v>0</v>
      </c>
      <c r="BE261" t="s">
        <v>2959</v>
      </c>
      <c r="BF261">
        <v>0</v>
      </c>
      <c r="BG261">
        <v>0</v>
      </c>
      <c r="BH261" t="s">
        <v>862</v>
      </c>
      <c r="BI261">
        <v>0</v>
      </c>
      <c r="BJ261" t="s">
        <v>862</v>
      </c>
      <c r="BK261">
        <v>1</v>
      </c>
      <c r="BL261">
        <v>1</v>
      </c>
      <c r="BM261">
        <v>0</v>
      </c>
      <c r="BN261" t="s">
        <v>596</v>
      </c>
      <c r="BO261">
        <v>153294174</v>
      </c>
      <c r="BP261" t="s">
        <v>6075</v>
      </c>
      <c r="BR261">
        <v>42793503</v>
      </c>
      <c r="BT261">
        <v>1</v>
      </c>
      <c r="BU261" t="s">
        <v>1367</v>
      </c>
      <c r="CI261">
        <v>11</v>
      </c>
      <c r="CJ261" t="s">
        <v>94</v>
      </c>
      <c r="CM261">
        <v>4010</v>
      </c>
      <c r="CO261">
        <v>7360</v>
      </c>
      <c r="CP261">
        <v>0.98329999999999995</v>
      </c>
      <c r="CQ261">
        <v>0.98329999999999995</v>
      </c>
      <c r="CR261">
        <v>2.6166999999999998</v>
      </c>
      <c r="CS261">
        <v>0</v>
      </c>
      <c r="CT261" t="s">
        <v>6082</v>
      </c>
      <c r="CU261" t="s">
        <v>6081</v>
      </c>
      <c r="CV261" t="s">
        <v>833</v>
      </c>
      <c r="CW261" t="s">
        <v>834</v>
      </c>
      <c r="CX261" t="s">
        <v>2959</v>
      </c>
      <c r="CY261">
        <v>1</v>
      </c>
      <c r="CZ261">
        <v>1</v>
      </c>
      <c r="DA261" t="s">
        <v>833</v>
      </c>
      <c r="DB261" t="s">
        <v>865</v>
      </c>
      <c r="DC261">
        <v>54304</v>
      </c>
      <c r="DD261">
        <v>19.566700000000001</v>
      </c>
      <c r="DE261" t="s">
        <v>866</v>
      </c>
      <c r="DG261" t="s">
        <v>867</v>
      </c>
      <c r="DH261" t="s">
        <v>851</v>
      </c>
      <c r="DI261" t="s">
        <v>2971</v>
      </c>
      <c r="DK261" t="s">
        <v>918</v>
      </c>
      <c r="DL261" t="s">
        <v>869</v>
      </c>
      <c r="DM261">
        <v>0</v>
      </c>
      <c r="DN261">
        <v>0</v>
      </c>
      <c r="DO261">
        <v>11</v>
      </c>
      <c r="DP261" t="s">
        <v>1010</v>
      </c>
      <c r="DQ261">
        <v>16</v>
      </c>
      <c r="DR261">
        <v>1174</v>
      </c>
      <c r="DS261">
        <v>1894</v>
      </c>
      <c r="DT261">
        <v>2.3833000000000002</v>
      </c>
      <c r="DU261">
        <v>4</v>
      </c>
      <c r="DV261">
        <v>1</v>
      </c>
      <c r="DW261">
        <v>2</v>
      </c>
      <c r="DX261" t="s">
        <v>596</v>
      </c>
      <c r="DY261" t="s">
        <v>2959</v>
      </c>
      <c r="DZ261">
        <v>0</v>
      </c>
      <c r="EA261">
        <v>0</v>
      </c>
      <c r="EB261">
        <v>1</v>
      </c>
      <c r="EC261">
        <v>1</v>
      </c>
      <c r="ED261">
        <v>1</v>
      </c>
      <c r="EE261">
        <v>1</v>
      </c>
      <c r="EF261" t="s">
        <v>871</v>
      </c>
      <c r="EG261" t="s">
        <v>595</v>
      </c>
      <c r="EH261" t="s">
        <v>921</v>
      </c>
      <c r="EI261" t="s">
        <v>921</v>
      </c>
      <c r="EJ261" t="s">
        <v>215</v>
      </c>
      <c r="EK261">
        <v>9090</v>
      </c>
      <c r="EL261">
        <v>1</v>
      </c>
      <c r="EM261" t="s">
        <v>1436</v>
      </c>
      <c r="EN261">
        <v>2.6166999999999998</v>
      </c>
      <c r="EO261">
        <v>31.566666600000001</v>
      </c>
      <c r="EP261">
        <v>99991120</v>
      </c>
      <c r="EQ261" t="s">
        <v>874</v>
      </c>
      <c r="ER261" t="s">
        <v>875</v>
      </c>
      <c r="ES261" t="s">
        <v>876</v>
      </c>
      <c r="ET261" t="s">
        <v>877</v>
      </c>
      <c r="EU261" t="s">
        <v>877</v>
      </c>
      <c r="EV261" t="s">
        <v>871</v>
      </c>
      <c r="EX261" t="s">
        <v>836</v>
      </c>
      <c r="EY261" t="s">
        <v>873</v>
      </c>
      <c r="EZ261" t="s">
        <v>2972</v>
      </c>
      <c r="FA261" t="s">
        <v>879</v>
      </c>
      <c r="FB261">
        <v>1</v>
      </c>
      <c r="FC261">
        <v>2</v>
      </c>
      <c r="FD261" s="41">
        <v>46053</v>
      </c>
      <c r="FE261" t="s">
        <v>1370</v>
      </c>
      <c r="FF261">
        <v>8</v>
      </c>
      <c r="FG261" t="s">
        <v>6083</v>
      </c>
      <c r="FH261" t="s">
        <v>6084</v>
      </c>
      <c r="FI261">
        <v>1</v>
      </c>
      <c r="FJ261" t="s">
        <v>6085</v>
      </c>
      <c r="FK261" t="s">
        <v>6084</v>
      </c>
      <c r="FL261">
        <v>1</v>
      </c>
      <c r="FM261" t="s">
        <v>2976</v>
      </c>
      <c r="FN261" t="s">
        <v>6086</v>
      </c>
      <c r="FO261">
        <v>1</v>
      </c>
      <c r="FP261" t="s">
        <v>6087</v>
      </c>
      <c r="FQ261" t="s">
        <v>6081</v>
      </c>
      <c r="FR261">
        <v>1</v>
      </c>
      <c r="FS261" t="s">
        <v>2610</v>
      </c>
      <c r="FT261" t="s">
        <v>6088</v>
      </c>
      <c r="FU261">
        <v>1</v>
      </c>
      <c r="FV261" t="s">
        <v>6089</v>
      </c>
      <c r="FW261" t="s">
        <v>6090</v>
      </c>
      <c r="FX261">
        <v>1</v>
      </c>
      <c r="FY261" t="s">
        <v>890</v>
      </c>
      <c r="FZ261" t="s">
        <v>6091</v>
      </c>
      <c r="GA261" t="s">
        <v>6085</v>
      </c>
      <c r="GB261">
        <v>1</v>
      </c>
      <c r="GD261">
        <v>0</v>
      </c>
      <c r="GF261">
        <v>0</v>
      </c>
      <c r="GG261">
        <v>1</v>
      </c>
      <c r="GH261" t="s">
        <v>892</v>
      </c>
      <c r="GI261" t="s">
        <v>893</v>
      </c>
      <c r="GJ261" t="s">
        <v>6084</v>
      </c>
      <c r="GM261">
        <v>1</v>
      </c>
      <c r="GN261">
        <v>0</v>
      </c>
      <c r="GO261">
        <v>0</v>
      </c>
      <c r="GP261">
        <v>1</v>
      </c>
      <c r="GQ261">
        <v>1</v>
      </c>
      <c r="GR261">
        <v>0</v>
      </c>
      <c r="GS261">
        <v>1</v>
      </c>
      <c r="GT261">
        <v>0</v>
      </c>
      <c r="GU261">
        <v>1</v>
      </c>
      <c r="GV261">
        <v>0</v>
      </c>
      <c r="GW261">
        <v>1</v>
      </c>
      <c r="GX261">
        <v>0</v>
      </c>
      <c r="GY261">
        <v>1</v>
      </c>
      <c r="GZ261">
        <v>0</v>
      </c>
      <c r="HA261" t="s">
        <v>255</v>
      </c>
      <c r="HB261" t="s">
        <v>894</v>
      </c>
      <c r="HC261" t="s">
        <v>895</v>
      </c>
      <c r="HD261" t="s">
        <v>845</v>
      </c>
      <c r="HE261" t="s">
        <v>836</v>
      </c>
      <c r="HF261" t="s">
        <v>873</v>
      </c>
      <c r="HG261" t="s">
        <v>894</v>
      </c>
      <c r="HH261" t="s">
        <v>895</v>
      </c>
      <c r="HI261" t="s">
        <v>845</v>
      </c>
      <c r="HJ261" t="s">
        <v>836</v>
      </c>
      <c r="HK261" t="s">
        <v>1436</v>
      </c>
      <c r="HL261" t="s">
        <v>2962</v>
      </c>
      <c r="HM261" t="s">
        <v>854</v>
      </c>
      <c r="HN261">
        <v>36805</v>
      </c>
      <c r="HO261">
        <v>1</v>
      </c>
      <c r="HP261" t="s">
        <v>215</v>
      </c>
      <c r="HQ261" t="s">
        <v>896</v>
      </c>
      <c r="HR261" t="s">
        <v>896</v>
      </c>
      <c r="HS261" t="s">
        <v>896</v>
      </c>
    </row>
    <row r="262" spans="1:227" ht="409.6" x14ac:dyDescent="0.2">
      <c r="A262">
        <v>8702</v>
      </c>
      <c r="B262">
        <v>7621904213</v>
      </c>
      <c r="D262" t="s">
        <v>913</v>
      </c>
      <c r="E262" t="s">
        <v>831</v>
      </c>
      <c r="F262">
        <v>0</v>
      </c>
      <c r="G262" t="s">
        <v>6092</v>
      </c>
      <c r="H262" t="s">
        <v>6092</v>
      </c>
      <c r="I262">
        <v>0</v>
      </c>
      <c r="J262" t="s">
        <v>833</v>
      </c>
      <c r="K262" t="s">
        <v>834</v>
      </c>
      <c r="L262">
        <v>152858771</v>
      </c>
      <c r="M262" t="s">
        <v>1516</v>
      </c>
      <c r="N262" t="s">
        <v>836</v>
      </c>
      <c r="O262" t="s">
        <v>837</v>
      </c>
      <c r="P262" t="s">
        <v>913</v>
      </c>
      <c r="R262" t="s">
        <v>4787</v>
      </c>
      <c r="S262" t="s">
        <v>6093</v>
      </c>
      <c r="T262">
        <v>41477068982</v>
      </c>
      <c r="V262" t="s">
        <v>185</v>
      </c>
      <c r="AA262">
        <v>0</v>
      </c>
      <c r="AB262" t="s">
        <v>845</v>
      </c>
      <c r="AC262" t="s">
        <v>846</v>
      </c>
      <c r="AD262" t="s">
        <v>907</v>
      </c>
      <c r="AE262" t="s">
        <v>908</v>
      </c>
      <c r="AF262">
        <v>1</v>
      </c>
      <c r="AG262">
        <v>452210</v>
      </c>
      <c r="AH262" t="s">
        <v>849</v>
      </c>
      <c r="AI262" t="s">
        <v>850</v>
      </c>
      <c r="AJ262" t="s">
        <v>851</v>
      </c>
      <c r="AK262" t="s">
        <v>379</v>
      </c>
      <c r="AL262" t="s">
        <v>2645</v>
      </c>
      <c r="AM262" t="s">
        <v>1522</v>
      </c>
      <c r="AN262" t="s">
        <v>854</v>
      </c>
      <c r="AO262">
        <v>36805</v>
      </c>
      <c r="AP262">
        <v>633</v>
      </c>
      <c r="AQ262" t="s">
        <v>855</v>
      </c>
      <c r="AR262">
        <v>66585061</v>
      </c>
      <c r="AS262" t="s">
        <v>856</v>
      </c>
      <c r="AU262" t="s">
        <v>6094</v>
      </c>
      <c r="AV262" t="s">
        <v>6095</v>
      </c>
      <c r="AX262" t="s">
        <v>913</v>
      </c>
      <c r="AY262" t="s">
        <v>861</v>
      </c>
      <c r="AZ262" t="s">
        <v>379</v>
      </c>
      <c r="BA262" t="s">
        <v>380</v>
      </c>
      <c r="BB262">
        <v>0</v>
      </c>
      <c r="BC262">
        <v>0</v>
      </c>
      <c r="BD262">
        <v>0</v>
      </c>
      <c r="BE262" t="s">
        <v>1516</v>
      </c>
      <c r="BF262">
        <v>0</v>
      </c>
      <c r="BG262">
        <v>0</v>
      </c>
      <c r="BH262" t="s">
        <v>862</v>
      </c>
      <c r="BI262">
        <v>0</v>
      </c>
      <c r="BJ262" t="s">
        <v>862</v>
      </c>
      <c r="BK262">
        <v>1</v>
      </c>
      <c r="BL262">
        <v>1</v>
      </c>
      <c r="BM262">
        <v>0</v>
      </c>
      <c r="BN262" t="s">
        <v>596</v>
      </c>
      <c r="BO262">
        <v>152858771</v>
      </c>
      <c r="BP262" t="s">
        <v>6092</v>
      </c>
      <c r="BR262">
        <v>42791751</v>
      </c>
      <c r="BT262">
        <v>0</v>
      </c>
      <c r="CM262">
        <v>4010</v>
      </c>
      <c r="CO262">
        <v>7360</v>
      </c>
      <c r="CP262">
        <v>2.1667000000000001</v>
      </c>
      <c r="CQ262">
        <v>2.1667000000000001</v>
      </c>
      <c r="CR262">
        <v>0</v>
      </c>
      <c r="CS262">
        <v>1</v>
      </c>
      <c r="CT262" t="s">
        <v>6095</v>
      </c>
      <c r="CU262" t="s">
        <v>6094</v>
      </c>
      <c r="CV262" t="s">
        <v>833</v>
      </c>
      <c r="CW262" t="s">
        <v>834</v>
      </c>
      <c r="CX262" t="s">
        <v>1516</v>
      </c>
      <c r="CY262">
        <v>0</v>
      </c>
      <c r="CZ262">
        <v>0</v>
      </c>
      <c r="DA262" t="s">
        <v>833</v>
      </c>
      <c r="DB262" t="s">
        <v>865</v>
      </c>
      <c r="DC262">
        <v>60563</v>
      </c>
      <c r="DD262">
        <v>3.8167</v>
      </c>
      <c r="DE262" t="s">
        <v>866</v>
      </c>
      <c r="DG262" t="s">
        <v>867</v>
      </c>
      <c r="DH262" t="s">
        <v>851</v>
      </c>
      <c r="DI262" t="s">
        <v>1525</v>
      </c>
      <c r="DL262" t="s">
        <v>869</v>
      </c>
      <c r="DM262">
        <v>0</v>
      </c>
      <c r="DN262">
        <v>0</v>
      </c>
      <c r="DP262" t="s">
        <v>913</v>
      </c>
      <c r="DQ262">
        <v>16</v>
      </c>
      <c r="DR262">
        <v>229</v>
      </c>
      <c r="DS262">
        <v>229</v>
      </c>
      <c r="DT262">
        <v>1.65</v>
      </c>
      <c r="DU262">
        <v>4</v>
      </c>
      <c r="DW262">
        <v>2</v>
      </c>
      <c r="DX262" t="s">
        <v>596</v>
      </c>
      <c r="DY262" t="s">
        <v>1516</v>
      </c>
      <c r="DZ262">
        <v>0</v>
      </c>
      <c r="EA262">
        <v>0</v>
      </c>
      <c r="EB262">
        <v>0</v>
      </c>
      <c r="EC262">
        <v>0</v>
      </c>
      <c r="ED262">
        <v>0</v>
      </c>
      <c r="EE262">
        <v>0</v>
      </c>
      <c r="EF262" t="s">
        <v>871</v>
      </c>
      <c r="EG262" t="s">
        <v>601</v>
      </c>
      <c r="EH262" t="s">
        <v>921</v>
      </c>
      <c r="EI262" t="s">
        <v>921</v>
      </c>
      <c r="EJ262" t="s">
        <v>181</v>
      </c>
      <c r="EK262">
        <v>9090</v>
      </c>
      <c r="EL262">
        <v>1</v>
      </c>
      <c r="EM262" t="s">
        <v>1436</v>
      </c>
      <c r="EN262">
        <v>0</v>
      </c>
      <c r="EP262">
        <v>99991120</v>
      </c>
      <c r="EQ262" t="s">
        <v>874</v>
      </c>
      <c r="ER262" t="s">
        <v>875</v>
      </c>
      <c r="ES262" t="s">
        <v>876</v>
      </c>
      <c r="ET262" t="s">
        <v>877</v>
      </c>
      <c r="EU262" t="s">
        <v>877</v>
      </c>
      <c r="EV262" t="s">
        <v>871</v>
      </c>
      <c r="EX262" t="s">
        <v>836</v>
      </c>
      <c r="EY262" t="s">
        <v>873</v>
      </c>
      <c r="EZ262" t="s">
        <v>1437</v>
      </c>
      <c r="FA262" t="s">
        <v>956</v>
      </c>
      <c r="FB262">
        <v>1</v>
      </c>
      <c r="FC262">
        <v>1</v>
      </c>
      <c r="FD262" s="41">
        <v>46242</v>
      </c>
      <c r="FE262" t="s">
        <v>926</v>
      </c>
      <c r="FF262">
        <v>9</v>
      </c>
      <c r="FG262" t="s">
        <v>6096</v>
      </c>
      <c r="FH262" t="s">
        <v>6097</v>
      </c>
      <c r="FI262">
        <v>1</v>
      </c>
      <c r="FJ262" t="s">
        <v>6098</v>
      </c>
      <c r="FK262" t="s">
        <v>6099</v>
      </c>
      <c r="FL262">
        <v>1</v>
      </c>
      <c r="FM262" s="42" t="s">
        <v>6100</v>
      </c>
      <c r="FN262" t="s">
        <v>6101</v>
      </c>
      <c r="FO262">
        <v>1</v>
      </c>
      <c r="FP262" t="s">
        <v>6102</v>
      </c>
      <c r="FQ262" t="s">
        <v>6103</v>
      </c>
      <c r="FR262">
        <v>1</v>
      </c>
      <c r="FS262" t="s">
        <v>2129</v>
      </c>
      <c r="FT262" t="s">
        <v>6104</v>
      </c>
      <c r="FU262">
        <v>1</v>
      </c>
      <c r="FV262" t="s">
        <v>3235</v>
      </c>
      <c r="FW262" t="s">
        <v>6105</v>
      </c>
      <c r="FX262">
        <v>1</v>
      </c>
      <c r="FY262" t="s">
        <v>890</v>
      </c>
      <c r="FZ262" s="42" t="s">
        <v>6106</v>
      </c>
      <c r="GB262">
        <v>0</v>
      </c>
      <c r="GD262">
        <v>0</v>
      </c>
      <c r="GF262">
        <v>0</v>
      </c>
      <c r="GG262">
        <v>0</v>
      </c>
      <c r="GM262">
        <v>0</v>
      </c>
      <c r="GN262">
        <v>0</v>
      </c>
      <c r="GO262">
        <v>0</v>
      </c>
      <c r="GP262">
        <v>0</v>
      </c>
      <c r="GQ262">
        <v>0</v>
      </c>
      <c r="GR262">
        <v>0</v>
      </c>
      <c r="GS262">
        <v>0</v>
      </c>
      <c r="GT262">
        <v>0</v>
      </c>
      <c r="GU262">
        <v>0</v>
      </c>
      <c r="GV262">
        <v>0</v>
      </c>
      <c r="GW262">
        <v>0</v>
      </c>
      <c r="GX262">
        <v>0</v>
      </c>
      <c r="GY262">
        <v>0</v>
      </c>
      <c r="GZ262">
        <v>0</v>
      </c>
      <c r="HA262" t="s">
        <v>379</v>
      </c>
      <c r="HB262" t="s">
        <v>894</v>
      </c>
      <c r="HC262" t="s">
        <v>895</v>
      </c>
      <c r="HD262" t="s">
        <v>845</v>
      </c>
      <c r="HE262" t="s">
        <v>836</v>
      </c>
      <c r="HF262" t="s">
        <v>6107</v>
      </c>
      <c r="HG262" t="s">
        <v>894</v>
      </c>
      <c r="HH262" t="s">
        <v>895</v>
      </c>
      <c r="HI262" t="s">
        <v>845</v>
      </c>
      <c r="HJ262" t="s">
        <v>836</v>
      </c>
      <c r="HK262" t="s">
        <v>6107</v>
      </c>
      <c r="HL262" t="s">
        <v>185</v>
      </c>
      <c r="HM262" t="s">
        <v>854</v>
      </c>
      <c r="HN262">
        <v>36805</v>
      </c>
      <c r="HP262" t="s">
        <v>181</v>
      </c>
      <c r="HQ262" t="s">
        <v>896</v>
      </c>
      <c r="HR262" t="s">
        <v>896</v>
      </c>
      <c r="HS262" t="s">
        <v>896</v>
      </c>
    </row>
    <row r="263" spans="1:227" x14ac:dyDescent="0.2">
      <c r="A263">
        <v>8702</v>
      </c>
      <c r="B263">
        <v>7616303160</v>
      </c>
      <c r="C263">
        <v>34</v>
      </c>
      <c r="D263" t="s">
        <v>996</v>
      </c>
      <c r="E263" t="s">
        <v>831</v>
      </c>
      <c r="F263">
        <v>0</v>
      </c>
      <c r="G263" t="s">
        <v>6108</v>
      </c>
      <c r="H263" t="s">
        <v>6108</v>
      </c>
      <c r="I263">
        <v>0</v>
      </c>
      <c r="J263" t="s">
        <v>833</v>
      </c>
      <c r="K263" t="s">
        <v>834</v>
      </c>
      <c r="L263">
        <v>153294168</v>
      </c>
      <c r="M263" t="s">
        <v>6109</v>
      </c>
      <c r="N263" t="s">
        <v>836</v>
      </c>
      <c r="O263" t="s">
        <v>837</v>
      </c>
      <c r="P263" t="s">
        <v>999</v>
      </c>
      <c r="Q263" t="s">
        <v>1027</v>
      </c>
      <c r="R263" t="s">
        <v>6110</v>
      </c>
      <c r="S263" t="s">
        <v>6111</v>
      </c>
      <c r="T263">
        <v>41477059751</v>
      </c>
      <c r="V263" t="s">
        <v>136</v>
      </c>
      <c r="W263" s="41">
        <v>46186</v>
      </c>
      <c r="X263" t="s">
        <v>6112</v>
      </c>
      <c r="Y263" t="s">
        <v>6113</v>
      </c>
      <c r="Z263" t="s">
        <v>1969</v>
      </c>
      <c r="AA263">
        <v>0</v>
      </c>
      <c r="AB263" t="s">
        <v>845</v>
      </c>
      <c r="AC263" t="s">
        <v>846</v>
      </c>
      <c r="AD263" t="s">
        <v>907</v>
      </c>
      <c r="AE263" t="s">
        <v>908</v>
      </c>
      <c r="AF263">
        <v>1</v>
      </c>
      <c r="AG263">
        <v>452210</v>
      </c>
      <c r="AH263" t="s">
        <v>849</v>
      </c>
      <c r="AI263" t="s">
        <v>850</v>
      </c>
      <c r="AJ263" t="s">
        <v>851</v>
      </c>
      <c r="AK263" t="s">
        <v>362</v>
      </c>
      <c r="AL263" t="s">
        <v>2035</v>
      </c>
      <c r="AM263" t="s">
        <v>1207</v>
      </c>
      <c r="AN263" t="s">
        <v>854</v>
      </c>
      <c r="AO263">
        <v>36805</v>
      </c>
      <c r="AP263">
        <v>523</v>
      </c>
      <c r="AQ263" t="s">
        <v>855</v>
      </c>
      <c r="AR263">
        <v>66505930</v>
      </c>
      <c r="AS263" t="s">
        <v>856</v>
      </c>
      <c r="AU263" t="s">
        <v>6114</v>
      </c>
      <c r="AV263" t="s">
        <v>6115</v>
      </c>
      <c r="AX263" t="s">
        <v>913</v>
      </c>
      <c r="AY263" t="s">
        <v>861</v>
      </c>
      <c r="AZ263" t="s">
        <v>362</v>
      </c>
      <c r="BA263" t="s">
        <v>300</v>
      </c>
      <c r="BB263">
        <v>0</v>
      </c>
      <c r="BC263">
        <v>1</v>
      </c>
      <c r="BD263">
        <v>0</v>
      </c>
      <c r="BE263" t="s">
        <v>6109</v>
      </c>
      <c r="BF263">
        <v>0</v>
      </c>
      <c r="BG263">
        <v>0</v>
      </c>
      <c r="BH263" t="s">
        <v>862</v>
      </c>
      <c r="BI263">
        <v>0</v>
      </c>
      <c r="BJ263" t="s">
        <v>862</v>
      </c>
      <c r="BK263">
        <v>1</v>
      </c>
      <c r="BL263">
        <v>1</v>
      </c>
      <c r="BM263">
        <v>0</v>
      </c>
      <c r="BN263" t="s">
        <v>596</v>
      </c>
      <c r="BO263">
        <v>153294168</v>
      </c>
      <c r="BP263" t="s">
        <v>6108</v>
      </c>
      <c r="BR263">
        <v>42791433</v>
      </c>
      <c r="BT263">
        <v>1</v>
      </c>
      <c r="BU263" t="s">
        <v>1314</v>
      </c>
      <c r="BY263">
        <v>16</v>
      </c>
      <c r="CA263">
        <v>19</v>
      </c>
      <c r="CI263">
        <v>11</v>
      </c>
      <c r="CJ263" t="s">
        <v>94</v>
      </c>
      <c r="CM263">
        <v>4010</v>
      </c>
      <c r="CO263">
        <v>7360</v>
      </c>
      <c r="CP263">
        <v>0.35</v>
      </c>
      <c r="CQ263">
        <v>0.35</v>
      </c>
      <c r="CR263">
        <v>1.4167000000000001</v>
      </c>
      <c r="CS263">
        <v>20</v>
      </c>
      <c r="CT263" t="s">
        <v>6115</v>
      </c>
      <c r="CU263" t="s">
        <v>6114</v>
      </c>
      <c r="CV263" t="s">
        <v>833</v>
      </c>
      <c r="CW263" t="s">
        <v>834</v>
      </c>
      <c r="CX263" t="s">
        <v>6109</v>
      </c>
      <c r="CY263">
        <v>1</v>
      </c>
      <c r="CZ263">
        <v>1</v>
      </c>
      <c r="DA263" t="s">
        <v>833</v>
      </c>
      <c r="DB263" t="s">
        <v>865</v>
      </c>
      <c r="DC263">
        <v>47905</v>
      </c>
      <c r="DD263">
        <v>18.783300000000001</v>
      </c>
      <c r="DE263" t="s">
        <v>866</v>
      </c>
      <c r="DG263" t="s">
        <v>867</v>
      </c>
      <c r="DH263" t="s">
        <v>851</v>
      </c>
      <c r="DJ263" t="s">
        <v>6116</v>
      </c>
      <c r="DK263" t="s">
        <v>918</v>
      </c>
      <c r="DL263" t="s">
        <v>869</v>
      </c>
      <c r="DM263">
        <v>0</v>
      </c>
      <c r="DN263">
        <v>0</v>
      </c>
      <c r="DO263">
        <v>11</v>
      </c>
      <c r="DP263" t="s">
        <v>1010</v>
      </c>
      <c r="DQ263">
        <v>16</v>
      </c>
      <c r="DR263">
        <v>1127</v>
      </c>
      <c r="DS263">
        <v>1847</v>
      </c>
      <c r="DT263">
        <v>18.433299999999999</v>
      </c>
      <c r="DU263">
        <v>4</v>
      </c>
      <c r="DV263">
        <v>1</v>
      </c>
      <c r="DW263">
        <v>2</v>
      </c>
      <c r="DX263" t="s">
        <v>596</v>
      </c>
      <c r="DY263" t="s">
        <v>6109</v>
      </c>
      <c r="DZ263">
        <v>0</v>
      </c>
      <c r="EA263">
        <v>0</v>
      </c>
      <c r="EB263">
        <v>1</v>
      </c>
      <c r="EC263">
        <v>0</v>
      </c>
      <c r="ED263">
        <v>0</v>
      </c>
      <c r="EE263">
        <v>1</v>
      </c>
      <c r="EF263" t="s">
        <v>920</v>
      </c>
      <c r="EG263" t="s">
        <v>595</v>
      </c>
      <c r="EH263" t="s">
        <v>921</v>
      </c>
      <c r="EI263" t="s">
        <v>921</v>
      </c>
      <c r="EJ263" t="s">
        <v>134</v>
      </c>
      <c r="EK263">
        <v>9090</v>
      </c>
      <c r="EL263">
        <v>0</v>
      </c>
      <c r="EM263" t="s">
        <v>873</v>
      </c>
      <c r="EN263">
        <v>2.3666999999999998</v>
      </c>
      <c r="EO263">
        <v>30.783333299999999</v>
      </c>
      <c r="EP263">
        <v>99991120</v>
      </c>
      <c r="EQ263" t="s">
        <v>874</v>
      </c>
      <c r="ER263" t="s">
        <v>875</v>
      </c>
      <c r="ES263" t="s">
        <v>876</v>
      </c>
      <c r="ET263" t="s">
        <v>877</v>
      </c>
      <c r="EU263" t="s">
        <v>877</v>
      </c>
      <c r="EV263" t="s">
        <v>920</v>
      </c>
      <c r="EX263" t="s">
        <v>836</v>
      </c>
      <c r="EY263" t="s">
        <v>873</v>
      </c>
      <c r="EZ263" t="s">
        <v>1211</v>
      </c>
      <c r="FA263" t="s">
        <v>1212</v>
      </c>
      <c r="FB263">
        <v>1</v>
      </c>
      <c r="FC263">
        <v>1</v>
      </c>
      <c r="FD263" s="41">
        <v>46186</v>
      </c>
      <c r="FE263" t="s">
        <v>1315</v>
      </c>
      <c r="FF263">
        <v>8</v>
      </c>
      <c r="FG263" t="s">
        <v>6109</v>
      </c>
      <c r="FH263" t="s">
        <v>6117</v>
      </c>
      <c r="FI263">
        <v>1</v>
      </c>
      <c r="FJ263" t="s">
        <v>6118</v>
      </c>
      <c r="FK263" t="s">
        <v>6117</v>
      </c>
      <c r="FL263">
        <v>1</v>
      </c>
      <c r="FM263" t="s">
        <v>6119</v>
      </c>
      <c r="FN263" t="s">
        <v>6120</v>
      </c>
      <c r="FO263">
        <v>1</v>
      </c>
      <c r="FP263" t="s">
        <v>6121</v>
      </c>
      <c r="FQ263" t="s">
        <v>6114</v>
      </c>
      <c r="FR263">
        <v>1</v>
      </c>
      <c r="FS263" t="s">
        <v>3160</v>
      </c>
      <c r="FT263" t="s">
        <v>6122</v>
      </c>
      <c r="FU263">
        <v>1</v>
      </c>
      <c r="FV263" t="s">
        <v>6123</v>
      </c>
      <c r="FW263" t="s">
        <v>6124</v>
      </c>
      <c r="FX263">
        <v>1</v>
      </c>
      <c r="FY263" t="s">
        <v>890</v>
      </c>
      <c r="FZ263" t="s">
        <v>6125</v>
      </c>
      <c r="GA263" t="s">
        <v>6118</v>
      </c>
      <c r="GB263">
        <v>1</v>
      </c>
      <c r="GD263">
        <v>0</v>
      </c>
      <c r="GF263">
        <v>0</v>
      </c>
      <c r="GG263">
        <v>1</v>
      </c>
      <c r="GH263" t="s">
        <v>892</v>
      </c>
      <c r="GI263" t="s">
        <v>893</v>
      </c>
      <c r="GJ263" t="s">
        <v>6117</v>
      </c>
      <c r="GM263">
        <v>1</v>
      </c>
      <c r="GN263">
        <v>1</v>
      </c>
      <c r="GO263">
        <v>0</v>
      </c>
      <c r="GP263">
        <v>1</v>
      </c>
      <c r="GQ263">
        <v>1</v>
      </c>
      <c r="GR263">
        <v>0</v>
      </c>
      <c r="GS263">
        <v>1</v>
      </c>
      <c r="GT263">
        <v>0</v>
      </c>
      <c r="GU263">
        <v>1</v>
      </c>
      <c r="GV263">
        <v>0</v>
      </c>
      <c r="GW263">
        <v>1</v>
      </c>
      <c r="GX263">
        <v>0</v>
      </c>
      <c r="GY263">
        <v>1</v>
      </c>
      <c r="GZ263">
        <v>0</v>
      </c>
      <c r="HA263" t="s">
        <v>362</v>
      </c>
      <c r="HB263" t="s">
        <v>894</v>
      </c>
      <c r="HC263" t="s">
        <v>895</v>
      </c>
      <c r="HD263" t="s">
        <v>845</v>
      </c>
      <c r="HE263" t="s">
        <v>836</v>
      </c>
      <c r="HF263" t="s">
        <v>873</v>
      </c>
      <c r="HG263" t="s">
        <v>894</v>
      </c>
      <c r="HH263" t="s">
        <v>895</v>
      </c>
      <c r="HI263" t="s">
        <v>845</v>
      </c>
      <c r="HJ263" t="s">
        <v>836</v>
      </c>
      <c r="HK263" t="s">
        <v>873</v>
      </c>
      <c r="HL263" t="s">
        <v>136</v>
      </c>
      <c r="HM263" t="s">
        <v>854</v>
      </c>
      <c r="HN263">
        <v>36805</v>
      </c>
      <c r="HO263">
        <v>1</v>
      </c>
      <c r="HP263" t="s">
        <v>134</v>
      </c>
      <c r="HQ263" t="s">
        <v>896</v>
      </c>
      <c r="HR263" t="s">
        <v>896</v>
      </c>
      <c r="HS263" t="s">
        <v>896</v>
      </c>
    </row>
    <row r="264" spans="1:227" x14ac:dyDescent="0.2">
      <c r="A264">
        <v>8702</v>
      </c>
      <c r="B264">
        <v>7614601328</v>
      </c>
      <c r="C264" t="s">
        <v>829</v>
      </c>
      <c r="D264" t="s">
        <v>830</v>
      </c>
      <c r="E264" t="s">
        <v>831</v>
      </c>
      <c r="F264">
        <v>1</v>
      </c>
      <c r="G264" t="s">
        <v>6126</v>
      </c>
      <c r="H264" t="s">
        <v>6126</v>
      </c>
      <c r="I264">
        <v>0</v>
      </c>
      <c r="J264" t="s">
        <v>833</v>
      </c>
      <c r="K264" t="s">
        <v>834</v>
      </c>
      <c r="L264">
        <v>153402684</v>
      </c>
      <c r="M264" t="s">
        <v>3321</v>
      </c>
      <c r="N264" t="s">
        <v>836</v>
      </c>
      <c r="O264" t="s">
        <v>837</v>
      </c>
      <c r="P264" t="s">
        <v>838</v>
      </c>
      <c r="Q264" t="s">
        <v>901</v>
      </c>
      <c r="R264" t="s">
        <v>6127</v>
      </c>
      <c r="S264" t="s">
        <v>6128</v>
      </c>
      <c r="T264">
        <v>41477087304</v>
      </c>
      <c r="V264" t="s">
        <v>189</v>
      </c>
      <c r="W264" s="41">
        <v>46169</v>
      </c>
      <c r="X264" t="s">
        <v>6129</v>
      </c>
      <c r="Y264" t="s">
        <v>6130</v>
      </c>
      <c r="AA264">
        <v>0</v>
      </c>
      <c r="AB264" t="s">
        <v>845</v>
      </c>
      <c r="AC264" t="s">
        <v>846</v>
      </c>
      <c r="AD264" t="s">
        <v>907</v>
      </c>
      <c r="AE264" t="s">
        <v>908</v>
      </c>
      <c r="AF264">
        <v>1</v>
      </c>
      <c r="AG264">
        <v>452210</v>
      </c>
      <c r="AH264" t="s">
        <v>849</v>
      </c>
      <c r="AI264" t="s">
        <v>850</v>
      </c>
      <c r="AJ264" t="s">
        <v>851</v>
      </c>
      <c r="AK264" t="s">
        <v>352</v>
      </c>
      <c r="AL264" t="s">
        <v>3223</v>
      </c>
      <c r="AM264" t="s">
        <v>2646</v>
      </c>
      <c r="AN264" t="s">
        <v>854</v>
      </c>
      <c r="AO264">
        <v>36805</v>
      </c>
      <c r="AP264">
        <v>635</v>
      </c>
      <c r="AQ264" t="s">
        <v>855</v>
      </c>
      <c r="AR264">
        <v>66481187</v>
      </c>
      <c r="AS264" t="s">
        <v>856</v>
      </c>
      <c r="AU264" t="s">
        <v>6131</v>
      </c>
      <c r="AV264" t="s">
        <v>6132</v>
      </c>
      <c r="AX264" t="s">
        <v>913</v>
      </c>
      <c r="AY264" t="s">
        <v>861</v>
      </c>
      <c r="AZ264" t="s">
        <v>352</v>
      </c>
      <c r="BA264" t="s">
        <v>353</v>
      </c>
      <c r="BB264">
        <v>0</v>
      </c>
      <c r="BC264">
        <v>0</v>
      </c>
      <c r="BD264">
        <v>0</v>
      </c>
      <c r="BE264" t="s">
        <v>3321</v>
      </c>
      <c r="BF264">
        <v>0</v>
      </c>
      <c r="BG264">
        <v>0</v>
      </c>
      <c r="BH264" t="s">
        <v>862</v>
      </c>
      <c r="BI264">
        <v>0</v>
      </c>
      <c r="BJ264" t="s">
        <v>862</v>
      </c>
      <c r="BK264">
        <v>1</v>
      </c>
      <c r="BL264">
        <v>1</v>
      </c>
      <c r="BM264">
        <v>0</v>
      </c>
      <c r="BN264" t="s">
        <v>596</v>
      </c>
      <c r="BO264">
        <v>153402684</v>
      </c>
      <c r="BP264" t="s">
        <v>6126</v>
      </c>
      <c r="BQ264">
        <v>41.9268395</v>
      </c>
      <c r="BR264">
        <v>42791757</v>
      </c>
      <c r="BS264">
        <v>-87.681019300000003</v>
      </c>
      <c r="BT264">
        <v>2</v>
      </c>
      <c r="BU264" t="s">
        <v>1803</v>
      </c>
      <c r="BY264">
        <v>16</v>
      </c>
      <c r="CA264">
        <v>7</v>
      </c>
      <c r="CE264">
        <v>1</v>
      </c>
      <c r="CI264">
        <v>11</v>
      </c>
      <c r="CJ264" t="s">
        <v>94</v>
      </c>
      <c r="CM264">
        <v>4010</v>
      </c>
      <c r="CO264">
        <v>7360</v>
      </c>
      <c r="CP264">
        <v>0.76670000000000005</v>
      </c>
      <c r="CQ264">
        <v>0.76670000000000005</v>
      </c>
      <c r="CR264">
        <v>0.45</v>
      </c>
      <c r="CS264">
        <v>17</v>
      </c>
      <c r="CT264" t="s">
        <v>6132</v>
      </c>
      <c r="CU264" t="s">
        <v>6131</v>
      </c>
      <c r="CV264" t="s">
        <v>833</v>
      </c>
      <c r="CW264" t="s">
        <v>834</v>
      </c>
      <c r="CX264" t="s">
        <v>3321</v>
      </c>
      <c r="CY264">
        <v>0</v>
      </c>
      <c r="CZ264">
        <v>0</v>
      </c>
      <c r="DA264" t="s">
        <v>833</v>
      </c>
      <c r="DB264" t="s">
        <v>865</v>
      </c>
      <c r="DC264">
        <v>60647</v>
      </c>
      <c r="DD264">
        <v>7.4</v>
      </c>
      <c r="DE264" t="s">
        <v>866</v>
      </c>
      <c r="DG264" t="s">
        <v>867</v>
      </c>
      <c r="DH264" t="s">
        <v>851</v>
      </c>
      <c r="DI264" t="s">
        <v>1154</v>
      </c>
      <c r="DK264" t="s">
        <v>918</v>
      </c>
      <c r="DL264" t="s">
        <v>869</v>
      </c>
      <c r="DM264">
        <v>0</v>
      </c>
      <c r="DN264">
        <v>0</v>
      </c>
      <c r="DO264">
        <v>3</v>
      </c>
      <c r="DP264" t="s">
        <v>919</v>
      </c>
      <c r="DQ264">
        <v>16</v>
      </c>
      <c r="DR264">
        <v>444</v>
      </c>
      <c r="DS264">
        <v>1164</v>
      </c>
      <c r="DT264">
        <v>6.6333000000000002</v>
      </c>
      <c r="DU264">
        <v>4</v>
      </c>
      <c r="DV264">
        <v>1</v>
      </c>
      <c r="DW264">
        <v>2</v>
      </c>
      <c r="DX264" t="s">
        <v>596</v>
      </c>
      <c r="DY264" t="s">
        <v>3321</v>
      </c>
      <c r="DZ264">
        <v>1</v>
      </c>
      <c r="EA264">
        <v>1</v>
      </c>
      <c r="EB264">
        <v>1</v>
      </c>
      <c r="EC264">
        <v>0</v>
      </c>
      <c r="ED264">
        <v>0</v>
      </c>
      <c r="EE264">
        <v>1</v>
      </c>
      <c r="EF264" t="s">
        <v>920</v>
      </c>
      <c r="EG264" t="s">
        <v>595</v>
      </c>
      <c r="EH264" t="s">
        <v>921</v>
      </c>
      <c r="EI264" t="s">
        <v>921</v>
      </c>
      <c r="EJ264" t="s">
        <v>181</v>
      </c>
      <c r="EK264">
        <v>9090</v>
      </c>
      <c r="EL264">
        <v>0</v>
      </c>
      <c r="EM264" t="s">
        <v>1436</v>
      </c>
      <c r="EN264">
        <v>0.45</v>
      </c>
      <c r="EO264">
        <v>19.399999999999999</v>
      </c>
      <c r="EP264">
        <v>99991120</v>
      </c>
      <c r="EQ264" t="s">
        <v>874</v>
      </c>
      <c r="ER264" t="s">
        <v>875</v>
      </c>
      <c r="ES264" t="s">
        <v>876</v>
      </c>
      <c r="ET264" t="s">
        <v>877</v>
      </c>
      <c r="EU264" t="s">
        <v>877</v>
      </c>
      <c r="EV264" t="s">
        <v>920</v>
      </c>
      <c r="EX264" t="s">
        <v>836</v>
      </c>
      <c r="EY264" t="s">
        <v>873</v>
      </c>
      <c r="EZ264" t="s">
        <v>1437</v>
      </c>
      <c r="FA264" t="s">
        <v>956</v>
      </c>
      <c r="FB264">
        <v>1</v>
      </c>
      <c r="FC264">
        <v>1</v>
      </c>
      <c r="FD264" s="41">
        <v>46172</v>
      </c>
      <c r="FE264" t="s">
        <v>1808</v>
      </c>
      <c r="FF264">
        <v>4</v>
      </c>
      <c r="FI264">
        <v>0</v>
      </c>
      <c r="FL264">
        <v>0</v>
      </c>
      <c r="FM264" t="s">
        <v>3329</v>
      </c>
      <c r="FN264" t="s">
        <v>6133</v>
      </c>
      <c r="FO264">
        <v>1</v>
      </c>
      <c r="FP264" t="s">
        <v>6134</v>
      </c>
      <c r="FQ264" t="s">
        <v>6131</v>
      </c>
      <c r="FR264">
        <v>1</v>
      </c>
      <c r="FS264" t="s">
        <v>2260</v>
      </c>
      <c r="FT264" t="s">
        <v>6135</v>
      </c>
      <c r="FU264">
        <v>1</v>
      </c>
      <c r="FV264" t="s">
        <v>6136</v>
      </c>
      <c r="FW264" t="s">
        <v>6137</v>
      </c>
      <c r="FX264">
        <v>1</v>
      </c>
      <c r="FY264" t="s">
        <v>890</v>
      </c>
      <c r="FZ264" t="s">
        <v>6138</v>
      </c>
      <c r="GA264" t="s">
        <v>6136</v>
      </c>
      <c r="GB264">
        <v>1</v>
      </c>
      <c r="GD264">
        <v>0</v>
      </c>
      <c r="GF264">
        <v>0</v>
      </c>
      <c r="GG264">
        <v>1</v>
      </c>
      <c r="GH264" t="s">
        <v>892</v>
      </c>
      <c r="GI264" t="s">
        <v>893</v>
      </c>
      <c r="GJ264" t="s">
        <v>6137</v>
      </c>
      <c r="GM264">
        <v>1</v>
      </c>
      <c r="GN264">
        <v>1</v>
      </c>
      <c r="GO264">
        <v>0</v>
      </c>
      <c r="GP264">
        <v>1</v>
      </c>
      <c r="GQ264">
        <v>1</v>
      </c>
      <c r="GR264">
        <v>0</v>
      </c>
      <c r="GS264">
        <v>1</v>
      </c>
      <c r="GT264">
        <v>0</v>
      </c>
      <c r="GU264">
        <v>1</v>
      </c>
      <c r="GV264">
        <v>0</v>
      </c>
      <c r="GW264">
        <v>1</v>
      </c>
      <c r="GX264">
        <v>0</v>
      </c>
      <c r="GY264">
        <v>1</v>
      </c>
      <c r="GZ264">
        <v>0</v>
      </c>
      <c r="HA264" t="s">
        <v>352</v>
      </c>
      <c r="HB264" t="s">
        <v>894</v>
      </c>
      <c r="HC264" t="s">
        <v>895</v>
      </c>
      <c r="HD264" t="s">
        <v>845</v>
      </c>
      <c r="HE264" t="s">
        <v>836</v>
      </c>
      <c r="HF264" t="s">
        <v>873</v>
      </c>
      <c r="HG264" t="s">
        <v>894</v>
      </c>
      <c r="HH264" t="s">
        <v>895</v>
      </c>
      <c r="HI264" t="s">
        <v>845</v>
      </c>
      <c r="HJ264" t="s">
        <v>836</v>
      </c>
      <c r="HK264" t="s">
        <v>1436</v>
      </c>
      <c r="HL264" t="s">
        <v>189</v>
      </c>
      <c r="HM264" t="s">
        <v>854</v>
      </c>
      <c r="HN264">
        <v>36805</v>
      </c>
      <c r="HP264" t="s">
        <v>181</v>
      </c>
      <c r="HQ264" t="s">
        <v>896</v>
      </c>
      <c r="HR264" t="s">
        <v>896</v>
      </c>
      <c r="HS264" t="s">
        <v>896</v>
      </c>
    </row>
    <row r="265" spans="1:227" x14ac:dyDescent="0.2">
      <c r="A265">
        <v>8702</v>
      </c>
      <c r="B265">
        <v>7530305901</v>
      </c>
      <c r="C265" t="s">
        <v>2265</v>
      </c>
      <c r="D265" t="s">
        <v>2266</v>
      </c>
      <c r="E265" t="s">
        <v>897</v>
      </c>
      <c r="F265">
        <v>0</v>
      </c>
      <c r="G265" t="s">
        <v>6139</v>
      </c>
      <c r="H265" t="s">
        <v>6139</v>
      </c>
      <c r="I265">
        <v>0</v>
      </c>
      <c r="J265" t="s">
        <v>833</v>
      </c>
      <c r="K265" t="s">
        <v>834</v>
      </c>
      <c r="L265">
        <v>156046185</v>
      </c>
      <c r="M265" t="s">
        <v>6140</v>
      </c>
      <c r="N265" t="s">
        <v>900</v>
      </c>
      <c r="O265" t="s">
        <v>837</v>
      </c>
      <c r="P265" t="s">
        <v>6141</v>
      </c>
      <c r="Q265" t="s">
        <v>6142</v>
      </c>
      <c r="R265" t="s">
        <v>6143</v>
      </c>
      <c r="S265" t="s">
        <v>6144</v>
      </c>
      <c r="V265" t="s">
        <v>208</v>
      </c>
      <c r="W265" s="41">
        <v>45964</v>
      </c>
      <c r="X265" t="s">
        <v>6145</v>
      </c>
      <c r="Y265" t="s">
        <v>6146</v>
      </c>
      <c r="AA265">
        <v>0</v>
      </c>
      <c r="AB265" t="s">
        <v>845</v>
      </c>
      <c r="AC265" t="s">
        <v>846</v>
      </c>
      <c r="AD265" t="s">
        <v>847</v>
      </c>
      <c r="AE265" t="s">
        <v>848</v>
      </c>
      <c r="AF265">
        <v>1</v>
      </c>
      <c r="AG265">
        <v>452210</v>
      </c>
      <c r="AH265" t="s">
        <v>849</v>
      </c>
      <c r="AI265" t="s">
        <v>850</v>
      </c>
      <c r="AJ265" t="s">
        <v>851</v>
      </c>
      <c r="AK265" t="s">
        <v>409</v>
      </c>
      <c r="AM265" t="s">
        <v>979</v>
      </c>
      <c r="AN265" t="s">
        <v>854</v>
      </c>
      <c r="AO265">
        <v>36805</v>
      </c>
      <c r="AP265">
        <v>647</v>
      </c>
      <c r="AQ265" t="s">
        <v>855</v>
      </c>
      <c r="AR265">
        <v>66186031</v>
      </c>
      <c r="AS265" t="s">
        <v>856</v>
      </c>
      <c r="AU265" t="s">
        <v>6147</v>
      </c>
      <c r="AV265" t="s">
        <v>6148</v>
      </c>
      <c r="AX265" t="s">
        <v>913</v>
      </c>
      <c r="AY265" t="s">
        <v>861</v>
      </c>
      <c r="AZ265" t="s">
        <v>409</v>
      </c>
      <c r="BA265" t="s">
        <v>410</v>
      </c>
      <c r="BB265">
        <v>0</v>
      </c>
      <c r="BC265">
        <v>1</v>
      </c>
      <c r="BD265">
        <v>0</v>
      </c>
      <c r="BE265" t="s">
        <v>6140</v>
      </c>
      <c r="BF265">
        <v>0</v>
      </c>
      <c r="BG265">
        <v>0</v>
      </c>
      <c r="BH265" t="s">
        <v>862</v>
      </c>
      <c r="BI265">
        <v>0</v>
      </c>
      <c r="BJ265" t="s">
        <v>862</v>
      </c>
      <c r="BK265">
        <v>1</v>
      </c>
      <c r="BL265">
        <v>1</v>
      </c>
      <c r="BM265">
        <v>0</v>
      </c>
      <c r="BN265" t="s">
        <v>596</v>
      </c>
      <c r="BO265">
        <v>156046185</v>
      </c>
      <c r="BP265" t="s">
        <v>6139</v>
      </c>
      <c r="BQ265">
        <v>42.226701800000001</v>
      </c>
      <c r="BR265">
        <v>42791779</v>
      </c>
      <c r="BS265">
        <v>-85.591083900000001</v>
      </c>
      <c r="BT265">
        <v>0</v>
      </c>
      <c r="CM265">
        <v>4010</v>
      </c>
      <c r="CO265">
        <v>7360</v>
      </c>
      <c r="CP265">
        <v>1.0333000000000001</v>
      </c>
      <c r="CQ265">
        <v>1.0333000000000001</v>
      </c>
      <c r="CR265">
        <v>4.5667</v>
      </c>
      <c r="CS265">
        <v>4543</v>
      </c>
      <c r="CT265" t="s">
        <v>6148</v>
      </c>
      <c r="CU265" t="s">
        <v>6147</v>
      </c>
      <c r="CV265" t="s">
        <v>833</v>
      </c>
      <c r="CW265" t="s">
        <v>834</v>
      </c>
      <c r="CX265" t="s">
        <v>6140</v>
      </c>
      <c r="CY265">
        <v>1</v>
      </c>
      <c r="CZ265">
        <v>1</v>
      </c>
      <c r="DA265" t="s">
        <v>833</v>
      </c>
      <c r="DB265" t="s">
        <v>865</v>
      </c>
      <c r="DC265">
        <v>49002</v>
      </c>
      <c r="DD265">
        <v>51.65</v>
      </c>
      <c r="DE265" t="s">
        <v>866</v>
      </c>
      <c r="DG265" t="s">
        <v>867</v>
      </c>
      <c r="DH265" t="s">
        <v>851</v>
      </c>
      <c r="DI265" t="s">
        <v>984</v>
      </c>
      <c r="DL265" t="s">
        <v>869</v>
      </c>
      <c r="DM265">
        <v>0</v>
      </c>
      <c r="DN265">
        <v>0</v>
      </c>
      <c r="DO265">
        <v>11</v>
      </c>
      <c r="DP265" t="s">
        <v>1010</v>
      </c>
      <c r="DQ265">
        <v>16</v>
      </c>
      <c r="DR265">
        <v>3099</v>
      </c>
      <c r="DS265">
        <v>5979</v>
      </c>
      <c r="DT265">
        <v>3.1166999999999998</v>
      </c>
      <c r="DU265">
        <v>4</v>
      </c>
      <c r="DW265">
        <v>2</v>
      </c>
      <c r="DX265" t="s">
        <v>596</v>
      </c>
      <c r="DY265" t="s">
        <v>6140</v>
      </c>
      <c r="DZ265">
        <v>0</v>
      </c>
      <c r="EA265">
        <v>0</v>
      </c>
      <c r="EB265">
        <v>1</v>
      </c>
      <c r="EC265">
        <v>1</v>
      </c>
      <c r="ED265">
        <v>1</v>
      </c>
      <c r="EE265">
        <v>1</v>
      </c>
      <c r="EF265" t="s">
        <v>920</v>
      </c>
      <c r="EG265" t="s">
        <v>595</v>
      </c>
      <c r="EH265" t="s">
        <v>921</v>
      </c>
      <c r="EI265" t="s">
        <v>921</v>
      </c>
      <c r="EJ265" t="s">
        <v>178</v>
      </c>
      <c r="EK265">
        <v>9090</v>
      </c>
      <c r="EL265">
        <v>1</v>
      </c>
      <c r="EM265" t="s">
        <v>922</v>
      </c>
      <c r="EN265">
        <v>4.5667</v>
      </c>
      <c r="EO265">
        <v>99.65</v>
      </c>
      <c r="EP265">
        <v>99991120</v>
      </c>
      <c r="EQ265" t="s">
        <v>874</v>
      </c>
      <c r="ER265" t="s">
        <v>875</v>
      </c>
      <c r="ES265" t="s">
        <v>876</v>
      </c>
      <c r="ET265" t="s">
        <v>877</v>
      </c>
      <c r="EU265" t="s">
        <v>877</v>
      </c>
      <c r="EV265" t="s">
        <v>920</v>
      </c>
      <c r="EX265" t="s">
        <v>953</v>
      </c>
      <c r="EY265" t="s">
        <v>986</v>
      </c>
      <c r="EZ265" t="s">
        <v>924</v>
      </c>
      <c r="FA265" t="s">
        <v>925</v>
      </c>
      <c r="FB265">
        <v>1</v>
      </c>
      <c r="FC265">
        <v>2</v>
      </c>
      <c r="FD265" s="41">
        <v>45969</v>
      </c>
      <c r="FE265" t="s">
        <v>1438</v>
      </c>
      <c r="FF265">
        <v>11</v>
      </c>
      <c r="FG265" t="s">
        <v>6149</v>
      </c>
      <c r="FH265" t="s">
        <v>6150</v>
      </c>
      <c r="FI265">
        <v>1</v>
      </c>
      <c r="FJ265" t="s">
        <v>6151</v>
      </c>
      <c r="FK265" t="s">
        <v>6150</v>
      </c>
      <c r="FL265">
        <v>1</v>
      </c>
      <c r="FM265" t="s">
        <v>6152</v>
      </c>
      <c r="FN265" t="s">
        <v>6153</v>
      </c>
      <c r="FO265">
        <v>1</v>
      </c>
      <c r="FP265" t="s">
        <v>6154</v>
      </c>
      <c r="FQ265" t="s">
        <v>6155</v>
      </c>
      <c r="FR265">
        <v>1</v>
      </c>
      <c r="FS265" t="s">
        <v>1464</v>
      </c>
      <c r="FT265" t="s">
        <v>6156</v>
      </c>
      <c r="FU265">
        <v>1</v>
      </c>
      <c r="FV265" t="s">
        <v>6157</v>
      </c>
      <c r="FW265" t="s">
        <v>6158</v>
      </c>
      <c r="FX265">
        <v>1</v>
      </c>
      <c r="FY265" t="s">
        <v>890</v>
      </c>
      <c r="FZ265" t="s">
        <v>6159</v>
      </c>
      <c r="GA265" t="s">
        <v>6151</v>
      </c>
      <c r="GB265">
        <v>1</v>
      </c>
      <c r="GD265">
        <v>0</v>
      </c>
      <c r="GF265">
        <v>0</v>
      </c>
      <c r="GG265">
        <v>1</v>
      </c>
      <c r="GH265" t="s">
        <v>892</v>
      </c>
      <c r="GI265" t="s">
        <v>893</v>
      </c>
      <c r="GJ265" t="s">
        <v>6150</v>
      </c>
      <c r="GM265">
        <v>1</v>
      </c>
      <c r="GN265">
        <v>0</v>
      </c>
      <c r="GO265">
        <v>0</v>
      </c>
      <c r="GP265">
        <v>1</v>
      </c>
      <c r="GQ265">
        <v>1</v>
      </c>
      <c r="GR265">
        <v>0</v>
      </c>
      <c r="GS265">
        <v>1</v>
      </c>
      <c r="GT265">
        <v>1</v>
      </c>
      <c r="GU265">
        <v>1</v>
      </c>
      <c r="GV265">
        <v>0</v>
      </c>
      <c r="GW265">
        <v>1</v>
      </c>
      <c r="GX265">
        <v>0</v>
      </c>
      <c r="GY265">
        <v>1</v>
      </c>
      <c r="GZ265">
        <v>0</v>
      </c>
      <c r="HA265" t="s">
        <v>409</v>
      </c>
      <c r="HB265" t="s">
        <v>894</v>
      </c>
      <c r="HC265" t="s">
        <v>935</v>
      </c>
      <c r="HD265" t="s">
        <v>845</v>
      </c>
      <c r="HE265" t="s">
        <v>900</v>
      </c>
      <c r="HF265" t="s">
        <v>923</v>
      </c>
      <c r="HG265" t="s">
        <v>894</v>
      </c>
      <c r="HH265" t="s">
        <v>935</v>
      </c>
      <c r="HI265" t="s">
        <v>845</v>
      </c>
      <c r="HJ265" t="s">
        <v>900</v>
      </c>
      <c r="HK265" t="s">
        <v>922</v>
      </c>
      <c r="HL265" t="s">
        <v>208</v>
      </c>
      <c r="HM265" t="s">
        <v>854</v>
      </c>
      <c r="HN265">
        <v>36805</v>
      </c>
      <c r="HP265" t="s">
        <v>178</v>
      </c>
      <c r="HQ265" t="s">
        <v>896</v>
      </c>
      <c r="HR265" t="s">
        <v>896</v>
      </c>
      <c r="HS265" t="s">
        <v>896</v>
      </c>
    </row>
    <row r="266" spans="1:227" x14ac:dyDescent="0.2">
      <c r="A266">
        <v>8702</v>
      </c>
      <c r="B266">
        <v>7600110650</v>
      </c>
      <c r="C266" t="s">
        <v>829</v>
      </c>
      <c r="D266" t="s">
        <v>830</v>
      </c>
      <c r="E266" t="s">
        <v>897</v>
      </c>
      <c r="F266">
        <v>0</v>
      </c>
      <c r="G266" t="s">
        <v>6160</v>
      </c>
      <c r="H266" t="s">
        <v>6160</v>
      </c>
      <c r="I266">
        <v>0</v>
      </c>
      <c r="J266" t="s">
        <v>833</v>
      </c>
      <c r="K266" t="s">
        <v>834</v>
      </c>
      <c r="L266">
        <v>153008238</v>
      </c>
      <c r="M266" t="s">
        <v>2202</v>
      </c>
      <c r="N266" t="s">
        <v>900</v>
      </c>
      <c r="O266" t="s">
        <v>837</v>
      </c>
      <c r="P266" t="s">
        <v>838</v>
      </c>
      <c r="Q266" t="s">
        <v>1279</v>
      </c>
      <c r="R266" t="s">
        <v>6161</v>
      </c>
      <c r="S266" t="s">
        <v>6162</v>
      </c>
      <c r="T266">
        <v>41477124210</v>
      </c>
      <c r="V266" t="s">
        <v>133</v>
      </c>
      <c r="W266" s="41">
        <v>46023</v>
      </c>
      <c r="X266" t="s">
        <v>6163</v>
      </c>
      <c r="Y266" t="s">
        <v>6164</v>
      </c>
      <c r="Z266" t="s">
        <v>1144</v>
      </c>
      <c r="AA266">
        <v>0</v>
      </c>
      <c r="AB266" t="s">
        <v>845</v>
      </c>
      <c r="AC266" t="s">
        <v>846</v>
      </c>
      <c r="AD266" t="s">
        <v>847</v>
      </c>
      <c r="AE266" t="s">
        <v>848</v>
      </c>
      <c r="AF266">
        <v>1</v>
      </c>
      <c r="AG266">
        <v>452210</v>
      </c>
      <c r="AH266" t="s">
        <v>849</v>
      </c>
      <c r="AI266" t="s">
        <v>850</v>
      </c>
      <c r="AJ266" t="s">
        <v>851</v>
      </c>
      <c r="AK266" t="s">
        <v>344</v>
      </c>
      <c r="AL266" t="s">
        <v>3985</v>
      </c>
      <c r="AM266" t="s">
        <v>2208</v>
      </c>
      <c r="AN266" t="s">
        <v>854</v>
      </c>
      <c r="AO266">
        <v>36805</v>
      </c>
      <c r="AP266">
        <v>525</v>
      </c>
      <c r="AQ266" t="s">
        <v>855</v>
      </c>
      <c r="AR266">
        <v>66270845</v>
      </c>
      <c r="AS266" t="s">
        <v>856</v>
      </c>
      <c r="AU266" t="s">
        <v>6165</v>
      </c>
      <c r="AV266" t="s">
        <v>6166</v>
      </c>
      <c r="AW266" t="s">
        <v>859</v>
      </c>
      <c r="AX266" t="s">
        <v>860</v>
      </c>
      <c r="AY266" t="s">
        <v>861</v>
      </c>
      <c r="AZ266" t="s">
        <v>344</v>
      </c>
      <c r="BA266" t="s">
        <v>345</v>
      </c>
      <c r="BB266">
        <v>0</v>
      </c>
      <c r="BC266">
        <v>0</v>
      </c>
      <c r="BD266">
        <v>0</v>
      </c>
      <c r="BE266" t="s">
        <v>2202</v>
      </c>
      <c r="BF266">
        <v>0</v>
      </c>
      <c r="BG266">
        <v>0</v>
      </c>
      <c r="BH266" t="s">
        <v>862</v>
      </c>
      <c r="BI266">
        <v>0</v>
      </c>
      <c r="BJ266" t="s">
        <v>862</v>
      </c>
      <c r="BK266">
        <v>1</v>
      </c>
      <c r="BL266">
        <v>0</v>
      </c>
      <c r="BM266">
        <v>0</v>
      </c>
      <c r="BN266" t="s">
        <v>596</v>
      </c>
      <c r="BO266">
        <v>153008238</v>
      </c>
      <c r="BP266" t="s">
        <v>6160</v>
      </c>
      <c r="BQ266">
        <v>39.906456800000001</v>
      </c>
      <c r="BR266">
        <v>42791436</v>
      </c>
      <c r="BS266">
        <v>-86.095078700000002</v>
      </c>
      <c r="BT266">
        <v>1</v>
      </c>
      <c r="BU266" t="s">
        <v>1367</v>
      </c>
      <c r="CI266">
        <v>11</v>
      </c>
      <c r="CJ266" t="s">
        <v>94</v>
      </c>
      <c r="CM266">
        <v>4010</v>
      </c>
      <c r="CO266">
        <v>7360</v>
      </c>
      <c r="CP266">
        <v>0.65</v>
      </c>
      <c r="CQ266">
        <v>0.65</v>
      </c>
      <c r="CR266">
        <v>0.4667</v>
      </c>
      <c r="CS266">
        <v>1</v>
      </c>
      <c r="CT266" t="s">
        <v>6167</v>
      </c>
      <c r="CU266" t="s">
        <v>6168</v>
      </c>
      <c r="CV266" t="s">
        <v>833</v>
      </c>
      <c r="CW266" t="s">
        <v>834</v>
      </c>
      <c r="CX266" t="s">
        <v>2202</v>
      </c>
      <c r="CY266">
        <v>0</v>
      </c>
      <c r="CZ266">
        <v>0</v>
      </c>
      <c r="DA266" t="s">
        <v>833</v>
      </c>
      <c r="DB266" t="s">
        <v>865</v>
      </c>
      <c r="DC266">
        <v>46250</v>
      </c>
      <c r="DD266">
        <v>1.1833</v>
      </c>
      <c r="DE266" t="s">
        <v>866</v>
      </c>
      <c r="DG266" t="s">
        <v>867</v>
      </c>
      <c r="DH266" t="s">
        <v>851</v>
      </c>
      <c r="DI266" t="s">
        <v>2211</v>
      </c>
      <c r="DK266" t="s">
        <v>918</v>
      </c>
      <c r="DL266" t="s">
        <v>869</v>
      </c>
      <c r="DM266">
        <v>0</v>
      </c>
      <c r="DN266">
        <v>0</v>
      </c>
      <c r="DO266">
        <v>1</v>
      </c>
      <c r="DP266" t="s">
        <v>985</v>
      </c>
      <c r="DQ266">
        <v>16</v>
      </c>
      <c r="DR266">
        <v>71</v>
      </c>
      <c r="DS266">
        <v>71</v>
      </c>
      <c r="DT266">
        <v>0.5333</v>
      </c>
      <c r="DU266">
        <v>4</v>
      </c>
      <c r="DV266">
        <v>1</v>
      </c>
      <c r="DW266">
        <v>2</v>
      </c>
      <c r="DX266" t="s">
        <v>594</v>
      </c>
      <c r="DY266" t="s">
        <v>2202</v>
      </c>
      <c r="DZ266">
        <v>0</v>
      </c>
      <c r="EA266">
        <v>0</v>
      </c>
      <c r="EB266">
        <v>0</v>
      </c>
      <c r="EC266">
        <v>0</v>
      </c>
      <c r="ED266">
        <v>0</v>
      </c>
      <c r="EE266">
        <v>0</v>
      </c>
      <c r="EF266" t="s">
        <v>920</v>
      </c>
      <c r="EG266" t="s">
        <v>595</v>
      </c>
      <c r="EH266" t="s">
        <v>872</v>
      </c>
      <c r="EI266" t="s">
        <v>872</v>
      </c>
      <c r="EJ266" t="s">
        <v>134</v>
      </c>
      <c r="EK266">
        <v>9090</v>
      </c>
      <c r="EL266">
        <v>0</v>
      </c>
      <c r="EM266" t="s">
        <v>1011</v>
      </c>
      <c r="EN266">
        <v>0.4667</v>
      </c>
      <c r="EO266">
        <v>1.1833332999999999</v>
      </c>
      <c r="EP266">
        <v>99991120</v>
      </c>
      <c r="EQ266" t="s">
        <v>874</v>
      </c>
      <c r="ER266" t="s">
        <v>875</v>
      </c>
      <c r="ES266" t="s">
        <v>876</v>
      </c>
      <c r="ET266" t="s">
        <v>877</v>
      </c>
      <c r="EU266" t="s">
        <v>877</v>
      </c>
      <c r="EV266" t="s">
        <v>920</v>
      </c>
      <c r="EX266" t="s">
        <v>953</v>
      </c>
      <c r="EY266" t="s">
        <v>1555</v>
      </c>
      <c r="EZ266" t="s">
        <v>1013</v>
      </c>
      <c r="FA266" t="s">
        <v>925</v>
      </c>
      <c r="FB266">
        <v>1</v>
      </c>
      <c r="FC266">
        <v>1</v>
      </c>
      <c r="FD266" s="41">
        <v>46025</v>
      </c>
      <c r="FE266" t="s">
        <v>1370</v>
      </c>
      <c r="FF266">
        <v>7</v>
      </c>
      <c r="FG266" t="s">
        <v>6169</v>
      </c>
      <c r="FH266" t="s">
        <v>6170</v>
      </c>
      <c r="FI266">
        <v>1</v>
      </c>
      <c r="FJ266" t="s">
        <v>6171</v>
      </c>
      <c r="FK266" t="s">
        <v>6170</v>
      </c>
      <c r="FL266">
        <v>1</v>
      </c>
      <c r="FM266" t="s">
        <v>2869</v>
      </c>
      <c r="FN266" t="s">
        <v>6170</v>
      </c>
      <c r="FO266">
        <v>1</v>
      </c>
      <c r="FP266" t="s">
        <v>6172</v>
      </c>
      <c r="FQ266" t="s">
        <v>6168</v>
      </c>
      <c r="FR266">
        <v>1</v>
      </c>
      <c r="FS266" t="s">
        <v>1020</v>
      </c>
      <c r="FT266" t="s">
        <v>6173</v>
      </c>
      <c r="FU266">
        <v>1</v>
      </c>
      <c r="FV266" t="s">
        <v>6174</v>
      </c>
      <c r="FW266" t="s">
        <v>6175</v>
      </c>
      <c r="FX266">
        <v>1</v>
      </c>
      <c r="FY266" t="s">
        <v>890</v>
      </c>
      <c r="FZ266" t="s">
        <v>6176</v>
      </c>
      <c r="GA266" t="s">
        <v>6177</v>
      </c>
      <c r="GB266">
        <v>1</v>
      </c>
      <c r="GD266">
        <v>0</v>
      </c>
      <c r="GF266">
        <v>0</v>
      </c>
      <c r="GG266">
        <v>1</v>
      </c>
      <c r="GH266" t="s">
        <v>892</v>
      </c>
      <c r="GI266" t="s">
        <v>893</v>
      </c>
      <c r="GJ266" t="s">
        <v>6175</v>
      </c>
      <c r="GM266">
        <v>1</v>
      </c>
      <c r="GN266">
        <v>1</v>
      </c>
      <c r="GO266">
        <v>0</v>
      </c>
      <c r="GP266">
        <v>1</v>
      </c>
      <c r="GQ266">
        <v>1</v>
      </c>
      <c r="GR266">
        <v>0</v>
      </c>
      <c r="GS266">
        <v>1</v>
      </c>
      <c r="GT266">
        <v>0</v>
      </c>
      <c r="GU266">
        <v>1</v>
      </c>
      <c r="GV266">
        <v>0</v>
      </c>
      <c r="GW266">
        <v>1</v>
      </c>
      <c r="GX266">
        <v>0</v>
      </c>
      <c r="GY266">
        <v>1</v>
      </c>
      <c r="GZ266">
        <v>0</v>
      </c>
      <c r="HA266" t="s">
        <v>344</v>
      </c>
      <c r="HB266" t="s">
        <v>894</v>
      </c>
      <c r="HC266" t="s">
        <v>935</v>
      </c>
      <c r="HD266" t="s">
        <v>845</v>
      </c>
      <c r="HE266" t="s">
        <v>900</v>
      </c>
      <c r="HF266" t="s">
        <v>1012</v>
      </c>
      <c r="HG266" t="s">
        <v>894</v>
      </c>
      <c r="HH266" t="s">
        <v>935</v>
      </c>
      <c r="HI266" t="s">
        <v>845</v>
      </c>
      <c r="HJ266" t="s">
        <v>900</v>
      </c>
      <c r="HK266" t="s">
        <v>1011</v>
      </c>
      <c r="HL266" t="s">
        <v>133</v>
      </c>
      <c r="HM266" t="s">
        <v>854</v>
      </c>
      <c r="HN266">
        <v>36805</v>
      </c>
      <c r="HO266">
        <v>1</v>
      </c>
      <c r="HP266" t="s">
        <v>134</v>
      </c>
      <c r="HQ266" t="s">
        <v>896</v>
      </c>
      <c r="HR266" t="s">
        <v>896</v>
      </c>
      <c r="HS266" t="s">
        <v>896</v>
      </c>
    </row>
    <row r="267" spans="1:227" x14ac:dyDescent="0.2">
      <c r="A267">
        <v>8702</v>
      </c>
      <c r="B267">
        <v>7617300211</v>
      </c>
      <c r="D267" t="s">
        <v>913</v>
      </c>
      <c r="E267" t="s">
        <v>897</v>
      </c>
      <c r="F267">
        <v>0</v>
      </c>
      <c r="G267" t="s">
        <v>6178</v>
      </c>
      <c r="H267" t="s">
        <v>6178</v>
      </c>
      <c r="I267">
        <v>0</v>
      </c>
      <c r="J267" t="s">
        <v>833</v>
      </c>
      <c r="K267" t="s">
        <v>834</v>
      </c>
      <c r="L267">
        <v>153008359</v>
      </c>
      <c r="M267" t="s">
        <v>1472</v>
      </c>
      <c r="N267" t="s">
        <v>900</v>
      </c>
      <c r="O267" t="s">
        <v>837</v>
      </c>
      <c r="P267" t="s">
        <v>913</v>
      </c>
      <c r="V267" t="s">
        <v>1476</v>
      </c>
      <c r="W267" s="41">
        <v>46195</v>
      </c>
      <c r="X267" t="s">
        <v>6179</v>
      </c>
      <c r="Y267" t="s">
        <v>6178</v>
      </c>
      <c r="Z267" t="s">
        <v>3599</v>
      </c>
      <c r="AA267">
        <v>0</v>
      </c>
      <c r="AB267" t="s">
        <v>845</v>
      </c>
      <c r="AC267" t="s">
        <v>846</v>
      </c>
      <c r="AD267" t="s">
        <v>907</v>
      </c>
      <c r="AE267" t="s">
        <v>908</v>
      </c>
      <c r="AF267">
        <v>1</v>
      </c>
      <c r="AG267">
        <v>452210</v>
      </c>
      <c r="AH267" t="s">
        <v>849</v>
      </c>
      <c r="AI267" t="s">
        <v>850</v>
      </c>
      <c r="AJ267" t="s">
        <v>851</v>
      </c>
      <c r="AM267" t="s">
        <v>1480</v>
      </c>
      <c r="AN267" t="s">
        <v>854</v>
      </c>
      <c r="AO267">
        <v>36805</v>
      </c>
      <c r="AP267">
        <v>931</v>
      </c>
      <c r="AQ267" t="s">
        <v>855</v>
      </c>
      <c r="AR267">
        <v>0</v>
      </c>
      <c r="AS267" t="s">
        <v>856</v>
      </c>
      <c r="AU267" t="s">
        <v>6180</v>
      </c>
      <c r="AV267" t="s">
        <v>6181</v>
      </c>
      <c r="AX267" t="s">
        <v>913</v>
      </c>
      <c r="AY267" t="s">
        <v>861</v>
      </c>
      <c r="BB267">
        <v>0</v>
      </c>
      <c r="BC267">
        <v>0</v>
      </c>
      <c r="BD267">
        <v>0</v>
      </c>
      <c r="BE267" t="s">
        <v>1472</v>
      </c>
      <c r="BF267">
        <v>0</v>
      </c>
      <c r="BG267">
        <v>0</v>
      </c>
      <c r="BH267" t="s">
        <v>862</v>
      </c>
      <c r="BI267">
        <v>0</v>
      </c>
      <c r="BJ267" t="s">
        <v>862</v>
      </c>
      <c r="BK267">
        <v>0</v>
      </c>
      <c r="BL267">
        <v>1</v>
      </c>
      <c r="BM267">
        <v>0</v>
      </c>
      <c r="BN267" t="s">
        <v>596</v>
      </c>
      <c r="BO267">
        <v>153008359</v>
      </c>
      <c r="BP267" t="s">
        <v>6178</v>
      </c>
      <c r="BR267">
        <v>42793655</v>
      </c>
      <c r="BT267">
        <v>1</v>
      </c>
      <c r="BU267" t="s">
        <v>1314</v>
      </c>
      <c r="CI267">
        <v>11</v>
      </c>
      <c r="CJ267" t="s">
        <v>94</v>
      </c>
      <c r="CM267">
        <v>4010</v>
      </c>
      <c r="CO267">
        <v>7360</v>
      </c>
      <c r="CP267">
        <v>0</v>
      </c>
      <c r="CQ267">
        <v>0</v>
      </c>
      <c r="CR267">
        <v>0</v>
      </c>
      <c r="CS267">
        <v>0</v>
      </c>
      <c r="CT267" t="s">
        <v>6181</v>
      </c>
      <c r="CU267" t="s">
        <v>6180</v>
      </c>
      <c r="CV267" t="s">
        <v>833</v>
      </c>
      <c r="CW267" t="s">
        <v>834</v>
      </c>
      <c r="CX267" t="s">
        <v>1472</v>
      </c>
      <c r="CY267">
        <v>0</v>
      </c>
      <c r="CZ267">
        <v>0</v>
      </c>
      <c r="DA267" t="s">
        <v>833</v>
      </c>
      <c r="DB267" t="s">
        <v>865</v>
      </c>
      <c r="DC267">
        <v>44720</v>
      </c>
      <c r="DD267">
        <v>0.88329999999999997</v>
      </c>
      <c r="DE267" t="s">
        <v>866</v>
      </c>
      <c r="DG267" t="s">
        <v>867</v>
      </c>
      <c r="DH267" t="s">
        <v>851</v>
      </c>
      <c r="DI267" t="s">
        <v>1483</v>
      </c>
      <c r="DK267" t="s">
        <v>918</v>
      </c>
      <c r="DL267" t="s">
        <v>869</v>
      </c>
      <c r="DM267">
        <v>1</v>
      </c>
      <c r="DN267">
        <v>0</v>
      </c>
      <c r="DP267" t="s">
        <v>913</v>
      </c>
      <c r="DQ267">
        <v>12</v>
      </c>
      <c r="DR267">
        <v>53</v>
      </c>
      <c r="DS267">
        <v>53</v>
      </c>
      <c r="DT267">
        <v>0</v>
      </c>
      <c r="DU267">
        <v>4</v>
      </c>
      <c r="DV267">
        <v>1</v>
      </c>
      <c r="DW267">
        <v>1</v>
      </c>
      <c r="DX267" t="s">
        <v>596</v>
      </c>
      <c r="DY267" t="s">
        <v>1472</v>
      </c>
      <c r="DZ267">
        <v>0</v>
      </c>
      <c r="EA267">
        <v>0</v>
      </c>
      <c r="EB267">
        <v>0</v>
      </c>
      <c r="EC267">
        <v>0</v>
      </c>
      <c r="ED267">
        <v>0</v>
      </c>
      <c r="EE267">
        <v>0</v>
      </c>
      <c r="EG267" t="s">
        <v>600</v>
      </c>
      <c r="EH267" t="s">
        <v>1036</v>
      </c>
      <c r="EI267" t="s">
        <v>1036</v>
      </c>
      <c r="EJ267" t="s">
        <v>226</v>
      </c>
      <c r="EK267">
        <v>9090</v>
      </c>
      <c r="EL267">
        <v>0</v>
      </c>
      <c r="EM267" t="s">
        <v>923</v>
      </c>
      <c r="EN267">
        <v>0</v>
      </c>
      <c r="EO267">
        <v>0.88333329999999999</v>
      </c>
      <c r="EP267">
        <v>99991120</v>
      </c>
      <c r="EQ267" t="s">
        <v>874</v>
      </c>
      <c r="ER267" t="s">
        <v>875</v>
      </c>
      <c r="ES267" t="s">
        <v>876</v>
      </c>
      <c r="ET267" t="s">
        <v>877</v>
      </c>
      <c r="EU267" t="s">
        <v>877</v>
      </c>
      <c r="EX267" t="s">
        <v>953</v>
      </c>
      <c r="EY267" t="s">
        <v>986</v>
      </c>
      <c r="EZ267" t="s">
        <v>1236</v>
      </c>
      <c r="FA267" t="s">
        <v>956</v>
      </c>
      <c r="FB267">
        <v>1</v>
      </c>
      <c r="FC267">
        <v>0</v>
      </c>
      <c r="FD267" s="41">
        <v>46200</v>
      </c>
      <c r="FE267" t="s">
        <v>1315</v>
      </c>
      <c r="FF267">
        <v>4</v>
      </c>
      <c r="FI267">
        <v>0</v>
      </c>
      <c r="FL267">
        <v>0</v>
      </c>
      <c r="FM267" t="s">
        <v>2310</v>
      </c>
      <c r="FN267" t="s">
        <v>6179</v>
      </c>
      <c r="FO267">
        <v>1</v>
      </c>
      <c r="FP267" t="s">
        <v>6182</v>
      </c>
      <c r="FQ267" t="s">
        <v>6180</v>
      </c>
      <c r="FR267">
        <v>1</v>
      </c>
      <c r="FS267" t="s">
        <v>1766</v>
      </c>
      <c r="FT267" t="s">
        <v>6183</v>
      </c>
      <c r="FU267">
        <v>1</v>
      </c>
      <c r="FV267" t="s">
        <v>6184</v>
      </c>
      <c r="FW267" t="s">
        <v>6179</v>
      </c>
      <c r="FX267">
        <v>1</v>
      </c>
      <c r="FY267" t="s">
        <v>890</v>
      </c>
      <c r="FZ267" t="s">
        <v>6185</v>
      </c>
      <c r="GB267">
        <v>0</v>
      </c>
      <c r="GD267">
        <v>0</v>
      </c>
      <c r="GF267">
        <v>0</v>
      </c>
      <c r="GG267">
        <v>0</v>
      </c>
      <c r="GM267">
        <v>0</v>
      </c>
      <c r="GN267">
        <v>0</v>
      </c>
      <c r="GO267">
        <v>0</v>
      </c>
      <c r="GP267">
        <v>0</v>
      </c>
      <c r="GQ267">
        <v>0</v>
      </c>
      <c r="GR267">
        <v>0</v>
      </c>
      <c r="GS267">
        <v>0</v>
      </c>
      <c r="GT267">
        <v>0</v>
      </c>
      <c r="GU267">
        <v>0</v>
      </c>
      <c r="GV267">
        <v>0</v>
      </c>
      <c r="GW267">
        <v>0</v>
      </c>
      <c r="GX267">
        <v>0</v>
      </c>
      <c r="GY267">
        <v>0</v>
      </c>
      <c r="GZ267">
        <v>0</v>
      </c>
      <c r="HB267" t="s">
        <v>894</v>
      </c>
      <c r="HC267" t="s">
        <v>935</v>
      </c>
      <c r="HD267" t="s">
        <v>845</v>
      </c>
      <c r="HE267" t="s">
        <v>900</v>
      </c>
      <c r="HF267" t="s">
        <v>923</v>
      </c>
      <c r="HG267" t="s">
        <v>894</v>
      </c>
      <c r="HH267" t="s">
        <v>935</v>
      </c>
      <c r="HI267" t="s">
        <v>845</v>
      </c>
      <c r="HJ267" t="s">
        <v>900</v>
      </c>
      <c r="HK267" t="s">
        <v>923</v>
      </c>
      <c r="HL267" t="s">
        <v>1476</v>
      </c>
      <c r="HM267" t="s">
        <v>854</v>
      </c>
      <c r="HN267">
        <v>36805</v>
      </c>
      <c r="HO267">
        <v>1</v>
      </c>
      <c r="HP267" t="s">
        <v>226</v>
      </c>
      <c r="HQ267" t="s">
        <v>896</v>
      </c>
      <c r="HR267" t="s">
        <v>896</v>
      </c>
      <c r="HS267" t="s">
        <v>896</v>
      </c>
    </row>
    <row r="268" spans="1:227" x14ac:dyDescent="0.2">
      <c r="A268">
        <v>8702</v>
      </c>
      <c r="B268">
        <v>7601501225</v>
      </c>
      <c r="C268" t="s">
        <v>829</v>
      </c>
      <c r="D268" t="s">
        <v>830</v>
      </c>
      <c r="E268" t="s">
        <v>897</v>
      </c>
      <c r="F268">
        <v>0</v>
      </c>
      <c r="G268" t="s">
        <v>6186</v>
      </c>
      <c r="H268" t="s">
        <v>6186</v>
      </c>
      <c r="I268">
        <v>0</v>
      </c>
      <c r="J268" t="s">
        <v>833</v>
      </c>
      <c r="K268" t="s">
        <v>834</v>
      </c>
      <c r="L268">
        <v>155403183</v>
      </c>
      <c r="M268" t="s">
        <v>6187</v>
      </c>
      <c r="N268" t="s">
        <v>900</v>
      </c>
      <c r="O268" t="s">
        <v>837</v>
      </c>
      <c r="P268" t="s">
        <v>838</v>
      </c>
      <c r="Q268" t="s">
        <v>901</v>
      </c>
      <c r="R268" t="s">
        <v>6188</v>
      </c>
      <c r="S268" t="s">
        <v>6189</v>
      </c>
      <c r="T268">
        <v>41477124718</v>
      </c>
      <c r="V268" t="s">
        <v>904</v>
      </c>
      <c r="W268" s="41">
        <v>46038</v>
      </c>
      <c r="X268" t="s">
        <v>6190</v>
      </c>
      <c r="Y268" t="s">
        <v>6191</v>
      </c>
      <c r="Z268">
        <v>1</v>
      </c>
      <c r="AA268">
        <v>0</v>
      </c>
      <c r="AB268" t="s">
        <v>845</v>
      </c>
      <c r="AC268" t="s">
        <v>846</v>
      </c>
      <c r="AD268" t="s">
        <v>847</v>
      </c>
      <c r="AE268" t="s">
        <v>848</v>
      </c>
      <c r="AF268">
        <v>1</v>
      </c>
      <c r="AG268">
        <v>452210</v>
      </c>
      <c r="AH268" t="s">
        <v>849</v>
      </c>
      <c r="AI268" t="s">
        <v>850</v>
      </c>
      <c r="AJ268" t="s">
        <v>851</v>
      </c>
      <c r="AK268" t="s">
        <v>464</v>
      </c>
      <c r="AL268" t="s">
        <v>6192</v>
      </c>
      <c r="AM268" t="s">
        <v>910</v>
      </c>
      <c r="AN268" t="s">
        <v>854</v>
      </c>
      <c r="AO268">
        <v>36805</v>
      </c>
      <c r="AP268">
        <v>606</v>
      </c>
      <c r="AQ268" t="s">
        <v>855</v>
      </c>
      <c r="AR268">
        <v>66292470</v>
      </c>
      <c r="AS268" t="s">
        <v>856</v>
      </c>
      <c r="AU268" t="s">
        <v>6193</v>
      </c>
      <c r="AV268" t="s">
        <v>6194</v>
      </c>
      <c r="AX268" t="s">
        <v>913</v>
      </c>
      <c r="AY268" t="s">
        <v>861</v>
      </c>
      <c r="AZ268" t="s">
        <v>464</v>
      </c>
      <c r="BA268" t="s">
        <v>465</v>
      </c>
      <c r="BB268">
        <v>0</v>
      </c>
      <c r="BC268">
        <v>0</v>
      </c>
      <c r="BD268">
        <v>0</v>
      </c>
      <c r="BE268" t="s">
        <v>6187</v>
      </c>
      <c r="BF268">
        <v>0</v>
      </c>
      <c r="BG268">
        <v>0</v>
      </c>
      <c r="BH268" t="s">
        <v>862</v>
      </c>
      <c r="BI268">
        <v>0</v>
      </c>
      <c r="BJ268" t="s">
        <v>862</v>
      </c>
      <c r="BK268">
        <v>1</v>
      </c>
      <c r="BL268">
        <v>1</v>
      </c>
      <c r="BM268">
        <v>0</v>
      </c>
      <c r="BN268" t="s">
        <v>596</v>
      </c>
      <c r="BO268">
        <v>155403183</v>
      </c>
      <c r="BP268" t="s">
        <v>6186</v>
      </c>
      <c r="BR268">
        <v>42810759</v>
      </c>
      <c r="BT268">
        <v>2</v>
      </c>
      <c r="BU268" t="s">
        <v>1367</v>
      </c>
      <c r="CE268">
        <v>1</v>
      </c>
      <c r="CI268">
        <v>11</v>
      </c>
      <c r="CJ268" t="s">
        <v>94</v>
      </c>
      <c r="CM268">
        <v>4010</v>
      </c>
      <c r="CO268">
        <v>7360</v>
      </c>
      <c r="CP268">
        <v>0.65</v>
      </c>
      <c r="CQ268">
        <v>0.65</v>
      </c>
      <c r="CR268">
        <v>0.75</v>
      </c>
      <c r="CS268">
        <v>4</v>
      </c>
      <c r="CT268" t="s">
        <v>6195</v>
      </c>
      <c r="CU268" t="s">
        <v>6196</v>
      </c>
      <c r="CV268" t="s">
        <v>833</v>
      </c>
      <c r="CW268" t="s">
        <v>834</v>
      </c>
      <c r="CX268" t="s">
        <v>6187</v>
      </c>
      <c r="CY268">
        <v>0</v>
      </c>
      <c r="CZ268">
        <v>0</v>
      </c>
      <c r="DA268" t="s">
        <v>833</v>
      </c>
      <c r="DB268" t="s">
        <v>865</v>
      </c>
      <c r="DC268">
        <v>49546</v>
      </c>
      <c r="DD268">
        <v>7.4667000000000003</v>
      </c>
      <c r="DE268" t="s">
        <v>866</v>
      </c>
      <c r="DG268" t="s">
        <v>867</v>
      </c>
      <c r="DH268" t="s">
        <v>851</v>
      </c>
      <c r="DI268" t="s">
        <v>6197</v>
      </c>
      <c r="DK268" t="s">
        <v>918</v>
      </c>
      <c r="DL268" t="s">
        <v>869</v>
      </c>
      <c r="DM268">
        <v>0</v>
      </c>
      <c r="DN268">
        <v>0</v>
      </c>
      <c r="DO268">
        <v>2</v>
      </c>
      <c r="DP268" t="s">
        <v>870</v>
      </c>
      <c r="DQ268">
        <v>16</v>
      </c>
      <c r="DR268">
        <v>448</v>
      </c>
      <c r="DS268">
        <v>1168</v>
      </c>
      <c r="DT268">
        <v>6.8167</v>
      </c>
      <c r="DU268">
        <v>4</v>
      </c>
      <c r="DV268">
        <v>1</v>
      </c>
      <c r="DW268">
        <v>2</v>
      </c>
      <c r="DX268" t="s">
        <v>596</v>
      </c>
      <c r="DY268" t="s">
        <v>6187</v>
      </c>
      <c r="DZ268">
        <v>1</v>
      </c>
      <c r="EA268">
        <v>1</v>
      </c>
      <c r="EB268">
        <v>1</v>
      </c>
      <c r="EC268">
        <v>0</v>
      </c>
      <c r="ED268">
        <v>0</v>
      </c>
      <c r="EE268">
        <v>1</v>
      </c>
      <c r="EF268" t="s">
        <v>920</v>
      </c>
      <c r="EG268" t="s">
        <v>595</v>
      </c>
      <c r="EH268" t="s">
        <v>921</v>
      </c>
      <c r="EI268" t="s">
        <v>921</v>
      </c>
      <c r="EJ268" t="s">
        <v>178</v>
      </c>
      <c r="EK268">
        <v>9090</v>
      </c>
      <c r="EL268">
        <v>0</v>
      </c>
      <c r="EM268" t="s">
        <v>922</v>
      </c>
      <c r="EN268">
        <v>0.75</v>
      </c>
      <c r="EO268">
        <v>19.4666666</v>
      </c>
      <c r="EP268">
        <v>99991120</v>
      </c>
      <c r="EQ268" t="s">
        <v>874</v>
      </c>
      <c r="ER268" t="s">
        <v>875</v>
      </c>
      <c r="ES268" t="s">
        <v>876</v>
      </c>
      <c r="ET268" t="s">
        <v>877</v>
      </c>
      <c r="EU268" t="s">
        <v>877</v>
      </c>
      <c r="EV268" t="s">
        <v>920</v>
      </c>
      <c r="EX268" t="s">
        <v>953</v>
      </c>
      <c r="EY268" t="s">
        <v>986</v>
      </c>
      <c r="EZ268" t="s">
        <v>924</v>
      </c>
      <c r="FA268" t="s">
        <v>925</v>
      </c>
      <c r="FB268">
        <v>1</v>
      </c>
      <c r="FC268">
        <v>1</v>
      </c>
      <c r="FD268" s="41">
        <v>46039</v>
      </c>
      <c r="FE268" t="s">
        <v>1370</v>
      </c>
      <c r="FF268">
        <v>4</v>
      </c>
      <c r="FI268">
        <v>0</v>
      </c>
      <c r="FL268">
        <v>0</v>
      </c>
      <c r="FM268" t="s">
        <v>6198</v>
      </c>
      <c r="FN268" t="s">
        <v>6199</v>
      </c>
      <c r="FO268">
        <v>1</v>
      </c>
      <c r="FP268" t="s">
        <v>6200</v>
      </c>
      <c r="FQ268" t="s">
        <v>6196</v>
      </c>
      <c r="FR268">
        <v>1</v>
      </c>
      <c r="FS268" t="s">
        <v>6201</v>
      </c>
      <c r="FT268" t="s">
        <v>6202</v>
      </c>
      <c r="FU268">
        <v>1</v>
      </c>
      <c r="FV268" t="s">
        <v>6203</v>
      </c>
      <c r="FW268" t="s">
        <v>6204</v>
      </c>
      <c r="FX268">
        <v>1</v>
      </c>
      <c r="FY268" t="s">
        <v>890</v>
      </c>
      <c r="FZ268" t="s">
        <v>6205</v>
      </c>
      <c r="GA268" t="s">
        <v>6203</v>
      </c>
      <c r="GB268">
        <v>1</v>
      </c>
      <c r="GD268">
        <v>0</v>
      </c>
      <c r="GF268">
        <v>0</v>
      </c>
      <c r="GG268">
        <v>1</v>
      </c>
      <c r="GH268" t="s">
        <v>892</v>
      </c>
      <c r="GI268" t="s">
        <v>893</v>
      </c>
      <c r="GJ268" t="s">
        <v>6204</v>
      </c>
      <c r="GM268">
        <v>1</v>
      </c>
      <c r="GN268">
        <v>1</v>
      </c>
      <c r="GO268">
        <v>0</v>
      </c>
      <c r="GP268">
        <v>1</v>
      </c>
      <c r="GQ268">
        <v>1</v>
      </c>
      <c r="GR268">
        <v>0</v>
      </c>
      <c r="GS268">
        <v>1</v>
      </c>
      <c r="GT268">
        <v>0</v>
      </c>
      <c r="GU268">
        <v>1</v>
      </c>
      <c r="GV268">
        <v>0</v>
      </c>
      <c r="GW268">
        <v>1</v>
      </c>
      <c r="GX268">
        <v>0</v>
      </c>
      <c r="GY268">
        <v>1</v>
      </c>
      <c r="GZ268">
        <v>0</v>
      </c>
      <c r="HA268" t="s">
        <v>464</v>
      </c>
      <c r="HB268" t="s">
        <v>894</v>
      </c>
      <c r="HC268" t="s">
        <v>935</v>
      </c>
      <c r="HD268" t="s">
        <v>845</v>
      </c>
      <c r="HE268" t="s">
        <v>900</v>
      </c>
      <c r="HF268" t="s">
        <v>923</v>
      </c>
      <c r="HG268" t="s">
        <v>894</v>
      </c>
      <c r="HH268" t="s">
        <v>935</v>
      </c>
      <c r="HI268" t="s">
        <v>845</v>
      </c>
      <c r="HJ268" t="s">
        <v>900</v>
      </c>
      <c r="HK268" t="s">
        <v>922</v>
      </c>
      <c r="HL268" t="s">
        <v>904</v>
      </c>
      <c r="HM268" t="s">
        <v>854</v>
      </c>
      <c r="HN268">
        <v>36805</v>
      </c>
      <c r="HP268" t="s">
        <v>178</v>
      </c>
      <c r="HQ268" t="s">
        <v>896</v>
      </c>
      <c r="HR268" t="s">
        <v>896</v>
      </c>
      <c r="HS268" t="s">
        <v>896</v>
      </c>
    </row>
    <row r="269" spans="1:227" x14ac:dyDescent="0.2">
      <c r="A269">
        <v>8702</v>
      </c>
      <c r="B269">
        <v>7615702331</v>
      </c>
      <c r="C269" t="s">
        <v>829</v>
      </c>
      <c r="D269" t="s">
        <v>830</v>
      </c>
      <c r="E269" t="s">
        <v>897</v>
      </c>
      <c r="F269">
        <v>0</v>
      </c>
      <c r="G269" t="s">
        <v>6206</v>
      </c>
      <c r="H269" t="s">
        <v>6206</v>
      </c>
      <c r="I269">
        <v>0</v>
      </c>
      <c r="J269" t="s">
        <v>833</v>
      </c>
      <c r="K269" t="s">
        <v>834</v>
      </c>
      <c r="L269">
        <v>153008255</v>
      </c>
      <c r="M269" t="s">
        <v>1750</v>
      </c>
      <c r="N269" t="s">
        <v>900</v>
      </c>
      <c r="O269" t="s">
        <v>837</v>
      </c>
      <c r="P269" t="s">
        <v>838</v>
      </c>
      <c r="Q269" t="s">
        <v>839</v>
      </c>
      <c r="R269" t="s">
        <v>6207</v>
      </c>
      <c r="S269" t="s">
        <v>6208</v>
      </c>
      <c r="T269">
        <v>41477115912</v>
      </c>
      <c r="V269" t="s">
        <v>1476</v>
      </c>
      <c r="W269" s="41">
        <v>46182</v>
      </c>
      <c r="X269" t="s">
        <v>6209</v>
      </c>
      <c r="Y269" t="s">
        <v>6210</v>
      </c>
      <c r="Z269" t="s">
        <v>6211</v>
      </c>
      <c r="AA269">
        <v>0</v>
      </c>
      <c r="AB269" t="s">
        <v>845</v>
      </c>
      <c r="AC269" t="s">
        <v>846</v>
      </c>
      <c r="AD269" t="s">
        <v>907</v>
      </c>
      <c r="AE269" t="s">
        <v>908</v>
      </c>
      <c r="AF269">
        <v>1</v>
      </c>
      <c r="AG269">
        <v>452210</v>
      </c>
      <c r="AH269" t="s">
        <v>849</v>
      </c>
      <c r="AI269" t="s">
        <v>850</v>
      </c>
      <c r="AJ269" t="s">
        <v>851</v>
      </c>
      <c r="AK269" t="s">
        <v>419</v>
      </c>
      <c r="AL269" t="s">
        <v>5392</v>
      </c>
      <c r="AM269" t="s">
        <v>1480</v>
      </c>
      <c r="AN269" t="s">
        <v>854</v>
      </c>
      <c r="AO269">
        <v>36805</v>
      </c>
      <c r="AP269">
        <v>931</v>
      </c>
      <c r="AQ269" t="s">
        <v>855</v>
      </c>
      <c r="AR269">
        <v>66499804</v>
      </c>
      <c r="AS269" t="s">
        <v>856</v>
      </c>
      <c r="AU269" t="s">
        <v>6212</v>
      </c>
      <c r="AV269" t="s">
        <v>6213</v>
      </c>
      <c r="AW269" t="s">
        <v>2468</v>
      </c>
      <c r="AX269" t="s">
        <v>2469</v>
      </c>
      <c r="AY269" t="s">
        <v>861</v>
      </c>
      <c r="AZ269" t="s">
        <v>419</v>
      </c>
      <c r="BA269" t="s">
        <v>420</v>
      </c>
      <c r="BB269">
        <v>0</v>
      </c>
      <c r="BC269">
        <v>0</v>
      </c>
      <c r="BD269">
        <v>0</v>
      </c>
      <c r="BE269" t="s">
        <v>1750</v>
      </c>
      <c r="BF269">
        <v>0</v>
      </c>
      <c r="BG269">
        <v>0</v>
      </c>
      <c r="BH269" t="s">
        <v>862</v>
      </c>
      <c r="BI269">
        <v>0</v>
      </c>
      <c r="BJ269" t="s">
        <v>862</v>
      </c>
      <c r="BK269">
        <v>1</v>
      </c>
      <c r="BL269">
        <v>0</v>
      </c>
      <c r="BM269">
        <v>0</v>
      </c>
      <c r="BN269" t="s">
        <v>596</v>
      </c>
      <c r="BO269">
        <v>153008255</v>
      </c>
      <c r="BP269" t="s">
        <v>6206</v>
      </c>
      <c r="BQ269">
        <v>40.8614222</v>
      </c>
      <c r="BR269">
        <v>42793655</v>
      </c>
      <c r="BS269">
        <v>-81.434702799999997</v>
      </c>
      <c r="BT269">
        <v>1</v>
      </c>
      <c r="BU269" t="s">
        <v>1314</v>
      </c>
      <c r="BY269">
        <v>16</v>
      </c>
      <c r="CA269">
        <v>30</v>
      </c>
      <c r="CI269">
        <v>11</v>
      </c>
      <c r="CJ269" t="s">
        <v>94</v>
      </c>
      <c r="CM269">
        <v>4010</v>
      </c>
      <c r="CO269">
        <v>7360</v>
      </c>
      <c r="CP269">
        <v>0.31669999999999998</v>
      </c>
      <c r="CQ269">
        <v>0.31669999999999998</v>
      </c>
      <c r="CR269">
        <v>0.56669999999999998</v>
      </c>
      <c r="CS269">
        <v>8</v>
      </c>
      <c r="CT269" t="s">
        <v>6214</v>
      </c>
      <c r="CU269" t="s">
        <v>6215</v>
      </c>
      <c r="CV269" t="s">
        <v>833</v>
      </c>
      <c r="CW269" t="s">
        <v>834</v>
      </c>
      <c r="CX269" t="s">
        <v>1750</v>
      </c>
      <c r="CY269">
        <v>0</v>
      </c>
      <c r="CZ269">
        <v>0</v>
      </c>
      <c r="DA269" t="s">
        <v>833</v>
      </c>
      <c r="DB269" t="s">
        <v>865</v>
      </c>
      <c r="DC269">
        <v>44720</v>
      </c>
      <c r="DD269">
        <v>30.3</v>
      </c>
      <c r="DE269" t="s">
        <v>866</v>
      </c>
      <c r="DG269" t="s">
        <v>867</v>
      </c>
      <c r="DH269" t="s">
        <v>851</v>
      </c>
      <c r="DI269" t="s">
        <v>1434</v>
      </c>
      <c r="DK269" t="s">
        <v>918</v>
      </c>
      <c r="DL269" t="s">
        <v>869</v>
      </c>
      <c r="DM269">
        <v>0</v>
      </c>
      <c r="DN269">
        <v>0</v>
      </c>
      <c r="DO269">
        <v>54</v>
      </c>
      <c r="DP269" t="s">
        <v>2472</v>
      </c>
      <c r="DQ269">
        <v>16</v>
      </c>
      <c r="DR269">
        <v>1818</v>
      </c>
      <c r="DS269">
        <v>3978</v>
      </c>
      <c r="DT269">
        <v>29.9833</v>
      </c>
      <c r="DU269">
        <v>4</v>
      </c>
      <c r="DV269">
        <v>1</v>
      </c>
      <c r="DW269">
        <v>2</v>
      </c>
      <c r="DX269" t="s">
        <v>594</v>
      </c>
      <c r="DY269" t="s">
        <v>1750</v>
      </c>
      <c r="DZ269">
        <v>0</v>
      </c>
      <c r="EA269">
        <v>0</v>
      </c>
      <c r="EB269">
        <v>0</v>
      </c>
      <c r="EC269">
        <v>0</v>
      </c>
      <c r="ED269">
        <v>0</v>
      </c>
      <c r="EE269">
        <v>0</v>
      </c>
      <c r="EF269" t="s">
        <v>920</v>
      </c>
      <c r="EG269" t="s">
        <v>595</v>
      </c>
      <c r="EH269" t="s">
        <v>872</v>
      </c>
      <c r="EI269" t="s">
        <v>872</v>
      </c>
      <c r="EJ269" t="s">
        <v>226</v>
      </c>
      <c r="EK269">
        <v>9090</v>
      </c>
      <c r="EL269">
        <v>0</v>
      </c>
      <c r="EM269" t="s">
        <v>1157</v>
      </c>
      <c r="EN269">
        <v>0.56669999999999998</v>
      </c>
      <c r="EO269">
        <v>66.3</v>
      </c>
      <c r="EP269">
        <v>99991120</v>
      </c>
      <c r="EQ269" t="s">
        <v>874</v>
      </c>
      <c r="ER269" t="s">
        <v>875</v>
      </c>
      <c r="ES269" t="s">
        <v>876</v>
      </c>
      <c r="ET269" t="s">
        <v>877</v>
      </c>
      <c r="EU269" t="s">
        <v>877</v>
      </c>
      <c r="EV269" t="s">
        <v>920</v>
      </c>
      <c r="EX269" t="s">
        <v>900</v>
      </c>
      <c r="EY269" t="s">
        <v>923</v>
      </c>
      <c r="EZ269" t="s">
        <v>1236</v>
      </c>
      <c r="FA269" t="s">
        <v>956</v>
      </c>
      <c r="FB269">
        <v>1</v>
      </c>
      <c r="FC269">
        <v>1</v>
      </c>
      <c r="FD269" s="41">
        <v>46186</v>
      </c>
      <c r="FE269" t="s">
        <v>1315</v>
      </c>
      <c r="FF269">
        <v>7</v>
      </c>
      <c r="FG269" t="s">
        <v>6216</v>
      </c>
      <c r="FH269" t="s">
        <v>6217</v>
      </c>
      <c r="FI269">
        <v>1</v>
      </c>
      <c r="FJ269" t="s">
        <v>6218</v>
      </c>
      <c r="FK269" t="s">
        <v>6219</v>
      </c>
      <c r="FL269">
        <v>1</v>
      </c>
      <c r="FM269" t="s">
        <v>1762</v>
      </c>
      <c r="FN269" t="s">
        <v>6220</v>
      </c>
      <c r="FO269">
        <v>1</v>
      </c>
      <c r="FP269" t="s">
        <v>6221</v>
      </c>
      <c r="FQ269" t="s">
        <v>6215</v>
      </c>
      <c r="FR269">
        <v>1</v>
      </c>
      <c r="FS269" t="s">
        <v>5404</v>
      </c>
      <c r="FT269" t="s">
        <v>6222</v>
      </c>
      <c r="FU269">
        <v>1</v>
      </c>
      <c r="FV269" t="s">
        <v>5406</v>
      </c>
      <c r="FW269" t="s">
        <v>6223</v>
      </c>
      <c r="FX269">
        <v>1</v>
      </c>
      <c r="FY269" t="s">
        <v>890</v>
      </c>
      <c r="FZ269" t="s">
        <v>6224</v>
      </c>
      <c r="GA269" t="s">
        <v>6218</v>
      </c>
      <c r="GB269">
        <v>1</v>
      </c>
      <c r="GD269">
        <v>0</v>
      </c>
      <c r="GF269">
        <v>0</v>
      </c>
      <c r="GG269">
        <v>1</v>
      </c>
      <c r="GH269" t="s">
        <v>892</v>
      </c>
      <c r="GI269" t="s">
        <v>893</v>
      </c>
      <c r="GJ269" t="s">
        <v>6219</v>
      </c>
      <c r="GM269">
        <v>1</v>
      </c>
      <c r="GN269">
        <v>1</v>
      </c>
      <c r="GO269">
        <v>0</v>
      </c>
      <c r="GP269">
        <v>1</v>
      </c>
      <c r="GQ269">
        <v>1</v>
      </c>
      <c r="GR269">
        <v>0</v>
      </c>
      <c r="GS269">
        <v>1</v>
      </c>
      <c r="GT269">
        <v>0</v>
      </c>
      <c r="GU269">
        <v>1</v>
      </c>
      <c r="GV269">
        <v>0</v>
      </c>
      <c r="GW269">
        <v>1</v>
      </c>
      <c r="GX269">
        <v>0</v>
      </c>
      <c r="GY269">
        <v>1</v>
      </c>
      <c r="GZ269">
        <v>0</v>
      </c>
      <c r="HA269" t="s">
        <v>419</v>
      </c>
      <c r="HB269" t="s">
        <v>894</v>
      </c>
      <c r="HC269" t="s">
        <v>935</v>
      </c>
      <c r="HD269" t="s">
        <v>845</v>
      </c>
      <c r="HE269" t="s">
        <v>900</v>
      </c>
      <c r="HF269" t="s">
        <v>923</v>
      </c>
      <c r="HG269" t="s">
        <v>894</v>
      </c>
      <c r="HH269" t="s">
        <v>935</v>
      </c>
      <c r="HI269" t="s">
        <v>845</v>
      </c>
      <c r="HJ269" t="s">
        <v>900</v>
      </c>
      <c r="HK269" t="s">
        <v>922</v>
      </c>
      <c r="HL269" t="s">
        <v>1476</v>
      </c>
      <c r="HM269" t="s">
        <v>854</v>
      </c>
      <c r="HN269">
        <v>36805</v>
      </c>
      <c r="HO269">
        <v>1</v>
      </c>
      <c r="HP269" t="s">
        <v>226</v>
      </c>
      <c r="HQ269" t="s">
        <v>896</v>
      </c>
      <c r="HR269" t="s">
        <v>896</v>
      </c>
      <c r="HS269" t="s">
        <v>896</v>
      </c>
    </row>
    <row r="270" spans="1:227" x14ac:dyDescent="0.2">
      <c r="A270">
        <v>8702</v>
      </c>
      <c r="B270">
        <v>7604308126</v>
      </c>
      <c r="C270" t="s">
        <v>936</v>
      </c>
      <c r="D270" t="s">
        <v>937</v>
      </c>
      <c r="E270" t="s">
        <v>831</v>
      </c>
      <c r="F270">
        <v>0</v>
      </c>
      <c r="G270" t="s">
        <v>6225</v>
      </c>
      <c r="H270" t="s">
        <v>6225</v>
      </c>
      <c r="I270">
        <v>0</v>
      </c>
      <c r="J270" t="s">
        <v>833</v>
      </c>
      <c r="K270" t="s">
        <v>834</v>
      </c>
      <c r="L270">
        <v>153406451</v>
      </c>
      <c r="M270" t="s">
        <v>1818</v>
      </c>
      <c r="N270" t="s">
        <v>836</v>
      </c>
      <c r="O270" t="s">
        <v>837</v>
      </c>
      <c r="P270" t="s">
        <v>940</v>
      </c>
      <c r="Q270" t="s">
        <v>2404</v>
      </c>
      <c r="R270" t="s">
        <v>6226</v>
      </c>
      <c r="S270" t="s">
        <v>6227</v>
      </c>
      <c r="T270">
        <v>41477092613</v>
      </c>
      <c r="V270" t="s">
        <v>1254</v>
      </c>
      <c r="W270" s="41">
        <v>46065</v>
      </c>
      <c r="X270" t="s">
        <v>6228</v>
      </c>
      <c r="Y270" t="s">
        <v>6229</v>
      </c>
      <c r="Z270" t="s">
        <v>6230</v>
      </c>
      <c r="AA270">
        <v>0</v>
      </c>
      <c r="AB270" t="s">
        <v>845</v>
      </c>
      <c r="AC270" t="s">
        <v>846</v>
      </c>
      <c r="AD270" t="s">
        <v>1113</v>
      </c>
      <c r="AE270" t="s">
        <v>1114</v>
      </c>
      <c r="AF270">
        <v>1</v>
      </c>
      <c r="AG270">
        <v>452210</v>
      </c>
      <c r="AH270" t="s">
        <v>849</v>
      </c>
      <c r="AI270" t="s">
        <v>850</v>
      </c>
      <c r="AJ270" t="s">
        <v>851</v>
      </c>
      <c r="AK270" t="s">
        <v>253</v>
      </c>
      <c r="AL270" t="s">
        <v>1257</v>
      </c>
      <c r="AM270" t="s">
        <v>1258</v>
      </c>
      <c r="AN270" t="s">
        <v>854</v>
      </c>
      <c r="AO270">
        <v>36805</v>
      </c>
      <c r="AP270">
        <v>546</v>
      </c>
      <c r="AQ270" t="s">
        <v>855</v>
      </c>
      <c r="AR270">
        <v>66331638</v>
      </c>
      <c r="AS270" t="s">
        <v>856</v>
      </c>
      <c r="AU270" t="s">
        <v>6231</v>
      </c>
      <c r="AV270" t="s">
        <v>6232</v>
      </c>
      <c r="AW270" t="s">
        <v>1261</v>
      </c>
      <c r="AX270" t="s">
        <v>1262</v>
      </c>
      <c r="AY270" t="s">
        <v>861</v>
      </c>
      <c r="AZ270" t="s">
        <v>253</v>
      </c>
      <c r="BA270" t="s">
        <v>254</v>
      </c>
      <c r="BB270">
        <v>0</v>
      </c>
      <c r="BC270">
        <v>0</v>
      </c>
      <c r="BD270">
        <v>0</v>
      </c>
      <c r="BE270" t="s">
        <v>1818</v>
      </c>
      <c r="BF270">
        <v>0</v>
      </c>
      <c r="BG270">
        <v>0</v>
      </c>
      <c r="BH270" t="s">
        <v>862</v>
      </c>
      <c r="BI270">
        <v>0</v>
      </c>
      <c r="BJ270" t="s">
        <v>862</v>
      </c>
      <c r="BK270">
        <v>1</v>
      </c>
      <c r="BL270">
        <v>0</v>
      </c>
      <c r="BM270">
        <v>0</v>
      </c>
      <c r="BN270" t="s">
        <v>596</v>
      </c>
      <c r="BO270">
        <v>153406451</v>
      </c>
      <c r="BP270" t="s">
        <v>6225</v>
      </c>
      <c r="BQ270">
        <v>45.017570999999997</v>
      </c>
      <c r="BR270">
        <v>42791462</v>
      </c>
      <c r="BS270">
        <v>-93.480142200000003</v>
      </c>
      <c r="BT270">
        <v>1</v>
      </c>
      <c r="BU270" t="s">
        <v>1780</v>
      </c>
      <c r="CI270">
        <v>11</v>
      </c>
      <c r="CJ270" t="s">
        <v>94</v>
      </c>
      <c r="CM270">
        <v>4010</v>
      </c>
      <c r="CO270">
        <v>7360</v>
      </c>
      <c r="CP270">
        <v>0.5</v>
      </c>
      <c r="CQ270">
        <v>0.5</v>
      </c>
      <c r="CR270">
        <v>0.66669999999999996</v>
      </c>
      <c r="CS270">
        <v>1</v>
      </c>
      <c r="CT270" t="s">
        <v>6233</v>
      </c>
      <c r="CU270" t="s">
        <v>6234</v>
      </c>
      <c r="CV270" t="s">
        <v>833</v>
      </c>
      <c r="CW270" t="s">
        <v>834</v>
      </c>
      <c r="CX270" t="s">
        <v>1818</v>
      </c>
      <c r="CY270">
        <v>0</v>
      </c>
      <c r="CZ270">
        <v>0</v>
      </c>
      <c r="DA270" t="s">
        <v>833</v>
      </c>
      <c r="DB270" t="s">
        <v>865</v>
      </c>
      <c r="DC270">
        <v>55447</v>
      </c>
      <c r="DD270">
        <v>1.3</v>
      </c>
      <c r="DE270" t="s">
        <v>866</v>
      </c>
      <c r="DG270" t="s">
        <v>867</v>
      </c>
      <c r="DH270" t="s">
        <v>851</v>
      </c>
      <c r="DK270" t="s">
        <v>918</v>
      </c>
      <c r="DL270" t="s">
        <v>869</v>
      </c>
      <c r="DM270">
        <v>0</v>
      </c>
      <c r="DN270">
        <v>0</v>
      </c>
      <c r="DO270">
        <v>3</v>
      </c>
      <c r="DP270" t="s">
        <v>919</v>
      </c>
      <c r="DQ270">
        <v>0</v>
      </c>
      <c r="DR270">
        <v>78</v>
      </c>
      <c r="DS270">
        <v>78</v>
      </c>
      <c r="DT270">
        <v>0.8</v>
      </c>
      <c r="DU270">
        <v>0</v>
      </c>
      <c r="DV270">
        <v>1</v>
      </c>
      <c r="DW270">
        <v>2</v>
      </c>
      <c r="DX270" t="s">
        <v>594</v>
      </c>
      <c r="DY270" t="s">
        <v>1818</v>
      </c>
      <c r="DZ270">
        <v>1</v>
      </c>
      <c r="EA270">
        <v>1</v>
      </c>
      <c r="EB270">
        <v>1</v>
      </c>
      <c r="EC270">
        <v>1</v>
      </c>
      <c r="ED270">
        <v>1</v>
      </c>
      <c r="EE270">
        <v>1</v>
      </c>
      <c r="EF270" t="s">
        <v>920</v>
      </c>
      <c r="EG270" t="s">
        <v>595</v>
      </c>
      <c r="EH270" t="s">
        <v>872</v>
      </c>
      <c r="EI270" t="s">
        <v>872</v>
      </c>
      <c r="EJ270" t="s">
        <v>159</v>
      </c>
      <c r="EK270">
        <v>9090</v>
      </c>
      <c r="EL270">
        <v>0</v>
      </c>
      <c r="EM270" t="s">
        <v>873</v>
      </c>
      <c r="EN270">
        <v>0.66669999999999996</v>
      </c>
      <c r="EO270">
        <v>1.3</v>
      </c>
      <c r="EP270">
        <v>99991120</v>
      </c>
      <c r="EQ270" t="s">
        <v>874</v>
      </c>
      <c r="ER270" t="s">
        <v>875</v>
      </c>
      <c r="ES270" t="s">
        <v>876</v>
      </c>
      <c r="ET270" t="s">
        <v>877</v>
      </c>
      <c r="EU270" t="s">
        <v>877</v>
      </c>
      <c r="EV270" t="s">
        <v>920</v>
      </c>
      <c r="EX270" t="s">
        <v>836</v>
      </c>
      <c r="EY270" t="s">
        <v>1121</v>
      </c>
      <c r="EZ270" t="s">
        <v>1122</v>
      </c>
      <c r="FA270" t="s">
        <v>956</v>
      </c>
      <c r="FB270">
        <v>1</v>
      </c>
      <c r="FC270">
        <v>1</v>
      </c>
      <c r="FD270" s="41">
        <v>46067</v>
      </c>
      <c r="FE270" t="s">
        <v>1267</v>
      </c>
      <c r="FF270">
        <v>5</v>
      </c>
      <c r="FI270">
        <v>0</v>
      </c>
      <c r="FJ270" t="s">
        <v>6235</v>
      </c>
      <c r="FK270" t="s">
        <v>6236</v>
      </c>
      <c r="FL270">
        <v>1</v>
      </c>
      <c r="FM270" t="s">
        <v>6237</v>
      </c>
      <c r="FN270" t="s">
        <v>6238</v>
      </c>
      <c r="FO270">
        <v>1</v>
      </c>
      <c r="FP270" t="s">
        <v>6239</v>
      </c>
      <c r="FQ270" t="s">
        <v>6234</v>
      </c>
      <c r="FR270">
        <v>1</v>
      </c>
      <c r="FS270" t="s">
        <v>1273</v>
      </c>
      <c r="FT270" t="s">
        <v>6240</v>
      </c>
      <c r="FU270">
        <v>1</v>
      </c>
      <c r="FV270" t="s">
        <v>6241</v>
      </c>
      <c r="FW270" t="s">
        <v>6236</v>
      </c>
      <c r="FX270">
        <v>1</v>
      </c>
      <c r="FY270" t="s">
        <v>890</v>
      </c>
      <c r="FZ270" t="s">
        <v>6242</v>
      </c>
      <c r="GA270" t="s">
        <v>6235</v>
      </c>
      <c r="GB270">
        <v>1</v>
      </c>
      <c r="GD270">
        <v>0</v>
      </c>
      <c r="GF270">
        <v>0</v>
      </c>
      <c r="GG270">
        <v>1</v>
      </c>
      <c r="GH270" t="s">
        <v>892</v>
      </c>
      <c r="GI270" t="s">
        <v>893</v>
      </c>
      <c r="GJ270" t="s">
        <v>6236</v>
      </c>
      <c r="GM270">
        <v>1</v>
      </c>
      <c r="GN270">
        <v>1</v>
      </c>
      <c r="GO270">
        <v>0</v>
      </c>
      <c r="GP270">
        <v>1</v>
      </c>
      <c r="GQ270">
        <v>1</v>
      </c>
      <c r="GR270">
        <v>0</v>
      </c>
      <c r="GS270">
        <v>1</v>
      </c>
      <c r="GT270">
        <v>0</v>
      </c>
      <c r="GU270">
        <v>1</v>
      </c>
      <c r="GV270">
        <v>0</v>
      </c>
      <c r="GW270">
        <v>1</v>
      </c>
      <c r="GX270">
        <v>0</v>
      </c>
      <c r="GY270">
        <v>1</v>
      </c>
      <c r="GZ270">
        <v>0</v>
      </c>
      <c r="HA270" t="s">
        <v>253</v>
      </c>
      <c r="HB270" t="s">
        <v>894</v>
      </c>
      <c r="HC270" t="s">
        <v>895</v>
      </c>
      <c r="HD270" t="s">
        <v>845</v>
      </c>
      <c r="HE270" t="s">
        <v>836</v>
      </c>
      <c r="HF270" t="s">
        <v>873</v>
      </c>
      <c r="HG270" t="s">
        <v>894</v>
      </c>
      <c r="HH270" t="s">
        <v>895</v>
      </c>
      <c r="HI270" t="s">
        <v>845</v>
      </c>
      <c r="HJ270" t="s">
        <v>836</v>
      </c>
      <c r="HK270" t="s">
        <v>873</v>
      </c>
      <c r="HL270" t="s">
        <v>1254</v>
      </c>
      <c r="HM270" t="s">
        <v>854</v>
      </c>
      <c r="HN270">
        <v>36805</v>
      </c>
      <c r="HO270">
        <v>1</v>
      </c>
      <c r="HP270" t="s">
        <v>159</v>
      </c>
      <c r="HQ270" t="s">
        <v>896</v>
      </c>
      <c r="HR270" t="s">
        <v>896</v>
      </c>
      <c r="HS270" t="s">
        <v>896</v>
      </c>
    </row>
    <row r="271" spans="1:227" x14ac:dyDescent="0.2">
      <c r="A271">
        <v>8702</v>
      </c>
      <c r="B271">
        <v>7602300672</v>
      </c>
      <c r="C271">
        <v>34</v>
      </c>
      <c r="D271" t="s">
        <v>996</v>
      </c>
      <c r="E271" t="s">
        <v>897</v>
      </c>
      <c r="F271">
        <v>0</v>
      </c>
      <c r="G271" t="s">
        <v>6243</v>
      </c>
      <c r="H271" t="s">
        <v>6243</v>
      </c>
      <c r="I271">
        <v>0</v>
      </c>
      <c r="J271" t="s">
        <v>833</v>
      </c>
      <c r="K271" t="s">
        <v>834</v>
      </c>
      <c r="L271">
        <v>153402688</v>
      </c>
      <c r="M271" t="s">
        <v>6244</v>
      </c>
      <c r="N271" t="s">
        <v>900</v>
      </c>
      <c r="O271" t="s">
        <v>837</v>
      </c>
      <c r="P271" t="s">
        <v>999</v>
      </c>
      <c r="Q271" t="s">
        <v>1027</v>
      </c>
      <c r="R271" t="s">
        <v>6245</v>
      </c>
      <c r="S271" t="s">
        <v>6246</v>
      </c>
      <c r="T271">
        <v>41477122910</v>
      </c>
      <c r="V271" t="s">
        <v>147</v>
      </c>
      <c r="W271" s="41">
        <v>46046</v>
      </c>
      <c r="X271" t="s">
        <v>6247</v>
      </c>
      <c r="Y271" t="s">
        <v>6248</v>
      </c>
      <c r="Z271">
        <v>1</v>
      </c>
      <c r="AA271">
        <v>0</v>
      </c>
      <c r="AB271" t="s">
        <v>845</v>
      </c>
      <c r="AC271" t="s">
        <v>846</v>
      </c>
      <c r="AD271" t="s">
        <v>847</v>
      </c>
      <c r="AE271" t="s">
        <v>848</v>
      </c>
      <c r="AF271">
        <v>1</v>
      </c>
      <c r="AG271">
        <v>452210</v>
      </c>
      <c r="AH271" t="s">
        <v>849</v>
      </c>
      <c r="AI271" t="s">
        <v>850</v>
      </c>
      <c r="AJ271" t="s">
        <v>851</v>
      </c>
      <c r="AK271" t="s">
        <v>259</v>
      </c>
      <c r="AL271" t="s">
        <v>1547</v>
      </c>
      <c r="AM271" t="s">
        <v>6249</v>
      </c>
      <c r="AN271" t="s">
        <v>854</v>
      </c>
      <c r="AO271">
        <v>36805</v>
      </c>
      <c r="AP271">
        <v>530</v>
      </c>
      <c r="AQ271" t="s">
        <v>855</v>
      </c>
      <c r="AR271">
        <v>66303971</v>
      </c>
      <c r="AS271" t="s">
        <v>856</v>
      </c>
      <c r="AU271" t="s">
        <v>6250</v>
      </c>
      <c r="AV271" t="s">
        <v>6251</v>
      </c>
      <c r="AW271" t="s">
        <v>859</v>
      </c>
      <c r="AX271" t="s">
        <v>860</v>
      </c>
      <c r="AY271" t="s">
        <v>861</v>
      </c>
      <c r="AZ271" t="s">
        <v>259</v>
      </c>
      <c r="BA271" t="s">
        <v>260</v>
      </c>
      <c r="BB271">
        <v>0</v>
      </c>
      <c r="BC271">
        <v>0</v>
      </c>
      <c r="BD271">
        <v>0</v>
      </c>
      <c r="BE271" t="s">
        <v>6244</v>
      </c>
      <c r="BF271">
        <v>0</v>
      </c>
      <c r="BG271">
        <v>0</v>
      </c>
      <c r="BH271" t="s">
        <v>862</v>
      </c>
      <c r="BI271">
        <v>0</v>
      </c>
      <c r="BJ271" t="s">
        <v>862</v>
      </c>
      <c r="BK271">
        <v>1</v>
      </c>
      <c r="BL271">
        <v>0</v>
      </c>
      <c r="BM271">
        <v>0</v>
      </c>
      <c r="BN271" t="s">
        <v>596</v>
      </c>
      <c r="BO271">
        <v>153402688</v>
      </c>
      <c r="BP271" t="s">
        <v>6243</v>
      </c>
      <c r="BR271">
        <v>42791445</v>
      </c>
      <c r="BT271">
        <v>2</v>
      </c>
      <c r="BU271" t="s">
        <v>1367</v>
      </c>
      <c r="CE271">
        <v>1</v>
      </c>
      <c r="CI271">
        <v>11</v>
      </c>
      <c r="CJ271" t="s">
        <v>94</v>
      </c>
      <c r="CM271">
        <v>4010</v>
      </c>
      <c r="CO271">
        <v>7360</v>
      </c>
      <c r="CP271">
        <v>0.51670000000000005</v>
      </c>
      <c r="CQ271">
        <v>0.51670000000000005</v>
      </c>
      <c r="CR271">
        <v>1.1499999999999999</v>
      </c>
      <c r="CS271">
        <v>1</v>
      </c>
      <c r="CT271" t="s">
        <v>6251</v>
      </c>
      <c r="CU271" t="s">
        <v>6250</v>
      </c>
      <c r="CV271" t="s">
        <v>833</v>
      </c>
      <c r="CW271" t="s">
        <v>834</v>
      </c>
      <c r="CX271" t="s">
        <v>6244</v>
      </c>
      <c r="CY271">
        <v>0</v>
      </c>
      <c r="CZ271">
        <v>0</v>
      </c>
      <c r="DA271" t="s">
        <v>833</v>
      </c>
      <c r="DB271" t="s">
        <v>865</v>
      </c>
      <c r="DC271">
        <v>47404</v>
      </c>
      <c r="DD271">
        <v>5.7332999999999998</v>
      </c>
      <c r="DE271" t="s">
        <v>866</v>
      </c>
      <c r="DG271" t="s">
        <v>867</v>
      </c>
      <c r="DH271" t="s">
        <v>851</v>
      </c>
      <c r="DI271" t="s">
        <v>1154</v>
      </c>
      <c r="DK271" t="s">
        <v>918</v>
      </c>
      <c r="DL271" t="s">
        <v>869</v>
      </c>
      <c r="DM271">
        <v>0</v>
      </c>
      <c r="DN271">
        <v>0</v>
      </c>
      <c r="DO271">
        <v>53</v>
      </c>
      <c r="DP271" t="s">
        <v>1156</v>
      </c>
      <c r="DQ271">
        <v>16</v>
      </c>
      <c r="DR271">
        <v>344</v>
      </c>
      <c r="DS271">
        <v>1064</v>
      </c>
      <c r="DT271">
        <v>5.2167000000000003</v>
      </c>
      <c r="DU271">
        <v>4</v>
      </c>
      <c r="DV271">
        <v>1</v>
      </c>
      <c r="DW271">
        <v>2</v>
      </c>
      <c r="DX271" t="s">
        <v>594</v>
      </c>
      <c r="DY271" t="s">
        <v>6244</v>
      </c>
      <c r="DZ271">
        <v>0</v>
      </c>
      <c r="EA271">
        <v>0</v>
      </c>
      <c r="EB271">
        <v>0</v>
      </c>
      <c r="EC271">
        <v>0</v>
      </c>
      <c r="ED271">
        <v>0</v>
      </c>
      <c r="EE271">
        <v>0</v>
      </c>
      <c r="EF271" t="s">
        <v>871</v>
      </c>
      <c r="EG271" t="s">
        <v>595</v>
      </c>
      <c r="EH271" t="s">
        <v>872</v>
      </c>
      <c r="EI271" t="s">
        <v>872</v>
      </c>
      <c r="EJ271" t="s">
        <v>134</v>
      </c>
      <c r="EK271">
        <v>9090</v>
      </c>
      <c r="EL271">
        <v>0</v>
      </c>
      <c r="EM271" t="s">
        <v>1011</v>
      </c>
      <c r="EN271">
        <v>1.1499999999999999</v>
      </c>
      <c r="EO271">
        <v>17.733333300000002</v>
      </c>
      <c r="EP271">
        <v>99991120</v>
      </c>
      <c r="EQ271" t="s">
        <v>874</v>
      </c>
      <c r="ER271" t="s">
        <v>875</v>
      </c>
      <c r="ES271" t="s">
        <v>876</v>
      </c>
      <c r="ET271" t="s">
        <v>877</v>
      </c>
      <c r="EU271" t="s">
        <v>877</v>
      </c>
      <c r="EV271" t="s">
        <v>871</v>
      </c>
      <c r="EX271" t="s">
        <v>953</v>
      </c>
      <c r="EY271" t="s">
        <v>1555</v>
      </c>
      <c r="EZ271" t="s">
        <v>1013</v>
      </c>
      <c r="FA271" t="s">
        <v>925</v>
      </c>
      <c r="FB271">
        <v>1</v>
      </c>
      <c r="FC271">
        <v>1</v>
      </c>
      <c r="FD271" s="41">
        <v>46046</v>
      </c>
      <c r="FE271" t="s">
        <v>1370</v>
      </c>
      <c r="FF271">
        <v>8</v>
      </c>
      <c r="FG271" t="s">
        <v>6252</v>
      </c>
      <c r="FH271" t="s">
        <v>6253</v>
      </c>
      <c r="FI271">
        <v>1</v>
      </c>
      <c r="FJ271" t="s">
        <v>6254</v>
      </c>
      <c r="FK271" t="s">
        <v>6255</v>
      </c>
      <c r="FL271">
        <v>1</v>
      </c>
      <c r="FM271" t="s">
        <v>6256</v>
      </c>
      <c r="FN271" t="s">
        <v>6257</v>
      </c>
      <c r="FO271">
        <v>1</v>
      </c>
      <c r="FP271" t="s">
        <v>6258</v>
      </c>
      <c r="FQ271" t="s">
        <v>6250</v>
      </c>
      <c r="FR271">
        <v>1</v>
      </c>
      <c r="FS271" t="s">
        <v>2872</v>
      </c>
      <c r="FT271" t="s">
        <v>6259</v>
      </c>
      <c r="FU271">
        <v>1</v>
      </c>
      <c r="FV271" t="s">
        <v>4820</v>
      </c>
      <c r="FW271" t="s">
        <v>6260</v>
      </c>
      <c r="FX271">
        <v>1</v>
      </c>
      <c r="FY271" t="s">
        <v>890</v>
      </c>
      <c r="FZ271" t="s">
        <v>6261</v>
      </c>
      <c r="GA271" t="s">
        <v>6254</v>
      </c>
      <c r="GB271">
        <v>1</v>
      </c>
      <c r="GD271">
        <v>0</v>
      </c>
      <c r="GF271">
        <v>0</v>
      </c>
      <c r="GG271">
        <v>1</v>
      </c>
      <c r="GH271" t="s">
        <v>892</v>
      </c>
      <c r="GI271" t="s">
        <v>893</v>
      </c>
      <c r="GJ271" t="s">
        <v>6255</v>
      </c>
      <c r="GM271">
        <v>1</v>
      </c>
      <c r="GN271">
        <v>1</v>
      </c>
      <c r="GO271">
        <v>0</v>
      </c>
      <c r="GP271">
        <v>1</v>
      </c>
      <c r="GQ271">
        <v>1</v>
      </c>
      <c r="GR271">
        <v>0</v>
      </c>
      <c r="GS271">
        <v>1</v>
      </c>
      <c r="GT271">
        <v>0</v>
      </c>
      <c r="GU271">
        <v>1</v>
      </c>
      <c r="GV271">
        <v>0</v>
      </c>
      <c r="GW271">
        <v>1</v>
      </c>
      <c r="GX271">
        <v>0</v>
      </c>
      <c r="GY271">
        <v>1</v>
      </c>
      <c r="GZ271">
        <v>0</v>
      </c>
      <c r="HA271" t="s">
        <v>259</v>
      </c>
      <c r="HB271" t="s">
        <v>894</v>
      </c>
      <c r="HC271" t="s">
        <v>935</v>
      </c>
      <c r="HD271" t="s">
        <v>845</v>
      </c>
      <c r="HE271" t="s">
        <v>900</v>
      </c>
      <c r="HF271" t="s">
        <v>1012</v>
      </c>
      <c r="HG271" t="s">
        <v>894</v>
      </c>
      <c r="HH271" t="s">
        <v>935</v>
      </c>
      <c r="HI271" t="s">
        <v>845</v>
      </c>
      <c r="HJ271" t="s">
        <v>900</v>
      </c>
      <c r="HK271" t="s">
        <v>1011</v>
      </c>
      <c r="HL271" t="s">
        <v>147</v>
      </c>
      <c r="HM271" t="s">
        <v>854</v>
      </c>
      <c r="HN271">
        <v>36805</v>
      </c>
      <c r="HP271" t="s">
        <v>134</v>
      </c>
      <c r="HQ271" t="s">
        <v>896</v>
      </c>
      <c r="HR271" t="s">
        <v>896</v>
      </c>
      <c r="HS271" t="s">
        <v>896</v>
      </c>
    </row>
    <row r="272" spans="1:227" x14ac:dyDescent="0.2">
      <c r="A272">
        <v>8702</v>
      </c>
      <c r="B272">
        <v>7604901236</v>
      </c>
      <c r="C272" t="s">
        <v>829</v>
      </c>
      <c r="D272" t="s">
        <v>830</v>
      </c>
      <c r="E272" t="s">
        <v>831</v>
      </c>
      <c r="F272">
        <v>1</v>
      </c>
      <c r="G272" t="s">
        <v>6262</v>
      </c>
      <c r="H272" t="s">
        <v>6262</v>
      </c>
      <c r="I272">
        <v>0</v>
      </c>
      <c r="J272" t="s">
        <v>833</v>
      </c>
      <c r="K272" t="s">
        <v>834</v>
      </c>
      <c r="L272">
        <v>152949098</v>
      </c>
      <c r="M272" t="s">
        <v>6263</v>
      </c>
      <c r="N272" t="s">
        <v>836</v>
      </c>
      <c r="O272" t="s">
        <v>837</v>
      </c>
      <c r="P272" t="s">
        <v>838</v>
      </c>
      <c r="Q272" t="s">
        <v>1251</v>
      </c>
      <c r="R272" t="s">
        <v>6264</v>
      </c>
      <c r="S272" t="s">
        <v>6265</v>
      </c>
      <c r="T272">
        <v>41477086390</v>
      </c>
      <c r="V272" t="s">
        <v>121</v>
      </c>
      <c r="W272" s="41">
        <v>46071</v>
      </c>
      <c r="X272" t="s">
        <v>6266</v>
      </c>
      <c r="Y272" t="s">
        <v>6267</v>
      </c>
      <c r="AA272">
        <v>0</v>
      </c>
      <c r="AB272" t="s">
        <v>845</v>
      </c>
      <c r="AC272" t="s">
        <v>846</v>
      </c>
      <c r="AD272" t="s">
        <v>1113</v>
      </c>
      <c r="AE272" t="s">
        <v>1114</v>
      </c>
      <c r="AF272">
        <v>1</v>
      </c>
      <c r="AG272">
        <v>452210</v>
      </c>
      <c r="AH272" t="s">
        <v>849</v>
      </c>
      <c r="AI272" t="s">
        <v>850</v>
      </c>
      <c r="AJ272" t="s">
        <v>851</v>
      </c>
      <c r="AK272" t="s">
        <v>301</v>
      </c>
      <c r="AL272" t="s">
        <v>1086</v>
      </c>
      <c r="AM272" t="s">
        <v>3266</v>
      </c>
      <c r="AN272" t="s">
        <v>854</v>
      </c>
      <c r="AO272">
        <v>36805</v>
      </c>
      <c r="AP272">
        <v>495</v>
      </c>
      <c r="AQ272" t="s">
        <v>855</v>
      </c>
      <c r="AR272">
        <v>66340325</v>
      </c>
      <c r="AS272" t="s">
        <v>856</v>
      </c>
      <c r="AU272" t="s">
        <v>6268</v>
      </c>
      <c r="AV272" t="s">
        <v>6269</v>
      </c>
      <c r="AX272" t="s">
        <v>913</v>
      </c>
      <c r="AY272" t="s">
        <v>861</v>
      </c>
      <c r="AZ272" t="s">
        <v>301</v>
      </c>
      <c r="BA272" t="s">
        <v>302</v>
      </c>
      <c r="BB272">
        <v>0</v>
      </c>
      <c r="BC272">
        <v>0</v>
      </c>
      <c r="BD272">
        <v>1</v>
      </c>
      <c r="BE272" t="s">
        <v>6263</v>
      </c>
      <c r="BF272">
        <v>0</v>
      </c>
      <c r="BG272">
        <v>0</v>
      </c>
      <c r="BH272" t="s">
        <v>862</v>
      </c>
      <c r="BI272">
        <v>0</v>
      </c>
      <c r="BJ272" t="s">
        <v>862</v>
      </c>
      <c r="BK272">
        <v>1</v>
      </c>
      <c r="BL272">
        <v>1</v>
      </c>
      <c r="BM272">
        <v>0</v>
      </c>
      <c r="BN272" t="s">
        <v>596</v>
      </c>
      <c r="BO272">
        <v>152949098</v>
      </c>
      <c r="BP272" t="s">
        <v>6262</v>
      </c>
      <c r="BR272">
        <v>42789062</v>
      </c>
      <c r="BT272">
        <v>2</v>
      </c>
      <c r="BU272" t="s">
        <v>1780</v>
      </c>
      <c r="CE272">
        <v>1</v>
      </c>
      <c r="CI272">
        <v>11</v>
      </c>
      <c r="CJ272" t="s">
        <v>94</v>
      </c>
      <c r="CM272">
        <v>4010</v>
      </c>
      <c r="CO272">
        <v>7360</v>
      </c>
      <c r="CP272">
        <v>0.66669999999999996</v>
      </c>
      <c r="CQ272">
        <v>0.66669999999999996</v>
      </c>
      <c r="CR272">
        <v>0.76670000000000005</v>
      </c>
      <c r="CS272">
        <v>5</v>
      </c>
      <c r="CT272" t="s">
        <v>6269</v>
      </c>
      <c r="CU272" t="s">
        <v>6268</v>
      </c>
      <c r="CV272" t="s">
        <v>833</v>
      </c>
      <c r="CW272" t="s">
        <v>834</v>
      </c>
      <c r="CX272" t="s">
        <v>6263</v>
      </c>
      <c r="CY272">
        <v>1</v>
      </c>
      <c r="CZ272">
        <v>1</v>
      </c>
      <c r="DA272" t="s">
        <v>833</v>
      </c>
      <c r="DB272" t="s">
        <v>865</v>
      </c>
      <c r="DC272">
        <v>63304</v>
      </c>
      <c r="DD272">
        <v>2.7166999999999999</v>
      </c>
      <c r="DE272" t="s">
        <v>866</v>
      </c>
      <c r="DG272" t="s">
        <v>867</v>
      </c>
      <c r="DH272" t="s">
        <v>851</v>
      </c>
      <c r="DI272" t="s">
        <v>3384</v>
      </c>
      <c r="DK272" t="s">
        <v>918</v>
      </c>
      <c r="DL272" t="s">
        <v>869</v>
      </c>
      <c r="DM272">
        <v>0</v>
      </c>
      <c r="DN272">
        <v>0</v>
      </c>
      <c r="DO272">
        <v>3</v>
      </c>
      <c r="DP272" t="s">
        <v>919</v>
      </c>
      <c r="DQ272">
        <v>0</v>
      </c>
      <c r="DR272">
        <v>163</v>
      </c>
      <c r="DS272">
        <v>163</v>
      </c>
      <c r="DT272">
        <v>2.0499999999999998</v>
      </c>
      <c r="DU272">
        <v>0</v>
      </c>
      <c r="DV272">
        <v>1</v>
      </c>
      <c r="DW272">
        <v>2</v>
      </c>
      <c r="DX272" t="s">
        <v>596</v>
      </c>
      <c r="DY272" t="s">
        <v>6263</v>
      </c>
      <c r="DZ272">
        <v>1</v>
      </c>
      <c r="EA272">
        <v>1</v>
      </c>
      <c r="EB272">
        <v>1</v>
      </c>
      <c r="EC272">
        <v>1</v>
      </c>
      <c r="ED272">
        <v>1</v>
      </c>
      <c r="EE272">
        <v>1</v>
      </c>
      <c r="EF272" t="s">
        <v>920</v>
      </c>
      <c r="EG272" t="s">
        <v>595</v>
      </c>
      <c r="EH272" t="s">
        <v>921</v>
      </c>
      <c r="EI272" t="s">
        <v>921</v>
      </c>
      <c r="EJ272" t="s">
        <v>111</v>
      </c>
      <c r="EK272">
        <v>9090</v>
      </c>
      <c r="EL272">
        <v>0</v>
      </c>
      <c r="EM272" t="s">
        <v>1037</v>
      </c>
      <c r="EN272">
        <v>0.76670000000000005</v>
      </c>
      <c r="EO272">
        <v>2.7166667000000002</v>
      </c>
      <c r="EP272">
        <v>99991120</v>
      </c>
      <c r="EQ272" t="s">
        <v>874</v>
      </c>
      <c r="ER272" t="s">
        <v>875</v>
      </c>
      <c r="ES272" t="s">
        <v>876</v>
      </c>
      <c r="ET272" t="s">
        <v>877</v>
      </c>
      <c r="EU272" t="s">
        <v>877</v>
      </c>
      <c r="EV272" t="s">
        <v>920</v>
      </c>
      <c r="EX272" t="s">
        <v>900</v>
      </c>
      <c r="EY272" t="s">
        <v>923</v>
      </c>
      <c r="EZ272" t="s">
        <v>1038</v>
      </c>
      <c r="FA272" t="s">
        <v>925</v>
      </c>
      <c r="FB272">
        <v>1</v>
      </c>
      <c r="FC272">
        <v>1</v>
      </c>
      <c r="FD272" s="41">
        <v>46074</v>
      </c>
      <c r="FE272" t="s">
        <v>1267</v>
      </c>
      <c r="FF272">
        <v>4</v>
      </c>
      <c r="FI272">
        <v>0</v>
      </c>
      <c r="FL272">
        <v>0</v>
      </c>
      <c r="FM272" t="s">
        <v>6270</v>
      </c>
      <c r="FN272" t="s">
        <v>6271</v>
      </c>
      <c r="FO272">
        <v>1</v>
      </c>
      <c r="FP272" t="s">
        <v>3716</v>
      </c>
      <c r="FQ272" t="s">
        <v>6272</v>
      </c>
      <c r="FR272">
        <v>1</v>
      </c>
      <c r="FS272" t="s">
        <v>3928</v>
      </c>
      <c r="FT272" t="s">
        <v>6273</v>
      </c>
      <c r="FU272">
        <v>1</v>
      </c>
      <c r="FV272" t="s">
        <v>6274</v>
      </c>
      <c r="FW272" t="s">
        <v>6275</v>
      </c>
      <c r="FX272">
        <v>1</v>
      </c>
      <c r="FY272" t="s">
        <v>890</v>
      </c>
      <c r="FZ272" t="s">
        <v>6276</v>
      </c>
      <c r="GA272" t="s">
        <v>6274</v>
      </c>
      <c r="GB272">
        <v>1</v>
      </c>
      <c r="GD272">
        <v>0</v>
      </c>
      <c r="GF272">
        <v>0</v>
      </c>
      <c r="GG272">
        <v>1</v>
      </c>
      <c r="GH272" t="s">
        <v>892</v>
      </c>
      <c r="GI272" t="s">
        <v>893</v>
      </c>
      <c r="GJ272" t="s">
        <v>6275</v>
      </c>
      <c r="GM272">
        <v>1</v>
      </c>
      <c r="GN272">
        <v>1</v>
      </c>
      <c r="GO272">
        <v>0</v>
      </c>
      <c r="GP272">
        <v>1</v>
      </c>
      <c r="GQ272">
        <v>1</v>
      </c>
      <c r="GR272">
        <v>0</v>
      </c>
      <c r="GS272">
        <v>1</v>
      </c>
      <c r="GT272">
        <v>0</v>
      </c>
      <c r="GU272">
        <v>1</v>
      </c>
      <c r="GV272">
        <v>0</v>
      </c>
      <c r="GW272">
        <v>1</v>
      </c>
      <c r="GX272">
        <v>0</v>
      </c>
      <c r="GY272">
        <v>1</v>
      </c>
      <c r="GZ272">
        <v>0</v>
      </c>
      <c r="HA272" t="s">
        <v>301</v>
      </c>
      <c r="HB272" t="s">
        <v>894</v>
      </c>
      <c r="HC272" t="s">
        <v>895</v>
      </c>
      <c r="HD272" t="s">
        <v>845</v>
      </c>
      <c r="HE272" t="s">
        <v>836</v>
      </c>
      <c r="HF272" t="s">
        <v>1051</v>
      </c>
      <c r="HG272" t="s">
        <v>894</v>
      </c>
      <c r="HH272" t="s">
        <v>895</v>
      </c>
      <c r="HI272" t="s">
        <v>845</v>
      </c>
      <c r="HJ272" t="s">
        <v>836</v>
      </c>
      <c r="HK272" t="s">
        <v>1037</v>
      </c>
      <c r="HL272" t="s">
        <v>121</v>
      </c>
      <c r="HM272" t="s">
        <v>854</v>
      </c>
      <c r="HN272">
        <v>36805</v>
      </c>
      <c r="HP272" t="s">
        <v>111</v>
      </c>
      <c r="HQ272" t="s">
        <v>896</v>
      </c>
      <c r="HR272" t="s">
        <v>896</v>
      </c>
      <c r="HS272" t="s">
        <v>896</v>
      </c>
    </row>
    <row r="273" spans="1:227" x14ac:dyDescent="0.2">
      <c r="A273">
        <v>8702</v>
      </c>
      <c r="B273">
        <v>7619111785</v>
      </c>
      <c r="C273">
        <v>34</v>
      </c>
      <c r="D273" t="s">
        <v>996</v>
      </c>
      <c r="E273" t="s">
        <v>831</v>
      </c>
      <c r="F273">
        <v>0</v>
      </c>
      <c r="G273" t="s">
        <v>6277</v>
      </c>
      <c r="H273" t="s">
        <v>6277</v>
      </c>
      <c r="I273">
        <v>0</v>
      </c>
      <c r="J273" t="s">
        <v>833</v>
      </c>
      <c r="K273" t="s">
        <v>834</v>
      </c>
      <c r="L273">
        <v>153294162</v>
      </c>
      <c r="M273" t="s">
        <v>6278</v>
      </c>
      <c r="N273" t="s">
        <v>836</v>
      </c>
      <c r="O273" t="s">
        <v>837</v>
      </c>
      <c r="P273" t="s">
        <v>999</v>
      </c>
      <c r="Q273" t="s">
        <v>1027</v>
      </c>
      <c r="R273" t="s">
        <v>6279</v>
      </c>
      <c r="S273" t="s">
        <v>6280</v>
      </c>
      <c r="T273">
        <v>30300131301</v>
      </c>
      <c r="V273" t="s">
        <v>1943</v>
      </c>
      <c r="W273" s="41">
        <v>46216</v>
      </c>
      <c r="X273" t="s">
        <v>6281</v>
      </c>
      <c r="Y273" t="s">
        <v>6282</v>
      </c>
      <c r="AA273">
        <v>0</v>
      </c>
      <c r="AB273" t="s">
        <v>845</v>
      </c>
      <c r="AC273" t="s">
        <v>846</v>
      </c>
      <c r="AD273" t="s">
        <v>907</v>
      </c>
      <c r="AE273" t="s">
        <v>908</v>
      </c>
      <c r="AF273">
        <v>1</v>
      </c>
      <c r="AG273">
        <v>452210</v>
      </c>
      <c r="AH273" t="s">
        <v>849</v>
      </c>
      <c r="AI273" t="s">
        <v>850</v>
      </c>
      <c r="AJ273" t="s">
        <v>851</v>
      </c>
      <c r="AK273" t="s">
        <v>325</v>
      </c>
      <c r="AL273" t="s">
        <v>1946</v>
      </c>
      <c r="AM273" t="s">
        <v>1947</v>
      </c>
      <c r="AN273" t="s">
        <v>854</v>
      </c>
      <c r="AO273">
        <v>36805</v>
      </c>
      <c r="AP273">
        <v>562</v>
      </c>
      <c r="AQ273" t="s">
        <v>855</v>
      </c>
      <c r="AR273">
        <v>66548799</v>
      </c>
      <c r="AS273" t="s">
        <v>856</v>
      </c>
      <c r="AU273" t="s">
        <v>6283</v>
      </c>
      <c r="AV273" t="s">
        <v>6284</v>
      </c>
      <c r="AX273" t="s">
        <v>913</v>
      </c>
      <c r="AY273" t="s">
        <v>861</v>
      </c>
      <c r="AZ273" t="s">
        <v>325</v>
      </c>
      <c r="BA273" t="s">
        <v>306</v>
      </c>
      <c r="BB273">
        <v>0</v>
      </c>
      <c r="BC273">
        <v>1</v>
      </c>
      <c r="BD273">
        <v>0</v>
      </c>
      <c r="BE273" t="s">
        <v>6278</v>
      </c>
      <c r="BF273">
        <v>0</v>
      </c>
      <c r="BG273">
        <v>0</v>
      </c>
      <c r="BH273" t="s">
        <v>862</v>
      </c>
      <c r="BI273">
        <v>0</v>
      </c>
      <c r="BJ273" t="s">
        <v>862</v>
      </c>
      <c r="BK273">
        <v>1</v>
      </c>
      <c r="BL273">
        <v>1</v>
      </c>
      <c r="BM273">
        <v>0</v>
      </c>
      <c r="BN273" t="s">
        <v>596</v>
      </c>
      <c r="BO273">
        <v>153294162</v>
      </c>
      <c r="BP273" t="s">
        <v>6277</v>
      </c>
      <c r="BR273">
        <v>42791464</v>
      </c>
      <c r="BT273">
        <v>0</v>
      </c>
      <c r="BU273" t="s">
        <v>1062</v>
      </c>
      <c r="BY273">
        <v>16</v>
      </c>
      <c r="CA273">
        <v>39</v>
      </c>
      <c r="CE273">
        <v>0</v>
      </c>
      <c r="CI273">
        <v>11</v>
      </c>
      <c r="CJ273" t="s">
        <v>94</v>
      </c>
      <c r="CM273">
        <v>4010</v>
      </c>
      <c r="CO273">
        <v>7360</v>
      </c>
      <c r="CP273">
        <v>0.26669999999999999</v>
      </c>
      <c r="CQ273">
        <v>0.26669999999999999</v>
      </c>
      <c r="CR273">
        <v>0.91669999999999996</v>
      </c>
      <c r="CS273">
        <v>0</v>
      </c>
      <c r="CT273" t="s">
        <v>6285</v>
      </c>
      <c r="CU273" t="s">
        <v>6286</v>
      </c>
      <c r="CV273" t="s">
        <v>833</v>
      </c>
      <c r="CW273" t="s">
        <v>834</v>
      </c>
      <c r="CX273" t="s">
        <v>6278</v>
      </c>
      <c r="CY273">
        <v>1</v>
      </c>
      <c r="CZ273">
        <v>1</v>
      </c>
      <c r="DA273" t="s">
        <v>833</v>
      </c>
      <c r="DB273" t="s">
        <v>865</v>
      </c>
      <c r="DC273">
        <v>56387</v>
      </c>
      <c r="DD273">
        <v>38.866700000000002</v>
      </c>
      <c r="DE273" t="s">
        <v>866</v>
      </c>
      <c r="DG273" t="s">
        <v>867</v>
      </c>
      <c r="DH273" t="s">
        <v>851</v>
      </c>
      <c r="DI273" t="s">
        <v>4437</v>
      </c>
      <c r="DK273" t="s">
        <v>918</v>
      </c>
      <c r="DL273" t="s">
        <v>869</v>
      </c>
      <c r="DM273">
        <v>0</v>
      </c>
      <c r="DN273">
        <v>0</v>
      </c>
      <c r="DO273">
        <v>11</v>
      </c>
      <c r="DP273" t="s">
        <v>1010</v>
      </c>
      <c r="DQ273">
        <v>16</v>
      </c>
      <c r="DR273">
        <v>2332</v>
      </c>
      <c r="DS273">
        <v>4506</v>
      </c>
      <c r="DT273">
        <v>2.2332999999999998</v>
      </c>
      <c r="DU273">
        <v>4</v>
      </c>
      <c r="DV273">
        <v>1</v>
      </c>
      <c r="DW273">
        <v>2</v>
      </c>
      <c r="DX273" t="s">
        <v>596</v>
      </c>
      <c r="DY273" t="s">
        <v>6278</v>
      </c>
      <c r="DZ273">
        <v>0</v>
      </c>
      <c r="EA273">
        <v>0</v>
      </c>
      <c r="EB273">
        <v>1</v>
      </c>
      <c r="EC273">
        <v>1</v>
      </c>
      <c r="ED273">
        <v>1</v>
      </c>
      <c r="EE273">
        <v>1</v>
      </c>
      <c r="EF273" t="s">
        <v>920</v>
      </c>
      <c r="EG273" t="s">
        <v>595</v>
      </c>
      <c r="EH273" t="s">
        <v>921</v>
      </c>
      <c r="EI273" t="s">
        <v>921</v>
      </c>
      <c r="EJ273" t="s">
        <v>159</v>
      </c>
      <c r="EK273">
        <v>9090</v>
      </c>
      <c r="EL273">
        <v>1</v>
      </c>
      <c r="EM273" t="s">
        <v>873</v>
      </c>
      <c r="EN273">
        <v>0.91669999999999996</v>
      </c>
      <c r="EO273">
        <v>75.099999999999994</v>
      </c>
      <c r="EP273">
        <v>99991120</v>
      </c>
      <c r="EQ273" t="s">
        <v>874</v>
      </c>
      <c r="ER273" t="s">
        <v>875</v>
      </c>
      <c r="ES273" t="s">
        <v>876</v>
      </c>
      <c r="ET273" t="s">
        <v>877</v>
      </c>
      <c r="EU273" t="s">
        <v>877</v>
      </c>
      <c r="EV273" t="s">
        <v>920</v>
      </c>
      <c r="EX273" t="s">
        <v>836</v>
      </c>
      <c r="EY273" t="s">
        <v>873</v>
      </c>
      <c r="EZ273" t="s">
        <v>1122</v>
      </c>
      <c r="FA273" t="s">
        <v>956</v>
      </c>
      <c r="FB273">
        <v>1</v>
      </c>
      <c r="FC273">
        <v>2</v>
      </c>
      <c r="FD273" s="41">
        <v>46221</v>
      </c>
      <c r="FE273" t="s">
        <v>1066</v>
      </c>
      <c r="FF273">
        <v>8</v>
      </c>
      <c r="FG273" t="s">
        <v>6287</v>
      </c>
      <c r="FH273" t="s">
        <v>6288</v>
      </c>
      <c r="FI273">
        <v>1</v>
      </c>
      <c r="FJ273" t="s">
        <v>6289</v>
      </c>
      <c r="FK273" t="s">
        <v>6290</v>
      </c>
      <c r="FL273">
        <v>1</v>
      </c>
      <c r="FM273" t="s">
        <v>6291</v>
      </c>
      <c r="FN273" t="s">
        <v>6292</v>
      </c>
      <c r="FO273">
        <v>1</v>
      </c>
      <c r="FP273" t="s">
        <v>6293</v>
      </c>
      <c r="FQ273" t="s">
        <v>6286</v>
      </c>
      <c r="FR273">
        <v>1</v>
      </c>
      <c r="FS273" t="s">
        <v>1958</v>
      </c>
      <c r="FT273" t="s">
        <v>6294</v>
      </c>
      <c r="FU273">
        <v>1</v>
      </c>
      <c r="FV273" t="s">
        <v>6295</v>
      </c>
      <c r="FW273" t="s">
        <v>6296</v>
      </c>
      <c r="FX273">
        <v>1</v>
      </c>
      <c r="FY273" t="s">
        <v>890</v>
      </c>
      <c r="FZ273" t="s">
        <v>6297</v>
      </c>
      <c r="GA273" t="s">
        <v>6289</v>
      </c>
      <c r="GB273">
        <v>1</v>
      </c>
      <c r="GD273">
        <v>0</v>
      </c>
      <c r="GF273">
        <v>0</v>
      </c>
      <c r="GG273">
        <v>1</v>
      </c>
      <c r="GH273" t="s">
        <v>892</v>
      </c>
      <c r="GI273" t="s">
        <v>893</v>
      </c>
      <c r="GJ273" t="s">
        <v>6290</v>
      </c>
      <c r="GM273">
        <v>1</v>
      </c>
      <c r="GN273">
        <v>0</v>
      </c>
      <c r="GO273">
        <v>0</v>
      </c>
      <c r="GP273">
        <v>1</v>
      </c>
      <c r="GQ273">
        <v>1</v>
      </c>
      <c r="GR273">
        <v>0</v>
      </c>
      <c r="GS273">
        <v>1</v>
      </c>
      <c r="GT273">
        <v>0</v>
      </c>
      <c r="GU273">
        <v>1</v>
      </c>
      <c r="GV273">
        <v>0</v>
      </c>
      <c r="GW273">
        <v>1</v>
      </c>
      <c r="GX273">
        <v>0</v>
      </c>
      <c r="GY273">
        <v>1</v>
      </c>
      <c r="GZ273">
        <v>0</v>
      </c>
      <c r="HA273" t="s">
        <v>325</v>
      </c>
      <c r="HB273" t="s">
        <v>894</v>
      </c>
      <c r="HC273" t="s">
        <v>895</v>
      </c>
      <c r="HD273" t="s">
        <v>845</v>
      </c>
      <c r="HE273" t="s">
        <v>836</v>
      </c>
      <c r="HF273" t="s">
        <v>873</v>
      </c>
      <c r="HG273" t="s">
        <v>894</v>
      </c>
      <c r="HH273" t="s">
        <v>895</v>
      </c>
      <c r="HI273" t="s">
        <v>845</v>
      </c>
      <c r="HJ273" t="s">
        <v>836</v>
      </c>
      <c r="HK273" t="s">
        <v>873</v>
      </c>
      <c r="HL273" t="s">
        <v>1943</v>
      </c>
      <c r="HM273" t="s">
        <v>854</v>
      </c>
      <c r="HN273">
        <v>36805</v>
      </c>
      <c r="HP273" t="s">
        <v>159</v>
      </c>
      <c r="HQ273" t="s">
        <v>896</v>
      </c>
      <c r="HR273" t="s">
        <v>896</v>
      </c>
      <c r="HS273" t="s">
        <v>896</v>
      </c>
    </row>
    <row r="274" spans="1:227" x14ac:dyDescent="0.2">
      <c r="A274">
        <v>8702</v>
      </c>
      <c r="B274">
        <v>7530801152</v>
      </c>
      <c r="C274" t="s">
        <v>829</v>
      </c>
      <c r="D274" t="s">
        <v>830</v>
      </c>
      <c r="E274" t="s">
        <v>831</v>
      </c>
      <c r="F274">
        <v>1</v>
      </c>
      <c r="G274" t="s">
        <v>6298</v>
      </c>
      <c r="H274" t="s">
        <v>6298</v>
      </c>
      <c r="I274">
        <v>0</v>
      </c>
      <c r="J274" t="s">
        <v>833</v>
      </c>
      <c r="K274" t="s">
        <v>834</v>
      </c>
      <c r="L274">
        <v>153406499</v>
      </c>
      <c r="M274" t="s">
        <v>3997</v>
      </c>
      <c r="N274" t="s">
        <v>836</v>
      </c>
      <c r="O274" t="s">
        <v>837</v>
      </c>
      <c r="P274" t="s">
        <v>838</v>
      </c>
      <c r="Q274" t="s">
        <v>1279</v>
      </c>
      <c r="R274" t="s">
        <v>6299</v>
      </c>
      <c r="S274" t="s">
        <v>6300</v>
      </c>
      <c r="T274">
        <v>41477125348</v>
      </c>
      <c r="V274" t="s">
        <v>4001</v>
      </c>
      <c r="W274" s="41">
        <v>45965</v>
      </c>
      <c r="X274" t="s">
        <v>6301</v>
      </c>
      <c r="Y274" t="s">
        <v>6302</v>
      </c>
      <c r="AA274">
        <v>0</v>
      </c>
      <c r="AB274" t="s">
        <v>845</v>
      </c>
      <c r="AC274" t="s">
        <v>846</v>
      </c>
      <c r="AD274" t="s">
        <v>847</v>
      </c>
      <c r="AE274" t="s">
        <v>848</v>
      </c>
      <c r="AF274">
        <v>1</v>
      </c>
      <c r="AG274">
        <v>452210</v>
      </c>
      <c r="AH274" t="s">
        <v>849</v>
      </c>
      <c r="AI274" t="s">
        <v>850</v>
      </c>
      <c r="AJ274" t="s">
        <v>851</v>
      </c>
      <c r="AK274" t="s">
        <v>535</v>
      </c>
      <c r="AL274" t="s">
        <v>6303</v>
      </c>
      <c r="AM274" t="s">
        <v>4005</v>
      </c>
      <c r="AN274" t="s">
        <v>854</v>
      </c>
      <c r="AO274">
        <v>36805</v>
      </c>
      <c r="AP274">
        <v>543</v>
      </c>
      <c r="AQ274" t="s">
        <v>855</v>
      </c>
      <c r="AR274">
        <v>66187693</v>
      </c>
      <c r="AS274" t="s">
        <v>856</v>
      </c>
      <c r="AU274" t="s">
        <v>6304</v>
      </c>
      <c r="AV274" t="s">
        <v>6305</v>
      </c>
      <c r="AX274" t="s">
        <v>913</v>
      </c>
      <c r="AY274" t="s">
        <v>861</v>
      </c>
      <c r="AZ274" t="s">
        <v>535</v>
      </c>
      <c r="BA274" t="s">
        <v>536</v>
      </c>
      <c r="BB274">
        <v>0</v>
      </c>
      <c r="BC274">
        <v>0</v>
      </c>
      <c r="BD274">
        <v>0</v>
      </c>
      <c r="BE274" t="s">
        <v>3997</v>
      </c>
      <c r="BF274">
        <v>0</v>
      </c>
      <c r="BG274">
        <v>0</v>
      </c>
      <c r="BH274" t="s">
        <v>862</v>
      </c>
      <c r="BI274">
        <v>0</v>
      </c>
      <c r="BJ274" t="s">
        <v>862</v>
      </c>
      <c r="BK274">
        <v>1</v>
      </c>
      <c r="BL274">
        <v>1</v>
      </c>
      <c r="BM274">
        <v>0</v>
      </c>
      <c r="BN274" t="s">
        <v>596</v>
      </c>
      <c r="BO274">
        <v>153406499</v>
      </c>
      <c r="BP274" t="s">
        <v>6298</v>
      </c>
      <c r="BR274">
        <v>42791458</v>
      </c>
      <c r="BT274">
        <v>0</v>
      </c>
      <c r="CM274">
        <v>4010</v>
      </c>
      <c r="CO274">
        <v>7360</v>
      </c>
      <c r="CP274">
        <v>0.9667</v>
      </c>
      <c r="CQ274">
        <v>0.9667</v>
      </c>
      <c r="CR274">
        <v>1.0667</v>
      </c>
      <c r="CS274">
        <v>3</v>
      </c>
      <c r="CT274" t="s">
        <v>6306</v>
      </c>
      <c r="CU274" t="s">
        <v>6307</v>
      </c>
      <c r="CV274" t="s">
        <v>833</v>
      </c>
      <c r="CW274" t="s">
        <v>834</v>
      </c>
      <c r="CX274" t="s">
        <v>3997</v>
      </c>
      <c r="CY274">
        <v>0</v>
      </c>
      <c r="CZ274">
        <v>0</v>
      </c>
      <c r="DA274" t="s">
        <v>833</v>
      </c>
      <c r="DB274" t="s">
        <v>865</v>
      </c>
      <c r="DC274">
        <v>55416</v>
      </c>
      <c r="DD274">
        <v>3.55</v>
      </c>
      <c r="DE274" t="s">
        <v>866</v>
      </c>
      <c r="DG274" t="s">
        <v>867</v>
      </c>
      <c r="DH274" t="s">
        <v>851</v>
      </c>
      <c r="DJ274" t="s">
        <v>6308</v>
      </c>
      <c r="DL274" t="s">
        <v>869</v>
      </c>
      <c r="DM274">
        <v>0</v>
      </c>
      <c r="DN274">
        <v>0</v>
      </c>
      <c r="DO274">
        <v>3</v>
      </c>
      <c r="DP274" t="s">
        <v>919</v>
      </c>
      <c r="DQ274">
        <v>16</v>
      </c>
      <c r="DR274">
        <v>213</v>
      </c>
      <c r="DS274">
        <v>213</v>
      </c>
      <c r="DT274">
        <v>2.5832999999999999</v>
      </c>
      <c r="DU274">
        <v>4</v>
      </c>
      <c r="DW274">
        <v>2</v>
      </c>
      <c r="DX274" t="s">
        <v>596</v>
      </c>
      <c r="DY274" t="s">
        <v>3997</v>
      </c>
      <c r="DZ274">
        <v>1</v>
      </c>
      <c r="EA274">
        <v>1</v>
      </c>
      <c r="EB274">
        <v>1</v>
      </c>
      <c r="EC274">
        <v>1</v>
      </c>
      <c r="ED274">
        <v>1</v>
      </c>
      <c r="EE274">
        <v>1</v>
      </c>
      <c r="EF274" t="s">
        <v>871</v>
      </c>
      <c r="EG274" t="s">
        <v>595</v>
      </c>
      <c r="EH274" t="s">
        <v>921</v>
      </c>
      <c r="EI274" t="s">
        <v>921</v>
      </c>
      <c r="EJ274" t="s">
        <v>159</v>
      </c>
      <c r="EK274">
        <v>9090</v>
      </c>
      <c r="EL274">
        <v>0</v>
      </c>
      <c r="EM274" t="s">
        <v>873</v>
      </c>
      <c r="EN274">
        <v>1.0667</v>
      </c>
      <c r="EO274">
        <v>3.55</v>
      </c>
      <c r="EP274">
        <v>99991120</v>
      </c>
      <c r="EQ274" t="s">
        <v>874</v>
      </c>
      <c r="ER274" t="s">
        <v>875</v>
      </c>
      <c r="ES274" t="s">
        <v>876</v>
      </c>
      <c r="ET274" t="s">
        <v>877</v>
      </c>
      <c r="EU274" t="s">
        <v>877</v>
      </c>
      <c r="EV274" t="s">
        <v>871</v>
      </c>
      <c r="EX274" t="s">
        <v>836</v>
      </c>
      <c r="EY274" t="s">
        <v>1121</v>
      </c>
      <c r="EZ274" t="s">
        <v>1122</v>
      </c>
      <c r="FA274" t="s">
        <v>956</v>
      </c>
      <c r="FB274">
        <v>1</v>
      </c>
      <c r="FC274">
        <v>1</v>
      </c>
      <c r="FD274" s="41">
        <v>45969</v>
      </c>
      <c r="FE274" t="s">
        <v>1438</v>
      </c>
      <c r="FF274">
        <v>10</v>
      </c>
      <c r="FG274" t="s">
        <v>3880</v>
      </c>
      <c r="FH274" t="s">
        <v>6309</v>
      </c>
      <c r="FI274">
        <v>1</v>
      </c>
      <c r="FJ274" t="s">
        <v>6310</v>
      </c>
      <c r="FK274" t="s">
        <v>6311</v>
      </c>
      <c r="FL274">
        <v>1</v>
      </c>
      <c r="FM274" t="s">
        <v>4012</v>
      </c>
      <c r="FN274" t="s">
        <v>6312</v>
      </c>
      <c r="FO274">
        <v>1</v>
      </c>
      <c r="FP274" t="s">
        <v>6313</v>
      </c>
      <c r="FQ274" t="s">
        <v>6307</v>
      </c>
      <c r="FR274">
        <v>1</v>
      </c>
      <c r="FS274" t="s">
        <v>1672</v>
      </c>
      <c r="FT274" t="s">
        <v>6314</v>
      </c>
      <c r="FU274">
        <v>1</v>
      </c>
      <c r="FV274" t="s">
        <v>6315</v>
      </c>
      <c r="FW274" t="s">
        <v>6316</v>
      </c>
      <c r="FX274">
        <v>1</v>
      </c>
      <c r="FY274" t="s">
        <v>890</v>
      </c>
      <c r="FZ274" t="s">
        <v>6317</v>
      </c>
      <c r="GA274" t="s">
        <v>6310</v>
      </c>
      <c r="GB274">
        <v>1</v>
      </c>
      <c r="GD274">
        <v>0</v>
      </c>
      <c r="GF274">
        <v>0</v>
      </c>
      <c r="GG274">
        <v>1</v>
      </c>
      <c r="GH274" t="s">
        <v>892</v>
      </c>
      <c r="GI274" t="s">
        <v>893</v>
      </c>
      <c r="GJ274" t="s">
        <v>6311</v>
      </c>
      <c r="GM274">
        <v>1</v>
      </c>
      <c r="GN274">
        <v>1</v>
      </c>
      <c r="GO274">
        <v>0</v>
      </c>
      <c r="GP274">
        <v>1</v>
      </c>
      <c r="GQ274">
        <v>1</v>
      </c>
      <c r="GR274">
        <v>0</v>
      </c>
      <c r="GS274">
        <v>1</v>
      </c>
      <c r="GT274">
        <v>0</v>
      </c>
      <c r="GU274">
        <v>1</v>
      </c>
      <c r="GV274">
        <v>0</v>
      </c>
      <c r="GW274">
        <v>1</v>
      </c>
      <c r="GX274">
        <v>0</v>
      </c>
      <c r="GY274">
        <v>1</v>
      </c>
      <c r="GZ274">
        <v>0</v>
      </c>
      <c r="HA274" t="s">
        <v>535</v>
      </c>
      <c r="HB274" t="s">
        <v>894</v>
      </c>
      <c r="HC274" t="s">
        <v>895</v>
      </c>
      <c r="HD274" t="s">
        <v>845</v>
      </c>
      <c r="HE274" t="s">
        <v>836</v>
      </c>
      <c r="HF274" t="s">
        <v>873</v>
      </c>
      <c r="HG274" t="s">
        <v>894</v>
      </c>
      <c r="HH274" t="s">
        <v>895</v>
      </c>
      <c r="HI274" t="s">
        <v>845</v>
      </c>
      <c r="HJ274" t="s">
        <v>836</v>
      </c>
      <c r="HK274" t="s">
        <v>873</v>
      </c>
      <c r="HL274" t="s">
        <v>4001</v>
      </c>
      <c r="HM274" t="s">
        <v>854</v>
      </c>
      <c r="HN274">
        <v>36805</v>
      </c>
      <c r="HP274" t="s">
        <v>159</v>
      </c>
      <c r="HQ274" t="s">
        <v>896</v>
      </c>
      <c r="HR274" t="s">
        <v>896</v>
      </c>
      <c r="HS274" t="s">
        <v>896</v>
      </c>
    </row>
    <row r="275" spans="1:227" x14ac:dyDescent="0.2">
      <c r="A275">
        <v>8702</v>
      </c>
      <c r="B275">
        <v>7534410950</v>
      </c>
      <c r="C275">
        <v>34</v>
      </c>
      <c r="D275" t="s">
        <v>996</v>
      </c>
      <c r="E275" t="s">
        <v>831</v>
      </c>
      <c r="F275">
        <v>1</v>
      </c>
      <c r="G275" t="s">
        <v>6318</v>
      </c>
      <c r="H275" t="s">
        <v>6318</v>
      </c>
      <c r="I275">
        <v>0</v>
      </c>
      <c r="J275" t="s">
        <v>833</v>
      </c>
      <c r="K275" t="s">
        <v>834</v>
      </c>
      <c r="L275">
        <v>142427772</v>
      </c>
      <c r="M275" t="s">
        <v>6319</v>
      </c>
      <c r="N275" t="s">
        <v>836</v>
      </c>
      <c r="O275" t="s">
        <v>837</v>
      </c>
      <c r="P275" t="s">
        <v>999</v>
      </c>
      <c r="Q275" t="s">
        <v>1027</v>
      </c>
      <c r="R275" t="s">
        <v>6320</v>
      </c>
      <c r="S275" t="s">
        <v>6321</v>
      </c>
      <c r="T275">
        <v>41477009259</v>
      </c>
      <c r="V275" t="s">
        <v>1083</v>
      </c>
      <c r="W275" s="41">
        <v>46002</v>
      </c>
      <c r="X275" t="s">
        <v>6322</v>
      </c>
      <c r="Y275" t="s">
        <v>6323</v>
      </c>
      <c r="AA275">
        <v>0</v>
      </c>
      <c r="AB275" t="s">
        <v>845</v>
      </c>
      <c r="AC275" t="s">
        <v>846</v>
      </c>
      <c r="AD275" t="s">
        <v>847</v>
      </c>
      <c r="AE275" t="s">
        <v>848</v>
      </c>
      <c r="AF275">
        <v>1</v>
      </c>
      <c r="AG275">
        <v>452210</v>
      </c>
      <c r="AH275" t="s">
        <v>849</v>
      </c>
      <c r="AI275" t="s">
        <v>850</v>
      </c>
      <c r="AJ275" t="s">
        <v>851</v>
      </c>
      <c r="AK275" t="s">
        <v>257</v>
      </c>
      <c r="AL275" t="s">
        <v>2012</v>
      </c>
      <c r="AM275" t="s">
        <v>1087</v>
      </c>
      <c r="AN275" t="s">
        <v>854</v>
      </c>
      <c r="AO275">
        <v>36805</v>
      </c>
      <c r="AP275">
        <v>448</v>
      </c>
      <c r="AQ275" t="s">
        <v>855</v>
      </c>
      <c r="AR275">
        <v>66240698</v>
      </c>
      <c r="AS275" t="s">
        <v>856</v>
      </c>
      <c r="AU275" t="s">
        <v>6324</v>
      </c>
      <c r="AV275" t="s">
        <v>6325</v>
      </c>
      <c r="AX275" t="s">
        <v>913</v>
      </c>
      <c r="AY275" t="s">
        <v>861</v>
      </c>
      <c r="AZ275" t="s">
        <v>257</v>
      </c>
      <c r="BA275" t="s">
        <v>258</v>
      </c>
      <c r="BB275">
        <v>0</v>
      </c>
      <c r="BC275">
        <v>1</v>
      </c>
      <c r="BD275">
        <v>0</v>
      </c>
      <c r="BE275" t="s">
        <v>6319</v>
      </c>
      <c r="BF275">
        <v>0</v>
      </c>
      <c r="BG275">
        <v>0</v>
      </c>
      <c r="BH275" t="s">
        <v>862</v>
      </c>
      <c r="BI275">
        <v>0</v>
      </c>
      <c r="BJ275" t="s">
        <v>862</v>
      </c>
      <c r="BK275">
        <v>1</v>
      </c>
      <c r="BL275">
        <v>1</v>
      </c>
      <c r="BM275">
        <v>0</v>
      </c>
      <c r="BN275" t="s">
        <v>596</v>
      </c>
      <c r="BO275">
        <v>142427772</v>
      </c>
      <c r="BP275" t="s">
        <v>6318</v>
      </c>
      <c r="BQ275">
        <v>38.633324600000002</v>
      </c>
      <c r="BR275">
        <v>42511030</v>
      </c>
      <c r="BS275">
        <v>-90.238514800000004</v>
      </c>
      <c r="BT275">
        <v>0</v>
      </c>
      <c r="CM275">
        <v>4010</v>
      </c>
      <c r="CO275">
        <v>7360</v>
      </c>
      <c r="CP275">
        <v>0.81669999999999998</v>
      </c>
      <c r="CQ275">
        <v>0.81669999999999998</v>
      </c>
      <c r="CR275">
        <v>1.2666999999999999</v>
      </c>
      <c r="CS275">
        <v>2</v>
      </c>
      <c r="CT275" t="s">
        <v>6326</v>
      </c>
      <c r="CU275" t="s">
        <v>6327</v>
      </c>
      <c r="CV275" t="s">
        <v>833</v>
      </c>
      <c r="CW275" t="s">
        <v>834</v>
      </c>
      <c r="CX275" t="s">
        <v>6319</v>
      </c>
      <c r="CY275">
        <v>1</v>
      </c>
      <c r="CZ275">
        <v>1</v>
      </c>
      <c r="DA275" t="s">
        <v>833</v>
      </c>
      <c r="DB275" t="s">
        <v>865</v>
      </c>
      <c r="DC275">
        <v>63110</v>
      </c>
      <c r="DD275">
        <v>16.399999999999999</v>
      </c>
      <c r="DE275" t="s">
        <v>866</v>
      </c>
      <c r="DG275" t="s">
        <v>867</v>
      </c>
      <c r="DH275" t="s">
        <v>851</v>
      </c>
      <c r="DI275" t="s">
        <v>1092</v>
      </c>
      <c r="DL275" t="s">
        <v>869</v>
      </c>
      <c r="DM275">
        <v>0</v>
      </c>
      <c r="DN275">
        <v>0</v>
      </c>
      <c r="DO275">
        <v>11</v>
      </c>
      <c r="DP275" t="s">
        <v>1010</v>
      </c>
      <c r="DQ275">
        <v>16</v>
      </c>
      <c r="DR275">
        <v>984</v>
      </c>
      <c r="DS275">
        <v>1704</v>
      </c>
      <c r="DT275">
        <v>15.583299999999999</v>
      </c>
      <c r="DU275">
        <v>4</v>
      </c>
      <c r="DW275">
        <v>2</v>
      </c>
      <c r="DX275" t="s">
        <v>596</v>
      </c>
      <c r="DY275" t="s">
        <v>6319</v>
      </c>
      <c r="DZ275">
        <v>0</v>
      </c>
      <c r="EA275">
        <v>0</v>
      </c>
      <c r="EB275">
        <v>1</v>
      </c>
      <c r="EC275">
        <v>0</v>
      </c>
      <c r="ED275">
        <v>0</v>
      </c>
      <c r="EE275">
        <v>1</v>
      </c>
      <c r="EF275" t="s">
        <v>920</v>
      </c>
      <c r="EG275" t="s">
        <v>595</v>
      </c>
      <c r="EH275" t="s">
        <v>921</v>
      </c>
      <c r="EI275" t="s">
        <v>921</v>
      </c>
      <c r="EJ275" t="s">
        <v>111</v>
      </c>
      <c r="EK275">
        <v>9090</v>
      </c>
      <c r="EL275">
        <v>0</v>
      </c>
      <c r="EM275" t="s">
        <v>1037</v>
      </c>
      <c r="EN275">
        <v>1.2666999999999999</v>
      </c>
      <c r="EO275">
        <v>28.4</v>
      </c>
      <c r="EP275">
        <v>99991120</v>
      </c>
      <c r="EQ275" t="s">
        <v>874</v>
      </c>
      <c r="ER275" t="s">
        <v>875</v>
      </c>
      <c r="ES275" t="s">
        <v>876</v>
      </c>
      <c r="ET275" t="s">
        <v>877</v>
      </c>
      <c r="EU275" t="s">
        <v>877</v>
      </c>
      <c r="EV275" t="s">
        <v>920</v>
      </c>
      <c r="EX275" t="s">
        <v>900</v>
      </c>
      <c r="EY275" t="s">
        <v>923</v>
      </c>
      <c r="EZ275" t="s">
        <v>1038</v>
      </c>
      <c r="FA275" t="s">
        <v>925</v>
      </c>
      <c r="FB275">
        <v>1</v>
      </c>
      <c r="FC275">
        <v>1</v>
      </c>
      <c r="FD275" s="41">
        <v>46004</v>
      </c>
      <c r="FE275" t="s">
        <v>957</v>
      </c>
      <c r="FF275">
        <v>18</v>
      </c>
      <c r="FG275" t="s">
        <v>6328</v>
      </c>
      <c r="FH275" t="s">
        <v>6329</v>
      </c>
      <c r="FI275">
        <v>1</v>
      </c>
      <c r="FJ275" t="s">
        <v>6330</v>
      </c>
      <c r="FK275" t="s">
        <v>6331</v>
      </c>
      <c r="FL275">
        <v>1</v>
      </c>
      <c r="FM275" t="s">
        <v>6332</v>
      </c>
      <c r="FN275" t="s">
        <v>6333</v>
      </c>
      <c r="FO275">
        <v>1</v>
      </c>
      <c r="FP275" t="s">
        <v>6334</v>
      </c>
      <c r="FQ275" t="s">
        <v>6335</v>
      </c>
      <c r="FR275">
        <v>1</v>
      </c>
      <c r="FS275" t="s">
        <v>4075</v>
      </c>
      <c r="FT275" t="s">
        <v>6336</v>
      </c>
      <c r="FU275">
        <v>1</v>
      </c>
      <c r="FV275" t="s">
        <v>4077</v>
      </c>
      <c r="FW275" t="s">
        <v>6337</v>
      </c>
      <c r="FX275">
        <v>1</v>
      </c>
      <c r="FY275" t="s">
        <v>890</v>
      </c>
      <c r="FZ275" t="s">
        <v>6338</v>
      </c>
      <c r="GA275" t="s">
        <v>6339</v>
      </c>
      <c r="GB275">
        <v>1</v>
      </c>
      <c r="GD275">
        <v>0</v>
      </c>
      <c r="GF275">
        <v>0</v>
      </c>
      <c r="GG275">
        <v>1</v>
      </c>
      <c r="GH275" t="s">
        <v>892</v>
      </c>
      <c r="GI275" t="s">
        <v>893</v>
      </c>
      <c r="GJ275" t="s">
        <v>6340</v>
      </c>
      <c r="GM275">
        <v>1</v>
      </c>
      <c r="GN275">
        <v>1</v>
      </c>
      <c r="GO275">
        <v>0</v>
      </c>
      <c r="GP275">
        <v>1</v>
      </c>
      <c r="GQ275">
        <v>1</v>
      </c>
      <c r="GR275">
        <v>0</v>
      </c>
      <c r="GS275">
        <v>1</v>
      </c>
      <c r="GT275">
        <v>0</v>
      </c>
      <c r="GU275">
        <v>1</v>
      </c>
      <c r="GV275">
        <v>0</v>
      </c>
      <c r="GW275">
        <v>1</v>
      </c>
      <c r="GX275">
        <v>0</v>
      </c>
      <c r="GY275">
        <v>1</v>
      </c>
      <c r="GZ275">
        <v>0</v>
      </c>
      <c r="HA275" t="s">
        <v>257</v>
      </c>
      <c r="HB275" t="s">
        <v>894</v>
      </c>
      <c r="HC275" t="s">
        <v>895</v>
      </c>
      <c r="HD275" t="s">
        <v>845</v>
      </c>
      <c r="HE275" t="s">
        <v>836</v>
      </c>
      <c r="HF275" t="s">
        <v>1051</v>
      </c>
      <c r="HG275" t="s">
        <v>894</v>
      </c>
      <c r="HH275" t="s">
        <v>895</v>
      </c>
      <c r="HI275" t="s">
        <v>845</v>
      </c>
      <c r="HJ275" t="s">
        <v>836</v>
      </c>
      <c r="HK275" t="s">
        <v>1037</v>
      </c>
      <c r="HL275" t="s">
        <v>1083</v>
      </c>
      <c r="HM275" t="s">
        <v>854</v>
      </c>
      <c r="HN275">
        <v>36805</v>
      </c>
      <c r="HP275" t="s">
        <v>111</v>
      </c>
      <c r="HQ275" t="s">
        <v>896</v>
      </c>
      <c r="HR275" t="s">
        <v>896</v>
      </c>
      <c r="HS275" t="s">
        <v>896</v>
      </c>
    </row>
    <row r="276" spans="1:227" x14ac:dyDescent="0.2">
      <c r="A276">
        <v>8702</v>
      </c>
      <c r="B276">
        <v>7615002346</v>
      </c>
      <c r="C276" t="s">
        <v>2265</v>
      </c>
      <c r="D276" t="s">
        <v>2266</v>
      </c>
      <c r="E276" t="s">
        <v>831</v>
      </c>
      <c r="F276">
        <v>2</v>
      </c>
      <c r="G276" t="s">
        <v>6341</v>
      </c>
      <c r="H276" t="s">
        <v>6341</v>
      </c>
      <c r="I276">
        <v>0</v>
      </c>
      <c r="J276" t="s">
        <v>833</v>
      </c>
      <c r="K276" t="s">
        <v>834</v>
      </c>
      <c r="L276">
        <v>153294196</v>
      </c>
      <c r="M276" t="s">
        <v>6342</v>
      </c>
      <c r="N276" t="s">
        <v>836</v>
      </c>
      <c r="O276" t="s">
        <v>837</v>
      </c>
      <c r="P276" t="s">
        <v>6141</v>
      </c>
      <c r="Q276" t="s">
        <v>6142</v>
      </c>
      <c r="R276" t="s">
        <v>6343</v>
      </c>
      <c r="S276" t="s">
        <v>6344</v>
      </c>
      <c r="T276">
        <v>41477127062</v>
      </c>
      <c r="V276" t="s">
        <v>2273</v>
      </c>
      <c r="W276" s="41">
        <v>46178</v>
      </c>
      <c r="X276" t="s">
        <v>6345</v>
      </c>
      <c r="Y276" t="s">
        <v>6346</v>
      </c>
      <c r="AA276">
        <v>0</v>
      </c>
      <c r="AB276" t="s">
        <v>845</v>
      </c>
      <c r="AC276" t="s">
        <v>846</v>
      </c>
      <c r="AD276" t="s">
        <v>907</v>
      </c>
      <c r="AE276" t="s">
        <v>908</v>
      </c>
      <c r="AF276">
        <v>1</v>
      </c>
      <c r="AG276">
        <v>452210</v>
      </c>
      <c r="AH276" t="s">
        <v>849</v>
      </c>
      <c r="AI276" t="s">
        <v>850</v>
      </c>
      <c r="AJ276" t="s">
        <v>851</v>
      </c>
      <c r="AK276" t="s">
        <v>451</v>
      </c>
      <c r="AL276" t="s">
        <v>1310</v>
      </c>
      <c r="AM276" t="s">
        <v>2277</v>
      </c>
      <c r="AN276" t="s">
        <v>854</v>
      </c>
      <c r="AO276">
        <v>36805</v>
      </c>
      <c r="AP276">
        <v>561</v>
      </c>
      <c r="AQ276" t="s">
        <v>855</v>
      </c>
      <c r="AR276">
        <v>66494434</v>
      </c>
      <c r="AS276" t="s">
        <v>856</v>
      </c>
      <c r="AU276" t="s">
        <v>6347</v>
      </c>
      <c r="AV276" t="s">
        <v>6348</v>
      </c>
      <c r="AX276" t="s">
        <v>913</v>
      </c>
      <c r="AY276" t="s">
        <v>861</v>
      </c>
      <c r="AZ276" t="s">
        <v>451</v>
      </c>
      <c r="BA276" t="s">
        <v>398</v>
      </c>
      <c r="BB276">
        <v>1</v>
      </c>
      <c r="BC276">
        <v>0</v>
      </c>
      <c r="BD276">
        <v>0</v>
      </c>
      <c r="BE276" t="s">
        <v>6342</v>
      </c>
      <c r="BF276">
        <v>0</v>
      </c>
      <c r="BG276">
        <v>0</v>
      </c>
      <c r="BH276" t="s">
        <v>862</v>
      </c>
      <c r="BI276">
        <v>0</v>
      </c>
      <c r="BJ276" t="s">
        <v>862</v>
      </c>
      <c r="BK276">
        <v>1</v>
      </c>
      <c r="BL276">
        <v>1</v>
      </c>
      <c r="BM276">
        <v>0</v>
      </c>
      <c r="BN276" t="s">
        <v>596</v>
      </c>
      <c r="BO276">
        <v>153294196</v>
      </c>
      <c r="BP276" t="s">
        <v>6341</v>
      </c>
      <c r="BR276">
        <v>42791463</v>
      </c>
      <c r="BT276">
        <v>0</v>
      </c>
      <c r="BU276" t="s">
        <v>1314</v>
      </c>
      <c r="BY276">
        <v>16</v>
      </c>
      <c r="CA276">
        <v>78</v>
      </c>
      <c r="CE276">
        <v>0</v>
      </c>
      <c r="CI276">
        <v>11</v>
      </c>
      <c r="CJ276" t="s">
        <v>94</v>
      </c>
      <c r="CM276">
        <v>4010</v>
      </c>
      <c r="CO276">
        <v>7360</v>
      </c>
      <c r="CP276">
        <v>2.3167</v>
      </c>
      <c r="CQ276">
        <v>2.3167</v>
      </c>
      <c r="CR276">
        <v>3.8167</v>
      </c>
      <c r="CS276">
        <v>0</v>
      </c>
      <c r="CT276" t="s">
        <v>6349</v>
      </c>
      <c r="CU276" t="s">
        <v>6350</v>
      </c>
      <c r="CV276" t="s">
        <v>833</v>
      </c>
      <c r="CW276" t="s">
        <v>834</v>
      </c>
      <c r="CX276" t="s">
        <v>6342</v>
      </c>
      <c r="CY276">
        <v>1</v>
      </c>
      <c r="CZ276">
        <v>1</v>
      </c>
      <c r="DA276" t="s">
        <v>833</v>
      </c>
      <c r="DB276" t="s">
        <v>865</v>
      </c>
      <c r="DC276">
        <v>55414</v>
      </c>
      <c r="DD276">
        <v>77.816699999999997</v>
      </c>
      <c r="DE276" t="s">
        <v>866</v>
      </c>
      <c r="DG276" t="s">
        <v>867</v>
      </c>
      <c r="DH276" t="s">
        <v>851</v>
      </c>
      <c r="DI276" t="s">
        <v>2142</v>
      </c>
      <c r="DK276" t="s">
        <v>918</v>
      </c>
      <c r="DL276" t="s">
        <v>869</v>
      </c>
      <c r="DM276">
        <v>0</v>
      </c>
      <c r="DN276">
        <v>0</v>
      </c>
      <c r="DO276">
        <v>11</v>
      </c>
      <c r="DP276" t="s">
        <v>1010</v>
      </c>
      <c r="DQ276">
        <v>16</v>
      </c>
      <c r="DR276">
        <v>4669</v>
      </c>
      <c r="DS276">
        <v>8989</v>
      </c>
      <c r="DT276">
        <v>5.9333</v>
      </c>
      <c r="DU276">
        <v>4</v>
      </c>
      <c r="DV276">
        <v>1</v>
      </c>
      <c r="DW276">
        <v>2</v>
      </c>
      <c r="DX276" t="s">
        <v>596</v>
      </c>
      <c r="DY276" t="s">
        <v>6342</v>
      </c>
      <c r="DZ276">
        <v>0</v>
      </c>
      <c r="EA276">
        <v>0</v>
      </c>
      <c r="EB276">
        <v>1</v>
      </c>
      <c r="EC276">
        <v>0</v>
      </c>
      <c r="ED276">
        <v>0</v>
      </c>
      <c r="EE276">
        <v>1</v>
      </c>
      <c r="EF276" t="s">
        <v>920</v>
      </c>
      <c r="EG276" t="s">
        <v>595</v>
      </c>
      <c r="EH276" t="s">
        <v>921</v>
      </c>
      <c r="EI276" t="s">
        <v>921</v>
      </c>
      <c r="EJ276" t="s">
        <v>159</v>
      </c>
      <c r="EK276">
        <v>9090</v>
      </c>
      <c r="EL276">
        <v>1</v>
      </c>
      <c r="EM276" t="s">
        <v>873</v>
      </c>
      <c r="EN276">
        <v>4.4832999999999998</v>
      </c>
      <c r="EO276">
        <v>149.81666670000001</v>
      </c>
      <c r="EP276">
        <v>99991120</v>
      </c>
      <c r="EQ276" t="s">
        <v>874</v>
      </c>
      <c r="ER276" t="s">
        <v>875</v>
      </c>
      <c r="ES276" t="s">
        <v>876</v>
      </c>
      <c r="ET276" t="s">
        <v>877</v>
      </c>
      <c r="EU276" t="s">
        <v>877</v>
      </c>
      <c r="EV276" t="s">
        <v>920</v>
      </c>
      <c r="EX276" t="s">
        <v>836</v>
      </c>
      <c r="EY276" t="s">
        <v>873</v>
      </c>
      <c r="EZ276" t="s">
        <v>1122</v>
      </c>
      <c r="FA276" t="s">
        <v>956</v>
      </c>
      <c r="FB276">
        <v>1</v>
      </c>
      <c r="FC276">
        <v>2</v>
      </c>
      <c r="FD276" s="41">
        <v>46179</v>
      </c>
      <c r="FE276" t="s">
        <v>1315</v>
      </c>
      <c r="FF276">
        <v>11</v>
      </c>
      <c r="FG276" t="s">
        <v>6351</v>
      </c>
      <c r="FH276" t="s">
        <v>6352</v>
      </c>
      <c r="FI276">
        <v>1</v>
      </c>
      <c r="FJ276" t="s">
        <v>6353</v>
      </c>
      <c r="FK276" t="s">
        <v>6352</v>
      </c>
      <c r="FL276">
        <v>1</v>
      </c>
      <c r="FM276" t="s">
        <v>6354</v>
      </c>
      <c r="FN276" t="s">
        <v>6355</v>
      </c>
      <c r="FO276">
        <v>1</v>
      </c>
      <c r="FP276" t="s">
        <v>6356</v>
      </c>
      <c r="FQ276" t="s">
        <v>6350</v>
      </c>
      <c r="FR276">
        <v>1</v>
      </c>
      <c r="FS276" t="s">
        <v>1130</v>
      </c>
      <c r="FT276" t="s">
        <v>6357</v>
      </c>
      <c r="FU276">
        <v>1</v>
      </c>
      <c r="FV276" t="s">
        <v>6358</v>
      </c>
      <c r="FW276" t="s">
        <v>6359</v>
      </c>
      <c r="FX276">
        <v>1</v>
      </c>
      <c r="FY276" t="s">
        <v>890</v>
      </c>
      <c r="FZ276" t="s">
        <v>6360</v>
      </c>
      <c r="GA276" t="s">
        <v>6353</v>
      </c>
      <c r="GB276">
        <v>1</v>
      </c>
      <c r="GD276">
        <v>0</v>
      </c>
      <c r="GF276">
        <v>0</v>
      </c>
      <c r="GG276">
        <v>1</v>
      </c>
      <c r="GH276" t="s">
        <v>892</v>
      </c>
      <c r="GI276" t="s">
        <v>893</v>
      </c>
      <c r="GJ276" t="s">
        <v>6352</v>
      </c>
      <c r="GM276">
        <v>1</v>
      </c>
      <c r="GN276">
        <v>0</v>
      </c>
      <c r="GO276">
        <v>0</v>
      </c>
      <c r="GP276">
        <v>1</v>
      </c>
      <c r="GQ276">
        <v>1</v>
      </c>
      <c r="GR276">
        <v>0</v>
      </c>
      <c r="GS276">
        <v>1</v>
      </c>
      <c r="GT276">
        <v>0</v>
      </c>
      <c r="GU276">
        <v>1</v>
      </c>
      <c r="GV276">
        <v>0</v>
      </c>
      <c r="GW276">
        <v>1</v>
      </c>
      <c r="GX276">
        <v>0</v>
      </c>
      <c r="GY276">
        <v>1</v>
      </c>
      <c r="GZ276">
        <v>0</v>
      </c>
      <c r="HA276" t="s">
        <v>451</v>
      </c>
      <c r="HB276" t="s">
        <v>894</v>
      </c>
      <c r="HC276" t="s">
        <v>895</v>
      </c>
      <c r="HD276" t="s">
        <v>845</v>
      </c>
      <c r="HE276" t="s">
        <v>836</v>
      </c>
      <c r="HF276" t="s">
        <v>873</v>
      </c>
      <c r="HG276" t="s">
        <v>894</v>
      </c>
      <c r="HH276" t="s">
        <v>895</v>
      </c>
      <c r="HI276" t="s">
        <v>845</v>
      </c>
      <c r="HJ276" t="s">
        <v>836</v>
      </c>
      <c r="HK276" t="s">
        <v>873</v>
      </c>
      <c r="HL276" t="s">
        <v>2273</v>
      </c>
      <c r="HM276" t="s">
        <v>854</v>
      </c>
      <c r="HN276">
        <v>36805</v>
      </c>
      <c r="HP276" t="s">
        <v>159</v>
      </c>
      <c r="HQ276" t="s">
        <v>896</v>
      </c>
      <c r="HR276" t="s">
        <v>896</v>
      </c>
      <c r="HS276" t="s">
        <v>896</v>
      </c>
    </row>
    <row r="277" spans="1:227" x14ac:dyDescent="0.2">
      <c r="A277">
        <v>8702</v>
      </c>
      <c r="B277">
        <v>7521904010</v>
      </c>
      <c r="C277">
        <v>36</v>
      </c>
      <c r="D277" t="s">
        <v>1302</v>
      </c>
      <c r="E277" t="s">
        <v>897</v>
      </c>
      <c r="F277">
        <v>2</v>
      </c>
      <c r="G277" t="s">
        <v>6361</v>
      </c>
      <c r="H277" t="s">
        <v>6361</v>
      </c>
      <c r="I277">
        <v>0</v>
      </c>
      <c r="J277" t="s">
        <v>833</v>
      </c>
      <c r="K277" t="s">
        <v>834</v>
      </c>
      <c r="L277">
        <v>152858766</v>
      </c>
      <c r="M277" t="s">
        <v>2571</v>
      </c>
      <c r="N277" t="s">
        <v>900</v>
      </c>
      <c r="O277" t="s">
        <v>837</v>
      </c>
      <c r="P277" t="s">
        <v>1302</v>
      </c>
      <c r="Q277" t="s">
        <v>1305</v>
      </c>
      <c r="R277" t="s">
        <v>6362</v>
      </c>
      <c r="S277" t="s">
        <v>6363</v>
      </c>
      <c r="T277">
        <v>41477093182</v>
      </c>
      <c r="V277" t="s">
        <v>210</v>
      </c>
      <c r="W277" s="41">
        <v>45877</v>
      </c>
      <c r="X277" t="s">
        <v>6364</v>
      </c>
      <c r="Y277" t="s">
        <v>6365</v>
      </c>
      <c r="AA277">
        <v>0</v>
      </c>
      <c r="AB277" t="s">
        <v>845</v>
      </c>
      <c r="AC277" t="s">
        <v>846</v>
      </c>
      <c r="AD277" t="s">
        <v>847</v>
      </c>
      <c r="AE277" t="s">
        <v>848</v>
      </c>
      <c r="AF277">
        <v>1</v>
      </c>
      <c r="AG277">
        <v>452210</v>
      </c>
      <c r="AH277" t="s">
        <v>849</v>
      </c>
      <c r="AI277" t="s">
        <v>850</v>
      </c>
      <c r="AJ277" t="s">
        <v>851</v>
      </c>
      <c r="AK277" t="s">
        <v>283</v>
      </c>
      <c r="AL277" t="s">
        <v>2802</v>
      </c>
      <c r="AM277" t="s">
        <v>1408</v>
      </c>
      <c r="AN277" t="s">
        <v>854</v>
      </c>
      <c r="AO277">
        <v>36805</v>
      </c>
      <c r="AP277">
        <v>648</v>
      </c>
      <c r="AQ277" t="s">
        <v>855</v>
      </c>
      <c r="AR277">
        <v>66060826</v>
      </c>
      <c r="AS277" t="s">
        <v>856</v>
      </c>
      <c r="AU277" t="s">
        <v>6366</v>
      </c>
      <c r="AV277" t="s">
        <v>6367</v>
      </c>
      <c r="AW277" t="s">
        <v>950</v>
      </c>
      <c r="AX277" t="s">
        <v>951</v>
      </c>
      <c r="AY277" t="s">
        <v>861</v>
      </c>
      <c r="AZ277" t="s">
        <v>283</v>
      </c>
      <c r="BA277" t="s">
        <v>284</v>
      </c>
      <c r="BB277">
        <v>0</v>
      </c>
      <c r="BC277">
        <v>0</v>
      </c>
      <c r="BD277">
        <v>1</v>
      </c>
      <c r="BE277" t="s">
        <v>2571</v>
      </c>
      <c r="BF277">
        <v>0</v>
      </c>
      <c r="BG277">
        <v>0</v>
      </c>
      <c r="BH277" t="s">
        <v>862</v>
      </c>
      <c r="BI277">
        <v>0</v>
      </c>
      <c r="BJ277" t="s">
        <v>862</v>
      </c>
      <c r="BK277">
        <v>1</v>
      </c>
      <c r="BL277">
        <v>0</v>
      </c>
      <c r="BM277">
        <v>0</v>
      </c>
      <c r="BN277" t="s">
        <v>596</v>
      </c>
      <c r="BO277">
        <v>152858766</v>
      </c>
      <c r="BP277" t="s">
        <v>6361</v>
      </c>
      <c r="BQ277">
        <v>42.2493056</v>
      </c>
      <c r="BR277">
        <v>42791781</v>
      </c>
      <c r="BS277">
        <v>-83.659885299999999</v>
      </c>
      <c r="BT277">
        <v>0</v>
      </c>
      <c r="CM277">
        <v>4010</v>
      </c>
      <c r="CO277">
        <v>7360</v>
      </c>
      <c r="CP277">
        <v>2.3833000000000002</v>
      </c>
      <c r="CQ277">
        <v>2.3833000000000002</v>
      </c>
      <c r="CR277">
        <v>1.3332999999999999</v>
      </c>
      <c r="CS277">
        <v>0</v>
      </c>
      <c r="CT277" t="s">
        <v>6367</v>
      </c>
      <c r="CU277" t="s">
        <v>6366</v>
      </c>
      <c r="CV277" t="s">
        <v>833</v>
      </c>
      <c r="CW277" t="s">
        <v>834</v>
      </c>
      <c r="CX277" t="s">
        <v>2571</v>
      </c>
      <c r="CY277">
        <v>1</v>
      </c>
      <c r="CZ277">
        <v>1</v>
      </c>
      <c r="DA277" t="s">
        <v>833</v>
      </c>
      <c r="DB277" t="s">
        <v>865</v>
      </c>
      <c r="DC277">
        <v>48197</v>
      </c>
      <c r="DD277">
        <v>15.9</v>
      </c>
      <c r="DE277" t="s">
        <v>866</v>
      </c>
      <c r="DG277" t="s">
        <v>867</v>
      </c>
      <c r="DH277" t="s">
        <v>851</v>
      </c>
      <c r="DI277" t="s">
        <v>2105</v>
      </c>
      <c r="DJ277" t="s">
        <v>2576</v>
      </c>
      <c r="DL277" t="s">
        <v>869</v>
      </c>
      <c r="DM277">
        <v>0</v>
      </c>
      <c r="DN277">
        <v>0</v>
      </c>
      <c r="DO277">
        <v>11</v>
      </c>
      <c r="DP277" t="s">
        <v>1010</v>
      </c>
      <c r="DQ277">
        <v>16</v>
      </c>
      <c r="DR277">
        <v>954</v>
      </c>
      <c r="DS277">
        <v>1674</v>
      </c>
      <c r="DT277">
        <v>3.6333000000000002</v>
      </c>
      <c r="DU277">
        <v>4</v>
      </c>
      <c r="DW277">
        <v>2</v>
      </c>
      <c r="DX277" t="s">
        <v>594</v>
      </c>
      <c r="DY277" t="s">
        <v>2571</v>
      </c>
      <c r="DZ277">
        <v>0</v>
      </c>
      <c r="EA277">
        <v>0</v>
      </c>
      <c r="EB277">
        <v>0</v>
      </c>
      <c r="EC277">
        <v>0</v>
      </c>
      <c r="ED277">
        <v>0</v>
      </c>
      <c r="EE277">
        <v>0</v>
      </c>
      <c r="EF277" t="s">
        <v>920</v>
      </c>
      <c r="EG277" t="s">
        <v>595</v>
      </c>
      <c r="EH277" t="s">
        <v>872</v>
      </c>
      <c r="EI277" t="s">
        <v>872</v>
      </c>
      <c r="EJ277" t="s">
        <v>178</v>
      </c>
      <c r="EK277">
        <v>9090</v>
      </c>
      <c r="EL277">
        <v>1</v>
      </c>
      <c r="EM277" t="s">
        <v>952</v>
      </c>
      <c r="EN277">
        <v>1.3332999999999999</v>
      </c>
      <c r="EO277">
        <v>27.9</v>
      </c>
      <c r="EP277">
        <v>99991120</v>
      </c>
      <c r="EQ277" t="s">
        <v>874</v>
      </c>
      <c r="ER277" t="s">
        <v>875</v>
      </c>
      <c r="ES277" t="s">
        <v>876</v>
      </c>
      <c r="ET277" t="s">
        <v>877</v>
      </c>
      <c r="EU277" t="s">
        <v>877</v>
      </c>
      <c r="EV277" t="s">
        <v>920</v>
      </c>
      <c r="EX277" t="s">
        <v>953</v>
      </c>
      <c r="EY277" t="s">
        <v>954</v>
      </c>
      <c r="EZ277" t="s">
        <v>955</v>
      </c>
      <c r="FA277" t="s">
        <v>956</v>
      </c>
      <c r="FB277">
        <v>1</v>
      </c>
      <c r="FC277">
        <v>2</v>
      </c>
      <c r="FD277" s="41">
        <v>45878</v>
      </c>
      <c r="FE277" t="s">
        <v>987</v>
      </c>
      <c r="FF277">
        <v>7</v>
      </c>
      <c r="FG277" t="s">
        <v>6368</v>
      </c>
      <c r="FH277" t="s">
        <v>6369</v>
      </c>
      <c r="FI277">
        <v>1</v>
      </c>
      <c r="FJ277" t="s">
        <v>6370</v>
      </c>
      <c r="FK277" t="s">
        <v>6369</v>
      </c>
      <c r="FL277">
        <v>1</v>
      </c>
      <c r="FM277" t="s">
        <v>3365</v>
      </c>
      <c r="FN277" t="s">
        <v>6371</v>
      </c>
      <c r="FO277">
        <v>1</v>
      </c>
      <c r="FP277" t="s">
        <v>6372</v>
      </c>
      <c r="FQ277" t="s">
        <v>6366</v>
      </c>
      <c r="FR277">
        <v>1</v>
      </c>
      <c r="FS277" t="s">
        <v>964</v>
      </c>
      <c r="FT277" t="s">
        <v>6373</v>
      </c>
      <c r="FU277">
        <v>1</v>
      </c>
      <c r="FV277" t="s">
        <v>6374</v>
      </c>
      <c r="FW277" t="s">
        <v>6375</v>
      </c>
      <c r="FX277">
        <v>1</v>
      </c>
      <c r="FY277" t="s">
        <v>890</v>
      </c>
      <c r="FZ277" t="s">
        <v>6376</v>
      </c>
      <c r="GA277" t="s">
        <v>6370</v>
      </c>
      <c r="GB277">
        <v>1</v>
      </c>
      <c r="GD277">
        <v>0</v>
      </c>
      <c r="GF277">
        <v>0</v>
      </c>
      <c r="GG277">
        <v>1</v>
      </c>
      <c r="GH277" t="s">
        <v>892</v>
      </c>
      <c r="GI277" t="s">
        <v>893</v>
      </c>
      <c r="GJ277" t="s">
        <v>6369</v>
      </c>
      <c r="GM277">
        <v>1</v>
      </c>
      <c r="GN277">
        <v>0</v>
      </c>
      <c r="GO277">
        <v>0</v>
      </c>
      <c r="GP277">
        <v>1</v>
      </c>
      <c r="GQ277">
        <v>1</v>
      </c>
      <c r="GR277">
        <v>0</v>
      </c>
      <c r="GS277">
        <v>1</v>
      </c>
      <c r="GT277">
        <v>0</v>
      </c>
      <c r="GU277">
        <v>1</v>
      </c>
      <c r="GV277">
        <v>0</v>
      </c>
      <c r="GW277">
        <v>1</v>
      </c>
      <c r="GX277">
        <v>0</v>
      </c>
      <c r="GY277">
        <v>1</v>
      </c>
      <c r="GZ277">
        <v>0</v>
      </c>
      <c r="HA277" t="s">
        <v>283</v>
      </c>
      <c r="HB277" t="s">
        <v>894</v>
      </c>
      <c r="HC277" t="s">
        <v>935</v>
      </c>
      <c r="HD277" t="s">
        <v>845</v>
      </c>
      <c r="HE277" t="s">
        <v>900</v>
      </c>
      <c r="HF277" t="s">
        <v>923</v>
      </c>
      <c r="HG277" t="s">
        <v>894</v>
      </c>
      <c r="HH277" t="s">
        <v>935</v>
      </c>
      <c r="HI277" t="s">
        <v>845</v>
      </c>
      <c r="HJ277" t="s">
        <v>900</v>
      </c>
      <c r="HK277" t="s">
        <v>952</v>
      </c>
      <c r="HL277" t="s">
        <v>210</v>
      </c>
      <c r="HM277" t="s">
        <v>854</v>
      </c>
      <c r="HN277">
        <v>36805</v>
      </c>
      <c r="HP277" t="s">
        <v>178</v>
      </c>
      <c r="HQ277" t="s">
        <v>896</v>
      </c>
      <c r="HR277" t="s">
        <v>896</v>
      </c>
      <c r="HS277" t="s">
        <v>896</v>
      </c>
    </row>
    <row r="278" spans="1:227" x14ac:dyDescent="0.2">
      <c r="A278">
        <v>8702</v>
      </c>
      <c r="B278">
        <v>7535811071</v>
      </c>
      <c r="C278" t="s">
        <v>829</v>
      </c>
      <c r="D278" t="s">
        <v>830</v>
      </c>
      <c r="E278" t="s">
        <v>897</v>
      </c>
      <c r="F278">
        <v>0</v>
      </c>
      <c r="G278" t="s">
        <v>6377</v>
      </c>
      <c r="H278" t="s">
        <v>6377</v>
      </c>
      <c r="I278">
        <v>0</v>
      </c>
      <c r="J278" t="s">
        <v>833</v>
      </c>
      <c r="K278" t="s">
        <v>834</v>
      </c>
      <c r="L278">
        <v>152832706</v>
      </c>
      <c r="M278" t="s">
        <v>6378</v>
      </c>
      <c r="N278" t="s">
        <v>900</v>
      </c>
      <c r="O278" t="s">
        <v>837</v>
      </c>
      <c r="P278" t="s">
        <v>838</v>
      </c>
      <c r="Q278" t="s">
        <v>3835</v>
      </c>
      <c r="R278" t="s">
        <v>6379</v>
      </c>
      <c r="S278" t="s">
        <v>6380</v>
      </c>
      <c r="T278">
        <v>41477124883</v>
      </c>
      <c r="V278" t="s">
        <v>225</v>
      </c>
      <c r="W278" s="41">
        <v>46015</v>
      </c>
      <c r="X278" t="s">
        <v>6381</v>
      </c>
      <c r="Y278" t="s">
        <v>6382</v>
      </c>
      <c r="AA278">
        <v>0</v>
      </c>
      <c r="AB278" t="s">
        <v>845</v>
      </c>
      <c r="AC278" t="s">
        <v>846</v>
      </c>
      <c r="AD278" t="s">
        <v>847</v>
      </c>
      <c r="AE278" t="s">
        <v>848</v>
      </c>
      <c r="AF278">
        <v>1</v>
      </c>
      <c r="AG278">
        <v>452210</v>
      </c>
      <c r="AH278" t="s">
        <v>849</v>
      </c>
      <c r="AI278" t="s">
        <v>850</v>
      </c>
      <c r="AJ278" t="s">
        <v>851</v>
      </c>
      <c r="AK278" t="s">
        <v>472</v>
      </c>
      <c r="AL278" t="s">
        <v>6383</v>
      </c>
      <c r="AM278" t="s">
        <v>6384</v>
      </c>
      <c r="AN278" t="s">
        <v>854</v>
      </c>
      <c r="AO278">
        <v>36805</v>
      </c>
      <c r="AP278">
        <v>919</v>
      </c>
      <c r="AQ278" t="s">
        <v>855</v>
      </c>
      <c r="AR278">
        <v>66259394</v>
      </c>
      <c r="AS278" t="s">
        <v>856</v>
      </c>
      <c r="AU278" t="s">
        <v>6385</v>
      </c>
      <c r="AV278" t="s">
        <v>6386</v>
      </c>
      <c r="AX278" t="s">
        <v>913</v>
      </c>
      <c r="AY278" t="s">
        <v>861</v>
      </c>
      <c r="AZ278" t="s">
        <v>472</v>
      </c>
      <c r="BA278" t="s">
        <v>473</v>
      </c>
      <c r="BB278">
        <v>0</v>
      </c>
      <c r="BC278">
        <v>0</v>
      </c>
      <c r="BD278">
        <v>0</v>
      </c>
      <c r="BE278" t="s">
        <v>6378</v>
      </c>
      <c r="BF278">
        <v>0</v>
      </c>
      <c r="BG278">
        <v>0</v>
      </c>
      <c r="BH278" t="s">
        <v>862</v>
      </c>
      <c r="BI278">
        <v>0</v>
      </c>
      <c r="BJ278" t="s">
        <v>862</v>
      </c>
      <c r="BK278">
        <v>1</v>
      </c>
      <c r="BL278">
        <v>1</v>
      </c>
      <c r="BM278">
        <v>0</v>
      </c>
      <c r="BN278" t="s">
        <v>596</v>
      </c>
      <c r="BO278">
        <v>152832706</v>
      </c>
      <c r="BP278" t="s">
        <v>6377</v>
      </c>
      <c r="BR278">
        <v>42793643</v>
      </c>
      <c r="BT278">
        <v>0</v>
      </c>
      <c r="CM278">
        <v>4010</v>
      </c>
      <c r="CO278">
        <v>7360</v>
      </c>
      <c r="CP278">
        <v>0.7</v>
      </c>
      <c r="CQ278">
        <v>0.7</v>
      </c>
      <c r="CR278">
        <v>1.3667</v>
      </c>
      <c r="CS278">
        <v>1</v>
      </c>
      <c r="CT278" t="s">
        <v>6387</v>
      </c>
      <c r="CU278" t="s">
        <v>6388</v>
      </c>
      <c r="CV278" t="s">
        <v>833</v>
      </c>
      <c r="CW278" t="s">
        <v>834</v>
      </c>
      <c r="CX278" t="s">
        <v>6378</v>
      </c>
      <c r="CY278">
        <v>0</v>
      </c>
      <c r="CZ278">
        <v>0</v>
      </c>
      <c r="DA278" t="s">
        <v>833</v>
      </c>
      <c r="DB278" t="s">
        <v>865</v>
      </c>
      <c r="DC278">
        <v>43235</v>
      </c>
      <c r="DD278">
        <v>2.1833</v>
      </c>
      <c r="DE278" t="s">
        <v>866</v>
      </c>
      <c r="DG278" t="s">
        <v>867</v>
      </c>
      <c r="DH278" t="s">
        <v>851</v>
      </c>
      <c r="DI278" t="s">
        <v>2105</v>
      </c>
      <c r="DL278" t="s">
        <v>869</v>
      </c>
      <c r="DM278">
        <v>0</v>
      </c>
      <c r="DN278">
        <v>0</v>
      </c>
      <c r="DO278">
        <v>3</v>
      </c>
      <c r="DP278" t="s">
        <v>919</v>
      </c>
      <c r="DQ278">
        <v>16</v>
      </c>
      <c r="DR278">
        <v>131</v>
      </c>
      <c r="DS278">
        <v>131</v>
      </c>
      <c r="DT278">
        <v>1.4833000000000001</v>
      </c>
      <c r="DU278">
        <v>4</v>
      </c>
      <c r="DW278">
        <v>2</v>
      </c>
      <c r="DX278" t="s">
        <v>596</v>
      </c>
      <c r="DY278" t="s">
        <v>6378</v>
      </c>
      <c r="DZ278">
        <v>1</v>
      </c>
      <c r="EA278">
        <v>1</v>
      </c>
      <c r="EB278">
        <v>1</v>
      </c>
      <c r="EC278">
        <v>1</v>
      </c>
      <c r="ED278">
        <v>1</v>
      </c>
      <c r="EE278">
        <v>1</v>
      </c>
      <c r="EF278" t="s">
        <v>871</v>
      </c>
      <c r="EG278" t="s">
        <v>595</v>
      </c>
      <c r="EH278" t="s">
        <v>921</v>
      </c>
      <c r="EI278" t="s">
        <v>921</v>
      </c>
      <c r="EJ278" t="s">
        <v>226</v>
      </c>
      <c r="EK278">
        <v>9090</v>
      </c>
      <c r="EL278">
        <v>0</v>
      </c>
      <c r="EM278" t="s">
        <v>1157</v>
      </c>
      <c r="EN278">
        <v>1.3667</v>
      </c>
      <c r="EO278">
        <v>2.1833333000000001</v>
      </c>
      <c r="EP278">
        <v>99991120</v>
      </c>
      <c r="EQ278" t="s">
        <v>874</v>
      </c>
      <c r="ER278" t="s">
        <v>875</v>
      </c>
      <c r="ES278" t="s">
        <v>876</v>
      </c>
      <c r="ET278" t="s">
        <v>877</v>
      </c>
      <c r="EU278" t="s">
        <v>877</v>
      </c>
      <c r="EV278" t="s">
        <v>871</v>
      </c>
      <c r="EX278" t="s">
        <v>953</v>
      </c>
      <c r="EY278" t="s">
        <v>986</v>
      </c>
      <c r="EZ278" t="s">
        <v>1158</v>
      </c>
      <c r="FA278" t="s">
        <v>925</v>
      </c>
      <c r="FB278">
        <v>1</v>
      </c>
      <c r="FC278">
        <v>1</v>
      </c>
      <c r="FD278" s="41">
        <v>46018</v>
      </c>
      <c r="FE278" t="s">
        <v>957</v>
      </c>
      <c r="FF278">
        <v>7</v>
      </c>
      <c r="FG278" t="s">
        <v>6389</v>
      </c>
      <c r="FH278" t="s">
        <v>6390</v>
      </c>
      <c r="FI278">
        <v>1</v>
      </c>
      <c r="FJ278" t="s">
        <v>6391</v>
      </c>
      <c r="FK278" t="s">
        <v>6392</v>
      </c>
      <c r="FL278">
        <v>1</v>
      </c>
      <c r="FM278" t="s">
        <v>6393</v>
      </c>
      <c r="FN278" t="s">
        <v>6394</v>
      </c>
      <c r="FO278">
        <v>1</v>
      </c>
      <c r="FP278" t="s">
        <v>2894</v>
      </c>
      <c r="FQ278" t="s">
        <v>6388</v>
      </c>
      <c r="FR278">
        <v>1</v>
      </c>
      <c r="FS278" t="s">
        <v>3416</v>
      </c>
      <c r="FT278" t="s">
        <v>6395</v>
      </c>
      <c r="FU278">
        <v>1</v>
      </c>
      <c r="FV278" t="s">
        <v>3418</v>
      </c>
      <c r="FW278" t="s">
        <v>6396</v>
      </c>
      <c r="FX278">
        <v>1</v>
      </c>
      <c r="FY278" t="s">
        <v>890</v>
      </c>
      <c r="FZ278" t="s">
        <v>6397</v>
      </c>
      <c r="GA278" t="s">
        <v>6391</v>
      </c>
      <c r="GB278">
        <v>1</v>
      </c>
      <c r="GD278">
        <v>0</v>
      </c>
      <c r="GF278">
        <v>0</v>
      </c>
      <c r="GG278">
        <v>1</v>
      </c>
      <c r="GH278" t="s">
        <v>892</v>
      </c>
      <c r="GI278" t="s">
        <v>893</v>
      </c>
      <c r="GJ278" t="s">
        <v>6392</v>
      </c>
      <c r="GM278">
        <v>1</v>
      </c>
      <c r="GN278">
        <v>1</v>
      </c>
      <c r="GO278">
        <v>0</v>
      </c>
      <c r="GP278">
        <v>1</v>
      </c>
      <c r="GQ278">
        <v>1</v>
      </c>
      <c r="GR278">
        <v>0</v>
      </c>
      <c r="GS278">
        <v>1</v>
      </c>
      <c r="GT278">
        <v>0</v>
      </c>
      <c r="GU278">
        <v>1</v>
      </c>
      <c r="GV278">
        <v>0</v>
      </c>
      <c r="GW278">
        <v>1</v>
      </c>
      <c r="GX278">
        <v>0</v>
      </c>
      <c r="GY278">
        <v>1</v>
      </c>
      <c r="GZ278">
        <v>0</v>
      </c>
      <c r="HA278" t="s">
        <v>472</v>
      </c>
      <c r="HB278" t="s">
        <v>894</v>
      </c>
      <c r="HC278" t="s">
        <v>935</v>
      </c>
      <c r="HD278" t="s">
        <v>845</v>
      </c>
      <c r="HE278" t="s">
        <v>900</v>
      </c>
      <c r="HF278" t="s">
        <v>923</v>
      </c>
      <c r="HG278" t="s">
        <v>894</v>
      </c>
      <c r="HH278" t="s">
        <v>935</v>
      </c>
      <c r="HI278" t="s">
        <v>845</v>
      </c>
      <c r="HJ278" t="s">
        <v>900</v>
      </c>
      <c r="HK278" t="s">
        <v>922</v>
      </c>
      <c r="HL278" t="s">
        <v>225</v>
      </c>
      <c r="HM278" t="s">
        <v>854</v>
      </c>
      <c r="HN278">
        <v>36805</v>
      </c>
      <c r="HP278" t="s">
        <v>226</v>
      </c>
      <c r="HQ278" t="s">
        <v>896</v>
      </c>
      <c r="HR278" t="s">
        <v>896</v>
      </c>
      <c r="HS278" t="s">
        <v>896</v>
      </c>
    </row>
    <row r="279" spans="1:227" x14ac:dyDescent="0.2">
      <c r="A279">
        <v>8702</v>
      </c>
      <c r="B279">
        <v>7615203808</v>
      </c>
      <c r="C279" t="s">
        <v>829</v>
      </c>
      <c r="D279" t="s">
        <v>830</v>
      </c>
      <c r="E279" t="s">
        <v>831</v>
      </c>
      <c r="F279">
        <v>0</v>
      </c>
      <c r="G279" t="s">
        <v>6398</v>
      </c>
      <c r="H279" t="s">
        <v>6398</v>
      </c>
      <c r="I279">
        <v>0</v>
      </c>
      <c r="J279" t="s">
        <v>833</v>
      </c>
      <c r="K279" t="s">
        <v>834</v>
      </c>
      <c r="L279">
        <v>152949076</v>
      </c>
      <c r="M279" t="s">
        <v>1793</v>
      </c>
      <c r="N279" t="s">
        <v>836</v>
      </c>
      <c r="O279" t="s">
        <v>837</v>
      </c>
      <c r="P279" t="s">
        <v>838</v>
      </c>
      <c r="Q279" t="s">
        <v>1251</v>
      </c>
      <c r="R279" t="s">
        <v>6399</v>
      </c>
      <c r="S279" t="s">
        <v>6400</v>
      </c>
      <c r="T279">
        <v>41477086907</v>
      </c>
      <c r="V279" t="s">
        <v>1796</v>
      </c>
      <c r="W279" s="41">
        <v>46175</v>
      </c>
      <c r="X279" t="s">
        <v>6401</v>
      </c>
      <c r="Y279" t="s">
        <v>6402</v>
      </c>
      <c r="AA279">
        <v>0</v>
      </c>
      <c r="AB279" t="s">
        <v>845</v>
      </c>
      <c r="AC279" t="s">
        <v>846</v>
      </c>
      <c r="AD279" t="s">
        <v>907</v>
      </c>
      <c r="AE279" t="s">
        <v>908</v>
      </c>
      <c r="AF279">
        <v>1</v>
      </c>
      <c r="AG279">
        <v>452210</v>
      </c>
      <c r="AH279" t="s">
        <v>849</v>
      </c>
      <c r="AI279" t="s">
        <v>850</v>
      </c>
      <c r="AJ279" t="s">
        <v>851</v>
      </c>
      <c r="AK279" t="s">
        <v>508</v>
      </c>
      <c r="AL279" t="s">
        <v>6403</v>
      </c>
      <c r="AM279" t="s">
        <v>1800</v>
      </c>
      <c r="AN279" t="s">
        <v>854</v>
      </c>
      <c r="AO279">
        <v>36805</v>
      </c>
      <c r="AP279">
        <v>710</v>
      </c>
      <c r="AQ279" t="s">
        <v>855</v>
      </c>
      <c r="AR279">
        <v>66490091</v>
      </c>
      <c r="AS279" t="s">
        <v>856</v>
      </c>
      <c r="AU279" t="s">
        <v>6404</v>
      </c>
      <c r="AV279" t="s">
        <v>6405</v>
      </c>
      <c r="AX279" t="s">
        <v>913</v>
      </c>
      <c r="AY279" t="s">
        <v>861</v>
      </c>
      <c r="AZ279" t="s">
        <v>508</v>
      </c>
      <c r="BA279" t="s">
        <v>509</v>
      </c>
      <c r="BB279">
        <v>0</v>
      </c>
      <c r="BC279">
        <v>0</v>
      </c>
      <c r="BD279">
        <v>0</v>
      </c>
      <c r="BE279" t="s">
        <v>1793</v>
      </c>
      <c r="BF279">
        <v>0</v>
      </c>
      <c r="BG279">
        <v>0</v>
      </c>
      <c r="BH279" t="s">
        <v>862</v>
      </c>
      <c r="BI279">
        <v>0</v>
      </c>
      <c r="BJ279" t="s">
        <v>862</v>
      </c>
      <c r="BK279">
        <v>1</v>
      </c>
      <c r="BL279">
        <v>1</v>
      </c>
      <c r="BM279">
        <v>0</v>
      </c>
      <c r="BN279" t="s">
        <v>596</v>
      </c>
      <c r="BO279">
        <v>152949076</v>
      </c>
      <c r="BP279" t="s">
        <v>6398</v>
      </c>
      <c r="BR279">
        <v>42791788</v>
      </c>
      <c r="BT279">
        <v>0</v>
      </c>
      <c r="BU279" t="s">
        <v>1314</v>
      </c>
      <c r="BY279">
        <v>16</v>
      </c>
      <c r="CA279">
        <v>17</v>
      </c>
      <c r="CE279">
        <v>0</v>
      </c>
      <c r="CI279">
        <v>11</v>
      </c>
      <c r="CJ279" t="s">
        <v>94</v>
      </c>
      <c r="CM279">
        <v>4010</v>
      </c>
      <c r="CO279">
        <v>7360</v>
      </c>
      <c r="CP279">
        <v>0.36670000000000003</v>
      </c>
      <c r="CQ279">
        <v>0.36670000000000003</v>
      </c>
      <c r="CR279">
        <v>0</v>
      </c>
      <c r="CS279">
        <v>1</v>
      </c>
      <c r="CT279" t="s">
        <v>6406</v>
      </c>
      <c r="CU279" t="s">
        <v>6407</v>
      </c>
      <c r="CV279" t="s">
        <v>833</v>
      </c>
      <c r="CW279" t="s">
        <v>834</v>
      </c>
      <c r="CX279" t="s">
        <v>1793</v>
      </c>
      <c r="CY279">
        <v>0</v>
      </c>
      <c r="CZ279">
        <v>0</v>
      </c>
      <c r="DA279" t="s">
        <v>833</v>
      </c>
      <c r="DB279" t="s">
        <v>865</v>
      </c>
      <c r="DC279">
        <v>53228</v>
      </c>
      <c r="DD279">
        <v>16.7333</v>
      </c>
      <c r="DE279" t="s">
        <v>866</v>
      </c>
      <c r="DG279" t="s">
        <v>867</v>
      </c>
      <c r="DH279" t="s">
        <v>851</v>
      </c>
      <c r="DI279" t="s">
        <v>1806</v>
      </c>
      <c r="DK279" t="s">
        <v>918</v>
      </c>
      <c r="DL279" t="s">
        <v>869</v>
      </c>
      <c r="DM279">
        <v>0</v>
      </c>
      <c r="DN279">
        <v>0</v>
      </c>
      <c r="DO279">
        <v>2</v>
      </c>
      <c r="DP279" t="s">
        <v>870</v>
      </c>
      <c r="DQ279">
        <v>16</v>
      </c>
      <c r="DR279">
        <v>1004</v>
      </c>
      <c r="DS279">
        <v>1724</v>
      </c>
      <c r="DT279">
        <v>16.366700000000002</v>
      </c>
      <c r="DU279">
        <v>4</v>
      </c>
      <c r="DV279">
        <v>1</v>
      </c>
      <c r="DW279">
        <v>2</v>
      </c>
      <c r="DX279" t="s">
        <v>596</v>
      </c>
      <c r="DY279" t="s">
        <v>1793</v>
      </c>
      <c r="DZ279">
        <v>0</v>
      </c>
      <c r="EA279">
        <v>0</v>
      </c>
      <c r="EB279">
        <v>1</v>
      </c>
      <c r="EC279">
        <v>0</v>
      </c>
      <c r="ED279">
        <v>0</v>
      </c>
      <c r="EE279">
        <v>1</v>
      </c>
      <c r="EF279" t="s">
        <v>871</v>
      </c>
      <c r="EG279" t="s">
        <v>595</v>
      </c>
      <c r="EH279" t="s">
        <v>921</v>
      </c>
      <c r="EI279" t="s">
        <v>921</v>
      </c>
      <c r="EJ279" t="s">
        <v>215</v>
      </c>
      <c r="EK279">
        <v>9090</v>
      </c>
      <c r="EL279">
        <v>0</v>
      </c>
      <c r="EM279" t="s">
        <v>1436</v>
      </c>
      <c r="EN279">
        <v>0</v>
      </c>
      <c r="EO279">
        <v>28.733333300000002</v>
      </c>
      <c r="EP279">
        <v>99991120</v>
      </c>
      <c r="EQ279" t="s">
        <v>874</v>
      </c>
      <c r="ER279" t="s">
        <v>875</v>
      </c>
      <c r="ES279" t="s">
        <v>876</v>
      </c>
      <c r="ET279" t="s">
        <v>877</v>
      </c>
      <c r="EU279" t="s">
        <v>877</v>
      </c>
      <c r="EV279" t="s">
        <v>871</v>
      </c>
      <c r="EX279" t="s">
        <v>836</v>
      </c>
      <c r="EY279" t="s">
        <v>873</v>
      </c>
      <c r="EZ279" t="s">
        <v>1807</v>
      </c>
      <c r="FA279" t="s">
        <v>925</v>
      </c>
      <c r="FB279">
        <v>1</v>
      </c>
      <c r="FC279">
        <v>1</v>
      </c>
      <c r="FD279" s="41">
        <v>46179</v>
      </c>
      <c r="FE279" t="s">
        <v>1315</v>
      </c>
      <c r="FF279">
        <v>12</v>
      </c>
      <c r="FG279" t="s">
        <v>6408</v>
      </c>
      <c r="FH279" t="s">
        <v>6409</v>
      </c>
      <c r="FI279">
        <v>1</v>
      </c>
      <c r="FJ279" t="s">
        <v>6410</v>
      </c>
      <c r="FK279" t="s">
        <v>6411</v>
      </c>
      <c r="FL279">
        <v>1</v>
      </c>
      <c r="FM279" t="s">
        <v>1809</v>
      </c>
      <c r="FN279" t="s">
        <v>6412</v>
      </c>
      <c r="FO279">
        <v>1</v>
      </c>
      <c r="FP279" t="s">
        <v>6413</v>
      </c>
      <c r="FQ279" t="s">
        <v>6407</v>
      </c>
      <c r="FR279">
        <v>1</v>
      </c>
      <c r="FS279" t="s">
        <v>6414</v>
      </c>
      <c r="FT279" t="s">
        <v>6415</v>
      </c>
      <c r="FU279">
        <v>1</v>
      </c>
      <c r="FV279" t="s">
        <v>6416</v>
      </c>
      <c r="FW279" t="s">
        <v>6417</v>
      </c>
      <c r="FX279">
        <v>1</v>
      </c>
      <c r="FY279" t="s">
        <v>890</v>
      </c>
      <c r="FZ279" t="s">
        <v>6418</v>
      </c>
      <c r="GA279" t="s">
        <v>6410</v>
      </c>
      <c r="GB279">
        <v>1</v>
      </c>
      <c r="GD279">
        <v>0</v>
      </c>
      <c r="GF279">
        <v>0</v>
      </c>
      <c r="GG279">
        <v>1</v>
      </c>
      <c r="GH279" t="s">
        <v>892</v>
      </c>
      <c r="GI279" t="s">
        <v>893</v>
      </c>
      <c r="GJ279" t="s">
        <v>6411</v>
      </c>
      <c r="GM279">
        <v>1</v>
      </c>
      <c r="GN279">
        <v>1</v>
      </c>
      <c r="GO279">
        <v>0</v>
      </c>
      <c r="GP279">
        <v>1</v>
      </c>
      <c r="GQ279">
        <v>1</v>
      </c>
      <c r="GR279">
        <v>0</v>
      </c>
      <c r="GS279">
        <v>1</v>
      </c>
      <c r="GT279">
        <v>0</v>
      </c>
      <c r="GU279">
        <v>1</v>
      </c>
      <c r="GV279">
        <v>0</v>
      </c>
      <c r="GW279">
        <v>1</v>
      </c>
      <c r="GX279">
        <v>0</v>
      </c>
      <c r="GY279">
        <v>1</v>
      </c>
      <c r="GZ279">
        <v>0</v>
      </c>
      <c r="HA279" t="s">
        <v>508</v>
      </c>
      <c r="HB279" t="s">
        <v>894</v>
      </c>
      <c r="HC279" t="s">
        <v>895</v>
      </c>
      <c r="HD279" t="s">
        <v>845</v>
      </c>
      <c r="HE279" t="s">
        <v>836</v>
      </c>
      <c r="HF279" t="s">
        <v>873</v>
      </c>
      <c r="HG279" t="s">
        <v>894</v>
      </c>
      <c r="HH279" t="s">
        <v>895</v>
      </c>
      <c r="HI279" t="s">
        <v>845</v>
      </c>
      <c r="HJ279" t="s">
        <v>836</v>
      </c>
      <c r="HK279" t="s">
        <v>1436</v>
      </c>
      <c r="HL279" t="s">
        <v>1796</v>
      </c>
      <c r="HM279" t="s">
        <v>854</v>
      </c>
      <c r="HN279">
        <v>36805</v>
      </c>
      <c r="HP279" t="s">
        <v>215</v>
      </c>
      <c r="HQ279" t="s">
        <v>896</v>
      </c>
      <c r="HR279" t="s">
        <v>896</v>
      </c>
      <c r="HS279" t="s">
        <v>896</v>
      </c>
    </row>
    <row r="280" spans="1:227" x14ac:dyDescent="0.2">
      <c r="A280">
        <v>8702</v>
      </c>
      <c r="B280">
        <v>7615400374</v>
      </c>
      <c r="C280" t="s">
        <v>936</v>
      </c>
      <c r="D280" t="s">
        <v>937</v>
      </c>
      <c r="E280" t="s">
        <v>897</v>
      </c>
      <c r="F280">
        <v>0</v>
      </c>
      <c r="G280" t="s">
        <v>6419</v>
      </c>
      <c r="H280" t="s">
        <v>6419</v>
      </c>
      <c r="I280">
        <v>0</v>
      </c>
      <c r="J280" t="s">
        <v>833</v>
      </c>
      <c r="K280" t="s">
        <v>834</v>
      </c>
      <c r="L280">
        <v>149860718</v>
      </c>
      <c r="M280" t="s">
        <v>6420</v>
      </c>
      <c r="N280" t="s">
        <v>900</v>
      </c>
      <c r="O280" t="s">
        <v>837</v>
      </c>
      <c r="P280" t="s">
        <v>940</v>
      </c>
      <c r="Q280" t="s">
        <v>1080</v>
      </c>
      <c r="R280" t="s">
        <v>6421</v>
      </c>
      <c r="S280" t="s">
        <v>6422</v>
      </c>
      <c r="T280">
        <v>41477014545</v>
      </c>
      <c r="V280" t="s">
        <v>1332</v>
      </c>
      <c r="W280" s="41">
        <v>46177</v>
      </c>
      <c r="X280" t="s">
        <v>6423</v>
      </c>
      <c r="Y280" t="s">
        <v>6424</v>
      </c>
      <c r="AA280">
        <v>0</v>
      </c>
      <c r="AB280" t="s">
        <v>845</v>
      </c>
      <c r="AC280" t="s">
        <v>846</v>
      </c>
      <c r="AD280" t="s">
        <v>1335</v>
      </c>
      <c r="AE280" t="s">
        <v>1336</v>
      </c>
      <c r="AF280">
        <v>1</v>
      </c>
      <c r="AG280">
        <v>452210</v>
      </c>
      <c r="AH280" t="s">
        <v>849</v>
      </c>
      <c r="AI280" t="s">
        <v>850</v>
      </c>
      <c r="AJ280" t="s">
        <v>851</v>
      </c>
      <c r="AK280" t="s">
        <v>319</v>
      </c>
      <c r="AL280" t="s">
        <v>946</v>
      </c>
      <c r="AM280" t="s">
        <v>1338</v>
      </c>
      <c r="AN280" t="s">
        <v>854</v>
      </c>
      <c r="AO280">
        <v>36805</v>
      </c>
      <c r="AP280">
        <v>929</v>
      </c>
      <c r="AQ280" t="s">
        <v>855</v>
      </c>
      <c r="AR280">
        <v>66492869</v>
      </c>
      <c r="AS280" t="s">
        <v>856</v>
      </c>
      <c r="AU280" t="s">
        <v>6425</v>
      </c>
      <c r="AV280" t="s">
        <v>6426</v>
      </c>
      <c r="AX280" t="s">
        <v>913</v>
      </c>
      <c r="AY280" t="s">
        <v>861</v>
      </c>
      <c r="AZ280" t="s">
        <v>319</v>
      </c>
      <c r="BA280" t="s">
        <v>320</v>
      </c>
      <c r="BB280">
        <v>0</v>
      </c>
      <c r="BC280">
        <v>0</v>
      </c>
      <c r="BD280">
        <v>1</v>
      </c>
      <c r="BE280" t="s">
        <v>6420</v>
      </c>
      <c r="BF280">
        <v>0</v>
      </c>
      <c r="BG280">
        <v>0</v>
      </c>
      <c r="BH280" t="s">
        <v>862</v>
      </c>
      <c r="BI280">
        <v>0</v>
      </c>
      <c r="BJ280" t="s">
        <v>862</v>
      </c>
      <c r="BK280">
        <v>1</v>
      </c>
      <c r="BL280">
        <v>1</v>
      </c>
      <c r="BM280">
        <v>0</v>
      </c>
      <c r="BN280" t="s">
        <v>596</v>
      </c>
      <c r="BP280" t="s">
        <v>6419</v>
      </c>
      <c r="BR280">
        <v>42793654</v>
      </c>
      <c r="BT280">
        <v>2</v>
      </c>
      <c r="BU280" t="s">
        <v>1314</v>
      </c>
      <c r="BY280">
        <v>16</v>
      </c>
      <c r="CA280">
        <v>10</v>
      </c>
      <c r="CE280">
        <v>1</v>
      </c>
      <c r="CI280">
        <v>11</v>
      </c>
      <c r="CJ280" t="s">
        <v>94</v>
      </c>
      <c r="CM280">
        <v>4010</v>
      </c>
      <c r="CO280">
        <v>7360</v>
      </c>
      <c r="CP280">
        <v>0.4667</v>
      </c>
      <c r="CQ280">
        <v>0.4667</v>
      </c>
      <c r="CR280">
        <v>0.41670000000000001</v>
      </c>
      <c r="CS280">
        <v>5</v>
      </c>
      <c r="CT280" t="s">
        <v>6426</v>
      </c>
      <c r="CU280" t="s">
        <v>6425</v>
      </c>
      <c r="CV280" t="s">
        <v>833</v>
      </c>
      <c r="CW280" t="s">
        <v>834</v>
      </c>
      <c r="CX280" t="s">
        <v>1341</v>
      </c>
      <c r="CY280">
        <v>1</v>
      </c>
      <c r="CZ280">
        <v>1</v>
      </c>
      <c r="DA280" t="s">
        <v>833</v>
      </c>
      <c r="DB280" t="s">
        <v>865</v>
      </c>
      <c r="DC280">
        <v>43623</v>
      </c>
      <c r="DD280">
        <v>9.65</v>
      </c>
      <c r="DE280" t="s">
        <v>866</v>
      </c>
      <c r="DG280" t="s">
        <v>867</v>
      </c>
      <c r="DH280" t="s">
        <v>851</v>
      </c>
      <c r="DK280" t="s">
        <v>918</v>
      </c>
      <c r="DL280" t="s">
        <v>869</v>
      </c>
      <c r="DM280">
        <v>0</v>
      </c>
      <c r="DN280">
        <v>0</v>
      </c>
      <c r="DO280">
        <v>11</v>
      </c>
      <c r="DP280" t="s">
        <v>1010</v>
      </c>
      <c r="DQ280">
        <v>16</v>
      </c>
      <c r="DR280">
        <v>579</v>
      </c>
      <c r="DS280">
        <v>1299</v>
      </c>
      <c r="DT280">
        <v>9.1832999999999991</v>
      </c>
      <c r="DU280">
        <v>4</v>
      </c>
      <c r="DV280">
        <v>1</v>
      </c>
      <c r="DW280">
        <v>2</v>
      </c>
      <c r="DX280" t="s">
        <v>596</v>
      </c>
      <c r="DY280" t="s">
        <v>6420</v>
      </c>
      <c r="DZ280">
        <v>1</v>
      </c>
      <c r="EA280">
        <v>1</v>
      </c>
      <c r="EB280">
        <v>1</v>
      </c>
      <c r="EC280">
        <v>0</v>
      </c>
      <c r="ED280">
        <v>0</v>
      </c>
      <c r="EE280">
        <v>1</v>
      </c>
      <c r="EF280" t="s">
        <v>871</v>
      </c>
      <c r="EG280" t="s">
        <v>595</v>
      </c>
      <c r="EH280" t="s">
        <v>921</v>
      </c>
      <c r="EI280" t="s">
        <v>921</v>
      </c>
      <c r="EJ280" t="s">
        <v>226</v>
      </c>
      <c r="EK280">
        <v>9090</v>
      </c>
      <c r="EL280">
        <v>0</v>
      </c>
      <c r="EM280" t="s">
        <v>952</v>
      </c>
      <c r="EN280">
        <v>0.41670000000000001</v>
      </c>
      <c r="EO280">
        <v>21.65</v>
      </c>
      <c r="EP280">
        <v>99991120</v>
      </c>
      <c r="EQ280" t="s">
        <v>874</v>
      </c>
      <c r="ER280" t="s">
        <v>875</v>
      </c>
      <c r="ES280" t="s">
        <v>876</v>
      </c>
      <c r="ET280" t="s">
        <v>877</v>
      </c>
      <c r="EU280" t="s">
        <v>877</v>
      </c>
      <c r="EV280" t="s">
        <v>871</v>
      </c>
      <c r="EX280" t="s">
        <v>900</v>
      </c>
      <c r="EY280" t="s">
        <v>923</v>
      </c>
      <c r="EZ280" t="s">
        <v>1342</v>
      </c>
      <c r="FA280" t="s">
        <v>879</v>
      </c>
      <c r="FB280">
        <v>1</v>
      </c>
      <c r="FC280">
        <v>1</v>
      </c>
      <c r="FD280" s="41">
        <v>46179</v>
      </c>
      <c r="FE280" t="s">
        <v>1315</v>
      </c>
      <c r="FF280">
        <v>5</v>
      </c>
      <c r="FI280">
        <v>0</v>
      </c>
      <c r="FJ280" t="s">
        <v>6427</v>
      </c>
      <c r="FK280" t="s">
        <v>6428</v>
      </c>
      <c r="FL280">
        <v>1</v>
      </c>
      <c r="FM280" t="s">
        <v>6429</v>
      </c>
      <c r="FN280" t="s">
        <v>6430</v>
      </c>
      <c r="FO280">
        <v>1</v>
      </c>
      <c r="FP280" t="s">
        <v>6431</v>
      </c>
      <c r="FQ280" t="s">
        <v>6425</v>
      </c>
      <c r="FR280">
        <v>1</v>
      </c>
      <c r="FS280" t="s">
        <v>4171</v>
      </c>
      <c r="FT280" t="s">
        <v>6432</v>
      </c>
      <c r="FU280">
        <v>1</v>
      </c>
      <c r="FV280" t="s">
        <v>6433</v>
      </c>
      <c r="FW280" t="s">
        <v>6428</v>
      </c>
      <c r="FX280">
        <v>1</v>
      </c>
      <c r="FY280" t="s">
        <v>890</v>
      </c>
      <c r="FZ280" t="s">
        <v>6434</v>
      </c>
      <c r="GA280" t="s">
        <v>6427</v>
      </c>
      <c r="GB280">
        <v>1</v>
      </c>
      <c r="GD280">
        <v>0</v>
      </c>
      <c r="GF280">
        <v>0</v>
      </c>
      <c r="GG280">
        <v>1</v>
      </c>
      <c r="GH280" t="s">
        <v>892</v>
      </c>
      <c r="GI280" t="s">
        <v>893</v>
      </c>
      <c r="GJ280" t="s">
        <v>6428</v>
      </c>
      <c r="GM280">
        <v>1</v>
      </c>
      <c r="GN280">
        <v>1</v>
      </c>
      <c r="GO280">
        <v>0</v>
      </c>
      <c r="GP280">
        <v>1</v>
      </c>
      <c r="GQ280">
        <v>1</v>
      </c>
      <c r="GR280">
        <v>0</v>
      </c>
      <c r="GS280">
        <v>1</v>
      </c>
      <c r="GT280">
        <v>0</v>
      </c>
      <c r="GU280">
        <v>1</v>
      </c>
      <c r="GV280">
        <v>0</v>
      </c>
      <c r="GW280">
        <v>1</v>
      </c>
      <c r="GX280">
        <v>0</v>
      </c>
      <c r="GY280">
        <v>1</v>
      </c>
      <c r="GZ280">
        <v>0</v>
      </c>
      <c r="HA280" t="s">
        <v>319</v>
      </c>
      <c r="HB280" t="s">
        <v>894</v>
      </c>
      <c r="HC280" t="s">
        <v>935</v>
      </c>
      <c r="HD280" t="s">
        <v>845</v>
      </c>
      <c r="HE280" t="s">
        <v>900</v>
      </c>
      <c r="HF280" t="s">
        <v>923</v>
      </c>
      <c r="HG280" t="s">
        <v>894</v>
      </c>
      <c r="HH280" t="s">
        <v>935</v>
      </c>
      <c r="HI280" t="s">
        <v>845</v>
      </c>
      <c r="HJ280" t="s">
        <v>900</v>
      </c>
      <c r="HK280" t="s">
        <v>952</v>
      </c>
      <c r="HL280" t="s">
        <v>1332</v>
      </c>
      <c r="HM280" t="s">
        <v>854</v>
      </c>
      <c r="HN280">
        <v>36805</v>
      </c>
      <c r="HP280" t="s">
        <v>226</v>
      </c>
      <c r="HQ280" t="s">
        <v>896</v>
      </c>
      <c r="HR280" t="s">
        <v>896</v>
      </c>
      <c r="HS280" t="s">
        <v>896</v>
      </c>
    </row>
    <row r="281" spans="1:227" x14ac:dyDescent="0.2">
      <c r="A281">
        <v>8702</v>
      </c>
      <c r="B281">
        <v>7526606098</v>
      </c>
      <c r="C281">
        <v>34</v>
      </c>
      <c r="D281" t="s">
        <v>996</v>
      </c>
      <c r="E281" t="s">
        <v>897</v>
      </c>
      <c r="F281">
        <v>1</v>
      </c>
      <c r="G281" t="s">
        <v>6435</v>
      </c>
      <c r="H281" t="s">
        <v>6435</v>
      </c>
      <c r="I281">
        <v>0</v>
      </c>
      <c r="J281" t="s">
        <v>833</v>
      </c>
      <c r="K281" t="s">
        <v>834</v>
      </c>
      <c r="L281">
        <v>152946711</v>
      </c>
      <c r="M281" t="s">
        <v>3239</v>
      </c>
      <c r="N281" t="s">
        <v>900</v>
      </c>
      <c r="O281" t="s">
        <v>837</v>
      </c>
      <c r="P281" t="s">
        <v>999</v>
      </c>
      <c r="Q281" t="s">
        <v>2459</v>
      </c>
      <c r="R281" t="s">
        <v>6436</v>
      </c>
      <c r="S281" t="s">
        <v>6437</v>
      </c>
      <c r="T281">
        <v>41477093199</v>
      </c>
      <c r="V281" t="s">
        <v>200</v>
      </c>
      <c r="W281" s="41">
        <v>45936</v>
      </c>
      <c r="X281" t="s">
        <v>6438</v>
      </c>
      <c r="Y281" t="s">
        <v>6439</v>
      </c>
      <c r="Z281" t="s">
        <v>2965</v>
      </c>
      <c r="AA281">
        <v>0</v>
      </c>
      <c r="AB281" t="s">
        <v>845</v>
      </c>
      <c r="AC281" t="s">
        <v>846</v>
      </c>
      <c r="AD281" t="s">
        <v>847</v>
      </c>
      <c r="AE281" t="s">
        <v>848</v>
      </c>
      <c r="AF281">
        <v>1</v>
      </c>
      <c r="AG281">
        <v>452210</v>
      </c>
      <c r="AH281" t="s">
        <v>849</v>
      </c>
      <c r="AI281" t="s">
        <v>850</v>
      </c>
      <c r="AJ281" t="s">
        <v>851</v>
      </c>
      <c r="AK281" t="s">
        <v>494</v>
      </c>
      <c r="AL281" t="s">
        <v>6440</v>
      </c>
      <c r="AM281" t="s">
        <v>3245</v>
      </c>
      <c r="AN281" t="s">
        <v>854</v>
      </c>
      <c r="AO281">
        <v>36805</v>
      </c>
      <c r="AP281">
        <v>642</v>
      </c>
      <c r="AQ281" t="s">
        <v>855</v>
      </c>
      <c r="AR281">
        <v>66146021</v>
      </c>
      <c r="AS281" t="s">
        <v>856</v>
      </c>
      <c r="AU281" t="s">
        <v>6441</v>
      </c>
      <c r="AV281" t="s">
        <v>6442</v>
      </c>
      <c r="AX281" t="s">
        <v>913</v>
      </c>
      <c r="AY281" t="s">
        <v>861</v>
      </c>
      <c r="AZ281" t="s">
        <v>494</v>
      </c>
      <c r="BA281" t="s">
        <v>495</v>
      </c>
      <c r="BB281">
        <v>0</v>
      </c>
      <c r="BC281">
        <v>1</v>
      </c>
      <c r="BD281">
        <v>0</v>
      </c>
      <c r="BE281" t="s">
        <v>3239</v>
      </c>
      <c r="BF281">
        <v>0</v>
      </c>
      <c r="BG281">
        <v>0</v>
      </c>
      <c r="BH281" t="s">
        <v>862</v>
      </c>
      <c r="BI281">
        <v>0</v>
      </c>
      <c r="BJ281" t="s">
        <v>862</v>
      </c>
      <c r="BK281">
        <v>1</v>
      </c>
      <c r="BL281">
        <v>1</v>
      </c>
      <c r="BM281">
        <v>0</v>
      </c>
      <c r="BN281" t="s">
        <v>596</v>
      </c>
      <c r="BO281">
        <v>152946711</v>
      </c>
      <c r="BP281" t="s">
        <v>6435</v>
      </c>
      <c r="BQ281">
        <v>42.397347000000003</v>
      </c>
      <c r="BR281">
        <v>42791773</v>
      </c>
      <c r="BS281">
        <v>-83.480337700000007</v>
      </c>
      <c r="BT281">
        <v>1</v>
      </c>
      <c r="BU281" t="s">
        <v>2280</v>
      </c>
      <c r="CI281">
        <v>11</v>
      </c>
      <c r="CJ281" t="s">
        <v>94</v>
      </c>
      <c r="CM281">
        <v>4010</v>
      </c>
      <c r="CO281">
        <v>7360</v>
      </c>
      <c r="CP281">
        <v>3.1333000000000002</v>
      </c>
      <c r="CQ281">
        <v>3.1333000000000002</v>
      </c>
      <c r="CR281">
        <v>1.4333</v>
      </c>
      <c r="CS281">
        <v>0</v>
      </c>
      <c r="CT281" t="s">
        <v>6443</v>
      </c>
      <c r="CU281" t="s">
        <v>6444</v>
      </c>
      <c r="CV281" t="s">
        <v>833</v>
      </c>
      <c r="CW281" t="s">
        <v>834</v>
      </c>
      <c r="CX281" t="s">
        <v>3239</v>
      </c>
      <c r="CY281">
        <v>1</v>
      </c>
      <c r="CZ281">
        <v>1</v>
      </c>
      <c r="DA281" t="s">
        <v>833</v>
      </c>
      <c r="DB281" t="s">
        <v>865</v>
      </c>
      <c r="DC281">
        <v>48168</v>
      </c>
      <c r="DD281">
        <v>160.01669999999999</v>
      </c>
      <c r="DE281" t="s">
        <v>866</v>
      </c>
      <c r="DG281" t="s">
        <v>867</v>
      </c>
      <c r="DH281" t="s">
        <v>851</v>
      </c>
      <c r="DI281" t="s">
        <v>3248</v>
      </c>
      <c r="DK281" t="s">
        <v>1155</v>
      </c>
      <c r="DL281" t="s">
        <v>869</v>
      </c>
      <c r="DM281">
        <v>0</v>
      </c>
      <c r="DN281">
        <v>0</v>
      </c>
      <c r="DO281">
        <v>11</v>
      </c>
      <c r="DP281" t="s">
        <v>1010</v>
      </c>
      <c r="DQ281">
        <v>16</v>
      </c>
      <c r="DR281">
        <v>9601</v>
      </c>
      <c r="DS281">
        <v>18961</v>
      </c>
      <c r="DT281">
        <v>1.1000000000000001</v>
      </c>
      <c r="DU281">
        <v>4</v>
      </c>
      <c r="DV281">
        <v>1</v>
      </c>
      <c r="DW281">
        <v>2</v>
      </c>
      <c r="DX281" t="s">
        <v>596</v>
      </c>
      <c r="DY281" t="s">
        <v>3239</v>
      </c>
      <c r="DZ281">
        <v>0</v>
      </c>
      <c r="EA281">
        <v>0</v>
      </c>
      <c r="EB281">
        <v>1</v>
      </c>
      <c r="EC281">
        <v>1</v>
      </c>
      <c r="ED281">
        <v>1</v>
      </c>
      <c r="EE281">
        <v>1</v>
      </c>
      <c r="EF281" t="s">
        <v>920</v>
      </c>
      <c r="EG281" t="s">
        <v>595</v>
      </c>
      <c r="EH281" t="s">
        <v>921</v>
      </c>
      <c r="EI281" t="s">
        <v>921</v>
      </c>
      <c r="EJ281" t="s">
        <v>178</v>
      </c>
      <c r="EK281">
        <v>9090</v>
      </c>
      <c r="EL281">
        <v>1</v>
      </c>
      <c r="EM281" t="s">
        <v>952</v>
      </c>
      <c r="EN281">
        <v>1.4333</v>
      </c>
      <c r="EO281">
        <v>316.01666660000001</v>
      </c>
      <c r="EP281">
        <v>99991120</v>
      </c>
      <c r="EQ281" t="s">
        <v>874</v>
      </c>
      <c r="ER281" t="s">
        <v>875</v>
      </c>
      <c r="ES281" t="s">
        <v>876</v>
      </c>
      <c r="ET281" t="s">
        <v>877</v>
      </c>
      <c r="EU281" t="s">
        <v>877</v>
      </c>
      <c r="EV281" t="s">
        <v>920</v>
      </c>
      <c r="EX281" t="s">
        <v>953</v>
      </c>
      <c r="EY281" t="s">
        <v>954</v>
      </c>
      <c r="EZ281" t="s">
        <v>955</v>
      </c>
      <c r="FA281" t="s">
        <v>956</v>
      </c>
      <c r="FB281">
        <v>1</v>
      </c>
      <c r="FC281">
        <v>3</v>
      </c>
      <c r="FD281" s="41">
        <v>45941</v>
      </c>
      <c r="FE281" t="s">
        <v>1039</v>
      </c>
      <c r="FF281">
        <v>18</v>
      </c>
      <c r="FG281" t="s">
        <v>6445</v>
      </c>
      <c r="FH281" t="s">
        <v>6446</v>
      </c>
      <c r="FI281">
        <v>1</v>
      </c>
      <c r="FJ281" t="s">
        <v>6447</v>
      </c>
      <c r="FK281" t="s">
        <v>6448</v>
      </c>
      <c r="FL281">
        <v>1</v>
      </c>
      <c r="FM281" t="s">
        <v>6449</v>
      </c>
      <c r="FN281" t="s">
        <v>6450</v>
      </c>
      <c r="FO281">
        <v>1</v>
      </c>
      <c r="FP281" t="s">
        <v>6451</v>
      </c>
      <c r="FQ281" t="s">
        <v>6444</v>
      </c>
      <c r="FR281">
        <v>1</v>
      </c>
      <c r="FS281" t="s">
        <v>2196</v>
      </c>
      <c r="FT281" t="s">
        <v>6452</v>
      </c>
      <c r="FU281">
        <v>1</v>
      </c>
      <c r="FV281" t="s">
        <v>2701</v>
      </c>
      <c r="FW281" t="s">
        <v>6453</v>
      </c>
      <c r="FX281">
        <v>1</v>
      </c>
      <c r="FY281" t="s">
        <v>890</v>
      </c>
      <c r="FZ281" t="s">
        <v>6454</v>
      </c>
      <c r="GA281" t="s">
        <v>6445</v>
      </c>
      <c r="GB281">
        <v>1</v>
      </c>
      <c r="GD281">
        <v>0</v>
      </c>
      <c r="GF281">
        <v>0</v>
      </c>
      <c r="GG281">
        <v>1</v>
      </c>
      <c r="GH281" t="s">
        <v>892</v>
      </c>
      <c r="GI281" t="s">
        <v>893</v>
      </c>
      <c r="GJ281" t="s">
        <v>6446</v>
      </c>
      <c r="GM281">
        <v>1</v>
      </c>
      <c r="GN281">
        <v>0</v>
      </c>
      <c r="GO281">
        <v>0</v>
      </c>
      <c r="GP281">
        <v>1</v>
      </c>
      <c r="GQ281">
        <v>1</v>
      </c>
      <c r="GR281">
        <v>0</v>
      </c>
      <c r="GS281">
        <v>1</v>
      </c>
      <c r="GT281">
        <v>0</v>
      </c>
      <c r="GU281">
        <v>1</v>
      </c>
      <c r="GV281">
        <v>0</v>
      </c>
      <c r="GW281">
        <v>1</v>
      </c>
      <c r="GX281">
        <v>0</v>
      </c>
      <c r="GY281">
        <v>1</v>
      </c>
      <c r="GZ281">
        <v>0</v>
      </c>
      <c r="HA281" t="s">
        <v>494</v>
      </c>
      <c r="HB281" t="s">
        <v>894</v>
      </c>
      <c r="HC281" t="s">
        <v>935</v>
      </c>
      <c r="HD281" t="s">
        <v>845</v>
      </c>
      <c r="HE281" t="s">
        <v>900</v>
      </c>
      <c r="HF281" t="s">
        <v>923</v>
      </c>
      <c r="HG281" t="s">
        <v>894</v>
      </c>
      <c r="HH281" t="s">
        <v>935</v>
      </c>
      <c r="HI281" t="s">
        <v>845</v>
      </c>
      <c r="HJ281" t="s">
        <v>900</v>
      </c>
      <c r="HK281" t="s">
        <v>952</v>
      </c>
      <c r="HL281" t="s">
        <v>200</v>
      </c>
      <c r="HM281" t="s">
        <v>854</v>
      </c>
      <c r="HN281">
        <v>36805</v>
      </c>
      <c r="HO281">
        <v>1</v>
      </c>
      <c r="HP281" t="s">
        <v>178</v>
      </c>
      <c r="HQ281" t="s">
        <v>896</v>
      </c>
      <c r="HR281" t="s">
        <v>896</v>
      </c>
      <c r="HS281" t="s">
        <v>896</v>
      </c>
    </row>
    <row r="282" spans="1:227" x14ac:dyDescent="0.2">
      <c r="A282">
        <v>8702</v>
      </c>
      <c r="B282">
        <v>7531702683</v>
      </c>
      <c r="C282" t="s">
        <v>2265</v>
      </c>
      <c r="D282" t="s">
        <v>2266</v>
      </c>
      <c r="E282" t="s">
        <v>831</v>
      </c>
      <c r="F282">
        <v>1</v>
      </c>
      <c r="G282" t="s">
        <v>6455</v>
      </c>
      <c r="H282" t="s">
        <v>6455</v>
      </c>
      <c r="I282">
        <v>0</v>
      </c>
      <c r="J282" t="s">
        <v>833</v>
      </c>
      <c r="K282" t="s">
        <v>834</v>
      </c>
      <c r="L282">
        <v>153406451</v>
      </c>
      <c r="M282" t="s">
        <v>1818</v>
      </c>
      <c r="N282" t="s">
        <v>836</v>
      </c>
      <c r="O282" t="s">
        <v>837</v>
      </c>
      <c r="P282" t="s">
        <v>2269</v>
      </c>
      <c r="Q282" t="s">
        <v>2270</v>
      </c>
      <c r="R282" t="s">
        <v>6456</v>
      </c>
      <c r="S282" t="s">
        <v>6457</v>
      </c>
      <c r="T282">
        <v>41477092613</v>
      </c>
      <c r="V282" t="s">
        <v>1254</v>
      </c>
      <c r="W282" s="41">
        <v>45980</v>
      </c>
      <c r="X282" t="s">
        <v>6458</v>
      </c>
      <c r="Y282" t="s">
        <v>6459</v>
      </c>
      <c r="AA282">
        <v>0</v>
      </c>
      <c r="AB282" t="s">
        <v>845</v>
      </c>
      <c r="AC282" t="s">
        <v>846</v>
      </c>
      <c r="AD282" t="s">
        <v>847</v>
      </c>
      <c r="AE282" t="s">
        <v>848</v>
      </c>
      <c r="AF282">
        <v>1</v>
      </c>
      <c r="AG282">
        <v>452210</v>
      </c>
      <c r="AH282" t="s">
        <v>849</v>
      </c>
      <c r="AI282" t="s">
        <v>850</v>
      </c>
      <c r="AJ282" t="s">
        <v>851</v>
      </c>
      <c r="AK282" t="s">
        <v>253</v>
      </c>
      <c r="AL282" t="s">
        <v>1257</v>
      </c>
      <c r="AM282" t="s">
        <v>1258</v>
      </c>
      <c r="AN282" t="s">
        <v>854</v>
      </c>
      <c r="AO282">
        <v>36805</v>
      </c>
      <c r="AP282">
        <v>546</v>
      </c>
      <c r="AQ282" t="s">
        <v>855</v>
      </c>
      <c r="AR282">
        <v>66209286</v>
      </c>
      <c r="AS282" t="s">
        <v>856</v>
      </c>
      <c r="AU282" t="s">
        <v>6460</v>
      </c>
      <c r="AV282" t="s">
        <v>6461</v>
      </c>
      <c r="AX282" t="s">
        <v>913</v>
      </c>
      <c r="AY282" t="s">
        <v>861</v>
      </c>
      <c r="AZ282" t="s">
        <v>253</v>
      </c>
      <c r="BA282" t="s">
        <v>254</v>
      </c>
      <c r="BB282">
        <v>0</v>
      </c>
      <c r="BC282">
        <v>0</v>
      </c>
      <c r="BD282">
        <v>1</v>
      </c>
      <c r="BE282" t="s">
        <v>1818</v>
      </c>
      <c r="BF282">
        <v>0</v>
      </c>
      <c r="BG282">
        <v>0</v>
      </c>
      <c r="BH282" t="s">
        <v>862</v>
      </c>
      <c r="BI282">
        <v>0</v>
      </c>
      <c r="BJ282" t="s">
        <v>862</v>
      </c>
      <c r="BK282">
        <v>1</v>
      </c>
      <c r="BL282">
        <v>1</v>
      </c>
      <c r="BM282">
        <v>0</v>
      </c>
      <c r="BN282" t="s">
        <v>596</v>
      </c>
      <c r="BO282">
        <v>153406451</v>
      </c>
      <c r="BP282" t="s">
        <v>6455</v>
      </c>
      <c r="BR282">
        <v>42791462</v>
      </c>
      <c r="BT282">
        <v>0</v>
      </c>
      <c r="CM282">
        <v>4010</v>
      </c>
      <c r="CO282">
        <v>7360</v>
      </c>
      <c r="CP282">
        <v>2.35</v>
      </c>
      <c r="CQ282">
        <v>2.35</v>
      </c>
      <c r="CR282">
        <v>0.7</v>
      </c>
      <c r="CS282">
        <v>0</v>
      </c>
      <c r="CT282" t="s">
        <v>6462</v>
      </c>
      <c r="CU282" t="s">
        <v>6463</v>
      </c>
      <c r="CV282" t="s">
        <v>833</v>
      </c>
      <c r="CW282" t="s">
        <v>834</v>
      </c>
      <c r="CX282" t="s">
        <v>1818</v>
      </c>
      <c r="CY282">
        <v>1</v>
      </c>
      <c r="CZ282">
        <v>1</v>
      </c>
      <c r="DA282" t="s">
        <v>833</v>
      </c>
      <c r="DB282" t="s">
        <v>865</v>
      </c>
      <c r="DC282">
        <v>55447</v>
      </c>
      <c r="DD282">
        <v>81.2667</v>
      </c>
      <c r="DE282" t="s">
        <v>866</v>
      </c>
      <c r="DG282" t="s">
        <v>867</v>
      </c>
      <c r="DH282" t="s">
        <v>851</v>
      </c>
      <c r="DL282" t="s">
        <v>869</v>
      </c>
      <c r="DM282">
        <v>0</v>
      </c>
      <c r="DN282">
        <v>0</v>
      </c>
      <c r="DO282">
        <v>11</v>
      </c>
      <c r="DP282" t="s">
        <v>1010</v>
      </c>
      <c r="DQ282">
        <v>16</v>
      </c>
      <c r="DR282">
        <v>4876</v>
      </c>
      <c r="DS282">
        <v>9229</v>
      </c>
      <c r="DT282">
        <v>0.35</v>
      </c>
      <c r="DU282">
        <v>4</v>
      </c>
      <c r="DW282">
        <v>2</v>
      </c>
      <c r="DX282" t="s">
        <v>596</v>
      </c>
      <c r="DY282" t="s">
        <v>1818</v>
      </c>
      <c r="DZ282">
        <v>0</v>
      </c>
      <c r="EA282">
        <v>0</v>
      </c>
      <c r="EB282">
        <v>1</v>
      </c>
      <c r="EC282">
        <v>1</v>
      </c>
      <c r="ED282">
        <v>1</v>
      </c>
      <c r="EE282">
        <v>1</v>
      </c>
      <c r="EF282" t="s">
        <v>871</v>
      </c>
      <c r="EG282" t="s">
        <v>595</v>
      </c>
      <c r="EH282" t="s">
        <v>921</v>
      </c>
      <c r="EI282" t="s">
        <v>921</v>
      </c>
      <c r="EJ282" t="s">
        <v>159</v>
      </c>
      <c r="EK282">
        <v>9090</v>
      </c>
      <c r="EL282">
        <v>1</v>
      </c>
      <c r="EM282" t="s">
        <v>873</v>
      </c>
      <c r="EN282">
        <v>0.7</v>
      </c>
      <c r="EO282">
        <v>153.81666659999999</v>
      </c>
      <c r="EP282">
        <v>99991120</v>
      </c>
      <c r="EQ282" t="s">
        <v>874</v>
      </c>
      <c r="ER282" t="s">
        <v>875</v>
      </c>
      <c r="ES282" t="s">
        <v>876</v>
      </c>
      <c r="ET282" t="s">
        <v>877</v>
      </c>
      <c r="EU282" t="s">
        <v>877</v>
      </c>
      <c r="EV282" t="s">
        <v>871</v>
      </c>
      <c r="EX282" t="s">
        <v>836</v>
      </c>
      <c r="EY282" t="s">
        <v>1121</v>
      </c>
      <c r="EZ282" t="s">
        <v>1122</v>
      </c>
      <c r="FA282" t="s">
        <v>956</v>
      </c>
      <c r="FB282">
        <v>1</v>
      </c>
      <c r="FC282">
        <v>2</v>
      </c>
      <c r="FD282" s="41">
        <v>45983</v>
      </c>
      <c r="FE282" t="s">
        <v>1438</v>
      </c>
      <c r="FF282">
        <v>10</v>
      </c>
      <c r="FG282" t="s">
        <v>6464</v>
      </c>
      <c r="FH282" t="s">
        <v>6465</v>
      </c>
      <c r="FI282">
        <v>1</v>
      </c>
      <c r="FJ282" t="s">
        <v>6466</v>
      </c>
      <c r="FK282" t="s">
        <v>6465</v>
      </c>
      <c r="FL282">
        <v>1</v>
      </c>
      <c r="FM282" t="s">
        <v>1830</v>
      </c>
      <c r="FN282" t="s">
        <v>6467</v>
      </c>
      <c r="FO282">
        <v>1</v>
      </c>
      <c r="FP282" t="s">
        <v>6468</v>
      </c>
      <c r="FQ282" t="s">
        <v>6463</v>
      </c>
      <c r="FR282">
        <v>1</v>
      </c>
      <c r="FS282" t="s">
        <v>1273</v>
      </c>
      <c r="FT282" t="s">
        <v>6469</v>
      </c>
      <c r="FU282">
        <v>1</v>
      </c>
      <c r="FV282" t="s">
        <v>6470</v>
      </c>
      <c r="FW282" t="s">
        <v>6471</v>
      </c>
      <c r="FX282">
        <v>1</v>
      </c>
      <c r="FY282" t="s">
        <v>890</v>
      </c>
      <c r="FZ282" t="s">
        <v>6472</v>
      </c>
      <c r="GA282" t="s">
        <v>6466</v>
      </c>
      <c r="GB282">
        <v>1</v>
      </c>
      <c r="GD282">
        <v>0</v>
      </c>
      <c r="GF282">
        <v>0</v>
      </c>
      <c r="GG282">
        <v>1</v>
      </c>
      <c r="GH282" t="s">
        <v>892</v>
      </c>
      <c r="GI282" t="s">
        <v>893</v>
      </c>
      <c r="GJ282" t="s">
        <v>6465</v>
      </c>
      <c r="GM282">
        <v>1</v>
      </c>
      <c r="GN282">
        <v>0</v>
      </c>
      <c r="GO282">
        <v>0</v>
      </c>
      <c r="GP282">
        <v>1</v>
      </c>
      <c r="GQ282">
        <v>1</v>
      </c>
      <c r="GR282">
        <v>0</v>
      </c>
      <c r="GS282">
        <v>1</v>
      </c>
      <c r="GT282">
        <v>0</v>
      </c>
      <c r="GU282">
        <v>1</v>
      </c>
      <c r="GV282">
        <v>0</v>
      </c>
      <c r="GW282">
        <v>1</v>
      </c>
      <c r="GX282">
        <v>0</v>
      </c>
      <c r="GY282">
        <v>1</v>
      </c>
      <c r="GZ282">
        <v>0</v>
      </c>
      <c r="HA282" t="s">
        <v>253</v>
      </c>
      <c r="HB282" t="s">
        <v>894</v>
      </c>
      <c r="HC282" t="s">
        <v>895</v>
      </c>
      <c r="HD282" t="s">
        <v>845</v>
      </c>
      <c r="HE282" t="s">
        <v>836</v>
      </c>
      <c r="HF282" t="s">
        <v>873</v>
      </c>
      <c r="HG282" t="s">
        <v>894</v>
      </c>
      <c r="HH282" t="s">
        <v>895</v>
      </c>
      <c r="HI282" t="s">
        <v>845</v>
      </c>
      <c r="HJ282" t="s">
        <v>836</v>
      </c>
      <c r="HK282" t="s">
        <v>873</v>
      </c>
      <c r="HL282" t="s">
        <v>1254</v>
      </c>
      <c r="HM282" t="s">
        <v>854</v>
      </c>
      <c r="HN282">
        <v>36805</v>
      </c>
      <c r="HP282" t="s">
        <v>159</v>
      </c>
      <c r="HQ282" t="s">
        <v>896</v>
      </c>
      <c r="HR282" t="s">
        <v>896</v>
      </c>
      <c r="HS282" t="s">
        <v>896</v>
      </c>
    </row>
    <row r="283" spans="1:227" x14ac:dyDescent="0.2">
      <c r="A283">
        <v>8702</v>
      </c>
      <c r="B283">
        <v>7535302810</v>
      </c>
      <c r="C283" t="s">
        <v>1171</v>
      </c>
      <c r="D283" t="s">
        <v>1172</v>
      </c>
      <c r="E283" t="s">
        <v>897</v>
      </c>
      <c r="F283">
        <v>0</v>
      </c>
      <c r="G283" t="s">
        <v>6473</v>
      </c>
      <c r="H283" t="s">
        <v>6473</v>
      </c>
      <c r="I283">
        <v>0</v>
      </c>
      <c r="J283" t="s">
        <v>833</v>
      </c>
      <c r="K283" t="s">
        <v>834</v>
      </c>
      <c r="L283">
        <v>153517104</v>
      </c>
      <c r="M283" t="s">
        <v>6474</v>
      </c>
      <c r="N283" t="s">
        <v>900</v>
      </c>
      <c r="O283" t="s">
        <v>837</v>
      </c>
      <c r="P283" t="s">
        <v>1175</v>
      </c>
      <c r="Q283" t="s">
        <v>1176</v>
      </c>
      <c r="R283" t="s">
        <v>6475</v>
      </c>
      <c r="S283" t="s">
        <v>6476</v>
      </c>
      <c r="T283">
        <v>41477127063</v>
      </c>
      <c r="V283" t="s">
        <v>228</v>
      </c>
      <c r="W283" s="41">
        <v>46010</v>
      </c>
      <c r="X283" t="s">
        <v>6477</v>
      </c>
      <c r="Y283" t="s">
        <v>6478</v>
      </c>
      <c r="AA283">
        <v>0</v>
      </c>
      <c r="AB283" t="s">
        <v>845</v>
      </c>
      <c r="AC283" t="s">
        <v>846</v>
      </c>
      <c r="AD283" t="s">
        <v>847</v>
      </c>
      <c r="AE283" t="s">
        <v>848</v>
      </c>
      <c r="AF283">
        <v>1</v>
      </c>
      <c r="AG283">
        <v>452210</v>
      </c>
      <c r="AH283" t="s">
        <v>849</v>
      </c>
      <c r="AI283" t="s">
        <v>850</v>
      </c>
      <c r="AJ283" t="s">
        <v>851</v>
      </c>
      <c r="AK283" t="s">
        <v>336</v>
      </c>
      <c r="AL283" t="s">
        <v>4317</v>
      </c>
      <c r="AM283" t="s">
        <v>6479</v>
      </c>
      <c r="AN283" t="s">
        <v>854</v>
      </c>
      <c r="AO283">
        <v>36805</v>
      </c>
      <c r="AP283">
        <v>920</v>
      </c>
      <c r="AQ283" t="s">
        <v>855</v>
      </c>
      <c r="AR283">
        <v>66252326</v>
      </c>
      <c r="AS283" t="s">
        <v>856</v>
      </c>
      <c r="AU283" t="s">
        <v>6480</v>
      </c>
      <c r="AV283" t="s">
        <v>6481</v>
      </c>
      <c r="AX283" t="s">
        <v>913</v>
      </c>
      <c r="AY283" t="s">
        <v>861</v>
      </c>
      <c r="AZ283" t="s">
        <v>336</v>
      </c>
      <c r="BA283" t="s">
        <v>337</v>
      </c>
      <c r="BB283">
        <v>0</v>
      </c>
      <c r="BC283">
        <v>0</v>
      </c>
      <c r="BD283">
        <v>0</v>
      </c>
      <c r="BE283" t="s">
        <v>6474</v>
      </c>
      <c r="BF283">
        <v>0</v>
      </c>
      <c r="BG283">
        <v>0</v>
      </c>
      <c r="BH283" t="s">
        <v>862</v>
      </c>
      <c r="BI283">
        <v>0</v>
      </c>
      <c r="BJ283" t="s">
        <v>862</v>
      </c>
      <c r="BK283">
        <v>1</v>
      </c>
      <c r="BL283">
        <v>1</v>
      </c>
      <c r="BM283">
        <v>0</v>
      </c>
      <c r="BN283" t="s">
        <v>596</v>
      </c>
      <c r="BO283">
        <v>153517104</v>
      </c>
      <c r="BP283" t="s">
        <v>6473</v>
      </c>
      <c r="BR283">
        <v>42793644</v>
      </c>
      <c r="BT283">
        <v>0</v>
      </c>
      <c r="CM283">
        <v>4010</v>
      </c>
      <c r="CO283">
        <v>7360</v>
      </c>
      <c r="CP283">
        <v>0.36670000000000003</v>
      </c>
      <c r="CQ283">
        <v>0.36670000000000003</v>
      </c>
      <c r="CR283">
        <v>0.41670000000000001</v>
      </c>
      <c r="CS283">
        <v>53</v>
      </c>
      <c r="CT283" t="s">
        <v>6481</v>
      </c>
      <c r="CU283" t="s">
        <v>6480</v>
      </c>
      <c r="CV283" t="s">
        <v>833</v>
      </c>
      <c r="CW283" t="s">
        <v>834</v>
      </c>
      <c r="CX283" t="s">
        <v>6474</v>
      </c>
      <c r="CY283">
        <v>0</v>
      </c>
      <c r="CZ283">
        <v>0</v>
      </c>
      <c r="DA283" t="s">
        <v>833</v>
      </c>
      <c r="DB283" t="s">
        <v>865</v>
      </c>
      <c r="DC283">
        <v>45324</v>
      </c>
      <c r="DD283">
        <v>4.7</v>
      </c>
      <c r="DE283" t="s">
        <v>866</v>
      </c>
      <c r="DG283" t="s">
        <v>867</v>
      </c>
      <c r="DH283" t="s">
        <v>851</v>
      </c>
      <c r="DI283" t="s">
        <v>3967</v>
      </c>
      <c r="DJ283" t="s">
        <v>6482</v>
      </c>
      <c r="DL283" t="s">
        <v>869</v>
      </c>
      <c r="DM283">
        <v>0</v>
      </c>
      <c r="DN283">
        <v>0</v>
      </c>
      <c r="DO283">
        <v>1</v>
      </c>
      <c r="DP283" t="s">
        <v>985</v>
      </c>
      <c r="DQ283">
        <v>16</v>
      </c>
      <c r="DR283">
        <v>282</v>
      </c>
      <c r="DS283">
        <v>282</v>
      </c>
      <c r="DT283">
        <v>4.3333000000000004</v>
      </c>
      <c r="DU283">
        <v>4</v>
      </c>
      <c r="DW283">
        <v>2</v>
      </c>
      <c r="DX283" t="s">
        <v>596</v>
      </c>
      <c r="DY283" t="s">
        <v>6474</v>
      </c>
      <c r="DZ283">
        <v>1</v>
      </c>
      <c r="EA283">
        <v>1</v>
      </c>
      <c r="EB283">
        <v>1</v>
      </c>
      <c r="EC283">
        <v>0</v>
      </c>
      <c r="ED283">
        <v>0</v>
      </c>
      <c r="EE283">
        <v>1</v>
      </c>
      <c r="EF283" t="s">
        <v>871</v>
      </c>
      <c r="EG283" t="s">
        <v>595</v>
      </c>
      <c r="EH283" t="s">
        <v>921</v>
      </c>
      <c r="EI283" t="s">
        <v>921</v>
      </c>
      <c r="EJ283" t="s">
        <v>226</v>
      </c>
      <c r="EK283">
        <v>9090</v>
      </c>
      <c r="EL283">
        <v>0</v>
      </c>
      <c r="EM283" t="s">
        <v>1157</v>
      </c>
      <c r="EN283">
        <v>0.41670000000000001</v>
      </c>
      <c r="EO283">
        <v>4.7</v>
      </c>
      <c r="EP283">
        <v>99991120</v>
      </c>
      <c r="EQ283" t="s">
        <v>874</v>
      </c>
      <c r="ER283" t="s">
        <v>875</v>
      </c>
      <c r="ES283" t="s">
        <v>876</v>
      </c>
      <c r="ET283" t="s">
        <v>877</v>
      </c>
      <c r="EU283" t="s">
        <v>877</v>
      </c>
      <c r="EV283" t="s">
        <v>871</v>
      </c>
      <c r="EX283" t="s">
        <v>953</v>
      </c>
      <c r="EY283" t="s">
        <v>1555</v>
      </c>
      <c r="EZ283" t="s">
        <v>6483</v>
      </c>
      <c r="FA283" t="s">
        <v>925</v>
      </c>
      <c r="FB283">
        <v>1</v>
      </c>
      <c r="FC283">
        <v>1</v>
      </c>
      <c r="FD283" s="41">
        <v>46011</v>
      </c>
      <c r="FE283" t="s">
        <v>957</v>
      </c>
      <c r="FF283">
        <v>6</v>
      </c>
      <c r="FG283" t="s">
        <v>6484</v>
      </c>
      <c r="FH283" t="s">
        <v>6485</v>
      </c>
      <c r="FI283">
        <v>1</v>
      </c>
      <c r="FJ283" t="s">
        <v>6486</v>
      </c>
      <c r="FK283" t="s">
        <v>6487</v>
      </c>
      <c r="FL283">
        <v>1</v>
      </c>
      <c r="FM283" t="s">
        <v>6488</v>
      </c>
      <c r="FN283" t="s">
        <v>6489</v>
      </c>
      <c r="FO283">
        <v>1</v>
      </c>
      <c r="FP283" t="s">
        <v>6490</v>
      </c>
      <c r="FQ283" t="s">
        <v>6491</v>
      </c>
      <c r="FR283">
        <v>1</v>
      </c>
      <c r="FS283" t="s">
        <v>6492</v>
      </c>
      <c r="FT283" t="s">
        <v>6493</v>
      </c>
      <c r="FU283">
        <v>1</v>
      </c>
      <c r="FV283" t="s">
        <v>6494</v>
      </c>
      <c r="FW283" t="s">
        <v>6495</v>
      </c>
      <c r="FX283">
        <v>1</v>
      </c>
      <c r="FY283" t="s">
        <v>890</v>
      </c>
      <c r="FZ283" t="s">
        <v>6496</v>
      </c>
      <c r="GA283" t="s">
        <v>6486</v>
      </c>
      <c r="GB283">
        <v>1</v>
      </c>
      <c r="GD283">
        <v>0</v>
      </c>
      <c r="GF283">
        <v>0</v>
      </c>
      <c r="GG283">
        <v>1</v>
      </c>
      <c r="GH283" t="s">
        <v>892</v>
      </c>
      <c r="GI283" t="s">
        <v>893</v>
      </c>
      <c r="GJ283" t="s">
        <v>6487</v>
      </c>
      <c r="GM283">
        <v>1</v>
      </c>
      <c r="GN283">
        <v>1</v>
      </c>
      <c r="GO283">
        <v>0</v>
      </c>
      <c r="GP283">
        <v>1</v>
      </c>
      <c r="GQ283">
        <v>1</v>
      </c>
      <c r="GR283">
        <v>0</v>
      </c>
      <c r="GS283">
        <v>1</v>
      </c>
      <c r="GT283">
        <v>0</v>
      </c>
      <c r="GU283">
        <v>1</v>
      </c>
      <c r="GV283">
        <v>0</v>
      </c>
      <c r="GW283">
        <v>1</v>
      </c>
      <c r="GX283">
        <v>0</v>
      </c>
      <c r="GY283">
        <v>1</v>
      </c>
      <c r="GZ283">
        <v>0</v>
      </c>
      <c r="HA283" t="s">
        <v>336</v>
      </c>
      <c r="HB283" t="s">
        <v>894</v>
      </c>
      <c r="HC283" t="s">
        <v>935</v>
      </c>
      <c r="HD283" t="s">
        <v>845</v>
      </c>
      <c r="HE283" t="s">
        <v>900</v>
      </c>
      <c r="HF283" t="s">
        <v>923</v>
      </c>
      <c r="HG283" t="s">
        <v>894</v>
      </c>
      <c r="HH283" t="s">
        <v>935</v>
      </c>
      <c r="HI283" t="s">
        <v>845</v>
      </c>
      <c r="HJ283" t="s">
        <v>900</v>
      </c>
      <c r="HK283" t="s">
        <v>922</v>
      </c>
      <c r="HL283" t="s">
        <v>228</v>
      </c>
      <c r="HM283" t="s">
        <v>854</v>
      </c>
      <c r="HN283">
        <v>36805</v>
      </c>
      <c r="HP283" t="s">
        <v>226</v>
      </c>
      <c r="HQ283" t="s">
        <v>896</v>
      </c>
      <c r="HR283" t="s">
        <v>896</v>
      </c>
      <c r="HS283" t="s">
        <v>896</v>
      </c>
    </row>
    <row r="284" spans="1:227" x14ac:dyDescent="0.2">
      <c r="A284">
        <v>8702</v>
      </c>
      <c r="B284">
        <v>7618913543</v>
      </c>
      <c r="C284" t="s">
        <v>829</v>
      </c>
      <c r="D284" t="s">
        <v>830</v>
      </c>
      <c r="E284" t="s">
        <v>897</v>
      </c>
      <c r="F284">
        <v>0</v>
      </c>
      <c r="G284" t="s">
        <v>6497</v>
      </c>
      <c r="H284" t="s">
        <v>6497</v>
      </c>
      <c r="I284">
        <v>0</v>
      </c>
      <c r="J284" t="s">
        <v>833</v>
      </c>
      <c r="K284" t="s">
        <v>834</v>
      </c>
      <c r="L284">
        <v>153195482</v>
      </c>
      <c r="M284" t="s">
        <v>3282</v>
      </c>
      <c r="N284" t="s">
        <v>900</v>
      </c>
      <c r="O284" t="s">
        <v>837</v>
      </c>
      <c r="P284" t="s">
        <v>838</v>
      </c>
      <c r="Q284" t="s">
        <v>839</v>
      </c>
      <c r="R284" t="s">
        <v>6498</v>
      </c>
      <c r="S284" t="s">
        <v>6499</v>
      </c>
      <c r="T284">
        <v>41477066624</v>
      </c>
      <c r="V284" t="s">
        <v>142</v>
      </c>
      <c r="W284" s="41">
        <v>46211</v>
      </c>
      <c r="X284" t="s">
        <v>6500</v>
      </c>
      <c r="Y284" t="s">
        <v>6501</v>
      </c>
      <c r="AA284">
        <v>0</v>
      </c>
      <c r="AB284" t="s">
        <v>845</v>
      </c>
      <c r="AC284" t="s">
        <v>846</v>
      </c>
      <c r="AD284" t="s">
        <v>907</v>
      </c>
      <c r="AE284" t="s">
        <v>908</v>
      </c>
      <c r="AF284">
        <v>1</v>
      </c>
      <c r="AG284">
        <v>452210</v>
      </c>
      <c r="AH284" t="s">
        <v>849</v>
      </c>
      <c r="AI284" t="s">
        <v>850</v>
      </c>
      <c r="AJ284" t="s">
        <v>851</v>
      </c>
      <c r="AK284" t="s">
        <v>307</v>
      </c>
      <c r="AL284" t="s">
        <v>2207</v>
      </c>
      <c r="AM284" t="s">
        <v>3288</v>
      </c>
      <c r="AN284" t="s">
        <v>854</v>
      </c>
      <c r="AO284">
        <v>36805</v>
      </c>
      <c r="AP284">
        <v>527</v>
      </c>
      <c r="AQ284" t="s">
        <v>855</v>
      </c>
      <c r="AR284">
        <v>66541675</v>
      </c>
      <c r="AS284" t="s">
        <v>856</v>
      </c>
      <c r="AU284" t="s">
        <v>6502</v>
      </c>
      <c r="AV284" t="s">
        <v>6503</v>
      </c>
      <c r="AW284" t="s">
        <v>1185</v>
      </c>
      <c r="AX284" t="s">
        <v>1186</v>
      </c>
      <c r="AY284" t="s">
        <v>861</v>
      </c>
      <c r="AZ284" t="s">
        <v>307</v>
      </c>
      <c r="BA284" t="s">
        <v>308</v>
      </c>
      <c r="BB284">
        <v>0</v>
      </c>
      <c r="BC284">
        <v>0</v>
      </c>
      <c r="BD284">
        <v>1</v>
      </c>
      <c r="BE284" t="s">
        <v>3282</v>
      </c>
      <c r="BF284">
        <v>0</v>
      </c>
      <c r="BG284">
        <v>0</v>
      </c>
      <c r="BH284" t="s">
        <v>862</v>
      </c>
      <c r="BI284">
        <v>0</v>
      </c>
      <c r="BJ284" t="s">
        <v>862</v>
      </c>
      <c r="BK284">
        <v>1</v>
      </c>
      <c r="BL284">
        <v>0</v>
      </c>
      <c r="BM284">
        <v>0</v>
      </c>
      <c r="BN284" t="s">
        <v>596</v>
      </c>
      <c r="BO284">
        <v>153195482</v>
      </c>
      <c r="BP284" t="s">
        <v>6497</v>
      </c>
      <c r="BQ284">
        <v>39.956822199999998</v>
      </c>
      <c r="BR284">
        <v>42791440</v>
      </c>
      <c r="BS284">
        <v>-85.960823000000005</v>
      </c>
      <c r="BT284">
        <v>2</v>
      </c>
      <c r="BU284" t="s">
        <v>1062</v>
      </c>
      <c r="BY284">
        <v>16</v>
      </c>
      <c r="CA284">
        <v>4</v>
      </c>
      <c r="CE284">
        <v>1</v>
      </c>
      <c r="CI284">
        <v>11</v>
      </c>
      <c r="CJ284" t="s">
        <v>94</v>
      </c>
      <c r="CM284">
        <v>4010</v>
      </c>
      <c r="CO284">
        <v>7360</v>
      </c>
      <c r="CP284">
        <v>0.55000000000000004</v>
      </c>
      <c r="CQ284">
        <v>0.55000000000000004</v>
      </c>
      <c r="CR284">
        <v>0.4667</v>
      </c>
      <c r="CS284">
        <v>18</v>
      </c>
      <c r="CT284" t="s">
        <v>6504</v>
      </c>
      <c r="CU284" t="s">
        <v>6505</v>
      </c>
      <c r="CV284" t="s">
        <v>833</v>
      </c>
      <c r="CW284" t="s">
        <v>834</v>
      </c>
      <c r="CX284" t="s">
        <v>3282</v>
      </c>
      <c r="CY284">
        <v>1</v>
      </c>
      <c r="CZ284">
        <v>1</v>
      </c>
      <c r="DA284" t="s">
        <v>833</v>
      </c>
      <c r="DB284" t="s">
        <v>865</v>
      </c>
      <c r="DC284">
        <v>46037</v>
      </c>
      <c r="DD284">
        <v>4.4832999999999998</v>
      </c>
      <c r="DE284" t="s">
        <v>866</v>
      </c>
      <c r="DG284" t="s">
        <v>867</v>
      </c>
      <c r="DH284" t="s">
        <v>851</v>
      </c>
      <c r="DI284" t="s">
        <v>3291</v>
      </c>
      <c r="DJ284" t="s">
        <v>3292</v>
      </c>
      <c r="DK284" t="s">
        <v>918</v>
      </c>
      <c r="DL284" t="s">
        <v>869</v>
      </c>
      <c r="DM284">
        <v>0</v>
      </c>
      <c r="DN284">
        <v>0</v>
      </c>
      <c r="DO284">
        <v>11</v>
      </c>
      <c r="DP284" t="s">
        <v>1010</v>
      </c>
      <c r="DQ284">
        <v>16</v>
      </c>
      <c r="DR284">
        <v>269</v>
      </c>
      <c r="DS284">
        <v>919</v>
      </c>
      <c r="DT284">
        <v>3.9333</v>
      </c>
      <c r="DU284">
        <v>4</v>
      </c>
      <c r="DV284">
        <v>1</v>
      </c>
      <c r="DW284">
        <v>2</v>
      </c>
      <c r="DX284" t="s">
        <v>594</v>
      </c>
      <c r="DY284" t="s">
        <v>3282</v>
      </c>
      <c r="DZ284">
        <v>0</v>
      </c>
      <c r="EA284">
        <v>0</v>
      </c>
      <c r="EB284">
        <v>0</v>
      </c>
      <c r="EC284">
        <v>0</v>
      </c>
      <c r="ED284">
        <v>0</v>
      </c>
      <c r="EE284">
        <v>0</v>
      </c>
      <c r="EF284" t="s">
        <v>920</v>
      </c>
      <c r="EG284" t="s">
        <v>595</v>
      </c>
      <c r="EH284" t="s">
        <v>872</v>
      </c>
      <c r="EI284" t="s">
        <v>872</v>
      </c>
      <c r="EJ284" t="s">
        <v>134</v>
      </c>
      <c r="EK284">
        <v>9090</v>
      </c>
      <c r="EL284">
        <v>0</v>
      </c>
      <c r="EM284" t="s">
        <v>1011</v>
      </c>
      <c r="EN284">
        <v>0.4667</v>
      </c>
      <c r="EO284">
        <v>15.316666700000001</v>
      </c>
      <c r="EP284">
        <v>99991120</v>
      </c>
      <c r="EQ284" t="s">
        <v>874</v>
      </c>
      <c r="ER284" t="s">
        <v>875</v>
      </c>
      <c r="ES284" t="s">
        <v>876</v>
      </c>
      <c r="ET284" t="s">
        <v>877</v>
      </c>
      <c r="EU284" t="s">
        <v>877</v>
      </c>
      <c r="EV284" t="s">
        <v>920</v>
      </c>
      <c r="EX284" t="s">
        <v>900</v>
      </c>
      <c r="EY284" t="s">
        <v>1012</v>
      </c>
      <c r="EZ284" t="s">
        <v>1013</v>
      </c>
      <c r="FA284" t="s">
        <v>925</v>
      </c>
      <c r="FB284">
        <v>1</v>
      </c>
      <c r="FC284">
        <v>1</v>
      </c>
      <c r="FD284" s="41">
        <v>46214</v>
      </c>
      <c r="FE284" t="s">
        <v>1066</v>
      </c>
      <c r="FF284">
        <v>6</v>
      </c>
      <c r="FG284" t="s">
        <v>6506</v>
      </c>
      <c r="FH284" t="s">
        <v>6507</v>
      </c>
      <c r="FI284">
        <v>1</v>
      </c>
      <c r="FJ284" t="s">
        <v>6508</v>
      </c>
      <c r="FK284" t="s">
        <v>6507</v>
      </c>
      <c r="FL284">
        <v>1</v>
      </c>
      <c r="FM284" t="s">
        <v>6509</v>
      </c>
      <c r="FN284" t="s">
        <v>6510</v>
      </c>
      <c r="FO284">
        <v>1</v>
      </c>
      <c r="FP284" t="s">
        <v>6511</v>
      </c>
      <c r="FQ284" t="s">
        <v>6505</v>
      </c>
      <c r="FR284">
        <v>1</v>
      </c>
      <c r="FS284" t="s">
        <v>2417</v>
      </c>
      <c r="FT284" t="s">
        <v>6512</v>
      </c>
      <c r="FU284">
        <v>1</v>
      </c>
      <c r="FV284" t="s">
        <v>6513</v>
      </c>
      <c r="FW284" t="s">
        <v>6507</v>
      </c>
      <c r="FX284">
        <v>1</v>
      </c>
      <c r="FY284" t="s">
        <v>890</v>
      </c>
      <c r="FZ284" t="s">
        <v>6514</v>
      </c>
      <c r="GA284" t="s">
        <v>6508</v>
      </c>
      <c r="GB284">
        <v>1</v>
      </c>
      <c r="GD284">
        <v>0</v>
      </c>
      <c r="GF284">
        <v>0</v>
      </c>
      <c r="GG284">
        <v>1</v>
      </c>
      <c r="GH284" t="s">
        <v>892</v>
      </c>
      <c r="GI284" t="s">
        <v>893</v>
      </c>
      <c r="GJ284" t="s">
        <v>6507</v>
      </c>
      <c r="GM284">
        <v>1</v>
      </c>
      <c r="GN284">
        <v>1</v>
      </c>
      <c r="GO284">
        <v>0</v>
      </c>
      <c r="GP284">
        <v>1</v>
      </c>
      <c r="GQ284">
        <v>1</v>
      </c>
      <c r="GR284">
        <v>0</v>
      </c>
      <c r="GS284">
        <v>1</v>
      </c>
      <c r="GT284">
        <v>0</v>
      </c>
      <c r="GU284">
        <v>1</v>
      </c>
      <c r="GV284">
        <v>0</v>
      </c>
      <c r="GW284">
        <v>1</v>
      </c>
      <c r="GX284">
        <v>0</v>
      </c>
      <c r="GY284">
        <v>1</v>
      </c>
      <c r="GZ284">
        <v>0</v>
      </c>
      <c r="HA284" t="s">
        <v>307</v>
      </c>
      <c r="HB284" t="s">
        <v>894</v>
      </c>
      <c r="HC284" t="s">
        <v>935</v>
      </c>
      <c r="HD284" t="s">
        <v>845</v>
      </c>
      <c r="HE284" t="s">
        <v>900</v>
      </c>
      <c r="HF284" t="s">
        <v>1012</v>
      </c>
      <c r="HG284" t="s">
        <v>894</v>
      </c>
      <c r="HH284" t="s">
        <v>935</v>
      </c>
      <c r="HI284" t="s">
        <v>845</v>
      </c>
      <c r="HJ284" t="s">
        <v>900</v>
      </c>
      <c r="HK284" t="s">
        <v>1011</v>
      </c>
      <c r="HL284" t="s">
        <v>142</v>
      </c>
      <c r="HM284" t="s">
        <v>854</v>
      </c>
      <c r="HN284">
        <v>36805</v>
      </c>
      <c r="HP284" t="s">
        <v>134</v>
      </c>
      <c r="HQ284" t="s">
        <v>896</v>
      </c>
      <c r="HR284" t="s">
        <v>896</v>
      </c>
      <c r="HS284" t="s">
        <v>896</v>
      </c>
    </row>
    <row r="285" spans="1:227" x14ac:dyDescent="0.2">
      <c r="A285">
        <v>8702</v>
      </c>
      <c r="B285">
        <v>7600400733</v>
      </c>
      <c r="C285" t="s">
        <v>829</v>
      </c>
      <c r="D285" t="s">
        <v>830</v>
      </c>
      <c r="E285" t="s">
        <v>897</v>
      </c>
      <c r="F285">
        <v>1</v>
      </c>
      <c r="G285" t="s">
        <v>6515</v>
      </c>
      <c r="H285" t="s">
        <v>6515</v>
      </c>
      <c r="I285">
        <v>0</v>
      </c>
      <c r="J285" t="s">
        <v>833</v>
      </c>
      <c r="K285" t="s">
        <v>834</v>
      </c>
      <c r="L285">
        <v>153524578</v>
      </c>
      <c r="M285" t="s">
        <v>6516</v>
      </c>
      <c r="N285" t="s">
        <v>900</v>
      </c>
      <c r="O285" t="s">
        <v>837</v>
      </c>
      <c r="P285" t="s">
        <v>838</v>
      </c>
      <c r="Q285" t="s">
        <v>1251</v>
      </c>
      <c r="R285" t="s">
        <v>6517</v>
      </c>
      <c r="S285" t="s">
        <v>6518</v>
      </c>
      <c r="T285">
        <v>41477124629</v>
      </c>
      <c r="V285" t="s">
        <v>1282</v>
      </c>
      <c r="W285" s="41">
        <v>46026</v>
      </c>
      <c r="X285" t="s">
        <v>6519</v>
      </c>
      <c r="Y285" t="s">
        <v>6520</v>
      </c>
      <c r="Z285" t="s">
        <v>1144</v>
      </c>
      <c r="AA285">
        <v>0</v>
      </c>
      <c r="AB285" t="s">
        <v>845</v>
      </c>
      <c r="AC285" t="s">
        <v>846</v>
      </c>
      <c r="AD285" t="s">
        <v>847</v>
      </c>
      <c r="AE285" t="s">
        <v>848</v>
      </c>
      <c r="AF285">
        <v>1</v>
      </c>
      <c r="AG285">
        <v>452210</v>
      </c>
      <c r="AH285" t="s">
        <v>849</v>
      </c>
      <c r="AI285" t="s">
        <v>850</v>
      </c>
      <c r="AJ285" t="s">
        <v>851</v>
      </c>
      <c r="AK285" t="s">
        <v>269</v>
      </c>
      <c r="AL285" t="s">
        <v>2928</v>
      </c>
      <c r="AM285" t="s">
        <v>1286</v>
      </c>
      <c r="AN285" t="s">
        <v>854</v>
      </c>
      <c r="AO285">
        <v>36805</v>
      </c>
      <c r="AP285">
        <v>497</v>
      </c>
      <c r="AQ285" t="s">
        <v>855</v>
      </c>
      <c r="AR285">
        <v>66275020</v>
      </c>
      <c r="AS285" t="s">
        <v>856</v>
      </c>
      <c r="AU285" t="s">
        <v>6521</v>
      </c>
      <c r="AV285" t="s">
        <v>6522</v>
      </c>
      <c r="AW285" t="s">
        <v>1261</v>
      </c>
      <c r="AX285" t="s">
        <v>1262</v>
      </c>
      <c r="AY285" t="s">
        <v>861</v>
      </c>
      <c r="AZ285" t="s">
        <v>269</v>
      </c>
      <c r="BA285" t="s">
        <v>270</v>
      </c>
      <c r="BB285">
        <v>0</v>
      </c>
      <c r="BC285">
        <v>0</v>
      </c>
      <c r="BD285">
        <v>0</v>
      </c>
      <c r="BE285" t="s">
        <v>6516</v>
      </c>
      <c r="BF285">
        <v>0</v>
      </c>
      <c r="BG285">
        <v>0</v>
      </c>
      <c r="BH285" t="s">
        <v>862</v>
      </c>
      <c r="BI285">
        <v>0</v>
      </c>
      <c r="BJ285" t="s">
        <v>862</v>
      </c>
      <c r="BK285">
        <v>1</v>
      </c>
      <c r="BL285">
        <v>0</v>
      </c>
      <c r="BM285">
        <v>0</v>
      </c>
      <c r="BN285" t="s">
        <v>596</v>
      </c>
      <c r="BO285">
        <v>153524578</v>
      </c>
      <c r="BP285" t="s">
        <v>6515</v>
      </c>
      <c r="BQ285">
        <v>40.330083000000002</v>
      </c>
      <c r="BR285">
        <v>42791323</v>
      </c>
      <c r="BS285">
        <v>-79.944237299999998</v>
      </c>
      <c r="BT285">
        <v>1</v>
      </c>
      <c r="BU285" t="s">
        <v>1367</v>
      </c>
      <c r="CI285">
        <v>11</v>
      </c>
      <c r="CJ285" t="s">
        <v>94</v>
      </c>
      <c r="CM285">
        <v>4010</v>
      </c>
      <c r="CO285">
        <v>7360</v>
      </c>
      <c r="CP285">
        <v>0.91669999999999996</v>
      </c>
      <c r="CQ285">
        <v>0.91669999999999996</v>
      </c>
      <c r="CR285">
        <v>0.4667</v>
      </c>
      <c r="CS285">
        <v>12</v>
      </c>
      <c r="CT285" t="s">
        <v>6523</v>
      </c>
      <c r="CU285" t="s">
        <v>6524</v>
      </c>
      <c r="CV285" t="s">
        <v>833</v>
      </c>
      <c r="CW285" t="s">
        <v>834</v>
      </c>
      <c r="CX285" t="s">
        <v>6516</v>
      </c>
      <c r="CY285">
        <v>0</v>
      </c>
      <c r="CZ285">
        <v>0</v>
      </c>
      <c r="DA285" t="s">
        <v>833</v>
      </c>
      <c r="DB285" t="s">
        <v>865</v>
      </c>
      <c r="DC285">
        <v>15236</v>
      </c>
      <c r="DD285">
        <v>0.6</v>
      </c>
      <c r="DE285" t="s">
        <v>866</v>
      </c>
      <c r="DG285" t="s">
        <v>867</v>
      </c>
      <c r="DH285" t="s">
        <v>851</v>
      </c>
      <c r="DI285" t="s">
        <v>1266</v>
      </c>
      <c r="DK285" t="s">
        <v>918</v>
      </c>
      <c r="DL285" t="s">
        <v>869</v>
      </c>
      <c r="DM285">
        <v>0</v>
      </c>
      <c r="DN285">
        <v>0</v>
      </c>
      <c r="DO285">
        <v>3</v>
      </c>
      <c r="DP285" t="s">
        <v>919</v>
      </c>
      <c r="DQ285">
        <v>16</v>
      </c>
      <c r="DR285">
        <v>36</v>
      </c>
      <c r="DS285">
        <v>707</v>
      </c>
      <c r="DT285">
        <v>0</v>
      </c>
      <c r="DU285">
        <v>4</v>
      </c>
      <c r="DV285">
        <v>1</v>
      </c>
      <c r="DW285">
        <v>2</v>
      </c>
      <c r="DX285" t="s">
        <v>594</v>
      </c>
      <c r="DY285" t="s">
        <v>6516</v>
      </c>
      <c r="DZ285">
        <v>0</v>
      </c>
      <c r="EA285">
        <v>0</v>
      </c>
      <c r="EB285">
        <v>0</v>
      </c>
      <c r="EC285">
        <v>0</v>
      </c>
      <c r="ED285">
        <v>0</v>
      </c>
      <c r="EE285">
        <v>0</v>
      </c>
      <c r="EF285" t="s">
        <v>920</v>
      </c>
      <c r="EG285" t="s">
        <v>595</v>
      </c>
      <c r="EH285" t="s">
        <v>872</v>
      </c>
      <c r="EI285" t="s">
        <v>872</v>
      </c>
      <c r="EJ285" t="s">
        <v>124</v>
      </c>
      <c r="EK285">
        <v>9090</v>
      </c>
      <c r="EL285">
        <v>0</v>
      </c>
      <c r="EM285" t="s">
        <v>923</v>
      </c>
      <c r="EN285">
        <v>0.4667</v>
      </c>
      <c r="EO285">
        <v>11.783333300000001</v>
      </c>
      <c r="EP285">
        <v>99991120</v>
      </c>
      <c r="EQ285" t="s">
        <v>874</v>
      </c>
      <c r="ER285" t="s">
        <v>875</v>
      </c>
      <c r="ES285" t="s">
        <v>876</v>
      </c>
      <c r="ET285" t="s">
        <v>877</v>
      </c>
      <c r="EU285" t="s">
        <v>877</v>
      </c>
      <c r="EV285" t="s">
        <v>920</v>
      </c>
      <c r="EX285" t="s">
        <v>953</v>
      </c>
      <c r="EY285" t="s">
        <v>1292</v>
      </c>
      <c r="EZ285" t="s">
        <v>1293</v>
      </c>
      <c r="FA285" t="s">
        <v>925</v>
      </c>
      <c r="FB285">
        <v>1</v>
      </c>
      <c r="FC285">
        <v>1</v>
      </c>
      <c r="FD285" s="41">
        <v>46032</v>
      </c>
      <c r="FE285" t="s">
        <v>1370</v>
      </c>
      <c r="FF285">
        <v>5</v>
      </c>
      <c r="FI285">
        <v>0</v>
      </c>
      <c r="FJ285" t="s">
        <v>6525</v>
      </c>
      <c r="FK285" t="s">
        <v>6526</v>
      </c>
      <c r="FL285">
        <v>1</v>
      </c>
      <c r="FM285" t="s">
        <v>6527</v>
      </c>
      <c r="FN285" t="s">
        <v>6528</v>
      </c>
      <c r="FO285">
        <v>1</v>
      </c>
      <c r="FP285" t="s">
        <v>6529</v>
      </c>
      <c r="FQ285" t="s">
        <v>6524</v>
      </c>
      <c r="FR285">
        <v>1</v>
      </c>
      <c r="FS285" t="s">
        <v>2938</v>
      </c>
      <c r="FT285" t="s">
        <v>6530</v>
      </c>
      <c r="FU285">
        <v>1</v>
      </c>
      <c r="FV285" t="s">
        <v>6531</v>
      </c>
      <c r="FW285" t="s">
        <v>6526</v>
      </c>
      <c r="FX285">
        <v>1</v>
      </c>
      <c r="FY285" t="s">
        <v>890</v>
      </c>
      <c r="FZ285" t="s">
        <v>6532</v>
      </c>
      <c r="GA285" t="s">
        <v>6525</v>
      </c>
      <c r="GB285">
        <v>1</v>
      </c>
      <c r="GD285">
        <v>0</v>
      </c>
      <c r="GF285">
        <v>0</v>
      </c>
      <c r="GG285">
        <v>1</v>
      </c>
      <c r="GH285" t="s">
        <v>892</v>
      </c>
      <c r="GI285" t="s">
        <v>893</v>
      </c>
      <c r="GJ285" t="s">
        <v>6526</v>
      </c>
      <c r="GM285">
        <v>1</v>
      </c>
      <c r="GN285">
        <v>1</v>
      </c>
      <c r="GO285">
        <v>0</v>
      </c>
      <c r="GP285">
        <v>1</v>
      </c>
      <c r="GQ285">
        <v>1</v>
      </c>
      <c r="GR285">
        <v>0</v>
      </c>
      <c r="GS285">
        <v>1</v>
      </c>
      <c r="GT285">
        <v>0</v>
      </c>
      <c r="GU285">
        <v>1</v>
      </c>
      <c r="GV285">
        <v>0</v>
      </c>
      <c r="GW285">
        <v>1</v>
      </c>
      <c r="GX285">
        <v>0</v>
      </c>
      <c r="GY285">
        <v>1</v>
      </c>
      <c r="GZ285">
        <v>0</v>
      </c>
      <c r="HA285" t="s">
        <v>269</v>
      </c>
      <c r="HB285" t="s">
        <v>894</v>
      </c>
      <c r="HC285" t="s">
        <v>935</v>
      </c>
      <c r="HD285" t="s">
        <v>845</v>
      </c>
      <c r="HE285" t="s">
        <v>900</v>
      </c>
      <c r="HF285" t="s">
        <v>923</v>
      </c>
      <c r="HG285" t="s">
        <v>894</v>
      </c>
      <c r="HH285" t="s">
        <v>935</v>
      </c>
      <c r="HI285" t="s">
        <v>845</v>
      </c>
      <c r="HJ285" t="s">
        <v>900</v>
      </c>
      <c r="HK285" t="s">
        <v>923</v>
      </c>
      <c r="HL285" t="s">
        <v>1282</v>
      </c>
      <c r="HM285" t="s">
        <v>854</v>
      </c>
      <c r="HN285">
        <v>36805</v>
      </c>
      <c r="HO285">
        <v>1</v>
      </c>
      <c r="HP285" t="s">
        <v>124</v>
      </c>
      <c r="HQ285" t="s">
        <v>896</v>
      </c>
      <c r="HR285" t="s">
        <v>896</v>
      </c>
      <c r="HS285" t="s">
        <v>896</v>
      </c>
    </row>
    <row r="286" spans="1:227" x14ac:dyDescent="0.2">
      <c r="A286">
        <v>8702</v>
      </c>
      <c r="B286">
        <v>7531305554</v>
      </c>
      <c r="C286">
        <v>34</v>
      </c>
      <c r="D286" t="s">
        <v>996</v>
      </c>
      <c r="E286" t="s">
        <v>897</v>
      </c>
      <c r="F286">
        <v>0</v>
      </c>
      <c r="G286" t="s">
        <v>6533</v>
      </c>
      <c r="H286" t="s">
        <v>6533</v>
      </c>
      <c r="I286">
        <v>0</v>
      </c>
      <c r="J286" t="s">
        <v>833</v>
      </c>
      <c r="K286" t="s">
        <v>834</v>
      </c>
      <c r="L286">
        <v>149860696</v>
      </c>
      <c r="M286" t="s">
        <v>1329</v>
      </c>
      <c r="N286" t="s">
        <v>900</v>
      </c>
      <c r="O286" t="s">
        <v>837</v>
      </c>
      <c r="P286" t="s">
        <v>999</v>
      </c>
      <c r="Q286" t="s">
        <v>1857</v>
      </c>
      <c r="R286" t="s">
        <v>6534</v>
      </c>
      <c r="S286" t="s">
        <v>6535</v>
      </c>
      <c r="T286">
        <v>41477128348</v>
      </c>
      <c r="V286" t="s">
        <v>1332</v>
      </c>
      <c r="W286" s="41">
        <v>45974</v>
      </c>
      <c r="X286" t="s">
        <v>6536</v>
      </c>
      <c r="Y286" t="s">
        <v>6537</v>
      </c>
      <c r="AA286">
        <v>0</v>
      </c>
      <c r="AB286" t="s">
        <v>845</v>
      </c>
      <c r="AC286" t="s">
        <v>846</v>
      </c>
      <c r="AD286" t="s">
        <v>1335</v>
      </c>
      <c r="AE286" t="s">
        <v>1336</v>
      </c>
      <c r="AF286">
        <v>1</v>
      </c>
      <c r="AG286">
        <v>452210</v>
      </c>
      <c r="AH286" t="s">
        <v>849</v>
      </c>
      <c r="AI286" t="s">
        <v>850</v>
      </c>
      <c r="AJ286" t="s">
        <v>851</v>
      </c>
      <c r="AK286" t="s">
        <v>338</v>
      </c>
      <c r="AL286" t="s">
        <v>1337</v>
      </c>
      <c r="AM286" t="s">
        <v>1338</v>
      </c>
      <c r="AN286" t="s">
        <v>854</v>
      </c>
      <c r="AO286">
        <v>36805</v>
      </c>
      <c r="AP286">
        <v>929</v>
      </c>
      <c r="AQ286" t="s">
        <v>855</v>
      </c>
      <c r="AR286">
        <v>66200655</v>
      </c>
      <c r="AS286" t="s">
        <v>856</v>
      </c>
      <c r="AU286" t="s">
        <v>6538</v>
      </c>
      <c r="AV286" t="s">
        <v>6539</v>
      </c>
      <c r="AX286" t="s">
        <v>913</v>
      </c>
      <c r="AY286" t="s">
        <v>861</v>
      </c>
      <c r="AZ286" t="s">
        <v>338</v>
      </c>
      <c r="BA286" t="s">
        <v>339</v>
      </c>
      <c r="BB286">
        <v>0</v>
      </c>
      <c r="BC286">
        <v>1</v>
      </c>
      <c r="BD286">
        <v>0</v>
      </c>
      <c r="BE286" t="s">
        <v>1329</v>
      </c>
      <c r="BF286">
        <v>0</v>
      </c>
      <c r="BG286">
        <v>0</v>
      </c>
      <c r="BH286" t="s">
        <v>862</v>
      </c>
      <c r="BI286">
        <v>0</v>
      </c>
      <c r="BJ286" t="s">
        <v>862</v>
      </c>
      <c r="BK286">
        <v>1</v>
      </c>
      <c r="BL286">
        <v>1</v>
      </c>
      <c r="BM286">
        <v>0</v>
      </c>
      <c r="BN286" t="s">
        <v>596</v>
      </c>
      <c r="BP286" t="s">
        <v>6533</v>
      </c>
      <c r="BQ286">
        <v>41.6991984</v>
      </c>
      <c r="BR286">
        <v>42793654</v>
      </c>
      <c r="BS286">
        <v>-83.647782500000005</v>
      </c>
      <c r="BT286">
        <v>0</v>
      </c>
      <c r="CM286">
        <v>4010</v>
      </c>
      <c r="CO286">
        <v>7360</v>
      </c>
      <c r="CP286">
        <v>0.95</v>
      </c>
      <c r="CQ286">
        <v>0.95</v>
      </c>
      <c r="CR286">
        <v>2.0167000000000002</v>
      </c>
      <c r="CS286">
        <v>5690</v>
      </c>
      <c r="CT286" t="s">
        <v>6539</v>
      </c>
      <c r="CU286" t="s">
        <v>6538</v>
      </c>
      <c r="CV286" t="s">
        <v>833</v>
      </c>
      <c r="CW286" t="s">
        <v>834</v>
      </c>
      <c r="CX286" t="s">
        <v>6540</v>
      </c>
      <c r="CY286">
        <v>1</v>
      </c>
      <c r="CZ286">
        <v>1</v>
      </c>
      <c r="DA286" t="s">
        <v>833</v>
      </c>
      <c r="DB286" t="s">
        <v>865</v>
      </c>
      <c r="DC286">
        <v>43623</v>
      </c>
      <c r="DD286">
        <v>53.033299999999997</v>
      </c>
      <c r="DE286" t="s">
        <v>866</v>
      </c>
      <c r="DG286" t="s">
        <v>867</v>
      </c>
      <c r="DH286" t="s">
        <v>851</v>
      </c>
      <c r="DL286" t="s">
        <v>869</v>
      </c>
      <c r="DM286">
        <v>0</v>
      </c>
      <c r="DN286">
        <v>0</v>
      </c>
      <c r="DO286">
        <v>11</v>
      </c>
      <c r="DP286" t="s">
        <v>1010</v>
      </c>
      <c r="DQ286">
        <v>12</v>
      </c>
      <c r="DR286">
        <v>3182</v>
      </c>
      <c r="DS286">
        <v>6062</v>
      </c>
      <c r="DT286">
        <v>1.3667</v>
      </c>
      <c r="DU286">
        <v>4</v>
      </c>
      <c r="DW286">
        <v>1</v>
      </c>
      <c r="DX286" t="s">
        <v>596</v>
      </c>
      <c r="DY286" t="s">
        <v>1329</v>
      </c>
      <c r="DZ286">
        <v>0</v>
      </c>
      <c r="EA286">
        <v>0</v>
      </c>
      <c r="EB286">
        <v>1</v>
      </c>
      <c r="EC286">
        <v>1</v>
      </c>
      <c r="ED286">
        <v>1</v>
      </c>
      <c r="EE286">
        <v>1</v>
      </c>
      <c r="EF286" t="s">
        <v>871</v>
      </c>
      <c r="EG286" t="s">
        <v>595</v>
      </c>
      <c r="EH286" t="s">
        <v>1036</v>
      </c>
      <c r="EI286" t="s">
        <v>1036</v>
      </c>
      <c r="EJ286" t="s">
        <v>226</v>
      </c>
      <c r="EK286">
        <v>9090</v>
      </c>
      <c r="EL286">
        <v>1</v>
      </c>
      <c r="EM286" t="s">
        <v>1157</v>
      </c>
      <c r="EN286">
        <v>2.0167000000000002</v>
      </c>
      <c r="EO286">
        <v>101.0333333</v>
      </c>
      <c r="EP286">
        <v>99991120</v>
      </c>
      <c r="EQ286" t="s">
        <v>874</v>
      </c>
      <c r="ER286" t="s">
        <v>875</v>
      </c>
      <c r="ES286" t="s">
        <v>876</v>
      </c>
      <c r="ET286" t="s">
        <v>877</v>
      </c>
      <c r="EU286" t="s">
        <v>877</v>
      </c>
      <c r="EV286" t="s">
        <v>871</v>
      </c>
      <c r="EX286" t="s">
        <v>953</v>
      </c>
      <c r="EY286" t="s">
        <v>986</v>
      </c>
      <c r="EZ286" t="s">
        <v>1342</v>
      </c>
      <c r="FA286" t="s">
        <v>879</v>
      </c>
      <c r="FB286">
        <v>1</v>
      </c>
      <c r="FC286">
        <v>2</v>
      </c>
      <c r="FD286" s="41">
        <v>45976</v>
      </c>
      <c r="FE286" t="s">
        <v>1438</v>
      </c>
      <c r="FF286">
        <v>8</v>
      </c>
      <c r="FG286" t="s">
        <v>1350</v>
      </c>
      <c r="FH286" t="s">
        <v>6541</v>
      </c>
      <c r="FI286">
        <v>1</v>
      </c>
      <c r="FJ286" t="s">
        <v>6542</v>
      </c>
      <c r="FK286" t="s">
        <v>6543</v>
      </c>
      <c r="FL286">
        <v>1</v>
      </c>
      <c r="FM286" t="s">
        <v>6544</v>
      </c>
      <c r="FN286" t="s">
        <v>6545</v>
      </c>
      <c r="FO286">
        <v>1</v>
      </c>
      <c r="FP286" t="s">
        <v>6546</v>
      </c>
      <c r="FQ286" t="s">
        <v>6547</v>
      </c>
      <c r="FR286">
        <v>1</v>
      </c>
      <c r="FS286" t="s">
        <v>6548</v>
      </c>
      <c r="FT286" t="s">
        <v>6549</v>
      </c>
      <c r="FU286">
        <v>1</v>
      </c>
      <c r="FV286" t="s">
        <v>6550</v>
      </c>
      <c r="FW286" t="s">
        <v>6551</v>
      </c>
      <c r="FX286">
        <v>1</v>
      </c>
      <c r="FY286" t="s">
        <v>890</v>
      </c>
      <c r="FZ286" t="s">
        <v>6552</v>
      </c>
      <c r="GA286" t="s">
        <v>6542</v>
      </c>
      <c r="GB286">
        <v>1</v>
      </c>
      <c r="GD286">
        <v>0</v>
      </c>
      <c r="GF286">
        <v>0</v>
      </c>
      <c r="GG286">
        <v>1</v>
      </c>
      <c r="GH286" t="s">
        <v>892</v>
      </c>
      <c r="GI286" t="s">
        <v>893</v>
      </c>
      <c r="GJ286" t="s">
        <v>6543</v>
      </c>
      <c r="GM286">
        <v>1</v>
      </c>
      <c r="GN286">
        <v>0</v>
      </c>
      <c r="GO286">
        <v>0</v>
      </c>
      <c r="GP286">
        <v>1</v>
      </c>
      <c r="GQ286">
        <v>1</v>
      </c>
      <c r="GR286">
        <v>0</v>
      </c>
      <c r="GS286">
        <v>1</v>
      </c>
      <c r="GT286">
        <v>0</v>
      </c>
      <c r="GU286">
        <v>1</v>
      </c>
      <c r="GV286">
        <v>0</v>
      </c>
      <c r="GW286">
        <v>1</v>
      </c>
      <c r="GX286">
        <v>0</v>
      </c>
      <c r="GY286">
        <v>1</v>
      </c>
      <c r="GZ286">
        <v>0</v>
      </c>
      <c r="HA286" t="s">
        <v>338</v>
      </c>
      <c r="HB286" t="s">
        <v>894</v>
      </c>
      <c r="HC286" t="s">
        <v>935</v>
      </c>
      <c r="HD286" t="s">
        <v>845</v>
      </c>
      <c r="HE286" t="s">
        <v>900</v>
      </c>
      <c r="HF286" t="s">
        <v>923</v>
      </c>
      <c r="HG286" t="s">
        <v>894</v>
      </c>
      <c r="HH286" t="s">
        <v>935</v>
      </c>
      <c r="HI286" t="s">
        <v>845</v>
      </c>
      <c r="HJ286" t="s">
        <v>900</v>
      </c>
      <c r="HK286" t="s">
        <v>922</v>
      </c>
      <c r="HL286" t="s">
        <v>1332</v>
      </c>
      <c r="HM286" t="s">
        <v>854</v>
      </c>
      <c r="HN286">
        <v>36805</v>
      </c>
      <c r="HP286" t="s">
        <v>226</v>
      </c>
      <c r="HQ286" t="s">
        <v>896</v>
      </c>
      <c r="HR286" t="s">
        <v>896</v>
      </c>
      <c r="HS286" t="s">
        <v>896</v>
      </c>
    </row>
    <row r="287" spans="1:227" x14ac:dyDescent="0.2">
      <c r="A287">
        <v>8702</v>
      </c>
      <c r="B287">
        <v>7523902604</v>
      </c>
      <c r="C287">
        <v>36</v>
      </c>
      <c r="D287" t="s">
        <v>1302</v>
      </c>
      <c r="E287" t="s">
        <v>897</v>
      </c>
      <c r="F287">
        <v>0</v>
      </c>
      <c r="G287" t="s">
        <v>6553</v>
      </c>
      <c r="H287" t="s">
        <v>6553</v>
      </c>
      <c r="I287">
        <v>0</v>
      </c>
      <c r="J287" t="s">
        <v>833</v>
      </c>
      <c r="K287" t="s">
        <v>834</v>
      </c>
      <c r="L287">
        <v>152946711</v>
      </c>
      <c r="M287" t="s">
        <v>3239</v>
      </c>
      <c r="N287" t="s">
        <v>900</v>
      </c>
      <c r="O287" t="s">
        <v>837</v>
      </c>
      <c r="P287" t="s">
        <v>1302</v>
      </c>
      <c r="Q287" t="s">
        <v>1305</v>
      </c>
      <c r="R287" t="s">
        <v>6554</v>
      </c>
      <c r="S287" t="s">
        <v>6555</v>
      </c>
      <c r="T287">
        <v>41477050287</v>
      </c>
      <c r="V287" t="s">
        <v>200</v>
      </c>
      <c r="W287" s="41">
        <v>45899</v>
      </c>
      <c r="X287" t="s">
        <v>6556</v>
      </c>
      <c r="Y287" t="s">
        <v>6557</v>
      </c>
      <c r="Z287" t="s">
        <v>3401</v>
      </c>
      <c r="AA287">
        <v>0</v>
      </c>
      <c r="AB287" t="s">
        <v>845</v>
      </c>
      <c r="AC287" t="s">
        <v>846</v>
      </c>
      <c r="AD287" t="s">
        <v>847</v>
      </c>
      <c r="AE287" t="s">
        <v>848</v>
      </c>
      <c r="AF287">
        <v>1</v>
      </c>
      <c r="AG287">
        <v>452210</v>
      </c>
      <c r="AH287" t="s">
        <v>849</v>
      </c>
      <c r="AI287" t="s">
        <v>850</v>
      </c>
      <c r="AJ287" t="s">
        <v>851</v>
      </c>
      <c r="AK287" t="s">
        <v>346</v>
      </c>
      <c r="AL287" t="s">
        <v>3308</v>
      </c>
      <c r="AM287" t="s">
        <v>3245</v>
      </c>
      <c r="AN287" t="s">
        <v>854</v>
      </c>
      <c r="AO287">
        <v>36805</v>
      </c>
      <c r="AP287">
        <v>642</v>
      </c>
      <c r="AQ287" t="s">
        <v>855</v>
      </c>
      <c r="AR287">
        <v>66092390</v>
      </c>
      <c r="AS287" t="s">
        <v>856</v>
      </c>
      <c r="AU287" t="s">
        <v>6558</v>
      </c>
      <c r="AV287" t="s">
        <v>6559</v>
      </c>
      <c r="AW287" t="s">
        <v>1185</v>
      </c>
      <c r="AX287" t="s">
        <v>1186</v>
      </c>
      <c r="AY287" t="s">
        <v>861</v>
      </c>
      <c r="AZ287" t="s">
        <v>346</v>
      </c>
      <c r="BA287" t="s">
        <v>347</v>
      </c>
      <c r="BB287">
        <v>0</v>
      </c>
      <c r="BC287">
        <v>1</v>
      </c>
      <c r="BD287">
        <v>0</v>
      </c>
      <c r="BE287" t="s">
        <v>3239</v>
      </c>
      <c r="BF287">
        <v>0</v>
      </c>
      <c r="BG287">
        <v>0</v>
      </c>
      <c r="BH287" t="s">
        <v>862</v>
      </c>
      <c r="BI287">
        <v>0</v>
      </c>
      <c r="BJ287" t="s">
        <v>862</v>
      </c>
      <c r="BK287">
        <v>1</v>
      </c>
      <c r="BL287">
        <v>0</v>
      </c>
      <c r="BM287">
        <v>0</v>
      </c>
      <c r="BN287" t="s">
        <v>596</v>
      </c>
      <c r="BO287">
        <v>152946711</v>
      </c>
      <c r="BP287" t="s">
        <v>6553</v>
      </c>
      <c r="BQ287">
        <v>42.396867700000001</v>
      </c>
      <c r="BR287">
        <v>42791773</v>
      </c>
      <c r="BS287">
        <v>-83.480221400000005</v>
      </c>
      <c r="BT287">
        <v>1</v>
      </c>
      <c r="BU287" t="s">
        <v>3406</v>
      </c>
      <c r="CI287">
        <v>11</v>
      </c>
      <c r="CJ287" t="s">
        <v>94</v>
      </c>
      <c r="CM287">
        <v>4010</v>
      </c>
      <c r="CO287">
        <v>7360</v>
      </c>
      <c r="CP287">
        <v>3.2166999999999999</v>
      </c>
      <c r="CQ287">
        <v>3.2166999999999999</v>
      </c>
      <c r="CR287">
        <v>1.8667</v>
      </c>
      <c r="CS287">
        <v>4288</v>
      </c>
      <c r="CT287" t="s">
        <v>6560</v>
      </c>
      <c r="CU287" t="s">
        <v>6561</v>
      </c>
      <c r="CV287" t="s">
        <v>833</v>
      </c>
      <c r="CW287" t="s">
        <v>834</v>
      </c>
      <c r="CX287" t="s">
        <v>3239</v>
      </c>
      <c r="CY287">
        <v>1</v>
      </c>
      <c r="CZ287">
        <v>1</v>
      </c>
      <c r="DA287" t="s">
        <v>833</v>
      </c>
      <c r="DB287" t="s">
        <v>865</v>
      </c>
      <c r="DC287">
        <v>48168</v>
      </c>
      <c r="DD287">
        <v>37.683300000000003</v>
      </c>
      <c r="DE287" t="s">
        <v>866</v>
      </c>
      <c r="DG287" t="s">
        <v>867</v>
      </c>
      <c r="DH287" t="s">
        <v>851</v>
      </c>
      <c r="DI287" t="s">
        <v>3248</v>
      </c>
      <c r="DK287" t="s">
        <v>1155</v>
      </c>
      <c r="DL287" t="s">
        <v>869</v>
      </c>
      <c r="DM287">
        <v>0</v>
      </c>
      <c r="DN287">
        <v>0</v>
      </c>
      <c r="DO287">
        <v>3</v>
      </c>
      <c r="DP287" t="s">
        <v>919</v>
      </c>
      <c r="DQ287">
        <v>16</v>
      </c>
      <c r="DR287">
        <v>2261</v>
      </c>
      <c r="DS287">
        <v>4421</v>
      </c>
      <c r="DT287">
        <v>6.8666999999999998</v>
      </c>
      <c r="DU287">
        <v>4</v>
      </c>
      <c r="DV287">
        <v>1</v>
      </c>
      <c r="DW287">
        <v>2</v>
      </c>
      <c r="DX287" t="s">
        <v>594</v>
      </c>
      <c r="DY287" t="s">
        <v>3239</v>
      </c>
      <c r="DZ287">
        <v>0</v>
      </c>
      <c r="EA287">
        <v>0</v>
      </c>
      <c r="EB287">
        <v>0</v>
      </c>
      <c r="EC287">
        <v>0</v>
      </c>
      <c r="ED287">
        <v>0</v>
      </c>
      <c r="EE287">
        <v>0</v>
      </c>
      <c r="EF287" t="s">
        <v>920</v>
      </c>
      <c r="EG287" t="s">
        <v>595</v>
      </c>
      <c r="EH287" t="s">
        <v>872</v>
      </c>
      <c r="EI287" t="s">
        <v>872</v>
      </c>
      <c r="EJ287" t="s">
        <v>178</v>
      </c>
      <c r="EK287">
        <v>9090</v>
      </c>
      <c r="EL287">
        <v>1</v>
      </c>
      <c r="EM287" t="s">
        <v>952</v>
      </c>
      <c r="EN287">
        <v>2.7332999999999998</v>
      </c>
      <c r="EO287">
        <v>73.683333300000001</v>
      </c>
      <c r="EP287">
        <v>99991120</v>
      </c>
      <c r="EQ287" t="s">
        <v>874</v>
      </c>
      <c r="ER287" t="s">
        <v>875</v>
      </c>
      <c r="ES287" t="s">
        <v>876</v>
      </c>
      <c r="ET287" t="s">
        <v>877</v>
      </c>
      <c r="EU287" t="s">
        <v>877</v>
      </c>
      <c r="EV287" t="s">
        <v>920</v>
      </c>
      <c r="EX287" t="s">
        <v>953</v>
      </c>
      <c r="EY287" t="s">
        <v>954</v>
      </c>
      <c r="EZ287" t="s">
        <v>955</v>
      </c>
      <c r="FA287" t="s">
        <v>956</v>
      </c>
      <c r="FB287">
        <v>1</v>
      </c>
      <c r="FC287">
        <v>1</v>
      </c>
      <c r="FD287" s="41">
        <v>45899</v>
      </c>
      <c r="FE287" t="s">
        <v>987</v>
      </c>
      <c r="FF287">
        <v>15</v>
      </c>
      <c r="FG287" t="s">
        <v>6562</v>
      </c>
      <c r="FH287" t="s">
        <v>6563</v>
      </c>
      <c r="FI287">
        <v>1</v>
      </c>
      <c r="FJ287" t="s">
        <v>6564</v>
      </c>
      <c r="FK287" t="s">
        <v>6563</v>
      </c>
      <c r="FL287">
        <v>1</v>
      </c>
      <c r="FM287" t="s">
        <v>6447</v>
      </c>
      <c r="FN287" t="s">
        <v>6565</v>
      </c>
      <c r="FO287">
        <v>1</v>
      </c>
      <c r="FP287" t="s">
        <v>6566</v>
      </c>
      <c r="FQ287" t="s">
        <v>6567</v>
      </c>
      <c r="FR287">
        <v>1</v>
      </c>
      <c r="FS287" t="s">
        <v>3249</v>
      </c>
      <c r="FT287" t="s">
        <v>6568</v>
      </c>
      <c r="FU287">
        <v>1</v>
      </c>
      <c r="FV287" t="s">
        <v>6569</v>
      </c>
      <c r="FW287" t="s">
        <v>6570</v>
      </c>
      <c r="FX287">
        <v>1</v>
      </c>
      <c r="FY287" t="s">
        <v>890</v>
      </c>
      <c r="FZ287" t="s">
        <v>6571</v>
      </c>
      <c r="GA287" t="s">
        <v>6564</v>
      </c>
      <c r="GB287">
        <v>1</v>
      </c>
      <c r="GC287" t="s">
        <v>6572</v>
      </c>
      <c r="GD287">
        <v>1</v>
      </c>
      <c r="GF287">
        <v>0</v>
      </c>
      <c r="GG287">
        <v>1</v>
      </c>
      <c r="GH287" t="s">
        <v>892</v>
      </c>
      <c r="GI287" t="s">
        <v>893</v>
      </c>
      <c r="GJ287" t="s">
        <v>6563</v>
      </c>
      <c r="GK287" t="s">
        <v>6573</v>
      </c>
      <c r="GM287">
        <v>1</v>
      </c>
      <c r="GN287">
        <v>1</v>
      </c>
      <c r="GO287">
        <v>0</v>
      </c>
      <c r="GP287">
        <v>1</v>
      </c>
      <c r="GQ287">
        <v>1</v>
      </c>
      <c r="GR287">
        <v>0</v>
      </c>
      <c r="GS287">
        <v>1</v>
      </c>
      <c r="GT287">
        <v>0</v>
      </c>
      <c r="GU287">
        <v>1</v>
      </c>
      <c r="GV287">
        <v>0</v>
      </c>
      <c r="GW287">
        <v>1</v>
      </c>
      <c r="GX287">
        <v>0</v>
      </c>
      <c r="GY287">
        <v>1</v>
      </c>
      <c r="GZ287">
        <v>0</v>
      </c>
      <c r="HA287" t="s">
        <v>346</v>
      </c>
      <c r="HB287" t="s">
        <v>894</v>
      </c>
      <c r="HC287" t="s">
        <v>935</v>
      </c>
      <c r="HD287" t="s">
        <v>845</v>
      </c>
      <c r="HE287" t="s">
        <v>900</v>
      </c>
      <c r="HF287" t="s">
        <v>923</v>
      </c>
      <c r="HG287" t="s">
        <v>894</v>
      </c>
      <c r="HH287" t="s">
        <v>935</v>
      </c>
      <c r="HI287" t="s">
        <v>845</v>
      </c>
      <c r="HJ287" t="s">
        <v>900</v>
      </c>
      <c r="HK287" t="s">
        <v>952</v>
      </c>
      <c r="HL287" t="s">
        <v>200</v>
      </c>
      <c r="HM287" t="s">
        <v>854</v>
      </c>
      <c r="HN287">
        <v>36805</v>
      </c>
      <c r="HO287">
        <v>1</v>
      </c>
      <c r="HP287" t="s">
        <v>178</v>
      </c>
      <c r="HQ287" t="s">
        <v>896</v>
      </c>
      <c r="HR287" t="s">
        <v>896</v>
      </c>
      <c r="HS287" t="s">
        <v>896</v>
      </c>
    </row>
    <row r="288" spans="1:227" x14ac:dyDescent="0.2">
      <c r="A288">
        <v>8702</v>
      </c>
      <c r="B288">
        <v>7618001069</v>
      </c>
      <c r="C288" t="s">
        <v>829</v>
      </c>
      <c r="D288" t="s">
        <v>830</v>
      </c>
      <c r="E288" t="s">
        <v>831</v>
      </c>
      <c r="F288">
        <v>1</v>
      </c>
      <c r="G288" t="s">
        <v>6574</v>
      </c>
      <c r="H288" t="s">
        <v>6574</v>
      </c>
      <c r="I288">
        <v>0</v>
      </c>
      <c r="J288" t="s">
        <v>833</v>
      </c>
      <c r="K288" t="s">
        <v>834</v>
      </c>
      <c r="L288">
        <v>149860730</v>
      </c>
      <c r="M288">
        <v>850025765633</v>
      </c>
      <c r="N288" t="s">
        <v>836</v>
      </c>
      <c r="O288" t="s">
        <v>837</v>
      </c>
      <c r="P288" t="s">
        <v>838</v>
      </c>
      <c r="Q288" t="s">
        <v>1593</v>
      </c>
      <c r="R288" t="s">
        <v>6575</v>
      </c>
      <c r="S288" t="s">
        <v>6576</v>
      </c>
      <c r="T288">
        <v>41477097026</v>
      </c>
      <c r="V288" t="s">
        <v>187</v>
      </c>
      <c r="W288" s="41">
        <v>46204</v>
      </c>
      <c r="X288" t="s">
        <v>6577</v>
      </c>
      <c r="Y288" t="s">
        <v>6578</v>
      </c>
      <c r="Z288" t="s">
        <v>6579</v>
      </c>
      <c r="AA288">
        <v>0</v>
      </c>
      <c r="AB288" t="s">
        <v>845</v>
      </c>
      <c r="AC288" t="s">
        <v>846</v>
      </c>
      <c r="AD288" t="s">
        <v>1335</v>
      </c>
      <c r="AE288" t="s">
        <v>1336</v>
      </c>
      <c r="AF288">
        <v>1</v>
      </c>
      <c r="AG288">
        <v>452210</v>
      </c>
      <c r="AH288" t="s">
        <v>849</v>
      </c>
      <c r="AI288" t="s">
        <v>850</v>
      </c>
      <c r="AJ288" t="s">
        <v>851</v>
      </c>
      <c r="AK288" t="s">
        <v>427</v>
      </c>
      <c r="AL288" t="s">
        <v>4181</v>
      </c>
      <c r="AM288" t="s">
        <v>2553</v>
      </c>
      <c r="AN288" t="s">
        <v>854</v>
      </c>
      <c r="AO288">
        <v>36805</v>
      </c>
      <c r="AP288">
        <v>634</v>
      </c>
      <c r="AQ288" t="s">
        <v>855</v>
      </c>
      <c r="AR288">
        <v>66531701</v>
      </c>
      <c r="AS288" t="s">
        <v>856</v>
      </c>
      <c r="AU288" t="s">
        <v>6580</v>
      </c>
      <c r="AV288" t="s">
        <v>6581</v>
      </c>
      <c r="AW288" t="s">
        <v>1185</v>
      </c>
      <c r="AX288" t="s">
        <v>1186</v>
      </c>
      <c r="AY288" t="s">
        <v>861</v>
      </c>
      <c r="AZ288" t="s">
        <v>427</v>
      </c>
      <c r="BA288" t="s">
        <v>428</v>
      </c>
      <c r="BB288">
        <v>0</v>
      </c>
      <c r="BC288">
        <v>0</v>
      </c>
      <c r="BD288">
        <v>0</v>
      </c>
      <c r="BE288">
        <v>850025765633</v>
      </c>
      <c r="BF288">
        <v>0</v>
      </c>
      <c r="BG288">
        <v>0</v>
      </c>
      <c r="BH288" t="s">
        <v>862</v>
      </c>
      <c r="BI288">
        <v>0</v>
      </c>
      <c r="BJ288" t="s">
        <v>862</v>
      </c>
      <c r="BK288">
        <v>1</v>
      </c>
      <c r="BL288">
        <v>0</v>
      </c>
      <c r="BM288">
        <v>0</v>
      </c>
      <c r="BN288" t="s">
        <v>596</v>
      </c>
      <c r="BP288" t="s">
        <v>6574</v>
      </c>
      <c r="BR288">
        <v>42791756</v>
      </c>
      <c r="BT288">
        <v>1</v>
      </c>
      <c r="BU288" t="s">
        <v>1062</v>
      </c>
      <c r="BY288">
        <v>16</v>
      </c>
      <c r="CA288">
        <v>24</v>
      </c>
      <c r="CI288">
        <v>11</v>
      </c>
      <c r="CJ288" t="s">
        <v>94</v>
      </c>
      <c r="CM288">
        <v>4010</v>
      </c>
      <c r="CO288">
        <v>7360</v>
      </c>
      <c r="CP288">
        <v>1.2166999999999999</v>
      </c>
      <c r="CQ288">
        <v>1.2166999999999999</v>
      </c>
      <c r="CR288">
        <v>1.8667</v>
      </c>
      <c r="CS288">
        <v>0</v>
      </c>
      <c r="CT288" t="s">
        <v>6581</v>
      </c>
      <c r="CU288" t="s">
        <v>6580</v>
      </c>
      <c r="CV288" t="s">
        <v>833</v>
      </c>
      <c r="CW288" t="s">
        <v>834</v>
      </c>
      <c r="CX288" t="s">
        <v>2984</v>
      </c>
      <c r="CY288">
        <v>0</v>
      </c>
      <c r="CZ288">
        <v>0</v>
      </c>
      <c r="DA288" t="s">
        <v>833</v>
      </c>
      <c r="DB288" t="s">
        <v>865</v>
      </c>
      <c r="DC288">
        <v>60435</v>
      </c>
      <c r="DD288">
        <v>24.2</v>
      </c>
      <c r="DE288" t="s">
        <v>866</v>
      </c>
      <c r="DG288" t="s">
        <v>867</v>
      </c>
      <c r="DH288" t="s">
        <v>851</v>
      </c>
      <c r="DK288" t="s">
        <v>918</v>
      </c>
      <c r="DL288" t="s">
        <v>869</v>
      </c>
      <c r="DM288">
        <v>0</v>
      </c>
      <c r="DN288">
        <v>0</v>
      </c>
      <c r="DO288">
        <v>3</v>
      </c>
      <c r="DP288" t="s">
        <v>919</v>
      </c>
      <c r="DQ288">
        <v>16</v>
      </c>
      <c r="DR288">
        <v>1452</v>
      </c>
      <c r="DS288">
        <v>2892</v>
      </c>
      <c r="DT288">
        <v>22.9833</v>
      </c>
      <c r="DU288">
        <v>4</v>
      </c>
      <c r="DV288">
        <v>1</v>
      </c>
      <c r="DW288">
        <v>2</v>
      </c>
      <c r="DX288" t="s">
        <v>596</v>
      </c>
      <c r="DY288">
        <v>850025765633</v>
      </c>
      <c r="DZ288">
        <v>0</v>
      </c>
      <c r="EA288">
        <v>0</v>
      </c>
      <c r="EB288">
        <v>0</v>
      </c>
      <c r="EC288">
        <v>0</v>
      </c>
      <c r="ED288">
        <v>0</v>
      </c>
      <c r="EE288">
        <v>0</v>
      </c>
      <c r="EF288" t="s">
        <v>920</v>
      </c>
      <c r="EG288" t="s">
        <v>595</v>
      </c>
      <c r="EH288" t="s">
        <v>921</v>
      </c>
      <c r="EI288" t="s">
        <v>921</v>
      </c>
      <c r="EJ288" t="s">
        <v>181</v>
      </c>
      <c r="EK288">
        <v>9090</v>
      </c>
      <c r="EL288">
        <v>0</v>
      </c>
      <c r="EM288" t="s">
        <v>1436</v>
      </c>
      <c r="EN288">
        <v>1.8667</v>
      </c>
      <c r="EO288">
        <v>48.2</v>
      </c>
      <c r="EP288">
        <v>99991120</v>
      </c>
      <c r="EQ288" t="s">
        <v>874</v>
      </c>
      <c r="ER288" t="s">
        <v>875</v>
      </c>
      <c r="ES288" t="s">
        <v>876</v>
      </c>
      <c r="ET288" t="s">
        <v>877</v>
      </c>
      <c r="EU288" t="s">
        <v>877</v>
      </c>
      <c r="EV288" t="s">
        <v>920</v>
      </c>
      <c r="EX288" t="s">
        <v>836</v>
      </c>
      <c r="EY288" t="s">
        <v>873</v>
      </c>
      <c r="EZ288" t="s">
        <v>1437</v>
      </c>
      <c r="FA288" t="s">
        <v>956</v>
      </c>
      <c r="FB288">
        <v>1</v>
      </c>
      <c r="FC288">
        <v>1</v>
      </c>
      <c r="FD288" s="41">
        <v>46207</v>
      </c>
      <c r="FE288" t="s">
        <v>1066</v>
      </c>
      <c r="FF288">
        <v>12</v>
      </c>
      <c r="FG288" t="s">
        <v>6582</v>
      </c>
      <c r="FH288" t="s">
        <v>6583</v>
      </c>
      <c r="FI288">
        <v>1</v>
      </c>
      <c r="FJ288" t="s">
        <v>6584</v>
      </c>
      <c r="FK288" t="s">
        <v>6585</v>
      </c>
      <c r="FL288">
        <v>1</v>
      </c>
      <c r="FM288" t="s">
        <v>6586</v>
      </c>
      <c r="FN288" t="s">
        <v>6585</v>
      </c>
      <c r="FO288">
        <v>1</v>
      </c>
      <c r="FP288" t="s">
        <v>6587</v>
      </c>
      <c r="FQ288" t="s">
        <v>6580</v>
      </c>
      <c r="FR288">
        <v>1</v>
      </c>
      <c r="FS288" t="s">
        <v>1527</v>
      </c>
      <c r="FT288" t="s">
        <v>6588</v>
      </c>
      <c r="FU288">
        <v>1</v>
      </c>
      <c r="FV288" t="s">
        <v>3001</v>
      </c>
      <c r="FW288" t="s">
        <v>6589</v>
      </c>
      <c r="FX288">
        <v>1</v>
      </c>
      <c r="FY288" t="s">
        <v>890</v>
      </c>
      <c r="FZ288" t="s">
        <v>6590</v>
      </c>
      <c r="GA288" t="s">
        <v>6582</v>
      </c>
      <c r="GB288">
        <v>1</v>
      </c>
      <c r="GD288">
        <v>0</v>
      </c>
      <c r="GF288">
        <v>0</v>
      </c>
      <c r="GG288">
        <v>1</v>
      </c>
      <c r="GH288" t="s">
        <v>892</v>
      </c>
      <c r="GI288" t="s">
        <v>893</v>
      </c>
      <c r="GJ288" t="s">
        <v>6583</v>
      </c>
      <c r="GM288">
        <v>1</v>
      </c>
      <c r="GN288">
        <v>1</v>
      </c>
      <c r="GO288">
        <v>0</v>
      </c>
      <c r="GP288">
        <v>1</v>
      </c>
      <c r="GQ288">
        <v>1</v>
      </c>
      <c r="GR288">
        <v>0</v>
      </c>
      <c r="GS288">
        <v>1</v>
      </c>
      <c r="GT288">
        <v>0</v>
      </c>
      <c r="GU288">
        <v>1</v>
      </c>
      <c r="GV288">
        <v>0</v>
      </c>
      <c r="GW288">
        <v>1</v>
      </c>
      <c r="GX288">
        <v>0</v>
      </c>
      <c r="GY288">
        <v>1</v>
      </c>
      <c r="GZ288">
        <v>0</v>
      </c>
      <c r="HA288" t="s">
        <v>427</v>
      </c>
      <c r="HB288" t="s">
        <v>894</v>
      </c>
      <c r="HC288" t="s">
        <v>895</v>
      </c>
      <c r="HD288" t="s">
        <v>845</v>
      </c>
      <c r="HE288" t="s">
        <v>836</v>
      </c>
      <c r="HF288" t="s">
        <v>873</v>
      </c>
      <c r="HG288" t="s">
        <v>894</v>
      </c>
      <c r="HH288" t="s">
        <v>895</v>
      </c>
      <c r="HI288" t="s">
        <v>845</v>
      </c>
      <c r="HJ288" t="s">
        <v>836</v>
      </c>
      <c r="HK288" t="s">
        <v>1436</v>
      </c>
      <c r="HL288" t="s">
        <v>187</v>
      </c>
      <c r="HM288" t="s">
        <v>854</v>
      </c>
      <c r="HN288">
        <v>36805</v>
      </c>
      <c r="HO288">
        <v>1</v>
      </c>
      <c r="HP288" t="s">
        <v>181</v>
      </c>
      <c r="HQ288" t="s">
        <v>896</v>
      </c>
      <c r="HR288" t="s">
        <v>896</v>
      </c>
      <c r="HS288" t="s">
        <v>896</v>
      </c>
    </row>
    <row r="289" spans="1:227" x14ac:dyDescent="0.2">
      <c r="A289">
        <v>8702</v>
      </c>
      <c r="B289">
        <v>7532710194</v>
      </c>
      <c r="C289">
        <v>82</v>
      </c>
      <c r="D289" t="s">
        <v>969</v>
      </c>
      <c r="E289" t="s">
        <v>831</v>
      </c>
      <c r="F289">
        <v>2</v>
      </c>
      <c r="G289" t="s">
        <v>6591</v>
      </c>
      <c r="H289" t="s">
        <v>6591</v>
      </c>
      <c r="I289">
        <v>0</v>
      </c>
      <c r="J289" t="s">
        <v>833</v>
      </c>
      <c r="K289" t="s">
        <v>834</v>
      </c>
      <c r="L289">
        <v>153008212</v>
      </c>
      <c r="M289" t="s">
        <v>1685</v>
      </c>
      <c r="N289" t="s">
        <v>836</v>
      </c>
      <c r="O289" t="s">
        <v>837</v>
      </c>
      <c r="P289" t="s">
        <v>2178</v>
      </c>
      <c r="Q289" t="s">
        <v>4196</v>
      </c>
      <c r="R289" t="s">
        <v>6592</v>
      </c>
      <c r="S289" t="s">
        <v>6593</v>
      </c>
      <c r="T289">
        <v>41477123352</v>
      </c>
      <c r="V289" t="s">
        <v>117</v>
      </c>
      <c r="W289" s="41">
        <v>45984</v>
      </c>
      <c r="X289" t="s">
        <v>6594</v>
      </c>
      <c r="Y289" t="s">
        <v>6595</v>
      </c>
      <c r="AA289">
        <v>0</v>
      </c>
      <c r="AB289" t="s">
        <v>845</v>
      </c>
      <c r="AC289" t="s">
        <v>846</v>
      </c>
      <c r="AD289" t="s">
        <v>847</v>
      </c>
      <c r="AE289" t="s">
        <v>848</v>
      </c>
      <c r="AF289">
        <v>1</v>
      </c>
      <c r="AG289">
        <v>452210</v>
      </c>
      <c r="AH289" t="s">
        <v>849</v>
      </c>
      <c r="AI289" t="s">
        <v>850</v>
      </c>
      <c r="AJ289" t="s">
        <v>851</v>
      </c>
      <c r="AK289" t="s">
        <v>514</v>
      </c>
      <c r="AL289" t="s">
        <v>6596</v>
      </c>
      <c r="AM289" t="s">
        <v>1364</v>
      </c>
      <c r="AN289" t="s">
        <v>854</v>
      </c>
      <c r="AO289">
        <v>36805</v>
      </c>
      <c r="AP289">
        <v>493</v>
      </c>
      <c r="AQ289" t="s">
        <v>855</v>
      </c>
      <c r="AR289">
        <v>66214795</v>
      </c>
      <c r="AS289" t="s">
        <v>856</v>
      </c>
      <c r="AU289" t="s">
        <v>6597</v>
      </c>
      <c r="AV289" t="s">
        <v>6598</v>
      </c>
      <c r="AX289" t="s">
        <v>913</v>
      </c>
      <c r="AY289" t="s">
        <v>861</v>
      </c>
      <c r="AZ289" t="s">
        <v>514</v>
      </c>
      <c r="BA289" t="s">
        <v>515</v>
      </c>
      <c r="BB289">
        <v>0</v>
      </c>
      <c r="BC289">
        <v>0</v>
      </c>
      <c r="BD289">
        <v>0</v>
      </c>
      <c r="BE289" t="s">
        <v>1685</v>
      </c>
      <c r="BF289">
        <v>0</v>
      </c>
      <c r="BG289">
        <v>0</v>
      </c>
      <c r="BH289" t="s">
        <v>862</v>
      </c>
      <c r="BI289">
        <v>0</v>
      </c>
      <c r="BJ289" t="s">
        <v>862</v>
      </c>
      <c r="BK289">
        <v>1</v>
      </c>
      <c r="BL289">
        <v>1</v>
      </c>
      <c r="BM289">
        <v>0</v>
      </c>
      <c r="BN289" t="s">
        <v>596</v>
      </c>
      <c r="BO289">
        <v>153008212</v>
      </c>
      <c r="BP289" t="s">
        <v>6591</v>
      </c>
      <c r="BR289">
        <v>42789054</v>
      </c>
      <c r="BT289">
        <v>0</v>
      </c>
      <c r="CM289">
        <v>4010</v>
      </c>
      <c r="CO289">
        <v>7360</v>
      </c>
      <c r="CP289">
        <v>0.61670000000000003</v>
      </c>
      <c r="CQ289">
        <v>0.61670000000000003</v>
      </c>
      <c r="CR289">
        <v>0.51670000000000005</v>
      </c>
      <c r="CS289">
        <v>41</v>
      </c>
      <c r="CT289" t="s">
        <v>6598</v>
      </c>
      <c r="CU289" t="s">
        <v>6597</v>
      </c>
      <c r="CV289" t="s">
        <v>833</v>
      </c>
      <c r="CW289" t="s">
        <v>834</v>
      </c>
      <c r="CX289" t="s">
        <v>1685</v>
      </c>
      <c r="CY289">
        <v>0</v>
      </c>
      <c r="CZ289">
        <v>0</v>
      </c>
      <c r="DA289" t="s">
        <v>833</v>
      </c>
      <c r="DB289" t="s">
        <v>865</v>
      </c>
      <c r="DC289">
        <v>63368</v>
      </c>
      <c r="DD289">
        <v>3.2332999999999998</v>
      </c>
      <c r="DE289" t="s">
        <v>866</v>
      </c>
      <c r="DG289" t="s">
        <v>867</v>
      </c>
      <c r="DH289" t="s">
        <v>851</v>
      </c>
      <c r="DJ289">
        <v>493</v>
      </c>
      <c r="DL289" t="s">
        <v>869</v>
      </c>
      <c r="DM289">
        <v>0</v>
      </c>
      <c r="DN289">
        <v>0</v>
      </c>
      <c r="DO289">
        <v>12</v>
      </c>
      <c r="DP289" t="s">
        <v>1190</v>
      </c>
      <c r="DQ289">
        <v>12</v>
      </c>
      <c r="DR289">
        <v>194</v>
      </c>
      <c r="DS289">
        <v>194</v>
      </c>
      <c r="DT289">
        <v>2.6166999999999998</v>
      </c>
      <c r="DU289">
        <v>4</v>
      </c>
      <c r="DW289">
        <v>1</v>
      </c>
      <c r="DX289" t="s">
        <v>596</v>
      </c>
      <c r="DY289" t="s">
        <v>1685</v>
      </c>
      <c r="DZ289">
        <v>1</v>
      </c>
      <c r="EA289">
        <v>1</v>
      </c>
      <c r="EB289">
        <v>1</v>
      </c>
      <c r="EC289">
        <v>1</v>
      </c>
      <c r="ED289">
        <v>1</v>
      </c>
      <c r="EE289">
        <v>1</v>
      </c>
      <c r="EF289" t="s">
        <v>1526</v>
      </c>
      <c r="EG289" t="s">
        <v>595</v>
      </c>
      <c r="EH289" t="s">
        <v>1036</v>
      </c>
      <c r="EI289" t="s">
        <v>1036</v>
      </c>
      <c r="EJ289" t="s">
        <v>111</v>
      </c>
      <c r="EK289">
        <v>9090</v>
      </c>
      <c r="EL289">
        <v>0</v>
      </c>
      <c r="EM289" t="s">
        <v>1037</v>
      </c>
      <c r="EN289">
        <v>0.51670000000000005</v>
      </c>
      <c r="EO289">
        <v>3.2333333</v>
      </c>
      <c r="EP289">
        <v>99991120</v>
      </c>
      <c r="EQ289" t="s">
        <v>874</v>
      </c>
      <c r="ER289" t="s">
        <v>875</v>
      </c>
      <c r="ES289" t="s">
        <v>876</v>
      </c>
      <c r="ET289" t="s">
        <v>877</v>
      </c>
      <c r="EU289" t="s">
        <v>877</v>
      </c>
      <c r="EV289" t="s">
        <v>1526</v>
      </c>
      <c r="EX289" t="s">
        <v>900</v>
      </c>
      <c r="EY289" t="s">
        <v>923</v>
      </c>
      <c r="EZ289" t="s">
        <v>1038</v>
      </c>
      <c r="FA289" t="s">
        <v>925</v>
      </c>
      <c r="FB289">
        <v>1</v>
      </c>
      <c r="FC289">
        <v>1</v>
      </c>
      <c r="FD289" s="41">
        <v>45990</v>
      </c>
      <c r="FE289" t="s">
        <v>1438</v>
      </c>
      <c r="FF289">
        <v>4</v>
      </c>
      <c r="FI289">
        <v>0</v>
      </c>
      <c r="FL289">
        <v>0</v>
      </c>
      <c r="FM289" t="s">
        <v>1698</v>
      </c>
      <c r="FN289" t="s">
        <v>6599</v>
      </c>
      <c r="FO289">
        <v>1</v>
      </c>
      <c r="FP289" t="s">
        <v>6600</v>
      </c>
      <c r="FQ289" t="s">
        <v>6597</v>
      </c>
      <c r="FR289">
        <v>1</v>
      </c>
      <c r="FS289" t="s">
        <v>2498</v>
      </c>
      <c r="FT289" t="s">
        <v>6601</v>
      </c>
      <c r="FU289">
        <v>1</v>
      </c>
      <c r="FV289" t="s">
        <v>6602</v>
      </c>
      <c r="FW289" t="s">
        <v>6603</v>
      </c>
      <c r="FX289">
        <v>1</v>
      </c>
      <c r="FY289" t="s">
        <v>890</v>
      </c>
      <c r="FZ289" t="s">
        <v>6604</v>
      </c>
      <c r="GA289" t="s">
        <v>6602</v>
      </c>
      <c r="GB289">
        <v>1</v>
      </c>
      <c r="GD289">
        <v>0</v>
      </c>
      <c r="GF289">
        <v>0</v>
      </c>
      <c r="GG289">
        <v>1</v>
      </c>
      <c r="GH289" t="s">
        <v>892</v>
      </c>
      <c r="GI289" t="s">
        <v>893</v>
      </c>
      <c r="GJ289" t="s">
        <v>6603</v>
      </c>
      <c r="GM289">
        <v>1</v>
      </c>
      <c r="GN289">
        <v>1</v>
      </c>
      <c r="GO289">
        <v>0</v>
      </c>
      <c r="GP289">
        <v>1</v>
      </c>
      <c r="GQ289">
        <v>1</v>
      </c>
      <c r="GR289">
        <v>0</v>
      </c>
      <c r="GS289">
        <v>1</v>
      </c>
      <c r="GT289">
        <v>0</v>
      </c>
      <c r="GU289">
        <v>1</v>
      </c>
      <c r="GV289">
        <v>0</v>
      </c>
      <c r="GW289">
        <v>1</v>
      </c>
      <c r="GX289">
        <v>0</v>
      </c>
      <c r="GY289">
        <v>1</v>
      </c>
      <c r="GZ289">
        <v>0</v>
      </c>
      <c r="HA289" t="s">
        <v>514</v>
      </c>
      <c r="HB289" t="s">
        <v>894</v>
      </c>
      <c r="HC289" t="s">
        <v>895</v>
      </c>
      <c r="HD289" t="s">
        <v>845</v>
      </c>
      <c r="HE289" t="s">
        <v>836</v>
      </c>
      <c r="HF289" t="s">
        <v>1051</v>
      </c>
      <c r="HG289" t="s">
        <v>894</v>
      </c>
      <c r="HH289" t="s">
        <v>895</v>
      </c>
      <c r="HI289" t="s">
        <v>845</v>
      </c>
      <c r="HJ289" t="s">
        <v>836</v>
      </c>
      <c r="HK289" t="s">
        <v>1037</v>
      </c>
      <c r="HL289" t="s">
        <v>117</v>
      </c>
      <c r="HM289" t="s">
        <v>854</v>
      </c>
      <c r="HN289">
        <v>36805</v>
      </c>
      <c r="HP289" t="s">
        <v>111</v>
      </c>
      <c r="HQ289" t="s">
        <v>896</v>
      </c>
      <c r="HR289" t="s">
        <v>896</v>
      </c>
      <c r="HS289" t="s">
        <v>896</v>
      </c>
    </row>
    <row r="290" spans="1:227" x14ac:dyDescent="0.2">
      <c r="A290">
        <v>8702</v>
      </c>
      <c r="B290">
        <v>7606401194</v>
      </c>
      <c r="C290">
        <v>34</v>
      </c>
      <c r="D290" t="s">
        <v>996</v>
      </c>
      <c r="E290" t="s">
        <v>897</v>
      </c>
      <c r="F290">
        <v>0</v>
      </c>
      <c r="G290" t="s">
        <v>6605</v>
      </c>
      <c r="H290" t="s">
        <v>6605</v>
      </c>
      <c r="I290">
        <v>0</v>
      </c>
      <c r="J290" t="s">
        <v>833</v>
      </c>
      <c r="K290" t="s">
        <v>834</v>
      </c>
      <c r="L290">
        <v>153406467</v>
      </c>
      <c r="M290" t="s">
        <v>1964</v>
      </c>
      <c r="N290" t="s">
        <v>900</v>
      </c>
      <c r="O290" t="s">
        <v>837</v>
      </c>
      <c r="P290" t="s">
        <v>999</v>
      </c>
      <c r="Q290" t="s">
        <v>1027</v>
      </c>
      <c r="R290" t="s">
        <v>6606</v>
      </c>
      <c r="S290" t="s">
        <v>6607</v>
      </c>
      <c r="V290" t="s">
        <v>133</v>
      </c>
      <c r="W290" s="41">
        <v>46093</v>
      </c>
      <c r="X290" t="s">
        <v>6608</v>
      </c>
      <c r="Y290" t="s">
        <v>6609</v>
      </c>
      <c r="Z290" t="s">
        <v>1969</v>
      </c>
      <c r="AA290">
        <v>0</v>
      </c>
      <c r="AB290" t="s">
        <v>845</v>
      </c>
      <c r="AC290" t="s">
        <v>846</v>
      </c>
      <c r="AD290" t="s">
        <v>1113</v>
      </c>
      <c r="AE290" t="s">
        <v>1114</v>
      </c>
      <c r="AF290">
        <v>1</v>
      </c>
      <c r="AG290">
        <v>452210</v>
      </c>
      <c r="AH290" t="s">
        <v>849</v>
      </c>
      <c r="AI290" t="s">
        <v>850</v>
      </c>
      <c r="AJ290" t="s">
        <v>851</v>
      </c>
      <c r="AK290" t="s">
        <v>295</v>
      </c>
      <c r="AM290" t="s">
        <v>1970</v>
      </c>
      <c r="AN290" t="s">
        <v>854</v>
      </c>
      <c r="AO290">
        <v>36805</v>
      </c>
      <c r="AP290">
        <v>532</v>
      </c>
      <c r="AQ290" t="s">
        <v>855</v>
      </c>
      <c r="AR290">
        <v>66371889</v>
      </c>
      <c r="AS290" t="s">
        <v>856</v>
      </c>
      <c r="AU290" t="s">
        <v>6610</v>
      </c>
      <c r="AV290" t="s">
        <v>6611</v>
      </c>
      <c r="AX290" t="s">
        <v>913</v>
      </c>
      <c r="AY290" t="s">
        <v>861</v>
      </c>
      <c r="AZ290" t="s">
        <v>295</v>
      </c>
      <c r="BA290" t="s">
        <v>296</v>
      </c>
      <c r="BB290">
        <v>0</v>
      </c>
      <c r="BC290">
        <v>1</v>
      </c>
      <c r="BD290">
        <v>0</v>
      </c>
      <c r="BE290" t="s">
        <v>1964</v>
      </c>
      <c r="BF290">
        <v>0</v>
      </c>
      <c r="BG290">
        <v>0</v>
      </c>
      <c r="BH290" t="s">
        <v>862</v>
      </c>
      <c r="BI290">
        <v>0</v>
      </c>
      <c r="BJ290" t="s">
        <v>862</v>
      </c>
      <c r="BK290">
        <v>1</v>
      </c>
      <c r="BL290">
        <v>1</v>
      </c>
      <c r="BM290">
        <v>0</v>
      </c>
      <c r="BN290" t="s">
        <v>596</v>
      </c>
      <c r="BO290">
        <v>153406467</v>
      </c>
      <c r="BP290" t="s">
        <v>6605</v>
      </c>
      <c r="BR290">
        <v>42791447</v>
      </c>
      <c r="BT290">
        <v>1</v>
      </c>
      <c r="BU290" t="s">
        <v>1715</v>
      </c>
      <c r="BY290">
        <v>16</v>
      </c>
      <c r="CA290">
        <v>83</v>
      </c>
      <c r="CI290">
        <v>11</v>
      </c>
      <c r="CJ290" t="s">
        <v>94</v>
      </c>
      <c r="CM290">
        <v>4010</v>
      </c>
      <c r="CO290">
        <v>7360</v>
      </c>
      <c r="CP290">
        <v>0.2833</v>
      </c>
      <c r="CQ290">
        <v>0.2833</v>
      </c>
      <c r="CR290">
        <v>1.5166999999999999</v>
      </c>
      <c r="CS290">
        <v>0</v>
      </c>
      <c r="CT290" t="s">
        <v>6611</v>
      </c>
      <c r="CU290" t="s">
        <v>6610</v>
      </c>
      <c r="CV290" t="s">
        <v>833</v>
      </c>
      <c r="CW290" t="s">
        <v>834</v>
      </c>
      <c r="CX290" t="s">
        <v>1964</v>
      </c>
      <c r="CY290">
        <v>1</v>
      </c>
      <c r="CZ290">
        <v>1</v>
      </c>
      <c r="DA290" t="s">
        <v>833</v>
      </c>
      <c r="DB290" t="s">
        <v>865</v>
      </c>
      <c r="DC290">
        <v>46234</v>
      </c>
      <c r="DD290">
        <v>83.2667</v>
      </c>
      <c r="DE290" t="s">
        <v>866</v>
      </c>
      <c r="DG290" t="s">
        <v>867</v>
      </c>
      <c r="DH290" t="s">
        <v>851</v>
      </c>
      <c r="DJ290">
        <v>532</v>
      </c>
      <c r="DK290" t="s">
        <v>918</v>
      </c>
      <c r="DL290" t="s">
        <v>869</v>
      </c>
      <c r="DM290">
        <v>0</v>
      </c>
      <c r="DN290">
        <v>0</v>
      </c>
      <c r="DO290">
        <v>5</v>
      </c>
      <c r="DP290" t="s">
        <v>2086</v>
      </c>
      <c r="DQ290">
        <v>0</v>
      </c>
      <c r="DR290">
        <v>4996</v>
      </c>
      <c r="DS290">
        <v>10036</v>
      </c>
      <c r="DT290">
        <v>62.2333</v>
      </c>
      <c r="DU290">
        <v>0</v>
      </c>
      <c r="DV290">
        <v>1</v>
      </c>
      <c r="DW290">
        <v>2</v>
      </c>
      <c r="DX290" t="s">
        <v>596</v>
      </c>
      <c r="DY290" t="s">
        <v>1964</v>
      </c>
      <c r="DZ290">
        <v>1</v>
      </c>
      <c r="EA290">
        <v>1</v>
      </c>
      <c r="EB290">
        <v>1</v>
      </c>
      <c r="EC290">
        <v>1</v>
      </c>
      <c r="ED290">
        <v>1</v>
      </c>
      <c r="EE290">
        <v>1</v>
      </c>
      <c r="EF290" t="s">
        <v>871</v>
      </c>
      <c r="EG290" t="s">
        <v>595</v>
      </c>
      <c r="EH290" t="s">
        <v>921</v>
      </c>
      <c r="EI290" t="s">
        <v>921</v>
      </c>
      <c r="EJ290" t="s">
        <v>134</v>
      </c>
      <c r="EK290">
        <v>9090</v>
      </c>
      <c r="EL290">
        <v>1</v>
      </c>
      <c r="EM290" t="s">
        <v>1011</v>
      </c>
      <c r="EN290">
        <v>1.5166999999999999</v>
      </c>
      <c r="EO290">
        <v>167.2666667</v>
      </c>
      <c r="EP290">
        <v>99991120</v>
      </c>
      <c r="EQ290" t="s">
        <v>874</v>
      </c>
      <c r="ER290" t="s">
        <v>875</v>
      </c>
      <c r="ES290" t="s">
        <v>876</v>
      </c>
      <c r="ET290" t="s">
        <v>877</v>
      </c>
      <c r="EU290" t="s">
        <v>877</v>
      </c>
      <c r="EV290" t="s">
        <v>871</v>
      </c>
      <c r="EX290" t="s">
        <v>953</v>
      </c>
      <c r="EY290" t="s">
        <v>1555</v>
      </c>
      <c r="EZ290" t="s">
        <v>1013</v>
      </c>
      <c r="FA290" t="s">
        <v>925</v>
      </c>
      <c r="FB290">
        <v>1</v>
      </c>
      <c r="FC290">
        <v>2</v>
      </c>
      <c r="FD290" s="41">
        <v>46095</v>
      </c>
      <c r="FE290" t="s">
        <v>1719</v>
      </c>
      <c r="FF290">
        <v>15</v>
      </c>
      <c r="FG290" t="s">
        <v>1976</v>
      </c>
      <c r="FH290" t="s">
        <v>6612</v>
      </c>
      <c r="FI290">
        <v>1</v>
      </c>
      <c r="FJ290" t="s">
        <v>6613</v>
      </c>
      <c r="FK290" t="s">
        <v>6614</v>
      </c>
      <c r="FL290">
        <v>1</v>
      </c>
      <c r="FM290" t="s">
        <v>1980</v>
      </c>
      <c r="FN290" t="s">
        <v>6615</v>
      </c>
      <c r="FO290">
        <v>1</v>
      </c>
      <c r="FP290" t="s">
        <v>6616</v>
      </c>
      <c r="FQ290" t="s">
        <v>6610</v>
      </c>
      <c r="FR290">
        <v>1</v>
      </c>
      <c r="FS290" t="s">
        <v>1984</v>
      </c>
      <c r="FT290" t="s">
        <v>6617</v>
      </c>
      <c r="FU290">
        <v>1</v>
      </c>
      <c r="FV290" t="s">
        <v>1986</v>
      </c>
      <c r="FW290" t="s">
        <v>6618</v>
      </c>
      <c r="FX290">
        <v>1</v>
      </c>
      <c r="FY290" t="s">
        <v>890</v>
      </c>
      <c r="FZ290" t="s">
        <v>6619</v>
      </c>
      <c r="GA290" t="s">
        <v>6613</v>
      </c>
      <c r="GB290">
        <v>1</v>
      </c>
      <c r="GD290">
        <v>0</v>
      </c>
      <c r="GF290">
        <v>0</v>
      </c>
      <c r="GG290">
        <v>1</v>
      </c>
      <c r="GH290" t="s">
        <v>892</v>
      </c>
      <c r="GI290" t="s">
        <v>893</v>
      </c>
      <c r="GJ290" t="s">
        <v>6614</v>
      </c>
      <c r="GM290">
        <v>1</v>
      </c>
      <c r="GN290">
        <v>0</v>
      </c>
      <c r="GO290">
        <v>0</v>
      </c>
      <c r="GP290">
        <v>1</v>
      </c>
      <c r="GQ290">
        <v>1</v>
      </c>
      <c r="GR290">
        <v>0</v>
      </c>
      <c r="GS290">
        <v>1</v>
      </c>
      <c r="GT290">
        <v>0</v>
      </c>
      <c r="GU290">
        <v>1</v>
      </c>
      <c r="GV290">
        <v>0</v>
      </c>
      <c r="GW290">
        <v>1</v>
      </c>
      <c r="GX290">
        <v>0</v>
      </c>
      <c r="GY290">
        <v>1</v>
      </c>
      <c r="GZ290">
        <v>0</v>
      </c>
      <c r="HA290" t="s">
        <v>295</v>
      </c>
      <c r="HB290" t="s">
        <v>894</v>
      </c>
      <c r="HC290" t="s">
        <v>935</v>
      </c>
      <c r="HD290" t="s">
        <v>845</v>
      </c>
      <c r="HE290" t="s">
        <v>900</v>
      </c>
      <c r="HF290" t="s">
        <v>1012</v>
      </c>
      <c r="HG290" t="s">
        <v>894</v>
      </c>
      <c r="HH290" t="s">
        <v>935</v>
      </c>
      <c r="HI290" t="s">
        <v>845</v>
      </c>
      <c r="HJ290" t="s">
        <v>900</v>
      </c>
      <c r="HK290" t="s">
        <v>1011</v>
      </c>
      <c r="HL290" t="s">
        <v>133</v>
      </c>
      <c r="HM290" t="s">
        <v>854</v>
      </c>
      <c r="HN290">
        <v>36805</v>
      </c>
      <c r="HO290">
        <v>1</v>
      </c>
      <c r="HP290" t="s">
        <v>134</v>
      </c>
      <c r="HQ290" t="s">
        <v>896</v>
      </c>
      <c r="HR290" t="s">
        <v>896</v>
      </c>
      <c r="HS290" t="s">
        <v>896</v>
      </c>
    </row>
    <row r="291" spans="1:227" x14ac:dyDescent="0.2">
      <c r="A291">
        <v>8702</v>
      </c>
      <c r="B291">
        <v>7528911411</v>
      </c>
      <c r="C291" t="s">
        <v>829</v>
      </c>
      <c r="D291" t="s">
        <v>830</v>
      </c>
      <c r="E291" t="s">
        <v>897</v>
      </c>
      <c r="F291">
        <v>0</v>
      </c>
      <c r="G291" t="s">
        <v>6620</v>
      </c>
      <c r="H291" t="s">
        <v>6620</v>
      </c>
      <c r="I291">
        <v>0</v>
      </c>
      <c r="J291" t="s">
        <v>833</v>
      </c>
      <c r="K291" t="s">
        <v>834</v>
      </c>
      <c r="L291">
        <v>153195459</v>
      </c>
      <c r="M291" t="s">
        <v>6621</v>
      </c>
      <c r="N291" t="s">
        <v>900</v>
      </c>
      <c r="O291" t="s">
        <v>837</v>
      </c>
      <c r="P291" t="s">
        <v>838</v>
      </c>
      <c r="Q291" t="s">
        <v>1251</v>
      </c>
      <c r="R291" t="s">
        <v>6622</v>
      </c>
      <c r="S291" t="s">
        <v>6623</v>
      </c>
      <c r="T291">
        <v>41477097078</v>
      </c>
      <c r="V291" t="s">
        <v>133</v>
      </c>
      <c r="W291" s="41">
        <v>45946</v>
      </c>
      <c r="X291" t="s">
        <v>6624</v>
      </c>
      <c r="Y291" t="s">
        <v>6625</v>
      </c>
      <c r="AA291">
        <v>0</v>
      </c>
      <c r="AB291" t="s">
        <v>845</v>
      </c>
      <c r="AC291" t="s">
        <v>846</v>
      </c>
      <c r="AD291" t="s">
        <v>847</v>
      </c>
      <c r="AE291" t="s">
        <v>848</v>
      </c>
      <c r="AF291">
        <v>1</v>
      </c>
      <c r="AG291">
        <v>452210</v>
      </c>
      <c r="AH291" t="s">
        <v>849</v>
      </c>
      <c r="AI291" t="s">
        <v>850</v>
      </c>
      <c r="AJ291" t="s">
        <v>851</v>
      </c>
      <c r="AK291" t="s">
        <v>340</v>
      </c>
      <c r="AL291" t="s">
        <v>2509</v>
      </c>
      <c r="AM291" t="s">
        <v>1182</v>
      </c>
      <c r="AN291" t="s">
        <v>854</v>
      </c>
      <c r="AO291">
        <v>36805</v>
      </c>
      <c r="AP291">
        <v>526</v>
      </c>
      <c r="AQ291" t="s">
        <v>855</v>
      </c>
      <c r="AR291">
        <v>66160036</v>
      </c>
      <c r="AS291" t="s">
        <v>856</v>
      </c>
      <c r="AU291" t="s">
        <v>6626</v>
      </c>
      <c r="AV291" t="s">
        <v>6627</v>
      </c>
      <c r="AX291" t="s">
        <v>913</v>
      </c>
      <c r="AY291" t="s">
        <v>861</v>
      </c>
      <c r="AZ291" t="s">
        <v>340</v>
      </c>
      <c r="BA291" t="s">
        <v>341</v>
      </c>
      <c r="BB291">
        <v>0</v>
      </c>
      <c r="BC291">
        <v>0</v>
      </c>
      <c r="BD291">
        <v>0</v>
      </c>
      <c r="BE291" t="s">
        <v>6621</v>
      </c>
      <c r="BF291">
        <v>0</v>
      </c>
      <c r="BG291">
        <v>0</v>
      </c>
      <c r="BH291" t="s">
        <v>862</v>
      </c>
      <c r="BI291">
        <v>0</v>
      </c>
      <c r="BJ291" t="s">
        <v>862</v>
      </c>
      <c r="BK291">
        <v>1</v>
      </c>
      <c r="BL291">
        <v>1</v>
      </c>
      <c r="BM291">
        <v>0</v>
      </c>
      <c r="BN291" t="s">
        <v>596</v>
      </c>
      <c r="BO291">
        <v>153195459</v>
      </c>
      <c r="BP291" t="s">
        <v>6620</v>
      </c>
      <c r="BQ291">
        <v>39.913047900000002</v>
      </c>
      <c r="BR291">
        <v>42791437</v>
      </c>
      <c r="BS291">
        <v>-86.202029199999998</v>
      </c>
      <c r="BT291">
        <v>0</v>
      </c>
      <c r="CM291">
        <v>4010</v>
      </c>
      <c r="CO291">
        <v>7360</v>
      </c>
      <c r="CP291">
        <v>0.4667</v>
      </c>
      <c r="CQ291">
        <v>0.4667</v>
      </c>
      <c r="CR291">
        <v>1.2666999999999999</v>
      </c>
      <c r="CS291">
        <v>1</v>
      </c>
      <c r="CT291" t="s">
        <v>6627</v>
      </c>
      <c r="CU291" t="s">
        <v>6626</v>
      </c>
      <c r="CV291" t="s">
        <v>833</v>
      </c>
      <c r="CW291" t="s">
        <v>834</v>
      </c>
      <c r="CX291" t="s">
        <v>6621</v>
      </c>
      <c r="CY291">
        <v>0</v>
      </c>
      <c r="CZ291">
        <v>0</v>
      </c>
      <c r="DA291" t="s">
        <v>833</v>
      </c>
      <c r="DB291" t="s">
        <v>865</v>
      </c>
      <c r="DC291">
        <v>46260</v>
      </c>
      <c r="DD291">
        <v>2.5167000000000002</v>
      </c>
      <c r="DE291" t="s">
        <v>866</v>
      </c>
      <c r="DG291" t="s">
        <v>867</v>
      </c>
      <c r="DH291" t="s">
        <v>851</v>
      </c>
      <c r="DI291" t="s">
        <v>1554</v>
      </c>
      <c r="DL291" t="s">
        <v>869</v>
      </c>
      <c r="DM291">
        <v>0</v>
      </c>
      <c r="DN291">
        <v>0</v>
      </c>
      <c r="DO291">
        <v>1</v>
      </c>
      <c r="DP291" t="s">
        <v>985</v>
      </c>
      <c r="DQ291">
        <v>16</v>
      </c>
      <c r="DR291">
        <v>151</v>
      </c>
      <c r="DS291">
        <v>151</v>
      </c>
      <c r="DT291">
        <v>2.0499999999999998</v>
      </c>
      <c r="DU291">
        <v>4</v>
      </c>
      <c r="DW291">
        <v>2</v>
      </c>
      <c r="DX291" t="s">
        <v>596</v>
      </c>
      <c r="DY291" t="s">
        <v>6621</v>
      </c>
      <c r="DZ291">
        <v>1</v>
      </c>
      <c r="EA291">
        <v>1</v>
      </c>
      <c r="EB291">
        <v>1</v>
      </c>
      <c r="EC291">
        <v>1</v>
      </c>
      <c r="ED291">
        <v>1</v>
      </c>
      <c r="EE291">
        <v>1</v>
      </c>
      <c r="EF291" t="s">
        <v>920</v>
      </c>
      <c r="EG291" t="s">
        <v>595</v>
      </c>
      <c r="EH291" t="s">
        <v>921</v>
      </c>
      <c r="EI291" t="s">
        <v>921</v>
      </c>
      <c r="EJ291" t="s">
        <v>134</v>
      </c>
      <c r="EK291">
        <v>9090</v>
      </c>
      <c r="EL291">
        <v>0</v>
      </c>
      <c r="EM291" t="s">
        <v>1011</v>
      </c>
      <c r="EN291">
        <v>1.2666999999999999</v>
      </c>
      <c r="EO291">
        <v>2.5166666000000002</v>
      </c>
      <c r="EP291">
        <v>99991120</v>
      </c>
      <c r="EQ291" t="s">
        <v>874</v>
      </c>
      <c r="ER291" t="s">
        <v>875</v>
      </c>
      <c r="ES291" t="s">
        <v>876</v>
      </c>
      <c r="ET291" t="s">
        <v>877</v>
      </c>
      <c r="EU291" t="s">
        <v>877</v>
      </c>
      <c r="EV291" t="s">
        <v>920</v>
      </c>
      <c r="EX291" t="s">
        <v>953</v>
      </c>
      <c r="EY291" t="s">
        <v>1555</v>
      </c>
      <c r="EZ291" t="s">
        <v>1013</v>
      </c>
      <c r="FA291" t="s">
        <v>925</v>
      </c>
      <c r="FB291">
        <v>1</v>
      </c>
      <c r="FC291">
        <v>1</v>
      </c>
      <c r="FD291" s="41">
        <v>45948</v>
      </c>
      <c r="FE291" t="s">
        <v>1039</v>
      </c>
      <c r="FF291">
        <v>4</v>
      </c>
      <c r="FI291">
        <v>0</v>
      </c>
      <c r="FL291">
        <v>0</v>
      </c>
      <c r="FM291" t="s">
        <v>6628</v>
      </c>
      <c r="FN291" t="s">
        <v>6629</v>
      </c>
      <c r="FO291">
        <v>1</v>
      </c>
      <c r="FP291" t="s">
        <v>6630</v>
      </c>
      <c r="FQ291" t="s">
        <v>6631</v>
      </c>
      <c r="FR291">
        <v>1</v>
      </c>
      <c r="FS291" t="s">
        <v>2219</v>
      </c>
      <c r="FT291" t="s">
        <v>6632</v>
      </c>
      <c r="FU291">
        <v>1</v>
      </c>
      <c r="FV291" t="s">
        <v>6633</v>
      </c>
      <c r="FW291" t="s">
        <v>6634</v>
      </c>
      <c r="FX291">
        <v>1</v>
      </c>
      <c r="FY291" t="s">
        <v>890</v>
      </c>
      <c r="FZ291" t="s">
        <v>6635</v>
      </c>
      <c r="GA291" t="s">
        <v>6633</v>
      </c>
      <c r="GB291">
        <v>1</v>
      </c>
      <c r="GD291">
        <v>0</v>
      </c>
      <c r="GF291">
        <v>0</v>
      </c>
      <c r="GG291">
        <v>1</v>
      </c>
      <c r="GH291" t="s">
        <v>892</v>
      </c>
      <c r="GI291" t="s">
        <v>893</v>
      </c>
      <c r="GJ291" t="s">
        <v>6634</v>
      </c>
      <c r="GM291">
        <v>1</v>
      </c>
      <c r="GN291">
        <v>1</v>
      </c>
      <c r="GO291">
        <v>0</v>
      </c>
      <c r="GP291">
        <v>1</v>
      </c>
      <c r="GQ291">
        <v>1</v>
      </c>
      <c r="GR291">
        <v>0</v>
      </c>
      <c r="GS291">
        <v>1</v>
      </c>
      <c r="GT291">
        <v>0</v>
      </c>
      <c r="GU291">
        <v>1</v>
      </c>
      <c r="GV291">
        <v>0</v>
      </c>
      <c r="GW291">
        <v>1</v>
      </c>
      <c r="GX291">
        <v>0</v>
      </c>
      <c r="GY291">
        <v>1</v>
      </c>
      <c r="GZ291">
        <v>0</v>
      </c>
      <c r="HA291" t="s">
        <v>340</v>
      </c>
      <c r="HB291" t="s">
        <v>894</v>
      </c>
      <c r="HC291" t="s">
        <v>935</v>
      </c>
      <c r="HD291" t="s">
        <v>845</v>
      </c>
      <c r="HE291" t="s">
        <v>900</v>
      </c>
      <c r="HF291" t="s">
        <v>1012</v>
      </c>
      <c r="HG291" t="s">
        <v>894</v>
      </c>
      <c r="HH291" t="s">
        <v>935</v>
      </c>
      <c r="HI291" t="s">
        <v>845</v>
      </c>
      <c r="HJ291" t="s">
        <v>900</v>
      </c>
      <c r="HK291" t="s">
        <v>1011</v>
      </c>
      <c r="HL291" t="s">
        <v>133</v>
      </c>
      <c r="HM291" t="s">
        <v>854</v>
      </c>
      <c r="HN291">
        <v>36805</v>
      </c>
      <c r="HP291" t="s">
        <v>134</v>
      </c>
      <c r="HQ291" t="s">
        <v>896</v>
      </c>
      <c r="HR291" t="s">
        <v>896</v>
      </c>
      <c r="HS291" t="s">
        <v>896</v>
      </c>
    </row>
    <row r="292" spans="1:227" x14ac:dyDescent="0.2">
      <c r="A292">
        <v>8702</v>
      </c>
      <c r="B292">
        <v>7525102642</v>
      </c>
      <c r="C292">
        <v>34</v>
      </c>
      <c r="D292" t="s">
        <v>996</v>
      </c>
      <c r="E292" t="s">
        <v>897</v>
      </c>
      <c r="F292">
        <v>0</v>
      </c>
      <c r="G292" t="s">
        <v>6636</v>
      </c>
      <c r="H292" t="s">
        <v>6636</v>
      </c>
      <c r="I292">
        <v>0</v>
      </c>
      <c r="J292" t="s">
        <v>833</v>
      </c>
      <c r="K292" t="s">
        <v>834</v>
      </c>
      <c r="L292">
        <v>153008230</v>
      </c>
      <c r="M292" t="s">
        <v>3091</v>
      </c>
      <c r="N292" t="s">
        <v>900</v>
      </c>
      <c r="O292" t="s">
        <v>837</v>
      </c>
      <c r="P292" t="s">
        <v>999</v>
      </c>
      <c r="Q292" t="s">
        <v>1000</v>
      </c>
      <c r="R292" t="s">
        <v>6637</v>
      </c>
      <c r="S292" t="s">
        <v>6638</v>
      </c>
      <c r="T292">
        <v>41477068852</v>
      </c>
      <c r="V292" t="s">
        <v>1476</v>
      </c>
      <c r="W292" s="41">
        <v>45916</v>
      </c>
      <c r="X292" t="s">
        <v>6639</v>
      </c>
      <c r="Y292" t="s">
        <v>6640</v>
      </c>
      <c r="Z292" t="s">
        <v>5544</v>
      </c>
      <c r="AA292">
        <v>0</v>
      </c>
      <c r="AB292" t="s">
        <v>845</v>
      </c>
      <c r="AC292" t="s">
        <v>846</v>
      </c>
      <c r="AD292" t="s">
        <v>847</v>
      </c>
      <c r="AE292" t="s">
        <v>848</v>
      </c>
      <c r="AF292">
        <v>1</v>
      </c>
      <c r="AG292">
        <v>452210</v>
      </c>
      <c r="AH292" t="s">
        <v>849</v>
      </c>
      <c r="AI292" t="s">
        <v>850</v>
      </c>
      <c r="AJ292" t="s">
        <v>851</v>
      </c>
      <c r="AK292" t="s">
        <v>373</v>
      </c>
      <c r="AL292" t="s">
        <v>5545</v>
      </c>
      <c r="AM292" t="s">
        <v>1480</v>
      </c>
      <c r="AN292" t="s">
        <v>854</v>
      </c>
      <c r="AO292">
        <v>36805</v>
      </c>
      <c r="AP292">
        <v>931</v>
      </c>
      <c r="AQ292" t="s">
        <v>855</v>
      </c>
      <c r="AR292">
        <v>66116935</v>
      </c>
      <c r="AS292" t="s">
        <v>856</v>
      </c>
      <c r="AU292" t="s">
        <v>6641</v>
      </c>
      <c r="AV292" t="s">
        <v>6642</v>
      </c>
      <c r="AX292" t="s">
        <v>913</v>
      </c>
      <c r="AY292" t="s">
        <v>861</v>
      </c>
      <c r="AZ292" t="s">
        <v>373</v>
      </c>
      <c r="BA292" t="s">
        <v>374</v>
      </c>
      <c r="BB292">
        <v>0</v>
      </c>
      <c r="BC292">
        <v>1</v>
      </c>
      <c r="BD292">
        <v>0</v>
      </c>
      <c r="BE292" t="s">
        <v>3091</v>
      </c>
      <c r="BF292">
        <v>0</v>
      </c>
      <c r="BG292">
        <v>0</v>
      </c>
      <c r="BH292" t="s">
        <v>862</v>
      </c>
      <c r="BI292">
        <v>0</v>
      </c>
      <c r="BJ292" t="s">
        <v>862</v>
      </c>
      <c r="BK292">
        <v>1</v>
      </c>
      <c r="BL292">
        <v>1</v>
      </c>
      <c r="BM292">
        <v>0</v>
      </c>
      <c r="BN292" t="s">
        <v>596</v>
      </c>
      <c r="BO292">
        <v>153008230</v>
      </c>
      <c r="BP292" t="s">
        <v>6636</v>
      </c>
      <c r="BR292">
        <v>42793655</v>
      </c>
      <c r="BT292">
        <v>1</v>
      </c>
      <c r="BU292" t="s">
        <v>1151</v>
      </c>
      <c r="CI292">
        <v>11</v>
      </c>
      <c r="CJ292" t="s">
        <v>94</v>
      </c>
      <c r="CM292">
        <v>4010</v>
      </c>
      <c r="CO292">
        <v>7360</v>
      </c>
      <c r="CP292">
        <v>0.93330000000000002</v>
      </c>
      <c r="CQ292">
        <v>0.93330000000000002</v>
      </c>
      <c r="CR292">
        <v>0.26669999999999999</v>
      </c>
      <c r="CS292">
        <v>0</v>
      </c>
      <c r="CT292" t="s">
        <v>6643</v>
      </c>
      <c r="CU292" t="s">
        <v>6644</v>
      </c>
      <c r="CV292" t="s">
        <v>833</v>
      </c>
      <c r="CW292" t="s">
        <v>834</v>
      </c>
      <c r="CX292" t="s">
        <v>3091</v>
      </c>
      <c r="CY292">
        <v>1</v>
      </c>
      <c r="CZ292">
        <v>1</v>
      </c>
      <c r="DA292" t="s">
        <v>833</v>
      </c>
      <c r="DB292" t="s">
        <v>865</v>
      </c>
      <c r="DC292">
        <v>44720</v>
      </c>
      <c r="DD292">
        <v>98.5167</v>
      </c>
      <c r="DE292" t="s">
        <v>866</v>
      </c>
      <c r="DG292" t="s">
        <v>867</v>
      </c>
      <c r="DH292" t="s">
        <v>851</v>
      </c>
      <c r="DI292" t="s">
        <v>5259</v>
      </c>
      <c r="DJ292" t="s">
        <v>6645</v>
      </c>
      <c r="DK292" t="s">
        <v>1155</v>
      </c>
      <c r="DL292" t="s">
        <v>869</v>
      </c>
      <c r="DM292">
        <v>0</v>
      </c>
      <c r="DN292">
        <v>0</v>
      </c>
      <c r="DO292">
        <v>11</v>
      </c>
      <c r="DP292" t="s">
        <v>1010</v>
      </c>
      <c r="DQ292">
        <v>16</v>
      </c>
      <c r="DR292">
        <v>5911</v>
      </c>
      <c r="DS292">
        <v>11671</v>
      </c>
      <c r="DT292">
        <v>3.9</v>
      </c>
      <c r="DU292">
        <v>4</v>
      </c>
      <c r="DV292">
        <v>1</v>
      </c>
      <c r="DW292">
        <v>2</v>
      </c>
      <c r="DX292" t="s">
        <v>596</v>
      </c>
      <c r="DY292" t="s">
        <v>3091</v>
      </c>
      <c r="DZ292">
        <v>0</v>
      </c>
      <c r="EA292">
        <v>0</v>
      </c>
      <c r="EB292">
        <v>1</v>
      </c>
      <c r="EC292">
        <v>1</v>
      </c>
      <c r="ED292">
        <v>1</v>
      </c>
      <c r="EE292">
        <v>1</v>
      </c>
      <c r="EF292" t="s">
        <v>871</v>
      </c>
      <c r="EG292" t="s">
        <v>595</v>
      </c>
      <c r="EH292" t="s">
        <v>921</v>
      </c>
      <c r="EI292" t="s">
        <v>921</v>
      </c>
      <c r="EJ292" t="s">
        <v>226</v>
      </c>
      <c r="EK292">
        <v>9090</v>
      </c>
      <c r="EL292">
        <v>1</v>
      </c>
      <c r="EM292" t="s">
        <v>1157</v>
      </c>
      <c r="EN292">
        <v>0.26669999999999999</v>
      </c>
      <c r="EO292">
        <v>194.51666660000001</v>
      </c>
      <c r="EP292">
        <v>99991120</v>
      </c>
      <c r="EQ292" t="s">
        <v>874</v>
      </c>
      <c r="ER292" t="s">
        <v>875</v>
      </c>
      <c r="ES292" t="s">
        <v>876</v>
      </c>
      <c r="ET292" t="s">
        <v>877</v>
      </c>
      <c r="EU292" t="s">
        <v>877</v>
      </c>
      <c r="EV292" t="s">
        <v>871</v>
      </c>
      <c r="EX292" t="s">
        <v>953</v>
      </c>
      <c r="EY292" t="s">
        <v>986</v>
      </c>
      <c r="EZ292" t="s">
        <v>1236</v>
      </c>
      <c r="FA292" t="s">
        <v>956</v>
      </c>
      <c r="FB292">
        <v>1</v>
      </c>
      <c r="FC292">
        <v>2</v>
      </c>
      <c r="FD292" s="41">
        <v>45920</v>
      </c>
      <c r="FE292" t="s">
        <v>880</v>
      </c>
      <c r="FF292">
        <v>15</v>
      </c>
      <c r="FG292" t="s">
        <v>6646</v>
      </c>
      <c r="FH292" t="s">
        <v>6647</v>
      </c>
      <c r="FI292">
        <v>1</v>
      </c>
      <c r="FJ292" t="s">
        <v>5552</v>
      </c>
      <c r="FK292" t="s">
        <v>6647</v>
      </c>
      <c r="FL292">
        <v>1</v>
      </c>
      <c r="FM292" t="s">
        <v>5264</v>
      </c>
      <c r="FN292" t="s">
        <v>6648</v>
      </c>
      <c r="FO292">
        <v>1</v>
      </c>
      <c r="FP292" t="s">
        <v>6649</v>
      </c>
      <c r="FQ292" t="s">
        <v>6650</v>
      </c>
      <c r="FR292">
        <v>1</v>
      </c>
      <c r="FS292" t="s">
        <v>1766</v>
      </c>
      <c r="FT292" t="s">
        <v>6651</v>
      </c>
      <c r="FU292">
        <v>1</v>
      </c>
      <c r="FV292" t="s">
        <v>2310</v>
      </c>
      <c r="FW292" t="s">
        <v>6652</v>
      </c>
      <c r="FX292">
        <v>1</v>
      </c>
      <c r="FY292" t="s">
        <v>890</v>
      </c>
      <c r="FZ292" t="s">
        <v>6653</v>
      </c>
      <c r="GA292" t="s">
        <v>5552</v>
      </c>
      <c r="GB292">
        <v>1</v>
      </c>
      <c r="GD292">
        <v>0</v>
      </c>
      <c r="GF292">
        <v>0</v>
      </c>
      <c r="GG292">
        <v>1</v>
      </c>
      <c r="GH292" t="s">
        <v>892</v>
      </c>
      <c r="GI292" t="s">
        <v>893</v>
      </c>
      <c r="GJ292" t="s">
        <v>6647</v>
      </c>
      <c r="GM292">
        <v>1</v>
      </c>
      <c r="GN292">
        <v>0</v>
      </c>
      <c r="GO292">
        <v>0</v>
      </c>
      <c r="GP292">
        <v>1</v>
      </c>
      <c r="GQ292">
        <v>1</v>
      </c>
      <c r="GR292">
        <v>0</v>
      </c>
      <c r="GS292">
        <v>1</v>
      </c>
      <c r="GT292">
        <v>0</v>
      </c>
      <c r="GU292">
        <v>1</v>
      </c>
      <c r="GV292">
        <v>0</v>
      </c>
      <c r="GW292">
        <v>1</v>
      </c>
      <c r="GX292">
        <v>0</v>
      </c>
      <c r="GY292">
        <v>1</v>
      </c>
      <c r="GZ292">
        <v>0</v>
      </c>
      <c r="HA292" t="s">
        <v>373</v>
      </c>
      <c r="HB292" t="s">
        <v>894</v>
      </c>
      <c r="HC292" t="s">
        <v>935</v>
      </c>
      <c r="HD292" t="s">
        <v>845</v>
      </c>
      <c r="HE292" t="s">
        <v>900</v>
      </c>
      <c r="HF292" t="s">
        <v>923</v>
      </c>
      <c r="HG292" t="s">
        <v>894</v>
      </c>
      <c r="HH292" t="s">
        <v>935</v>
      </c>
      <c r="HI292" t="s">
        <v>845</v>
      </c>
      <c r="HJ292" t="s">
        <v>900</v>
      </c>
      <c r="HK292" t="s">
        <v>922</v>
      </c>
      <c r="HL292" t="s">
        <v>1476</v>
      </c>
      <c r="HM292" t="s">
        <v>854</v>
      </c>
      <c r="HN292">
        <v>36805</v>
      </c>
      <c r="HO292">
        <v>1</v>
      </c>
      <c r="HP292" t="s">
        <v>226</v>
      </c>
      <c r="HQ292" t="s">
        <v>896</v>
      </c>
      <c r="HR292" t="s">
        <v>896</v>
      </c>
      <c r="HS292" t="s">
        <v>896</v>
      </c>
    </row>
    <row r="293" spans="1:227" x14ac:dyDescent="0.2">
      <c r="A293">
        <v>8702</v>
      </c>
      <c r="B293">
        <v>7604703056</v>
      </c>
      <c r="C293">
        <v>34</v>
      </c>
      <c r="D293" t="s">
        <v>996</v>
      </c>
      <c r="E293" t="s">
        <v>831</v>
      </c>
      <c r="F293">
        <v>0</v>
      </c>
      <c r="G293" t="s">
        <v>6654</v>
      </c>
      <c r="H293" t="s">
        <v>6654</v>
      </c>
      <c r="I293">
        <v>0</v>
      </c>
      <c r="J293" t="s">
        <v>833</v>
      </c>
      <c r="K293" t="s">
        <v>834</v>
      </c>
      <c r="L293">
        <v>153294181</v>
      </c>
      <c r="M293" t="s">
        <v>6655</v>
      </c>
      <c r="N293" t="s">
        <v>836</v>
      </c>
      <c r="O293" t="s">
        <v>837</v>
      </c>
      <c r="P293" t="s">
        <v>999</v>
      </c>
      <c r="Q293" t="s">
        <v>1027</v>
      </c>
      <c r="R293" t="s">
        <v>6656</v>
      </c>
      <c r="S293" t="s">
        <v>6657</v>
      </c>
      <c r="T293">
        <v>41477059751</v>
      </c>
      <c r="V293" t="s">
        <v>2032</v>
      </c>
      <c r="W293" s="41">
        <v>46069</v>
      </c>
      <c r="X293" t="s">
        <v>6658</v>
      </c>
      <c r="Y293" t="s">
        <v>6659</v>
      </c>
      <c r="Z293" t="s">
        <v>6660</v>
      </c>
      <c r="AA293">
        <v>0</v>
      </c>
      <c r="AB293" t="s">
        <v>845</v>
      </c>
      <c r="AC293" t="s">
        <v>846</v>
      </c>
      <c r="AD293" t="s">
        <v>1113</v>
      </c>
      <c r="AE293" t="s">
        <v>1114</v>
      </c>
      <c r="AF293">
        <v>1</v>
      </c>
      <c r="AG293">
        <v>452210</v>
      </c>
      <c r="AH293" t="s">
        <v>849</v>
      </c>
      <c r="AI293" t="s">
        <v>850</v>
      </c>
      <c r="AJ293" t="s">
        <v>851</v>
      </c>
      <c r="AK293" t="s">
        <v>299</v>
      </c>
      <c r="AL293" t="s">
        <v>2035</v>
      </c>
      <c r="AM293" t="s">
        <v>2036</v>
      </c>
      <c r="AN293" t="s">
        <v>854</v>
      </c>
      <c r="AO293">
        <v>36805</v>
      </c>
      <c r="AP293">
        <v>537</v>
      </c>
      <c r="AQ293" t="s">
        <v>855</v>
      </c>
      <c r="AR293">
        <v>66337166</v>
      </c>
      <c r="AS293" t="s">
        <v>856</v>
      </c>
      <c r="AU293" t="s">
        <v>6661</v>
      </c>
      <c r="AV293" t="s">
        <v>6662</v>
      </c>
      <c r="AW293" t="s">
        <v>950</v>
      </c>
      <c r="AX293" t="s">
        <v>951</v>
      </c>
      <c r="AY293" t="s">
        <v>861</v>
      </c>
      <c r="AZ293" t="s">
        <v>299</v>
      </c>
      <c r="BA293" t="s">
        <v>300</v>
      </c>
      <c r="BB293">
        <v>0</v>
      </c>
      <c r="BC293">
        <v>0</v>
      </c>
      <c r="BD293">
        <v>1</v>
      </c>
      <c r="BE293" t="s">
        <v>6655</v>
      </c>
      <c r="BF293">
        <v>0</v>
      </c>
      <c r="BG293">
        <v>0</v>
      </c>
      <c r="BH293" t="s">
        <v>862</v>
      </c>
      <c r="BI293">
        <v>0</v>
      </c>
      <c r="BJ293" t="s">
        <v>862</v>
      </c>
      <c r="BK293">
        <v>1</v>
      </c>
      <c r="BL293">
        <v>0</v>
      </c>
      <c r="BM293">
        <v>0</v>
      </c>
      <c r="BN293" t="s">
        <v>596</v>
      </c>
      <c r="BO293">
        <v>153294181</v>
      </c>
      <c r="BP293" t="s">
        <v>6654</v>
      </c>
      <c r="BR293">
        <v>42791480</v>
      </c>
      <c r="BT293">
        <v>1</v>
      </c>
      <c r="BU293" t="s">
        <v>1780</v>
      </c>
      <c r="CI293">
        <v>11</v>
      </c>
      <c r="CJ293" t="s">
        <v>94</v>
      </c>
      <c r="CM293">
        <v>4010</v>
      </c>
      <c r="CO293">
        <v>7360</v>
      </c>
      <c r="CP293">
        <v>0.56669999999999998</v>
      </c>
      <c r="CQ293">
        <v>0.56669999999999998</v>
      </c>
      <c r="CR293">
        <v>0.41670000000000001</v>
      </c>
      <c r="CS293">
        <v>3</v>
      </c>
      <c r="CT293" t="s">
        <v>6663</v>
      </c>
      <c r="CU293" t="s">
        <v>6664</v>
      </c>
      <c r="CV293" t="s">
        <v>833</v>
      </c>
      <c r="CW293" t="s">
        <v>834</v>
      </c>
      <c r="CX293" t="s">
        <v>6655</v>
      </c>
      <c r="CY293">
        <v>1</v>
      </c>
      <c r="CZ293">
        <v>1</v>
      </c>
      <c r="DA293" t="s">
        <v>833</v>
      </c>
      <c r="DB293" t="s">
        <v>865</v>
      </c>
      <c r="DC293">
        <v>47906</v>
      </c>
      <c r="DD293">
        <v>1</v>
      </c>
      <c r="DE293" t="s">
        <v>866</v>
      </c>
      <c r="DG293" t="s">
        <v>867</v>
      </c>
      <c r="DH293" t="s">
        <v>851</v>
      </c>
      <c r="DI293" t="s">
        <v>3154</v>
      </c>
      <c r="DJ293" t="s">
        <v>6665</v>
      </c>
      <c r="DK293" t="s">
        <v>918</v>
      </c>
      <c r="DL293" t="s">
        <v>869</v>
      </c>
      <c r="DM293">
        <v>0</v>
      </c>
      <c r="DN293">
        <v>0</v>
      </c>
      <c r="DO293">
        <v>11</v>
      </c>
      <c r="DP293" t="s">
        <v>1010</v>
      </c>
      <c r="DQ293">
        <v>0</v>
      </c>
      <c r="DR293">
        <v>60</v>
      </c>
      <c r="DS293">
        <v>60</v>
      </c>
      <c r="DT293">
        <v>0.43330000000000002</v>
      </c>
      <c r="DU293">
        <v>0</v>
      </c>
      <c r="DV293">
        <v>1</v>
      </c>
      <c r="DW293">
        <v>2</v>
      </c>
      <c r="DX293" t="s">
        <v>594</v>
      </c>
      <c r="DY293" t="s">
        <v>6655</v>
      </c>
      <c r="DZ293">
        <v>1</v>
      </c>
      <c r="EA293">
        <v>1</v>
      </c>
      <c r="EB293">
        <v>1</v>
      </c>
      <c r="EC293">
        <v>1</v>
      </c>
      <c r="ED293">
        <v>1</v>
      </c>
      <c r="EE293">
        <v>1</v>
      </c>
      <c r="EF293" t="s">
        <v>920</v>
      </c>
      <c r="EG293" t="s">
        <v>595</v>
      </c>
      <c r="EH293" t="s">
        <v>872</v>
      </c>
      <c r="EI293" t="s">
        <v>872</v>
      </c>
      <c r="EJ293" t="s">
        <v>134</v>
      </c>
      <c r="EK293">
        <v>9090</v>
      </c>
      <c r="EL293">
        <v>0</v>
      </c>
      <c r="EM293" t="s">
        <v>1436</v>
      </c>
      <c r="EN293">
        <v>0.41670000000000001</v>
      </c>
      <c r="EO293">
        <v>1</v>
      </c>
      <c r="EP293">
        <v>99991120</v>
      </c>
      <c r="EQ293" t="s">
        <v>874</v>
      </c>
      <c r="ER293" t="s">
        <v>875</v>
      </c>
      <c r="ES293" t="s">
        <v>876</v>
      </c>
      <c r="ET293" t="s">
        <v>877</v>
      </c>
      <c r="EU293" t="s">
        <v>877</v>
      </c>
      <c r="EV293" t="s">
        <v>920</v>
      </c>
      <c r="EX293" t="s">
        <v>953</v>
      </c>
      <c r="EY293" t="s">
        <v>1555</v>
      </c>
      <c r="EZ293" t="s">
        <v>1211</v>
      </c>
      <c r="FA293" t="s">
        <v>1212</v>
      </c>
      <c r="FB293">
        <v>1</v>
      </c>
      <c r="FC293">
        <v>1</v>
      </c>
      <c r="FD293" s="41">
        <v>46074</v>
      </c>
      <c r="FE293" t="s">
        <v>1267</v>
      </c>
      <c r="FF293">
        <v>6</v>
      </c>
      <c r="FG293" t="s">
        <v>6666</v>
      </c>
      <c r="FH293" t="s">
        <v>6667</v>
      </c>
      <c r="FI293">
        <v>1</v>
      </c>
      <c r="FJ293" t="s">
        <v>6668</v>
      </c>
      <c r="FK293" t="s">
        <v>6667</v>
      </c>
      <c r="FL293">
        <v>1</v>
      </c>
      <c r="FM293" t="s">
        <v>6669</v>
      </c>
      <c r="FN293" t="s">
        <v>6670</v>
      </c>
      <c r="FO293">
        <v>1</v>
      </c>
      <c r="FP293" t="s">
        <v>6671</v>
      </c>
      <c r="FQ293" t="s">
        <v>6664</v>
      </c>
      <c r="FR293">
        <v>1</v>
      </c>
      <c r="FS293" t="s">
        <v>2048</v>
      </c>
      <c r="FT293" t="s">
        <v>6672</v>
      </c>
      <c r="FU293">
        <v>1</v>
      </c>
      <c r="FV293" t="s">
        <v>6655</v>
      </c>
      <c r="FW293" t="s">
        <v>6673</v>
      </c>
      <c r="FX293">
        <v>1</v>
      </c>
      <c r="FY293" t="s">
        <v>890</v>
      </c>
      <c r="FZ293" t="s">
        <v>6674</v>
      </c>
      <c r="GA293" t="s">
        <v>6668</v>
      </c>
      <c r="GB293">
        <v>1</v>
      </c>
      <c r="GD293">
        <v>0</v>
      </c>
      <c r="GF293">
        <v>0</v>
      </c>
      <c r="GG293">
        <v>1</v>
      </c>
      <c r="GH293" t="s">
        <v>892</v>
      </c>
      <c r="GI293" t="s">
        <v>893</v>
      </c>
      <c r="GJ293" t="s">
        <v>6667</v>
      </c>
      <c r="GM293">
        <v>1</v>
      </c>
      <c r="GN293">
        <v>1</v>
      </c>
      <c r="GO293">
        <v>0</v>
      </c>
      <c r="GP293">
        <v>1</v>
      </c>
      <c r="GQ293">
        <v>1</v>
      </c>
      <c r="GR293">
        <v>0</v>
      </c>
      <c r="GS293">
        <v>1</v>
      </c>
      <c r="GT293">
        <v>0</v>
      </c>
      <c r="GU293">
        <v>1</v>
      </c>
      <c r="GV293">
        <v>0</v>
      </c>
      <c r="GW293">
        <v>1</v>
      </c>
      <c r="GX293">
        <v>0</v>
      </c>
      <c r="GY293">
        <v>1</v>
      </c>
      <c r="GZ293">
        <v>0</v>
      </c>
      <c r="HA293" t="s">
        <v>299</v>
      </c>
      <c r="HB293" t="s">
        <v>894</v>
      </c>
      <c r="HC293" t="s">
        <v>895</v>
      </c>
      <c r="HD293" t="s">
        <v>845</v>
      </c>
      <c r="HE293" t="s">
        <v>836</v>
      </c>
      <c r="HF293" t="s">
        <v>873</v>
      </c>
      <c r="HG293" t="s">
        <v>894</v>
      </c>
      <c r="HH293" t="s">
        <v>895</v>
      </c>
      <c r="HI293" t="s">
        <v>845</v>
      </c>
      <c r="HJ293" t="s">
        <v>836</v>
      </c>
      <c r="HK293" t="s">
        <v>1436</v>
      </c>
      <c r="HL293" t="s">
        <v>2032</v>
      </c>
      <c r="HM293" t="s">
        <v>854</v>
      </c>
      <c r="HN293">
        <v>36805</v>
      </c>
      <c r="HO293">
        <v>1</v>
      </c>
      <c r="HP293" t="s">
        <v>134</v>
      </c>
      <c r="HQ293" t="s">
        <v>896</v>
      </c>
      <c r="HR293" t="s">
        <v>896</v>
      </c>
      <c r="HS293" t="s">
        <v>896</v>
      </c>
    </row>
    <row r="294" spans="1:227" x14ac:dyDescent="0.2">
      <c r="A294">
        <v>8702</v>
      </c>
      <c r="B294">
        <v>7614309194</v>
      </c>
      <c r="C294" t="s">
        <v>936</v>
      </c>
      <c r="D294" t="s">
        <v>937</v>
      </c>
      <c r="E294" t="s">
        <v>897</v>
      </c>
      <c r="F294">
        <v>1</v>
      </c>
      <c r="G294" t="s">
        <v>6675</v>
      </c>
      <c r="H294" t="s">
        <v>6675</v>
      </c>
      <c r="I294">
        <v>0</v>
      </c>
      <c r="J294" t="s">
        <v>833</v>
      </c>
      <c r="K294" t="s">
        <v>834</v>
      </c>
      <c r="L294">
        <v>153402707</v>
      </c>
      <c r="M294" t="s">
        <v>6676</v>
      </c>
      <c r="N294" t="s">
        <v>900</v>
      </c>
      <c r="O294" t="s">
        <v>837</v>
      </c>
      <c r="P294" t="s">
        <v>940</v>
      </c>
      <c r="Q294" t="s">
        <v>1080</v>
      </c>
      <c r="R294" t="s">
        <v>6677</v>
      </c>
      <c r="S294" t="s">
        <v>6678</v>
      </c>
      <c r="T294">
        <v>41477056288</v>
      </c>
      <c r="V294" t="s">
        <v>154</v>
      </c>
      <c r="W294" s="41">
        <v>46166</v>
      </c>
      <c r="X294" t="s">
        <v>6679</v>
      </c>
      <c r="Y294" t="s">
        <v>6680</v>
      </c>
      <c r="AA294">
        <v>0</v>
      </c>
      <c r="AB294" t="s">
        <v>845</v>
      </c>
      <c r="AC294" t="s">
        <v>846</v>
      </c>
      <c r="AD294" t="s">
        <v>907</v>
      </c>
      <c r="AE294" t="s">
        <v>908</v>
      </c>
      <c r="AF294">
        <v>1</v>
      </c>
      <c r="AG294">
        <v>452210</v>
      </c>
      <c r="AH294" t="s">
        <v>849</v>
      </c>
      <c r="AI294" t="s">
        <v>850</v>
      </c>
      <c r="AJ294" t="s">
        <v>851</v>
      </c>
      <c r="AK294" t="s">
        <v>279</v>
      </c>
      <c r="AL294" t="s">
        <v>1181</v>
      </c>
      <c r="AM294" t="s">
        <v>2409</v>
      </c>
      <c r="AN294" t="s">
        <v>854</v>
      </c>
      <c r="AO294">
        <v>36805</v>
      </c>
      <c r="AP294">
        <v>535</v>
      </c>
      <c r="AQ294" t="s">
        <v>855</v>
      </c>
      <c r="AR294">
        <v>66476954</v>
      </c>
      <c r="AS294" t="s">
        <v>856</v>
      </c>
      <c r="AU294" t="s">
        <v>6681</v>
      </c>
      <c r="AV294" t="s">
        <v>6682</v>
      </c>
      <c r="AX294" t="s">
        <v>913</v>
      </c>
      <c r="AY294" t="s">
        <v>861</v>
      </c>
      <c r="AZ294" t="s">
        <v>279</v>
      </c>
      <c r="BA294" t="s">
        <v>280</v>
      </c>
      <c r="BB294">
        <v>0</v>
      </c>
      <c r="BC294">
        <v>0</v>
      </c>
      <c r="BD294">
        <v>1</v>
      </c>
      <c r="BE294" t="s">
        <v>6676</v>
      </c>
      <c r="BF294">
        <v>0</v>
      </c>
      <c r="BG294">
        <v>0</v>
      </c>
      <c r="BH294" t="s">
        <v>862</v>
      </c>
      <c r="BI294">
        <v>0</v>
      </c>
      <c r="BJ294" t="s">
        <v>862</v>
      </c>
      <c r="BK294">
        <v>1</v>
      </c>
      <c r="BL294">
        <v>1</v>
      </c>
      <c r="BM294">
        <v>0</v>
      </c>
      <c r="BN294" t="s">
        <v>596</v>
      </c>
      <c r="BO294">
        <v>153402707</v>
      </c>
      <c r="BP294" t="s">
        <v>6675</v>
      </c>
      <c r="BQ294">
        <v>40.217419499999998</v>
      </c>
      <c r="BR294">
        <v>42791452</v>
      </c>
      <c r="BS294">
        <v>-85.391256600000006</v>
      </c>
      <c r="BT294">
        <v>2</v>
      </c>
      <c r="BU294" t="s">
        <v>1803</v>
      </c>
      <c r="BY294">
        <v>12</v>
      </c>
      <c r="CA294">
        <v>6</v>
      </c>
      <c r="CE294">
        <v>1</v>
      </c>
      <c r="CI294">
        <v>11</v>
      </c>
      <c r="CJ294" t="s">
        <v>94</v>
      </c>
      <c r="CM294">
        <v>4010</v>
      </c>
      <c r="CO294">
        <v>7360</v>
      </c>
      <c r="CP294">
        <v>0.91669999999999996</v>
      </c>
      <c r="CQ294">
        <v>0.91669999999999996</v>
      </c>
      <c r="CR294">
        <v>1.9167000000000001</v>
      </c>
      <c r="CS294">
        <v>4</v>
      </c>
      <c r="CT294" t="s">
        <v>6683</v>
      </c>
      <c r="CU294" t="s">
        <v>6684</v>
      </c>
      <c r="CV294" t="s">
        <v>833</v>
      </c>
      <c r="CW294" t="s">
        <v>834</v>
      </c>
      <c r="CX294" t="s">
        <v>6676</v>
      </c>
      <c r="CY294">
        <v>1</v>
      </c>
      <c r="CZ294">
        <v>1</v>
      </c>
      <c r="DA294" t="s">
        <v>833</v>
      </c>
      <c r="DB294" t="s">
        <v>865</v>
      </c>
      <c r="DC294">
        <v>47303</v>
      </c>
      <c r="DD294">
        <v>6.2332999999999998</v>
      </c>
      <c r="DE294" t="s">
        <v>866</v>
      </c>
      <c r="DG294" t="s">
        <v>867</v>
      </c>
      <c r="DH294" t="s">
        <v>851</v>
      </c>
      <c r="DI294" t="s">
        <v>1154</v>
      </c>
      <c r="DK294" t="s">
        <v>918</v>
      </c>
      <c r="DL294" t="s">
        <v>869</v>
      </c>
      <c r="DM294">
        <v>0</v>
      </c>
      <c r="DN294">
        <v>0</v>
      </c>
      <c r="DO294">
        <v>11</v>
      </c>
      <c r="DP294" t="s">
        <v>1010</v>
      </c>
      <c r="DQ294">
        <v>12</v>
      </c>
      <c r="DR294">
        <v>374</v>
      </c>
      <c r="DS294">
        <v>1094</v>
      </c>
      <c r="DT294">
        <v>5.3167</v>
      </c>
      <c r="DU294">
        <v>4</v>
      </c>
      <c r="DV294">
        <v>1</v>
      </c>
      <c r="DW294">
        <v>1</v>
      </c>
      <c r="DX294" t="s">
        <v>596</v>
      </c>
      <c r="DY294" t="s">
        <v>6676</v>
      </c>
      <c r="DZ294">
        <v>1</v>
      </c>
      <c r="EA294">
        <v>1</v>
      </c>
      <c r="EB294">
        <v>1</v>
      </c>
      <c r="EC294">
        <v>0</v>
      </c>
      <c r="ED294">
        <v>0</v>
      </c>
      <c r="EE294">
        <v>1</v>
      </c>
      <c r="EF294" t="s">
        <v>920</v>
      </c>
      <c r="EG294" t="s">
        <v>595</v>
      </c>
      <c r="EH294" t="s">
        <v>1036</v>
      </c>
      <c r="EI294" t="s">
        <v>1036</v>
      </c>
      <c r="EJ294" t="s">
        <v>134</v>
      </c>
      <c r="EK294">
        <v>9090</v>
      </c>
      <c r="EL294">
        <v>0</v>
      </c>
      <c r="EM294" t="s">
        <v>1011</v>
      </c>
      <c r="EN294">
        <v>1.9167000000000001</v>
      </c>
      <c r="EO294">
        <v>18.233333300000002</v>
      </c>
      <c r="EP294">
        <v>99991120</v>
      </c>
      <c r="EQ294" t="s">
        <v>874</v>
      </c>
      <c r="ER294" t="s">
        <v>875</v>
      </c>
      <c r="ES294" t="s">
        <v>876</v>
      </c>
      <c r="ET294" t="s">
        <v>877</v>
      </c>
      <c r="EU294" t="s">
        <v>877</v>
      </c>
      <c r="EV294" t="s">
        <v>920</v>
      </c>
      <c r="EX294" t="s">
        <v>953</v>
      </c>
      <c r="EY294" t="s">
        <v>1555</v>
      </c>
      <c r="EZ294" t="s">
        <v>1013</v>
      </c>
      <c r="FA294" t="s">
        <v>925</v>
      </c>
      <c r="FB294">
        <v>1</v>
      </c>
      <c r="FC294">
        <v>1</v>
      </c>
      <c r="FD294" s="41">
        <v>46172</v>
      </c>
      <c r="FE294" t="s">
        <v>1808</v>
      </c>
      <c r="FF294">
        <v>8</v>
      </c>
      <c r="FG294" t="s">
        <v>6685</v>
      </c>
      <c r="FH294" t="s">
        <v>6686</v>
      </c>
      <c r="FI294">
        <v>1</v>
      </c>
      <c r="FJ294" t="s">
        <v>6687</v>
      </c>
      <c r="FK294" t="s">
        <v>6686</v>
      </c>
      <c r="FL294">
        <v>1</v>
      </c>
      <c r="FM294" t="s">
        <v>6688</v>
      </c>
      <c r="FN294" t="s">
        <v>6689</v>
      </c>
      <c r="FO294">
        <v>1</v>
      </c>
      <c r="FP294" t="s">
        <v>6690</v>
      </c>
      <c r="FQ294" t="s">
        <v>6684</v>
      </c>
      <c r="FR294">
        <v>1</v>
      </c>
      <c r="FS294" t="s">
        <v>1934</v>
      </c>
      <c r="FT294" t="s">
        <v>6691</v>
      </c>
      <c r="FU294">
        <v>1</v>
      </c>
      <c r="FV294" t="s">
        <v>6692</v>
      </c>
      <c r="FW294" t="s">
        <v>6693</v>
      </c>
      <c r="FX294">
        <v>1</v>
      </c>
      <c r="FY294" t="s">
        <v>890</v>
      </c>
      <c r="FZ294" t="s">
        <v>6694</v>
      </c>
      <c r="GA294" t="s">
        <v>6687</v>
      </c>
      <c r="GB294">
        <v>1</v>
      </c>
      <c r="GC294" t="s">
        <v>6685</v>
      </c>
      <c r="GD294">
        <v>1</v>
      </c>
      <c r="GF294">
        <v>0</v>
      </c>
      <c r="GG294">
        <v>1</v>
      </c>
      <c r="GH294" t="s">
        <v>892</v>
      </c>
      <c r="GI294" t="s">
        <v>893</v>
      </c>
      <c r="GJ294" t="s">
        <v>6686</v>
      </c>
      <c r="GK294" t="s">
        <v>6686</v>
      </c>
      <c r="GM294">
        <v>1</v>
      </c>
      <c r="GN294">
        <v>1</v>
      </c>
      <c r="GO294">
        <v>0</v>
      </c>
      <c r="GP294">
        <v>1</v>
      </c>
      <c r="GQ294">
        <v>1</v>
      </c>
      <c r="GR294">
        <v>0</v>
      </c>
      <c r="GS294">
        <v>1</v>
      </c>
      <c r="GT294">
        <v>0</v>
      </c>
      <c r="GU294">
        <v>1</v>
      </c>
      <c r="GV294">
        <v>0</v>
      </c>
      <c r="GW294">
        <v>1</v>
      </c>
      <c r="GX294">
        <v>0</v>
      </c>
      <c r="GY294">
        <v>1</v>
      </c>
      <c r="GZ294">
        <v>0</v>
      </c>
      <c r="HA294" t="s">
        <v>279</v>
      </c>
      <c r="HB294" t="s">
        <v>894</v>
      </c>
      <c r="HC294" t="s">
        <v>935</v>
      </c>
      <c r="HD294" t="s">
        <v>845</v>
      </c>
      <c r="HE294" t="s">
        <v>900</v>
      </c>
      <c r="HF294" t="s">
        <v>1012</v>
      </c>
      <c r="HG294" t="s">
        <v>894</v>
      </c>
      <c r="HH294" t="s">
        <v>935</v>
      </c>
      <c r="HI294" t="s">
        <v>845</v>
      </c>
      <c r="HJ294" t="s">
        <v>900</v>
      </c>
      <c r="HK294" t="s">
        <v>1011</v>
      </c>
      <c r="HL294" t="s">
        <v>154</v>
      </c>
      <c r="HM294" t="s">
        <v>854</v>
      </c>
      <c r="HN294">
        <v>36805</v>
      </c>
      <c r="HP294" t="s">
        <v>134</v>
      </c>
      <c r="HQ294" t="s">
        <v>896</v>
      </c>
      <c r="HR294" t="s">
        <v>896</v>
      </c>
      <c r="HS294" t="s">
        <v>896</v>
      </c>
    </row>
    <row r="295" spans="1:227" x14ac:dyDescent="0.2">
      <c r="A295">
        <v>8702</v>
      </c>
      <c r="B295">
        <v>7608302491</v>
      </c>
      <c r="C295" t="s">
        <v>829</v>
      </c>
      <c r="D295" t="s">
        <v>830</v>
      </c>
      <c r="E295" t="s">
        <v>831</v>
      </c>
      <c r="F295">
        <v>1</v>
      </c>
      <c r="G295" t="s">
        <v>6695</v>
      </c>
      <c r="H295" t="s">
        <v>6695</v>
      </c>
      <c r="I295">
        <v>0</v>
      </c>
      <c r="J295" t="s">
        <v>833</v>
      </c>
      <c r="K295" t="s">
        <v>834</v>
      </c>
      <c r="L295">
        <v>156586321</v>
      </c>
      <c r="M295" t="s">
        <v>6696</v>
      </c>
      <c r="N295" t="s">
        <v>836</v>
      </c>
      <c r="O295" t="s">
        <v>837</v>
      </c>
      <c r="P295" t="s">
        <v>838</v>
      </c>
      <c r="Q295" t="s">
        <v>839</v>
      </c>
      <c r="R295" t="s">
        <v>6697</v>
      </c>
      <c r="S295" t="s">
        <v>6698</v>
      </c>
      <c r="T295">
        <v>41477074532</v>
      </c>
      <c r="V295" t="s">
        <v>1003</v>
      </c>
      <c r="W295" s="41">
        <v>46105</v>
      </c>
      <c r="X295" t="s">
        <v>6699</v>
      </c>
      <c r="Y295" t="s">
        <v>6700</v>
      </c>
      <c r="AA295">
        <v>0</v>
      </c>
      <c r="AB295" t="s">
        <v>845</v>
      </c>
      <c r="AC295" t="s">
        <v>846</v>
      </c>
      <c r="AD295" t="s">
        <v>1113</v>
      </c>
      <c r="AE295" t="s">
        <v>1114</v>
      </c>
      <c r="AF295">
        <v>1</v>
      </c>
      <c r="AG295">
        <v>452210</v>
      </c>
      <c r="AH295" t="s">
        <v>849</v>
      </c>
      <c r="AI295" t="s">
        <v>850</v>
      </c>
      <c r="AJ295" t="s">
        <v>851</v>
      </c>
      <c r="AK295" t="s">
        <v>437</v>
      </c>
      <c r="AL295" t="s">
        <v>4748</v>
      </c>
      <c r="AM295" t="s">
        <v>1059</v>
      </c>
      <c r="AN295" t="s">
        <v>854</v>
      </c>
      <c r="AO295">
        <v>36805</v>
      </c>
      <c r="AP295">
        <v>638</v>
      </c>
      <c r="AQ295" t="s">
        <v>855</v>
      </c>
      <c r="AR295">
        <v>66388974</v>
      </c>
      <c r="AS295" t="s">
        <v>856</v>
      </c>
      <c r="AU295" t="s">
        <v>6701</v>
      </c>
      <c r="AV295" t="s">
        <v>6702</v>
      </c>
      <c r="AX295" t="s">
        <v>913</v>
      </c>
      <c r="AY295" t="s">
        <v>861</v>
      </c>
      <c r="AZ295" t="s">
        <v>437</v>
      </c>
      <c r="BA295" t="s">
        <v>438</v>
      </c>
      <c r="BB295">
        <v>0</v>
      </c>
      <c r="BC295">
        <v>0</v>
      </c>
      <c r="BD295">
        <v>1</v>
      </c>
      <c r="BE295" t="s">
        <v>6696</v>
      </c>
      <c r="BF295">
        <v>0</v>
      </c>
      <c r="BG295">
        <v>0</v>
      </c>
      <c r="BH295" t="s">
        <v>862</v>
      </c>
      <c r="BI295">
        <v>0</v>
      </c>
      <c r="BJ295" t="s">
        <v>862</v>
      </c>
      <c r="BK295">
        <v>1</v>
      </c>
      <c r="BL295">
        <v>1</v>
      </c>
      <c r="BM295">
        <v>0</v>
      </c>
      <c r="BN295" t="s">
        <v>596</v>
      </c>
      <c r="BO295">
        <v>156586321</v>
      </c>
      <c r="BP295" t="s">
        <v>6695</v>
      </c>
      <c r="BQ295">
        <v>40.482976800000003</v>
      </c>
      <c r="BR295">
        <v>42791770</v>
      </c>
      <c r="BS295">
        <v>-88.951737399999999</v>
      </c>
      <c r="BT295">
        <v>2</v>
      </c>
      <c r="BU295" t="s">
        <v>1715</v>
      </c>
      <c r="BY295">
        <v>16</v>
      </c>
      <c r="CA295">
        <v>4</v>
      </c>
      <c r="CE295">
        <v>1</v>
      </c>
      <c r="CI295">
        <v>11</v>
      </c>
      <c r="CJ295" t="s">
        <v>94</v>
      </c>
      <c r="CM295">
        <v>4010</v>
      </c>
      <c r="CO295">
        <v>7360</v>
      </c>
      <c r="CP295">
        <v>0.95</v>
      </c>
      <c r="CQ295">
        <v>0.95</v>
      </c>
      <c r="CR295">
        <v>0.41670000000000001</v>
      </c>
      <c r="CS295">
        <v>12</v>
      </c>
      <c r="CT295" t="s">
        <v>6703</v>
      </c>
      <c r="CU295" t="s">
        <v>6704</v>
      </c>
      <c r="CV295" t="s">
        <v>833</v>
      </c>
      <c r="CW295" t="s">
        <v>834</v>
      </c>
      <c r="CX295" t="s">
        <v>6696</v>
      </c>
      <c r="CY295">
        <v>1</v>
      </c>
      <c r="CZ295">
        <v>1</v>
      </c>
      <c r="DA295" t="s">
        <v>833</v>
      </c>
      <c r="DB295" t="s">
        <v>865</v>
      </c>
      <c r="DC295">
        <v>61704</v>
      </c>
      <c r="DD295">
        <v>4.0667</v>
      </c>
      <c r="DE295" t="s">
        <v>866</v>
      </c>
      <c r="DG295" t="s">
        <v>867</v>
      </c>
      <c r="DH295" t="s">
        <v>851</v>
      </c>
      <c r="DK295" t="s">
        <v>918</v>
      </c>
      <c r="DL295" t="s">
        <v>869</v>
      </c>
      <c r="DM295">
        <v>0</v>
      </c>
      <c r="DN295">
        <v>0</v>
      </c>
      <c r="DO295">
        <v>11</v>
      </c>
      <c r="DP295" t="s">
        <v>1010</v>
      </c>
      <c r="DQ295">
        <v>0</v>
      </c>
      <c r="DR295">
        <v>244</v>
      </c>
      <c r="DS295">
        <v>964</v>
      </c>
      <c r="DT295">
        <v>3.1166999999999998</v>
      </c>
      <c r="DU295">
        <v>0</v>
      </c>
      <c r="DV295">
        <v>1</v>
      </c>
      <c r="DW295">
        <v>2</v>
      </c>
      <c r="DX295" t="s">
        <v>596</v>
      </c>
      <c r="DY295" t="s">
        <v>6696</v>
      </c>
      <c r="DZ295">
        <v>1</v>
      </c>
      <c r="EA295">
        <v>1</v>
      </c>
      <c r="EB295">
        <v>1</v>
      </c>
      <c r="EC295">
        <v>1</v>
      </c>
      <c r="ED295">
        <v>1</v>
      </c>
      <c r="EE295">
        <v>1</v>
      </c>
      <c r="EF295" t="s">
        <v>920</v>
      </c>
      <c r="EG295" t="s">
        <v>595</v>
      </c>
      <c r="EH295" t="s">
        <v>921</v>
      </c>
      <c r="EI295" t="s">
        <v>921</v>
      </c>
      <c r="EJ295" t="s">
        <v>181</v>
      </c>
      <c r="EK295">
        <v>9090</v>
      </c>
      <c r="EL295">
        <v>0</v>
      </c>
      <c r="EM295" t="s">
        <v>1037</v>
      </c>
      <c r="EN295">
        <v>0.41670000000000001</v>
      </c>
      <c r="EO295">
        <v>16.066666699999999</v>
      </c>
      <c r="EP295">
        <v>99991120</v>
      </c>
      <c r="EQ295" t="s">
        <v>874</v>
      </c>
      <c r="ER295" t="s">
        <v>875</v>
      </c>
      <c r="ES295" t="s">
        <v>876</v>
      </c>
      <c r="ET295" t="s">
        <v>877</v>
      </c>
      <c r="EU295" t="s">
        <v>877</v>
      </c>
      <c r="EV295" t="s">
        <v>920</v>
      </c>
      <c r="EX295" t="s">
        <v>836</v>
      </c>
      <c r="EY295" t="s">
        <v>873</v>
      </c>
      <c r="EZ295" t="s">
        <v>1065</v>
      </c>
      <c r="FA295" t="s">
        <v>879</v>
      </c>
      <c r="FB295">
        <v>1</v>
      </c>
      <c r="FC295">
        <v>1</v>
      </c>
      <c r="FD295" s="41">
        <v>46109</v>
      </c>
      <c r="FE295" t="s">
        <v>1719</v>
      </c>
      <c r="FF295">
        <v>5</v>
      </c>
      <c r="FI295">
        <v>0</v>
      </c>
      <c r="FJ295" t="s">
        <v>6705</v>
      </c>
      <c r="FK295" t="s">
        <v>6706</v>
      </c>
      <c r="FL295">
        <v>1</v>
      </c>
      <c r="FM295" t="s">
        <v>6707</v>
      </c>
      <c r="FN295" t="s">
        <v>6708</v>
      </c>
      <c r="FO295">
        <v>1</v>
      </c>
      <c r="FP295" t="s">
        <v>6709</v>
      </c>
      <c r="FQ295" t="s">
        <v>6704</v>
      </c>
      <c r="FR295">
        <v>1</v>
      </c>
      <c r="FS295" t="s">
        <v>4758</v>
      </c>
      <c r="FT295" t="s">
        <v>6710</v>
      </c>
      <c r="FU295">
        <v>1</v>
      </c>
      <c r="FV295" t="s">
        <v>6711</v>
      </c>
      <c r="FW295" t="s">
        <v>6706</v>
      </c>
      <c r="FX295">
        <v>1</v>
      </c>
      <c r="FY295" t="s">
        <v>890</v>
      </c>
      <c r="FZ295" t="s">
        <v>6712</v>
      </c>
      <c r="GA295" t="s">
        <v>6705</v>
      </c>
      <c r="GB295">
        <v>1</v>
      </c>
      <c r="GD295">
        <v>0</v>
      </c>
      <c r="GF295">
        <v>0</v>
      </c>
      <c r="GG295">
        <v>1</v>
      </c>
      <c r="GH295" t="s">
        <v>892</v>
      </c>
      <c r="GI295" t="s">
        <v>893</v>
      </c>
      <c r="GJ295" t="s">
        <v>6706</v>
      </c>
      <c r="GM295">
        <v>1</v>
      </c>
      <c r="GN295">
        <v>1</v>
      </c>
      <c r="GO295">
        <v>0</v>
      </c>
      <c r="GP295">
        <v>1</v>
      </c>
      <c r="GQ295">
        <v>1</v>
      </c>
      <c r="GR295">
        <v>0</v>
      </c>
      <c r="GS295">
        <v>1</v>
      </c>
      <c r="GT295">
        <v>0</v>
      </c>
      <c r="GU295">
        <v>1</v>
      </c>
      <c r="GV295">
        <v>0</v>
      </c>
      <c r="GW295">
        <v>1</v>
      </c>
      <c r="GX295">
        <v>0</v>
      </c>
      <c r="GY295">
        <v>1</v>
      </c>
      <c r="GZ295">
        <v>0</v>
      </c>
      <c r="HA295" t="s">
        <v>437</v>
      </c>
      <c r="HB295" t="s">
        <v>894</v>
      </c>
      <c r="HC295" t="s">
        <v>895</v>
      </c>
      <c r="HD295" t="s">
        <v>845</v>
      </c>
      <c r="HE295" t="s">
        <v>836</v>
      </c>
      <c r="HF295" t="s">
        <v>873</v>
      </c>
      <c r="HG295" t="s">
        <v>894</v>
      </c>
      <c r="HH295" t="s">
        <v>895</v>
      </c>
      <c r="HI295" t="s">
        <v>845</v>
      </c>
      <c r="HJ295" t="s">
        <v>836</v>
      </c>
      <c r="HK295" t="s">
        <v>1037</v>
      </c>
      <c r="HL295" t="s">
        <v>1003</v>
      </c>
      <c r="HM295" t="s">
        <v>854</v>
      </c>
      <c r="HN295">
        <v>36805</v>
      </c>
      <c r="HP295" t="s">
        <v>181</v>
      </c>
      <c r="HQ295" t="s">
        <v>896</v>
      </c>
      <c r="HR295" t="s">
        <v>896</v>
      </c>
      <c r="HS295" t="s">
        <v>896</v>
      </c>
    </row>
    <row r="296" spans="1:227" x14ac:dyDescent="0.2">
      <c r="A296">
        <v>8702</v>
      </c>
      <c r="B296">
        <v>7534200412</v>
      </c>
      <c r="C296" t="s">
        <v>829</v>
      </c>
      <c r="D296" t="s">
        <v>830</v>
      </c>
      <c r="E296" t="s">
        <v>897</v>
      </c>
      <c r="F296">
        <v>1</v>
      </c>
      <c r="G296" t="s">
        <v>6713</v>
      </c>
      <c r="H296" t="s">
        <v>6713</v>
      </c>
      <c r="I296">
        <v>0</v>
      </c>
      <c r="J296" t="s">
        <v>833</v>
      </c>
      <c r="K296" t="s">
        <v>834</v>
      </c>
      <c r="L296">
        <v>156057609</v>
      </c>
      <c r="M296" t="s">
        <v>6714</v>
      </c>
      <c r="N296" t="s">
        <v>900</v>
      </c>
      <c r="O296" t="s">
        <v>837</v>
      </c>
      <c r="P296" t="s">
        <v>838</v>
      </c>
      <c r="Q296" t="s">
        <v>901</v>
      </c>
      <c r="R296" t="s">
        <v>6715</v>
      </c>
      <c r="S296" t="s">
        <v>6716</v>
      </c>
      <c r="T296">
        <v>41477085454</v>
      </c>
      <c r="V296" t="s">
        <v>206</v>
      </c>
      <c r="W296" s="41">
        <v>46000</v>
      </c>
      <c r="X296" t="s">
        <v>6717</v>
      </c>
      <c r="Y296" t="s">
        <v>6718</v>
      </c>
      <c r="AA296">
        <v>0</v>
      </c>
      <c r="AB296" t="s">
        <v>845</v>
      </c>
      <c r="AC296" t="s">
        <v>846</v>
      </c>
      <c r="AD296" t="s">
        <v>847</v>
      </c>
      <c r="AE296" t="s">
        <v>848</v>
      </c>
      <c r="AF296">
        <v>1</v>
      </c>
      <c r="AG296">
        <v>452210</v>
      </c>
      <c r="AH296" t="s">
        <v>849</v>
      </c>
      <c r="AI296" t="s">
        <v>850</v>
      </c>
      <c r="AJ296" t="s">
        <v>851</v>
      </c>
      <c r="AK296" t="s">
        <v>281</v>
      </c>
      <c r="AL296" t="s">
        <v>1407</v>
      </c>
      <c r="AM296" t="s">
        <v>4162</v>
      </c>
      <c r="AN296" t="s">
        <v>854</v>
      </c>
      <c r="AO296">
        <v>36805</v>
      </c>
      <c r="AP296">
        <v>645</v>
      </c>
      <c r="AQ296" t="s">
        <v>855</v>
      </c>
      <c r="AR296">
        <v>66237481</v>
      </c>
      <c r="AS296" t="s">
        <v>856</v>
      </c>
      <c r="AU296" t="s">
        <v>6719</v>
      </c>
      <c r="AV296" t="s">
        <v>6720</v>
      </c>
      <c r="AX296" t="s">
        <v>913</v>
      </c>
      <c r="AY296" t="s">
        <v>861</v>
      </c>
      <c r="AZ296" t="s">
        <v>281</v>
      </c>
      <c r="BA296" t="s">
        <v>282</v>
      </c>
      <c r="BB296">
        <v>0</v>
      </c>
      <c r="BC296">
        <v>0</v>
      </c>
      <c r="BD296">
        <v>0</v>
      </c>
      <c r="BE296" t="s">
        <v>6714</v>
      </c>
      <c r="BF296">
        <v>0</v>
      </c>
      <c r="BG296">
        <v>0</v>
      </c>
      <c r="BH296" t="s">
        <v>862</v>
      </c>
      <c r="BI296">
        <v>0</v>
      </c>
      <c r="BJ296" t="s">
        <v>862</v>
      </c>
      <c r="BK296">
        <v>1</v>
      </c>
      <c r="BL296">
        <v>1</v>
      </c>
      <c r="BM296">
        <v>0</v>
      </c>
      <c r="BN296" t="s">
        <v>596</v>
      </c>
      <c r="BO296">
        <v>156057609</v>
      </c>
      <c r="BP296" t="s">
        <v>6713</v>
      </c>
      <c r="BQ296">
        <v>42.544775000000001</v>
      </c>
      <c r="BR296">
        <v>42791778</v>
      </c>
      <c r="BS296">
        <v>-83.503713300000001</v>
      </c>
      <c r="BT296">
        <v>0</v>
      </c>
      <c r="CM296">
        <v>4010</v>
      </c>
      <c r="CO296">
        <v>7360</v>
      </c>
      <c r="CP296">
        <v>1.5166999999999999</v>
      </c>
      <c r="CQ296">
        <v>1.5166999999999999</v>
      </c>
      <c r="CR296">
        <v>0.5</v>
      </c>
      <c r="CS296">
        <v>1</v>
      </c>
      <c r="CT296" t="s">
        <v>6720</v>
      </c>
      <c r="CU296" t="s">
        <v>6719</v>
      </c>
      <c r="CV296" t="s">
        <v>833</v>
      </c>
      <c r="CW296" t="s">
        <v>834</v>
      </c>
      <c r="CX296" t="s">
        <v>6714</v>
      </c>
      <c r="CY296">
        <v>0</v>
      </c>
      <c r="CZ296">
        <v>0</v>
      </c>
      <c r="DA296" t="s">
        <v>833</v>
      </c>
      <c r="DB296" t="s">
        <v>865</v>
      </c>
      <c r="DC296">
        <v>48336</v>
      </c>
      <c r="DD296">
        <v>2.9167000000000001</v>
      </c>
      <c r="DE296" t="s">
        <v>866</v>
      </c>
      <c r="DG296" t="s">
        <v>867</v>
      </c>
      <c r="DH296" t="s">
        <v>851</v>
      </c>
      <c r="DL296" t="s">
        <v>869</v>
      </c>
      <c r="DM296">
        <v>0</v>
      </c>
      <c r="DN296">
        <v>0</v>
      </c>
      <c r="DO296">
        <v>3</v>
      </c>
      <c r="DP296" t="s">
        <v>919</v>
      </c>
      <c r="DQ296">
        <v>16</v>
      </c>
      <c r="DR296">
        <v>175</v>
      </c>
      <c r="DS296">
        <v>868</v>
      </c>
      <c r="DT296">
        <v>2.9167000000000001</v>
      </c>
      <c r="DU296">
        <v>4</v>
      </c>
      <c r="DW296">
        <v>2</v>
      </c>
      <c r="DX296" t="s">
        <v>596</v>
      </c>
      <c r="DY296" t="s">
        <v>6714</v>
      </c>
      <c r="DZ296">
        <v>1</v>
      </c>
      <c r="EA296">
        <v>1</v>
      </c>
      <c r="EB296">
        <v>1</v>
      </c>
      <c r="EC296">
        <v>1</v>
      </c>
      <c r="ED296">
        <v>1</v>
      </c>
      <c r="EE296">
        <v>1</v>
      </c>
      <c r="EF296" t="s">
        <v>920</v>
      </c>
      <c r="EG296" t="s">
        <v>595</v>
      </c>
      <c r="EH296" t="s">
        <v>921</v>
      </c>
      <c r="EI296" t="s">
        <v>921</v>
      </c>
      <c r="EJ296" t="s">
        <v>178</v>
      </c>
      <c r="EK296">
        <v>9090</v>
      </c>
      <c r="EL296">
        <v>0</v>
      </c>
      <c r="EM296" t="s">
        <v>952</v>
      </c>
      <c r="EN296">
        <v>0.5</v>
      </c>
      <c r="EO296">
        <v>14.4666666</v>
      </c>
      <c r="EP296">
        <v>99991120</v>
      </c>
      <c r="EQ296" t="s">
        <v>874</v>
      </c>
      <c r="ER296" t="s">
        <v>875</v>
      </c>
      <c r="ES296" t="s">
        <v>876</v>
      </c>
      <c r="ET296" t="s">
        <v>877</v>
      </c>
      <c r="EU296" t="s">
        <v>877</v>
      </c>
      <c r="EV296" t="s">
        <v>920</v>
      </c>
      <c r="EX296" t="s">
        <v>953</v>
      </c>
      <c r="EY296" t="s">
        <v>954</v>
      </c>
      <c r="EZ296" t="s">
        <v>955</v>
      </c>
      <c r="FA296" t="s">
        <v>956</v>
      </c>
      <c r="FB296">
        <v>1</v>
      </c>
      <c r="FC296">
        <v>1</v>
      </c>
      <c r="FD296" s="41">
        <v>46004</v>
      </c>
      <c r="FE296" t="s">
        <v>957</v>
      </c>
      <c r="FF296">
        <v>6</v>
      </c>
      <c r="FG296" t="s">
        <v>1417</v>
      </c>
      <c r="FH296" t="s">
        <v>6721</v>
      </c>
      <c r="FI296">
        <v>1</v>
      </c>
      <c r="FJ296" t="s">
        <v>6722</v>
      </c>
      <c r="FK296" t="s">
        <v>6723</v>
      </c>
      <c r="FL296">
        <v>1</v>
      </c>
      <c r="FM296" t="s">
        <v>6724</v>
      </c>
      <c r="FN296" t="s">
        <v>6725</v>
      </c>
      <c r="FO296">
        <v>1</v>
      </c>
      <c r="FP296" t="s">
        <v>6726</v>
      </c>
      <c r="FQ296" t="s">
        <v>6719</v>
      </c>
      <c r="FR296">
        <v>1</v>
      </c>
      <c r="FS296" t="s">
        <v>964</v>
      </c>
      <c r="FT296" t="s">
        <v>6727</v>
      </c>
      <c r="FU296">
        <v>1</v>
      </c>
      <c r="FV296" t="s">
        <v>966</v>
      </c>
      <c r="FW296" t="s">
        <v>6728</v>
      </c>
      <c r="FX296">
        <v>1</v>
      </c>
      <c r="FY296" t="s">
        <v>890</v>
      </c>
      <c r="FZ296" t="s">
        <v>6729</v>
      </c>
      <c r="GA296" t="s">
        <v>6722</v>
      </c>
      <c r="GB296">
        <v>1</v>
      </c>
      <c r="GD296">
        <v>0</v>
      </c>
      <c r="GF296">
        <v>0</v>
      </c>
      <c r="GG296">
        <v>1</v>
      </c>
      <c r="GH296" t="s">
        <v>892</v>
      </c>
      <c r="GI296" t="s">
        <v>893</v>
      </c>
      <c r="GJ296" t="s">
        <v>6723</v>
      </c>
      <c r="GM296">
        <v>1</v>
      </c>
      <c r="GN296">
        <v>1</v>
      </c>
      <c r="GO296">
        <v>0</v>
      </c>
      <c r="GP296">
        <v>1</v>
      </c>
      <c r="GQ296">
        <v>1</v>
      </c>
      <c r="GR296">
        <v>0</v>
      </c>
      <c r="GS296">
        <v>1</v>
      </c>
      <c r="GT296">
        <v>0</v>
      </c>
      <c r="GU296">
        <v>1</v>
      </c>
      <c r="GV296">
        <v>0</v>
      </c>
      <c r="GW296">
        <v>1</v>
      </c>
      <c r="GX296">
        <v>0</v>
      </c>
      <c r="GY296">
        <v>1</v>
      </c>
      <c r="GZ296">
        <v>0</v>
      </c>
      <c r="HA296" t="s">
        <v>281</v>
      </c>
      <c r="HB296" t="s">
        <v>894</v>
      </c>
      <c r="HC296" t="s">
        <v>935</v>
      </c>
      <c r="HD296" t="s">
        <v>845</v>
      </c>
      <c r="HE296" t="s">
        <v>900</v>
      </c>
      <c r="HF296" t="s">
        <v>923</v>
      </c>
      <c r="HG296" t="s">
        <v>894</v>
      </c>
      <c r="HH296" t="s">
        <v>935</v>
      </c>
      <c r="HI296" t="s">
        <v>845</v>
      </c>
      <c r="HJ296" t="s">
        <v>900</v>
      </c>
      <c r="HK296" t="s">
        <v>952</v>
      </c>
      <c r="HL296" t="s">
        <v>206</v>
      </c>
      <c r="HM296" t="s">
        <v>854</v>
      </c>
      <c r="HN296">
        <v>36805</v>
      </c>
      <c r="HP296" t="s">
        <v>178</v>
      </c>
      <c r="HQ296" t="s">
        <v>896</v>
      </c>
      <c r="HR296" t="s">
        <v>896</v>
      </c>
      <c r="HS296" t="s">
        <v>896</v>
      </c>
    </row>
    <row r="297" spans="1:227" x14ac:dyDescent="0.2">
      <c r="A297">
        <v>8702</v>
      </c>
      <c r="B297">
        <v>7523807289</v>
      </c>
      <c r="C297" t="s">
        <v>829</v>
      </c>
      <c r="D297" t="s">
        <v>830</v>
      </c>
      <c r="E297" t="s">
        <v>897</v>
      </c>
      <c r="F297">
        <v>0</v>
      </c>
      <c r="G297" t="s">
        <v>6730</v>
      </c>
      <c r="H297" t="s">
        <v>6730</v>
      </c>
      <c r="I297">
        <v>0</v>
      </c>
      <c r="J297" t="s">
        <v>833</v>
      </c>
      <c r="K297" t="s">
        <v>834</v>
      </c>
      <c r="L297">
        <v>153402680</v>
      </c>
      <c r="M297" t="s">
        <v>1136</v>
      </c>
      <c r="N297" t="s">
        <v>900</v>
      </c>
      <c r="O297" t="s">
        <v>837</v>
      </c>
      <c r="P297" t="s">
        <v>838</v>
      </c>
      <c r="Q297" t="s">
        <v>1279</v>
      </c>
      <c r="R297" t="s">
        <v>6731</v>
      </c>
      <c r="S297" t="s">
        <v>6732</v>
      </c>
      <c r="T297">
        <v>41477125989</v>
      </c>
      <c r="V297" t="s">
        <v>1141</v>
      </c>
      <c r="W297" s="41">
        <v>45896</v>
      </c>
      <c r="X297" t="s">
        <v>6733</v>
      </c>
      <c r="Y297" t="s">
        <v>6734</v>
      </c>
      <c r="AA297">
        <v>0</v>
      </c>
      <c r="AB297" t="s">
        <v>845</v>
      </c>
      <c r="AC297" t="s">
        <v>846</v>
      </c>
      <c r="AD297" t="s">
        <v>847</v>
      </c>
      <c r="AE297" t="s">
        <v>848</v>
      </c>
      <c r="AF297">
        <v>1</v>
      </c>
      <c r="AG297">
        <v>452210</v>
      </c>
      <c r="AH297" t="s">
        <v>849</v>
      </c>
      <c r="AI297" t="s">
        <v>850</v>
      </c>
      <c r="AJ297" t="s">
        <v>851</v>
      </c>
      <c r="AK297" t="s">
        <v>334</v>
      </c>
      <c r="AL297" t="s">
        <v>1145</v>
      </c>
      <c r="AM297" t="s">
        <v>1146</v>
      </c>
      <c r="AN297" t="s">
        <v>854</v>
      </c>
      <c r="AO297">
        <v>36805</v>
      </c>
      <c r="AP297">
        <v>926</v>
      </c>
      <c r="AQ297" t="s">
        <v>855</v>
      </c>
      <c r="AR297">
        <v>66088437</v>
      </c>
      <c r="AS297" t="s">
        <v>856</v>
      </c>
      <c r="AU297" t="s">
        <v>6735</v>
      </c>
      <c r="AV297" t="s">
        <v>6736</v>
      </c>
      <c r="AX297" t="s">
        <v>913</v>
      </c>
      <c r="AY297" t="s">
        <v>861</v>
      </c>
      <c r="AZ297" t="s">
        <v>334</v>
      </c>
      <c r="BA297" t="s">
        <v>335</v>
      </c>
      <c r="BB297">
        <v>0</v>
      </c>
      <c r="BC297">
        <v>0</v>
      </c>
      <c r="BD297">
        <v>0</v>
      </c>
      <c r="BE297" t="s">
        <v>1136</v>
      </c>
      <c r="BF297">
        <v>0</v>
      </c>
      <c r="BG297">
        <v>0</v>
      </c>
      <c r="BH297" t="s">
        <v>862</v>
      </c>
      <c r="BI297">
        <v>0</v>
      </c>
      <c r="BJ297" t="s">
        <v>862</v>
      </c>
      <c r="BK297">
        <v>1</v>
      </c>
      <c r="BL297">
        <v>1</v>
      </c>
      <c r="BM297">
        <v>0</v>
      </c>
      <c r="BN297" t="s">
        <v>596</v>
      </c>
      <c r="BO297">
        <v>153402680</v>
      </c>
      <c r="BP297" t="s">
        <v>6730</v>
      </c>
      <c r="BQ297">
        <v>40.144033800000003</v>
      </c>
      <c r="BR297">
        <v>42793651</v>
      </c>
      <c r="BS297">
        <v>-82.958872700000001</v>
      </c>
      <c r="BT297">
        <v>0</v>
      </c>
      <c r="CM297">
        <v>4010</v>
      </c>
      <c r="CO297">
        <v>7360</v>
      </c>
      <c r="CP297">
        <v>0.25</v>
      </c>
      <c r="CQ297">
        <v>0.25</v>
      </c>
      <c r="CR297">
        <v>0</v>
      </c>
      <c r="CS297">
        <v>2</v>
      </c>
      <c r="CT297" t="s">
        <v>6737</v>
      </c>
      <c r="CU297" t="s">
        <v>6738</v>
      </c>
      <c r="CV297" t="s">
        <v>833</v>
      </c>
      <c r="CW297" t="s">
        <v>834</v>
      </c>
      <c r="CX297" t="s">
        <v>1136</v>
      </c>
      <c r="CY297">
        <v>0</v>
      </c>
      <c r="CZ297">
        <v>0</v>
      </c>
      <c r="DA297" t="s">
        <v>833</v>
      </c>
      <c r="DB297" t="s">
        <v>865</v>
      </c>
      <c r="DC297">
        <v>43240</v>
      </c>
      <c r="DD297">
        <v>15.3667</v>
      </c>
      <c r="DE297" t="s">
        <v>866</v>
      </c>
      <c r="DG297" t="s">
        <v>867</v>
      </c>
      <c r="DH297" t="s">
        <v>851</v>
      </c>
      <c r="DI297" t="s">
        <v>1154</v>
      </c>
      <c r="DL297" t="s">
        <v>869</v>
      </c>
      <c r="DM297">
        <v>0</v>
      </c>
      <c r="DN297">
        <v>0</v>
      </c>
      <c r="DO297">
        <v>3</v>
      </c>
      <c r="DP297" t="s">
        <v>919</v>
      </c>
      <c r="DQ297">
        <v>16</v>
      </c>
      <c r="DR297">
        <v>922</v>
      </c>
      <c r="DS297">
        <v>1642</v>
      </c>
      <c r="DT297">
        <v>15.1167</v>
      </c>
      <c r="DU297">
        <v>4</v>
      </c>
      <c r="DW297">
        <v>2</v>
      </c>
      <c r="DX297" t="s">
        <v>596</v>
      </c>
      <c r="DY297" t="s">
        <v>1136</v>
      </c>
      <c r="DZ297">
        <v>1</v>
      </c>
      <c r="EA297">
        <v>1</v>
      </c>
      <c r="EB297">
        <v>1</v>
      </c>
      <c r="EC297">
        <v>0</v>
      </c>
      <c r="ED297">
        <v>0</v>
      </c>
      <c r="EE297">
        <v>1</v>
      </c>
      <c r="EF297" t="s">
        <v>920</v>
      </c>
      <c r="EG297" t="s">
        <v>595</v>
      </c>
      <c r="EH297" t="s">
        <v>921</v>
      </c>
      <c r="EI297" t="s">
        <v>921</v>
      </c>
      <c r="EJ297" t="s">
        <v>226</v>
      </c>
      <c r="EK297">
        <v>9090</v>
      </c>
      <c r="EL297">
        <v>0</v>
      </c>
      <c r="EM297" t="s">
        <v>1157</v>
      </c>
      <c r="EN297">
        <v>0</v>
      </c>
      <c r="EO297">
        <v>27.366666599999999</v>
      </c>
      <c r="EP297">
        <v>99991120</v>
      </c>
      <c r="EQ297" t="s">
        <v>874</v>
      </c>
      <c r="ER297" t="s">
        <v>875</v>
      </c>
      <c r="ES297" t="s">
        <v>876</v>
      </c>
      <c r="ET297" t="s">
        <v>877</v>
      </c>
      <c r="EU297" t="s">
        <v>877</v>
      </c>
      <c r="EV297" t="s">
        <v>920</v>
      </c>
      <c r="EX297" t="s">
        <v>953</v>
      </c>
      <c r="EY297" t="s">
        <v>986</v>
      </c>
      <c r="EZ297" t="s">
        <v>1158</v>
      </c>
      <c r="FA297" t="s">
        <v>925</v>
      </c>
      <c r="FB297">
        <v>1</v>
      </c>
      <c r="FC297">
        <v>1</v>
      </c>
      <c r="FD297" s="41">
        <v>45899</v>
      </c>
      <c r="FE297" t="s">
        <v>987</v>
      </c>
      <c r="FF297">
        <v>7</v>
      </c>
      <c r="FG297" t="s">
        <v>6739</v>
      </c>
      <c r="FH297" t="s">
        <v>6740</v>
      </c>
      <c r="FI297">
        <v>1</v>
      </c>
      <c r="FJ297" t="s">
        <v>6741</v>
      </c>
      <c r="FK297" t="s">
        <v>6742</v>
      </c>
      <c r="FL297">
        <v>1</v>
      </c>
      <c r="FM297" t="s">
        <v>1163</v>
      </c>
      <c r="FN297" t="s">
        <v>6743</v>
      </c>
      <c r="FO297">
        <v>1</v>
      </c>
      <c r="FP297" t="s">
        <v>6744</v>
      </c>
      <c r="FQ297" t="s">
        <v>6738</v>
      </c>
      <c r="FR297">
        <v>1</v>
      </c>
      <c r="FS297" t="s">
        <v>5999</v>
      </c>
      <c r="FT297" t="s">
        <v>6745</v>
      </c>
      <c r="FU297">
        <v>1</v>
      </c>
      <c r="FV297" t="s">
        <v>6001</v>
      </c>
      <c r="FW297" t="s">
        <v>6746</v>
      </c>
      <c r="FX297">
        <v>1</v>
      </c>
      <c r="FY297" t="s">
        <v>890</v>
      </c>
      <c r="FZ297" t="s">
        <v>6747</v>
      </c>
      <c r="GA297" t="s">
        <v>6741</v>
      </c>
      <c r="GB297">
        <v>1</v>
      </c>
      <c r="GD297">
        <v>0</v>
      </c>
      <c r="GF297">
        <v>0</v>
      </c>
      <c r="GG297">
        <v>1</v>
      </c>
      <c r="GH297" t="s">
        <v>892</v>
      </c>
      <c r="GI297" t="s">
        <v>893</v>
      </c>
      <c r="GJ297" t="s">
        <v>6742</v>
      </c>
      <c r="GM297">
        <v>1</v>
      </c>
      <c r="GN297">
        <v>1</v>
      </c>
      <c r="GO297">
        <v>0</v>
      </c>
      <c r="GP297">
        <v>1</v>
      </c>
      <c r="GQ297">
        <v>1</v>
      </c>
      <c r="GR297">
        <v>0</v>
      </c>
      <c r="GS297">
        <v>1</v>
      </c>
      <c r="GT297">
        <v>0</v>
      </c>
      <c r="GU297">
        <v>1</v>
      </c>
      <c r="GV297">
        <v>0</v>
      </c>
      <c r="GW297">
        <v>1</v>
      </c>
      <c r="GX297">
        <v>0</v>
      </c>
      <c r="GY297">
        <v>1</v>
      </c>
      <c r="GZ297">
        <v>0</v>
      </c>
      <c r="HA297" t="s">
        <v>334</v>
      </c>
      <c r="HB297" t="s">
        <v>894</v>
      </c>
      <c r="HC297" t="s">
        <v>935</v>
      </c>
      <c r="HD297" t="s">
        <v>845</v>
      </c>
      <c r="HE297" t="s">
        <v>900</v>
      </c>
      <c r="HF297" t="s">
        <v>923</v>
      </c>
      <c r="HG297" t="s">
        <v>894</v>
      </c>
      <c r="HH297" t="s">
        <v>935</v>
      </c>
      <c r="HI297" t="s">
        <v>845</v>
      </c>
      <c r="HJ297" t="s">
        <v>900</v>
      </c>
      <c r="HK297" t="s">
        <v>922</v>
      </c>
      <c r="HL297" t="s">
        <v>1141</v>
      </c>
      <c r="HM297" t="s">
        <v>854</v>
      </c>
      <c r="HN297">
        <v>36805</v>
      </c>
      <c r="HP297" t="s">
        <v>226</v>
      </c>
      <c r="HQ297" t="s">
        <v>896</v>
      </c>
      <c r="HR297" t="s">
        <v>896</v>
      </c>
      <c r="HS297" t="s">
        <v>896</v>
      </c>
    </row>
    <row r="298" spans="1:227" x14ac:dyDescent="0.2">
      <c r="A298">
        <v>8702</v>
      </c>
      <c r="B298">
        <v>7532302701</v>
      </c>
      <c r="C298" t="s">
        <v>829</v>
      </c>
      <c r="D298" t="s">
        <v>830</v>
      </c>
      <c r="E298" t="s">
        <v>897</v>
      </c>
      <c r="F298">
        <v>0</v>
      </c>
      <c r="G298" t="s">
        <v>6748</v>
      </c>
      <c r="H298" t="s">
        <v>6748</v>
      </c>
      <c r="I298">
        <v>0</v>
      </c>
      <c r="J298" t="s">
        <v>833</v>
      </c>
      <c r="K298" t="s">
        <v>834</v>
      </c>
      <c r="L298">
        <v>156046215</v>
      </c>
      <c r="M298" t="s">
        <v>971</v>
      </c>
      <c r="N298" t="s">
        <v>900</v>
      </c>
      <c r="O298" t="s">
        <v>837</v>
      </c>
      <c r="P298" t="s">
        <v>838</v>
      </c>
      <c r="Q298" t="s">
        <v>839</v>
      </c>
      <c r="R298" t="s">
        <v>6749</v>
      </c>
      <c r="S298" t="s">
        <v>6750</v>
      </c>
      <c r="T298">
        <v>41477124348</v>
      </c>
      <c r="V298" t="s">
        <v>208</v>
      </c>
      <c r="W298" s="41">
        <v>45982</v>
      </c>
      <c r="X298" t="s">
        <v>6751</v>
      </c>
      <c r="Y298" t="s">
        <v>6752</v>
      </c>
      <c r="Z298" t="s">
        <v>6753</v>
      </c>
      <c r="AA298">
        <v>0</v>
      </c>
      <c r="AB298" t="s">
        <v>845</v>
      </c>
      <c r="AC298" t="s">
        <v>846</v>
      </c>
      <c r="AD298" t="s">
        <v>847</v>
      </c>
      <c r="AE298" t="s">
        <v>848</v>
      </c>
      <c r="AF298">
        <v>1</v>
      </c>
      <c r="AG298">
        <v>452210</v>
      </c>
      <c r="AH298" t="s">
        <v>849</v>
      </c>
      <c r="AI298" t="s">
        <v>850</v>
      </c>
      <c r="AJ298" t="s">
        <v>851</v>
      </c>
      <c r="AK298" t="s">
        <v>330</v>
      </c>
      <c r="AL298" t="s">
        <v>2748</v>
      </c>
      <c r="AM298" t="s">
        <v>979</v>
      </c>
      <c r="AN298" t="s">
        <v>854</v>
      </c>
      <c r="AO298">
        <v>36805</v>
      </c>
      <c r="AP298">
        <v>647</v>
      </c>
      <c r="AQ298" t="s">
        <v>855</v>
      </c>
      <c r="AR298">
        <v>66212014</v>
      </c>
      <c r="AS298" t="s">
        <v>856</v>
      </c>
      <c r="AU298" t="s">
        <v>6754</v>
      </c>
      <c r="AV298" t="s">
        <v>6755</v>
      </c>
      <c r="AX298" t="s">
        <v>913</v>
      </c>
      <c r="AY298" t="s">
        <v>861</v>
      </c>
      <c r="AZ298" t="s">
        <v>330</v>
      </c>
      <c r="BA298" t="s">
        <v>331</v>
      </c>
      <c r="BB298">
        <v>0</v>
      </c>
      <c r="BC298">
        <v>0</v>
      </c>
      <c r="BD298">
        <v>0</v>
      </c>
      <c r="BE298" t="s">
        <v>971</v>
      </c>
      <c r="BF298">
        <v>0</v>
      </c>
      <c r="BG298">
        <v>0</v>
      </c>
      <c r="BH298" t="s">
        <v>862</v>
      </c>
      <c r="BI298">
        <v>0</v>
      </c>
      <c r="BJ298" t="s">
        <v>862</v>
      </c>
      <c r="BK298">
        <v>1</v>
      </c>
      <c r="BL298">
        <v>1</v>
      </c>
      <c r="BM298">
        <v>0</v>
      </c>
      <c r="BN298" t="s">
        <v>596</v>
      </c>
      <c r="BO298">
        <v>156046215</v>
      </c>
      <c r="BP298" t="s">
        <v>6748</v>
      </c>
      <c r="BR298">
        <v>42791779</v>
      </c>
      <c r="BT298">
        <v>1</v>
      </c>
      <c r="BU298" t="s">
        <v>1551</v>
      </c>
      <c r="CI298">
        <v>11</v>
      </c>
      <c r="CJ298" t="s">
        <v>94</v>
      </c>
      <c r="CM298">
        <v>4010</v>
      </c>
      <c r="CO298">
        <v>7360</v>
      </c>
      <c r="CP298">
        <v>0.2</v>
      </c>
      <c r="CQ298">
        <v>0.2</v>
      </c>
      <c r="CR298">
        <v>0</v>
      </c>
      <c r="CS298">
        <v>4</v>
      </c>
      <c r="CT298" t="s">
        <v>6756</v>
      </c>
      <c r="CU298" t="s">
        <v>6757</v>
      </c>
      <c r="CV298" t="s">
        <v>833</v>
      </c>
      <c r="CW298" t="s">
        <v>834</v>
      </c>
      <c r="CX298" t="s">
        <v>971</v>
      </c>
      <c r="CY298">
        <v>0</v>
      </c>
      <c r="CZ298">
        <v>0</v>
      </c>
      <c r="DA298" t="s">
        <v>833</v>
      </c>
      <c r="DB298" t="s">
        <v>865</v>
      </c>
      <c r="DC298">
        <v>49002</v>
      </c>
      <c r="DD298">
        <v>21.45</v>
      </c>
      <c r="DE298" t="s">
        <v>866</v>
      </c>
      <c r="DG298" t="s">
        <v>867</v>
      </c>
      <c r="DH298" t="s">
        <v>851</v>
      </c>
      <c r="DI298" t="s">
        <v>984</v>
      </c>
      <c r="DK298" t="s">
        <v>1155</v>
      </c>
      <c r="DL298" t="s">
        <v>869</v>
      </c>
      <c r="DM298">
        <v>0</v>
      </c>
      <c r="DN298">
        <v>0</v>
      </c>
      <c r="DO298">
        <v>2</v>
      </c>
      <c r="DP298" t="s">
        <v>870</v>
      </c>
      <c r="DQ298">
        <v>12</v>
      </c>
      <c r="DR298">
        <v>1287</v>
      </c>
      <c r="DS298">
        <v>2727</v>
      </c>
      <c r="DT298">
        <v>21.25</v>
      </c>
      <c r="DU298">
        <v>4</v>
      </c>
      <c r="DV298">
        <v>1</v>
      </c>
      <c r="DW298">
        <v>1</v>
      </c>
      <c r="DX298" t="s">
        <v>596</v>
      </c>
      <c r="DY298" t="s">
        <v>971</v>
      </c>
      <c r="DZ298">
        <v>0</v>
      </c>
      <c r="EA298">
        <v>0</v>
      </c>
      <c r="EB298">
        <v>1</v>
      </c>
      <c r="EC298">
        <v>0</v>
      </c>
      <c r="ED298">
        <v>0</v>
      </c>
      <c r="EE298">
        <v>1</v>
      </c>
      <c r="EF298" t="s">
        <v>871</v>
      </c>
      <c r="EG298" t="s">
        <v>595</v>
      </c>
      <c r="EH298" t="s">
        <v>1036</v>
      </c>
      <c r="EI298" t="s">
        <v>1036</v>
      </c>
      <c r="EJ298" t="s">
        <v>178</v>
      </c>
      <c r="EK298">
        <v>9090</v>
      </c>
      <c r="EL298">
        <v>0</v>
      </c>
      <c r="EM298" t="s">
        <v>922</v>
      </c>
      <c r="EN298">
        <v>0</v>
      </c>
      <c r="EO298">
        <v>45.45</v>
      </c>
      <c r="EP298">
        <v>99991120</v>
      </c>
      <c r="EQ298" t="s">
        <v>874</v>
      </c>
      <c r="ER298" t="s">
        <v>875</v>
      </c>
      <c r="ES298" t="s">
        <v>876</v>
      </c>
      <c r="ET298" t="s">
        <v>877</v>
      </c>
      <c r="EU298" t="s">
        <v>877</v>
      </c>
      <c r="EV298" t="s">
        <v>871</v>
      </c>
      <c r="EX298" t="s">
        <v>953</v>
      </c>
      <c r="EY298" t="s">
        <v>986</v>
      </c>
      <c r="EZ298" t="s">
        <v>924</v>
      </c>
      <c r="FA298" t="s">
        <v>925</v>
      </c>
      <c r="FB298">
        <v>1</v>
      </c>
      <c r="FC298">
        <v>1</v>
      </c>
      <c r="FD298" s="41">
        <v>45983</v>
      </c>
      <c r="FE298" t="s">
        <v>1438</v>
      </c>
      <c r="FF298">
        <v>6</v>
      </c>
      <c r="FG298" t="s">
        <v>6758</v>
      </c>
      <c r="FH298" t="s">
        <v>6759</v>
      </c>
      <c r="FI298">
        <v>1</v>
      </c>
      <c r="FJ298" t="s">
        <v>6760</v>
      </c>
      <c r="FK298" t="s">
        <v>6761</v>
      </c>
      <c r="FL298">
        <v>1</v>
      </c>
      <c r="FM298" t="s">
        <v>990</v>
      </c>
      <c r="FN298" t="s">
        <v>6762</v>
      </c>
      <c r="FO298">
        <v>1</v>
      </c>
      <c r="FP298" t="s">
        <v>6763</v>
      </c>
      <c r="FQ298" t="s">
        <v>6757</v>
      </c>
      <c r="FR298">
        <v>1</v>
      </c>
      <c r="FS298" t="s">
        <v>5981</v>
      </c>
      <c r="FT298" t="s">
        <v>6764</v>
      </c>
      <c r="FU298">
        <v>1</v>
      </c>
      <c r="FV298" t="s">
        <v>6765</v>
      </c>
      <c r="FW298" t="s">
        <v>6766</v>
      </c>
      <c r="FX298">
        <v>1</v>
      </c>
      <c r="FY298" t="s">
        <v>890</v>
      </c>
      <c r="FZ298" t="s">
        <v>6767</v>
      </c>
      <c r="GA298" t="s">
        <v>6760</v>
      </c>
      <c r="GB298">
        <v>1</v>
      </c>
      <c r="GD298">
        <v>0</v>
      </c>
      <c r="GF298">
        <v>0</v>
      </c>
      <c r="GG298">
        <v>1</v>
      </c>
      <c r="GH298" t="s">
        <v>892</v>
      </c>
      <c r="GI298" t="s">
        <v>893</v>
      </c>
      <c r="GJ298" t="s">
        <v>6761</v>
      </c>
      <c r="GM298">
        <v>1</v>
      </c>
      <c r="GN298">
        <v>1</v>
      </c>
      <c r="GO298">
        <v>0</v>
      </c>
      <c r="GP298">
        <v>1</v>
      </c>
      <c r="GQ298">
        <v>1</v>
      </c>
      <c r="GR298">
        <v>0</v>
      </c>
      <c r="GS298">
        <v>1</v>
      </c>
      <c r="GT298">
        <v>1</v>
      </c>
      <c r="GU298">
        <v>1</v>
      </c>
      <c r="GV298">
        <v>0</v>
      </c>
      <c r="GW298">
        <v>1</v>
      </c>
      <c r="GX298">
        <v>0</v>
      </c>
      <c r="GY298">
        <v>1</v>
      </c>
      <c r="GZ298">
        <v>0</v>
      </c>
      <c r="HA298" t="s">
        <v>330</v>
      </c>
      <c r="HB298" t="s">
        <v>894</v>
      </c>
      <c r="HC298" t="s">
        <v>935</v>
      </c>
      <c r="HD298" t="s">
        <v>845</v>
      </c>
      <c r="HE298" t="s">
        <v>900</v>
      </c>
      <c r="HF298" t="s">
        <v>923</v>
      </c>
      <c r="HG298" t="s">
        <v>894</v>
      </c>
      <c r="HH298" t="s">
        <v>935</v>
      </c>
      <c r="HI298" t="s">
        <v>845</v>
      </c>
      <c r="HJ298" t="s">
        <v>900</v>
      </c>
      <c r="HK298" t="s">
        <v>922</v>
      </c>
      <c r="HL298" t="s">
        <v>208</v>
      </c>
      <c r="HM298" t="s">
        <v>854</v>
      </c>
      <c r="HN298">
        <v>36805</v>
      </c>
      <c r="HO298">
        <v>1</v>
      </c>
      <c r="HP298" t="s">
        <v>178</v>
      </c>
      <c r="HQ298" t="s">
        <v>896</v>
      </c>
      <c r="HR298" t="s">
        <v>896</v>
      </c>
      <c r="HS298" t="s">
        <v>896</v>
      </c>
    </row>
    <row r="299" spans="1:227" x14ac:dyDescent="0.2">
      <c r="A299">
        <v>8702</v>
      </c>
      <c r="B299">
        <v>7521310692</v>
      </c>
      <c r="C299" t="s">
        <v>936</v>
      </c>
      <c r="D299" t="s">
        <v>937</v>
      </c>
      <c r="E299" t="s">
        <v>897</v>
      </c>
      <c r="F299">
        <v>1</v>
      </c>
      <c r="G299" t="s">
        <v>6768</v>
      </c>
      <c r="H299" t="s">
        <v>6768</v>
      </c>
      <c r="I299">
        <v>0</v>
      </c>
      <c r="J299" t="s">
        <v>833</v>
      </c>
      <c r="K299" t="s">
        <v>834</v>
      </c>
      <c r="L299">
        <v>152946682</v>
      </c>
      <c r="M299" t="s">
        <v>6769</v>
      </c>
      <c r="N299" t="s">
        <v>900</v>
      </c>
      <c r="O299" t="s">
        <v>837</v>
      </c>
      <c r="P299" t="s">
        <v>940</v>
      </c>
      <c r="Q299" t="s">
        <v>941</v>
      </c>
      <c r="R299" t="s">
        <v>6770</v>
      </c>
      <c r="S299" t="s">
        <v>6771</v>
      </c>
      <c r="T299">
        <v>41477093182</v>
      </c>
      <c r="V299" t="s">
        <v>212</v>
      </c>
      <c r="W299" s="41">
        <v>45870</v>
      </c>
      <c r="X299" t="s">
        <v>6772</v>
      </c>
      <c r="Y299" t="s">
        <v>6773</v>
      </c>
      <c r="AA299">
        <v>0</v>
      </c>
      <c r="AB299" t="s">
        <v>845</v>
      </c>
      <c r="AC299" t="s">
        <v>846</v>
      </c>
      <c r="AD299" t="s">
        <v>847</v>
      </c>
      <c r="AE299" t="s">
        <v>848</v>
      </c>
      <c r="AF299">
        <v>1</v>
      </c>
      <c r="AG299">
        <v>452210</v>
      </c>
      <c r="AH299" t="s">
        <v>849</v>
      </c>
      <c r="AI299" t="s">
        <v>850</v>
      </c>
      <c r="AJ299" t="s">
        <v>851</v>
      </c>
      <c r="AK299" t="s">
        <v>283</v>
      </c>
      <c r="AL299" t="s">
        <v>2802</v>
      </c>
      <c r="AM299" t="s">
        <v>2689</v>
      </c>
      <c r="AN299" t="s">
        <v>854</v>
      </c>
      <c r="AO299">
        <v>36805</v>
      </c>
      <c r="AP299">
        <v>649</v>
      </c>
      <c r="AQ299" t="s">
        <v>855</v>
      </c>
      <c r="AR299">
        <v>66050833</v>
      </c>
      <c r="AS299" t="s">
        <v>856</v>
      </c>
      <c r="AU299" t="s">
        <v>6774</v>
      </c>
      <c r="AV299" t="s">
        <v>6775</v>
      </c>
      <c r="AW299" t="s">
        <v>950</v>
      </c>
      <c r="AX299" t="s">
        <v>951</v>
      </c>
      <c r="AY299" t="s">
        <v>861</v>
      </c>
      <c r="AZ299" t="s">
        <v>283</v>
      </c>
      <c r="BA299" t="s">
        <v>284</v>
      </c>
      <c r="BB299">
        <v>0</v>
      </c>
      <c r="BC299">
        <v>0</v>
      </c>
      <c r="BD299">
        <v>0</v>
      </c>
      <c r="BE299" t="s">
        <v>6769</v>
      </c>
      <c r="BF299">
        <v>0</v>
      </c>
      <c r="BG299">
        <v>0</v>
      </c>
      <c r="BH299" t="s">
        <v>862</v>
      </c>
      <c r="BI299">
        <v>0</v>
      </c>
      <c r="BJ299" t="s">
        <v>862</v>
      </c>
      <c r="BK299">
        <v>1</v>
      </c>
      <c r="BL299">
        <v>0</v>
      </c>
      <c r="BM299">
        <v>0</v>
      </c>
      <c r="BN299" t="s">
        <v>596</v>
      </c>
      <c r="BO299">
        <v>152946682</v>
      </c>
      <c r="BP299" t="s">
        <v>6768</v>
      </c>
      <c r="BQ299">
        <v>42.323540999999999</v>
      </c>
      <c r="BR299">
        <v>42791782</v>
      </c>
      <c r="BS299">
        <v>-83.469562300000007</v>
      </c>
      <c r="BT299">
        <v>0</v>
      </c>
      <c r="CM299">
        <v>4010</v>
      </c>
      <c r="CO299">
        <v>7360</v>
      </c>
      <c r="CP299">
        <v>1.25</v>
      </c>
      <c r="CQ299">
        <v>1.25</v>
      </c>
      <c r="CR299">
        <v>0.36670000000000003</v>
      </c>
      <c r="CS299">
        <v>3</v>
      </c>
      <c r="CT299" t="s">
        <v>6776</v>
      </c>
      <c r="CU299" t="s">
        <v>6777</v>
      </c>
      <c r="CV299" t="s">
        <v>833</v>
      </c>
      <c r="CW299" t="s">
        <v>834</v>
      </c>
      <c r="CX299" t="s">
        <v>6769</v>
      </c>
      <c r="CY299">
        <v>0</v>
      </c>
      <c r="CZ299">
        <v>0</v>
      </c>
      <c r="DA299" t="s">
        <v>833</v>
      </c>
      <c r="DB299" t="s">
        <v>865</v>
      </c>
      <c r="DC299">
        <v>48187</v>
      </c>
      <c r="DD299">
        <v>2.1166999999999998</v>
      </c>
      <c r="DE299" t="s">
        <v>866</v>
      </c>
      <c r="DG299" t="s">
        <v>867</v>
      </c>
      <c r="DH299" t="s">
        <v>851</v>
      </c>
      <c r="DI299" t="s">
        <v>3895</v>
      </c>
      <c r="DJ299" t="s">
        <v>6778</v>
      </c>
      <c r="DL299" t="s">
        <v>869</v>
      </c>
      <c r="DM299">
        <v>0</v>
      </c>
      <c r="DN299">
        <v>0</v>
      </c>
      <c r="DO299">
        <v>3</v>
      </c>
      <c r="DP299" t="s">
        <v>919</v>
      </c>
      <c r="DQ299">
        <v>16</v>
      </c>
      <c r="DR299">
        <v>127</v>
      </c>
      <c r="DS299">
        <v>127</v>
      </c>
      <c r="DT299">
        <v>0.86670000000000003</v>
      </c>
      <c r="DU299">
        <v>4</v>
      </c>
      <c r="DW299">
        <v>2</v>
      </c>
      <c r="DX299" t="s">
        <v>594</v>
      </c>
      <c r="DY299" t="s">
        <v>6769</v>
      </c>
      <c r="DZ299">
        <v>0</v>
      </c>
      <c r="EA299">
        <v>0</v>
      </c>
      <c r="EB299">
        <v>0</v>
      </c>
      <c r="EC299">
        <v>0</v>
      </c>
      <c r="ED299">
        <v>0</v>
      </c>
      <c r="EE299">
        <v>0</v>
      </c>
      <c r="EF299" t="s">
        <v>920</v>
      </c>
      <c r="EG299" t="s">
        <v>595</v>
      </c>
      <c r="EH299" t="s">
        <v>872</v>
      </c>
      <c r="EI299" t="s">
        <v>872</v>
      </c>
      <c r="EJ299" t="s">
        <v>178</v>
      </c>
      <c r="EK299">
        <v>9090</v>
      </c>
      <c r="EL299">
        <v>0</v>
      </c>
      <c r="EM299" t="s">
        <v>952</v>
      </c>
      <c r="EN299">
        <v>0.36670000000000003</v>
      </c>
      <c r="EO299">
        <v>2.1166665999999998</v>
      </c>
      <c r="EP299">
        <v>99991120</v>
      </c>
      <c r="EQ299" t="s">
        <v>874</v>
      </c>
      <c r="ER299" t="s">
        <v>875</v>
      </c>
      <c r="ES299" t="s">
        <v>876</v>
      </c>
      <c r="ET299" t="s">
        <v>877</v>
      </c>
      <c r="EU299" t="s">
        <v>877</v>
      </c>
      <c r="EV299" t="s">
        <v>920</v>
      </c>
      <c r="EX299" t="s">
        <v>953</v>
      </c>
      <c r="EY299" t="s">
        <v>954</v>
      </c>
      <c r="EZ299" t="s">
        <v>955</v>
      </c>
      <c r="FA299" t="s">
        <v>956</v>
      </c>
      <c r="FB299">
        <v>1</v>
      </c>
      <c r="FC299">
        <v>1</v>
      </c>
      <c r="FD299" s="41">
        <v>45871</v>
      </c>
      <c r="FE299" t="s">
        <v>987</v>
      </c>
      <c r="FF299">
        <v>5</v>
      </c>
      <c r="FI299">
        <v>0</v>
      </c>
      <c r="FJ299" t="s">
        <v>6779</v>
      </c>
      <c r="FK299" t="s">
        <v>6780</v>
      </c>
      <c r="FL299">
        <v>1</v>
      </c>
      <c r="FM299" t="s">
        <v>6781</v>
      </c>
      <c r="FN299" t="s">
        <v>6782</v>
      </c>
      <c r="FO299">
        <v>1</v>
      </c>
      <c r="FP299" t="s">
        <v>6783</v>
      </c>
      <c r="FQ299" t="s">
        <v>6777</v>
      </c>
      <c r="FR299">
        <v>1</v>
      </c>
      <c r="FS299" t="s">
        <v>964</v>
      </c>
      <c r="FT299" t="s">
        <v>6784</v>
      </c>
      <c r="FU299">
        <v>1</v>
      </c>
      <c r="FV299" t="s">
        <v>6785</v>
      </c>
      <c r="FW299" t="s">
        <v>6780</v>
      </c>
      <c r="FX299">
        <v>1</v>
      </c>
      <c r="FY299" t="s">
        <v>890</v>
      </c>
      <c r="FZ299" t="s">
        <v>6786</v>
      </c>
      <c r="GA299" t="s">
        <v>6779</v>
      </c>
      <c r="GB299">
        <v>1</v>
      </c>
      <c r="GD299">
        <v>0</v>
      </c>
      <c r="GF299">
        <v>0</v>
      </c>
      <c r="GG299">
        <v>1</v>
      </c>
      <c r="GH299" t="s">
        <v>892</v>
      </c>
      <c r="GI299" t="s">
        <v>893</v>
      </c>
      <c r="GJ299" t="s">
        <v>6780</v>
      </c>
      <c r="GM299">
        <v>1</v>
      </c>
      <c r="GN299">
        <v>1</v>
      </c>
      <c r="GO299">
        <v>0</v>
      </c>
      <c r="GP299">
        <v>1</v>
      </c>
      <c r="GQ299">
        <v>1</v>
      </c>
      <c r="GR299">
        <v>0</v>
      </c>
      <c r="GS299">
        <v>1</v>
      </c>
      <c r="GT299">
        <v>0</v>
      </c>
      <c r="GU299">
        <v>1</v>
      </c>
      <c r="GV299">
        <v>0</v>
      </c>
      <c r="GW299">
        <v>1</v>
      </c>
      <c r="GX299">
        <v>0</v>
      </c>
      <c r="GY299">
        <v>1</v>
      </c>
      <c r="GZ299">
        <v>0</v>
      </c>
      <c r="HA299" t="s">
        <v>283</v>
      </c>
      <c r="HB299" t="s">
        <v>894</v>
      </c>
      <c r="HC299" t="s">
        <v>935</v>
      </c>
      <c r="HD299" t="s">
        <v>845</v>
      </c>
      <c r="HE299" t="s">
        <v>900</v>
      </c>
      <c r="HF299" t="s">
        <v>923</v>
      </c>
      <c r="HG299" t="s">
        <v>894</v>
      </c>
      <c r="HH299" t="s">
        <v>935</v>
      </c>
      <c r="HI299" t="s">
        <v>845</v>
      </c>
      <c r="HJ299" t="s">
        <v>900</v>
      </c>
      <c r="HK299" t="s">
        <v>952</v>
      </c>
      <c r="HL299" t="s">
        <v>212</v>
      </c>
      <c r="HM299" t="s">
        <v>854</v>
      </c>
      <c r="HN299">
        <v>36805</v>
      </c>
      <c r="HP299" t="s">
        <v>178</v>
      </c>
      <c r="HQ299" t="s">
        <v>896</v>
      </c>
      <c r="HR299" t="s">
        <v>896</v>
      </c>
      <c r="HS299" t="s">
        <v>896</v>
      </c>
    </row>
    <row r="300" spans="1:227" x14ac:dyDescent="0.2">
      <c r="A300">
        <v>8702</v>
      </c>
      <c r="B300">
        <v>7609204761</v>
      </c>
      <c r="C300" t="s">
        <v>936</v>
      </c>
      <c r="D300" t="s">
        <v>937</v>
      </c>
      <c r="E300" t="s">
        <v>897</v>
      </c>
      <c r="F300">
        <v>1</v>
      </c>
      <c r="G300" t="s">
        <v>6787</v>
      </c>
      <c r="H300" t="s">
        <v>6787</v>
      </c>
      <c r="I300">
        <v>0</v>
      </c>
      <c r="J300" t="s">
        <v>833</v>
      </c>
      <c r="K300" t="s">
        <v>834</v>
      </c>
      <c r="L300">
        <v>153517107</v>
      </c>
      <c r="M300" t="s">
        <v>2157</v>
      </c>
      <c r="N300" t="s">
        <v>900</v>
      </c>
      <c r="O300" t="s">
        <v>837</v>
      </c>
      <c r="P300" t="s">
        <v>940</v>
      </c>
      <c r="Q300" t="s">
        <v>1080</v>
      </c>
      <c r="R300" t="s">
        <v>6788</v>
      </c>
      <c r="S300" t="s">
        <v>6789</v>
      </c>
      <c r="T300">
        <v>41477061773</v>
      </c>
      <c r="V300" t="s">
        <v>138</v>
      </c>
      <c r="W300" s="41">
        <v>46114</v>
      </c>
      <c r="X300" t="s">
        <v>6790</v>
      </c>
      <c r="Y300" t="s">
        <v>6791</v>
      </c>
      <c r="AA300">
        <v>0</v>
      </c>
      <c r="AB300" t="s">
        <v>845</v>
      </c>
      <c r="AC300" t="s">
        <v>846</v>
      </c>
      <c r="AD300" t="s">
        <v>1113</v>
      </c>
      <c r="AE300" t="s">
        <v>1114</v>
      </c>
      <c r="AF300">
        <v>1</v>
      </c>
      <c r="AG300">
        <v>452210</v>
      </c>
      <c r="AH300" t="s">
        <v>849</v>
      </c>
      <c r="AI300" t="s">
        <v>850</v>
      </c>
      <c r="AJ300" t="s">
        <v>851</v>
      </c>
      <c r="AK300" t="s">
        <v>293</v>
      </c>
      <c r="AL300" t="s">
        <v>1574</v>
      </c>
      <c r="AM300" t="s">
        <v>1575</v>
      </c>
      <c r="AN300" t="s">
        <v>854</v>
      </c>
      <c r="AO300">
        <v>36805</v>
      </c>
      <c r="AP300">
        <v>524</v>
      </c>
      <c r="AQ300" t="s">
        <v>855</v>
      </c>
      <c r="AR300">
        <v>66402247</v>
      </c>
      <c r="AS300" t="s">
        <v>856</v>
      </c>
      <c r="AU300" t="s">
        <v>6792</v>
      </c>
      <c r="AV300" t="s">
        <v>6793</v>
      </c>
      <c r="AX300" t="s">
        <v>913</v>
      </c>
      <c r="AY300" t="s">
        <v>861</v>
      </c>
      <c r="AZ300" t="s">
        <v>293</v>
      </c>
      <c r="BA300" t="s">
        <v>294</v>
      </c>
      <c r="BB300">
        <v>0</v>
      </c>
      <c r="BC300">
        <v>0</v>
      </c>
      <c r="BD300">
        <v>0</v>
      </c>
      <c r="BE300" t="s">
        <v>2157</v>
      </c>
      <c r="BF300">
        <v>0</v>
      </c>
      <c r="BG300">
        <v>0</v>
      </c>
      <c r="BH300" t="s">
        <v>862</v>
      </c>
      <c r="BI300">
        <v>0</v>
      </c>
      <c r="BJ300" t="s">
        <v>862</v>
      </c>
      <c r="BK300">
        <v>1</v>
      </c>
      <c r="BL300">
        <v>1</v>
      </c>
      <c r="BM300">
        <v>0</v>
      </c>
      <c r="BN300" t="s">
        <v>596</v>
      </c>
      <c r="BO300">
        <v>153517107</v>
      </c>
      <c r="BP300" t="s">
        <v>6787</v>
      </c>
      <c r="BQ300">
        <v>41.1325298</v>
      </c>
      <c r="BR300">
        <v>42791434</v>
      </c>
      <c r="BS300">
        <v>-85.135221200000004</v>
      </c>
      <c r="BT300">
        <v>2</v>
      </c>
      <c r="BU300" t="s">
        <v>1119</v>
      </c>
      <c r="BY300">
        <v>16</v>
      </c>
      <c r="CA300">
        <v>4</v>
      </c>
      <c r="CE300">
        <v>1</v>
      </c>
      <c r="CI300">
        <v>11</v>
      </c>
      <c r="CJ300" t="s">
        <v>94</v>
      </c>
      <c r="CM300">
        <v>4010</v>
      </c>
      <c r="CO300">
        <v>7360</v>
      </c>
      <c r="CP300">
        <v>0.76670000000000005</v>
      </c>
      <c r="CQ300">
        <v>0.76670000000000005</v>
      </c>
      <c r="CR300">
        <v>1.0166999999999999</v>
      </c>
      <c r="CS300">
        <v>2</v>
      </c>
      <c r="CT300" t="s">
        <v>6793</v>
      </c>
      <c r="CU300" t="s">
        <v>6792</v>
      </c>
      <c r="CV300" t="s">
        <v>833</v>
      </c>
      <c r="CW300" t="s">
        <v>834</v>
      </c>
      <c r="CX300" t="s">
        <v>2157</v>
      </c>
      <c r="CY300">
        <v>0</v>
      </c>
      <c r="CZ300">
        <v>0</v>
      </c>
      <c r="DA300" t="s">
        <v>833</v>
      </c>
      <c r="DB300" t="s">
        <v>865</v>
      </c>
      <c r="DC300">
        <v>46805</v>
      </c>
      <c r="DD300">
        <v>3.7</v>
      </c>
      <c r="DE300" t="s">
        <v>866</v>
      </c>
      <c r="DG300" t="s">
        <v>867</v>
      </c>
      <c r="DH300" t="s">
        <v>851</v>
      </c>
      <c r="DI300" t="s">
        <v>2164</v>
      </c>
      <c r="DK300" t="s">
        <v>918</v>
      </c>
      <c r="DL300" t="s">
        <v>869</v>
      </c>
      <c r="DM300">
        <v>0</v>
      </c>
      <c r="DN300">
        <v>0</v>
      </c>
      <c r="DO300">
        <v>3</v>
      </c>
      <c r="DP300" t="s">
        <v>919</v>
      </c>
      <c r="DQ300">
        <v>0</v>
      </c>
      <c r="DR300">
        <v>222</v>
      </c>
      <c r="DS300">
        <v>222</v>
      </c>
      <c r="DT300">
        <v>2.9333</v>
      </c>
      <c r="DU300">
        <v>0</v>
      </c>
      <c r="DV300">
        <v>1</v>
      </c>
      <c r="DW300">
        <v>2</v>
      </c>
      <c r="DX300" t="s">
        <v>596</v>
      </c>
      <c r="DY300" t="s">
        <v>2157</v>
      </c>
      <c r="DZ300">
        <v>1</v>
      </c>
      <c r="EA300">
        <v>1</v>
      </c>
      <c r="EB300">
        <v>1</v>
      </c>
      <c r="EC300">
        <v>1</v>
      </c>
      <c r="ED300">
        <v>1</v>
      </c>
      <c r="EE300">
        <v>1</v>
      </c>
      <c r="EF300" t="s">
        <v>920</v>
      </c>
      <c r="EG300" t="s">
        <v>595</v>
      </c>
      <c r="EH300" t="s">
        <v>921</v>
      </c>
      <c r="EI300" t="s">
        <v>921</v>
      </c>
      <c r="EJ300" t="s">
        <v>134</v>
      </c>
      <c r="EK300">
        <v>9090</v>
      </c>
      <c r="EL300">
        <v>0</v>
      </c>
      <c r="EM300" t="s">
        <v>1011</v>
      </c>
      <c r="EN300">
        <v>1.0166999999999999</v>
      </c>
      <c r="EO300">
        <v>3.7</v>
      </c>
      <c r="EP300">
        <v>99991120</v>
      </c>
      <c r="EQ300" t="s">
        <v>874</v>
      </c>
      <c r="ER300" t="s">
        <v>875</v>
      </c>
      <c r="ES300" t="s">
        <v>876</v>
      </c>
      <c r="ET300" t="s">
        <v>877</v>
      </c>
      <c r="EU300" t="s">
        <v>877</v>
      </c>
      <c r="EV300" t="s">
        <v>920</v>
      </c>
      <c r="EX300" t="s">
        <v>953</v>
      </c>
      <c r="EY300" t="s">
        <v>1555</v>
      </c>
      <c r="EZ300" t="s">
        <v>1578</v>
      </c>
      <c r="FA300" t="s">
        <v>879</v>
      </c>
      <c r="FB300">
        <v>1</v>
      </c>
      <c r="FC300">
        <v>1</v>
      </c>
      <c r="FD300" s="41">
        <v>46116</v>
      </c>
      <c r="FE300" t="s">
        <v>1123</v>
      </c>
      <c r="FF300">
        <v>4</v>
      </c>
      <c r="FI300">
        <v>0</v>
      </c>
      <c r="FL300">
        <v>0</v>
      </c>
      <c r="FM300" t="s">
        <v>2167</v>
      </c>
      <c r="FN300" t="s">
        <v>6794</v>
      </c>
      <c r="FO300">
        <v>1</v>
      </c>
      <c r="FP300" t="s">
        <v>6795</v>
      </c>
      <c r="FQ300" t="s">
        <v>6792</v>
      </c>
      <c r="FR300">
        <v>1</v>
      </c>
      <c r="FS300" t="s">
        <v>2171</v>
      </c>
      <c r="FT300" t="s">
        <v>6796</v>
      </c>
      <c r="FU300">
        <v>1</v>
      </c>
      <c r="FV300" t="s">
        <v>6797</v>
      </c>
      <c r="FW300" t="s">
        <v>6798</v>
      </c>
      <c r="FX300">
        <v>1</v>
      </c>
      <c r="FY300" t="s">
        <v>890</v>
      </c>
      <c r="FZ300" t="s">
        <v>6799</v>
      </c>
      <c r="GA300" t="s">
        <v>6797</v>
      </c>
      <c r="GB300">
        <v>1</v>
      </c>
      <c r="GD300">
        <v>0</v>
      </c>
      <c r="GF300">
        <v>0</v>
      </c>
      <c r="GG300">
        <v>1</v>
      </c>
      <c r="GH300" t="s">
        <v>892</v>
      </c>
      <c r="GI300" t="s">
        <v>893</v>
      </c>
      <c r="GJ300" t="s">
        <v>6798</v>
      </c>
      <c r="GM300">
        <v>1</v>
      </c>
      <c r="GN300">
        <v>1</v>
      </c>
      <c r="GO300">
        <v>0</v>
      </c>
      <c r="GP300">
        <v>1</v>
      </c>
      <c r="GQ300">
        <v>1</v>
      </c>
      <c r="GR300">
        <v>0</v>
      </c>
      <c r="GS300">
        <v>1</v>
      </c>
      <c r="GT300">
        <v>0</v>
      </c>
      <c r="GU300">
        <v>1</v>
      </c>
      <c r="GV300">
        <v>0</v>
      </c>
      <c r="GW300">
        <v>1</v>
      </c>
      <c r="GX300">
        <v>0</v>
      </c>
      <c r="GY300">
        <v>1</v>
      </c>
      <c r="GZ300">
        <v>0</v>
      </c>
      <c r="HA300" t="s">
        <v>293</v>
      </c>
      <c r="HB300" t="s">
        <v>894</v>
      </c>
      <c r="HC300" t="s">
        <v>935</v>
      </c>
      <c r="HD300" t="s">
        <v>845</v>
      </c>
      <c r="HE300" t="s">
        <v>900</v>
      </c>
      <c r="HF300" t="s">
        <v>1012</v>
      </c>
      <c r="HG300" t="s">
        <v>894</v>
      </c>
      <c r="HH300" t="s">
        <v>935</v>
      </c>
      <c r="HI300" t="s">
        <v>845</v>
      </c>
      <c r="HJ300" t="s">
        <v>900</v>
      </c>
      <c r="HK300" t="s">
        <v>1011</v>
      </c>
      <c r="HL300" t="s">
        <v>138</v>
      </c>
      <c r="HM300" t="s">
        <v>854</v>
      </c>
      <c r="HN300">
        <v>36805</v>
      </c>
      <c r="HP300" t="s">
        <v>134</v>
      </c>
      <c r="HQ300" t="s">
        <v>896</v>
      </c>
      <c r="HR300" t="s">
        <v>896</v>
      </c>
      <c r="HS300" t="s">
        <v>896</v>
      </c>
    </row>
    <row r="301" spans="1:227" x14ac:dyDescent="0.2">
      <c r="A301">
        <v>8702</v>
      </c>
      <c r="B301">
        <v>7607600346</v>
      </c>
      <c r="C301">
        <v>82</v>
      </c>
      <c r="D301" t="s">
        <v>969</v>
      </c>
      <c r="E301" t="s">
        <v>897</v>
      </c>
      <c r="F301">
        <v>0</v>
      </c>
      <c r="G301" t="s">
        <v>6800</v>
      </c>
      <c r="H301" t="s">
        <v>6800</v>
      </c>
      <c r="I301">
        <v>0</v>
      </c>
      <c r="J301" t="s">
        <v>833</v>
      </c>
      <c r="K301" t="s">
        <v>834</v>
      </c>
      <c r="L301">
        <v>153524612</v>
      </c>
      <c r="M301" t="s">
        <v>4392</v>
      </c>
      <c r="N301" t="s">
        <v>900</v>
      </c>
      <c r="O301" t="s">
        <v>837</v>
      </c>
      <c r="P301" t="s">
        <v>4311</v>
      </c>
      <c r="Q301" t="s">
        <v>4312</v>
      </c>
      <c r="R301" t="s">
        <v>6801</v>
      </c>
      <c r="S301" t="s">
        <v>6802</v>
      </c>
      <c r="T301">
        <v>41477124629</v>
      </c>
      <c r="V301" t="s">
        <v>128</v>
      </c>
      <c r="W301" s="41">
        <v>46100</v>
      </c>
      <c r="X301" t="s">
        <v>6803</v>
      </c>
      <c r="Y301" t="s">
        <v>6804</v>
      </c>
      <c r="AA301">
        <v>0</v>
      </c>
      <c r="AB301" t="s">
        <v>845</v>
      </c>
      <c r="AC301" t="s">
        <v>846</v>
      </c>
      <c r="AD301" t="s">
        <v>1113</v>
      </c>
      <c r="AE301" t="s">
        <v>1114</v>
      </c>
      <c r="AF301">
        <v>1</v>
      </c>
      <c r="AG301">
        <v>452210</v>
      </c>
      <c r="AH301" t="s">
        <v>849</v>
      </c>
      <c r="AI301" t="s">
        <v>850</v>
      </c>
      <c r="AJ301" t="s">
        <v>851</v>
      </c>
      <c r="AK301" t="s">
        <v>269</v>
      </c>
      <c r="AL301" t="s">
        <v>2928</v>
      </c>
      <c r="AM301" t="s">
        <v>4398</v>
      </c>
      <c r="AN301" t="s">
        <v>854</v>
      </c>
      <c r="AO301">
        <v>36805</v>
      </c>
      <c r="AP301">
        <v>498</v>
      </c>
      <c r="AQ301" t="s">
        <v>855</v>
      </c>
      <c r="AR301">
        <v>66381989</v>
      </c>
      <c r="AS301" t="s">
        <v>856</v>
      </c>
      <c r="AU301" t="s">
        <v>6805</v>
      </c>
      <c r="AV301" t="s">
        <v>6806</v>
      </c>
      <c r="AX301" t="s">
        <v>913</v>
      </c>
      <c r="AY301" t="s">
        <v>861</v>
      </c>
      <c r="AZ301" t="s">
        <v>269</v>
      </c>
      <c r="BA301" t="s">
        <v>270</v>
      </c>
      <c r="BB301">
        <v>1</v>
      </c>
      <c r="BC301">
        <v>0</v>
      </c>
      <c r="BD301">
        <v>0</v>
      </c>
      <c r="BE301" t="s">
        <v>4392</v>
      </c>
      <c r="BF301">
        <v>0</v>
      </c>
      <c r="BG301">
        <v>0</v>
      </c>
      <c r="BH301" t="s">
        <v>862</v>
      </c>
      <c r="BI301">
        <v>0</v>
      </c>
      <c r="BJ301" t="s">
        <v>862</v>
      </c>
      <c r="BK301">
        <v>1</v>
      </c>
      <c r="BL301">
        <v>1</v>
      </c>
      <c r="BM301">
        <v>0</v>
      </c>
      <c r="BN301" t="s">
        <v>596</v>
      </c>
      <c r="BO301">
        <v>153524612</v>
      </c>
      <c r="BP301" t="s">
        <v>6800</v>
      </c>
      <c r="BQ301">
        <v>40.688312400000001</v>
      </c>
      <c r="BR301">
        <v>42789131</v>
      </c>
      <c r="BS301">
        <v>-80.082307999999998</v>
      </c>
      <c r="BT301">
        <v>0</v>
      </c>
      <c r="BU301" t="s">
        <v>1715</v>
      </c>
      <c r="BY301">
        <v>16</v>
      </c>
      <c r="CA301">
        <v>22</v>
      </c>
      <c r="CE301">
        <v>0</v>
      </c>
      <c r="CI301">
        <v>11</v>
      </c>
      <c r="CJ301" t="s">
        <v>94</v>
      </c>
      <c r="CM301">
        <v>4010</v>
      </c>
      <c r="CO301">
        <v>7360</v>
      </c>
      <c r="CP301">
        <v>1.5166999999999999</v>
      </c>
      <c r="CQ301">
        <v>1.5166999999999999</v>
      </c>
      <c r="CR301">
        <v>2.4167000000000001</v>
      </c>
      <c r="CS301">
        <v>0</v>
      </c>
      <c r="CT301" t="s">
        <v>6807</v>
      </c>
      <c r="CU301" t="s">
        <v>6808</v>
      </c>
      <c r="CV301" t="s">
        <v>833</v>
      </c>
      <c r="CW301" t="s">
        <v>834</v>
      </c>
      <c r="CX301" t="s">
        <v>4392</v>
      </c>
      <c r="CY301">
        <v>1</v>
      </c>
      <c r="CZ301">
        <v>1</v>
      </c>
      <c r="DA301" t="s">
        <v>833</v>
      </c>
      <c r="DB301" t="s">
        <v>865</v>
      </c>
      <c r="DC301">
        <v>16066</v>
      </c>
      <c r="DD301">
        <v>22.366700000000002</v>
      </c>
      <c r="DE301" t="s">
        <v>866</v>
      </c>
      <c r="DG301" t="s">
        <v>867</v>
      </c>
      <c r="DH301" t="s">
        <v>851</v>
      </c>
      <c r="DI301" t="s">
        <v>1266</v>
      </c>
      <c r="DK301" t="s">
        <v>918</v>
      </c>
      <c r="DL301" t="s">
        <v>869</v>
      </c>
      <c r="DM301">
        <v>0</v>
      </c>
      <c r="DN301">
        <v>0</v>
      </c>
      <c r="DO301">
        <v>11</v>
      </c>
      <c r="DP301" t="s">
        <v>1010</v>
      </c>
      <c r="DQ301">
        <v>0</v>
      </c>
      <c r="DR301">
        <v>1342</v>
      </c>
      <c r="DS301">
        <v>2782</v>
      </c>
      <c r="DT301">
        <v>8.75</v>
      </c>
      <c r="DU301">
        <v>0</v>
      </c>
      <c r="DV301">
        <v>1</v>
      </c>
      <c r="DW301">
        <v>2</v>
      </c>
      <c r="DX301" t="s">
        <v>596</v>
      </c>
      <c r="DY301" t="s">
        <v>4392</v>
      </c>
      <c r="DZ301">
        <v>1</v>
      </c>
      <c r="EA301">
        <v>1</v>
      </c>
      <c r="EB301">
        <v>1</v>
      </c>
      <c r="EC301">
        <v>1</v>
      </c>
      <c r="ED301">
        <v>1</v>
      </c>
      <c r="EE301">
        <v>1</v>
      </c>
      <c r="EF301" t="s">
        <v>871</v>
      </c>
      <c r="EG301" t="s">
        <v>595</v>
      </c>
      <c r="EH301" t="s">
        <v>921</v>
      </c>
      <c r="EI301" t="s">
        <v>921</v>
      </c>
      <c r="EJ301" t="s">
        <v>124</v>
      </c>
      <c r="EK301">
        <v>9090</v>
      </c>
      <c r="EL301">
        <v>1</v>
      </c>
      <c r="EM301" t="s">
        <v>923</v>
      </c>
      <c r="EN301">
        <v>2.4167000000000001</v>
      </c>
      <c r="EO301">
        <v>46.366666700000003</v>
      </c>
      <c r="EP301">
        <v>99991120</v>
      </c>
      <c r="EQ301" t="s">
        <v>874</v>
      </c>
      <c r="ER301" t="s">
        <v>875</v>
      </c>
      <c r="ES301" t="s">
        <v>876</v>
      </c>
      <c r="ET301" t="s">
        <v>877</v>
      </c>
      <c r="EU301" t="s">
        <v>877</v>
      </c>
      <c r="EV301" t="s">
        <v>871</v>
      </c>
      <c r="EX301" t="s">
        <v>953</v>
      </c>
      <c r="EY301" t="s">
        <v>1292</v>
      </c>
      <c r="EZ301" t="s">
        <v>1293</v>
      </c>
      <c r="FA301" t="s">
        <v>925</v>
      </c>
      <c r="FB301">
        <v>1</v>
      </c>
      <c r="FC301">
        <v>2</v>
      </c>
      <c r="FD301" s="41">
        <v>46102</v>
      </c>
      <c r="FE301" t="s">
        <v>1719</v>
      </c>
      <c r="FF301">
        <v>10</v>
      </c>
      <c r="FG301" t="s">
        <v>2938</v>
      </c>
      <c r="FH301" t="s">
        <v>6809</v>
      </c>
      <c r="FI301">
        <v>1</v>
      </c>
      <c r="FJ301" t="s">
        <v>6810</v>
      </c>
      <c r="FK301" t="s">
        <v>6811</v>
      </c>
      <c r="FL301">
        <v>1</v>
      </c>
      <c r="FM301" t="s">
        <v>4403</v>
      </c>
      <c r="FN301" t="s">
        <v>6812</v>
      </c>
      <c r="FO301">
        <v>1</v>
      </c>
      <c r="FP301" t="s">
        <v>6813</v>
      </c>
      <c r="FQ301" t="s">
        <v>6808</v>
      </c>
      <c r="FR301">
        <v>1</v>
      </c>
      <c r="FS301" t="s">
        <v>4406</v>
      </c>
      <c r="FT301" t="s">
        <v>6814</v>
      </c>
      <c r="FU301">
        <v>1</v>
      </c>
      <c r="FV301" t="s">
        <v>6815</v>
      </c>
      <c r="FW301" t="s">
        <v>6816</v>
      </c>
      <c r="FX301">
        <v>1</v>
      </c>
      <c r="FY301" t="s">
        <v>890</v>
      </c>
      <c r="FZ301" t="s">
        <v>6817</v>
      </c>
      <c r="GA301" t="s">
        <v>6810</v>
      </c>
      <c r="GB301">
        <v>1</v>
      </c>
      <c r="GD301">
        <v>0</v>
      </c>
      <c r="GF301">
        <v>0</v>
      </c>
      <c r="GG301">
        <v>1</v>
      </c>
      <c r="GH301" t="s">
        <v>892</v>
      </c>
      <c r="GI301" t="s">
        <v>893</v>
      </c>
      <c r="GJ301" t="s">
        <v>6811</v>
      </c>
      <c r="GM301">
        <v>1</v>
      </c>
      <c r="GN301">
        <v>0</v>
      </c>
      <c r="GO301">
        <v>0</v>
      </c>
      <c r="GP301">
        <v>1</v>
      </c>
      <c r="GQ301">
        <v>1</v>
      </c>
      <c r="GR301">
        <v>0</v>
      </c>
      <c r="GS301">
        <v>1</v>
      </c>
      <c r="GT301">
        <v>0</v>
      </c>
      <c r="GU301">
        <v>1</v>
      </c>
      <c r="GV301">
        <v>0</v>
      </c>
      <c r="GW301">
        <v>1</v>
      </c>
      <c r="GX301">
        <v>0</v>
      </c>
      <c r="GY301">
        <v>1</v>
      </c>
      <c r="GZ301">
        <v>0</v>
      </c>
      <c r="HA301" t="s">
        <v>269</v>
      </c>
      <c r="HB301" t="s">
        <v>894</v>
      </c>
      <c r="HC301" t="s">
        <v>935</v>
      </c>
      <c r="HD301" t="s">
        <v>845</v>
      </c>
      <c r="HE301" t="s">
        <v>900</v>
      </c>
      <c r="HF301" t="s">
        <v>923</v>
      </c>
      <c r="HG301" t="s">
        <v>894</v>
      </c>
      <c r="HH301" t="s">
        <v>935</v>
      </c>
      <c r="HI301" t="s">
        <v>845</v>
      </c>
      <c r="HJ301" t="s">
        <v>900</v>
      </c>
      <c r="HK301" t="s">
        <v>923</v>
      </c>
      <c r="HL301" t="s">
        <v>128</v>
      </c>
      <c r="HM301" t="s">
        <v>854</v>
      </c>
      <c r="HN301">
        <v>36805</v>
      </c>
      <c r="HP301" t="s">
        <v>124</v>
      </c>
      <c r="HQ301" t="s">
        <v>896</v>
      </c>
      <c r="HR301" t="s">
        <v>896</v>
      </c>
      <c r="HS301" t="s">
        <v>896</v>
      </c>
    </row>
    <row r="302" spans="1:227" x14ac:dyDescent="0.2">
      <c r="A302">
        <v>8702</v>
      </c>
      <c r="B302">
        <v>7526000206</v>
      </c>
      <c r="C302" t="s">
        <v>936</v>
      </c>
      <c r="D302" t="s">
        <v>937</v>
      </c>
      <c r="E302" t="s">
        <v>831</v>
      </c>
      <c r="F302">
        <v>0</v>
      </c>
      <c r="G302" t="s">
        <v>6818</v>
      </c>
      <c r="H302" t="s">
        <v>6818</v>
      </c>
      <c r="I302">
        <v>0</v>
      </c>
      <c r="J302" t="s">
        <v>833</v>
      </c>
      <c r="K302" t="s">
        <v>834</v>
      </c>
      <c r="L302">
        <v>159073802</v>
      </c>
      <c r="M302" t="s">
        <v>1897</v>
      </c>
      <c r="N302" t="s">
        <v>836</v>
      </c>
      <c r="O302" t="s">
        <v>837</v>
      </c>
      <c r="P302" t="s">
        <v>940</v>
      </c>
      <c r="Q302" t="s">
        <v>1473</v>
      </c>
      <c r="R302" t="s">
        <v>6819</v>
      </c>
      <c r="S302" t="s">
        <v>6820</v>
      </c>
      <c r="T302">
        <v>41477093838</v>
      </c>
      <c r="V302" t="s">
        <v>214</v>
      </c>
      <c r="W302" s="41">
        <v>45918</v>
      </c>
      <c r="X302" t="s">
        <v>6821</v>
      </c>
      <c r="Y302" t="s">
        <v>6822</v>
      </c>
      <c r="AA302">
        <v>0</v>
      </c>
      <c r="AB302" t="s">
        <v>845</v>
      </c>
      <c r="AC302" t="s">
        <v>846</v>
      </c>
      <c r="AD302" t="s">
        <v>847</v>
      </c>
      <c r="AE302" t="s">
        <v>848</v>
      </c>
      <c r="AF302">
        <v>1</v>
      </c>
      <c r="AG302">
        <v>452210</v>
      </c>
      <c r="AH302" t="s">
        <v>849</v>
      </c>
      <c r="AI302" t="s">
        <v>850</v>
      </c>
      <c r="AJ302" t="s">
        <v>851</v>
      </c>
      <c r="AK302" t="s">
        <v>389</v>
      </c>
      <c r="AL302" t="s">
        <v>5840</v>
      </c>
      <c r="AM302" t="s">
        <v>1902</v>
      </c>
      <c r="AN302" t="s">
        <v>854</v>
      </c>
      <c r="AO302">
        <v>36805</v>
      </c>
      <c r="AP302">
        <v>701</v>
      </c>
      <c r="AQ302" t="s">
        <v>855</v>
      </c>
      <c r="AR302">
        <v>66119629</v>
      </c>
      <c r="AS302" t="s">
        <v>856</v>
      </c>
      <c r="AU302" t="s">
        <v>6823</v>
      </c>
      <c r="AV302" t="s">
        <v>6824</v>
      </c>
      <c r="AX302" t="s">
        <v>913</v>
      </c>
      <c r="AY302" t="s">
        <v>861</v>
      </c>
      <c r="AZ302" t="s">
        <v>389</v>
      </c>
      <c r="BA302" t="s">
        <v>390</v>
      </c>
      <c r="BB302">
        <v>0</v>
      </c>
      <c r="BC302">
        <v>0</v>
      </c>
      <c r="BD302">
        <v>0</v>
      </c>
      <c r="BE302" t="s">
        <v>1897</v>
      </c>
      <c r="BF302">
        <v>0</v>
      </c>
      <c r="BG302">
        <v>0</v>
      </c>
      <c r="BH302" t="s">
        <v>862</v>
      </c>
      <c r="BI302">
        <v>0</v>
      </c>
      <c r="BJ302" t="s">
        <v>862</v>
      </c>
      <c r="BK302">
        <v>1</v>
      </c>
      <c r="BL302">
        <v>1</v>
      </c>
      <c r="BM302">
        <v>0</v>
      </c>
      <c r="BN302" t="s">
        <v>596</v>
      </c>
      <c r="BO302">
        <v>159073802</v>
      </c>
      <c r="BP302" t="s">
        <v>6818</v>
      </c>
      <c r="BR302">
        <v>42791783</v>
      </c>
      <c r="BT302">
        <v>0</v>
      </c>
      <c r="CM302">
        <v>4010</v>
      </c>
      <c r="CO302">
        <v>7360</v>
      </c>
      <c r="CP302">
        <v>0.05</v>
      </c>
      <c r="CQ302">
        <v>0.05</v>
      </c>
      <c r="CR302">
        <v>0.26669999999999999</v>
      </c>
      <c r="CS302">
        <v>850</v>
      </c>
      <c r="CT302" t="s">
        <v>6825</v>
      </c>
      <c r="CU302" t="s">
        <v>6826</v>
      </c>
      <c r="CV302" t="s">
        <v>833</v>
      </c>
      <c r="CW302" t="s">
        <v>834</v>
      </c>
      <c r="CX302" t="s">
        <v>1897</v>
      </c>
      <c r="CY302">
        <v>0</v>
      </c>
      <c r="CZ302">
        <v>0</v>
      </c>
      <c r="DA302" t="s">
        <v>833</v>
      </c>
      <c r="DB302" t="s">
        <v>865</v>
      </c>
      <c r="DC302">
        <v>53202</v>
      </c>
      <c r="DD302">
        <v>5.55</v>
      </c>
      <c r="DE302" t="s">
        <v>866</v>
      </c>
      <c r="DG302" t="s">
        <v>867</v>
      </c>
      <c r="DH302" t="s">
        <v>851</v>
      </c>
      <c r="DI302" t="s">
        <v>1907</v>
      </c>
      <c r="DL302" t="s">
        <v>869</v>
      </c>
      <c r="DM302">
        <v>0</v>
      </c>
      <c r="DN302">
        <v>0</v>
      </c>
      <c r="DO302">
        <v>53</v>
      </c>
      <c r="DP302" t="s">
        <v>1156</v>
      </c>
      <c r="DQ302">
        <v>16</v>
      </c>
      <c r="DR302">
        <v>333</v>
      </c>
      <c r="DS302">
        <v>1053</v>
      </c>
      <c r="DT302">
        <v>5.5</v>
      </c>
      <c r="DU302">
        <v>4</v>
      </c>
      <c r="DW302">
        <v>2</v>
      </c>
      <c r="DX302" t="s">
        <v>596</v>
      </c>
      <c r="DY302" t="s">
        <v>1897</v>
      </c>
      <c r="DZ302">
        <v>1</v>
      </c>
      <c r="EA302">
        <v>1</v>
      </c>
      <c r="EB302">
        <v>1</v>
      </c>
      <c r="EC302">
        <v>0</v>
      </c>
      <c r="ED302">
        <v>0</v>
      </c>
      <c r="EE302">
        <v>1</v>
      </c>
      <c r="EF302" t="s">
        <v>871</v>
      </c>
      <c r="EG302" t="s">
        <v>595</v>
      </c>
      <c r="EH302" t="s">
        <v>921</v>
      </c>
      <c r="EI302" t="s">
        <v>921</v>
      </c>
      <c r="EJ302" t="s">
        <v>215</v>
      </c>
      <c r="EK302">
        <v>9090</v>
      </c>
      <c r="EL302">
        <v>0</v>
      </c>
      <c r="EM302" t="s">
        <v>873</v>
      </c>
      <c r="EN302">
        <v>0.26669999999999999</v>
      </c>
      <c r="EO302">
        <v>17.55</v>
      </c>
      <c r="EP302">
        <v>99991120</v>
      </c>
      <c r="EQ302" t="s">
        <v>874</v>
      </c>
      <c r="ER302" t="s">
        <v>875</v>
      </c>
      <c r="ES302" t="s">
        <v>876</v>
      </c>
      <c r="ET302" t="s">
        <v>877</v>
      </c>
      <c r="EU302" t="s">
        <v>877</v>
      </c>
      <c r="EV302" t="s">
        <v>871</v>
      </c>
      <c r="EX302" t="s">
        <v>836</v>
      </c>
      <c r="EY302" t="s">
        <v>873</v>
      </c>
      <c r="EZ302" t="s">
        <v>1807</v>
      </c>
      <c r="FA302" t="s">
        <v>925</v>
      </c>
      <c r="FB302">
        <v>1</v>
      </c>
      <c r="FC302">
        <v>1</v>
      </c>
      <c r="FD302" s="41">
        <v>45920</v>
      </c>
      <c r="FE302" t="s">
        <v>880</v>
      </c>
      <c r="FF302">
        <v>4</v>
      </c>
      <c r="FI302">
        <v>0</v>
      </c>
      <c r="FL302">
        <v>0</v>
      </c>
      <c r="FM302" t="s">
        <v>6827</v>
      </c>
      <c r="FN302" t="s">
        <v>6828</v>
      </c>
      <c r="FO302">
        <v>1</v>
      </c>
      <c r="FP302" t="s">
        <v>6829</v>
      </c>
      <c r="FQ302" t="s">
        <v>6826</v>
      </c>
      <c r="FR302">
        <v>1</v>
      </c>
      <c r="FS302" t="s">
        <v>2836</v>
      </c>
      <c r="FT302" t="s">
        <v>6830</v>
      </c>
      <c r="FU302">
        <v>1</v>
      </c>
      <c r="FV302" t="s">
        <v>6831</v>
      </c>
      <c r="FW302" t="s">
        <v>6832</v>
      </c>
      <c r="FX302">
        <v>1</v>
      </c>
      <c r="FY302" t="s">
        <v>890</v>
      </c>
      <c r="FZ302" t="s">
        <v>6833</v>
      </c>
      <c r="GA302" t="s">
        <v>6831</v>
      </c>
      <c r="GB302">
        <v>1</v>
      </c>
      <c r="GD302">
        <v>0</v>
      </c>
      <c r="GF302">
        <v>0</v>
      </c>
      <c r="GG302">
        <v>1</v>
      </c>
      <c r="GH302" t="s">
        <v>892</v>
      </c>
      <c r="GI302" t="s">
        <v>893</v>
      </c>
      <c r="GJ302" t="s">
        <v>6832</v>
      </c>
      <c r="GM302">
        <v>1</v>
      </c>
      <c r="GN302">
        <v>1</v>
      </c>
      <c r="GO302">
        <v>0</v>
      </c>
      <c r="GP302">
        <v>1</v>
      </c>
      <c r="GQ302">
        <v>1</v>
      </c>
      <c r="GR302">
        <v>0</v>
      </c>
      <c r="GS302">
        <v>1</v>
      </c>
      <c r="GT302">
        <v>0</v>
      </c>
      <c r="GU302">
        <v>1</v>
      </c>
      <c r="GV302">
        <v>0</v>
      </c>
      <c r="GW302">
        <v>1</v>
      </c>
      <c r="GX302">
        <v>0</v>
      </c>
      <c r="GY302">
        <v>1</v>
      </c>
      <c r="GZ302">
        <v>0</v>
      </c>
      <c r="HA302" t="s">
        <v>389</v>
      </c>
      <c r="HB302" t="s">
        <v>894</v>
      </c>
      <c r="HC302" t="s">
        <v>895</v>
      </c>
      <c r="HD302" t="s">
        <v>845</v>
      </c>
      <c r="HE302" t="s">
        <v>836</v>
      </c>
      <c r="HF302" t="s">
        <v>873</v>
      </c>
      <c r="HG302" t="s">
        <v>894</v>
      </c>
      <c r="HH302" t="s">
        <v>895</v>
      </c>
      <c r="HI302" t="s">
        <v>845</v>
      </c>
      <c r="HJ302" t="s">
        <v>836</v>
      </c>
      <c r="HK302" t="s">
        <v>873</v>
      </c>
      <c r="HL302" t="s">
        <v>214</v>
      </c>
      <c r="HM302" t="s">
        <v>854</v>
      </c>
      <c r="HN302">
        <v>36805</v>
      </c>
      <c r="HP302" t="s">
        <v>215</v>
      </c>
      <c r="HQ302" t="s">
        <v>896</v>
      </c>
      <c r="HR302" t="s">
        <v>896</v>
      </c>
      <c r="HS302" t="s">
        <v>896</v>
      </c>
    </row>
    <row r="303" spans="1:227" x14ac:dyDescent="0.2">
      <c r="A303">
        <v>8702</v>
      </c>
      <c r="B303">
        <v>7607700261</v>
      </c>
      <c r="C303" t="s">
        <v>829</v>
      </c>
      <c r="D303" t="s">
        <v>830</v>
      </c>
      <c r="E303" t="s">
        <v>897</v>
      </c>
      <c r="F303">
        <v>1</v>
      </c>
      <c r="G303" t="s">
        <v>6834</v>
      </c>
      <c r="H303" t="s">
        <v>6834</v>
      </c>
      <c r="I303">
        <v>0</v>
      </c>
      <c r="J303" t="s">
        <v>833</v>
      </c>
      <c r="K303" t="s">
        <v>834</v>
      </c>
      <c r="L303">
        <v>153406560</v>
      </c>
      <c r="M303" t="s">
        <v>4649</v>
      </c>
      <c r="N303" t="s">
        <v>900</v>
      </c>
      <c r="O303" t="s">
        <v>837</v>
      </c>
      <c r="P303" t="s">
        <v>838</v>
      </c>
      <c r="Q303" t="s">
        <v>901</v>
      </c>
      <c r="R303" t="s">
        <v>6835</v>
      </c>
      <c r="S303" t="s">
        <v>6836</v>
      </c>
      <c r="T303">
        <v>41477066624</v>
      </c>
      <c r="V303" t="s">
        <v>133</v>
      </c>
      <c r="W303" s="41">
        <v>46100</v>
      </c>
      <c r="X303" t="s">
        <v>6837</v>
      </c>
      <c r="Y303" t="s">
        <v>6838</v>
      </c>
      <c r="Z303" t="s">
        <v>6839</v>
      </c>
      <c r="AA303">
        <v>0</v>
      </c>
      <c r="AB303" t="s">
        <v>845</v>
      </c>
      <c r="AC303" t="s">
        <v>846</v>
      </c>
      <c r="AD303" t="s">
        <v>1113</v>
      </c>
      <c r="AE303" t="s">
        <v>1114</v>
      </c>
      <c r="AF303">
        <v>1</v>
      </c>
      <c r="AG303">
        <v>452210</v>
      </c>
      <c r="AH303" t="s">
        <v>849</v>
      </c>
      <c r="AI303" t="s">
        <v>850</v>
      </c>
      <c r="AJ303" t="s">
        <v>851</v>
      </c>
      <c r="AK303" t="s">
        <v>307</v>
      </c>
      <c r="AL303" t="s">
        <v>2207</v>
      </c>
      <c r="AM303" t="s">
        <v>1182</v>
      </c>
      <c r="AN303" t="s">
        <v>854</v>
      </c>
      <c r="AO303">
        <v>36805</v>
      </c>
      <c r="AP303">
        <v>526</v>
      </c>
      <c r="AQ303" t="s">
        <v>855</v>
      </c>
      <c r="AR303">
        <v>66381753</v>
      </c>
      <c r="AS303" t="s">
        <v>856</v>
      </c>
      <c r="AU303" t="s">
        <v>6840</v>
      </c>
      <c r="AV303" t="s">
        <v>6841</v>
      </c>
      <c r="AX303" t="s">
        <v>913</v>
      </c>
      <c r="AY303" t="s">
        <v>861</v>
      </c>
      <c r="AZ303" t="s">
        <v>307</v>
      </c>
      <c r="BA303" t="s">
        <v>308</v>
      </c>
      <c r="BB303">
        <v>1</v>
      </c>
      <c r="BC303">
        <v>0</v>
      </c>
      <c r="BD303">
        <v>0</v>
      </c>
      <c r="BE303" t="s">
        <v>4649</v>
      </c>
      <c r="BF303">
        <v>0</v>
      </c>
      <c r="BG303">
        <v>0</v>
      </c>
      <c r="BH303" t="s">
        <v>862</v>
      </c>
      <c r="BI303">
        <v>0</v>
      </c>
      <c r="BJ303" t="s">
        <v>862</v>
      </c>
      <c r="BK303">
        <v>1</v>
      </c>
      <c r="BL303">
        <v>1</v>
      </c>
      <c r="BM303">
        <v>0</v>
      </c>
      <c r="BN303" t="s">
        <v>596</v>
      </c>
      <c r="BO303">
        <v>153406560</v>
      </c>
      <c r="BP303" t="s">
        <v>6834</v>
      </c>
      <c r="BR303">
        <v>42791437</v>
      </c>
      <c r="BT303">
        <v>2</v>
      </c>
      <c r="BU303" t="s">
        <v>1715</v>
      </c>
      <c r="BY303">
        <v>16</v>
      </c>
      <c r="CA303">
        <v>7</v>
      </c>
      <c r="CE303">
        <v>1</v>
      </c>
      <c r="CI303">
        <v>11</v>
      </c>
      <c r="CJ303" t="s">
        <v>94</v>
      </c>
      <c r="CM303">
        <v>4010</v>
      </c>
      <c r="CO303">
        <v>7360</v>
      </c>
      <c r="CP303">
        <v>2.0167000000000002</v>
      </c>
      <c r="CQ303">
        <v>2.0167000000000002</v>
      </c>
      <c r="CR303">
        <v>2.7833000000000001</v>
      </c>
      <c r="CS303">
        <v>0</v>
      </c>
      <c r="CT303" t="s">
        <v>6841</v>
      </c>
      <c r="CU303" t="s">
        <v>6840</v>
      </c>
      <c r="CV303" t="s">
        <v>833</v>
      </c>
      <c r="CW303" t="s">
        <v>834</v>
      </c>
      <c r="CX303" t="s">
        <v>4649</v>
      </c>
      <c r="CY303">
        <v>1</v>
      </c>
      <c r="CZ303">
        <v>1</v>
      </c>
      <c r="DA303" t="s">
        <v>833</v>
      </c>
      <c r="DB303" t="s">
        <v>865</v>
      </c>
      <c r="DC303">
        <v>46260</v>
      </c>
      <c r="DD303">
        <v>7.4166999999999996</v>
      </c>
      <c r="DE303" t="s">
        <v>866</v>
      </c>
      <c r="DG303" t="s">
        <v>867</v>
      </c>
      <c r="DH303" t="s">
        <v>851</v>
      </c>
      <c r="DK303" t="s">
        <v>918</v>
      </c>
      <c r="DL303" t="s">
        <v>869</v>
      </c>
      <c r="DM303">
        <v>0</v>
      </c>
      <c r="DN303">
        <v>0</v>
      </c>
      <c r="DO303">
        <v>11</v>
      </c>
      <c r="DP303" t="s">
        <v>1010</v>
      </c>
      <c r="DQ303">
        <v>0</v>
      </c>
      <c r="DR303">
        <v>445</v>
      </c>
      <c r="DS303">
        <v>1165</v>
      </c>
      <c r="DT303">
        <v>1.4167000000000001</v>
      </c>
      <c r="DU303">
        <v>0</v>
      </c>
      <c r="DV303">
        <v>1</v>
      </c>
      <c r="DW303">
        <v>2</v>
      </c>
      <c r="DX303" t="s">
        <v>596</v>
      </c>
      <c r="DY303" t="s">
        <v>4649</v>
      </c>
      <c r="DZ303">
        <v>1</v>
      </c>
      <c r="EA303">
        <v>1</v>
      </c>
      <c r="EB303">
        <v>1</v>
      </c>
      <c r="EC303">
        <v>1</v>
      </c>
      <c r="ED303">
        <v>1</v>
      </c>
      <c r="EE303">
        <v>1</v>
      </c>
      <c r="EF303" t="s">
        <v>920</v>
      </c>
      <c r="EG303" t="s">
        <v>595</v>
      </c>
      <c r="EH303" t="s">
        <v>921</v>
      </c>
      <c r="EI303" t="s">
        <v>921</v>
      </c>
      <c r="EJ303" t="s">
        <v>134</v>
      </c>
      <c r="EK303">
        <v>9090</v>
      </c>
      <c r="EL303">
        <v>1</v>
      </c>
      <c r="EM303" t="s">
        <v>1011</v>
      </c>
      <c r="EN303">
        <v>2.7833000000000001</v>
      </c>
      <c r="EO303">
        <v>19.4166667</v>
      </c>
      <c r="EP303">
        <v>99991120</v>
      </c>
      <c r="EQ303" t="s">
        <v>874</v>
      </c>
      <c r="ER303" t="s">
        <v>875</v>
      </c>
      <c r="ES303" t="s">
        <v>876</v>
      </c>
      <c r="ET303" t="s">
        <v>877</v>
      </c>
      <c r="EU303" t="s">
        <v>877</v>
      </c>
      <c r="EV303" t="s">
        <v>920</v>
      </c>
      <c r="EX303" t="s">
        <v>953</v>
      </c>
      <c r="EY303" t="s">
        <v>1555</v>
      </c>
      <c r="EZ303" t="s">
        <v>1013</v>
      </c>
      <c r="FA303" t="s">
        <v>925</v>
      </c>
      <c r="FB303">
        <v>1</v>
      </c>
      <c r="FC303">
        <v>2</v>
      </c>
      <c r="FD303" s="41">
        <v>46102</v>
      </c>
      <c r="FE303" t="s">
        <v>1719</v>
      </c>
      <c r="FF303">
        <v>10</v>
      </c>
      <c r="FG303" t="s">
        <v>6842</v>
      </c>
      <c r="FH303" t="s">
        <v>6843</v>
      </c>
      <c r="FI303">
        <v>1</v>
      </c>
      <c r="FJ303" t="s">
        <v>6844</v>
      </c>
      <c r="FK303" t="s">
        <v>6843</v>
      </c>
      <c r="FL303">
        <v>1</v>
      </c>
      <c r="FM303" t="s">
        <v>4659</v>
      </c>
      <c r="FN303" t="s">
        <v>6845</v>
      </c>
      <c r="FO303">
        <v>1</v>
      </c>
      <c r="FP303" t="s">
        <v>6846</v>
      </c>
      <c r="FQ303" t="s">
        <v>6847</v>
      </c>
      <c r="FR303">
        <v>1</v>
      </c>
      <c r="FS303" t="s">
        <v>1934</v>
      </c>
      <c r="FT303" t="s">
        <v>6848</v>
      </c>
      <c r="FU303">
        <v>1</v>
      </c>
      <c r="FV303" t="s">
        <v>6692</v>
      </c>
      <c r="FW303" t="s">
        <v>6849</v>
      </c>
      <c r="FX303">
        <v>1</v>
      </c>
      <c r="FY303" t="s">
        <v>890</v>
      </c>
      <c r="FZ303" t="s">
        <v>6850</v>
      </c>
      <c r="GA303" t="s">
        <v>6844</v>
      </c>
      <c r="GB303">
        <v>1</v>
      </c>
      <c r="GD303">
        <v>0</v>
      </c>
      <c r="GF303">
        <v>0</v>
      </c>
      <c r="GG303">
        <v>1</v>
      </c>
      <c r="GH303" t="s">
        <v>892</v>
      </c>
      <c r="GI303" t="s">
        <v>893</v>
      </c>
      <c r="GJ303" t="s">
        <v>6843</v>
      </c>
      <c r="GM303">
        <v>1</v>
      </c>
      <c r="GN303">
        <v>0</v>
      </c>
      <c r="GO303">
        <v>0</v>
      </c>
      <c r="GP303">
        <v>1</v>
      </c>
      <c r="GQ303">
        <v>1</v>
      </c>
      <c r="GR303">
        <v>0</v>
      </c>
      <c r="GS303">
        <v>1</v>
      </c>
      <c r="GT303">
        <v>0</v>
      </c>
      <c r="GU303">
        <v>1</v>
      </c>
      <c r="GV303">
        <v>0</v>
      </c>
      <c r="GW303">
        <v>1</v>
      </c>
      <c r="GX303">
        <v>0</v>
      </c>
      <c r="GY303">
        <v>1</v>
      </c>
      <c r="GZ303">
        <v>0</v>
      </c>
      <c r="HA303" t="s">
        <v>307</v>
      </c>
      <c r="HB303" t="s">
        <v>894</v>
      </c>
      <c r="HC303" t="s">
        <v>935</v>
      </c>
      <c r="HD303" t="s">
        <v>845</v>
      </c>
      <c r="HE303" t="s">
        <v>900</v>
      </c>
      <c r="HF303" t="s">
        <v>1012</v>
      </c>
      <c r="HG303" t="s">
        <v>894</v>
      </c>
      <c r="HH303" t="s">
        <v>935</v>
      </c>
      <c r="HI303" t="s">
        <v>845</v>
      </c>
      <c r="HJ303" t="s">
        <v>900</v>
      </c>
      <c r="HK303" t="s">
        <v>1011</v>
      </c>
      <c r="HL303" t="s">
        <v>133</v>
      </c>
      <c r="HM303" t="s">
        <v>854</v>
      </c>
      <c r="HN303">
        <v>36805</v>
      </c>
      <c r="HP303" t="s">
        <v>134</v>
      </c>
      <c r="HQ303" t="s">
        <v>896</v>
      </c>
      <c r="HR303" t="s">
        <v>896</v>
      </c>
      <c r="HS303" t="s">
        <v>896</v>
      </c>
    </row>
    <row r="304" spans="1:227" x14ac:dyDescent="0.2">
      <c r="A304">
        <v>8702</v>
      </c>
      <c r="B304">
        <v>7535401708</v>
      </c>
      <c r="C304" t="s">
        <v>936</v>
      </c>
      <c r="D304" t="s">
        <v>937</v>
      </c>
      <c r="E304" t="s">
        <v>897</v>
      </c>
      <c r="F304">
        <v>1</v>
      </c>
      <c r="G304" t="s">
        <v>6851</v>
      </c>
      <c r="H304" t="s">
        <v>6851</v>
      </c>
      <c r="I304">
        <v>0</v>
      </c>
      <c r="J304" t="s">
        <v>833</v>
      </c>
      <c r="K304" t="s">
        <v>834</v>
      </c>
      <c r="L304">
        <v>153402719</v>
      </c>
      <c r="M304" t="s">
        <v>6852</v>
      </c>
      <c r="N304" t="s">
        <v>900</v>
      </c>
      <c r="O304" t="s">
        <v>837</v>
      </c>
      <c r="P304" t="s">
        <v>940</v>
      </c>
      <c r="Q304" t="s">
        <v>2404</v>
      </c>
      <c r="R304" t="s">
        <v>6853</v>
      </c>
      <c r="S304" t="s">
        <v>6854</v>
      </c>
      <c r="T304">
        <v>41477056288</v>
      </c>
      <c r="V304" t="s">
        <v>154</v>
      </c>
      <c r="W304" s="41">
        <v>46012</v>
      </c>
      <c r="X304" t="s">
        <v>6855</v>
      </c>
      <c r="Y304" t="s">
        <v>6856</v>
      </c>
      <c r="Z304" t="s">
        <v>6857</v>
      </c>
      <c r="AA304">
        <v>0</v>
      </c>
      <c r="AB304" t="s">
        <v>845</v>
      </c>
      <c r="AC304" t="s">
        <v>846</v>
      </c>
      <c r="AD304" t="s">
        <v>847</v>
      </c>
      <c r="AE304" t="s">
        <v>848</v>
      </c>
      <c r="AF304">
        <v>1</v>
      </c>
      <c r="AG304">
        <v>452210</v>
      </c>
      <c r="AH304" t="s">
        <v>849</v>
      </c>
      <c r="AI304" t="s">
        <v>850</v>
      </c>
      <c r="AJ304" t="s">
        <v>851</v>
      </c>
      <c r="AK304" t="s">
        <v>279</v>
      </c>
      <c r="AL304" t="s">
        <v>1181</v>
      </c>
      <c r="AM304" t="s">
        <v>2409</v>
      </c>
      <c r="AN304" t="s">
        <v>854</v>
      </c>
      <c r="AO304">
        <v>36805</v>
      </c>
      <c r="AP304">
        <v>535</v>
      </c>
      <c r="AQ304" t="s">
        <v>855</v>
      </c>
      <c r="AR304">
        <v>66255453</v>
      </c>
      <c r="AS304" t="s">
        <v>856</v>
      </c>
      <c r="AU304" t="s">
        <v>6858</v>
      </c>
      <c r="AV304" t="s">
        <v>6859</v>
      </c>
      <c r="AX304" t="s">
        <v>913</v>
      </c>
      <c r="AY304" t="s">
        <v>861</v>
      </c>
      <c r="AZ304" t="s">
        <v>279</v>
      </c>
      <c r="BA304" t="s">
        <v>280</v>
      </c>
      <c r="BB304">
        <v>0</v>
      </c>
      <c r="BC304">
        <v>1</v>
      </c>
      <c r="BD304">
        <v>0</v>
      </c>
      <c r="BE304" t="s">
        <v>6852</v>
      </c>
      <c r="BF304">
        <v>0</v>
      </c>
      <c r="BG304">
        <v>0</v>
      </c>
      <c r="BH304" t="s">
        <v>862</v>
      </c>
      <c r="BI304">
        <v>0</v>
      </c>
      <c r="BJ304" t="s">
        <v>862</v>
      </c>
      <c r="BK304">
        <v>1</v>
      </c>
      <c r="BL304">
        <v>1</v>
      </c>
      <c r="BM304">
        <v>0</v>
      </c>
      <c r="BN304" t="s">
        <v>596</v>
      </c>
      <c r="BO304">
        <v>153402719</v>
      </c>
      <c r="BP304" t="s">
        <v>6851</v>
      </c>
      <c r="BQ304">
        <v>40.217414499999997</v>
      </c>
      <c r="BR304">
        <v>42791452</v>
      </c>
      <c r="BS304">
        <v>-85.391215599999995</v>
      </c>
      <c r="BT304">
        <v>1</v>
      </c>
      <c r="BU304" t="s">
        <v>3226</v>
      </c>
      <c r="CI304">
        <v>11</v>
      </c>
      <c r="CJ304" t="s">
        <v>94</v>
      </c>
      <c r="CM304">
        <v>4010</v>
      </c>
      <c r="CO304">
        <v>7360</v>
      </c>
      <c r="CP304">
        <v>3.6</v>
      </c>
      <c r="CQ304">
        <v>3.6</v>
      </c>
      <c r="CR304">
        <v>3.2667000000000002</v>
      </c>
      <c r="CS304">
        <v>0</v>
      </c>
      <c r="CT304" t="s">
        <v>6860</v>
      </c>
      <c r="CU304" t="s">
        <v>6861</v>
      </c>
      <c r="CV304" t="s">
        <v>833</v>
      </c>
      <c r="CW304" t="s">
        <v>834</v>
      </c>
      <c r="CX304" t="s">
        <v>6852</v>
      </c>
      <c r="CY304">
        <v>1</v>
      </c>
      <c r="CZ304">
        <v>1</v>
      </c>
      <c r="DA304" t="s">
        <v>833</v>
      </c>
      <c r="DB304" t="s">
        <v>865</v>
      </c>
      <c r="DC304">
        <v>47303</v>
      </c>
      <c r="DD304">
        <v>22.683299999999999</v>
      </c>
      <c r="DE304" t="s">
        <v>866</v>
      </c>
      <c r="DG304" t="s">
        <v>867</v>
      </c>
      <c r="DH304" t="s">
        <v>851</v>
      </c>
      <c r="DI304" t="s">
        <v>1154</v>
      </c>
      <c r="DK304" t="s">
        <v>918</v>
      </c>
      <c r="DL304" t="s">
        <v>869</v>
      </c>
      <c r="DM304">
        <v>0</v>
      </c>
      <c r="DN304">
        <v>0</v>
      </c>
      <c r="DO304">
        <v>11</v>
      </c>
      <c r="DP304" t="s">
        <v>1010</v>
      </c>
      <c r="DQ304">
        <v>12</v>
      </c>
      <c r="DR304">
        <v>1361</v>
      </c>
      <c r="DS304">
        <v>2801</v>
      </c>
      <c r="DT304">
        <v>2.9167000000000001</v>
      </c>
      <c r="DU304">
        <v>4</v>
      </c>
      <c r="DV304">
        <v>1</v>
      </c>
      <c r="DW304">
        <v>1</v>
      </c>
      <c r="DX304" t="s">
        <v>596</v>
      </c>
      <c r="DY304" t="s">
        <v>6852</v>
      </c>
      <c r="DZ304">
        <v>0</v>
      </c>
      <c r="EA304">
        <v>0</v>
      </c>
      <c r="EB304">
        <v>1</v>
      </c>
      <c r="EC304">
        <v>1</v>
      </c>
      <c r="ED304">
        <v>1</v>
      </c>
      <c r="EE304">
        <v>1</v>
      </c>
      <c r="EF304" t="s">
        <v>920</v>
      </c>
      <c r="EG304" t="s">
        <v>595</v>
      </c>
      <c r="EH304" t="s">
        <v>1036</v>
      </c>
      <c r="EI304" t="s">
        <v>1036</v>
      </c>
      <c r="EJ304" t="s">
        <v>134</v>
      </c>
      <c r="EK304">
        <v>9090</v>
      </c>
      <c r="EL304">
        <v>1</v>
      </c>
      <c r="EM304" t="s">
        <v>1011</v>
      </c>
      <c r="EN304">
        <v>3.2667000000000002</v>
      </c>
      <c r="EO304">
        <v>46.683333300000001</v>
      </c>
      <c r="EP304">
        <v>99991120</v>
      </c>
      <c r="EQ304" t="s">
        <v>874</v>
      </c>
      <c r="ER304" t="s">
        <v>875</v>
      </c>
      <c r="ES304" t="s">
        <v>876</v>
      </c>
      <c r="ET304" t="s">
        <v>877</v>
      </c>
      <c r="EU304" t="s">
        <v>877</v>
      </c>
      <c r="EV304" t="s">
        <v>920</v>
      </c>
      <c r="EX304" t="s">
        <v>953</v>
      </c>
      <c r="EY304" t="s">
        <v>1555</v>
      </c>
      <c r="EZ304" t="s">
        <v>1013</v>
      </c>
      <c r="FA304" t="s">
        <v>925</v>
      </c>
      <c r="FB304">
        <v>1</v>
      </c>
      <c r="FC304">
        <v>2</v>
      </c>
      <c r="FD304" s="41">
        <v>46018</v>
      </c>
      <c r="FE304" t="s">
        <v>957</v>
      </c>
      <c r="FF304">
        <v>12</v>
      </c>
      <c r="FG304" t="s">
        <v>6862</v>
      </c>
      <c r="FH304" t="s">
        <v>6863</v>
      </c>
      <c r="FI304">
        <v>1</v>
      </c>
      <c r="FJ304" t="s">
        <v>6864</v>
      </c>
      <c r="FK304" t="s">
        <v>6863</v>
      </c>
      <c r="FL304">
        <v>1</v>
      </c>
      <c r="FM304" t="s">
        <v>6865</v>
      </c>
      <c r="FN304" t="s">
        <v>6866</v>
      </c>
      <c r="FO304">
        <v>1</v>
      </c>
      <c r="FP304" t="s">
        <v>6867</v>
      </c>
      <c r="FQ304" t="s">
        <v>6861</v>
      </c>
      <c r="FR304">
        <v>1</v>
      </c>
      <c r="FS304" t="s">
        <v>1020</v>
      </c>
      <c r="FT304" t="s">
        <v>6868</v>
      </c>
      <c r="FU304">
        <v>1</v>
      </c>
      <c r="FV304" t="s">
        <v>6869</v>
      </c>
      <c r="FW304" t="s">
        <v>6870</v>
      </c>
      <c r="FX304">
        <v>1</v>
      </c>
      <c r="FY304" t="s">
        <v>890</v>
      </c>
      <c r="FZ304" t="s">
        <v>6871</v>
      </c>
      <c r="GA304" t="s">
        <v>6864</v>
      </c>
      <c r="GB304">
        <v>1</v>
      </c>
      <c r="GD304">
        <v>0</v>
      </c>
      <c r="GF304">
        <v>0</v>
      </c>
      <c r="GG304">
        <v>1</v>
      </c>
      <c r="GH304" t="s">
        <v>892</v>
      </c>
      <c r="GI304" t="s">
        <v>893</v>
      </c>
      <c r="GJ304" t="s">
        <v>6863</v>
      </c>
      <c r="GM304">
        <v>1</v>
      </c>
      <c r="GN304">
        <v>0</v>
      </c>
      <c r="GO304">
        <v>0</v>
      </c>
      <c r="GP304">
        <v>1</v>
      </c>
      <c r="GQ304">
        <v>1</v>
      </c>
      <c r="GR304">
        <v>0</v>
      </c>
      <c r="GS304">
        <v>1</v>
      </c>
      <c r="GT304">
        <v>0</v>
      </c>
      <c r="GU304">
        <v>1</v>
      </c>
      <c r="GV304">
        <v>0</v>
      </c>
      <c r="GW304">
        <v>1</v>
      </c>
      <c r="GX304">
        <v>0</v>
      </c>
      <c r="GY304">
        <v>1</v>
      </c>
      <c r="GZ304">
        <v>0</v>
      </c>
      <c r="HA304" t="s">
        <v>279</v>
      </c>
      <c r="HB304" t="s">
        <v>894</v>
      </c>
      <c r="HC304" t="s">
        <v>935</v>
      </c>
      <c r="HD304" t="s">
        <v>845</v>
      </c>
      <c r="HE304" t="s">
        <v>900</v>
      </c>
      <c r="HF304" t="s">
        <v>1012</v>
      </c>
      <c r="HG304" t="s">
        <v>894</v>
      </c>
      <c r="HH304" t="s">
        <v>935</v>
      </c>
      <c r="HI304" t="s">
        <v>845</v>
      </c>
      <c r="HJ304" t="s">
        <v>900</v>
      </c>
      <c r="HK304" t="s">
        <v>1011</v>
      </c>
      <c r="HL304" t="s">
        <v>154</v>
      </c>
      <c r="HM304" t="s">
        <v>854</v>
      </c>
      <c r="HN304">
        <v>36805</v>
      </c>
      <c r="HO304">
        <v>1</v>
      </c>
      <c r="HP304" t="s">
        <v>134</v>
      </c>
      <c r="HQ304" t="s">
        <v>896</v>
      </c>
      <c r="HR304" t="s">
        <v>896</v>
      </c>
      <c r="HS304" t="s">
        <v>896</v>
      </c>
    </row>
    <row r="305" spans="1:227" x14ac:dyDescent="0.2">
      <c r="A305">
        <v>8702</v>
      </c>
      <c r="B305">
        <v>7534409241</v>
      </c>
      <c r="C305" t="s">
        <v>936</v>
      </c>
      <c r="D305" t="s">
        <v>937</v>
      </c>
      <c r="E305" t="s">
        <v>831</v>
      </c>
      <c r="F305">
        <v>27</v>
      </c>
      <c r="G305" t="s">
        <v>6872</v>
      </c>
      <c r="H305" t="s">
        <v>6872</v>
      </c>
      <c r="I305">
        <v>0</v>
      </c>
      <c r="J305" t="s">
        <v>833</v>
      </c>
      <c r="K305" t="s">
        <v>834</v>
      </c>
      <c r="L305">
        <v>153406607</v>
      </c>
      <c r="M305" t="s">
        <v>6873</v>
      </c>
      <c r="N305" t="s">
        <v>836</v>
      </c>
      <c r="O305" t="s">
        <v>837</v>
      </c>
      <c r="P305" t="s">
        <v>940</v>
      </c>
      <c r="Q305" t="s">
        <v>941</v>
      </c>
      <c r="R305" t="s">
        <v>6874</v>
      </c>
      <c r="S305" t="s">
        <v>6875</v>
      </c>
      <c r="T305">
        <v>41477092613</v>
      </c>
      <c r="V305" t="s">
        <v>2273</v>
      </c>
      <c r="W305" s="41">
        <v>46003</v>
      </c>
      <c r="X305" t="s">
        <v>6876</v>
      </c>
      <c r="Y305" t="s">
        <v>6877</v>
      </c>
      <c r="Z305" t="s">
        <v>1144</v>
      </c>
      <c r="AA305">
        <v>0</v>
      </c>
      <c r="AB305" t="s">
        <v>845</v>
      </c>
      <c r="AC305" t="s">
        <v>846</v>
      </c>
      <c r="AD305" t="s">
        <v>847</v>
      </c>
      <c r="AE305" t="s">
        <v>848</v>
      </c>
      <c r="AF305">
        <v>1</v>
      </c>
      <c r="AG305">
        <v>452210</v>
      </c>
      <c r="AH305" t="s">
        <v>849</v>
      </c>
      <c r="AI305" t="s">
        <v>850</v>
      </c>
      <c r="AJ305" t="s">
        <v>851</v>
      </c>
      <c r="AK305" t="s">
        <v>253</v>
      </c>
      <c r="AL305" t="s">
        <v>1257</v>
      </c>
      <c r="AM305" t="s">
        <v>2277</v>
      </c>
      <c r="AN305" t="s">
        <v>854</v>
      </c>
      <c r="AO305">
        <v>36805</v>
      </c>
      <c r="AP305">
        <v>561</v>
      </c>
      <c r="AQ305" t="s">
        <v>855</v>
      </c>
      <c r="AR305">
        <v>66240486</v>
      </c>
      <c r="AS305" t="s">
        <v>856</v>
      </c>
      <c r="AU305" t="s">
        <v>6878</v>
      </c>
      <c r="AV305" t="s">
        <v>6879</v>
      </c>
      <c r="AW305" t="s">
        <v>1261</v>
      </c>
      <c r="AX305" t="s">
        <v>1262</v>
      </c>
      <c r="AY305" t="s">
        <v>861</v>
      </c>
      <c r="AZ305" t="s">
        <v>253</v>
      </c>
      <c r="BA305" t="s">
        <v>254</v>
      </c>
      <c r="BB305">
        <v>0</v>
      </c>
      <c r="BC305">
        <v>0</v>
      </c>
      <c r="BD305">
        <v>0</v>
      </c>
      <c r="BE305" t="s">
        <v>6873</v>
      </c>
      <c r="BF305">
        <v>0</v>
      </c>
      <c r="BG305">
        <v>0</v>
      </c>
      <c r="BH305" t="s">
        <v>862</v>
      </c>
      <c r="BI305">
        <v>0</v>
      </c>
      <c r="BJ305" t="s">
        <v>862</v>
      </c>
      <c r="BK305">
        <v>1</v>
      </c>
      <c r="BL305">
        <v>0</v>
      </c>
      <c r="BM305">
        <v>0</v>
      </c>
      <c r="BN305" t="s">
        <v>596</v>
      </c>
      <c r="BO305">
        <v>153406607</v>
      </c>
      <c r="BP305" t="s">
        <v>6872</v>
      </c>
      <c r="BQ305">
        <v>44.9715007</v>
      </c>
      <c r="BR305">
        <v>42791463</v>
      </c>
      <c r="BS305">
        <v>-93.213787800000006</v>
      </c>
      <c r="BT305">
        <v>1</v>
      </c>
      <c r="BU305" t="s">
        <v>3226</v>
      </c>
      <c r="CI305">
        <v>11</v>
      </c>
      <c r="CJ305" t="s">
        <v>94</v>
      </c>
      <c r="CM305">
        <v>4010</v>
      </c>
      <c r="CO305">
        <v>7360</v>
      </c>
      <c r="CP305">
        <v>0.35</v>
      </c>
      <c r="CQ305">
        <v>0.35</v>
      </c>
      <c r="CR305">
        <v>1</v>
      </c>
      <c r="CS305">
        <v>3</v>
      </c>
      <c r="CT305" t="s">
        <v>6880</v>
      </c>
      <c r="CU305" t="s">
        <v>6881</v>
      </c>
      <c r="CV305" t="s">
        <v>833</v>
      </c>
      <c r="CW305" t="s">
        <v>834</v>
      </c>
      <c r="CX305" t="s">
        <v>6873</v>
      </c>
      <c r="CY305">
        <v>0</v>
      </c>
      <c r="CZ305">
        <v>0</v>
      </c>
      <c r="DA305" t="s">
        <v>833</v>
      </c>
      <c r="DB305" t="s">
        <v>865</v>
      </c>
      <c r="DC305">
        <v>55414</v>
      </c>
      <c r="DD305">
        <v>27.3</v>
      </c>
      <c r="DE305" t="s">
        <v>866</v>
      </c>
      <c r="DG305" t="s">
        <v>867</v>
      </c>
      <c r="DH305" t="s">
        <v>851</v>
      </c>
      <c r="DK305" t="s">
        <v>918</v>
      </c>
      <c r="DL305" t="s">
        <v>869</v>
      </c>
      <c r="DM305">
        <v>0</v>
      </c>
      <c r="DN305">
        <v>0</v>
      </c>
      <c r="DO305">
        <v>3</v>
      </c>
      <c r="DP305" t="s">
        <v>919</v>
      </c>
      <c r="DQ305">
        <v>16</v>
      </c>
      <c r="DR305">
        <v>1638</v>
      </c>
      <c r="DS305">
        <v>3709</v>
      </c>
      <c r="DT305">
        <v>26.95</v>
      </c>
      <c r="DU305">
        <v>4</v>
      </c>
      <c r="DV305">
        <v>1</v>
      </c>
      <c r="DW305">
        <v>2</v>
      </c>
      <c r="DX305" t="s">
        <v>594</v>
      </c>
      <c r="DY305" t="s">
        <v>6873</v>
      </c>
      <c r="DZ305">
        <v>0</v>
      </c>
      <c r="EA305">
        <v>0</v>
      </c>
      <c r="EB305">
        <v>0</v>
      </c>
      <c r="EC305">
        <v>0</v>
      </c>
      <c r="ED305">
        <v>0</v>
      </c>
      <c r="EE305">
        <v>0</v>
      </c>
      <c r="EF305" t="s">
        <v>920</v>
      </c>
      <c r="EG305" t="s">
        <v>595</v>
      </c>
      <c r="EH305" t="s">
        <v>872</v>
      </c>
      <c r="EI305" t="s">
        <v>872</v>
      </c>
      <c r="EJ305" t="s">
        <v>159</v>
      </c>
      <c r="EK305">
        <v>9090</v>
      </c>
      <c r="EL305">
        <v>0</v>
      </c>
      <c r="EM305" t="s">
        <v>873</v>
      </c>
      <c r="EN305">
        <v>1</v>
      </c>
      <c r="EO305">
        <v>61.816666599999998</v>
      </c>
      <c r="EP305">
        <v>99991120</v>
      </c>
      <c r="EQ305" t="s">
        <v>874</v>
      </c>
      <c r="ER305" t="s">
        <v>875</v>
      </c>
      <c r="ES305" t="s">
        <v>876</v>
      </c>
      <c r="ET305" t="s">
        <v>877</v>
      </c>
      <c r="EU305" t="s">
        <v>877</v>
      </c>
      <c r="EV305" t="s">
        <v>920</v>
      </c>
      <c r="EX305" t="s">
        <v>836</v>
      </c>
      <c r="EY305" t="s">
        <v>1121</v>
      </c>
      <c r="EZ305" t="s">
        <v>1122</v>
      </c>
      <c r="FA305" t="s">
        <v>956</v>
      </c>
      <c r="FB305">
        <v>1</v>
      </c>
      <c r="FC305">
        <v>1</v>
      </c>
      <c r="FD305" s="41">
        <v>46004</v>
      </c>
      <c r="FE305" t="s">
        <v>957</v>
      </c>
      <c r="FF305">
        <v>12</v>
      </c>
      <c r="FG305" t="s">
        <v>6882</v>
      </c>
      <c r="FH305" t="s">
        <v>6883</v>
      </c>
      <c r="FI305">
        <v>1</v>
      </c>
      <c r="FJ305" t="s">
        <v>6884</v>
      </c>
      <c r="FK305" t="s">
        <v>6883</v>
      </c>
      <c r="FL305">
        <v>1</v>
      </c>
      <c r="FM305" t="s">
        <v>6885</v>
      </c>
      <c r="FN305" t="s">
        <v>6886</v>
      </c>
      <c r="FO305">
        <v>1</v>
      </c>
      <c r="FP305" t="s">
        <v>6887</v>
      </c>
      <c r="FQ305" t="s">
        <v>6881</v>
      </c>
      <c r="FR305">
        <v>1</v>
      </c>
      <c r="FS305" t="s">
        <v>1502</v>
      </c>
      <c r="FT305" t="s">
        <v>6888</v>
      </c>
      <c r="FU305">
        <v>1</v>
      </c>
      <c r="FV305" t="s">
        <v>2718</v>
      </c>
      <c r="FW305" t="s">
        <v>6889</v>
      </c>
      <c r="FX305">
        <v>1</v>
      </c>
      <c r="FY305" t="s">
        <v>890</v>
      </c>
      <c r="FZ305" t="s">
        <v>6890</v>
      </c>
      <c r="GA305" t="s">
        <v>6884</v>
      </c>
      <c r="GB305">
        <v>1</v>
      </c>
      <c r="GD305">
        <v>0</v>
      </c>
      <c r="GF305">
        <v>0</v>
      </c>
      <c r="GG305">
        <v>1</v>
      </c>
      <c r="GH305" t="s">
        <v>892</v>
      </c>
      <c r="GI305" t="s">
        <v>893</v>
      </c>
      <c r="GJ305" t="s">
        <v>6883</v>
      </c>
      <c r="GM305">
        <v>1</v>
      </c>
      <c r="GN305">
        <v>1</v>
      </c>
      <c r="GO305">
        <v>0</v>
      </c>
      <c r="GP305">
        <v>1</v>
      </c>
      <c r="GQ305">
        <v>1</v>
      </c>
      <c r="GR305">
        <v>0</v>
      </c>
      <c r="GS305">
        <v>1</v>
      </c>
      <c r="GT305">
        <v>0</v>
      </c>
      <c r="GU305">
        <v>1</v>
      </c>
      <c r="GV305">
        <v>0</v>
      </c>
      <c r="GW305">
        <v>1</v>
      </c>
      <c r="GX305">
        <v>0</v>
      </c>
      <c r="GY305">
        <v>1</v>
      </c>
      <c r="GZ305">
        <v>0</v>
      </c>
      <c r="HA305" t="s">
        <v>253</v>
      </c>
      <c r="HB305" t="s">
        <v>894</v>
      </c>
      <c r="HC305" t="s">
        <v>895</v>
      </c>
      <c r="HD305" t="s">
        <v>845</v>
      </c>
      <c r="HE305" t="s">
        <v>836</v>
      </c>
      <c r="HF305" t="s">
        <v>873</v>
      </c>
      <c r="HG305" t="s">
        <v>894</v>
      </c>
      <c r="HH305" t="s">
        <v>895</v>
      </c>
      <c r="HI305" t="s">
        <v>845</v>
      </c>
      <c r="HJ305" t="s">
        <v>836</v>
      </c>
      <c r="HK305" t="s">
        <v>873</v>
      </c>
      <c r="HL305" t="s">
        <v>2273</v>
      </c>
      <c r="HM305" t="s">
        <v>854</v>
      </c>
      <c r="HN305">
        <v>36805</v>
      </c>
      <c r="HO305">
        <v>1</v>
      </c>
      <c r="HP305" t="s">
        <v>159</v>
      </c>
      <c r="HQ305" t="s">
        <v>896</v>
      </c>
      <c r="HR305" t="s">
        <v>896</v>
      </c>
      <c r="HS305" t="s">
        <v>896</v>
      </c>
    </row>
    <row r="306" spans="1:227" x14ac:dyDescent="0.2">
      <c r="A306">
        <v>8702</v>
      </c>
      <c r="B306">
        <v>7533702511</v>
      </c>
      <c r="C306" t="s">
        <v>936</v>
      </c>
      <c r="D306" t="s">
        <v>937</v>
      </c>
      <c r="E306" t="s">
        <v>897</v>
      </c>
      <c r="F306">
        <v>1</v>
      </c>
      <c r="G306" t="s">
        <v>6891</v>
      </c>
      <c r="H306" t="s">
        <v>6891</v>
      </c>
      <c r="I306">
        <v>0</v>
      </c>
      <c r="J306" t="s">
        <v>833</v>
      </c>
      <c r="K306" t="s">
        <v>834</v>
      </c>
      <c r="L306">
        <v>156046215</v>
      </c>
      <c r="M306" t="s">
        <v>971</v>
      </c>
      <c r="N306" t="s">
        <v>900</v>
      </c>
      <c r="O306" t="s">
        <v>837</v>
      </c>
      <c r="P306" t="s">
        <v>940</v>
      </c>
      <c r="Q306" t="s">
        <v>1080</v>
      </c>
      <c r="R306" t="s">
        <v>6892</v>
      </c>
      <c r="S306" t="s">
        <v>4431</v>
      </c>
      <c r="T306">
        <v>41477124647</v>
      </c>
      <c r="V306" t="s">
        <v>208</v>
      </c>
      <c r="W306" s="41">
        <v>45994</v>
      </c>
      <c r="X306" t="s">
        <v>6893</v>
      </c>
      <c r="Y306" t="s">
        <v>6894</v>
      </c>
      <c r="AA306">
        <v>0</v>
      </c>
      <c r="AB306" t="s">
        <v>845</v>
      </c>
      <c r="AC306" t="s">
        <v>846</v>
      </c>
      <c r="AD306" t="s">
        <v>847</v>
      </c>
      <c r="AE306" t="s">
        <v>848</v>
      </c>
      <c r="AF306">
        <v>1</v>
      </c>
      <c r="AG306">
        <v>452210</v>
      </c>
      <c r="AH306" t="s">
        <v>849</v>
      </c>
      <c r="AI306" t="s">
        <v>850</v>
      </c>
      <c r="AJ306" t="s">
        <v>851</v>
      </c>
      <c r="AK306" t="s">
        <v>405</v>
      </c>
      <c r="AL306" t="s">
        <v>6895</v>
      </c>
      <c r="AM306" t="s">
        <v>979</v>
      </c>
      <c r="AN306" t="s">
        <v>854</v>
      </c>
      <c r="AO306">
        <v>36805</v>
      </c>
      <c r="AP306">
        <v>647</v>
      </c>
      <c r="AQ306" t="s">
        <v>855</v>
      </c>
      <c r="AR306">
        <v>66229167</v>
      </c>
      <c r="AS306" t="s">
        <v>856</v>
      </c>
      <c r="AU306" t="s">
        <v>6896</v>
      </c>
      <c r="AV306" t="s">
        <v>6897</v>
      </c>
      <c r="AX306" t="s">
        <v>913</v>
      </c>
      <c r="AY306" t="s">
        <v>861</v>
      </c>
      <c r="AZ306" t="s">
        <v>405</v>
      </c>
      <c r="BA306" t="s">
        <v>406</v>
      </c>
      <c r="BB306">
        <v>0</v>
      </c>
      <c r="BC306">
        <v>0</v>
      </c>
      <c r="BD306">
        <v>0</v>
      </c>
      <c r="BE306" t="s">
        <v>971</v>
      </c>
      <c r="BF306">
        <v>0</v>
      </c>
      <c r="BG306">
        <v>0</v>
      </c>
      <c r="BH306" t="s">
        <v>862</v>
      </c>
      <c r="BI306">
        <v>0</v>
      </c>
      <c r="BJ306" t="s">
        <v>862</v>
      </c>
      <c r="BK306">
        <v>1</v>
      </c>
      <c r="BL306">
        <v>1</v>
      </c>
      <c r="BM306">
        <v>0</v>
      </c>
      <c r="BN306" t="s">
        <v>596</v>
      </c>
      <c r="BO306">
        <v>156046215</v>
      </c>
      <c r="BP306" t="s">
        <v>6891</v>
      </c>
      <c r="BR306">
        <v>42791779</v>
      </c>
      <c r="BT306">
        <v>0</v>
      </c>
      <c r="CM306">
        <v>4010</v>
      </c>
      <c r="CO306">
        <v>7360</v>
      </c>
      <c r="CP306">
        <v>0.76670000000000005</v>
      </c>
      <c r="CQ306">
        <v>0.76670000000000005</v>
      </c>
      <c r="CR306">
        <v>2.5667</v>
      </c>
      <c r="CS306">
        <v>15</v>
      </c>
      <c r="CT306" t="s">
        <v>6898</v>
      </c>
      <c r="CU306" t="s">
        <v>6899</v>
      </c>
      <c r="CV306" t="s">
        <v>833</v>
      </c>
      <c r="CW306" t="s">
        <v>834</v>
      </c>
      <c r="CX306" t="s">
        <v>971</v>
      </c>
      <c r="CY306">
        <v>0</v>
      </c>
      <c r="CZ306">
        <v>0</v>
      </c>
      <c r="DA306" t="s">
        <v>833</v>
      </c>
      <c r="DB306" t="s">
        <v>865</v>
      </c>
      <c r="DC306">
        <v>49002</v>
      </c>
      <c r="DD306">
        <v>4.2332999999999998</v>
      </c>
      <c r="DE306" t="s">
        <v>866</v>
      </c>
      <c r="DG306" t="s">
        <v>867</v>
      </c>
      <c r="DH306" t="s">
        <v>851</v>
      </c>
      <c r="DI306" t="s">
        <v>984</v>
      </c>
      <c r="DL306" t="s">
        <v>869</v>
      </c>
      <c r="DM306">
        <v>0</v>
      </c>
      <c r="DN306">
        <v>0</v>
      </c>
      <c r="DO306">
        <v>1</v>
      </c>
      <c r="DP306" t="s">
        <v>985</v>
      </c>
      <c r="DQ306">
        <v>16</v>
      </c>
      <c r="DR306">
        <v>254</v>
      </c>
      <c r="DS306">
        <v>935</v>
      </c>
      <c r="DT306">
        <v>3.4666999999999999</v>
      </c>
      <c r="DU306">
        <v>4</v>
      </c>
      <c r="DW306">
        <v>2</v>
      </c>
      <c r="DX306" t="s">
        <v>596</v>
      </c>
      <c r="DY306" t="s">
        <v>971</v>
      </c>
      <c r="DZ306">
        <v>1</v>
      </c>
      <c r="EA306">
        <v>1</v>
      </c>
      <c r="EB306">
        <v>1</v>
      </c>
      <c r="EC306">
        <v>1</v>
      </c>
      <c r="ED306">
        <v>1</v>
      </c>
      <c r="EE306">
        <v>1</v>
      </c>
      <c r="EF306" t="s">
        <v>871</v>
      </c>
      <c r="EG306" t="s">
        <v>595</v>
      </c>
      <c r="EH306" t="s">
        <v>921</v>
      </c>
      <c r="EI306" t="s">
        <v>921</v>
      </c>
      <c r="EJ306" t="s">
        <v>178</v>
      </c>
      <c r="EK306">
        <v>9090</v>
      </c>
      <c r="EL306">
        <v>0</v>
      </c>
      <c r="EM306" t="s">
        <v>922</v>
      </c>
      <c r="EN306">
        <v>2.5667</v>
      </c>
      <c r="EO306">
        <v>15.5833333</v>
      </c>
      <c r="EP306">
        <v>99991120</v>
      </c>
      <c r="EQ306" t="s">
        <v>874</v>
      </c>
      <c r="ER306" t="s">
        <v>875</v>
      </c>
      <c r="ES306" t="s">
        <v>876</v>
      </c>
      <c r="ET306" t="s">
        <v>877</v>
      </c>
      <c r="EU306" t="s">
        <v>877</v>
      </c>
      <c r="EV306" t="s">
        <v>871</v>
      </c>
      <c r="EX306" t="s">
        <v>953</v>
      </c>
      <c r="EY306" t="s">
        <v>986</v>
      </c>
      <c r="EZ306" t="s">
        <v>924</v>
      </c>
      <c r="FA306" t="s">
        <v>925</v>
      </c>
      <c r="FB306">
        <v>1</v>
      </c>
      <c r="FC306">
        <v>1</v>
      </c>
      <c r="FD306" s="41">
        <v>45997</v>
      </c>
      <c r="FE306" t="s">
        <v>957</v>
      </c>
      <c r="FF306">
        <v>6</v>
      </c>
      <c r="FG306" t="s">
        <v>3740</v>
      </c>
      <c r="FH306" t="s">
        <v>6900</v>
      </c>
      <c r="FI306">
        <v>1</v>
      </c>
      <c r="FJ306" t="s">
        <v>6901</v>
      </c>
      <c r="FK306" t="s">
        <v>6902</v>
      </c>
      <c r="FL306">
        <v>1</v>
      </c>
      <c r="FM306" t="s">
        <v>990</v>
      </c>
      <c r="FN306" t="s">
        <v>6903</v>
      </c>
      <c r="FO306">
        <v>1</v>
      </c>
      <c r="FP306" t="s">
        <v>6904</v>
      </c>
      <c r="FQ306" t="s">
        <v>6899</v>
      </c>
      <c r="FR306">
        <v>1</v>
      </c>
      <c r="FS306" t="s">
        <v>930</v>
      </c>
      <c r="FT306" t="s">
        <v>6905</v>
      </c>
      <c r="FU306">
        <v>1</v>
      </c>
      <c r="FV306" t="s">
        <v>6906</v>
      </c>
      <c r="FW306" t="s">
        <v>6907</v>
      </c>
      <c r="FX306">
        <v>1</v>
      </c>
      <c r="FY306" t="s">
        <v>890</v>
      </c>
      <c r="FZ306" t="s">
        <v>6908</v>
      </c>
      <c r="GA306" t="s">
        <v>6901</v>
      </c>
      <c r="GB306">
        <v>1</v>
      </c>
      <c r="GD306">
        <v>0</v>
      </c>
      <c r="GF306">
        <v>0</v>
      </c>
      <c r="GG306">
        <v>1</v>
      </c>
      <c r="GH306" t="s">
        <v>892</v>
      </c>
      <c r="GI306" t="s">
        <v>893</v>
      </c>
      <c r="GJ306" t="s">
        <v>6902</v>
      </c>
      <c r="GM306">
        <v>1</v>
      </c>
      <c r="GN306">
        <v>1</v>
      </c>
      <c r="GO306">
        <v>0</v>
      </c>
      <c r="GP306">
        <v>1</v>
      </c>
      <c r="GQ306">
        <v>1</v>
      </c>
      <c r="GR306">
        <v>0</v>
      </c>
      <c r="GS306">
        <v>1</v>
      </c>
      <c r="GT306">
        <v>0</v>
      </c>
      <c r="GU306">
        <v>1</v>
      </c>
      <c r="GV306">
        <v>0</v>
      </c>
      <c r="GW306">
        <v>1</v>
      </c>
      <c r="GX306">
        <v>0</v>
      </c>
      <c r="GY306">
        <v>1</v>
      </c>
      <c r="GZ306">
        <v>0</v>
      </c>
      <c r="HA306" t="s">
        <v>405</v>
      </c>
      <c r="HB306" t="s">
        <v>894</v>
      </c>
      <c r="HC306" t="s">
        <v>935</v>
      </c>
      <c r="HD306" t="s">
        <v>845</v>
      </c>
      <c r="HE306" t="s">
        <v>900</v>
      </c>
      <c r="HF306" t="s">
        <v>923</v>
      </c>
      <c r="HG306" t="s">
        <v>894</v>
      </c>
      <c r="HH306" t="s">
        <v>935</v>
      </c>
      <c r="HI306" t="s">
        <v>845</v>
      </c>
      <c r="HJ306" t="s">
        <v>900</v>
      </c>
      <c r="HK306" t="s">
        <v>922</v>
      </c>
      <c r="HL306" t="s">
        <v>208</v>
      </c>
      <c r="HM306" t="s">
        <v>854</v>
      </c>
      <c r="HN306">
        <v>36805</v>
      </c>
      <c r="HP306" t="s">
        <v>178</v>
      </c>
      <c r="HQ306" t="s">
        <v>896</v>
      </c>
      <c r="HR306" t="s">
        <v>896</v>
      </c>
      <c r="HS306" t="s">
        <v>896</v>
      </c>
    </row>
    <row r="307" spans="1:227" x14ac:dyDescent="0.2">
      <c r="A307">
        <v>8702</v>
      </c>
      <c r="B307">
        <v>7536102642</v>
      </c>
      <c r="C307">
        <v>82</v>
      </c>
      <c r="D307" t="s">
        <v>969</v>
      </c>
      <c r="E307" t="s">
        <v>831</v>
      </c>
      <c r="F307">
        <v>0</v>
      </c>
      <c r="G307" t="s">
        <v>6909</v>
      </c>
      <c r="H307" t="s">
        <v>6909</v>
      </c>
      <c r="I307">
        <v>0</v>
      </c>
      <c r="J307" t="s">
        <v>833</v>
      </c>
      <c r="K307" t="s">
        <v>834</v>
      </c>
      <c r="L307">
        <v>153195476</v>
      </c>
      <c r="M307" t="s">
        <v>6910</v>
      </c>
      <c r="N307" t="s">
        <v>836</v>
      </c>
      <c r="O307" t="s">
        <v>837</v>
      </c>
      <c r="P307" t="s">
        <v>2178</v>
      </c>
      <c r="Q307" t="s">
        <v>4196</v>
      </c>
      <c r="R307" t="s">
        <v>6911</v>
      </c>
      <c r="S307" t="s">
        <v>6912</v>
      </c>
      <c r="T307">
        <v>30300130770</v>
      </c>
      <c r="V307" t="s">
        <v>1254</v>
      </c>
      <c r="W307" s="41">
        <v>46018</v>
      </c>
      <c r="X307" t="s">
        <v>6913</v>
      </c>
      <c r="Y307" t="s">
        <v>6914</v>
      </c>
      <c r="AA307">
        <v>0</v>
      </c>
      <c r="AB307" t="s">
        <v>845</v>
      </c>
      <c r="AC307" t="s">
        <v>846</v>
      </c>
      <c r="AD307" t="s">
        <v>847</v>
      </c>
      <c r="AE307" t="s">
        <v>848</v>
      </c>
      <c r="AF307">
        <v>1</v>
      </c>
      <c r="AG307">
        <v>452210</v>
      </c>
      <c r="AH307" t="s">
        <v>849</v>
      </c>
      <c r="AI307" t="s">
        <v>850</v>
      </c>
      <c r="AJ307" t="s">
        <v>851</v>
      </c>
      <c r="AK307" t="s">
        <v>395</v>
      </c>
      <c r="AL307" t="s">
        <v>3870</v>
      </c>
      <c r="AM307" t="s">
        <v>1258</v>
      </c>
      <c r="AN307" t="s">
        <v>854</v>
      </c>
      <c r="AO307">
        <v>36805</v>
      </c>
      <c r="AP307">
        <v>546</v>
      </c>
      <c r="AQ307" t="s">
        <v>855</v>
      </c>
      <c r="AR307">
        <v>66264243</v>
      </c>
      <c r="AS307" t="s">
        <v>856</v>
      </c>
      <c r="AU307" t="s">
        <v>6915</v>
      </c>
      <c r="AV307" t="s">
        <v>6916</v>
      </c>
      <c r="AX307" t="s">
        <v>913</v>
      </c>
      <c r="AY307" t="s">
        <v>861</v>
      </c>
      <c r="AZ307" t="s">
        <v>395</v>
      </c>
      <c r="BA307" t="s">
        <v>396</v>
      </c>
      <c r="BB307">
        <v>0</v>
      </c>
      <c r="BC307">
        <v>0</v>
      </c>
      <c r="BD307">
        <v>0</v>
      </c>
      <c r="BE307" t="s">
        <v>6910</v>
      </c>
      <c r="BF307">
        <v>0</v>
      </c>
      <c r="BG307">
        <v>0</v>
      </c>
      <c r="BH307" t="s">
        <v>862</v>
      </c>
      <c r="BI307">
        <v>0</v>
      </c>
      <c r="BJ307" t="s">
        <v>862</v>
      </c>
      <c r="BK307">
        <v>1</v>
      </c>
      <c r="BL307">
        <v>1</v>
      </c>
      <c r="BM307">
        <v>0</v>
      </c>
      <c r="BN307" t="s">
        <v>596</v>
      </c>
      <c r="BO307">
        <v>153195476</v>
      </c>
      <c r="BP307" t="s">
        <v>6909</v>
      </c>
      <c r="BR307">
        <v>42791462</v>
      </c>
      <c r="BT307">
        <v>0</v>
      </c>
      <c r="CM307">
        <v>4010</v>
      </c>
      <c r="CO307">
        <v>7360</v>
      </c>
      <c r="CP307">
        <v>0.25</v>
      </c>
      <c r="CQ307">
        <v>0.25</v>
      </c>
      <c r="CR307">
        <v>0.9</v>
      </c>
      <c r="CS307">
        <v>4</v>
      </c>
      <c r="CT307" t="s">
        <v>6916</v>
      </c>
      <c r="CU307" t="s">
        <v>6915</v>
      </c>
      <c r="CV307" t="s">
        <v>833</v>
      </c>
      <c r="CW307" t="s">
        <v>834</v>
      </c>
      <c r="CX307" t="s">
        <v>6910</v>
      </c>
      <c r="CY307">
        <v>0</v>
      </c>
      <c r="CZ307">
        <v>0</v>
      </c>
      <c r="DA307" t="s">
        <v>833</v>
      </c>
      <c r="DB307" t="s">
        <v>865</v>
      </c>
      <c r="DC307">
        <v>55447</v>
      </c>
      <c r="DD307">
        <v>3.3332999999999999</v>
      </c>
      <c r="DE307" t="s">
        <v>866</v>
      </c>
      <c r="DG307" t="s">
        <v>867</v>
      </c>
      <c r="DH307" t="s">
        <v>851</v>
      </c>
      <c r="DI307" t="s">
        <v>3407</v>
      </c>
      <c r="DL307" t="s">
        <v>869</v>
      </c>
      <c r="DM307">
        <v>0</v>
      </c>
      <c r="DN307">
        <v>0</v>
      </c>
      <c r="DO307">
        <v>2</v>
      </c>
      <c r="DP307" t="s">
        <v>870</v>
      </c>
      <c r="DQ307">
        <v>12</v>
      </c>
      <c r="DR307">
        <v>200</v>
      </c>
      <c r="DS307">
        <v>202</v>
      </c>
      <c r="DT307">
        <v>3.1166999999999998</v>
      </c>
      <c r="DU307">
        <v>4</v>
      </c>
      <c r="DW307">
        <v>1</v>
      </c>
      <c r="DX307" t="s">
        <v>596</v>
      </c>
      <c r="DY307" t="s">
        <v>6910</v>
      </c>
      <c r="DZ307">
        <v>1</v>
      </c>
      <c r="EA307">
        <v>1</v>
      </c>
      <c r="EB307">
        <v>1</v>
      </c>
      <c r="EC307">
        <v>1</v>
      </c>
      <c r="ED307">
        <v>1</v>
      </c>
      <c r="EE307">
        <v>1</v>
      </c>
      <c r="EF307" t="s">
        <v>871</v>
      </c>
      <c r="EG307" t="s">
        <v>595</v>
      </c>
      <c r="EH307" t="s">
        <v>1036</v>
      </c>
      <c r="EI307" t="s">
        <v>1036</v>
      </c>
      <c r="EJ307" t="s">
        <v>159</v>
      </c>
      <c r="EK307">
        <v>9090</v>
      </c>
      <c r="EL307">
        <v>0</v>
      </c>
      <c r="EM307" t="s">
        <v>873</v>
      </c>
      <c r="EN307">
        <v>2.1</v>
      </c>
      <c r="EO307">
        <v>3.3666665999999998</v>
      </c>
      <c r="EP307">
        <v>99991120</v>
      </c>
      <c r="EQ307" t="s">
        <v>874</v>
      </c>
      <c r="ER307" t="s">
        <v>875</v>
      </c>
      <c r="ES307" t="s">
        <v>876</v>
      </c>
      <c r="ET307" t="s">
        <v>877</v>
      </c>
      <c r="EU307" t="s">
        <v>877</v>
      </c>
      <c r="EV307" t="s">
        <v>871</v>
      </c>
      <c r="EX307" t="s">
        <v>836</v>
      </c>
      <c r="EY307" t="s">
        <v>1121</v>
      </c>
      <c r="EZ307" t="s">
        <v>1122</v>
      </c>
      <c r="FA307" t="s">
        <v>956</v>
      </c>
      <c r="FB307">
        <v>1</v>
      </c>
      <c r="FC307">
        <v>1</v>
      </c>
      <c r="FD307" s="41">
        <v>46018</v>
      </c>
      <c r="FE307" t="s">
        <v>957</v>
      </c>
      <c r="FF307">
        <v>6</v>
      </c>
      <c r="FG307" t="s">
        <v>6917</v>
      </c>
      <c r="FH307" t="s">
        <v>6918</v>
      </c>
      <c r="FI307">
        <v>1</v>
      </c>
      <c r="FJ307" t="s">
        <v>6919</v>
      </c>
      <c r="FK307" t="s">
        <v>6918</v>
      </c>
      <c r="FL307">
        <v>1</v>
      </c>
      <c r="FM307" t="s">
        <v>6920</v>
      </c>
      <c r="FN307" t="s">
        <v>6918</v>
      </c>
      <c r="FO307">
        <v>1</v>
      </c>
      <c r="FP307" t="s">
        <v>6921</v>
      </c>
      <c r="FQ307" t="s">
        <v>6922</v>
      </c>
      <c r="FR307">
        <v>1</v>
      </c>
      <c r="FS307" t="s">
        <v>6923</v>
      </c>
      <c r="FT307" t="s">
        <v>6924</v>
      </c>
      <c r="FU307">
        <v>1</v>
      </c>
      <c r="FV307" t="s">
        <v>6925</v>
      </c>
      <c r="FW307" t="s">
        <v>6926</v>
      </c>
      <c r="FX307">
        <v>1</v>
      </c>
      <c r="FY307" t="s">
        <v>890</v>
      </c>
      <c r="FZ307" t="s">
        <v>6927</v>
      </c>
      <c r="GA307" t="s">
        <v>6925</v>
      </c>
      <c r="GB307">
        <v>1</v>
      </c>
      <c r="GD307">
        <v>0</v>
      </c>
      <c r="GF307">
        <v>0</v>
      </c>
      <c r="GG307">
        <v>1</v>
      </c>
      <c r="GH307" t="s">
        <v>892</v>
      </c>
      <c r="GI307" t="s">
        <v>893</v>
      </c>
      <c r="GJ307" t="s">
        <v>6926</v>
      </c>
      <c r="GM307">
        <v>1</v>
      </c>
      <c r="GN307">
        <v>1</v>
      </c>
      <c r="GO307">
        <v>0</v>
      </c>
      <c r="GP307">
        <v>1</v>
      </c>
      <c r="GQ307">
        <v>1</v>
      </c>
      <c r="GR307">
        <v>0</v>
      </c>
      <c r="GS307">
        <v>1</v>
      </c>
      <c r="GT307">
        <v>0</v>
      </c>
      <c r="GU307">
        <v>1</v>
      </c>
      <c r="GV307">
        <v>0</v>
      </c>
      <c r="GW307">
        <v>1</v>
      </c>
      <c r="GX307">
        <v>0</v>
      </c>
      <c r="GY307">
        <v>1</v>
      </c>
      <c r="GZ307">
        <v>0</v>
      </c>
      <c r="HA307" t="s">
        <v>395</v>
      </c>
      <c r="HB307" t="s">
        <v>894</v>
      </c>
      <c r="HC307" t="s">
        <v>895</v>
      </c>
      <c r="HD307" t="s">
        <v>845</v>
      </c>
      <c r="HE307" t="s">
        <v>836</v>
      </c>
      <c r="HF307" t="s">
        <v>873</v>
      </c>
      <c r="HG307" t="s">
        <v>894</v>
      </c>
      <c r="HH307" t="s">
        <v>895</v>
      </c>
      <c r="HI307" t="s">
        <v>845</v>
      </c>
      <c r="HJ307" t="s">
        <v>836</v>
      </c>
      <c r="HK307" t="s">
        <v>873</v>
      </c>
      <c r="HL307" t="s">
        <v>1254</v>
      </c>
      <c r="HM307" t="s">
        <v>854</v>
      </c>
      <c r="HN307">
        <v>36805</v>
      </c>
      <c r="HP307" t="s">
        <v>159</v>
      </c>
      <c r="HQ307" t="s">
        <v>896</v>
      </c>
      <c r="HR307" t="s">
        <v>896</v>
      </c>
      <c r="HS307" t="s">
        <v>896</v>
      </c>
    </row>
    <row r="308" spans="1:227" x14ac:dyDescent="0.2">
      <c r="A308">
        <v>8702</v>
      </c>
      <c r="B308">
        <v>7525800251</v>
      </c>
      <c r="C308" t="s">
        <v>829</v>
      </c>
      <c r="D308" t="s">
        <v>830</v>
      </c>
      <c r="E308" t="s">
        <v>897</v>
      </c>
      <c r="F308">
        <v>0</v>
      </c>
      <c r="G308" t="s">
        <v>6928</v>
      </c>
      <c r="H308" t="s">
        <v>6928</v>
      </c>
      <c r="I308">
        <v>0</v>
      </c>
      <c r="J308" t="s">
        <v>833</v>
      </c>
      <c r="K308" t="s">
        <v>834</v>
      </c>
      <c r="L308">
        <v>153524572</v>
      </c>
      <c r="M308" t="s">
        <v>2923</v>
      </c>
      <c r="N308" t="s">
        <v>900</v>
      </c>
      <c r="O308" t="s">
        <v>837</v>
      </c>
      <c r="P308" t="s">
        <v>838</v>
      </c>
      <c r="Q308" t="s">
        <v>901</v>
      </c>
      <c r="R308" t="s">
        <v>6929</v>
      </c>
      <c r="S308" t="s">
        <v>6930</v>
      </c>
      <c r="T308">
        <v>41477049377</v>
      </c>
      <c r="V308" t="s">
        <v>1282</v>
      </c>
      <c r="W308" s="41">
        <v>45916</v>
      </c>
      <c r="X308" t="s">
        <v>6931</v>
      </c>
      <c r="Y308" t="s">
        <v>6932</v>
      </c>
      <c r="AA308">
        <v>0</v>
      </c>
      <c r="AB308" t="s">
        <v>845</v>
      </c>
      <c r="AC308" t="s">
        <v>846</v>
      </c>
      <c r="AD308" t="s">
        <v>847</v>
      </c>
      <c r="AE308" t="s">
        <v>848</v>
      </c>
      <c r="AF308">
        <v>1</v>
      </c>
      <c r="AG308">
        <v>452210</v>
      </c>
      <c r="AH308" t="s">
        <v>849</v>
      </c>
      <c r="AI308" t="s">
        <v>850</v>
      </c>
      <c r="AJ308" t="s">
        <v>851</v>
      </c>
      <c r="AK308" t="s">
        <v>460</v>
      </c>
      <c r="AL308" t="s">
        <v>6933</v>
      </c>
      <c r="AM308" t="s">
        <v>1286</v>
      </c>
      <c r="AN308" t="s">
        <v>854</v>
      </c>
      <c r="AO308">
        <v>36805</v>
      </c>
      <c r="AP308">
        <v>497</v>
      </c>
      <c r="AQ308" t="s">
        <v>855</v>
      </c>
      <c r="AR308">
        <v>66116589</v>
      </c>
      <c r="AS308" t="s">
        <v>856</v>
      </c>
      <c r="AU308" t="s">
        <v>6934</v>
      </c>
      <c r="AV308" t="s">
        <v>6935</v>
      </c>
      <c r="AX308" t="s">
        <v>913</v>
      </c>
      <c r="AY308" t="s">
        <v>861</v>
      </c>
      <c r="AZ308" t="s">
        <v>460</v>
      </c>
      <c r="BA308" t="s">
        <v>461</v>
      </c>
      <c r="BB308">
        <v>0</v>
      </c>
      <c r="BC308">
        <v>0</v>
      </c>
      <c r="BD308">
        <v>0</v>
      </c>
      <c r="BE308" t="s">
        <v>2923</v>
      </c>
      <c r="BF308">
        <v>0</v>
      </c>
      <c r="BG308">
        <v>0</v>
      </c>
      <c r="BH308" t="s">
        <v>862</v>
      </c>
      <c r="BI308">
        <v>0</v>
      </c>
      <c r="BJ308" t="s">
        <v>862</v>
      </c>
      <c r="BK308">
        <v>1</v>
      </c>
      <c r="BL308">
        <v>1</v>
      </c>
      <c r="BM308">
        <v>0</v>
      </c>
      <c r="BN308" t="s">
        <v>596</v>
      </c>
      <c r="BO308">
        <v>153524572</v>
      </c>
      <c r="BP308" t="s">
        <v>6928</v>
      </c>
      <c r="BR308">
        <v>42791323</v>
      </c>
      <c r="BT308">
        <v>0</v>
      </c>
      <c r="CM308">
        <v>4010</v>
      </c>
      <c r="CO308">
        <v>7360</v>
      </c>
      <c r="CP308">
        <v>0.31669999999999998</v>
      </c>
      <c r="CQ308">
        <v>0.31669999999999998</v>
      </c>
      <c r="CR308">
        <v>0.9667</v>
      </c>
      <c r="CS308">
        <v>3</v>
      </c>
      <c r="CT308" t="s">
        <v>6936</v>
      </c>
      <c r="CU308" t="s">
        <v>6937</v>
      </c>
      <c r="CV308" t="s">
        <v>833</v>
      </c>
      <c r="CW308" t="s">
        <v>834</v>
      </c>
      <c r="CX308" t="s">
        <v>2923</v>
      </c>
      <c r="CY308">
        <v>0</v>
      </c>
      <c r="CZ308">
        <v>0</v>
      </c>
      <c r="DA308" t="s">
        <v>833</v>
      </c>
      <c r="DB308" t="s">
        <v>865</v>
      </c>
      <c r="DC308">
        <v>15236</v>
      </c>
      <c r="DD308">
        <v>3.3833000000000002</v>
      </c>
      <c r="DE308" t="s">
        <v>866</v>
      </c>
      <c r="DG308" t="s">
        <v>867</v>
      </c>
      <c r="DH308" t="s">
        <v>851</v>
      </c>
      <c r="DI308" t="s">
        <v>1266</v>
      </c>
      <c r="DJ308" t="s">
        <v>2933</v>
      </c>
      <c r="DL308" t="s">
        <v>869</v>
      </c>
      <c r="DM308">
        <v>0</v>
      </c>
      <c r="DN308">
        <v>0</v>
      </c>
      <c r="DO308">
        <v>12</v>
      </c>
      <c r="DP308" t="s">
        <v>1190</v>
      </c>
      <c r="DQ308">
        <v>12</v>
      </c>
      <c r="DR308">
        <v>203</v>
      </c>
      <c r="DS308">
        <v>892</v>
      </c>
      <c r="DT308">
        <v>3.3833000000000002</v>
      </c>
      <c r="DU308">
        <v>4</v>
      </c>
      <c r="DW308">
        <v>1</v>
      </c>
      <c r="DX308" t="s">
        <v>596</v>
      </c>
      <c r="DY308" t="s">
        <v>2923</v>
      </c>
      <c r="DZ308">
        <v>1</v>
      </c>
      <c r="EA308">
        <v>1</v>
      </c>
      <c r="EB308">
        <v>1</v>
      </c>
      <c r="EC308">
        <v>1</v>
      </c>
      <c r="ED308">
        <v>1</v>
      </c>
      <c r="EE308">
        <v>1</v>
      </c>
      <c r="EF308" t="s">
        <v>871</v>
      </c>
      <c r="EG308" t="s">
        <v>595</v>
      </c>
      <c r="EH308" t="s">
        <v>1036</v>
      </c>
      <c r="EI308" t="s">
        <v>1036</v>
      </c>
      <c r="EJ308" t="s">
        <v>124</v>
      </c>
      <c r="EK308">
        <v>9090</v>
      </c>
      <c r="EL308">
        <v>0</v>
      </c>
      <c r="EM308" t="s">
        <v>923</v>
      </c>
      <c r="EN308">
        <v>0.9667</v>
      </c>
      <c r="EO308">
        <v>14.8666666</v>
      </c>
      <c r="EP308">
        <v>99991120</v>
      </c>
      <c r="EQ308" t="s">
        <v>874</v>
      </c>
      <c r="ER308" t="s">
        <v>875</v>
      </c>
      <c r="ES308" t="s">
        <v>876</v>
      </c>
      <c r="ET308" t="s">
        <v>877</v>
      </c>
      <c r="EU308" t="s">
        <v>877</v>
      </c>
      <c r="EV308" t="s">
        <v>871</v>
      </c>
      <c r="EX308" t="s">
        <v>953</v>
      </c>
      <c r="EY308" t="s">
        <v>1292</v>
      </c>
      <c r="EZ308" t="s">
        <v>1293</v>
      </c>
      <c r="FA308" t="s">
        <v>925</v>
      </c>
      <c r="FB308">
        <v>1</v>
      </c>
      <c r="FC308">
        <v>1</v>
      </c>
      <c r="FD308" s="41">
        <v>45920</v>
      </c>
      <c r="FE308" t="s">
        <v>880</v>
      </c>
      <c r="FF308">
        <v>4</v>
      </c>
      <c r="FI308">
        <v>0</v>
      </c>
      <c r="FL308">
        <v>0</v>
      </c>
      <c r="FM308" t="s">
        <v>6938</v>
      </c>
      <c r="FN308" t="s">
        <v>6939</v>
      </c>
      <c r="FO308">
        <v>1</v>
      </c>
      <c r="FP308" t="s">
        <v>6940</v>
      </c>
      <c r="FQ308" t="s">
        <v>6937</v>
      </c>
      <c r="FR308">
        <v>1</v>
      </c>
      <c r="FS308" t="s">
        <v>3974</v>
      </c>
      <c r="FT308" t="s">
        <v>6941</v>
      </c>
      <c r="FU308">
        <v>1</v>
      </c>
      <c r="FV308" t="s">
        <v>6942</v>
      </c>
      <c r="FW308" t="s">
        <v>6943</v>
      </c>
      <c r="FX308">
        <v>1</v>
      </c>
      <c r="FY308" t="s">
        <v>890</v>
      </c>
      <c r="FZ308" t="s">
        <v>6944</v>
      </c>
      <c r="GA308" t="s">
        <v>6942</v>
      </c>
      <c r="GB308">
        <v>1</v>
      </c>
      <c r="GD308">
        <v>0</v>
      </c>
      <c r="GF308">
        <v>0</v>
      </c>
      <c r="GG308">
        <v>1</v>
      </c>
      <c r="GH308" t="s">
        <v>892</v>
      </c>
      <c r="GI308" t="s">
        <v>893</v>
      </c>
      <c r="GJ308" t="s">
        <v>6943</v>
      </c>
      <c r="GM308">
        <v>1</v>
      </c>
      <c r="GN308">
        <v>1</v>
      </c>
      <c r="GO308">
        <v>0</v>
      </c>
      <c r="GP308">
        <v>1</v>
      </c>
      <c r="GQ308">
        <v>1</v>
      </c>
      <c r="GR308">
        <v>0</v>
      </c>
      <c r="GS308">
        <v>1</v>
      </c>
      <c r="GT308">
        <v>0</v>
      </c>
      <c r="GU308">
        <v>1</v>
      </c>
      <c r="GV308">
        <v>0</v>
      </c>
      <c r="GW308">
        <v>1</v>
      </c>
      <c r="GX308">
        <v>0</v>
      </c>
      <c r="GY308">
        <v>1</v>
      </c>
      <c r="GZ308">
        <v>0</v>
      </c>
      <c r="HA308" t="s">
        <v>460</v>
      </c>
      <c r="HB308" t="s">
        <v>894</v>
      </c>
      <c r="HC308" t="s">
        <v>935</v>
      </c>
      <c r="HD308" t="s">
        <v>845</v>
      </c>
      <c r="HE308" t="s">
        <v>900</v>
      </c>
      <c r="HF308" t="s">
        <v>923</v>
      </c>
      <c r="HG308" t="s">
        <v>894</v>
      </c>
      <c r="HH308" t="s">
        <v>935</v>
      </c>
      <c r="HI308" t="s">
        <v>845</v>
      </c>
      <c r="HJ308" t="s">
        <v>900</v>
      </c>
      <c r="HK308" t="s">
        <v>923</v>
      </c>
      <c r="HL308" t="s">
        <v>1282</v>
      </c>
      <c r="HM308" t="s">
        <v>854</v>
      </c>
      <c r="HN308">
        <v>36805</v>
      </c>
      <c r="HP308" t="s">
        <v>124</v>
      </c>
      <c r="HQ308" t="s">
        <v>896</v>
      </c>
      <c r="HR308" t="s">
        <v>896</v>
      </c>
      <c r="HS308" t="s">
        <v>896</v>
      </c>
    </row>
    <row r="309" spans="1:227" x14ac:dyDescent="0.2">
      <c r="A309">
        <v>8702</v>
      </c>
      <c r="B309">
        <v>7615310106</v>
      </c>
      <c r="C309" t="s">
        <v>829</v>
      </c>
      <c r="D309" t="s">
        <v>830</v>
      </c>
      <c r="E309" t="s">
        <v>897</v>
      </c>
      <c r="F309">
        <v>2</v>
      </c>
      <c r="G309" t="s">
        <v>6945</v>
      </c>
      <c r="H309" t="s">
        <v>6945</v>
      </c>
      <c r="I309">
        <v>0</v>
      </c>
      <c r="J309" t="s">
        <v>833</v>
      </c>
      <c r="K309" t="s">
        <v>834</v>
      </c>
      <c r="L309">
        <v>153517088</v>
      </c>
      <c r="M309" t="s">
        <v>6946</v>
      </c>
      <c r="N309" t="s">
        <v>900</v>
      </c>
      <c r="O309" t="s">
        <v>837</v>
      </c>
      <c r="P309" t="s">
        <v>838</v>
      </c>
      <c r="Q309" t="s">
        <v>901</v>
      </c>
      <c r="R309" t="s">
        <v>6947</v>
      </c>
      <c r="S309" t="s">
        <v>6948</v>
      </c>
      <c r="T309">
        <v>41477124032</v>
      </c>
      <c r="V309" t="s">
        <v>237</v>
      </c>
      <c r="W309" s="41">
        <v>46175</v>
      </c>
      <c r="X309" t="s">
        <v>6949</v>
      </c>
      <c r="Y309" t="s">
        <v>6950</v>
      </c>
      <c r="AA309">
        <v>0</v>
      </c>
      <c r="AB309" t="s">
        <v>845</v>
      </c>
      <c r="AC309" t="s">
        <v>846</v>
      </c>
      <c r="AD309" t="s">
        <v>907</v>
      </c>
      <c r="AE309" t="s">
        <v>908</v>
      </c>
      <c r="AF309">
        <v>1</v>
      </c>
      <c r="AG309">
        <v>452210</v>
      </c>
      <c r="AH309" t="s">
        <v>849</v>
      </c>
      <c r="AI309" t="s">
        <v>850</v>
      </c>
      <c r="AJ309" t="s">
        <v>851</v>
      </c>
      <c r="AK309" t="s">
        <v>367</v>
      </c>
      <c r="AL309" t="s">
        <v>3402</v>
      </c>
      <c r="AM309" t="s">
        <v>4357</v>
      </c>
      <c r="AN309" t="s">
        <v>854</v>
      </c>
      <c r="AO309">
        <v>36805</v>
      </c>
      <c r="AP309">
        <v>927</v>
      </c>
      <c r="AQ309" t="s">
        <v>855</v>
      </c>
      <c r="AR309">
        <v>66490165</v>
      </c>
      <c r="AS309" t="s">
        <v>856</v>
      </c>
      <c r="AU309" t="s">
        <v>6951</v>
      </c>
      <c r="AV309" t="s">
        <v>6952</v>
      </c>
      <c r="AW309" t="s">
        <v>1149</v>
      </c>
      <c r="AX309" t="s">
        <v>1150</v>
      </c>
      <c r="AY309" t="s">
        <v>861</v>
      </c>
      <c r="AZ309" t="s">
        <v>367</v>
      </c>
      <c r="BA309" t="s">
        <v>368</v>
      </c>
      <c r="BB309">
        <v>0</v>
      </c>
      <c r="BC309">
        <v>0</v>
      </c>
      <c r="BD309">
        <v>0</v>
      </c>
      <c r="BE309" t="s">
        <v>6946</v>
      </c>
      <c r="BF309">
        <v>0</v>
      </c>
      <c r="BG309">
        <v>0</v>
      </c>
      <c r="BH309" t="s">
        <v>862</v>
      </c>
      <c r="BI309">
        <v>0</v>
      </c>
      <c r="BJ309" t="s">
        <v>862</v>
      </c>
      <c r="BK309">
        <v>1</v>
      </c>
      <c r="BL309">
        <v>0</v>
      </c>
      <c r="BM309">
        <v>0</v>
      </c>
      <c r="BN309" t="s">
        <v>596</v>
      </c>
      <c r="BO309">
        <v>153517088</v>
      </c>
      <c r="BP309" t="s">
        <v>6945</v>
      </c>
      <c r="BR309">
        <v>42793652</v>
      </c>
      <c r="BT309">
        <v>2</v>
      </c>
      <c r="BU309" t="s">
        <v>1314</v>
      </c>
      <c r="BY309">
        <v>16</v>
      </c>
      <c r="CA309">
        <v>3</v>
      </c>
      <c r="CE309">
        <v>1</v>
      </c>
      <c r="CI309">
        <v>11</v>
      </c>
      <c r="CJ309" t="s">
        <v>94</v>
      </c>
      <c r="CM309">
        <v>4010</v>
      </c>
      <c r="CO309">
        <v>7360</v>
      </c>
      <c r="CP309">
        <v>2.1667000000000001</v>
      </c>
      <c r="CQ309">
        <v>2.1667000000000001</v>
      </c>
      <c r="CR309">
        <v>0.7</v>
      </c>
      <c r="CS309">
        <v>1</v>
      </c>
      <c r="CT309" t="s">
        <v>6952</v>
      </c>
      <c r="CU309" t="s">
        <v>6951</v>
      </c>
      <c r="CV309" t="s">
        <v>833</v>
      </c>
      <c r="CW309" t="s">
        <v>834</v>
      </c>
      <c r="CX309" t="s">
        <v>6946</v>
      </c>
      <c r="CY309">
        <v>0</v>
      </c>
      <c r="CZ309">
        <v>0</v>
      </c>
      <c r="DA309" t="s">
        <v>833</v>
      </c>
      <c r="DB309" t="s">
        <v>865</v>
      </c>
      <c r="DC309">
        <v>43230</v>
      </c>
      <c r="DD309">
        <v>3.0832999999999999</v>
      </c>
      <c r="DE309" t="s">
        <v>866</v>
      </c>
      <c r="DG309" t="s">
        <v>867</v>
      </c>
      <c r="DH309" t="s">
        <v>851</v>
      </c>
      <c r="DI309" t="s">
        <v>3967</v>
      </c>
      <c r="DK309" t="s">
        <v>918</v>
      </c>
      <c r="DL309" t="s">
        <v>869</v>
      </c>
      <c r="DM309">
        <v>0</v>
      </c>
      <c r="DN309">
        <v>0</v>
      </c>
      <c r="DO309">
        <v>12</v>
      </c>
      <c r="DP309" t="s">
        <v>1190</v>
      </c>
      <c r="DQ309">
        <v>16</v>
      </c>
      <c r="DR309">
        <v>185</v>
      </c>
      <c r="DS309">
        <v>185</v>
      </c>
      <c r="DT309">
        <v>0.91669999999999996</v>
      </c>
      <c r="DU309">
        <v>4</v>
      </c>
      <c r="DV309">
        <v>1</v>
      </c>
      <c r="DW309">
        <v>2</v>
      </c>
      <c r="DX309" t="s">
        <v>594</v>
      </c>
      <c r="DY309" t="s">
        <v>6946</v>
      </c>
      <c r="DZ309">
        <v>0</v>
      </c>
      <c r="EA309">
        <v>0</v>
      </c>
      <c r="EB309">
        <v>0</v>
      </c>
      <c r="EC309">
        <v>0</v>
      </c>
      <c r="ED309">
        <v>0</v>
      </c>
      <c r="EE309">
        <v>0</v>
      </c>
      <c r="EF309" t="s">
        <v>920</v>
      </c>
      <c r="EG309" t="s">
        <v>595</v>
      </c>
      <c r="EH309" t="s">
        <v>872</v>
      </c>
      <c r="EI309" t="s">
        <v>872</v>
      </c>
      <c r="EJ309" t="s">
        <v>226</v>
      </c>
      <c r="EK309">
        <v>9090</v>
      </c>
      <c r="EL309">
        <v>0</v>
      </c>
      <c r="EM309" t="s">
        <v>1157</v>
      </c>
      <c r="EN309">
        <v>0.7</v>
      </c>
      <c r="EO309">
        <v>3.0833333000000001</v>
      </c>
      <c r="EP309">
        <v>99991120</v>
      </c>
      <c r="EQ309" t="s">
        <v>874</v>
      </c>
      <c r="ER309" t="s">
        <v>875</v>
      </c>
      <c r="ES309" t="s">
        <v>876</v>
      </c>
      <c r="ET309" t="s">
        <v>877</v>
      </c>
      <c r="EU309" t="s">
        <v>877</v>
      </c>
      <c r="EV309" t="s">
        <v>920</v>
      </c>
      <c r="EX309" t="s">
        <v>900</v>
      </c>
      <c r="EY309" t="s">
        <v>923</v>
      </c>
      <c r="EZ309" t="s">
        <v>1158</v>
      </c>
      <c r="FA309" t="s">
        <v>925</v>
      </c>
      <c r="FB309">
        <v>1</v>
      </c>
      <c r="FC309">
        <v>1</v>
      </c>
      <c r="FD309" s="41">
        <v>46179</v>
      </c>
      <c r="FE309" t="s">
        <v>1315</v>
      </c>
      <c r="FF309">
        <v>5</v>
      </c>
      <c r="FI309">
        <v>0</v>
      </c>
      <c r="FJ309" t="s">
        <v>6953</v>
      </c>
      <c r="FK309" t="s">
        <v>6954</v>
      </c>
      <c r="FL309">
        <v>1</v>
      </c>
      <c r="FM309" t="s">
        <v>6955</v>
      </c>
      <c r="FN309" t="s">
        <v>6956</v>
      </c>
      <c r="FO309">
        <v>1</v>
      </c>
      <c r="FP309" t="s">
        <v>6957</v>
      </c>
      <c r="FQ309" t="s">
        <v>6958</v>
      </c>
      <c r="FR309">
        <v>1</v>
      </c>
      <c r="FS309" t="s">
        <v>5999</v>
      </c>
      <c r="FT309" t="s">
        <v>6959</v>
      </c>
      <c r="FU309">
        <v>1</v>
      </c>
      <c r="FV309" t="s">
        <v>6960</v>
      </c>
      <c r="FW309" t="s">
        <v>6954</v>
      </c>
      <c r="FX309">
        <v>1</v>
      </c>
      <c r="FY309" t="s">
        <v>890</v>
      </c>
      <c r="FZ309" t="s">
        <v>6961</v>
      </c>
      <c r="GA309" t="s">
        <v>6953</v>
      </c>
      <c r="GB309">
        <v>1</v>
      </c>
      <c r="GD309">
        <v>0</v>
      </c>
      <c r="GF309">
        <v>0</v>
      </c>
      <c r="GG309">
        <v>1</v>
      </c>
      <c r="GH309" t="s">
        <v>892</v>
      </c>
      <c r="GI309" t="s">
        <v>893</v>
      </c>
      <c r="GJ309" t="s">
        <v>6954</v>
      </c>
      <c r="GM309">
        <v>1</v>
      </c>
      <c r="GN309">
        <v>1</v>
      </c>
      <c r="GO309">
        <v>0</v>
      </c>
      <c r="GP309">
        <v>1</v>
      </c>
      <c r="GQ309">
        <v>1</v>
      </c>
      <c r="GR309">
        <v>0</v>
      </c>
      <c r="GS309">
        <v>1</v>
      </c>
      <c r="GT309">
        <v>0</v>
      </c>
      <c r="GU309">
        <v>1</v>
      </c>
      <c r="GV309">
        <v>0</v>
      </c>
      <c r="GW309">
        <v>1</v>
      </c>
      <c r="GX309">
        <v>0</v>
      </c>
      <c r="GY309">
        <v>1</v>
      </c>
      <c r="GZ309">
        <v>0</v>
      </c>
      <c r="HA309" t="s">
        <v>367</v>
      </c>
      <c r="HB309" t="s">
        <v>894</v>
      </c>
      <c r="HC309" t="s">
        <v>935</v>
      </c>
      <c r="HD309" t="s">
        <v>845</v>
      </c>
      <c r="HE309" t="s">
        <v>900</v>
      </c>
      <c r="HF309" t="s">
        <v>923</v>
      </c>
      <c r="HG309" t="s">
        <v>894</v>
      </c>
      <c r="HH309" t="s">
        <v>935</v>
      </c>
      <c r="HI309" t="s">
        <v>845</v>
      </c>
      <c r="HJ309" t="s">
        <v>900</v>
      </c>
      <c r="HK309" t="s">
        <v>922</v>
      </c>
      <c r="HL309" t="s">
        <v>237</v>
      </c>
      <c r="HM309" t="s">
        <v>854</v>
      </c>
      <c r="HN309">
        <v>36805</v>
      </c>
      <c r="HP309" t="s">
        <v>226</v>
      </c>
      <c r="HQ309" t="s">
        <v>896</v>
      </c>
      <c r="HR309" t="s">
        <v>896</v>
      </c>
      <c r="HS309" t="s">
        <v>896</v>
      </c>
    </row>
    <row r="310" spans="1:227" x14ac:dyDescent="0.2">
      <c r="A310">
        <v>8702</v>
      </c>
      <c r="B310">
        <v>7620306292</v>
      </c>
      <c r="C310" t="s">
        <v>829</v>
      </c>
      <c r="D310" t="s">
        <v>830</v>
      </c>
      <c r="E310" t="s">
        <v>831</v>
      </c>
      <c r="F310">
        <v>0</v>
      </c>
      <c r="G310" t="s">
        <v>6962</v>
      </c>
      <c r="H310" t="s">
        <v>6962</v>
      </c>
      <c r="I310">
        <v>0</v>
      </c>
      <c r="J310" t="s">
        <v>833</v>
      </c>
      <c r="K310" t="s">
        <v>834</v>
      </c>
      <c r="L310">
        <v>152946684</v>
      </c>
      <c r="M310" t="s">
        <v>6963</v>
      </c>
      <c r="N310" t="s">
        <v>836</v>
      </c>
      <c r="O310" t="s">
        <v>837</v>
      </c>
      <c r="P310" t="s">
        <v>838</v>
      </c>
      <c r="Q310" t="s">
        <v>901</v>
      </c>
      <c r="R310" t="s">
        <v>6964</v>
      </c>
      <c r="S310" t="s">
        <v>6965</v>
      </c>
      <c r="T310">
        <v>30300105423</v>
      </c>
      <c r="V310" t="s">
        <v>1796</v>
      </c>
      <c r="W310" s="41">
        <v>46225</v>
      </c>
      <c r="X310" t="s">
        <v>6966</v>
      </c>
      <c r="Y310" t="s">
        <v>6967</v>
      </c>
      <c r="AA310">
        <v>0</v>
      </c>
      <c r="AB310" t="s">
        <v>845</v>
      </c>
      <c r="AC310" t="s">
        <v>846</v>
      </c>
      <c r="AD310" t="s">
        <v>907</v>
      </c>
      <c r="AE310" t="s">
        <v>908</v>
      </c>
      <c r="AF310">
        <v>1</v>
      </c>
      <c r="AG310">
        <v>452210</v>
      </c>
      <c r="AH310" t="s">
        <v>849</v>
      </c>
      <c r="AI310" t="s">
        <v>850</v>
      </c>
      <c r="AJ310" t="s">
        <v>851</v>
      </c>
      <c r="AK310" t="s">
        <v>356</v>
      </c>
      <c r="AL310" t="s">
        <v>1799</v>
      </c>
      <c r="AM310" t="s">
        <v>1800</v>
      </c>
      <c r="AN310" t="s">
        <v>854</v>
      </c>
      <c r="AO310">
        <v>36805</v>
      </c>
      <c r="AP310">
        <v>710</v>
      </c>
      <c r="AQ310" t="s">
        <v>855</v>
      </c>
      <c r="AR310">
        <v>66562216</v>
      </c>
      <c r="AS310" t="s">
        <v>856</v>
      </c>
      <c r="AU310" t="s">
        <v>6968</v>
      </c>
      <c r="AV310" t="s">
        <v>6969</v>
      </c>
      <c r="AX310" t="s">
        <v>913</v>
      </c>
      <c r="AY310" t="s">
        <v>861</v>
      </c>
      <c r="AZ310" t="s">
        <v>356</v>
      </c>
      <c r="BA310" t="s">
        <v>324</v>
      </c>
      <c r="BB310">
        <v>0</v>
      </c>
      <c r="BC310">
        <v>0</v>
      </c>
      <c r="BD310">
        <v>0</v>
      </c>
      <c r="BE310" t="s">
        <v>6963</v>
      </c>
      <c r="BF310">
        <v>0</v>
      </c>
      <c r="BG310">
        <v>0</v>
      </c>
      <c r="BH310" t="s">
        <v>862</v>
      </c>
      <c r="BI310">
        <v>0</v>
      </c>
      <c r="BJ310" t="s">
        <v>862</v>
      </c>
      <c r="BK310">
        <v>1</v>
      </c>
      <c r="BL310">
        <v>1</v>
      </c>
      <c r="BM310">
        <v>0</v>
      </c>
      <c r="BN310" t="s">
        <v>596</v>
      </c>
      <c r="BO310">
        <v>152946684</v>
      </c>
      <c r="BP310" t="s">
        <v>6962</v>
      </c>
      <c r="BQ310">
        <v>42.961058199999997</v>
      </c>
      <c r="BR310">
        <v>42791788</v>
      </c>
      <c r="BS310">
        <v>-88.021065399999998</v>
      </c>
      <c r="BT310">
        <v>2</v>
      </c>
      <c r="BU310" t="s">
        <v>1062</v>
      </c>
      <c r="BY310">
        <v>16</v>
      </c>
      <c r="CA310">
        <v>10</v>
      </c>
      <c r="CE310">
        <v>1</v>
      </c>
      <c r="CI310">
        <v>11</v>
      </c>
      <c r="CJ310" t="s">
        <v>94</v>
      </c>
      <c r="CM310">
        <v>4010</v>
      </c>
      <c r="CO310">
        <v>7360</v>
      </c>
      <c r="CP310">
        <v>0.4667</v>
      </c>
      <c r="CQ310">
        <v>0.4667</v>
      </c>
      <c r="CR310">
        <v>0</v>
      </c>
      <c r="CS310">
        <v>11</v>
      </c>
      <c r="CT310" t="s">
        <v>6969</v>
      </c>
      <c r="CU310" t="s">
        <v>6968</v>
      </c>
      <c r="CV310" t="s">
        <v>833</v>
      </c>
      <c r="CW310" t="s">
        <v>834</v>
      </c>
      <c r="CX310" t="s">
        <v>6963</v>
      </c>
      <c r="CY310">
        <v>0</v>
      </c>
      <c r="CZ310">
        <v>0</v>
      </c>
      <c r="DA310" t="s">
        <v>833</v>
      </c>
      <c r="DB310" t="s">
        <v>865</v>
      </c>
      <c r="DC310">
        <v>53228</v>
      </c>
      <c r="DD310">
        <v>10.3</v>
      </c>
      <c r="DE310" t="s">
        <v>866</v>
      </c>
      <c r="DG310" t="s">
        <v>867</v>
      </c>
      <c r="DH310" t="s">
        <v>851</v>
      </c>
      <c r="DI310" t="s">
        <v>6970</v>
      </c>
      <c r="DK310" t="s">
        <v>918</v>
      </c>
      <c r="DL310" t="s">
        <v>869</v>
      </c>
      <c r="DM310">
        <v>0</v>
      </c>
      <c r="DN310">
        <v>0</v>
      </c>
      <c r="DO310">
        <v>3</v>
      </c>
      <c r="DP310" t="s">
        <v>919</v>
      </c>
      <c r="DQ310">
        <v>16</v>
      </c>
      <c r="DR310">
        <v>618</v>
      </c>
      <c r="DS310">
        <v>618</v>
      </c>
      <c r="DT310">
        <v>9.8332999999999995</v>
      </c>
      <c r="DU310">
        <v>4</v>
      </c>
      <c r="DV310">
        <v>1</v>
      </c>
      <c r="DW310">
        <v>2</v>
      </c>
      <c r="DX310" t="s">
        <v>596</v>
      </c>
      <c r="DY310" t="s">
        <v>6963</v>
      </c>
      <c r="DZ310">
        <v>1</v>
      </c>
      <c r="EA310">
        <v>1</v>
      </c>
      <c r="EB310">
        <v>1</v>
      </c>
      <c r="EC310">
        <v>0</v>
      </c>
      <c r="ED310">
        <v>0</v>
      </c>
      <c r="EE310">
        <v>1</v>
      </c>
      <c r="EF310" t="s">
        <v>920</v>
      </c>
      <c r="EG310" t="s">
        <v>595</v>
      </c>
      <c r="EH310" t="s">
        <v>921</v>
      </c>
      <c r="EI310" t="s">
        <v>921</v>
      </c>
      <c r="EJ310" t="s">
        <v>215</v>
      </c>
      <c r="EK310">
        <v>9090</v>
      </c>
      <c r="EL310">
        <v>0</v>
      </c>
      <c r="EM310" t="s">
        <v>1436</v>
      </c>
      <c r="EN310">
        <v>0</v>
      </c>
      <c r="EO310">
        <v>10.3</v>
      </c>
      <c r="EP310">
        <v>99991120</v>
      </c>
      <c r="EQ310" t="s">
        <v>874</v>
      </c>
      <c r="ER310" t="s">
        <v>875</v>
      </c>
      <c r="ES310" t="s">
        <v>876</v>
      </c>
      <c r="ET310" t="s">
        <v>877</v>
      </c>
      <c r="EU310" t="s">
        <v>877</v>
      </c>
      <c r="EV310" t="s">
        <v>920</v>
      </c>
      <c r="EX310" t="s">
        <v>836</v>
      </c>
      <c r="EY310" t="s">
        <v>873</v>
      </c>
      <c r="EZ310" t="s">
        <v>1807</v>
      </c>
      <c r="FA310" t="s">
        <v>925</v>
      </c>
      <c r="FB310">
        <v>1</v>
      </c>
      <c r="FC310">
        <v>1</v>
      </c>
      <c r="FD310" s="41">
        <v>46228</v>
      </c>
      <c r="FE310" t="s">
        <v>1066</v>
      </c>
      <c r="FF310">
        <v>4</v>
      </c>
      <c r="FI310">
        <v>0</v>
      </c>
      <c r="FL310">
        <v>0</v>
      </c>
      <c r="FM310" t="s">
        <v>6971</v>
      </c>
      <c r="FN310" t="s">
        <v>6972</v>
      </c>
      <c r="FO310">
        <v>1</v>
      </c>
      <c r="FP310" t="s">
        <v>6973</v>
      </c>
      <c r="FQ310" t="s">
        <v>6974</v>
      </c>
      <c r="FR310">
        <v>1</v>
      </c>
      <c r="FS310" t="s">
        <v>1812</v>
      </c>
      <c r="FT310" t="s">
        <v>6975</v>
      </c>
      <c r="FU310">
        <v>1</v>
      </c>
      <c r="FV310" t="s">
        <v>6976</v>
      </c>
      <c r="FW310" t="s">
        <v>6977</v>
      </c>
      <c r="FX310">
        <v>1</v>
      </c>
      <c r="FY310" t="s">
        <v>890</v>
      </c>
      <c r="FZ310" t="s">
        <v>6978</v>
      </c>
      <c r="GA310" t="s">
        <v>6976</v>
      </c>
      <c r="GB310">
        <v>1</v>
      </c>
      <c r="GD310">
        <v>0</v>
      </c>
      <c r="GF310">
        <v>0</v>
      </c>
      <c r="GG310">
        <v>1</v>
      </c>
      <c r="GH310" t="s">
        <v>892</v>
      </c>
      <c r="GI310" t="s">
        <v>893</v>
      </c>
      <c r="GJ310" t="s">
        <v>6977</v>
      </c>
      <c r="GM310">
        <v>1</v>
      </c>
      <c r="GN310">
        <v>1</v>
      </c>
      <c r="GO310">
        <v>0</v>
      </c>
      <c r="GP310">
        <v>1</v>
      </c>
      <c r="GQ310">
        <v>1</v>
      </c>
      <c r="GR310">
        <v>0</v>
      </c>
      <c r="GS310">
        <v>1</v>
      </c>
      <c r="GT310">
        <v>0</v>
      </c>
      <c r="GU310">
        <v>1</v>
      </c>
      <c r="GV310">
        <v>0</v>
      </c>
      <c r="GW310">
        <v>1</v>
      </c>
      <c r="GX310">
        <v>0</v>
      </c>
      <c r="GY310">
        <v>1</v>
      </c>
      <c r="GZ310">
        <v>0</v>
      </c>
      <c r="HA310" t="s">
        <v>356</v>
      </c>
      <c r="HB310" t="s">
        <v>894</v>
      </c>
      <c r="HC310" t="s">
        <v>895</v>
      </c>
      <c r="HD310" t="s">
        <v>845</v>
      </c>
      <c r="HE310" t="s">
        <v>836</v>
      </c>
      <c r="HF310" t="s">
        <v>873</v>
      </c>
      <c r="HG310" t="s">
        <v>894</v>
      </c>
      <c r="HH310" t="s">
        <v>895</v>
      </c>
      <c r="HI310" t="s">
        <v>845</v>
      </c>
      <c r="HJ310" t="s">
        <v>836</v>
      </c>
      <c r="HK310" t="s">
        <v>1436</v>
      </c>
      <c r="HL310" t="s">
        <v>1796</v>
      </c>
      <c r="HM310" t="s">
        <v>854</v>
      </c>
      <c r="HN310">
        <v>36805</v>
      </c>
      <c r="HP310" t="s">
        <v>215</v>
      </c>
      <c r="HQ310" t="s">
        <v>896</v>
      </c>
      <c r="HR310" t="s">
        <v>896</v>
      </c>
      <c r="HS310" t="s">
        <v>896</v>
      </c>
    </row>
    <row r="311" spans="1:227" x14ac:dyDescent="0.2">
      <c r="A311">
        <v>8702</v>
      </c>
      <c r="B311">
        <v>7601105887</v>
      </c>
      <c r="C311" t="s">
        <v>936</v>
      </c>
      <c r="D311" t="s">
        <v>937</v>
      </c>
      <c r="E311" t="s">
        <v>831</v>
      </c>
      <c r="F311">
        <v>0</v>
      </c>
      <c r="G311" t="s">
        <v>6979</v>
      </c>
      <c r="H311" t="s">
        <v>6979</v>
      </c>
      <c r="I311">
        <v>0</v>
      </c>
      <c r="J311" t="s">
        <v>833</v>
      </c>
      <c r="K311" t="s">
        <v>834</v>
      </c>
      <c r="L311">
        <v>152946703</v>
      </c>
      <c r="M311" t="s">
        <v>6980</v>
      </c>
      <c r="N311" t="s">
        <v>836</v>
      </c>
      <c r="O311" t="s">
        <v>837</v>
      </c>
      <c r="P311" t="s">
        <v>940</v>
      </c>
      <c r="Q311" t="s">
        <v>2404</v>
      </c>
      <c r="R311" t="s">
        <v>6981</v>
      </c>
      <c r="S311" t="s">
        <v>6982</v>
      </c>
      <c r="T311">
        <v>41477093838</v>
      </c>
      <c r="V311" t="s">
        <v>1796</v>
      </c>
      <c r="W311" s="41">
        <v>46033</v>
      </c>
      <c r="X311" t="s">
        <v>6983</v>
      </c>
      <c r="Y311" t="s">
        <v>6984</v>
      </c>
      <c r="Z311">
        <v>1</v>
      </c>
      <c r="AA311">
        <v>0</v>
      </c>
      <c r="AB311" t="s">
        <v>845</v>
      </c>
      <c r="AC311" t="s">
        <v>846</v>
      </c>
      <c r="AD311" t="s">
        <v>847</v>
      </c>
      <c r="AE311" t="s">
        <v>848</v>
      </c>
      <c r="AF311">
        <v>1</v>
      </c>
      <c r="AG311">
        <v>452210</v>
      </c>
      <c r="AH311" t="s">
        <v>849</v>
      </c>
      <c r="AI311" t="s">
        <v>850</v>
      </c>
      <c r="AJ311" t="s">
        <v>851</v>
      </c>
      <c r="AK311" t="s">
        <v>389</v>
      </c>
      <c r="AL311" t="s">
        <v>5840</v>
      </c>
      <c r="AM311" t="s">
        <v>1800</v>
      </c>
      <c r="AN311" t="s">
        <v>854</v>
      </c>
      <c r="AO311">
        <v>36805</v>
      </c>
      <c r="AP311">
        <v>710</v>
      </c>
      <c r="AQ311" t="s">
        <v>855</v>
      </c>
      <c r="AR311">
        <v>66285458</v>
      </c>
      <c r="AS311" t="s">
        <v>856</v>
      </c>
      <c r="AU311" t="s">
        <v>6985</v>
      </c>
      <c r="AV311" t="s">
        <v>6986</v>
      </c>
      <c r="AX311" t="s">
        <v>913</v>
      </c>
      <c r="AY311" t="s">
        <v>861</v>
      </c>
      <c r="AZ311" t="s">
        <v>389</v>
      </c>
      <c r="BA311" t="s">
        <v>390</v>
      </c>
      <c r="BB311">
        <v>0</v>
      </c>
      <c r="BC311">
        <v>0</v>
      </c>
      <c r="BD311">
        <v>0</v>
      </c>
      <c r="BE311" t="s">
        <v>6980</v>
      </c>
      <c r="BF311">
        <v>0</v>
      </c>
      <c r="BG311">
        <v>0</v>
      </c>
      <c r="BH311" t="s">
        <v>862</v>
      </c>
      <c r="BI311">
        <v>0</v>
      </c>
      <c r="BJ311" t="s">
        <v>862</v>
      </c>
      <c r="BK311">
        <v>1</v>
      </c>
      <c r="BL311">
        <v>1</v>
      </c>
      <c r="BM311">
        <v>0</v>
      </c>
      <c r="BN311" t="s">
        <v>596</v>
      </c>
      <c r="BO311">
        <v>152946703</v>
      </c>
      <c r="BP311" t="s">
        <v>6979</v>
      </c>
      <c r="BR311">
        <v>42791788</v>
      </c>
      <c r="BT311">
        <v>2</v>
      </c>
      <c r="BU311" t="s">
        <v>1367</v>
      </c>
      <c r="CE311">
        <v>1</v>
      </c>
      <c r="CI311">
        <v>11</v>
      </c>
      <c r="CJ311" t="s">
        <v>94</v>
      </c>
      <c r="CM311">
        <v>4010</v>
      </c>
      <c r="CO311">
        <v>7360</v>
      </c>
      <c r="CP311">
        <v>0.16669999999999999</v>
      </c>
      <c r="CQ311">
        <v>0.16669999999999999</v>
      </c>
      <c r="CR311">
        <v>0.36670000000000003</v>
      </c>
      <c r="CS311">
        <v>1</v>
      </c>
      <c r="CT311" t="s">
        <v>6987</v>
      </c>
      <c r="CU311" t="s">
        <v>6988</v>
      </c>
      <c r="CV311" t="s">
        <v>833</v>
      </c>
      <c r="CW311" t="s">
        <v>834</v>
      </c>
      <c r="CX311" t="s">
        <v>6980</v>
      </c>
      <c r="CY311">
        <v>0</v>
      </c>
      <c r="CZ311">
        <v>0</v>
      </c>
      <c r="DA311" t="s">
        <v>833</v>
      </c>
      <c r="DB311" t="s">
        <v>865</v>
      </c>
      <c r="DC311">
        <v>53228</v>
      </c>
      <c r="DD311">
        <v>1.1833</v>
      </c>
      <c r="DE311" t="s">
        <v>866</v>
      </c>
      <c r="DG311" t="s">
        <v>867</v>
      </c>
      <c r="DH311" t="s">
        <v>851</v>
      </c>
      <c r="DI311" t="s">
        <v>6989</v>
      </c>
      <c r="DK311" t="s">
        <v>918</v>
      </c>
      <c r="DL311" t="s">
        <v>869</v>
      </c>
      <c r="DM311">
        <v>0</v>
      </c>
      <c r="DN311">
        <v>0</v>
      </c>
      <c r="DO311">
        <v>3</v>
      </c>
      <c r="DP311" t="s">
        <v>919</v>
      </c>
      <c r="DQ311">
        <v>16</v>
      </c>
      <c r="DR311">
        <v>71</v>
      </c>
      <c r="DS311">
        <v>71</v>
      </c>
      <c r="DT311">
        <v>1.0166999999999999</v>
      </c>
      <c r="DU311">
        <v>4</v>
      </c>
      <c r="DV311">
        <v>1</v>
      </c>
      <c r="DW311">
        <v>2</v>
      </c>
      <c r="DX311" t="s">
        <v>596</v>
      </c>
      <c r="DY311" t="s">
        <v>6980</v>
      </c>
      <c r="DZ311">
        <v>1</v>
      </c>
      <c r="EA311">
        <v>1</v>
      </c>
      <c r="EB311">
        <v>1</v>
      </c>
      <c r="EC311">
        <v>1</v>
      </c>
      <c r="ED311">
        <v>1</v>
      </c>
      <c r="EE311">
        <v>1</v>
      </c>
      <c r="EF311" t="s">
        <v>920</v>
      </c>
      <c r="EG311" t="s">
        <v>595</v>
      </c>
      <c r="EH311" t="s">
        <v>921</v>
      </c>
      <c r="EI311" t="s">
        <v>921</v>
      </c>
      <c r="EJ311" t="s">
        <v>215</v>
      </c>
      <c r="EK311">
        <v>9090</v>
      </c>
      <c r="EL311">
        <v>0</v>
      </c>
      <c r="EM311" t="s">
        <v>873</v>
      </c>
      <c r="EN311">
        <v>0.36670000000000003</v>
      </c>
      <c r="EO311">
        <v>1.1833332999999999</v>
      </c>
      <c r="EP311">
        <v>99991120</v>
      </c>
      <c r="EQ311" t="s">
        <v>874</v>
      </c>
      <c r="ER311" t="s">
        <v>875</v>
      </c>
      <c r="ES311" t="s">
        <v>876</v>
      </c>
      <c r="ET311" t="s">
        <v>877</v>
      </c>
      <c r="EU311" t="s">
        <v>877</v>
      </c>
      <c r="EV311" t="s">
        <v>920</v>
      </c>
      <c r="EX311" t="s">
        <v>836</v>
      </c>
      <c r="EY311" t="s">
        <v>873</v>
      </c>
      <c r="EZ311" t="s">
        <v>1807</v>
      </c>
      <c r="FA311" t="s">
        <v>925</v>
      </c>
      <c r="FB311">
        <v>1</v>
      </c>
      <c r="FC311">
        <v>1</v>
      </c>
      <c r="FD311" s="41">
        <v>46039</v>
      </c>
      <c r="FE311" t="s">
        <v>1370</v>
      </c>
      <c r="FF311">
        <v>4</v>
      </c>
      <c r="FI311">
        <v>0</v>
      </c>
      <c r="FL311">
        <v>0</v>
      </c>
      <c r="FM311" t="s">
        <v>6990</v>
      </c>
      <c r="FN311" t="s">
        <v>6991</v>
      </c>
      <c r="FO311">
        <v>1</v>
      </c>
      <c r="FP311" t="s">
        <v>6992</v>
      </c>
      <c r="FQ311" t="s">
        <v>6993</v>
      </c>
      <c r="FR311">
        <v>1</v>
      </c>
      <c r="FS311" t="s">
        <v>2836</v>
      </c>
      <c r="FT311" t="s">
        <v>6994</v>
      </c>
      <c r="FU311">
        <v>1</v>
      </c>
      <c r="FV311" t="s">
        <v>6995</v>
      </c>
      <c r="FW311" t="s">
        <v>6996</v>
      </c>
      <c r="FX311">
        <v>1</v>
      </c>
      <c r="FY311" t="s">
        <v>890</v>
      </c>
      <c r="FZ311" t="s">
        <v>6997</v>
      </c>
      <c r="GA311" t="s">
        <v>6995</v>
      </c>
      <c r="GB311">
        <v>1</v>
      </c>
      <c r="GD311">
        <v>0</v>
      </c>
      <c r="GF311">
        <v>0</v>
      </c>
      <c r="GG311">
        <v>1</v>
      </c>
      <c r="GH311" t="s">
        <v>892</v>
      </c>
      <c r="GI311" t="s">
        <v>893</v>
      </c>
      <c r="GJ311" t="s">
        <v>6996</v>
      </c>
      <c r="GM311">
        <v>1</v>
      </c>
      <c r="GN311">
        <v>1</v>
      </c>
      <c r="GO311">
        <v>0</v>
      </c>
      <c r="GP311">
        <v>1</v>
      </c>
      <c r="GQ311">
        <v>1</v>
      </c>
      <c r="GR311">
        <v>0</v>
      </c>
      <c r="GS311">
        <v>1</v>
      </c>
      <c r="GT311">
        <v>0</v>
      </c>
      <c r="GU311">
        <v>1</v>
      </c>
      <c r="GV311">
        <v>0</v>
      </c>
      <c r="GW311">
        <v>1</v>
      </c>
      <c r="GX311">
        <v>0</v>
      </c>
      <c r="GY311">
        <v>1</v>
      </c>
      <c r="GZ311">
        <v>0</v>
      </c>
      <c r="HA311" t="s">
        <v>389</v>
      </c>
      <c r="HB311" t="s">
        <v>894</v>
      </c>
      <c r="HC311" t="s">
        <v>895</v>
      </c>
      <c r="HD311" t="s">
        <v>845</v>
      </c>
      <c r="HE311" t="s">
        <v>836</v>
      </c>
      <c r="HF311" t="s">
        <v>873</v>
      </c>
      <c r="HG311" t="s">
        <v>894</v>
      </c>
      <c r="HH311" t="s">
        <v>895</v>
      </c>
      <c r="HI311" t="s">
        <v>845</v>
      </c>
      <c r="HJ311" t="s">
        <v>836</v>
      </c>
      <c r="HK311" t="s">
        <v>873</v>
      </c>
      <c r="HL311" t="s">
        <v>1796</v>
      </c>
      <c r="HM311" t="s">
        <v>854</v>
      </c>
      <c r="HN311">
        <v>36805</v>
      </c>
      <c r="HP311" t="s">
        <v>215</v>
      </c>
      <c r="HQ311" t="s">
        <v>896</v>
      </c>
      <c r="HR311" t="s">
        <v>896</v>
      </c>
      <c r="HS311" t="s">
        <v>896</v>
      </c>
    </row>
    <row r="312" spans="1:227" x14ac:dyDescent="0.2">
      <c r="A312">
        <v>8702</v>
      </c>
      <c r="B312">
        <v>7618410257</v>
      </c>
      <c r="C312" t="s">
        <v>829</v>
      </c>
      <c r="D312" t="s">
        <v>830</v>
      </c>
      <c r="E312" t="s">
        <v>897</v>
      </c>
      <c r="F312">
        <v>0</v>
      </c>
      <c r="G312" t="s">
        <v>6998</v>
      </c>
      <c r="H312" t="s">
        <v>6998</v>
      </c>
      <c r="I312">
        <v>0</v>
      </c>
      <c r="J312" t="s">
        <v>833</v>
      </c>
      <c r="K312" t="s">
        <v>834</v>
      </c>
      <c r="L312">
        <v>153524586</v>
      </c>
      <c r="M312" t="s">
        <v>6999</v>
      </c>
      <c r="N312" t="s">
        <v>900</v>
      </c>
      <c r="O312" t="s">
        <v>837</v>
      </c>
      <c r="P312" t="s">
        <v>838</v>
      </c>
      <c r="Q312" t="s">
        <v>1251</v>
      </c>
      <c r="R312" t="s">
        <v>7000</v>
      </c>
      <c r="S312" t="s">
        <v>7001</v>
      </c>
      <c r="T312">
        <v>41477124629</v>
      </c>
      <c r="V312" t="s">
        <v>1282</v>
      </c>
      <c r="W312" s="41">
        <v>46207</v>
      </c>
      <c r="X312" t="s">
        <v>7002</v>
      </c>
      <c r="Y312" t="s">
        <v>7003</v>
      </c>
      <c r="AA312">
        <v>0</v>
      </c>
      <c r="AB312" t="s">
        <v>845</v>
      </c>
      <c r="AC312" t="s">
        <v>846</v>
      </c>
      <c r="AD312" t="s">
        <v>907</v>
      </c>
      <c r="AE312" t="s">
        <v>908</v>
      </c>
      <c r="AF312">
        <v>1</v>
      </c>
      <c r="AG312">
        <v>452210</v>
      </c>
      <c r="AH312" t="s">
        <v>849</v>
      </c>
      <c r="AI312" t="s">
        <v>850</v>
      </c>
      <c r="AJ312" t="s">
        <v>851</v>
      </c>
      <c r="AK312" t="s">
        <v>269</v>
      </c>
      <c r="AL312" t="s">
        <v>2928</v>
      </c>
      <c r="AM312" t="s">
        <v>1286</v>
      </c>
      <c r="AN312" t="s">
        <v>854</v>
      </c>
      <c r="AO312">
        <v>36805</v>
      </c>
      <c r="AP312">
        <v>497</v>
      </c>
      <c r="AQ312" t="s">
        <v>855</v>
      </c>
      <c r="AR312">
        <v>66536070</v>
      </c>
      <c r="AS312" t="s">
        <v>856</v>
      </c>
      <c r="AU312" t="s">
        <v>7004</v>
      </c>
      <c r="AV312" t="s">
        <v>7005</v>
      </c>
      <c r="AW312" t="s">
        <v>1149</v>
      </c>
      <c r="AX312" t="s">
        <v>1150</v>
      </c>
      <c r="AY312" t="s">
        <v>861</v>
      </c>
      <c r="AZ312" t="s">
        <v>269</v>
      </c>
      <c r="BA312" t="s">
        <v>270</v>
      </c>
      <c r="BB312">
        <v>0</v>
      </c>
      <c r="BC312">
        <v>0</v>
      </c>
      <c r="BD312">
        <v>0</v>
      </c>
      <c r="BE312" t="s">
        <v>6999</v>
      </c>
      <c r="BF312">
        <v>0</v>
      </c>
      <c r="BG312">
        <v>0</v>
      </c>
      <c r="BH312" t="s">
        <v>862</v>
      </c>
      <c r="BI312">
        <v>0</v>
      </c>
      <c r="BJ312" t="s">
        <v>862</v>
      </c>
      <c r="BK312">
        <v>1</v>
      </c>
      <c r="BL312">
        <v>0</v>
      </c>
      <c r="BM312">
        <v>0</v>
      </c>
      <c r="BN312" t="s">
        <v>596</v>
      </c>
      <c r="BO312">
        <v>153524586</v>
      </c>
      <c r="BP312" t="s">
        <v>6998</v>
      </c>
      <c r="BQ312">
        <v>40.330111199999997</v>
      </c>
      <c r="BR312">
        <v>42791323</v>
      </c>
      <c r="BS312">
        <v>-79.944196899999994</v>
      </c>
      <c r="BT312">
        <v>2</v>
      </c>
      <c r="BU312" t="s">
        <v>1062</v>
      </c>
      <c r="BY312">
        <v>16</v>
      </c>
      <c r="CA312">
        <v>16</v>
      </c>
      <c r="CE312">
        <v>1</v>
      </c>
      <c r="CI312">
        <v>11</v>
      </c>
      <c r="CJ312" t="s">
        <v>94</v>
      </c>
      <c r="CM312">
        <v>4010</v>
      </c>
      <c r="CO312">
        <v>7360</v>
      </c>
      <c r="CP312">
        <v>0.26669999999999999</v>
      </c>
      <c r="CQ312">
        <v>0.26669999999999999</v>
      </c>
      <c r="CR312">
        <v>1.1333</v>
      </c>
      <c r="CS312">
        <v>377</v>
      </c>
      <c r="CT312" t="s">
        <v>7005</v>
      </c>
      <c r="CU312" t="s">
        <v>7004</v>
      </c>
      <c r="CV312" t="s">
        <v>833</v>
      </c>
      <c r="CW312" t="s">
        <v>834</v>
      </c>
      <c r="CX312" t="s">
        <v>6999</v>
      </c>
      <c r="CY312">
        <v>0</v>
      </c>
      <c r="CZ312">
        <v>0</v>
      </c>
      <c r="DA312" t="s">
        <v>833</v>
      </c>
      <c r="DB312" t="s">
        <v>865</v>
      </c>
      <c r="DC312">
        <v>15236</v>
      </c>
      <c r="DD312">
        <v>15.95</v>
      </c>
      <c r="DE312" t="s">
        <v>866</v>
      </c>
      <c r="DG312" t="s">
        <v>867</v>
      </c>
      <c r="DH312" t="s">
        <v>851</v>
      </c>
      <c r="DI312" t="s">
        <v>1266</v>
      </c>
      <c r="DK312" t="s">
        <v>918</v>
      </c>
      <c r="DL312" t="s">
        <v>869</v>
      </c>
      <c r="DM312">
        <v>0</v>
      </c>
      <c r="DN312">
        <v>1.67E-2</v>
      </c>
      <c r="DO312">
        <v>3</v>
      </c>
      <c r="DP312" t="s">
        <v>919</v>
      </c>
      <c r="DQ312">
        <v>16</v>
      </c>
      <c r="DR312">
        <v>99</v>
      </c>
      <c r="DS312">
        <v>1677</v>
      </c>
      <c r="DT312">
        <v>1.3833</v>
      </c>
      <c r="DU312">
        <v>4</v>
      </c>
      <c r="DV312">
        <v>1</v>
      </c>
      <c r="DW312">
        <v>2</v>
      </c>
      <c r="DX312" t="s">
        <v>594</v>
      </c>
      <c r="DY312" t="s">
        <v>6999</v>
      </c>
      <c r="DZ312">
        <v>0</v>
      </c>
      <c r="EA312">
        <v>0</v>
      </c>
      <c r="EB312">
        <v>0</v>
      </c>
      <c r="EC312">
        <v>0</v>
      </c>
      <c r="ED312">
        <v>0</v>
      </c>
      <c r="EE312">
        <v>0</v>
      </c>
      <c r="EF312" t="s">
        <v>920</v>
      </c>
      <c r="EG312" t="s">
        <v>595</v>
      </c>
      <c r="EH312" t="s">
        <v>872</v>
      </c>
      <c r="EI312" t="s">
        <v>872</v>
      </c>
      <c r="EJ312" t="s">
        <v>124</v>
      </c>
      <c r="EK312">
        <v>9090</v>
      </c>
      <c r="EL312">
        <v>0</v>
      </c>
      <c r="EM312" t="s">
        <v>923</v>
      </c>
      <c r="EN312">
        <v>1.1333</v>
      </c>
      <c r="EO312">
        <v>27.95</v>
      </c>
      <c r="EP312">
        <v>99991120</v>
      </c>
      <c r="EQ312" t="s">
        <v>874</v>
      </c>
      <c r="ER312" t="s">
        <v>875</v>
      </c>
      <c r="ES312" t="s">
        <v>876</v>
      </c>
      <c r="ET312" t="s">
        <v>877</v>
      </c>
      <c r="EU312" t="s">
        <v>877</v>
      </c>
      <c r="EV312" t="s">
        <v>920</v>
      </c>
      <c r="EX312" t="s">
        <v>900</v>
      </c>
      <c r="EY312" t="s">
        <v>923</v>
      </c>
      <c r="EZ312" t="s">
        <v>1293</v>
      </c>
      <c r="FA312" t="s">
        <v>925</v>
      </c>
      <c r="FB312">
        <v>1</v>
      </c>
      <c r="FC312">
        <v>1</v>
      </c>
      <c r="FD312" s="41">
        <v>46207</v>
      </c>
      <c r="FE312" t="s">
        <v>1066</v>
      </c>
      <c r="FF312">
        <v>8</v>
      </c>
      <c r="FG312" t="s">
        <v>7006</v>
      </c>
      <c r="FH312" t="s">
        <v>7007</v>
      </c>
      <c r="FI312">
        <v>1</v>
      </c>
      <c r="FJ312" t="s">
        <v>7008</v>
      </c>
      <c r="FK312" t="s">
        <v>7007</v>
      </c>
      <c r="FL312">
        <v>1</v>
      </c>
      <c r="FM312" t="s">
        <v>7009</v>
      </c>
      <c r="FN312" t="s">
        <v>7010</v>
      </c>
      <c r="FO312">
        <v>1</v>
      </c>
      <c r="FP312" t="s">
        <v>7011</v>
      </c>
      <c r="FQ312" t="s">
        <v>7004</v>
      </c>
      <c r="FR312">
        <v>1</v>
      </c>
      <c r="FS312" t="s">
        <v>1297</v>
      </c>
      <c r="FT312" t="s">
        <v>7012</v>
      </c>
      <c r="FU312">
        <v>1</v>
      </c>
      <c r="FV312" t="s">
        <v>7013</v>
      </c>
      <c r="FW312" t="s">
        <v>7014</v>
      </c>
      <c r="FX312">
        <v>1</v>
      </c>
      <c r="FY312" t="s">
        <v>890</v>
      </c>
      <c r="FZ312" t="s">
        <v>7015</v>
      </c>
      <c r="GA312" t="s">
        <v>7006</v>
      </c>
      <c r="GB312">
        <v>1</v>
      </c>
      <c r="GD312">
        <v>0</v>
      </c>
      <c r="GF312">
        <v>0</v>
      </c>
      <c r="GG312">
        <v>1</v>
      </c>
      <c r="GH312" t="s">
        <v>892</v>
      </c>
      <c r="GI312" t="s">
        <v>893</v>
      </c>
      <c r="GJ312" t="s">
        <v>7007</v>
      </c>
      <c r="GM312">
        <v>1</v>
      </c>
      <c r="GN312">
        <v>1</v>
      </c>
      <c r="GO312">
        <v>0</v>
      </c>
      <c r="GP312">
        <v>1</v>
      </c>
      <c r="GQ312">
        <v>1</v>
      </c>
      <c r="GR312">
        <v>0</v>
      </c>
      <c r="GS312">
        <v>1</v>
      </c>
      <c r="GT312">
        <v>0</v>
      </c>
      <c r="GU312">
        <v>1</v>
      </c>
      <c r="GV312">
        <v>0</v>
      </c>
      <c r="GW312">
        <v>1</v>
      </c>
      <c r="GX312">
        <v>0</v>
      </c>
      <c r="GY312">
        <v>1</v>
      </c>
      <c r="GZ312">
        <v>0</v>
      </c>
      <c r="HA312" t="s">
        <v>269</v>
      </c>
      <c r="HB312" t="s">
        <v>894</v>
      </c>
      <c r="HC312" t="s">
        <v>935</v>
      </c>
      <c r="HD312" t="s">
        <v>845</v>
      </c>
      <c r="HE312" t="s">
        <v>900</v>
      </c>
      <c r="HF312" t="s">
        <v>923</v>
      </c>
      <c r="HG312" t="s">
        <v>894</v>
      </c>
      <c r="HH312" t="s">
        <v>935</v>
      </c>
      <c r="HI312" t="s">
        <v>845</v>
      </c>
      <c r="HJ312" t="s">
        <v>900</v>
      </c>
      <c r="HK312" t="s">
        <v>923</v>
      </c>
      <c r="HL312" t="s">
        <v>1282</v>
      </c>
      <c r="HM312" t="s">
        <v>854</v>
      </c>
      <c r="HN312">
        <v>36805</v>
      </c>
      <c r="HP312" t="s">
        <v>124</v>
      </c>
      <c r="HQ312" t="s">
        <v>896</v>
      </c>
      <c r="HR312" t="s">
        <v>896</v>
      </c>
      <c r="HS312" t="s">
        <v>896</v>
      </c>
    </row>
    <row r="313" spans="1:227" x14ac:dyDescent="0.2">
      <c r="A313">
        <v>8702</v>
      </c>
      <c r="B313">
        <v>7526504313</v>
      </c>
      <c r="C313" t="s">
        <v>829</v>
      </c>
      <c r="D313" t="s">
        <v>830</v>
      </c>
      <c r="E313" t="s">
        <v>831</v>
      </c>
      <c r="F313">
        <v>1</v>
      </c>
      <c r="G313" t="s">
        <v>7016</v>
      </c>
      <c r="H313" t="s">
        <v>7016</v>
      </c>
      <c r="I313">
        <v>0</v>
      </c>
      <c r="J313" t="s">
        <v>833</v>
      </c>
      <c r="K313" t="s">
        <v>834</v>
      </c>
      <c r="L313">
        <v>152949072</v>
      </c>
      <c r="M313" t="s">
        <v>7017</v>
      </c>
      <c r="N313" t="s">
        <v>836</v>
      </c>
      <c r="O313" t="s">
        <v>837</v>
      </c>
      <c r="P313" t="s">
        <v>838</v>
      </c>
      <c r="Q313" t="s">
        <v>1593</v>
      </c>
      <c r="R313" t="s">
        <v>7018</v>
      </c>
      <c r="S313" t="s">
        <v>7019</v>
      </c>
      <c r="T313">
        <v>41477086390</v>
      </c>
      <c r="V313" t="s">
        <v>121</v>
      </c>
      <c r="W313" s="41">
        <v>45922</v>
      </c>
      <c r="X313" t="s">
        <v>7020</v>
      </c>
      <c r="Y313" t="s">
        <v>7021</v>
      </c>
      <c r="AA313">
        <v>0</v>
      </c>
      <c r="AB313" t="s">
        <v>845</v>
      </c>
      <c r="AC313" t="s">
        <v>846</v>
      </c>
      <c r="AD313" t="s">
        <v>847</v>
      </c>
      <c r="AE313" t="s">
        <v>848</v>
      </c>
      <c r="AF313">
        <v>1</v>
      </c>
      <c r="AG313">
        <v>452210</v>
      </c>
      <c r="AH313" t="s">
        <v>849</v>
      </c>
      <c r="AI313" t="s">
        <v>850</v>
      </c>
      <c r="AJ313" t="s">
        <v>851</v>
      </c>
      <c r="AK313" t="s">
        <v>301</v>
      </c>
      <c r="AL313" t="s">
        <v>1086</v>
      </c>
      <c r="AM313" t="s">
        <v>3266</v>
      </c>
      <c r="AN313" t="s">
        <v>854</v>
      </c>
      <c r="AO313">
        <v>36805</v>
      </c>
      <c r="AP313">
        <v>495</v>
      </c>
      <c r="AQ313" t="s">
        <v>855</v>
      </c>
      <c r="AR313">
        <v>66125658</v>
      </c>
      <c r="AS313" t="s">
        <v>856</v>
      </c>
      <c r="AU313" t="s">
        <v>7022</v>
      </c>
      <c r="AV313" t="s">
        <v>7023</v>
      </c>
      <c r="AX313" t="s">
        <v>913</v>
      </c>
      <c r="AY313" t="s">
        <v>861</v>
      </c>
      <c r="AZ313" t="s">
        <v>301</v>
      </c>
      <c r="BA313" t="s">
        <v>302</v>
      </c>
      <c r="BB313">
        <v>0</v>
      </c>
      <c r="BC313">
        <v>0</v>
      </c>
      <c r="BD313">
        <v>0</v>
      </c>
      <c r="BE313" t="s">
        <v>7017</v>
      </c>
      <c r="BF313">
        <v>0</v>
      </c>
      <c r="BG313">
        <v>0</v>
      </c>
      <c r="BH313" t="s">
        <v>862</v>
      </c>
      <c r="BI313">
        <v>0</v>
      </c>
      <c r="BJ313" t="s">
        <v>862</v>
      </c>
      <c r="BK313">
        <v>1</v>
      </c>
      <c r="BL313">
        <v>1</v>
      </c>
      <c r="BM313">
        <v>0</v>
      </c>
      <c r="BN313" t="s">
        <v>596</v>
      </c>
      <c r="BO313">
        <v>152949072</v>
      </c>
      <c r="BP313" t="s">
        <v>7016</v>
      </c>
      <c r="BR313">
        <v>42789062</v>
      </c>
      <c r="BT313">
        <v>0</v>
      </c>
      <c r="CM313">
        <v>4010</v>
      </c>
      <c r="CO313">
        <v>7360</v>
      </c>
      <c r="CP313">
        <v>1.0667</v>
      </c>
      <c r="CQ313">
        <v>1.0667</v>
      </c>
      <c r="CR313">
        <v>1.1000000000000001</v>
      </c>
      <c r="CS313">
        <v>2</v>
      </c>
      <c r="CT313" t="s">
        <v>7024</v>
      </c>
      <c r="CU313" t="s">
        <v>7025</v>
      </c>
      <c r="CV313" t="s">
        <v>833</v>
      </c>
      <c r="CW313" t="s">
        <v>834</v>
      </c>
      <c r="CX313" t="s">
        <v>7017</v>
      </c>
      <c r="CY313">
        <v>0</v>
      </c>
      <c r="CZ313">
        <v>0</v>
      </c>
      <c r="DA313" t="s">
        <v>833</v>
      </c>
      <c r="DB313" t="s">
        <v>865</v>
      </c>
      <c r="DC313">
        <v>63304</v>
      </c>
      <c r="DD313">
        <v>5.05</v>
      </c>
      <c r="DE313" t="s">
        <v>866</v>
      </c>
      <c r="DG313" t="s">
        <v>867</v>
      </c>
      <c r="DH313" t="s">
        <v>851</v>
      </c>
      <c r="DI313" t="s">
        <v>7026</v>
      </c>
      <c r="DL313" t="s">
        <v>869</v>
      </c>
      <c r="DM313">
        <v>0</v>
      </c>
      <c r="DN313">
        <v>0</v>
      </c>
      <c r="DO313">
        <v>12</v>
      </c>
      <c r="DP313" t="s">
        <v>1190</v>
      </c>
      <c r="DQ313">
        <v>16</v>
      </c>
      <c r="DR313">
        <v>303</v>
      </c>
      <c r="DS313">
        <v>303</v>
      </c>
      <c r="DT313">
        <v>3.9832999999999998</v>
      </c>
      <c r="DU313">
        <v>4</v>
      </c>
      <c r="DW313">
        <v>2</v>
      </c>
      <c r="DX313" t="s">
        <v>596</v>
      </c>
      <c r="DY313" t="s">
        <v>7017</v>
      </c>
      <c r="DZ313">
        <v>1</v>
      </c>
      <c r="EA313">
        <v>1</v>
      </c>
      <c r="EB313">
        <v>1</v>
      </c>
      <c r="EC313">
        <v>1</v>
      </c>
      <c r="ED313">
        <v>1</v>
      </c>
      <c r="EE313">
        <v>1</v>
      </c>
      <c r="EF313" t="s">
        <v>920</v>
      </c>
      <c r="EG313" t="s">
        <v>595</v>
      </c>
      <c r="EH313" t="s">
        <v>921</v>
      </c>
      <c r="EI313" t="s">
        <v>921</v>
      </c>
      <c r="EJ313" t="s">
        <v>111</v>
      </c>
      <c r="EK313">
        <v>9090</v>
      </c>
      <c r="EL313">
        <v>0</v>
      </c>
      <c r="EM313" t="s">
        <v>1037</v>
      </c>
      <c r="EN313">
        <v>1.1000000000000001</v>
      </c>
      <c r="EO313">
        <v>5.05</v>
      </c>
      <c r="EP313">
        <v>99991120</v>
      </c>
      <c r="EQ313" t="s">
        <v>874</v>
      </c>
      <c r="ER313" t="s">
        <v>875</v>
      </c>
      <c r="ES313" t="s">
        <v>876</v>
      </c>
      <c r="ET313" t="s">
        <v>877</v>
      </c>
      <c r="EU313" t="s">
        <v>877</v>
      </c>
      <c r="EV313" t="s">
        <v>920</v>
      </c>
      <c r="EX313" t="s">
        <v>900</v>
      </c>
      <c r="EY313" t="s">
        <v>923</v>
      </c>
      <c r="EZ313" t="s">
        <v>1038</v>
      </c>
      <c r="FA313" t="s">
        <v>925</v>
      </c>
      <c r="FB313">
        <v>1</v>
      </c>
      <c r="FC313">
        <v>1</v>
      </c>
      <c r="FD313" s="41">
        <v>45927</v>
      </c>
      <c r="FE313" t="s">
        <v>880</v>
      </c>
      <c r="FF313">
        <v>6</v>
      </c>
      <c r="FG313" t="s">
        <v>3928</v>
      </c>
      <c r="FH313" t="s">
        <v>7027</v>
      </c>
      <c r="FI313">
        <v>1</v>
      </c>
      <c r="FJ313" t="s">
        <v>7028</v>
      </c>
      <c r="FK313" t="s">
        <v>7029</v>
      </c>
      <c r="FL313">
        <v>1</v>
      </c>
      <c r="FM313" t="s">
        <v>7030</v>
      </c>
      <c r="FN313" t="s">
        <v>7031</v>
      </c>
      <c r="FO313">
        <v>1</v>
      </c>
      <c r="FP313" t="s">
        <v>7032</v>
      </c>
      <c r="FQ313" t="s">
        <v>7025</v>
      </c>
      <c r="FR313">
        <v>1</v>
      </c>
      <c r="FS313" t="s">
        <v>1376</v>
      </c>
      <c r="FT313" t="s">
        <v>7033</v>
      </c>
      <c r="FU313">
        <v>1</v>
      </c>
      <c r="FV313" t="s">
        <v>4720</v>
      </c>
      <c r="FW313" t="s">
        <v>7034</v>
      </c>
      <c r="FX313">
        <v>1</v>
      </c>
      <c r="FY313" t="s">
        <v>890</v>
      </c>
      <c r="FZ313" t="s">
        <v>7035</v>
      </c>
      <c r="GA313" t="s">
        <v>7028</v>
      </c>
      <c r="GB313">
        <v>1</v>
      </c>
      <c r="GD313">
        <v>0</v>
      </c>
      <c r="GF313">
        <v>0</v>
      </c>
      <c r="GG313">
        <v>1</v>
      </c>
      <c r="GH313" t="s">
        <v>892</v>
      </c>
      <c r="GI313" t="s">
        <v>893</v>
      </c>
      <c r="GJ313" t="s">
        <v>7029</v>
      </c>
      <c r="GM313">
        <v>1</v>
      </c>
      <c r="GN313">
        <v>1</v>
      </c>
      <c r="GO313">
        <v>0</v>
      </c>
      <c r="GP313">
        <v>1</v>
      </c>
      <c r="GQ313">
        <v>1</v>
      </c>
      <c r="GR313">
        <v>0</v>
      </c>
      <c r="GS313">
        <v>1</v>
      </c>
      <c r="GT313">
        <v>0</v>
      </c>
      <c r="GU313">
        <v>1</v>
      </c>
      <c r="GV313">
        <v>0</v>
      </c>
      <c r="GW313">
        <v>1</v>
      </c>
      <c r="GX313">
        <v>0</v>
      </c>
      <c r="GY313">
        <v>1</v>
      </c>
      <c r="GZ313">
        <v>0</v>
      </c>
      <c r="HA313" t="s">
        <v>301</v>
      </c>
      <c r="HB313" t="s">
        <v>894</v>
      </c>
      <c r="HC313" t="s">
        <v>895</v>
      </c>
      <c r="HD313" t="s">
        <v>845</v>
      </c>
      <c r="HE313" t="s">
        <v>836</v>
      </c>
      <c r="HF313" t="s">
        <v>1051</v>
      </c>
      <c r="HG313" t="s">
        <v>894</v>
      </c>
      <c r="HH313" t="s">
        <v>895</v>
      </c>
      <c r="HI313" t="s">
        <v>845</v>
      </c>
      <c r="HJ313" t="s">
        <v>836</v>
      </c>
      <c r="HK313" t="s">
        <v>1037</v>
      </c>
      <c r="HL313" t="s">
        <v>121</v>
      </c>
      <c r="HM313" t="s">
        <v>854</v>
      </c>
      <c r="HN313">
        <v>36805</v>
      </c>
      <c r="HP313" t="s">
        <v>111</v>
      </c>
      <c r="HQ313" t="s">
        <v>896</v>
      </c>
      <c r="HR313" t="s">
        <v>896</v>
      </c>
      <c r="HS313" t="s">
        <v>896</v>
      </c>
    </row>
    <row r="314" spans="1:227" x14ac:dyDescent="0.2">
      <c r="A314">
        <v>8702</v>
      </c>
      <c r="B314">
        <v>7604411866</v>
      </c>
      <c r="C314" t="s">
        <v>829</v>
      </c>
      <c r="D314" t="s">
        <v>830</v>
      </c>
      <c r="E314" t="s">
        <v>831</v>
      </c>
      <c r="F314">
        <v>0</v>
      </c>
      <c r="G314" t="s">
        <v>7036</v>
      </c>
      <c r="H314" t="s">
        <v>7036</v>
      </c>
      <c r="I314">
        <v>0</v>
      </c>
      <c r="J314" t="s">
        <v>833</v>
      </c>
      <c r="K314" t="s">
        <v>834</v>
      </c>
      <c r="L314">
        <v>153406611</v>
      </c>
      <c r="M314" t="s">
        <v>7037</v>
      </c>
      <c r="N314" t="s">
        <v>836</v>
      </c>
      <c r="O314" t="s">
        <v>837</v>
      </c>
      <c r="P314" t="s">
        <v>838</v>
      </c>
      <c r="Q314" t="s">
        <v>901</v>
      </c>
      <c r="R314" t="s">
        <v>7038</v>
      </c>
      <c r="S314" t="s">
        <v>7039</v>
      </c>
      <c r="T314">
        <v>30300105423</v>
      </c>
      <c r="V314" t="s">
        <v>214</v>
      </c>
      <c r="W314" s="41">
        <v>46066</v>
      </c>
      <c r="X314" t="s">
        <v>7040</v>
      </c>
      <c r="Y314" t="s">
        <v>7041</v>
      </c>
      <c r="AA314">
        <v>0</v>
      </c>
      <c r="AB314" t="s">
        <v>845</v>
      </c>
      <c r="AC314" t="s">
        <v>846</v>
      </c>
      <c r="AD314" t="s">
        <v>1113</v>
      </c>
      <c r="AE314" t="s">
        <v>1114</v>
      </c>
      <c r="AF314">
        <v>1</v>
      </c>
      <c r="AG314">
        <v>452210</v>
      </c>
      <c r="AH314" t="s">
        <v>849</v>
      </c>
      <c r="AI314" t="s">
        <v>850</v>
      </c>
      <c r="AJ314" t="s">
        <v>851</v>
      </c>
      <c r="AK314" t="s">
        <v>323</v>
      </c>
      <c r="AL314" t="s">
        <v>1799</v>
      </c>
      <c r="AM314" t="s">
        <v>1902</v>
      </c>
      <c r="AN314" t="s">
        <v>854</v>
      </c>
      <c r="AO314">
        <v>36805</v>
      </c>
      <c r="AP314">
        <v>701</v>
      </c>
      <c r="AQ314" t="s">
        <v>855</v>
      </c>
      <c r="AR314">
        <v>66332898</v>
      </c>
      <c r="AS314" t="s">
        <v>856</v>
      </c>
      <c r="AU314" t="s">
        <v>7042</v>
      </c>
      <c r="AV314" t="s">
        <v>7043</v>
      </c>
      <c r="AX314" t="s">
        <v>913</v>
      </c>
      <c r="AY314" t="s">
        <v>861</v>
      </c>
      <c r="AZ314" t="s">
        <v>323</v>
      </c>
      <c r="BA314" t="s">
        <v>324</v>
      </c>
      <c r="BB314">
        <v>0</v>
      </c>
      <c r="BC314">
        <v>0</v>
      </c>
      <c r="BD314">
        <v>1</v>
      </c>
      <c r="BE314" t="s">
        <v>7037</v>
      </c>
      <c r="BF314">
        <v>0</v>
      </c>
      <c r="BG314">
        <v>0</v>
      </c>
      <c r="BH314" t="s">
        <v>862</v>
      </c>
      <c r="BI314">
        <v>0</v>
      </c>
      <c r="BJ314" t="s">
        <v>862</v>
      </c>
      <c r="BK314">
        <v>1</v>
      </c>
      <c r="BL314">
        <v>1</v>
      </c>
      <c r="BM314">
        <v>0</v>
      </c>
      <c r="BN314" t="s">
        <v>596</v>
      </c>
      <c r="BO314">
        <v>153406611</v>
      </c>
      <c r="BP314" t="s">
        <v>7036</v>
      </c>
      <c r="BQ314">
        <v>43.0513008</v>
      </c>
      <c r="BR314">
        <v>42791783</v>
      </c>
      <c r="BS314">
        <v>-87.906361500000003</v>
      </c>
      <c r="BT314">
        <v>2</v>
      </c>
      <c r="BU314" t="s">
        <v>1780</v>
      </c>
      <c r="CE314">
        <v>1</v>
      </c>
      <c r="CI314">
        <v>11</v>
      </c>
      <c r="CJ314" t="s">
        <v>94</v>
      </c>
      <c r="CM314">
        <v>4010</v>
      </c>
      <c r="CO314">
        <v>7360</v>
      </c>
      <c r="CP314">
        <v>0.66669999999999996</v>
      </c>
      <c r="CQ314">
        <v>0.66669999999999996</v>
      </c>
      <c r="CR314">
        <v>0.36670000000000003</v>
      </c>
      <c r="CS314">
        <v>0</v>
      </c>
      <c r="CT314" t="s">
        <v>7043</v>
      </c>
      <c r="CU314" t="s">
        <v>7042</v>
      </c>
      <c r="CV314" t="s">
        <v>833</v>
      </c>
      <c r="CW314" t="s">
        <v>834</v>
      </c>
      <c r="CX314" t="s">
        <v>7037</v>
      </c>
      <c r="CY314">
        <v>1</v>
      </c>
      <c r="CZ314">
        <v>1</v>
      </c>
      <c r="DA314" t="s">
        <v>833</v>
      </c>
      <c r="DB314" t="s">
        <v>865</v>
      </c>
      <c r="DC314">
        <v>53202</v>
      </c>
      <c r="DD314">
        <v>1.8667</v>
      </c>
      <c r="DE314" t="s">
        <v>866</v>
      </c>
      <c r="DG314" t="s">
        <v>867</v>
      </c>
      <c r="DH314" t="s">
        <v>851</v>
      </c>
      <c r="DK314" t="s">
        <v>918</v>
      </c>
      <c r="DL314" t="s">
        <v>869</v>
      </c>
      <c r="DM314">
        <v>0</v>
      </c>
      <c r="DN314">
        <v>0</v>
      </c>
      <c r="DO314">
        <v>11</v>
      </c>
      <c r="DP314" t="s">
        <v>1010</v>
      </c>
      <c r="DQ314">
        <v>0</v>
      </c>
      <c r="DR314">
        <v>112</v>
      </c>
      <c r="DS314">
        <v>112</v>
      </c>
      <c r="DT314">
        <v>1.2</v>
      </c>
      <c r="DU314">
        <v>0</v>
      </c>
      <c r="DV314">
        <v>1</v>
      </c>
      <c r="DW314">
        <v>2</v>
      </c>
      <c r="DX314" t="s">
        <v>596</v>
      </c>
      <c r="DY314" t="s">
        <v>7037</v>
      </c>
      <c r="DZ314">
        <v>1</v>
      </c>
      <c r="EA314">
        <v>1</v>
      </c>
      <c r="EB314">
        <v>1</v>
      </c>
      <c r="EC314">
        <v>1</v>
      </c>
      <c r="ED314">
        <v>1</v>
      </c>
      <c r="EE314">
        <v>1</v>
      </c>
      <c r="EF314" t="s">
        <v>920</v>
      </c>
      <c r="EG314" t="s">
        <v>595</v>
      </c>
      <c r="EH314" t="s">
        <v>921</v>
      </c>
      <c r="EI314" t="s">
        <v>921</v>
      </c>
      <c r="EJ314" t="s">
        <v>215</v>
      </c>
      <c r="EK314">
        <v>9090</v>
      </c>
      <c r="EL314">
        <v>0</v>
      </c>
      <c r="EM314" t="s">
        <v>873</v>
      </c>
      <c r="EN314">
        <v>0.36670000000000003</v>
      </c>
      <c r="EO314">
        <v>1.8666666000000001</v>
      </c>
      <c r="EP314">
        <v>99991120</v>
      </c>
      <c r="EQ314" t="s">
        <v>874</v>
      </c>
      <c r="ER314" t="s">
        <v>875</v>
      </c>
      <c r="ES314" t="s">
        <v>876</v>
      </c>
      <c r="ET314" t="s">
        <v>877</v>
      </c>
      <c r="EU314" t="s">
        <v>877</v>
      </c>
      <c r="EV314" t="s">
        <v>920</v>
      </c>
      <c r="EX314" t="s">
        <v>836</v>
      </c>
      <c r="EY314" t="s">
        <v>873</v>
      </c>
      <c r="EZ314" t="s">
        <v>1807</v>
      </c>
      <c r="FA314" t="s">
        <v>925</v>
      </c>
      <c r="FB314">
        <v>1</v>
      </c>
      <c r="FC314">
        <v>1</v>
      </c>
      <c r="FD314" s="41">
        <v>46067</v>
      </c>
      <c r="FE314" t="s">
        <v>1267</v>
      </c>
      <c r="FF314">
        <v>5</v>
      </c>
      <c r="FI314">
        <v>0</v>
      </c>
      <c r="FJ314" t="s">
        <v>7044</v>
      </c>
      <c r="FK314" t="s">
        <v>7045</v>
      </c>
      <c r="FL314">
        <v>1</v>
      </c>
      <c r="FM314" t="s">
        <v>7046</v>
      </c>
      <c r="FN314" t="s">
        <v>7047</v>
      </c>
      <c r="FO314">
        <v>1</v>
      </c>
      <c r="FP314" t="s">
        <v>7048</v>
      </c>
      <c r="FQ314" t="s">
        <v>7049</v>
      </c>
      <c r="FR314">
        <v>1</v>
      </c>
      <c r="FS314" t="s">
        <v>1911</v>
      </c>
      <c r="FT314" t="s">
        <v>7050</v>
      </c>
      <c r="FU314">
        <v>1</v>
      </c>
      <c r="FV314" t="s">
        <v>7051</v>
      </c>
      <c r="FW314" t="s">
        <v>7045</v>
      </c>
      <c r="FX314">
        <v>1</v>
      </c>
      <c r="FY314" t="s">
        <v>890</v>
      </c>
      <c r="FZ314" t="s">
        <v>7052</v>
      </c>
      <c r="GA314" t="s">
        <v>7044</v>
      </c>
      <c r="GB314">
        <v>1</v>
      </c>
      <c r="GD314">
        <v>0</v>
      </c>
      <c r="GF314">
        <v>0</v>
      </c>
      <c r="GG314">
        <v>1</v>
      </c>
      <c r="GH314" t="s">
        <v>892</v>
      </c>
      <c r="GI314" t="s">
        <v>893</v>
      </c>
      <c r="GJ314" t="s">
        <v>7045</v>
      </c>
      <c r="GM314">
        <v>1</v>
      </c>
      <c r="GN314">
        <v>1</v>
      </c>
      <c r="GO314">
        <v>0</v>
      </c>
      <c r="GP314">
        <v>1</v>
      </c>
      <c r="GQ314">
        <v>1</v>
      </c>
      <c r="GR314">
        <v>0</v>
      </c>
      <c r="GS314">
        <v>1</v>
      </c>
      <c r="GT314">
        <v>0</v>
      </c>
      <c r="GU314">
        <v>1</v>
      </c>
      <c r="GV314">
        <v>0</v>
      </c>
      <c r="GW314">
        <v>1</v>
      </c>
      <c r="GX314">
        <v>0</v>
      </c>
      <c r="GY314">
        <v>1</v>
      </c>
      <c r="GZ314">
        <v>0</v>
      </c>
      <c r="HA314" t="s">
        <v>323</v>
      </c>
      <c r="HB314" t="s">
        <v>894</v>
      </c>
      <c r="HC314" t="s">
        <v>895</v>
      </c>
      <c r="HD314" t="s">
        <v>845</v>
      </c>
      <c r="HE314" t="s">
        <v>836</v>
      </c>
      <c r="HF314" t="s">
        <v>873</v>
      </c>
      <c r="HG314" t="s">
        <v>894</v>
      </c>
      <c r="HH314" t="s">
        <v>895</v>
      </c>
      <c r="HI314" t="s">
        <v>845</v>
      </c>
      <c r="HJ314" t="s">
        <v>836</v>
      </c>
      <c r="HK314" t="s">
        <v>873</v>
      </c>
      <c r="HL314" t="s">
        <v>214</v>
      </c>
      <c r="HM314" t="s">
        <v>854</v>
      </c>
      <c r="HN314">
        <v>36805</v>
      </c>
      <c r="HP314" t="s">
        <v>215</v>
      </c>
      <c r="HQ314" t="s">
        <v>896</v>
      </c>
      <c r="HR314" t="s">
        <v>896</v>
      </c>
      <c r="HS314" t="s">
        <v>896</v>
      </c>
    </row>
    <row r="315" spans="1:227" x14ac:dyDescent="0.2">
      <c r="A315">
        <v>8702</v>
      </c>
      <c r="B315">
        <v>7605505113</v>
      </c>
      <c r="C315" t="s">
        <v>829</v>
      </c>
      <c r="D315" t="s">
        <v>830</v>
      </c>
      <c r="E315" t="s">
        <v>831</v>
      </c>
      <c r="F315">
        <v>1</v>
      </c>
      <c r="G315" t="s">
        <v>7053</v>
      </c>
      <c r="H315" t="s">
        <v>7053</v>
      </c>
      <c r="I315">
        <v>0</v>
      </c>
      <c r="J315" t="s">
        <v>833</v>
      </c>
      <c r="K315" t="s">
        <v>834</v>
      </c>
      <c r="L315">
        <v>152946688</v>
      </c>
      <c r="M315" t="s">
        <v>7054</v>
      </c>
      <c r="N315" t="s">
        <v>836</v>
      </c>
      <c r="O315" t="s">
        <v>837</v>
      </c>
      <c r="P315" t="s">
        <v>838</v>
      </c>
      <c r="Q315" t="s">
        <v>1593</v>
      </c>
      <c r="R315" t="s">
        <v>7055</v>
      </c>
      <c r="S315" t="s">
        <v>7056</v>
      </c>
      <c r="T315">
        <v>41477010629</v>
      </c>
      <c r="V315" t="s">
        <v>1384</v>
      </c>
      <c r="W315" s="41">
        <v>46085</v>
      </c>
      <c r="X315" t="s">
        <v>7057</v>
      </c>
      <c r="Y315" t="s">
        <v>7058</v>
      </c>
      <c r="Z315" t="s">
        <v>7059</v>
      </c>
      <c r="AA315">
        <v>0</v>
      </c>
      <c r="AB315" t="s">
        <v>845</v>
      </c>
      <c r="AC315" t="s">
        <v>846</v>
      </c>
      <c r="AD315" t="s">
        <v>1113</v>
      </c>
      <c r="AE315" t="s">
        <v>1114</v>
      </c>
      <c r="AF315">
        <v>1</v>
      </c>
      <c r="AG315">
        <v>452210</v>
      </c>
      <c r="AH315" t="s">
        <v>849</v>
      </c>
      <c r="AI315" t="s">
        <v>850</v>
      </c>
      <c r="AJ315" t="s">
        <v>851</v>
      </c>
      <c r="AK315" t="s">
        <v>326</v>
      </c>
      <c r="AL315" t="s">
        <v>4004</v>
      </c>
      <c r="AM315" t="s">
        <v>1387</v>
      </c>
      <c r="AN315" t="s">
        <v>854</v>
      </c>
      <c r="AO315">
        <v>36805</v>
      </c>
      <c r="AP315">
        <v>542</v>
      </c>
      <c r="AQ315" t="s">
        <v>855</v>
      </c>
      <c r="AR315">
        <v>66360219</v>
      </c>
      <c r="AS315" t="s">
        <v>856</v>
      </c>
      <c r="AU315" t="s">
        <v>7060</v>
      </c>
      <c r="AV315" t="s">
        <v>7061</v>
      </c>
      <c r="AX315" t="s">
        <v>913</v>
      </c>
      <c r="AY315" t="s">
        <v>861</v>
      </c>
      <c r="AZ315" t="s">
        <v>326</v>
      </c>
      <c r="BA315" t="s">
        <v>327</v>
      </c>
      <c r="BB315">
        <v>0</v>
      </c>
      <c r="BC315">
        <v>1</v>
      </c>
      <c r="BD315">
        <v>0</v>
      </c>
      <c r="BE315" t="s">
        <v>7054</v>
      </c>
      <c r="BF315">
        <v>0</v>
      </c>
      <c r="BG315">
        <v>0</v>
      </c>
      <c r="BH315" t="s">
        <v>862</v>
      </c>
      <c r="BI315">
        <v>0</v>
      </c>
      <c r="BJ315" t="s">
        <v>862</v>
      </c>
      <c r="BK315">
        <v>1</v>
      </c>
      <c r="BL315">
        <v>1</v>
      </c>
      <c r="BM315">
        <v>0</v>
      </c>
      <c r="BN315" t="s">
        <v>596</v>
      </c>
      <c r="BO315">
        <v>152946688</v>
      </c>
      <c r="BP315" t="s">
        <v>7053</v>
      </c>
      <c r="BR315">
        <v>42791456</v>
      </c>
      <c r="BT315">
        <v>1</v>
      </c>
      <c r="BU315" t="s">
        <v>1715</v>
      </c>
      <c r="CI315">
        <v>11</v>
      </c>
      <c r="CJ315" t="s">
        <v>94</v>
      </c>
      <c r="CM315">
        <v>4010</v>
      </c>
      <c r="CO315">
        <v>7360</v>
      </c>
      <c r="CP315">
        <v>5.5833000000000004</v>
      </c>
      <c r="CQ315">
        <v>5.5833000000000004</v>
      </c>
      <c r="CR315">
        <v>3.0333000000000001</v>
      </c>
      <c r="CS315">
        <v>0</v>
      </c>
      <c r="CT315" t="s">
        <v>7061</v>
      </c>
      <c r="CU315" t="s">
        <v>7060</v>
      </c>
      <c r="CV315" t="s">
        <v>833</v>
      </c>
      <c r="CW315" t="s">
        <v>834</v>
      </c>
      <c r="CX315" t="s">
        <v>7054</v>
      </c>
      <c r="CY315">
        <v>1</v>
      </c>
      <c r="CZ315">
        <v>1</v>
      </c>
      <c r="DA315" t="s">
        <v>833</v>
      </c>
      <c r="DB315" t="s">
        <v>865</v>
      </c>
      <c r="DC315">
        <v>55124</v>
      </c>
      <c r="DD315">
        <v>95.916700000000006</v>
      </c>
      <c r="DE315" t="s">
        <v>866</v>
      </c>
      <c r="DG315" t="s">
        <v>867</v>
      </c>
      <c r="DH315" t="s">
        <v>851</v>
      </c>
      <c r="DI315" t="s">
        <v>3616</v>
      </c>
      <c r="DK315" t="s">
        <v>918</v>
      </c>
      <c r="DL315" t="s">
        <v>869</v>
      </c>
      <c r="DM315">
        <v>0</v>
      </c>
      <c r="DN315">
        <v>0</v>
      </c>
      <c r="DO315">
        <v>12</v>
      </c>
      <c r="DP315" t="s">
        <v>1190</v>
      </c>
      <c r="DQ315">
        <v>0</v>
      </c>
      <c r="DR315">
        <v>5755</v>
      </c>
      <c r="DS315">
        <v>11515</v>
      </c>
      <c r="DT315">
        <v>7.2832999999999997</v>
      </c>
      <c r="DU315">
        <v>0</v>
      </c>
      <c r="DV315">
        <v>1</v>
      </c>
      <c r="DW315">
        <v>2</v>
      </c>
      <c r="DX315" t="s">
        <v>596</v>
      </c>
      <c r="DY315" t="s">
        <v>7054</v>
      </c>
      <c r="DZ315">
        <v>1</v>
      </c>
      <c r="EA315">
        <v>1</v>
      </c>
      <c r="EB315">
        <v>1</v>
      </c>
      <c r="EC315">
        <v>1</v>
      </c>
      <c r="ED315">
        <v>1</v>
      </c>
      <c r="EE315">
        <v>1</v>
      </c>
      <c r="EF315" t="s">
        <v>920</v>
      </c>
      <c r="EG315" t="s">
        <v>595</v>
      </c>
      <c r="EH315" t="s">
        <v>921</v>
      </c>
      <c r="EI315" t="s">
        <v>921</v>
      </c>
      <c r="EJ315" t="s">
        <v>159</v>
      </c>
      <c r="EK315">
        <v>9090</v>
      </c>
      <c r="EL315">
        <v>1</v>
      </c>
      <c r="EM315" t="s">
        <v>873</v>
      </c>
      <c r="EN315">
        <v>3.7833000000000001</v>
      </c>
      <c r="EO315">
        <v>191.91666670000001</v>
      </c>
      <c r="EP315">
        <v>99991120</v>
      </c>
      <c r="EQ315" t="s">
        <v>874</v>
      </c>
      <c r="ER315" t="s">
        <v>875</v>
      </c>
      <c r="ES315" t="s">
        <v>876</v>
      </c>
      <c r="ET315" t="s">
        <v>877</v>
      </c>
      <c r="EU315" t="s">
        <v>877</v>
      </c>
      <c r="EV315" t="s">
        <v>920</v>
      </c>
      <c r="EX315" t="s">
        <v>836</v>
      </c>
      <c r="EY315" t="s">
        <v>1121</v>
      </c>
      <c r="EZ315" t="s">
        <v>1122</v>
      </c>
      <c r="FA315" t="s">
        <v>956</v>
      </c>
      <c r="FB315">
        <v>1</v>
      </c>
      <c r="FC315">
        <v>4</v>
      </c>
      <c r="FD315" s="41">
        <v>46088</v>
      </c>
      <c r="FE315" t="s">
        <v>1719</v>
      </c>
      <c r="FF315">
        <v>12</v>
      </c>
      <c r="FG315" t="s">
        <v>1679</v>
      </c>
      <c r="FH315" t="s">
        <v>7062</v>
      </c>
      <c r="FI315">
        <v>1</v>
      </c>
      <c r="FJ315" t="s">
        <v>7063</v>
      </c>
      <c r="FK315" t="s">
        <v>7064</v>
      </c>
      <c r="FL315">
        <v>1</v>
      </c>
      <c r="FM315" t="s">
        <v>7065</v>
      </c>
      <c r="FN315" t="s">
        <v>7066</v>
      </c>
      <c r="FO315">
        <v>1</v>
      </c>
      <c r="FP315" t="s">
        <v>7067</v>
      </c>
      <c r="FQ315" t="s">
        <v>7060</v>
      </c>
      <c r="FR315">
        <v>1</v>
      </c>
      <c r="FS315" t="s">
        <v>1672</v>
      </c>
      <c r="FT315" t="s">
        <v>7068</v>
      </c>
      <c r="FU315">
        <v>1</v>
      </c>
      <c r="FV315" t="s">
        <v>7069</v>
      </c>
      <c r="FW315" t="s">
        <v>7070</v>
      </c>
      <c r="FX315">
        <v>1</v>
      </c>
      <c r="FY315" t="s">
        <v>890</v>
      </c>
      <c r="FZ315" t="s">
        <v>7071</v>
      </c>
      <c r="GA315" t="s">
        <v>7063</v>
      </c>
      <c r="GB315">
        <v>1</v>
      </c>
      <c r="GD315">
        <v>0</v>
      </c>
      <c r="GF315">
        <v>0</v>
      </c>
      <c r="GG315">
        <v>1</v>
      </c>
      <c r="GH315" t="s">
        <v>892</v>
      </c>
      <c r="GI315" t="s">
        <v>893</v>
      </c>
      <c r="GJ315" t="s">
        <v>7064</v>
      </c>
      <c r="GM315">
        <v>1</v>
      </c>
      <c r="GN315">
        <v>0</v>
      </c>
      <c r="GO315">
        <v>0</v>
      </c>
      <c r="GP315">
        <v>1</v>
      </c>
      <c r="GQ315">
        <v>1</v>
      </c>
      <c r="GR315">
        <v>0</v>
      </c>
      <c r="GS315">
        <v>1</v>
      </c>
      <c r="GT315">
        <v>0</v>
      </c>
      <c r="GU315">
        <v>1</v>
      </c>
      <c r="GV315">
        <v>0</v>
      </c>
      <c r="GW315">
        <v>1</v>
      </c>
      <c r="GX315">
        <v>0</v>
      </c>
      <c r="GY315">
        <v>1</v>
      </c>
      <c r="GZ315">
        <v>0</v>
      </c>
      <c r="HA315" t="s">
        <v>326</v>
      </c>
      <c r="HB315" t="s">
        <v>894</v>
      </c>
      <c r="HC315" t="s">
        <v>895</v>
      </c>
      <c r="HD315" t="s">
        <v>845</v>
      </c>
      <c r="HE315" t="s">
        <v>836</v>
      </c>
      <c r="HF315" t="s">
        <v>873</v>
      </c>
      <c r="HG315" t="s">
        <v>894</v>
      </c>
      <c r="HH315" t="s">
        <v>895</v>
      </c>
      <c r="HI315" t="s">
        <v>845</v>
      </c>
      <c r="HJ315" t="s">
        <v>836</v>
      </c>
      <c r="HK315" t="s">
        <v>873</v>
      </c>
      <c r="HL315" t="s">
        <v>1384</v>
      </c>
      <c r="HM315" t="s">
        <v>854</v>
      </c>
      <c r="HN315">
        <v>36805</v>
      </c>
      <c r="HO315">
        <v>1</v>
      </c>
      <c r="HP315" t="s">
        <v>159</v>
      </c>
      <c r="HQ315" t="s">
        <v>896</v>
      </c>
      <c r="HR315" t="s">
        <v>896</v>
      </c>
      <c r="HS315" t="s">
        <v>896</v>
      </c>
    </row>
    <row r="316" spans="1:227" x14ac:dyDescent="0.2">
      <c r="A316">
        <v>8702</v>
      </c>
      <c r="B316">
        <v>7535305003</v>
      </c>
      <c r="C316">
        <v>34</v>
      </c>
      <c r="D316" t="s">
        <v>996</v>
      </c>
      <c r="E316" t="s">
        <v>897</v>
      </c>
      <c r="F316">
        <v>1</v>
      </c>
      <c r="G316" t="s">
        <v>7072</v>
      </c>
      <c r="H316" t="s">
        <v>7072</v>
      </c>
      <c r="I316">
        <v>0</v>
      </c>
      <c r="J316" t="s">
        <v>833</v>
      </c>
      <c r="K316" t="s">
        <v>834</v>
      </c>
      <c r="L316">
        <v>153524562</v>
      </c>
      <c r="M316" t="s">
        <v>7073</v>
      </c>
      <c r="N316" t="s">
        <v>900</v>
      </c>
      <c r="O316" t="s">
        <v>837</v>
      </c>
      <c r="P316" t="s">
        <v>999</v>
      </c>
      <c r="Q316" t="s">
        <v>1027</v>
      </c>
      <c r="R316" t="s">
        <v>7074</v>
      </c>
      <c r="S316" t="s">
        <v>7075</v>
      </c>
      <c r="T316">
        <v>41477124629</v>
      </c>
      <c r="V316" t="s">
        <v>123</v>
      </c>
      <c r="W316" s="41">
        <v>46010</v>
      </c>
      <c r="X316" t="s">
        <v>7076</v>
      </c>
      <c r="Y316" t="s">
        <v>7077</v>
      </c>
      <c r="AA316">
        <v>0</v>
      </c>
      <c r="AB316" t="s">
        <v>845</v>
      </c>
      <c r="AC316" t="s">
        <v>846</v>
      </c>
      <c r="AD316" t="s">
        <v>847</v>
      </c>
      <c r="AE316" t="s">
        <v>848</v>
      </c>
      <c r="AF316">
        <v>1</v>
      </c>
      <c r="AG316">
        <v>452210</v>
      </c>
      <c r="AH316" t="s">
        <v>849</v>
      </c>
      <c r="AI316" t="s">
        <v>850</v>
      </c>
      <c r="AJ316" t="s">
        <v>851</v>
      </c>
      <c r="AK316" t="s">
        <v>269</v>
      </c>
      <c r="AL316" t="s">
        <v>2928</v>
      </c>
      <c r="AM316" t="s">
        <v>3964</v>
      </c>
      <c r="AN316" t="s">
        <v>854</v>
      </c>
      <c r="AO316">
        <v>36805</v>
      </c>
      <c r="AP316">
        <v>496</v>
      </c>
      <c r="AQ316" t="s">
        <v>855</v>
      </c>
      <c r="AR316">
        <v>66252358</v>
      </c>
      <c r="AS316" t="s">
        <v>856</v>
      </c>
      <c r="AU316" t="s">
        <v>7078</v>
      </c>
      <c r="AV316" t="s">
        <v>7079</v>
      </c>
      <c r="AX316" t="s">
        <v>913</v>
      </c>
      <c r="AY316" t="s">
        <v>861</v>
      </c>
      <c r="AZ316" t="s">
        <v>269</v>
      </c>
      <c r="BA316" t="s">
        <v>270</v>
      </c>
      <c r="BB316">
        <v>0</v>
      </c>
      <c r="BC316">
        <v>0</v>
      </c>
      <c r="BD316">
        <v>1</v>
      </c>
      <c r="BE316" t="s">
        <v>7073</v>
      </c>
      <c r="BF316">
        <v>0</v>
      </c>
      <c r="BG316">
        <v>0</v>
      </c>
      <c r="BH316" t="s">
        <v>862</v>
      </c>
      <c r="BI316">
        <v>0</v>
      </c>
      <c r="BJ316" t="s">
        <v>862</v>
      </c>
      <c r="BK316">
        <v>1</v>
      </c>
      <c r="BL316">
        <v>1</v>
      </c>
      <c r="BM316">
        <v>0</v>
      </c>
      <c r="BN316" t="s">
        <v>596</v>
      </c>
      <c r="BO316">
        <v>153524562</v>
      </c>
      <c r="BP316" t="s">
        <v>7072</v>
      </c>
      <c r="BQ316">
        <v>40.3697011</v>
      </c>
      <c r="BR316">
        <v>42789074</v>
      </c>
      <c r="BS316">
        <v>-80.104565399999998</v>
      </c>
      <c r="BT316">
        <v>0</v>
      </c>
      <c r="CM316">
        <v>4010</v>
      </c>
      <c r="CO316">
        <v>7360</v>
      </c>
      <c r="CP316">
        <v>0.91669999999999996</v>
      </c>
      <c r="CQ316">
        <v>0.91669999999999996</v>
      </c>
      <c r="CR316">
        <v>0.4667</v>
      </c>
      <c r="CS316">
        <v>2</v>
      </c>
      <c r="CT316" t="s">
        <v>7080</v>
      </c>
      <c r="CU316" t="s">
        <v>7081</v>
      </c>
      <c r="CV316" t="s">
        <v>833</v>
      </c>
      <c r="CW316" t="s">
        <v>834</v>
      </c>
      <c r="CX316" t="s">
        <v>7073</v>
      </c>
      <c r="CY316">
        <v>1</v>
      </c>
      <c r="CZ316">
        <v>1</v>
      </c>
      <c r="DA316" t="s">
        <v>833</v>
      </c>
      <c r="DB316" t="s">
        <v>865</v>
      </c>
      <c r="DC316">
        <v>15017</v>
      </c>
      <c r="DD316">
        <v>4.4832999999999998</v>
      </c>
      <c r="DE316" t="s">
        <v>866</v>
      </c>
      <c r="DG316" t="s">
        <v>867</v>
      </c>
      <c r="DH316" t="s">
        <v>851</v>
      </c>
      <c r="DI316" t="s">
        <v>1291</v>
      </c>
      <c r="DL316" t="s">
        <v>869</v>
      </c>
      <c r="DM316">
        <v>0</v>
      </c>
      <c r="DN316">
        <v>0</v>
      </c>
      <c r="DO316">
        <v>11</v>
      </c>
      <c r="DP316" t="s">
        <v>1010</v>
      </c>
      <c r="DQ316">
        <v>16</v>
      </c>
      <c r="DR316">
        <v>269</v>
      </c>
      <c r="DS316">
        <v>269</v>
      </c>
      <c r="DT316">
        <v>3.5667</v>
      </c>
      <c r="DU316">
        <v>4</v>
      </c>
      <c r="DW316">
        <v>2</v>
      </c>
      <c r="DX316" t="s">
        <v>596</v>
      </c>
      <c r="DY316" t="s">
        <v>7073</v>
      </c>
      <c r="DZ316">
        <v>1</v>
      </c>
      <c r="EA316">
        <v>1</v>
      </c>
      <c r="EB316">
        <v>1</v>
      </c>
      <c r="EC316">
        <v>1</v>
      </c>
      <c r="ED316">
        <v>1</v>
      </c>
      <c r="EE316">
        <v>1</v>
      </c>
      <c r="EF316" t="s">
        <v>920</v>
      </c>
      <c r="EG316" t="s">
        <v>595</v>
      </c>
      <c r="EH316" t="s">
        <v>921</v>
      </c>
      <c r="EI316" t="s">
        <v>921</v>
      </c>
      <c r="EJ316" t="s">
        <v>124</v>
      </c>
      <c r="EK316">
        <v>9090</v>
      </c>
      <c r="EL316">
        <v>0</v>
      </c>
      <c r="EM316" t="s">
        <v>923</v>
      </c>
      <c r="EN316">
        <v>1.0333000000000001</v>
      </c>
      <c r="EO316">
        <v>4.4833333</v>
      </c>
      <c r="EP316">
        <v>99991120</v>
      </c>
      <c r="EQ316" t="s">
        <v>874</v>
      </c>
      <c r="ER316" t="s">
        <v>875</v>
      </c>
      <c r="ES316" t="s">
        <v>876</v>
      </c>
      <c r="ET316" t="s">
        <v>877</v>
      </c>
      <c r="EU316" t="s">
        <v>877</v>
      </c>
      <c r="EV316" t="s">
        <v>920</v>
      </c>
      <c r="EX316" t="s">
        <v>953</v>
      </c>
      <c r="EY316" t="s">
        <v>1292</v>
      </c>
      <c r="EZ316" t="s">
        <v>1293</v>
      </c>
      <c r="FA316" t="s">
        <v>925</v>
      </c>
      <c r="FB316">
        <v>1</v>
      </c>
      <c r="FC316">
        <v>1</v>
      </c>
      <c r="FD316" s="41">
        <v>46011</v>
      </c>
      <c r="FE316" t="s">
        <v>957</v>
      </c>
      <c r="FF316">
        <v>9</v>
      </c>
      <c r="FG316" t="s">
        <v>2938</v>
      </c>
      <c r="FH316" t="s">
        <v>7082</v>
      </c>
      <c r="FI316">
        <v>1</v>
      </c>
      <c r="FJ316" t="s">
        <v>7083</v>
      </c>
      <c r="FK316" t="s">
        <v>7084</v>
      </c>
      <c r="FL316">
        <v>1</v>
      </c>
      <c r="FM316" t="s">
        <v>7085</v>
      </c>
      <c r="FN316" t="s">
        <v>7086</v>
      </c>
      <c r="FO316">
        <v>1</v>
      </c>
      <c r="FP316" t="s">
        <v>7087</v>
      </c>
      <c r="FQ316" t="s">
        <v>7081</v>
      </c>
      <c r="FR316">
        <v>1</v>
      </c>
      <c r="FS316" t="s">
        <v>7088</v>
      </c>
      <c r="FT316" t="s">
        <v>7089</v>
      </c>
      <c r="FU316">
        <v>1</v>
      </c>
      <c r="FV316" t="s">
        <v>7090</v>
      </c>
      <c r="FW316" t="s">
        <v>7091</v>
      </c>
      <c r="FX316">
        <v>1</v>
      </c>
      <c r="FY316" t="s">
        <v>890</v>
      </c>
      <c r="FZ316" t="s">
        <v>7092</v>
      </c>
      <c r="GA316" t="s">
        <v>7083</v>
      </c>
      <c r="GB316">
        <v>1</v>
      </c>
      <c r="GD316">
        <v>0</v>
      </c>
      <c r="GF316">
        <v>0</v>
      </c>
      <c r="GG316">
        <v>1</v>
      </c>
      <c r="GH316" t="s">
        <v>892</v>
      </c>
      <c r="GI316" t="s">
        <v>893</v>
      </c>
      <c r="GJ316" t="s">
        <v>7084</v>
      </c>
      <c r="GM316">
        <v>1</v>
      </c>
      <c r="GN316">
        <v>1</v>
      </c>
      <c r="GO316">
        <v>0</v>
      </c>
      <c r="GP316">
        <v>1</v>
      </c>
      <c r="GQ316">
        <v>1</v>
      </c>
      <c r="GR316">
        <v>0</v>
      </c>
      <c r="GS316">
        <v>1</v>
      </c>
      <c r="GT316">
        <v>0</v>
      </c>
      <c r="GU316">
        <v>1</v>
      </c>
      <c r="GV316">
        <v>0</v>
      </c>
      <c r="GW316">
        <v>1</v>
      </c>
      <c r="GX316">
        <v>0</v>
      </c>
      <c r="GY316">
        <v>1</v>
      </c>
      <c r="GZ316">
        <v>0</v>
      </c>
      <c r="HA316" t="s">
        <v>269</v>
      </c>
      <c r="HB316" t="s">
        <v>894</v>
      </c>
      <c r="HC316" t="s">
        <v>935</v>
      </c>
      <c r="HD316" t="s">
        <v>845</v>
      </c>
      <c r="HE316" t="s">
        <v>900</v>
      </c>
      <c r="HF316" t="s">
        <v>923</v>
      </c>
      <c r="HG316" t="s">
        <v>894</v>
      </c>
      <c r="HH316" t="s">
        <v>935</v>
      </c>
      <c r="HI316" t="s">
        <v>845</v>
      </c>
      <c r="HJ316" t="s">
        <v>900</v>
      </c>
      <c r="HK316" t="s">
        <v>923</v>
      </c>
      <c r="HL316" t="s">
        <v>123</v>
      </c>
      <c r="HM316" t="s">
        <v>854</v>
      </c>
      <c r="HN316">
        <v>36805</v>
      </c>
      <c r="HP316" t="s">
        <v>124</v>
      </c>
      <c r="HQ316" t="s">
        <v>896</v>
      </c>
      <c r="HR316" t="s">
        <v>896</v>
      </c>
      <c r="HS316" t="s">
        <v>896</v>
      </c>
    </row>
    <row r="317" spans="1:227" x14ac:dyDescent="0.2">
      <c r="A317">
        <v>8702</v>
      </c>
      <c r="B317">
        <v>7612805469</v>
      </c>
      <c r="C317">
        <v>34</v>
      </c>
      <c r="D317" t="s">
        <v>996</v>
      </c>
      <c r="E317" t="s">
        <v>897</v>
      </c>
      <c r="F317">
        <v>0</v>
      </c>
      <c r="G317" t="s">
        <v>7093</v>
      </c>
      <c r="H317" t="s">
        <v>7093</v>
      </c>
      <c r="I317">
        <v>0</v>
      </c>
      <c r="J317" t="s">
        <v>833</v>
      </c>
      <c r="K317" t="s">
        <v>834</v>
      </c>
      <c r="L317">
        <v>152946721</v>
      </c>
      <c r="M317" t="s">
        <v>7094</v>
      </c>
      <c r="N317" t="s">
        <v>900</v>
      </c>
      <c r="O317" t="s">
        <v>837</v>
      </c>
      <c r="P317" t="s">
        <v>999</v>
      </c>
      <c r="Q317" t="s">
        <v>1027</v>
      </c>
      <c r="R317" t="s">
        <v>7095</v>
      </c>
      <c r="S317" t="s">
        <v>7096</v>
      </c>
      <c r="T317">
        <v>30300136758</v>
      </c>
      <c r="V317" t="s">
        <v>200</v>
      </c>
      <c r="W317" s="41">
        <v>46151</v>
      </c>
      <c r="X317" t="s">
        <v>7097</v>
      </c>
      <c r="Y317" t="s">
        <v>7098</v>
      </c>
      <c r="AA317">
        <v>0</v>
      </c>
      <c r="AB317" t="s">
        <v>845</v>
      </c>
      <c r="AC317" t="s">
        <v>846</v>
      </c>
      <c r="AD317" t="s">
        <v>1113</v>
      </c>
      <c r="AE317" t="s">
        <v>1114</v>
      </c>
      <c r="AF317">
        <v>1</v>
      </c>
      <c r="AG317">
        <v>452210</v>
      </c>
      <c r="AH317" t="s">
        <v>849</v>
      </c>
      <c r="AI317" t="s">
        <v>850</v>
      </c>
      <c r="AJ317" t="s">
        <v>851</v>
      </c>
      <c r="AK317" t="s">
        <v>267</v>
      </c>
      <c r="AL317" t="s">
        <v>3244</v>
      </c>
      <c r="AM317" t="s">
        <v>3245</v>
      </c>
      <c r="AN317" t="s">
        <v>854</v>
      </c>
      <c r="AO317">
        <v>36805</v>
      </c>
      <c r="AP317">
        <v>642</v>
      </c>
      <c r="AQ317" t="s">
        <v>855</v>
      </c>
      <c r="AR317">
        <v>66455222</v>
      </c>
      <c r="AS317" t="s">
        <v>856</v>
      </c>
      <c r="AU317" t="s">
        <v>7099</v>
      </c>
      <c r="AV317" t="s">
        <v>7100</v>
      </c>
      <c r="AX317" t="s">
        <v>913</v>
      </c>
      <c r="AY317" t="s">
        <v>861</v>
      </c>
      <c r="AZ317" t="s">
        <v>267</v>
      </c>
      <c r="BA317" t="s">
        <v>268</v>
      </c>
      <c r="BB317">
        <v>0</v>
      </c>
      <c r="BC317">
        <v>0</v>
      </c>
      <c r="BD317">
        <v>1</v>
      </c>
      <c r="BE317" t="s">
        <v>7094</v>
      </c>
      <c r="BF317">
        <v>0</v>
      </c>
      <c r="BG317">
        <v>0</v>
      </c>
      <c r="BH317" t="s">
        <v>862</v>
      </c>
      <c r="BI317">
        <v>0</v>
      </c>
      <c r="BJ317" t="s">
        <v>862</v>
      </c>
      <c r="BK317">
        <v>1</v>
      </c>
      <c r="BL317">
        <v>1</v>
      </c>
      <c r="BM317">
        <v>0</v>
      </c>
      <c r="BN317" t="s">
        <v>596</v>
      </c>
      <c r="BO317">
        <v>152946721</v>
      </c>
      <c r="BP317" t="s">
        <v>7093</v>
      </c>
      <c r="BQ317">
        <v>42.397322000000003</v>
      </c>
      <c r="BR317">
        <v>42791773</v>
      </c>
      <c r="BS317">
        <v>-83.480353300000004</v>
      </c>
      <c r="BT317">
        <v>2</v>
      </c>
      <c r="BU317" t="s">
        <v>1803</v>
      </c>
      <c r="BY317">
        <v>16</v>
      </c>
      <c r="CA317">
        <v>6</v>
      </c>
      <c r="CE317">
        <v>1</v>
      </c>
      <c r="CI317">
        <v>11</v>
      </c>
      <c r="CJ317" t="s">
        <v>94</v>
      </c>
      <c r="CM317">
        <v>4010</v>
      </c>
      <c r="CO317">
        <v>7360</v>
      </c>
      <c r="CP317">
        <v>0.51670000000000005</v>
      </c>
      <c r="CQ317">
        <v>0.51670000000000005</v>
      </c>
      <c r="CR317">
        <v>0</v>
      </c>
      <c r="CS317">
        <v>0</v>
      </c>
      <c r="CT317" t="s">
        <v>7100</v>
      </c>
      <c r="CU317" t="s">
        <v>7099</v>
      </c>
      <c r="CV317" t="s">
        <v>833</v>
      </c>
      <c r="CW317" t="s">
        <v>834</v>
      </c>
      <c r="CX317" t="s">
        <v>7094</v>
      </c>
      <c r="CY317">
        <v>1</v>
      </c>
      <c r="CZ317">
        <v>1</v>
      </c>
      <c r="DA317" t="s">
        <v>833</v>
      </c>
      <c r="DB317" t="s">
        <v>865</v>
      </c>
      <c r="DC317">
        <v>48168</v>
      </c>
      <c r="DD317">
        <v>5.75</v>
      </c>
      <c r="DE317" t="s">
        <v>866</v>
      </c>
      <c r="DG317" t="s">
        <v>867</v>
      </c>
      <c r="DH317" t="s">
        <v>851</v>
      </c>
      <c r="DI317" t="s">
        <v>7101</v>
      </c>
      <c r="DK317" t="s">
        <v>918</v>
      </c>
      <c r="DL317" t="s">
        <v>869</v>
      </c>
      <c r="DM317">
        <v>0</v>
      </c>
      <c r="DN317">
        <v>0</v>
      </c>
      <c r="DO317">
        <v>11</v>
      </c>
      <c r="DP317" t="s">
        <v>1010</v>
      </c>
      <c r="DQ317">
        <v>0</v>
      </c>
      <c r="DR317">
        <v>345</v>
      </c>
      <c r="DS317">
        <v>1065</v>
      </c>
      <c r="DT317">
        <v>5.2332999999999998</v>
      </c>
      <c r="DU317">
        <v>0</v>
      </c>
      <c r="DV317">
        <v>1</v>
      </c>
      <c r="DW317">
        <v>2</v>
      </c>
      <c r="DX317" t="s">
        <v>596</v>
      </c>
      <c r="DY317" t="s">
        <v>7094</v>
      </c>
      <c r="DZ317">
        <v>1</v>
      </c>
      <c r="EA317">
        <v>1</v>
      </c>
      <c r="EB317">
        <v>1</v>
      </c>
      <c r="EC317">
        <v>1</v>
      </c>
      <c r="ED317">
        <v>1</v>
      </c>
      <c r="EE317">
        <v>1</v>
      </c>
      <c r="EF317" t="s">
        <v>920</v>
      </c>
      <c r="EG317" t="s">
        <v>595</v>
      </c>
      <c r="EH317" t="s">
        <v>921</v>
      </c>
      <c r="EI317" t="s">
        <v>921</v>
      </c>
      <c r="EJ317" t="s">
        <v>178</v>
      </c>
      <c r="EK317">
        <v>9090</v>
      </c>
      <c r="EL317">
        <v>0</v>
      </c>
      <c r="EM317" t="s">
        <v>952</v>
      </c>
      <c r="EN317">
        <v>0</v>
      </c>
      <c r="EO317">
        <v>17.75</v>
      </c>
      <c r="EP317">
        <v>99991120</v>
      </c>
      <c r="EQ317" t="s">
        <v>874</v>
      </c>
      <c r="ER317" t="s">
        <v>875</v>
      </c>
      <c r="ES317" t="s">
        <v>876</v>
      </c>
      <c r="ET317" t="s">
        <v>877</v>
      </c>
      <c r="EU317" t="s">
        <v>877</v>
      </c>
      <c r="EV317" t="s">
        <v>920</v>
      </c>
      <c r="EX317" t="s">
        <v>953</v>
      </c>
      <c r="EY317" t="s">
        <v>954</v>
      </c>
      <c r="EZ317" t="s">
        <v>955</v>
      </c>
      <c r="FA317" t="s">
        <v>956</v>
      </c>
      <c r="FB317">
        <v>1</v>
      </c>
      <c r="FC317">
        <v>1</v>
      </c>
      <c r="FD317" s="41">
        <v>46151</v>
      </c>
      <c r="FE317" t="s">
        <v>1808</v>
      </c>
      <c r="FF317">
        <v>8</v>
      </c>
      <c r="FG317" t="s">
        <v>3249</v>
      </c>
      <c r="FH317" t="s">
        <v>7102</v>
      </c>
      <c r="FI317">
        <v>1</v>
      </c>
      <c r="FJ317" t="s">
        <v>7103</v>
      </c>
      <c r="FK317" t="s">
        <v>7104</v>
      </c>
      <c r="FL317">
        <v>1</v>
      </c>
      <c r="FM317" t="s">
        <v>7105</v>
      </c>
      <c r="FN317" t="s">
        <v>7106</v>
      </c>
      <c r="FO317">
        <v>1</v>
      </c>
      <c r="FP317" t="s">
        <v>3623</v>
      </c>
      <c r="FQ317" t="s">
        <v>7099</v>
      </c>
      <c r="FR317">
        <v>1</v>
      </c>
      <c r="FS317" t="s">
        <v>2196</v>
      </c>
      <c r="FT317" t="s">
        <v>7107</v>
      </c>
      <c r="FU317">
        <v>1</v>
      </c>
      <c r="FV317" t="s">
        <v>2701</v>
      </c>
      <c r="FW317" t="s">
        <v>7108</v>
      </c>
      <c r="FX317">
        <v>1</v>
      </c>
      <c r="FY317" t="s">
        <v>890</v>
      </c>
      <c r="FZ317" t="s">
        <v>7109</v>
      </c>
      <c r="GA317" t="s">
        <v>7103</v>
      </c>
      <c r="GB317">
        <v>1</v>
      </c>
      <c r="GD317">
        <v>0</v>
      </c>
      <c r="GF317">
        <v>0</v>
      </c>
      <c r="GG317">
        <v>1</v>
      </c>
      <c r="GH317" t="s">
        <v>892</v>
      </c>
      <c r="GI317" t="s">
        <v>893</v>
      </c>
      <c r="GJ317" t="s">
        <v>7104</v>
      </c>
      <c r="GM317">
        <v>1</v>
      </c>
      <c r="GN317">
        <v>1</v>
      </c>
      <c r="GO317">
        <v>0</v>
      </c>
      <c r="GP317">
        <v>1</v>
      </c>
      <c r="GQ317">
        <v>1</v>
      </c>
      <c r="GR317">
        <v>0</v>
      </c>
      <c r="GS317">
        <v>1</v>
      </c>
      <c r="GT317">
        <v>0</v>
      </c>
      <c r="GU317">
        <v>1</v>
      </c>
      <c r="GV317">
        <v>0</v>
      </c>
      <c r="GW317">
        <v>1</v>
      </c>
      <c r="GX317">
        <v>0</v>
      </c>
      <c r="GY317">
        <v>1</v>
      </c>
      <c r="GZ317">
        <v>0</v>
      </c>
      <c r="HA317" t="s">
        <v>267</v>
      </c>
      <c r="HB317" t="s">
        <v>894</v>
      </c>
      <c r="HC317" t="s">
        <v>935</v>
      </c>
      <c r="HD317" t="s">
        <v>845</v>
      </c>
      <c r="HE317" t="s">
        <v>900</v>
      </c>
      <c r="HF317" t="s">
        <v>923</v>
      </c>
      <c r="HG317" t="s">
        <v>894</v>
      </c>
      <c r="HH317" t="s">
        <v>935</v>
      </c>
      <c r="HI317" t="s">
        <v>845</v>
      </c>
      <c r="HJ317" t="s">
        <v>900</v>
      </c>
      <c r="HK317" t="s">
        <v>952</v>
      </c>
      <c r="HL317" t="s">
        <v>200</v>
      </c>
      <c r="HM317" t="s">
        <v>854</v>
      </c>
      <c r="HN317">
        <v>36805</v>
      </c>
      <c r="HP317" t="s">
        <v>178</v>
      </c>
      <c r="HQ317" t="s">
        <v>896</v>
      </c>
      <c r="HR317" t="s">
        <v>896</v>
      </c>
      <c r="HS317" t="s">
        <v>896</v>
      </c>
    </row>
    <row r="318" spans="1:227" x14ac:dyDescent="0.2">
      <c r="A318">
        <v>8702</v>
      </c>
      <c r="B318">
        <v>7528911715</v>
      </c>
      <c r="C318" t="s">
        <v>829</v>
      </c>
      <c r="D318" t="s">
        <v>830</v>
      </c>
      <c r="E318" t="s">
        <v>831</v>
      </c>
      <c r="F318">
        <v>1</v>
      </c>
      <c r="G318" t="s">
        <v>7110</v>
      </c>
      <c r="H318" t="s">
        <v>7110</v>
      </c>
      <c r="I318">
        <v>0</v>
      </c>
      <c r="J318" t="s">
        <v>833</v>
      </c>
      <c r="K318" t="s">
        <v>834</v>
      </c>
      <c r="L318">
        <v>156586360</v>
      </c>
      <c r="M318" t="s">
        <v>7111</v>
      </c>
      <c r="N318" t="s">
        <v>836</v>
      </c>
      <c r="O318" t="s">
        <v>837</v>
      </c>
      <c r="P318" t="s">
        <v>838</v>
      </c>
      <c r="Q318" t="s">
        <v>1593</v>
      </c>
      <c r="R318" t="s">
        <v>7112</v>
      </c>
      <c r="S318" t="s">
        <v>7113</v>
      </c>
      <c r="T318">
        <v>41477011864</v>
      </c>
      <c r="V318" t="s">
        <v>191</v>
      </c>
      <c r="W318" s="41">
        <v>45946</v>
      </c>
      <c r="X318" t="s">
        <v>7114</v>
      </c>
      <c r="Y318" t="s">
        <v>7115</v>
      </c>
      <c r="AA318">
        <v>0</v>
      </c>
      <c r="AB318" t="s">
        <v>845</v>
      </c>
      <c r="AC318" t="s">
        <v>846</v>
      </c>
      <c r="AD318" t="s">
        <v>847</v>
      </c>
      <c r="AE318" t="s">
        <v>848</v>
      </c>
      <c r="AF318">
        <v>1</v>
      </c>
      <c r="AG318">
        <v>452210</v>
      </c>
      <c r="AH318" t="s">
        <v>849</v>
      </c>
      <c r="AI318" t="s">
        <v>850</v>
      </c>
      <c r="AJ318" t="s">
        <v>851</v>
      </c>
      <c r="AK318" t="s">
        <v>321</v>
      </c>
      <c r="AL318" t="s">
        <v>3326</v>
      </c>
      <c r="AM318" t="s">
        <v>2252</v>
      </c>
      <c r="AN318" t="s">
        <v>854</v>
      </c>
      <c r="AO318">
        <v>36805</v>
      </c>
      <c r="AP318">
        <v>636</v>
      </c>
      <c r="AQ318" t="s">
        <v>855</v>
      </c>
      <c r="AR318">
        <v>66160477</v>
      </c>
      <c r="AS318" t="s">
        <v>856</v>
      </c>
      <c r="AU318" t="s">
        <v>7116</v>
      </c>
      <c r="AV318" t="s">
        <v>7117</v>
      </c>
      <c r="AX318" t="s">
        <v>913</v>
      </c>
      <c r="AY318" t="s">
        <v>861</v>
      </c>
      <c r="AZ318" t="s">
        <v>321</v>
      </c>
      <c r="BA318" t="s">
        <v>322</v>
      </c>
      <c r="BB318">
        <v>0</v>
      </c>
      <c r="BC318">
        <v>0</v>
      </c>
      <c r="BD318">
        <v>0</v>
      </c>
      <c r="BE318" t="s">
        <v>7111</v>
      </c>
      <c r="BF318">
        <v>0</v>
      </c>
      <c r="BG318">
        <v>0</v>
      </c>
      <c r="BH318" t="s">
        <v>862</v>
      </c>
      <c r="BI318">
        <v>0</v>
      </c>
      <c r="BJ318" t="s">
        <v>862</v>
      </c>
      <c r="BK318">
        <v>1</v>
      </c>
      <c r="BL318">
        <v>1</v>
      </c>
      <c r="BM318">
        <v>0</v>
      </c>
      <c r="BN318" t="s">
        <v>596</v>
      </c>
      <c r="BO318">
        <v>156586360</v>
      </c>
      <c r="BP318" t="s">
        <v>7110</v>
      </c>
      <c r="BR318">
        <v>42791762</v>
      </c>
      <c r="BT318">
        <v>0</v>
      </c>
      <c r="CM318">
        <v>4010</v>
      </c>
      <c r="CO318">
        <v>7360</v>
      </c>
      <c r="CP318">
        <v>0.81669999999999998</v>
      </c>
      <c r="CQ318">
        <v>0.81669999999999998</v>
      </c>
      <c r="CR318">
        <v>0.41670000000000001</v>
      </c>
      <c r="CS318">
        <v>18</v>
      </c>
      <c r="CT318" t="s">
        <v>7118</v>
      </c>
      <c r="CU318" t="s">
        <v>7119</v>
      </c>
      <c r="CV318" t="s">
        <v>833</v>
      </c>
      <c r="CW318" t="s">
        <v>834</v>
      </c>
      <c r="CX318" t="s">
        <v>7111</v>
      </c>
      <c r="CY318">
        <v>0</v>
      </c>
      <c r="CZ318">
        <v>0</v>
      </c>
      <c r="DA318" t="s">
        <v>833</v>
      </c>
      <c r="DB318" t="s">
        <v>865</v>
      </c>
      <c r="DC318">
        <v>60305</v>
      </c>
      <c r="DD318">
        <v>9</v>
      </c>
      <c r="DE318" t="s">
        <v>866</v>
      </c>
      <c r="DG318" t="s">
        <v>867</v>
      </c>
      <c r="DH318" t="s">
        <v>851</v>
      </c>
      <c r="DL318" t="s">
        <v>869</v>
      </c>
      <c r="DM318">
        <v>0</v>
      </c>
      <c r="DN318">
        <v>0</v>
      </c>
      <c r="DO318">
        <v>3</v>
      </c>
      <c r="DP318" t="s">
        <v>919</v>
      </c>
      <c r="DQ318">
        <v>16</v>
      </c>
      <c r="DR318">
        <v>540</v>
      </c>
      <c r="DS318">
        <v>540</v>
      </c>
      <c r="DT318">
        <v>8.1832999999999991</v>
      </c>
      <c r="DU318">
        <v>4</v>
      </c>
      <c r="DW318">
        <v>2</v>
      </c>
      <c r="DX318" t="s">
        <v>596</v>
      </c>
      <c r="DY318" t="s">
        <v>7111</v>
      </c>
      <c r="DZ318">
        <v>1</v>
      </c>
      <c r="EA318">
        <v>1</v>
      </c>
      <c r="EB318">
        <v>1</v>
      </c>
      <c r="EC318">
        <v>0</v>
      </c>
      <c r="ED318">
        <v>0</v>
      </c>
      <c r="EE318">
        <v>1</v>
      </c>
      <c r="EF318" t="s">
        <v>920</v>
      </c>
      <c r="EG318" t="s">
        <v>595</v>
      </c>
      <c r="EH318" t="s">
        <v>921</v>
      </c>
      <c r="EI318" t="s">
        <v>921</v>
      </c>
      <c r="EJ318" t="s">
        <v>181</v>
      </c>
      <c r="EK318">
        <v>9090</v>
      </c>
      <c r="EL318">
        <v>0</v>
      </c>
      <c r="EM318" t="s">
        <v>1436</v>
      </c>
      <c r="EN318">
        <v>0.41670000000000001</v>
      </c>
      <c r="EO318">
        <v>9</v>
      </c>
      <c r="EP318">
        <v>99991120</v>
      </c>
      <c r="EQ318" t="s">
        <v>874</v>
      </c>
      <c r="ER318" t="s">
        <v>875</v>
      </c>
      <c r="ES318" t="s">
        <v>876</v>
      </c>
      <c r="ET318" t="s">
        <v>877</v>
      </c>
      <c r="EU318" t="s">
        <v>877</v>
      </c>
      <c r="EV318" t="s">
        <v>920</v>
      </c>
      <c r="EX318" t="s">
        <v>836</v>
      </c>
      <c r="EY318" t="s">
        <v>873</v>
      </c>
      <c r="EZ318" t="s">
        <v>1437</v>
      </c>
      <c r="FA318" t="s">
        <v>956</v>
      </c>
      <c r="FB318">
        <v>1</v>
      </c>
      <c r="FC318">
        <v>1</v>
      </c>
      <c r="FD318" s="41">
        <v>45948</v>
      </c>
      <c r="FE318" t="s">
        <v>1039</v>
      </c>
      <c r="FF318">
        <v>4</v>
      </c>
      <c r="FI318">
        <v>0</v>
      </c>
      <c r="FL318">
        <v>0</v>
      </c>
      <c r="FM318" t="s">
        <v>7120</v>
      </c>
      <c r="FN318" t="s">
        <v>7121</v>
      </c>
      <c r="FO318">
        <v>1</v>
      </c>
      <c r="FP318" t="s">
        <v>7122</v>
      </c>
      <c r="FQ318" t="s">
        <v>7123</v>
      </c>
      <c r="FR318">
        <v>1</v>
      </c>
      <c r="FS318" t="s">
        <v>3332</v>
      </c>
      <c r="FT318" t="s">
        <v>7124</v>
      </c>
      <c r="FU318">
        <v>1</v>
      </c>
      <c r="FV318" t="s">
        <v>7125</v>
      </c>
      <c r="FW318" t="s">
        <v>7126</v>
      </c>
      <c r="FX318">
        <v>1</v>
      </c>
      <c r="FY318" t="s">
        <v>890</v>
      </c>
      <c r="FZ318" t="s">
        <v>7127</v>
      </c>
      <c r="GA318" t="s">
        <v>7125</v>
      </c>
      <c r="GB318">
        <v>1</v>
      </c>
      <c r="GD318">
        <v>0</v>
      </c>
      <c r="GF318">
        <v>0</v>
      </c>
      <c r="GG318">
        <v>1</v>
      </c>
      <c r="GH318" t="s">
        <v>892</v>
      </c>
      <c r="GI318" t="s">
        <v>893</v>
      </c>
      <c r="GJ318" t="s">
        <v>7126</v>
      </c>
      <c r="GM318">
        <v>1</v>
      </c>
      <c r="GN318">
        <v>1</v>
      </c>
      <c r="GO318">
        <v>0</v>
      </c>
      <c r="GP318">
        <v>1</v>
      </c>
      <c r="GQ318">
        <v>1</v>
      </c>
      <c r="GR318">
        <v>0</v>
      </c>
      <c r="GS318">
        <v>1</v>
      </c>
      <c r="GT318">
        <v>0</v>
      </c>
      <c r="GU318">
        <v>1</v>
      </c>
      <c r="GV318">
        <v>0</v>
      </c>
      <c r="GW318">
        <v>1</v>
      </c>
      <c r="GX318">
        <v>0</v>
      </c>
      <c r="GY318">
        <v>1</v>
      </c>
      <c r="GZ318">
        <v>0</v>
      </c>
      <c r="HA318" t="s">
        <v>321</v>
      </c>
      <c r="HB318" t="s">
        <v>894</v>
      </c>
      <c r="HC318" t="s">
        <v>895</v>
      </c>
      <c r="HD318" t="s">
        <v>845</v>
      </c>
      <c r="HE318" t="s">
        <v>836</v>
      </c>
      <c r="HF318" t="s">
        <v>873</v>
      </c>
      <c r="HG318" t="s">
        <v>894</v>
      </c>
      <c r="HH318" t="s">
        <v>895</v>
      </c>
      <c r="HI318" t="s">
        <v>845</v>
      </c>
      <c r="HJ318" t="s">
        <v>836</v>
      </c>
      <c r="HK318" t="s">
        <v>1436</v>
      </c>
      <c r="HL318" t="s">
        <v>191</v>
      </c>
      <c r="HM318" t="s">
        <v>854</v>
      </c>
      <c r="HN318">
        <v>36805</v>
      </c>
      <c r="HP318" t="s">
        <v>181</v>
      </c>
      <c r="HQ318" t="s">
        <v>896</v>
      </c>
      <c r="HR318" t="s">
        <v>896</v>
      </c>
      <c r="HS318" t="s">
        <v>896</v>
      </c>
    </row>
    <row r="319" spans="1:227" x14ac:dyDescent="0.2">
      <c r="A319">
        <v>8702</v>
      </c>
      <c r="B319">
        <v>7526410350</v>
      </c>
      <c r="C319">
        <v>34</v>
      </c>
      <c r="D319" t="s">
        <v>996</v>
      </c>
      <c r="E319" t="s">
        <v>897</v>
      </c>
      <c r="F319">
        <v>0</v>
      </c>
      <c r="G319" t="s">
        <v>7128</v>
      </c>
      <c r="H319" t="s">
        <v>7128</v>
      </c>
      <c r="I319">
        <v>0</v>
      </c>
      <c r="J319" t="s">
        <v>833</v>
      </c>
      <c r="K319" t="s">
        <v>834</v>
      </c>
      <c r="L319">
        <v>153406591</v>
      </c>
      <c r="M319" t="s">
        <v>7129</v>
      </c>
      <c r="N319" t="s">
        <v>900</v>
      </c>
      <c r="O319" t="s">
        <v>837</v>
      </c>
      <c r="P319" t="s">
        <v>999</v>
      </c>
      <c r="Q319" t="s">
        <v>1027</v>
      </c>
      <c r="R319" t="s">
        <v>7130</v>
      </c>
      <c r="S319" t="s">
        <v>7131</v>
      </c>
      <c r="T319">
        <v>41477066715</v>
      </c>
      <c r="V319" t="s">
        <v>150</v>
      </c>
      <c r="W319" s="41">
        <v>45922</v>
      </c>
      <c r="X319" t="s">
        <v>7132</v>
      </c>
      <c r="Y319" t="s">
        <v>7133</v>
      </c>
      <c r="Z319" t="s">
        <v>7134</v>
      </c>
      <c r="AA319">
        <v>0</v>
      </c>
      <c r="AB319" t="s">
        <v>845</v>
      </c>
      <c r="AC319" t="s">
        <v>846</v>
      </c>
      <c r="AD319" t="s">
        <v>847</v>
      </c>
      <c r="AE319" t="s">
        <v>848</v>
      </c>
      <c r="AF319">
        <v>1</v>
      </c>
      <c r="AG319">
        <v>452210</v>
      </c>
      <c r="AH319" t="s">
        <v>849</v>
      </c>
      <c r="AI319" t="s">
        <v>850</v>
      </c>
      <c r="AJ319" t="s">
        <v>851</v>
      </c>
      <c r="AK319" t="s">
        <v>488</v>
      </c>
      <c r="AL319" t="s">
        <v>7135</v>
      </c>
      <c r="AM319" t="s">
        <v>2061</v>
      </c>
      <c r="AN319" t="s">
        <v>854</v>
      </c>
      <c r="AO319">
        <v>36805</v>
      </c>
      <c r="AP319">
        <v>533</v>
      </c>
      <c r="AQ319" t="s">
        <v>855</v>
      </c>
      <c r="AR319">
        <v>66125828</v>
      </c>
      <c r="AS319" t="s">
        <v>856</v>
      </c>
      <c r="AU319" t="s">
        <v>7136</v>
      </c>
      <c r="AV319" t="s">
        <v>7137</v>
      </c>
      <c r="AX319" t="s">
        <v>913</v>
      </c>
      <c r="AY319" t="s">
        <v>861</v>
      </c>
      <c r="AZ319" t="s">
        <v>488</v>
      </c>
      <c r="BA319" t="s">
        <v>489</v>
      </c>
      <c r="BB319">
        <v>0</v>
      </c>
      <c r="BC319">
        <v>0</v>
      </c>
      <c r="BD319">
        <v>0</v>
      </c>
      <c r="BE319" t="s">
        <v>7129</v>
      </c>
      <c r="BF319">
        <v>0</v>
      </c>
      <c r="BG319">
        <v>0</v>
      </c>
      <c r="BH319" t="s">
        <v>862</v>
      </c>
      <c r="BI319">
        <v>0</v>
      </c>
      <c r="BJ319" t="s">
        <v>862</v>
      </c>
      <c r="BK319">
        <v>1</v>
      </c>
      <c r="BL319">
        <v>1</v>
      </c>
      <c r="BM319">
        <v>0</v>
      </c>
      <c r="BN319" t="s">
        <v>596</v>
      </c>
      <c r="BO319">
        <v>153406591</v>
      </c>
      <c r="BP319" t="s">
        <v>7128</v>
      </c>
      <c r="BQ319">
        <v>39.414156900000002</v>
      </c>
      <c r="BR319">
        <v>42791448</v>
      </c>
      <c r="BS319">
        <v>-87.412537700000001</v>
      </c>
      <c r="BT319">
        <v>1</v>
      </c>
      <c r="BU319" t="s">
        <v>1151</v>
      </c>
      <c r="CI319">
        <v>11</v>
      </c>
      <c r="CJ319" t="s">
        <v>94</v>
      </c>
      <c r="CM319">
        <v>4010</v>
      </c>
      <c r="CO319">
        <v>7360</v>
      </c>
      <c r="CP319">
        <v>0.51670000000000005</v>
      </c>
      <c r="CQ319">
        <v>0.51670000000000005</v>
      </c>
      <c r="CR319">
        <v>1.8167</v>
      </c>
      <c r="CS319">
        <v>41</v>
      </c>
      <c r="CT319" t="s">
        <v>7137</v>
      </c>
      <c r="CU319" t="s">
        <v>7136</v>
      </c>
      <c r="CV319" t="s">
        <v>833</v>
      </c>
      <c r="CW319" t="s">
        <v>834</v>
      </c>
      <c r="CX319" t="s">
        <v>7129</v>
      </c>
      <c r="CY319">
        <v>0</v>
      </c>
      <c r="CZ319">
        <v>0</v>
      </c>
      <c r="DA319" t="s">
        <v>833</v>
      </c>
      <c r="DB319" t="s">
        <v>865</v>
      </c>
      <c r="DC319">
        <v>47802</v>
      </c>
      <c r="DD319">
        <v>16.966699999999999</v>
      </c>
      <c r="DE319" t="s">
        <v>866</v>
      </c>
      <c r="DG319" t="s">
        <v>867</v>
      </c>
      <c r="DH319" t="s">
        <v>851</v>
      </c>
      <c r="DK319" t="s">
        <v>1155</v>
      </c>
      <c r="DL319" t="s">
        <v>869</v>
      </c>
      <c r="DM319">
        <v>0</v>
      </c>
      <c r="DN319">
        <v>0</v>
      </c>
      <c r="DO319">
        <v>14</v>
      </c>
      <c r="DP319" t="s">
        <v>3564</v>
      </c>
      <c r="DQ319">
        <v>16</v>
      </c>
      <c r="DR319">
        <v>1018</v>
      </c>
      <c r="DS319">
        <v>1738</v>
      </c>
      <c r="DT319">
        <v>16.45</v>
      </c>
      <c r="DU319">
        <v>4</v>
      </c>
      <c r="DV319">
        <v>1</v>
      </c>
      <c r="DW319">
        <v>2</v>
      </c>
      <c r="DX319" t="s">
        <v>596</v>
      </c>
      <c r="DY319" t="s">
        <v>7129</v>
      </c>
      <c r="DZ319">
        <v>0</v>
      </c>
      <c r="EA319">
        <v>0</v>
      </c>
      <c r="EB319">
        <v>1</v>
      </c>
      <c r="EC319">
        <v>0</v>
      </c>
      <c r="ED319">
        <v>0</v>
      </c>
      <c r="EE319">
        <v>1</v>
      </c>
      <c r="EF319" t="s">
        <v>920</v>
      </c>
      <c r="EG319" t="s">
        <v>595</v>
      </c>
      <c r="EH319" t="s">
        <v>921</v>
      </c>
      <c r="EI319" t="s">
        <v>921</v>
      </c>
      <c r="EJ319" t="s">
        <v>134</v>
      </c>
      <c r="EK319">
        <v>9090</v>
      </c>
      <c r="EL319">
        <v>0</v>
      </c>
      <c r="EM319" t="s">
        <v>1011</v>
      </c>
      <c r="EN319">
        <v>1.8167</v>
      </c>
      <c r="EO319">
        <v>28.9666666</v>
      </c>
      <c r="EP319">
        <v>99991120</v>
      </c>
      <c r="EQ319" t="s">
        <v>874</v>
      </c>
      <c r="ER319" t="s">
        <v>875</v>
      </c>
      <c r="ES319" t="s">
        <v>876</v>
      </c>
      <c r="ET319" t="s">
        <v>877</v>
      </c>
      <c r="EU319" t="s">
        <v>877</v>
      </c>
      <c r="EV319" t="s">
        <v>920</v>
      </c>
      <c r="EX319" t="s">
        <v>953</v>
      </c>
      <c r="EY319" t="s">
        <v>1555</v>
      </c>
      <c r="EZ319" t="s">
        <v>2065</v>
      </c>
      <c r="FA319" t="s">
        <v>1212</v>
      </c>
      <c r="FB319">
        <v>1</v>
      </c>
      <c r="FC319">
        <v>1</v>
      </c>
      <c r="FD319" s="41">
        <v>45927</v>
      </c>
      <c r="FE319" t="s">
        <v>880</v>
      </c>
      <c r="FF319">
        <v>8</v>
      </c>
      <c r="FG319" t="s">
        <v>7138</v>
      </c>
      <c r="FH319" t="s">
        <v>7139</v>
      </c>
      <c r="FI319">
        <v>1</v>
      </c>
      <c r="FJ319" t="s">
        <v>7140</v>
      </c>
      <c r="FK319" t="s">
        <v>7141</v>
      </c>
      <c r="FL319">
        <v>1</v>
      </c>
      <c r="FM319" t="s">
        <v>7142</v>
      </c>
      <c r="FN319" t="s">
        <v>7143</v>
      </c>
      <c r="FO319">
        <v>1</v>
      </c>
      <c r="FP319" t="s">
        <v>7144</v>
      </c>
      <c r="FQ319" t="s">
        <v>7136</v>
      </c>
      <c r="FR319">
        <v>1</v>
      </c>
      <c r="FS319" t="s">
        <v>7145</v>
      </c>
      <c r="FT319" t="s">
        <v>7146</v>
      </c>
      <c r="FU319">
        <v>1</v>
      </c>
      <c r="FV319" t="s">
        <v>7147</v>
      </c>
      <c r="FW319" t="s">
        <v>7148</v>
      </c>
      <c r="FX319">
        <v>1</v>
      </c>
      <c r="FY319" t="s">
        <v>890</v>
      </c>
      <c r="FZ319" t="s">
        <v>7149</v>
      </c>
      <c r="GA319" t="s">
        <v>7140</v>
      </c>
      <c r="GB319">
        <v>1</v>
      </c>
      <c r="GD319">
        <v>0</v>
      </c>
      <c r="GF319">
        <v>0</v>
      </c>
      <c r="GG319">
        <v>1</v>
      </c>
      <c r="GH319" t="s">
        <v>892</v>
      </c>
      <c r="GI319" t="s">
        <v>893</v>
      </c>
      <c r="GJ319" t="s">
        <v>7141</v>
      </c>
      <c r="GM319">
        <v>1</v>
      </c>
      <c r="GN319">
        <v>1</v>
      </c>
      <c r="GO319">
        <v>0</v>
      </c>
      <c r="GP319">
        <v>1</v>
      </c>
      <c r="GQ319">
        <v>1</v>
      </c>
      <c r="GR319">
        <v>0</v>
      </c>
      <c r="GS319">
        <v>1</v>
      </c>
      <c r="GT319">
        <v>0</v>
      </c>
      <c r="GU319">
        <v>1</v>
      </c>
      <c r="GV319">
        <v>0</v>
      </c>
      <c r="GW319">
        <v>1</v>
      </c>
      <c r="GX319">
        <v>0</v>
      </c>
      <c r="GY319">
        <v>1</v>
      </c>
      <c r="GZ319">
        <v>0</v>
      </c>
      <c r="HA319" t="s">
        <v>488</v>
      </c>
      <c r="HB319" t="s">
        <v>894</v>
      </c>
      <c r="HC319" t="s">
        <v>935</v>
      </c>
      <c r="HD319" t="s">
        <v>845</v>
      </c>
      <c r="HE319" t="s">
        <v>900</v>
      </c>
      <c r="HF319" t="s">
        <v>1012</v>
      </c>
      <c r="HG319" t="s">
        <v>894</v>
      </c>
      <c r="HH319" t="s">
        <v>935</v>
      </c>
      <c r="HI319" t="s">
        <v>845</v>
      </c>
      <c r="HJ319" t="s">
        <v>900</v>
      </c>
      <c r="HK319" t="s">
        <v>1011</v>
      </c>
      <c r="HL319" t="s">
        <v>150</v>
      </c>
      <c r="HM319" t="s">
        <v>854</v>
      </c>
      <c r="HN319">
        <v>36805</v>
      </c>
      <c r="HO319">
        <v>1</v>
      </c>
      <c r="HP319" t="s">
        <v>134</v>
      </c>
      <c r="HQ319" t="s">
        <v>896</v>
      </c>
      <c r="HR319" t="s">
        <v>896</v>
      </c>
      <c r="HS319" t="s">
        <v>896</v>
      </c>
    </row>
    <row r="320" spans="1:227" x14ac:dyDescent="0.2">
      <c r="A320">
        <v>8702</v>
      </c>
      <c r="B320">
        <v>7527509527</v>
      </c>
      <c r="C320" t="s">
        <v>829</v>
      </c>
      <c r="D320" t="s">
        <v>830</v>
      </c>
      <c r="E320" t="s">
        <v>897</v>
      </c>
      <c r="F320">
        <v>1</v>
      </c>
      <c r="G320" t="s">
        <v>7150</v>
      </c>
      <c r="H320" t="s">
        <v>7150</v>
      </c>
      <c r="I320">
        <v>0</v>
      </c>
      <c r="J320" t="s">
        <v>833</v>
      </c>
      <c r="K320" t="s">
        <v>834</v>
      </c>
      <c r="L320">
        <v>152858750</v>
      </c>
      <c r="M320" t="s">
        <v>7151</v>
      </c>
      <c r="N320" t="s">
        <v>900</v>
      </c>
      <c r="O320" t="s">
        <v>837</v>
      </c>
      <c r="P320" t="s">
        <v>838</v>
      </c>
      <c r="Q320" t="s">
        <v>1251</v>
      </c>
      <c r="R320" t="s">
        <v>7152</v>
      </c>
      <c r="S320" t="s">
        <v>7153</v>
      </c>
      <c r="T320">
        <v>30300136758</v>
      </c>
      <c r="V320" t="s">
        <v>210</v>
      </c>
      <c r="W320" s="41">
        <v>45932</v>
      </c>
      <c r="X320" t="s">
        <v>7154</v>
      </c>
      <c r="Y320" t="s">
        <v>7155</v>
      </c>
      <c r="AA320">
        <v>0</v>
      </c>
      <c r="AB320" t="s">
        <v>845</v>
      </c>
      <c r="AC320" t="s">
        <v>846</v>
      </c>
      <c r="AD320" t="s">
        <v>847</v>
      </c>
      <c r="AE320" t="s">
        <v>848</v>
      </c>
      <c r="AF320">
        <v>1</v>
      </c>
      <c r="AG320">
        <v>452210</v>
      </c>
      <c r="AH320" t="s">
        <v>849</v>
      </c>
      <c r="AI320" t="s">
        <v>850</v>
      </c>
      <c r="AJ320" t="s">
        <v>851</v>
      </c>
      <c r="AK320" t="s">
        <v>267</v>
      </c>
      <c r="AL320" t="s">
        <v>3244</v>
      </c>
      <c r="AM320" t="s">
        <v>1408</v>
      </c>
      <c r="AN320" t="s">
        <v>854</v>
      </c>
      <c r="AO320">
        <v>36805</v>
      </c>
      <c r="AP320">
        <v>648</v>
      </c>
      <c r="AQ320" t="s">
        <v>855</v>
      </c>
      <c r="AR320">
        <v>66139647</v>
      </c>
      <c r="AS320" t="s">
        <v>856</v>
      </c>
      <c r="AU320" t="s">
        <v>7156</v>
      </c>
      <c r="AV320" t="s">
        <v>7157</v>
      </c>
      <c r="AX320" t="s">
        <v>913</v>
      </c>
      <c r="AY320" t="s">
        <v>861</v>
      </c>
      <c r="AZ320" t="s">
        <v>267</v>
      </c>
      <c r="BA320" t="s">
        <v>268</v>
      </c>
      <c r="BB320">
        <v>0</v>
      </c>
      <c r="BC320">
        <v>0</v>
      </c>
      <c r="BD320">
        <v>0</v>
      </c>
      <c r="BE320" t="s">
        <v>7151</v>
      </c>
      <c r="BF320">
        <v>0</v>
      </c>
      <c r="BG320">
        <v>0</v>
      </c>
      <c r="BH320" t="s">
        <v>862</v>
      </c>
      <c r="BI320">
        <v>0</v>
      </c>
      <c r="BJ320" t="s">
        <v>862</v>
      </c>
      <c r="BK320">
        <v>1</v>
      </c>
      <c r="BL320">
        <v>1</v>
      </c>
      <c r="BM320">
        <v>0</v>
      </c>
      <c r="BN320" t="s">
        <v>596</v>
      </c>
      <c r="BO320">
        <v>152858750</v>
      </c>
      <c r="BP320" t="s">
        <v>7150</v>
      </c>
      <c r="BQ320">
        <v>42.249316899999997</v>
      </c>
      <c r="BR320">
        <v>42791781</v>
      </c>
      <c r="BS320">
        <v>-83.659862200000006</v>
      </c>
      <c r="BT320">
        <v>0</v>
      </c>
      <c r="CM320">
        <v>4010</v>
      </c>
      <c r="CO320">
        <v>7360</v>
      </c>
      <c r="CP320">
        <v>0.76670000000000005</v>
      </c>
      <c r="CQ320">
        <v>0.76670000000000005</v>
      </c>
      <c r="CR320">
        <v>0.91669999999999996</v>
      </c>
      <c r="CS320">
        <v>538</v>
      </c>
      <c r="CT320" t="s">
        <v>7158</v>
      </c>
      <c r="CU320" t="s">
        <v>7159</v>
      </c>
      <c r="CV320" t="s">
        <v>833</v>
      </c>
      <c r="CW320" t="s">
        <v>834</v>
      </c>
      <c r="CX320" t="s">
        <v>7151</v>
      </c>
      <c r="CY320">
        <v>0</v>
      </c>
      <c r="CZ320">
        <v>0</v>
      </c>
      <c r="DA320" t="s">
        <v>833</v>
      </c>
      <c r="DB320" t="s">
        <v>865</v>
      </c>
      <c r="DC320">
        <v>48197</v>
      </c>
      <c r="DD320">
        <v>0.23330000000000001</v>
      </c>
      <c r="DE320" t="s">
        <v>866</v>
      </c>
      <c r="DG320" t="s">
        <v>867</v>
      </c>
      <c r="DH320" t="s">
        <v>851</v>
      </c>
      <c r="DI320" t="s">
        <v>2105</v>
      </c>
      <c r="DL320" t="s">
        <v>869</v>
      </c>
      <c r="DM320">
        <v>0</v>
      </c>
      <c r="DN320">
        <v>0</v>
      </c>
      <c r="DO320">
        <v>3</v>
      </c>
      <c r="DP320" t="s">
        <v>919</v>
      </c>
      <c r="DQ320">
        <v>16</v>
      </c>
      <c r="DR320">
        <v>14</v>
      </c>
      <c r="DS320">
        <v>636</v>
      </c>
      <c r="DT320">
        <v>0</v>
      </c>
      <c r="DU320">
        <v>4</v>
      </c>
      <c r="DW320">
        <v>2</v>
      </c>
      <c r="DX320" t="s">
        <v>596</v>
      </c>
      <c r="DY320" t="s">
        <v>7151</v>
      </c>
      <c r="DZ320">
        <v>1</v>
      </c>
      <c r="EA320">
        <v>1</v>
      </c>
      <c r="EB320">
        <v>1</v>
      </c>
      <c r="EC320">
        <v>1</v>
      </c>
      <c r="ED320">
        <v>1</v>
      </c>
      <c r="EE320">
        <v>1</v>
      </c>
      <c r="EF320" t="s">
        <v>920</v>
      </c>
      <c r="EG320" t="s">
        <v>595</v>
      </c>
      <c r="EH320" t="s">
        <v>921</v>
      </c>
      <c r="EI320" t="s">
        <v>921</v>
      </c>
      <c r="EJ320" t="s">
        <v>178</v>
      </c>
      <c r="EK320">
        <v>9090</v>
      </c>
      <c r="EL320">
        <v>0</v>
      </c>
      <c r="EM320" t="s">
        <v>952</v>
      </c>
      <c r="EN320">
        <v>0.91669999999999996</v>
      </c>
      <c r="EO320">
        <v>10.6</v>
      </c>
      <c r="EP320">
        <v>99991120</v>
      </c>
      <c r="EQ320" t="s">
        <v>874</v>
      </c>
      <c r="ER320" t="s">
        <v>875</v>
      </c>
      <c r="ES320" t="s">
        <v>876</v>
      </c>
      <c r="ET320" t="s">
        <v>877</v>
      </c>
      <c r="EU320" t="s">
        <v>877</v>
      </c>
      <c r="EV320" t="s">
        <v>920</v>
      </c>
      <c r="EX320" t="s">
        <v>953</v>
      </c>
      <c r="EY320" t="s">
        <v>954</v>
      </c>
      <c r="EZ320" t="s">
        <v>955</v>
      </c>
      <c r="FA320" t="s">
        <v>956</v>
      </c>
      <c r="FB320">
        <v>1</v>
      </c>
      <c r="FC320">
        <v>1</v>
      </c>
      <c r="FD320" s="41">
        <v>45934</v>
      </c>
      <c r="FE320" t="s">
        <v>1039</v>
      </c>
      <c r="FF320">
        <v>4</v>
      </c>
      <c r="FI320">
        <v>0</v>
      </c>
      <c r="FL320">
        <v>0</v>
      </c>
      <c r="FM320" t="s">
        <v>7160</v>
      </c>
      <c r="FN320" t="s">
        <v>7161</v>
      </c>
      <c r="FO320">
        <v>1</v>
      </c>
      <c r="FP320" t="s">
        <v>7162</v>
      </c>
      <c r="FQ320" t="s">
        <v>7159</v>
      </c>
      <c r="FR320">
        <v>1</v>
      </c>
      <c r="FS320" t="s">
        <v>3249</v>
      </c>
      <c r="FT320" t="s">
        <v>7163</v>
      </c>
      <c r="FU320">
        <v>1</v>
      </c>
      <c r="FV320" t="s">
        <v>7164</v>
      </c>
      <c r="FW320" t="s">
        <v>7165</v>
      </c>
      <c r="FX320">
        <v>1</v>
      </c>
      <c r="FY320" t="s">
        <v>890</v>
      </c>
      <c r="FZ320" t="s">
        <v>7166</v>
      </c>
      <c r="GA320" t="s">
        <v>7164</v>
      </c>
      <c r="GB320">
        <v>1</v>
      </c>
      <c r="GD320">
        <v>0</v>
      </c>
      <c r="GF320">
        <v>0</v>
      </c>
      <c r="GG320">
        <v>1</v>
      </c>
      <c r="GH320" t="s">
        <v>892</v>
      </c>
      <c r="GI320" t="s">
        <v>893</v>
      </c>
      <c r="GJ320" t="s">
        <v>7165</v>
      </c>
      <c r="GM320">
        <v>1</v>
      </c>
      <c r="GN320">
        <v>1</v>
      </c>
      <c r="GO320">
        <v>0</v>
      </c>
      <c r="GP320">
        <v>1</v>
      </c>
      <c r="GQ320">
        <v>1</v>
      </c>
      <c r="GR320">
        <v>0</v>
      </c>
      <c r="GS320">
        <v>1</v>
      </c>
      <c r="GT320">
        <v>0</v>
      </c>
      <c r="GU320">
        <v>1</v>
      </c>
      <c r="GV320">
        <v>0</v>
      </c>
      <c r="GW320">
        <v>1</v>
      </c>
      <c r="GX320">
        <v>0</v>
      </c>
      <c r="GY320">
        <v>1</v>
      </c>
      <c r="GZ320">
        <v>0</v>
      </c>
      <c r="HA320" t="s">
        <v>267</v>
      </c>
      <c r="HB320" t="s">
        <v>894</v>
      </c>
      <c r="HC320" t="s">
        <v>935</v>
      </c>
      <c r="HD320" t="s">
        <v>845</v>
      </c>
      <c r="HE320" t="s">
        <v>900</v>
      </c>
      <c r="HF320" t="s">
        <v>923</v>
      </c>
      <c r="HG320" t="s">
        <v>894</v>
      </c>
      <c r="HH320" t="s">
        <v>935</v>
      </c>
      <c r="HI320" t="s">
        <v>845</v>
      </c>
      <c r="HJ320" t="s">
        <v>900</v>
      </c>
      <c r="HK320" t="s">
        <v>952</v>
      </c>
      <c r="HL320" t="s">
        <v>210</v>
      </c>
      <c r="HM320" t="s">
        <v>854</v>
      </c>
      <c r="HN320">
        <v>36805</v>
      </c>
      <c r="HP320" t="s">
        <v>178</v>
      </c>
      <c r="HQ320" t="s">
        <v>896</v>
      </c>
      <c r="HR320" t="s">
        <v>896</v>
      </c>
      <c r="HS320" t="s">
        <v>896</v>
      </c>
    </row>
    <row r="321" spans="1:227" x14ac:dyDescent="0.2">
      <c r="A321">
        <v>8702</v>
      </c>
      <c r="B321">
        <v>7617701451</v>
      </c>
      <c r="C321" t="s">
        <v>829</v>
      </c>
      <c r="D321" t="s">
        <v>830</v>
      </c>
      <c r="E321" t="s">
        <v>897</v>
      </c>
      <c r="F321">
        <v>0</v>
      </c>
      <c r="G321" t="s">
        <v>7167</v>
      </c>
      <c r="H321" t="s">
        <v>7167</v>
      </c>
      <c r="I321">
        <v>0</v>
      </c>
      <c r="J321" t="s">
        <v>833</v>
      </c>
      <c r="K321" t="s">
        <v>834</v>
      </c>
      <c r="L321">
        <v>152858779</v>
      </c>
      <c r="M321" t="s">
        <v>4593</v>
      </c>
      <c r="N321" t="s">
        <v>900</v>
      </c>
      <c r="O321" t="s">
        <v>837</v>
      </c>
      <c r="P321" t="s">
        <v>838</v>
      </c>
      <c r="Q321" t="s">
        <v>1593</v>
      </c>
      <c r="R321" t="s">
        <v>7168</v>
      </c>
      <c r="S321" t="s">
        <v>7169</v>
      </c>
      <c r="T321">
        <v>41477095626</v>
      </c>
      <c r="V321" t="s">
        <v>1226</v>
      </c>
      <c r="W321" s="41">
        <v>46202</v>
      </c>
      <c r="X321" t="s">
        <v>7170</v>
      </c>
      <c r="Y321" t="s">
        <v>7171</v>
      </c>
      <c r="Z321" t="s">
        <v>7172</v>
      </c>
      <c r="AA321">
        <v>0</v>
      </c>
      <c r="AB321" t="s">
        <v>845</v>
      </c>
      <c r="AC321" t="s">
        <v>846</v>
      </c>
      <c r="AD321" t="s">
        <v>907</v>
      </c>
      <c r="AE321" t="s">
        <v>908</v>
      </c>
      <c r="AF321">
        <v>1</v>
      </c>
      <c r="AG321">
        <v>452210</v>
      </c>
      <c r="AH321" t="s">
        <v>849</v>
      </c>
      <c r="AI321" t="s">
        <v>850</v>
      </c>
      <c r="AJ321" t="s">
        <v>851</v>
      </c>
      <c r="AK321" t="s">
        <v>277</v>
      </c>
      <c r="AL321" t="s">
        <v>1229</v>
      </c>
      <c r="AM321" t="s">
        <v>1230</v>
      </c>
      <c r="AN321" t="s">
        <v>854</v>
      </c>
      <c r="AO321">
        <v>36805</v>
      </c>
      <c r="AP321">
        <v>925</v>
      </c>
      <c r="AQ321" t="s">
        <v>855</v>
      </c>
      <c r="AR321">
        <v>66528585</v>
      </c>
      <c r="AS321" t="s">
        <v>856</v>
      </c>
      <c r="AU321" t="s">
        <v>7173</v>
      </c>
      <c r="AV321" t="s">
        <v>7174</v>
      </c>
      <c r="AW321" t="s">
        <v>1149</v>
      </c>
      <c r="AX321" t="s">
        <v>1150</v>
      </c>
      <c r="AY321" t="s">
        <v>861</v>
      </c>
      <c r="AZ321" t="s">
        <v>277</v>
      </c>
      <c r="BA321" t="s">
        <v>278</v>
      </c>
      <c r="BB321">
        <v>0</v>
      </c>
      <c r="BC321">
        <v>0</v>
      </c>
      <c r="BD321">
        <v>0</v>
      </c>
      <c r="BE321" t="s">
        <v>4593</v>
      </c>
      <c r="BF321">
        <v>0</v>
      </c>
      <c r="BG321">
        <v>0</v>
      </c>
      <c r="BH321" t="s">
        <v>862</v>
      </c>
      <c r="BI321">
        <v>0</v>
      </c>
      <c r="BJ321" t="s">
        <v>862</v>
      </c>
      <c r="BK321">
        <v>1</v>
      </c>
      <c r="BL321">
        <v>0</v>
      </c>
      <c r="BM321">
        <v>0</v>
      </c>
      <c r="BN321" t="s">
        <v>596</v>
      </c>
      <c r="BO321">
        <v>152858779</v>
      </c>
      <c r="BP321" t="s">
        <v>7167</v>
      </c>
      <c r="BR321">
        <v>42793649</v>
      </c>
      <c r="BT321">
        <v>1</v>
      </c>
      <c r="BU321" t="s">
        <v>1314</v>
      </c>
      <c r="BY321">
        <v>16</v>
      </c>
      <c r="CA321">
        <v>31</v>
      </c>
      <c r="CI321">
        <v>11</v>
      </c>
      <c r="CJ321" t="s">
        <v>94</v>
      </c>
      <c r="CM321">
        <v>4010</v>
      </c>
      <c r="CO321">
        <v>7360</v>
      </c>
      <c r="CP321">
        <v>0.55000000000000004</v>
      </c>
      <c r="CQ321">
        <v>0.55000000000000004</v>
      </c>
      <c r="CR321">
        <v>0.66669999999999996</v>
      </c>
      <c r="CS321">
        <v>10</v>
      </c>
      <c r="CT321" t="s">
        <v>7174</v>
      </c>
      <c r="CU321" t="s">
        <v>7173</v>
      </c>
      <c r="CV321" t="s">
        <v>833</v>
      </c>
      <c r="CW321" t="s">
        <v>834</v>
      </c>
      <c r="CX321" t="s">
        <v>4593</v>
      </c>
      <c r="CY321">
        <v>0</v>
      </c>
      <c r="CZ321">
        <v>0</v>
      </c>
      <c r="DA321" t="s">
        <v>833</v>
      </c>
      <c r="DB321" t="s">
        <v>865</v>
      </c>
      <c r="DC321">
        <v>44124</v>
      </c>
      <c r="DD321">
        <v>30.883299999999998</v>
      </c>
      <c r="DE321" t="s">
        <v>866</v>
      </c>
      <c r="DG321" t="s">
        <v>867</v>
      </c>
      <c r="DH321" t="s">
        <v>851</v>
      </c>
      <c r="DI321" t="s">
        <v>4601</v>
      </c>
      <c r="DK321" t="s">
        <v>918</v>
      </c>
      <c r="DL321" t="s">
        <v>869</v>
      </c>
      <c r="DM321">
        <v>0</v>
      </c>
      <c r="DN321">
        <v>0</v>
      </c>
      <c r="DO321">
        <v>2</v>
      </c>
      <c r="DP321" t="s">
        <v>870</v>
      </c>
      <c r="DQ321">
        <v>16</v>
      </c>
      <c r="DR321">
        <v>1853</v>
      </c>
      <c r="DS321">
        <v>4013</v>
      </c>
      <c r="DT321">
        <v>30.333300000000001</v>
      </c>
      <c r="DU321">
        <v>4</v>
      </c>
      <c r="DV321">
        <v>1</v>
      </c>
      <c r="DW321">
        <v>2</v>
      </c>
      <c r="DX321" t="s">
        <v>594</v>
      </c>
      <c r="DY321" t="s">
        <v>4593</v>
      </c>
      <c r="DZ321">
        <v>0</v>
      </c>
      <c r="EA321">
        <v>0</v>
      </c>
      <c r="EB321">
        <v>0</v>
      </c>
      <c r="EC321">
        <v>0</v>
      </c>
      <c r="ED321">
        <v>0</v>
      </c>
      <c r="EE321">
        <v>0</v>
      </c>
      <c r="EF321" t="s">
        <v>871</v>
      </c>
      <c r="EG321" t="s">
        <v>595</v>
      </c>
      <c r="EH321" t="s">
        <v>872</v>
      </c>
      <c r="EI321" t="s">
        <v>872</v>
      </c>
      <c r="EJ321" t="s">
        <v>226</v>
      </c>
      <c r="EK321">
        <v>9090</v>
      </c>
      <c r="EL321">
        <v>0</v>
      </c>
      <c r="EM321" t="s">
        <v>1157</v>
      </c>
      <c r="EN321">
        <v>0.66669999999999996</v>
      </c>
      <c r="EO321">
        <v>66.883333300000004</v>
      </c>
      <c r="EP321">
        <v>99991120</v>
      </c>
      <c r="EQ321" t="s">
        <v>874</v>
      </c>
      <c r="ER321" t="s">
        <v>875</v>
      </c>
      <c r="ES321" t="s">
        <v>876</v>
      </c>
      <c r="ET321" t="s">
        <v>877</v>
      </c>
      <c r="EU321" t="s">
        <v>877</v>
      </c>
      <c r="EV321" t="s">
        <v>871</v>
      </c>
      <c r="EX321" t="s">
        <v>900</v>
      </c>
      <c r="EY321" t="s">
        <v>923</v>
      </c>
      <c r="EZ321" t="s">
        <v>1236</v>
      </c>
      <c r="FA321" t="s">
        <v>956</v>
      </c>
      <c r="FB321">
        <v>1</v>
      </c>
      <c r="FC321">
        <v>1</v>
      </c>
      <c r="FD321" s="41">
        <v>46207</v>
      </c>
      <c r="FE321" t="s">
        <v>1315</v>
      </c>
      <c r="FF321">
        <v>9</v>
      </c>
      <c r="FG321" t="s">
        <v>7175</v>
      </c>
      <c r="FH321" t="s">
        <v>7176</v>
      </c>
      <c r="FI321">
        <v>1</v>
      </c>
      <c r="FJ321" t="s">
        <v>7177</v>
      </c>
      <c r="FK321" t="s">
        <v>7178</v>
      </c>
      <c r="FL321">
        <v>1</v>
      </c>
      <c r="FM321" t="s">
        <v>7179</v>
      </c>
      <c r="FN321" t="s">
        <v>7180</v>
      </c>
      <c r="FO321">
        <v>1</v>
      </c>
      <c r="FP321" t="s">
        <v>7181</v>
      </c>
      <c r="FQ321" t="s">
        <v>7173</v>
      </c>
      <c r="FR321">
        <v>1</v>
      </c>
      <c r="FS321" t="s">
        <v>1649</v>
      </c>
      <c r="FT321" t="s">
        <v>7182</v>
      </c>
      <c r="FU321">
        <v>1</v>
      </c>
      <c r="FV321" t="s">
        <v>7183</v>
      </c>
      <c r="FW321" t="s">
        <v>7184</v>
      </c>
      <c r="FX321">
        <v>1</v>
      </c>
      <c r="FY321" t="s">
        <v>890</v>
      </c>
      <c r="FZ321" t="s">
        <v>7185</v>
      </c>
      <c r="GA321" t="s">
        <v>7177</v>
      </c>
      <c r="GB321">
        <v>1</v>
      </c>
      <c r="GD321">
        <v>0</v>
      </c>
      <c r="GF321">
        <v>0</v>
      </c>
      <c r="GG321">
        <v>1</v>
      </c>
      <c r="GH321" t="s">
        <v>892</v>
      </c>
      <c r="GI321" t="s">
        <v>893</v>
      </c>
      <c r="GJ321" t="s">
        <v>7178</v>
      </c>
      <c r="GM321">
        <v>1</v>
      </c>
      <c r="GN321">
        <v>1</v>
      </c>
      <c r="GO321">
        <v>0</v>
      </c>
      <c r="GP321">
        <v>1</v>
      </c>
      <c r="GQ321">
        <v>1</v>
      </c>
      <c r="GR321">
        <v>0</v>
      </c>
      <c r="GS321">
        <v>1</v>
      </c>
      <c r="GT321">
        <v>0</v>
      </c>
      <c r="GU321">
        <v>1</v>
      </c>
      <c r="GV321">
        <v>0</v>
      </c>
      <c r="GW321">
        <v>1</v>
      </c>
      <c r="GX321">
        <v>0</v>
      </c>
      <c r="GY321">
        <v>1</v>
      </c>
      <c r="GZ321">
        <v>0</v>
      </c>
      <c r="HA321" t="s">
        <v>277</v>
      </c>
      <c r="HB321" t="s">
        <v>894</v>
      </c>
      <c r="HC321" t="s">
        <v>935</v>
      </c>
      <c r="HD321" t="s">
        <v>845</v>
      </c>
      <c r="HE321" t="s">
        <v>900</v>
      </c>
      <c r="HF321" t="s">
        <v>923</v>
      </c>
      <c r="HG321" t="s">
        <v>894</v>
      </c>
      <c r="HH321" t="s">
        <v>935</v>
      </c>
      <c r="HI321" t="s">
        <v>845</v>
      </c>
      <c r="HJ321" t="s">
        <v>900</v>
      </c>
      <c r="HK321" t="s">
        <v>922</v>
      </c>
      <c r="HL321" t="s">
        <v>1226</v>
      </c>
      <c r="HM321" t="s">
        <v>854</v>
      </c>
      <c r="HN321">
        <v>36805</v>
      </c>
      <c r="HO321">
        <v>1</v>
      </c>
      <c r="HP321" t="s">
        <v>226</v>
      </c>
      <c r="HQ321" t="s">
        <v>896</v>
      </c>
      <c r="HR321" t="s">
        <v>896</v>
      </c>
      <c r="HS321" t="s">
        <v>896</v>
      </c>
    </row>
    <row r="322" spans="1:227" x14ac:dyDescent="0.2">
      <c r="A322">
        <v>8702</v>
      </c>
      <c r="B322">
        <v>7602100090</v>
      </c>
      <c r="C322" t="s">
        <v>936</v>
      </c>
      <c r="D322" t="s">
        <v>937</v>
      </c>
      <c r="E322" t="s">
        <v>897</v>
      </c>
      <c r="F322">
        <v>1</v>
      </c>
      <c r="G322" t="s">
        <v>7186</v>
      </c>
      <c r="H322" t="s">
        <v>7186</v>
      </c>
      <c r="I322">
        <v>0</v>
      </c>
      <c r="J322" t="s">
        <v>833</v>
      </c>
      <c r="K322" t="s">
        <v>834</v>
      </c>
      <c r="L322">
        <v>152949078</v>
      </c>
      <c r="M322" t="s">
        <v>4908</v>
      </c>
      <c r="N322" t="s">
        <v>900</v>
      </c>
      <c r="O322" t="s">
        <v>837</v>
      </c>
      <c r="P322" t="s">
        <v>940</v>
      </c>
      <c r="Q322" t="s">
        <v>1080</v>
      </c>
      <c r="R322" t="s">
        <v>7187</v>
      </c>
      <c r="S322" t="s">
        <v>7188</v>
      </c>
      <c r="T322">
        <v>41477123089</v>
      </c>
      <c r="V322" t="s">
        <v>198</v>
      </c>
      <c r="W322" s="41">
        <v>46043</v>
      </c>
      <c r="X322" t="s">
        <v>7189</v>
      </c>
      <c r="Y322" t="s">
        <v>7190</v>
      </c>
      <c r="Z322">
        <v>1</v>
      </c>
      <c r="AA322">
        <v>0</v>
      </c>
      <c r="AB322" t="s">
        <v>845</v>
      </c>
      <c r="AC322" t="s">
        <v>846</v>
      </c>
      <c r="AD322" t="s">
        <v>847</v>
      </c>
      <c r="AE322" t="s">
        <v>848</v>
      </c>
      <c r="AF322">
        <v>1</v>
      </c>
      <c r="AG322">
        <v>452210</v>
      </c>
      <c r="AH322" t="s">
        <v>849</v>
      </c>
      <c r="AI322" t="s">
        <v>850</v>
      </c>
      <c r="AJ322" t="s">
        <v>851</v>
      </c>
      <c r="AK322" t="s">
        <v>365</v>
      </c>
      <c r="AL322" t="s">
        <v>1777</v>
      </c>
      <c r="AM322" t="s">
        <v>1619</v>
      </c>
      <c r="AN322" t="s">
        <v>854</v>
      </c>
      <c r="AO322">
        <v>36805</v>
      </c>
      <c r="AP322">
        <v>640</v>
      </c>
      <c r="AQ322" t="s">
        <v>855</v>
      </c>
      <c r="AR322">
        <v>66300053</v>
      </c>
      <c r="AS322" t="s">
        <v>856</v>
      </c>
      <c r="AU322" t="s">
        <v>7191</v>
      </c>
      <c r="AV322" t="s">
        <v>7192</v>
      </c>
      <c r="AX322" t="s">
        <v>913</v>
      </c>
      <c r="AY322" t="s">
        <v>861</v>
      </c>
      <c r="AZ322" t="s">
        <v>365</v>
      </c>
      <c r="BA322" t="s">
        <v>366</v>
      </c>
      <c r="BB322">
        <v>0</v>
      </c>
      <c r="BC322">
        <v>0</v>
      </c>
      <c r="BD322">
        <v>1</v>
      </c>
      <c r="BE322" t="s">
        <v>4908</v>
      </c>
      <c r="BF322">
        <v>0</v>
      </c>
      <c r="BG322">
        <v>0</v>
      </c>
      <c r="BH322" t="s">
        <v>862</v>
      </c>
      <c r="BI322">
        <v>0</v>
      </c>
      <c r="BJ322" t="s">
        <v>862</v>
      </c>
      <c r="BK322">
        <v>1</v>
      </c>
      <c r="BL322">
        <v>1</v>
      </c>
      <c r="BM322">
        <v>0</v>
      </c>
      <c r="BN322" t="s">
        <v>596</v>
      </c>
      <c r="BO322">
        <v>152949078</v>
      </c>
      <c r="BP322" t="s">
        <v>7186</v>
      </c>
      <c r="BR322">
        <v>42791772</v>
      </c>
      <c r="BT322">
        <v>2</v>
      </c>
      <c r="BU322" t="s">
        <v>1367</v>
      </c>
      <c r="CE322">
        <v>1</v>
      </c>
      <c r="CI322">
        <v>11</v>
      </c>
      <c r="CJ322" t="s">
        <v>94</v>
      </c>
      <c r="CM322">
        <v>4010</v>
      </c>
      <c r="CO322">
        <v>7360</v>
      </c>
      <c r="CP322">
        <v>1.55</v>
      </c>
      <c r="CQ322">
        <v>1.55</v>
      </c>
      <c r="CR322">
        <v>0.5</v>
      </c>
      <c r="CS322">
        <v>2</v>
      </c>
      <c r="CT322" t="s">
        <v>7192</v>
      </c>
      <c r="CU322" t="s">
        <v>7191</v>
      </c>
      <c r="CV322" t="s">
        <v>833</v>
      </c>
      <c r="CW322" t="s">
        <v>834</v>
      </c>
      <c r="CX322" t="s">
        <v>4908</v>
      </c>
      <c r="CY322">
        <v>1</v>
      </c>
      <c r="CZ322">
        <v>1</v>
      </c>
      <c r="DA322" t="s">
        <v>833</v>
      </c>
      <c r="DB322" t="s">
        <v>865</v>
      </c>
      <c r="DC322">
        <v>48823</v>
      </c>
      <c r="DD322">
        <v>4.1166999999999998</v>
      </c>
      <c r="DE322" t="s">
        <v>866</v>
      </c>
      <c r="DG322" t="s">
        <v>867</v>
      </c>
      <c r="DH322" t="s">
        <v>851</v>
      </c>
      <c r="DI322" t="s">
        <v>7193</v>
      </c>
      <c r="DK322" t="s">
        <v>918</v>
      </c>
      <c r="DL322" t="s">
        <v>869</v>
      </c>
      <c r="DM322">
        <v>0</v>
      </c>
      <c r="DN322">
        <v>0</v>
      </c>
      <c r="DO322">
        <v>11</v>
      </c>
      <c r="DP322" t="s">
        <v>1010</v>
      </c>
      <c r="DQ322">
        <v>16</v>
      </c>
      <c r="DR322">
        <v>247</v>
      </c>
      <c r="DS322">
        <v>247</v>
      </c>
      <c r="DT322">
        <v>2.5667</v>
      </c>
      <c r="DU322">
        <v>4</v>
      </c>
      <c r="DV322">
        <v>1</v>
      </c>
      <c r="DW322">
        <v>2</v>
      </c>
      <c r="DX322" t="s">
        <v>596</v>
      </c>
      <c r="DY322" t="s">
        <v>4908</v>
      </c>
      <c r="DZ322">
        <v>1</v>
      </c>
      <c r="EA322">
        <v>1</v>
      </c>
      <c r="EB322">
        <v>1</v>
      </c>
      <c r="EC322">
        <v>1</v>
      </c>
      <c r="ED322">
        <v>1</v>
      </c>
      <c r="EE322">
        <v>1</v>
      </c>
      <c r="EF322" t="s">
        <v>920</v>
      </c>
      <c r="EG322" t="s">
        <v>595</v>
      </c>
      <c r="EH322" t="s">
        <v>921</v>
      </c>
      <c r="EI322" t="s">
        <v>921</v>
      </c>
      <c r="EJ322" t="s">
        <v>178</v>
      </c>
      <c r="EK322">
        <v>9090</v>
      </c>
      <c r="EL322">
        <v>0</v>
      </c>
      <c r="EM322" t="s">
        <v>922</v>
      </c>
      <c r="EN322">
        <v>0.5</v>
      </c>
      <c r="EO322">
        <v>4.1166666000000003</v>
      </c>
      <c r="EP322">
        <v>99991120</v>
      </c>
      <c r="EQ322" t="s">
        <v>874</v>
      </c>
      <c r="ER322" t="s">
        <v>875</v>
      </c>
      <c r="ES322" t="s">
        <v>876</v>
      </c>
      <c r="ET322" t="s">
        <v>877</v>
      </c>
      <c r="EU322" t="s">
        <v>877</v>
      </c>
      <c r="EV322" t="s">
        <v>920</v>
      </c>
      <c r="EX322" t="s">
        <v>953</v>
      </c>
      <c r="EY322" t="s">
        <v>986</v>
      </c>
      <c r="EZ322" t="s">
        <v>1625</v>
      </c>
      <c r="FA322" t="s">
        <v>879</v>
      </c>
      <c r="FB322">
        <v>1</v>
      </c>
      <c r="FC322">
        <v>1</v>
      </c>
      <c r="FD322" s="41">
        <v>46046</v>
      </c>
      <c r="FE322" t="s">
        <v>1370</v>
      </c>
      <c r="FF322">
        <v>8</v>
      </c>
      <c r="FG322" t="s">
        <v>7194</v>
      </c>
      <c r="FH322" t="s">
        <v>7195</v>
      </c>
      <c r="FI322">
        <v>1</v>
      </c>
      <c r="FJ322" t="s">
        <v>7196</v>
      </c>
      <c r="FK322" t="s">
        <v>7195</v>
      </c>
      <c r="FL322">
        <v>1</v>
      </c>
      <c r="FM322" t="s">
        <v>7197</v>
      </c>
      <c r="FN322" t="s">
        <v>7198</v>
      </c>
      <c r="FO322">
        <v>1</v>
      </c>
      <c r="FP322" t="s">
        <v>7199</v>
      </c>
      <c r="FQ322" t="s">
        <v>7200</v>
      </c>
      <c r="FR322">
        <v>1</v>
      </c>
      <c r="FS322" t="s">
        <v>7201</v>
      </c>
      <c r="FT322" t="s">
        <v>7202</v>
      </c>
      <c r="FU322">
        <v>1</v>
      </c>
      <c r="FV322" t="s">
        <v>7203</v>
      </c>
      <c r="FW322" t="s">
        <v>7204</v>
      </c>
      <c r="FX322">
        <v>1</v>
      </c>
      <c r="FY322" t="s">
        <v>890</v>
      </c>
      <c r="FZ322" t="s">
        <v>7205</v>
      </c>
      <c r="GA322" t="s">
        <v>7196</v>
      </c>
      <c r="GB322">
        <v>1</v>
      </c>
      <c r="GD322">
        <v>0</v>
      </c>
      <c r="GF322">
        <v>0</v>
      </c>
      <c r="GG322">
        <v>1</v>
      </c>
      <c r="GH322" t="s">
        <v>892</v>
      </c>
      <c r="GI322" t="s">
        <v>893</v>
      </c>
      <c r="GJ322" t="s">
        <v>7195</v>
      </c>
      <c r="GM322">
        <v>1</v>
      </c>
      <c r="GN322">
        <v>1</v>
      </c>
      <c r="GO322">
        <v>0</v>
      </c>
      <c r="GP322">
        <v>1</v>
      </c>
      <c r="GQ322">
        <v>1</v>
      </c>
      <c r="GR322">
        <v>0</v>
      </c>
      <c r="GS322">
        <v>1</v>
      </c>
      <c r="GT322">
        <v>0</v>
      </c>
      <c r="GU322">
        <v>1</v>
      </c>
      <c r="GV322">
        <v>0</v>
      </c>
      <c r="GW322">
        <v>1</v>
      </c>
      <c r="GX322">
        <v>0</v>
      </c>
      <c r="GY322">
        <v>1</v>
      </c>
      <c r="GZ322">
        <v>0</v>
      </c>
      <c r="HA322" t="s">
        <v>365</v>
      </c>
      <c r="HB322" t="s">
        <v>894</v>
      </c>
      <c r="HC322" t="s">
        <v>935</v>
      </c>
      <c r="HD322" t="s">
        <v>845</v>
      </c>
      <c r="HE322" t="s">
        <v>900</v>
      </c>
      <c r="HF322" t="s">
        <v>923</v>
      </c>
      <c r="HG322" t="s">
        <v>894</v>
      </c>
      <c r="HH322" t="s">
        <v>935</v>
      </c>
      <c r="HI322" t="s">
        <v>845</v>
      </c>
      <c r="HJ322" t="s">
        <v>900</v>
      </c>
      <c r="HK322" t="s">
        <v>922</v>
      </c>
      <c r="HL322" t="s">
        <v>198</v>
      </c>
      <c r="HM322" t="s">
        <v>854</v>
      </c>
      <c r="HN322">
        <v>36805</v>
      </c>
      <c r="HP322" t="s">
        <v>178</v>
      </c>
      <c r="HQ322" t="s">
        <v>896</v>
      </c>
      <c r="HR322" t="s">
        <v>896</v>
      </c>
      <c r="HS322" t="s">
        <v>896</v>
      </c>
    </row>
    <row r="323" spans="1:227" x14ac:dyDescent="0.2">
      <c r="A323">
        <v>8702</v>
      </c>
      <c r="B323">
        <v>7528101272</v>
      </c>
      <c r="C323">
        <v>82</v>
      </c>
      <c r="D323" t="s">
        <v>969</v>
      </c>
      <c r="E323" t="s">
        <v>897</v>
      </c>
      <c r="F323">
        <v>0</v>
      </c>
      <c r="G323" t="s">
        <v>7206</v>
      </c>
      <c r="H323" t="s">
        <v>7206</v>
      </c>
      <c r="I323">
        <v>0</v>
      </c>
      <c r="J323" t="s">
        <v>833</v>
      </c>
      <c r="K323" t="s">
        <v>834</v>
      </c>
      <c r="L323">
        <v>156046207</v>
      </c>
      <c r="M323" t="s">
        <v>7207</v>
      </c>
      <c r="N323" t="s">
        <v>900</v>
      </c>
      <c r="O323" t="s">
        <v>837</v>
      </c>
      <c r="P323" t="s">
        <v>972</v>
      </c>
      <c r="Q323" t="s">
        <v>973</v>
      </c>
      <c r="R323" t="s">
        <v>7208</v>
      </c>
      <c r="S323" t="s">
        <v>7209</v>
      </c>
      <c r="T323">
        <v>41477095563</v>
      </c>
      <c r="V323" t="s">
        <v>208</v>
      </c>
      <c r="W323" s="41">
        <v>45944</v>
      </c>
      <c r="X323" t="s">
        <v>7210</v>
      </c>
      <c r="Y323" t="s">
        <v>7211</v>
      </c>
      <c r="Z323" t="s">
        <v>7212</v>
      </c>
      <c r="AA323">
        <v>0</v>
      </c>
      <c r="AB323" t="s">
        <v>845</v>
      </c>
      <c r="AC323" t="s">
        <v>846</v>
      </c>
      <c r="AD323" t="s">
        <v>847</v>
      </c>
      <c r="AE323" t="s">
        <v>848</v>
      </c>
      <c r="AF323">
        <v>1</v>
      </c>
      <c r="AG323">
        <v>452210</v>
      </c>
      <c r="AH323" t="s">
        <v>849</v>
      </c>
      <c r="AI323" t="s">
        <v>850</v>
      </c>
      <c r="AJ323" t="s">
        <v>851</v>
      </c>
      <c r="AK323" t="s">
        <v>291</v>
      </c>
      <c r="AL323" t="s">
        <v>909</v>
      </c>
      <c r="AM323" t="s">
        <v>979</v>
      </c>
      <c r="AN323" t="s">
        <v>854</v>
      </c>
      <c r="AO323">
        <v>36805</v>
      </c>
      <c r="AP323">
        <v>647</v>
      </c>
      <c r="AQ323" t="s">
        <v>855</v>
      </c>
      <c r="AR323">
        <v>66157492</v>
      </c>
      <c r="AS323" t="s">
        <v>856</v>
      </c>
      <c r="AU323" t="s">
        <v>7213</v>
      </c>
      <c r="AV323" t="s">
        <v>7214</v>
      </c>
      <c r="AX323" t="s">
        <v>913</v>
      </c>
      <c r="AY323" t="s">
        <v>861</v>
      </c>
      <c r="AZ323" t="s">
        <v>291</v>
      </c>
      <c r="BA323" t="s">
        <v>292</v>
      </c>
      <c r="BB323">
        <v>0</v>
      </c>
      <c r="BC323">
        <v>0</v>
      </c>
      <c r="BD323">
        <v>0</v>
      </c>
      <c r="BE323" t="s">
        <v>7207</v>
      </c>
      <c r="BF323">
        <v>0</v>
      </c>
      <c r="BG323">
        <v>0</v>
      </c>
      <c r="BH323" t="s">
        <v>862</v>
      </c>
      <c r="BI323">
        <v>0</v>
      </c>
      <c r="BJ323" t="s">
        <v>862</v>
      </c>
      <c r="BK323">
        <v>1</v>
      </c>
      <c r="BL323">
        <v>1</v>
      </c>
      <c r="BM323">
        <v>0</v>
      </c>
      <c r="BN323" t="s">
        <v>596</v>
      </c>
      <c r="BO323">
        <v>156046207</v>
      </c>
      <c r="BP323" t="s">
        <v>7206</v>
      </c>
      <c r="BQ323">
        <v>42.2267814</v>
      </c>
      <c r="BR323">
        <v>42791779</v>
      </c>
      <c r="BS323">
        <v>-85.591478499999994</v>
      </c>
      <c r="BT323">
        <v>1</v>
      </c>
      <c r="BU323" t="s">
        <v>2280</v>
      </c>
      <c r="CI323">
        <v>11</v>
      </c>
      <c r="CJ323" t="s">
        <v>94</v>
      </c>
      <c r="CM323">
        <v>4010</v>
      </c>
      <c r="CO323">
        <v>7360</v>
      </c>
      <c r="CP323">
        <v>1.3</v>
      </c>
      <c r="CQ323">
        <v>1.3</v>
      </c>
      <c r="CR323">
        <v>3.3332999999999999</v>
      </c>
      <c r="CS323">
        <v>0</v>
      </c>
      <c r="CT323" t="s">
        <v>7214</v>
      </c>
      <c r="CU323" t="s">
        <v>7213</v>
      </c>
      <c r="CV323" t="s">
        <v>833</v>
      </c>
      <c r="CW323" t="s">
        <v>834</v>
      </c>
      <c r="CX323" t="s">
        <v>7207</v>
      </c>
      <c r="CY323">
        <v>0</v>
      </c>
      <c r="CZ323">
        <v>0</v>
      </c>
      <c r="DA323" t="s">
        <v>833</v>
      </c>
      <c r="DB323" t="s">
        <v>865</v>
      </c>
      <c r="DC323">
        <v>49002</v>
      </c>
      <c r="DD323">
        <v>72.383300000000006</v>
      </c>
      <c r="DE323" t="s">
        <v>866</v>
      </c>
      <c r="DG323" t="s">
        <v>867</v>
      </c>
      <c r="DH323" t="s">
        <v>851</v>
      </c>
      <c r="DI323" t="s">
        <v>984</v>
      </c>
      <c r="DK323" t="s">
        <v>1155</v>
      </c>
      <c r="DL323" t="s">
        <v>869</v>
      </c>
      <c r="DM323">
        <v>0</v>
      </c>
      <c r="DN323">
        <v>0</v>
      </c>
      <c r="DO323">
        <v>53</v>
      </c>
      <c r="DP323" t="s">
        <v>1156</v>
      </c>
      <c r="DQ323">
        <v>16</v>
      </c>
      <c r="DR323">
        <v>4343</v>
      </c>
      <c r="DS323">
        <v>8663</v>
      </c>
      <c r="DT323">
        <v>1.7833000000000001</v>
      </c>
      <c r="DU323">
        <v>4</v>
      </c>
      <c r="DV323">
        <v>1</v>
      </c>
      <c r="DW323">
        <v>2</v>
      </c>
      <c r="DX323" t="s">
        <v>596</v>
      </c>
      <c r="DY323" t="s">
        <v>7207</v>
      </c>
      <c r="DZ323">
        <v>0</v>
      </c>
      <c r="EA323">
        <v>0</v>
      </c>
      <c r="EB323">
        <v>1</v>
      </c>
      <c r="EC323">
        <v>1</v>
      </c>
      <c r="ED323">
        <v>1</v>
      </c>
      <c r="EE323">
        <v>1</v>
      </c>
      <c r="EF323" t="s">
        <v>871</v>
      </c>
      <c r="EG323" t="s">
        <v>595</v>
      </c>
      <c r="EH323" t="s">
        <v>921</v>
      </c>
      <c r="EI323" t="s">
        <v>921</v>
      </c>
      <c r="EJ323" t="s">
        <v>178</v>
      </c>
      <c r="EK323">
        <v>9090</v>
      </c>
      <c r="EL323">
        <v>1</v>
      </c>
      <c r="EM323" t="s">
        <v>922</v>
      </c>
      <c r="EN323">
        <v>3.3332999999999999</v>
      </c>
      <c r="EO323">
        <v>144.3833333</v>
      </c>
      <c r="EP323">
        <v>99991120</v>
      </c>
      <c r="EQ323" t="s">
        <v>874</v>
      </c>
      <c r="ER323" t="s">
        <v>875</v>
      </c>
      <c r="ES323" t="s">
        <v>876</v>
      </c>
      <c r="ET323" t="s">
        <v>877</v>
      </c>
      <c r="EU323" t="s">
        <v>877</v>
      </c>
      <c r="EV323" t="s">
        <v>871</v>
      </c>
      <c r="EX323" t="s">
        <v>953</v>
      </c>
      <c r="EY323" t="s">
        <v>986</v>
      </c>
      <c r="EZ323" t="s">
        <v>924</v>
      </c>
      <c r="FA323" t="s">
        <v>925</v>
      </c>
      <c r="FB323">
        <v>1</v>
      </c>
      <c r="FC323">
        <v>3</v>
      </c>
      <c r="FD323" s="41">
        <v>45948</v>
      </c>
      <c r="FE323" t="s">
        <v>1039</v>
      </c>
      <c r="FF323">
        <v>14</v>
      </c>
      <c r="FG323" t="s">
        <v>7215</v>
      </c>
      <c r="FH323" t="s">
        <v>7216</v>
      </c>
      <c r="FI323">
        <v>1</v>
      </c>
      <c r="FJ323" t="s">
        <v>7217</v>
      </c>
      <c r="FK323" t="s">
        <v>7218</v>
      </c>
      <c r="FL323">
        <v>1</v>
      </c>
      <c r="FM323" t="s">
        <v>7219</v>
      </c>
      <c r="FN323" t="s">
        <v>7220</v>
      </c>
      <c r="FO323">
        <v>1</v>
      </c>
      <c r="FP323" t="s">
        <v>7221</v>
      </c>
      <c r="FQ323" t="s">
        <v>7222</v>
      </c>
      <c r="FR323">
        <v>1</v>
      </c>
      <c r="FS323" t="s">
        <v>993</v>
      </c>
      <c r="FT323" t="s">
        <v>7223</v>
      </c>
      <c r="FU323">
        <v>1</v>
      </c>
      <c r="FV323" t="s">
        <v>7224</v>
      </c>
      <c r="FW323" t="s">
        <v>7225</v>
      </c>
      <c r="FX323">
        <v>1</v>
      </c>
      <c r="FY323" t="s">
        <v>890</v>
      </c>
      <c r="FZ323" t="s">
        <v>7226</v>
      </c>
      <c r="GA323" t="s">
        <v>7215</v>
      </c>
      <c r="GB323">
        <v>1</v>
      </c>
      <c r="GD323">
        <v>0</v>
      </c>
      <c r="GF323">
        <v>0</v>
      </c>
      <c r="GG323">
        <v>1</v>
      </c>
      <c r="GH323" t="s">
        <v>892</v>
      </c>
      <c r="GI323" t="s">
        <v>893</v>
      </c>
      <c r="GJ323" t="s">
        <v>7216</v>
      </c>
      <c r="GM323">
        <v>1</v>
      </c>
      <c r="GN323">
        <v>0</v>
      </c>
      <c r="GO323">
        <v>0</v>
      </c>
      <c r="GP323">
        <v>1</v>
      </c>
      <c r="GQ323">
        <v>1</v>
      </c>
      <c r="GR323">
        <v>0</v>
      </c>
      <c r="GS323">
        <v>1</v>
      </c>
      <c r="GT323">
        <v>0</v>
      </c>
      <c r="GU323">
        <v>1</v>
      </c>
      <c r="GV323">
        <v>0</v>
      </c>
      <c r="GW323">
        <v>1</v>
      </c>
      <c r="GX323">
        <v>0</v>
      </c>
      <c r="GY323">
        <v>1</v>
      </c>
      <c r="GZ323">
        <v>0</v>
      </c>
      <c r="HA323" t="s">
        <v>291</v>
      </c>
      <c r="HB323" t="s">
        <v>894</v>
      </c>
      <c r="HC323" t="s">
        <v>935</v>
      </c>
      <c r="HD323" t="s">
        <v>845</v>
      </c>
      <c r="HE323" t="s">
        <v>900</v>
      </c>
      <c r="HF323" t="s">
        <v>923</v>
      </c>
      <c r="HG323" t="s">
        <v>894</v>
      </c>
      <c r="HH323" t="s">
        <v>935</v>
      </c>
      <c r="HI323" t="s">
        <v>845</v>
      </c>
      <c r="HJ323" t="s">
        <v>900</v>
      </c>
      <c r="HK323" t="s">
        <v>922</v>
      </c>
      <c r="HL323" t="s">
        <v>208</v>
      </c>
      <c r="HM323" t="s">
        <v>854</v>
      </c>
      <c r="HN323">
        <v>36805</v>
      </c>
      <c r="HO323">
        <v>1</v>
      </c>
      <c r="HP323" t="s">
        <v>178</v>
      </c>
      <c r="HQ323" t="s">
        <v>896</v>
      </c>
      <c r="HR323" t="s">
        <v>896</v>
      </c>
      <c r="HS323" t="s">
        <v>896</v>
      </c>
    </row>
    <row r="324" spans="1:227" x14ac:dyDescent="0.2">
      <c r="A324">
        <v>8702</v>
      </c>
      <c r="B324">
        <v>7530305922</v>
      </c>
      <c r="C324" t="s">
        <v>829</v>
      </c>
      <c r="D324" t="s">
        <v>830</v>
      </c>
      <c r="E324" t="s">
        <v>831</v>
      </c>
      <c r="F324">
        <v>1</v>
      </c>
      <c r="G324" t="s">
        <v>7227</v>
      </c>
      <c r="H324" t="s">
        <v>7227</v>
      </c>
      <c r="I324">
        <v>0</v>
      </c>
      <c r="J324" t="s">
        <v>833</v>
      </c>
      <c r="K324" t="s">
        <v>834</v>
      </c>
      <c r="L324">
        <v>153406525</v>
      </c>
      <c r="M324" t="s">
        <v>2268</v>
      </c>
      <c r="N324" t="s">
        <v>836</v>
      </c>
      <c r="O324" t="s">
        <v>837</v>
      </c>
      <c r="P324" t="s">
        <v>838</v>
      </c>
      <c r="Q324" t="s">
        <v>839</v>
      </c>
      <c r="R324" t="s">
        <v>7228</v>
      </c>
      <c r="S324" t="s">
        <v>7229</v>
      </c>
      <c r="T324">
        <v>41477076571</v>
      </c>
      <c r="V324" t="s">
        <v>2273</v>
      </c>
      <c r="W324" s="41">
        <v>45960</v>
      </c>
      <c r="X324" t="s">
        <v>7230</v>
      </c>
      <c r="Y324" t="s">
        <v>7231</v>
      </c>
      <c r="AA324">
        <v>0</v>
      </c>
      <c r="AB324" t="s">
        <v>845</v>
      </c>
      <c r="AC324" t="s">
        <v>846</v>
      </c>
      <c r="AD324" t="s">
        <v>847</v>
      </c>
      <c r="AE324" t="s">
        <v>848</v>
      </c>
      <c r="AF324">
        <v>1</v>
      </c>
      <c r="AG324">
        <v>452210</v>
      </c>
      <c r="AH324" t="s">
        <v>849</v>
      </c>
      <c r="AI324" t="s">
        <v>850</v>
      </c>
      <c r="AJ324" t="s">
        <v>851</v>
      </c>
      <c r="AK324" t="s">
        <v>431</v>
      </c>
      <c r="AL324" t="s">
        <v>7232</v>
      </c>
      <c r="AM324" t="s">
        <v>2277</v>
      </c>
      <c r="AN324" t="s">
        <v>854</v>
      </c>
      <c r="AO324">
        <v>36805</v>
      </c>
      <c r="AP324">
        <v>561</v>
      </c>
      <c r="AQ324" t="s">
        <v>855</v>
      </c>
      <c r="AR324">
        <v>66180085</v>
      </c>
      <c r="AS324" t="s">
        <v>856</v>
      </c>
      <c r="AU324" t="s">
        <v>7233</v>
      </c>
      <c r="AV324" t="s">
        <v>7234</v>
      </c>
      <c r="AX324" t="s">
        <v>913</v>
      </c>
      <c r="AY324" t="s">
        <v>861</v>
      </c>
      <c r="AZ324" t="s">
        <v>431</v>
      </c>
      <c r="BA324" t="s">
        <v>432</v>
      </c>
      <c r="BB324">
        <v>0</v>
      </c>
      <c r="BC324">
        <v>0</v>
      </c>
      <c r="BD324">
        <v>1</v>
      </c>
      <c r="BE324" t="s">
        <v>2268</v>
      </c>
      <c r="BF324">
        <v>0</v>
      </c>
      <c r="BG324">
        <v>0</v>
      </c>
      <c r="BH324" t="s">
        <v>862</v>
      </c>
      <c r="BI324">
        <v>0</v>
      </c>
      <c r="BJ324" t="s">
        <v>862</v>
      </c>
      <c r="BK324">
        <v>1</v>
      </c>
      <c r="BL324">
        <v>1</v>
      </c>
      <c r="BM324">
        <v>0</v>
      </c>
      <c r="BN324" t="s">
        <v>596</v>
      </c>
      <c r="BO324">
        <v>153406525</v>
      </c>
      <c r="BP324" t="s">
        <v>7227</v>
      </c>
      <c r="BR324">
        <v>42791463</v>
      </c>
      <c r="BT324">
        <v>0</v>
      </c>
      <c r="CM324">
        <v>4010</v>
      </c>
      <c r="CO324">
        <v>7360</v>
      </c>
      <c r="CP324">
        <v>1.4</v>
      </c>
      <c r="CQ324">
        <v>1.4</v>
      </c>
      <c r="CR324">
        <v>0.5</v>
      </c>
      <c r="CS324">
        <v>3</v>
      </c>
      <c r="CT324" t="s">
        <v>7234</v>
      </c>
      <c r="CU324" t="s">
        <v>7233</v>
      </c>
      <c r="CV324" t="s">
        <v>833</v>
      </c>
      <c r="CW324" t="s">
        <v>834</v>
      </c>
      <c r="CX324" t="s">
        <v>2268</v>
      </c>
      <c r="CY324">
        <v>1</v>
      </c>
      <c r="CZ324">
        <v>1</v>
      </c>
      <c r="DA324" t="s">
        <v>833</v>
      </c>
      <c r="DB324" t="s">
        <v>865</v>
      </c>
      <c r="DC324">
        <v>55414</v>
      </c>
      <c r="DD324">
        <v>2.1667000000000001</v>
      </c>
      <c r="DE324" t="s">
        <v>866</v>
      </c>
      <c r="DG324" t="s">
        <v>867</v>
      </c>
      <c r="DH324" t="s">
        <v>851</v>
      </c>
      <c r="DL324" t="s">
        <v>869</v>
      </c>
      <c r="DM324">
        <v>0</v>
      </c>
      <c r="DN324">
        <v>0</v>
      </c>
      <c r="DO324">
        <v>12</v>
      </c>
      <c r="DP324" t="s">
        <v>1190</v>
      </c>
      <c r="DQ324">
        <v>16</v>
      </c>
      <c r="DR324">
        <v>130</v>
      </c>
      <c r="DS324">
        <v>130</v>
      </c>
      <c r="DT324">
        <v>0.76670000000000005</v>
      </c>
      <c r="DU324">
        <v>4</v>
      </c>
      <c r="DW324">
        <v>2</v>
      </c>
      <c r="DX324" t="s">
        <v>596</v>
      </c>
      <c r="DY324" t="s">
        <v>2268</v>
      </c>
      <c r="DZ324">
        <v>1</v>
      </c>
      <c r="EA324">
        <v>1</v>
      </c>
      <c r="EB324">
        <v>1</v>
      </c>
      <c r="EC324">
        <v>1</v>
      </c>
      <c r="ED324">
        <v>1</v>
      </c>
      <c r="EE324">
        <v>1</v>
      </c>
      <c r="EF324" t="s">
        <v>871</v>
      </c>
      <c r="EG324" t="s">
        <v>595</v>
      </c>
      <c r="EH324" t="s">
        <v>921</v>
      </c>
      <c r="EI324" t="s">
        <v>921</v>
      </c>
      <c r="EJ324" t="s">
        <v>159</v>
      </c>
      <c r="EK324">
        <v>9090</v>
      </c>
      <c r="EL324">
        <v>0</v>
      </c>
      <c r="EM324" t="s">
        <v>1436</v>
      </c>
      <c r="EN324">
        <v>0.5</v>
      </c>
      <c r="EO324">
        <v>2.1666666000000001</v>
      </c>
      <c r="EP324">
        <v>99991120</v>
      </c>
      <c r="EQ324" t="s">
        <v>874</v>
      </c>
      <c r="ER324" t="s">
        <v>875</v>
      </c>
      <c r="ES324" t="s">
        <v>876</v>
      </c>
      <c r="ET324" t="s">
        <v>877</v>
      </c>
      <c r="EU324" t="s">
        <v>877</v>
      </c>
      <c r="EV324" t="s">
        <v>871</v>
      </c>
      <c r="EX324" t="s">
        <v>836</v>
      </c>
      <c r="EY324" t="s">
        <v>1121</v>
      </c>
      <c r="EZ324" t="s">
        <v>1122</v>
      </c>
      <c r="FA324" t="s">
        <v>956</v>
      </c>
      <c r="FB324">
        <v>1</v>
      </c>
      <c r="FC324">
        <v>1</v>
      </c>
      <c r="FD324" s="41">
        <v>45962</v>
      </c>
      <c r="FE324" t="s">
        <v>1039</v>
      </c>
      <c r="FF324">
        <v>5</v>
      </c>
      <c r="FI324">
        <v>0</v>
      </c>
      <c r="FJ324" t="s">
        <v>7235</v>
      </c>
      <c r="FK324" t="s">
        <v>7236</v>
      </c>
      <c r="FL324">
        <v>1</v>
      </c>
      <c r="FM324" t="s">
        <v>2284</v>
      </c>
      <c r="FN324" t="s">
        <v>7237</v>
      </c>
      <c r="FO324">
        <v>1</v>
      </c>
      <c r="FP324" t="s">
        <v>7238</v>
      </c>
      <c r="FQ324" t="s">
        <v>7239</v>
      </c>
      <c r="FR324">
        <v>1</v>
      </c>
      <c r="FS324" t="s">
        <v>2736</v>
      </c>
      <c r="FT324" t="s">
        <v>7240</v>
      </c>
      <c r="FU324">
        <v>1</v>
      </c>
      <c r="FV324" t="s">
        <v>7241</v>
      </c>
      <c r="FW324" t="s">
        <v>7236</v>
      </c>
      <c r="FX324">
        <v>1</v>
      </c>
      <c r="FY324" t="s">
        <v>890</v>
      </c>
      <c r="FZ324" t="s">
        <v>7242</v>
      </c>
      <c r="GA324" t="s">
        <v>7235</v>
      </c>
      <c r="GB324">
        <v>1</v>
      </c>
      <c r="GD324">
        <v>0</v>
      </c>
      <c r="GF324">
        <v>0</v>
      </c>
      <c r="GG324">
        <v>1</v>
      </c>
      <c r="GH324" t="s">
        <v>892</v>
      </c>
      <c r="GI324" t="s">
        <v>893</v>
      </c>
      <c r="GJ324" t="s">
        <v>7236</v>
      </c>
      <c r="GM324">
        <v>1</v>
      </c>
      <c r="GN324">
        <v>1</v>
      </c>
      <c r="GO324">
        <v>0</v>
      </c>
      <c r="GP324">
        <v>1</v>
      </c>
      <c r="GQ324">
        <v>1</v>
      </c>
      <c r="GR324">
        <v>0</v>
      </c>
      <c r="GS324">
        <v>1</v>
      </c>
      <c r="GT324">
        <v>0</v>
      </c>
      <c r="GU324">
        <v>1</v>
      </c>
      <c r="GV324">
        <v>0</v>
      </c>
      <c r="GW324">
        <v>1</v>
      </c>
      <c r="GX324">
        <v>0</v>
      </c>
      <c r="GY324">
        <v>1</v>
      </c>
      <c r="GZ324">
        <v>0</v>
      </c>
      <c r="HA324" t="s">
        <v>431</v>
      </c>
      <c r="HB324" t="s">
        <v>894</v>
      </c>
      <c r="HC324" t="s">
        <v>895</v>
      </c>
      <c r="HD324" t="s">
        <v>845</v>
      </c>
      <c r="HE324" t="s">
        <v>836</v>
      </c>
      <c r="HF324" t="s">
        <v>873</v>
      </c>
      <c r="HG324" t="s">
        <v>894</v>
      </c>
      <c r="HH324" t="s">
        <v>895</v>
      </c>
      <c r="HI324" t="s">
        <v>845</v>
      </c>
      <c r="HJ324" t="s">
        <v>836</v>
      </c>
      <c r="HK324" t="s">
        <v>1436</v>
      </c>
      <c r="HL324" t="s">
        <v>2273</v>
      </c>
      <c r="HM324" t="s">
        <v>854</v>
      </c>
      <c r="HN324">
        <v>36805</v>
      </c>
      <c r="HP324" t="s">
        <v>159</v>
      </c>
      <c r="HQ324" t="s">
        <v>896</v>
      </c>
      <c r="HR324" t="s">
        <v>896</v>
      </c>
      <c r="HS324" t="s">
        <v>896</v>
      </c>
    </row>
    <row r="325" spans="1:227" x14ac:dyDescent="0.2">
      <c r="A325">
        <v>8702</v>
      </c>
      <c r="B325">
        <v>7622303121</v>
      </c>
      <c r="C325" t="s">
        <v>936</v>
      </c>
      <c r="D325" t="s">
        <v>937</v>
      </c>
      <c r="E325" t="s">
        <v>831</v>
      </c>
      <c r="F325">
        <v>1109842</v>
      </c>
      <c r="G325" t="s">
        <v>7243</v>
      </c>
      <c r="H325" t="s">
        <v>7243</v>
      </c>
      <c r="I325">
        <v>0</v>
      </c>
      <c r="J325" t="s">
        <v>833</v>
      </c>
      <c r="K325" t="s">
        <v>834</v>
      </c>
      <c r="L325">
        <v>152946631</v>
      </c>
      <c r="M325" t="s">
        <v>4137</v>
      </c>
      <c r="N325" t="s">
        <v>836</v>
      </c>
      <c r="O325" t="s">
        <v>837</v>
      </c>
      <c r="P325" t="s">
        <v>940</v>
      </c>
      <c r="Q325" t="s">
        <v>1080</v>
      </c>
      <c r="R325" t="s">
        <v>7244</v>
      </c>
      <c r="S325" t="s">
        <v>7245</v>
      </c>
      <c r="T325">
        <v>41477124076</v>
      </c>
      <c r="V325" t="s">
        <v>842</v>
      </c>
      <c r="W325" s="41">
        <v>46245</v>
      </c>
      <c r="X325" t="s">
        <v>7246</v>
      </c>
      <c r="Y325" t="s">
        <v>7247</v>
      </c>
      <c r="AA325">
        <v>0</v>
      </c>
      <c r="AB325" t="s">
        <v>845</v>
      </c>
      <c r="AC325" t="s">
        <v>846</v>
      </c>
      <c r="AD325" t="s">
        <v>907</v>
      </c>
      <c r="AE325" t="s">
        <v>908</v>
      </c>
      <c r="AF325">
        <v>1</v>
      </c>
      <c r="AG325">
        <v>452210</v>
      </c>
      <c r="AH325" t="s">
        <v>849</v>
      </c>
      <c r="AI325" t="s">
        <v>850</v>
      </c>
      <c r="AJ325" t="s">
        <v>851</v>
      </c>
      <c r="AK325" t="s">
        <v>524</v>
      </c>
      <c r="AL325" t="s">
        <v>852</v>
      </c>
      <c r="AM325" t="s">
        <v>853</v>
      </c>
      <c r="AN325" t="s">
        <v>854</v>
      </c>
      <c r="AO325">
        <v>36805</v>
      </c>
      <c r="AP325">
        <v>962</v>
      </c>
      <c r="AQ325" t="s">
        <v>855</v>
      </c>
      <c r="AR325">
        <v>0</v>
      </c>
      <c r="AS325" t="s">
        <v>856</v>
      </c>
      <c r="AU325" t="s">
        <v>7248</v>
      </c>
      <c r="AV325" t="s">
        <v>7249</v>
      </c>
      <c r="AX325" t="s">
        <v>913</v>
      </c>
      <c r="AY325" t="s">
        <v>861</v>
      </c>
      <c r="AZ325" t="s">
        <v>524</v>
      </c>
      <c r="BA325" t="s">
        <v>525</v>
      </c>
      <c r="BB325">
        <v>0</v>
      </c>
      <c r="BC325">
        <v>0</v>
      </c>
      <c r="BD325">
        <v>0</v>
      </c>
      <c r="BE325" t="s">
        <v>4137</v>
      </c>
      <c r="BF325">
        <v>0</v>
      </c>
      <c r="BG325">
        <v>0</v>
      </c>
      <c r="BH325" t="s">
        <v>862</v>
      </c>
      <c r="BI325">
        <v>0</v>
      </c>
      <c r="BJ325" t="s">
        <v>862</v>
      </c>
      <c r="BK325">
        <v>1</v>
      </c>
      <c r="BL325">
        <v>1</v>
      </c>
      <c r="BM325">
        <v>0</v>
      </c>
      <c r="BN325" t="s">
        <v>596</v>
      </c>
      <c r="BO325">
        <v>152946631</v>
      </c>
      <c r="BP325" t="s">
        <v>7243</v>
      </c>
      <c r="BR325">
        <v>42793657</v>
      </c>
      <c r="BT325">
        <v>0</v>
      </c>
      <c r="CM325">
        <v>4010</v>
      </c>
      <c r="CO325">
        <v>7360</v>
      </c>
      <c r="CP325">
        <v>0.25</v>
      </c>
      <c r="CQ325">
        <v>0.25</v>
      </c>
      <c r="CR325">
        <v>0.4</v>
      </c>
      <c r="CS325">
        <v>0</v>
      </c>
      <c r="CT325" t="s">
        <v>7249</v>
      </c>
      <c r="CU325" t="s">
        <v>7248</v>
      </c>
      <c r="CV325" t="s">
        <v>833</v>
      </c>
      <c r="CW325" t="s">
        <v>834</v>
      </c>
      <c r="CX325" t="s">
        <v>4137</v>
      </c>
      <c r="CY325">
        <v>0</v>
      </c>
      <c r="CZ325">
        <v>0</v>
      </c>
      <c r="DA325" t="s">
        <v>833</v>
      </c>
      <c r="DB325" t="s">
        <v>865</v>
      </c>
      <c r="DC325">
        <v>50266</v>
      </c>
      <c r="DD325">
        <v>1.8833</v>
      </c>
      <c r="DE325" t="s">
        <v>866</v>
      </c>
      <c r="DG325" t="s">
        <v>867</v>
      </c>
      <c r="DH325" t="s">
        <v>851</v>
      </c>
      <c r="DI325" t="s">
        <v>4147</v>
      </c>
      <c r="DL325" t="s">
        <v>869</v>
      </c>
      <c r="DM325">
        <v>0</v>
      </c>
      <c r="DN325">
        <v>0</v>
      </c>
      <c r="DO325">
        <v>3</v>
      </c>
      <c r="DP325" t="s">
        <v>919</v>
      </c>
      <c r="DQ325">
        <v>16</v>
      </c>
      <c r="DR325">
        <v>113</v>
      </c>
      <c r="DS325">
        <v>113</v>
      </c>
      <c r="DT325">
        <v>1.6333</v>
      </c>
      <c r="DU325">
        <v>4</v>
      </c>
      <c r="DW325">
        <v>2</v>
      </c>
      <c r="DX325" t="s">
        <v>596</v>
      </c>
      <c r="DY325" t="s">
        <v>4137</v>
      </c>
      <c r="DZ325">
        <v>1</v>
      </c>
      <c r="EA325">
        <v>1</v>
      </c>
      <c r="EB325">
        <v>1</v>
      </c>
      <c r="EC325">
        <v>1</v>
      </c>
      <c r="ED325">
        <v>1</v>
      </c>
      <c r="EE325">
        <v>1</v>
      </c>
      <c r="EF325" t="s">
        <v>871</v>
      </c>
      <c r="EG325" t="s">
        <v>595</v>
      </c>
      <c r="EH325" t="s">
        <v>921</v>
      </c>
      <c r="EI325" t="s">
        <v>921</v>
      </c>
      <c r="EJ325" t="s">
        <v>246</v>
      </c>
      <c r="EK325">
        <v>9090</v>
      </c>
      <c r="EL325">
        <v>0</v>
      </c>
      <c r="EM325" t="s">
        <v>873</v>
      </c>
      <c r="EN325">
        <v>0.4</v>
      </c>
      <c r="EO325">
        <v>1.8833333000000001</v>
      </c>
      <c r="EP325">
        <v>99991120</v>
      </c>
      <c r="EQ325" t="s">
        <v>874</v>
      </c>
      <c r="ER325" t="s">
        <v>875</v>
      </c>
      <c r="ES325" t="s">
        <v>876</v>
      </c>
      <c r="ET325" t="s">
        <v>877</v>
      </c>
      <c r="EU325" t="s">
        <v>877</v>
      </c>
      <c r="EV325" t="s">
        <v>871</v>
      </c>
      <c r="EX325" t="s">
        <v>836</v>
      </c>
      <c r="EY325" t="s">
        <v>873</v>
      </c>
      <c r="EZ325" t="s">
        <v>878</v>
      </c>
      <c r="FA325" t="s">
        <v>879</v>
      </c>
      <c r="FB325">
        <v>1</v>
      </c>
      <c r="FC325">
        <v>1</v>
      </c>
      <c r="FD325" s="41">
        <v>46249</v>
      </c>
      <c r="FE325" t="s">
        <v>926</v>
      </c>
      <c r="FF325">
        <v>2</v>
      </c>
      <c r="FI325">
        <v>0</v>
      </c>
      <c r="FL325">
        <v>0</v>
      </c>
      <c r="FO325">
        <v>0</v>
      </c>
      <c r="FP325" t="s">
        <v>7250</v>
      </c>
      <c r="FQ325" t="s">
        <v>7248</v>
      </c>
      <c r="FR325">
        <v>1</v>
      </c>
      <c r="FS325" t="s">
        <v>7251</v>
      </c>
      <c r="FT325" t="s">
        <v>7252</v>
      </c>
      <c r="FU325">
        <v>1</v>
      </c>
      <c r="FX325">
        <v>0</v>
      </c>
      <c r="FY325" t="s">
        <v>890</v>
      </c>
      <c r="FZ325" t="s">
        <v>7253</v>
      </c>
      <c r="GB325">
        <v>0</v>
      </c>
      <c r="GD325">
        <v>0</v>
      </c>
      <c r="GF325">
        <v>0</v>
      </c>
      <c r="GG325">
        <v>0</v>
      </c>
      <c r="GM325">
        <v>1</v>
      </c>
      <c r="GN325">
        <v>1</v>
      </c>
      <c r="GO325">
        <v>0</v>
      </c>
      <c r="GP325">
        <v>1</v>
      </c>
      <c r="GQ325">
        <v>1</v>
      </c>
      <c r="GR325">
        <v>0</v>
      </c>
      <c r="GS325">
        <v>1</v>
      </c>
      <c r="GT325">
        <v>0</v>
      </c>
      <c r="GU325">
        <v>1</v>
      </c>
      <c r="GV325">
        <v>0</v>
      </c>
      <c r="GW325">
        <v>1</v>
      </c>
      <c r="GX325">
        <v>0</v>
      </c>
      <c r="GY325">
        <v>1</v>
      </c>
      <c r="GZ325">
        <v>0</v>
      </c>
      <c r="HA325" t="s">
        <v>524</v>
      </c>
      <c r="HB325" t="s">
        <v>894</v>
      </c>
      <c r="HC325" t="s">
        <v>895</v>
      </c>
      <c r="HD325" t="s">
        <v>845</v>
      </c>
      <c r="HE325" t="s">
        <v>836</v>
      </c>
      <c r="HF325" t="s">
        <v>873</v>
      </c>
      <c r="HG325" t="s">
        <v>894</v>
      </c>
      <c r="HH325" t="s">
        <v>895</v>
      </c>
      <c r="HI325" t="s">
        <v>845</v>
      </c>
      <c r="HJ325" t="s">
        <v>836</v>
      </c>
      <c r="HK325" t="s">
        <v>873</v>
      </c>
      <c r="HL325" t="s">
        <v>842</v>
      </c>
      <c r="HM325" t="s">
        <v>854</v>
      </c>
      <c r="HN325">
        <v>36805</v>
      </c>
      <c r="HP325" t="s">
        <v>246</v>
      </c>
      <c r="HQ325" t="s">
        <v>896</v>
      </c>
      <c r="HR325" t="s">
        <v>896</v>
      </c>
      <c r="HS325" t="s">
        <v>896</v>
      </c>
    </row>
    <row r="326" spans="1:227" x14ac:dyDescent="0.2">
      <c r="A326">
        <v>8702</v>
      </c>
      <c r="B326">
        <v>7608301533</v>
      </c>
      <c r="C326" t="s">
        <v>829</v>
      </c>
      <c r="D326" t="s">
        <v>830</v>
      </c>
      <c r="E326" t="s">
        <v>897</v>
      </c>
      <c r="F326">
        <v>0</v>
      </c>
      <c r="G326" t="s">
        <v>7254</v>
      </c>
      <c r="H326" t="s">
        <v>7254</v>
      </c>
      <c r="I326">
        <v>0</v>
      </c>
      <c r="J326" t="s">
        <v>833</v>
      </c>
      <c r="K326" t="s">
        <v>834</v>
      </c>
      <c r="L326">
        <v>153406503</v>
      </c>
      <c r="M326" t="s">
        <v>7255</v>
      </c>
      <c r="N326" t="s">
        <v>900</v>
      </c>
      <c r="O326" t="s">
        <v>837</v>
      </c>
      <c r="P326" t="s">
        <v>838</v>
      </c>
      <c r="Q326" t="s">
        <v>1251</v>
      </c>
      <c r="R326" t="s">
        <v>7256</v>
      </c>
      <c r="S326" t="s">
        <v>7257</v>
      </c>
      <c r="T326">
        <v>41477124629</v>
      </c>
      <c r="V326" t="s">
        <v>123</v>
      </c>
      <c r="W326" s="41">
        <v>46106</v>
      </c>
      <c r="X326" t="s">
        <v>7258</v>
      </c>
      <c r="Y326" t="s">
        <v>7259</v>
      </c>
      <c r="AA326">
        <v>0</v>
      </c>
      <c r="AB326" t="s">
        <v>845</v>
      </c>
      <c r="AC326" t="s">
        <v>846</v>
      </c>
      <c r="AD326" t="s">
        <v>1113</v>
      </c>
      <c r="AE326" t="s">
        <v>1114</v>
      </c>
      <c r="AF326">
        <v>1</v>
      </c>
      <c r="AG326">
        <v>452210</v>
      </c>
      <c r="AH326" t="s">
        <v>849</v>
      </c>
      <c r="AI326" t="s">
        <v>850</v>
      </c>
      <c r="AJ326" t="s">
        <v>851</v>
      </c>
      <c r="AK326" t="s">
        <v>269</v>
      </c>
      <c r="AL326" t="s">
        <v>2928</v>
      </c>
      <c r="AM326" t="s">
        <v>3964</v>
      </c>
      <c r="AN326" t="s">
        <v>854</v>
      </c>
      <c r="AO326">
        <v>36805</v>
      </c>
      <c r="AP326">
        <v>496</v>
      </c>
      <c r="AQ326" t="s">
        <v>855</v>
      </c>
      <c r="AR326">
        <v>66390724</v>
      </c>
      <c r="AS326" t="s">
        <v>856</v>
      </c>
      <c r="AU326" t="s">
        <v>7260</v>
      </c>
      <c r="AV326" t="s">
        <v>7261</v>
      </c>
      <c r="AX326" t="s">
        <v>913</v>
      </c>
      <c r="AY326" t="s">
        <v>861</v>
      </c>
      <c r="AZ326" t="s">
        <v>269</v>
      </c>
      <c r="BA326" t="s">
        <v>270</v>
      </c>
      <c r="BB326">
        <v>0</v>
      </c>
      <c r="BC326">
        <v>0</v>
      </c>
      <c r="BD326">
        <v>0</v>
      </c>
      <c r="BE326" t="s">
        <v>7255</v>
      </c>
      <c r="BF326">
        <v>0</v>
      </c>
      <c r="BG326">
        <v>0</v>
      </c>
      <c r="BH326" t="s">
        <v>862</v>
      </c>
      <c r="BI326">
        <v>0</v>
      </c>
      <c r="BJ326" t="s">
        <v>862</v>
      </c>
      <c r="BK326">
        <v>1</v>
      </c>
      <c r="BL326">
        <v>1</v>
      </c>
      <c r="BM326">
        <v>0</v>
      </c>
      <c r="BN326" t="s">
        <v>596</v>
      </c>
      <c r="BO326">
        <v>153406503</v>
      </c>
      <c r="BP326" t="s">
        <v>7254</v>
      </c>
      <c r="BQ326">
        <v>40.369734700000002</v>
      </c>
      <c r="BR326">
        <v>42789074</v>
      </c>
      <c r="BS326">
        <v>-80.104542100000003</v>
      </c>
      <c r="BT326">
        <v>2</v>
      </c>
      <c r="BU326" t="s">
        <v>1715</v>
      </c>
      <c r="BY326">
        <v>16</v>
      </c>
      <c r="CA326">
        <v>10</v>
      </c>
      <c r="CE326">
        <v>1</v>
      </c>
      <c r="CI326">
        <v>11</v>
      </c>
      <c r="CJ326" t="s">
        <v>94</v>
      </c>
      <c r="CM326">
        <v>4010</v>
      </c>
      <c r="CO326">
        <v>7360</v>
      </c>
      <c r="CP326">
        <v>0.56669999999999998</v>
      </c>
      <c r="CQ326">
        <v>0.56669999999999998</v>
      </c>
      <c r="CR326">
        <v>1.3</v>
      </c>
      <c r="CS326">
        <v>44</v>
      </c>
      <c r="CT326" t="s">
        <v>7261</v>
      </c>
      <c r="CU326" t="s">
        <v>7260</v>
      </c>
      <c r="CV326" t="s">
        <v>833</v>
      </c>
      <c r="CW326" t="s">
        <v>834</v>
      </c>
      <c r="CX326" t="s">
        <v>7255</v>
      </c>
      <c r="CY326">
        <v>0</v>
      </c>
      <c r="CZ326">
        <v>0</v>
      </c>
      <c r="DA326" t="s">
        <v>833</v>
      </c>
      <c r="DB326" t="s">
        <v>865</v>
      </c>
      <c r="DC326">
        <v>15017</v>
      </c>
      <c r="DD326">
        <v>10.199999999999999</v>
      </c>
      <c r="DE326" t="s">
        <v>866</v>
      </c>
      <c r="DG326" t="s">
        <v>867</v>
      </c>
      <c r="DH326" t="s">
        <v>851</v>
      </c>
      <c r="DK326" t="s">
        <v>918</v>
      </c>
      <c r="DL326" t="s">
        <v>869</v>
      </c>
      <c r="DM326">
        <v>0</v>
      </c>
      <c r="DN326">
        <v>0</v>
      </c>
      <c r="DO326">
        <v>3</v>
      </c>
      <c r="DP326" t="s">
        <v>919</v>
      </c>
      <c r="DQ326">
        <v>0</v>
      </c>
      <c r="DR326">
        <v>612</v>
      </c>
      <c r="DS326">
        <v>1332</v>
      </c>
      <c r="DT326">
        <v>9.6333000000000002</v>
      </c>
      <c r="DU326">
        <v>0</v>
      </c>
      <c r="DV326">
        <v>1</v>
      </c>
      <c r="DW326">
        <v>2</v>
      </c>
      <c r="DX326" t="s">
        <v>596</v>
      </c>
      <c r="DY326" t="s">
        <v>7255</v>
      </c>
      <c r="DZ326">
        <v>1</v>
      </c>
      <c r="EA326">
        <v>1</v>
      </c>
      <c r="EB326">
        <v>1</v>
      </c>
      <c r="EC326">
        <v>1</v>
      </c>
      <c r="ED326">
        <v>1</v>
      </c>
      <c r="EE326">
        <v>1</v>
      </c>
      <c r="EF326" t="s">
        <v>920</v>
      </c>
      <c r="EG326" t="s">
        <v>595</v>
      </c>
      <c r="EH326" t="s">
        <v>921</v>
      </c>
      <c r="EI326" t="s">
        <v>921</v>
      </c>
      <c r="EJ326" t="s">
        <v>124</v>
      </c>
      <c r="EK326">
        <v>9090</v>
      </c>
      <c r="EL326">
        <v>0</v>
      </c>
      <c r="EM326" t="s">
        <v>923</v>
      </c>
      <c r="EN326">
        <v>1.3</v>
      </c>
      <c r="EO326">
        <v>22.2</v>
      </c>
      <c r="EP326">
        <v>99991120</v>
      </c>
      <c r="EQ326" t="s">
        <v>874</v>
      </c>
      <c r="ER326" t="s">
        <v>875</v>
      </c>
      <c r="ES326" t="s">
        <v>876</v>
      </c>
      <c r="ET326" t="s">
        <v>877</v>
      </c>
      <c r="EU326" t="s">
        <v>877</v>
      </c>
      <c r="EV326" t="s">
        <v>920</v>
      </c>
      <c r="EX326" t="s">
        <v>953</v>
      </c>
      <c r="EY326" t="s">
        <v>1292</v>
      </c>
      <c r="EZ326" t="s">
        <v>1293</v>
      </c>
      <c r="FA326" t="s">
        <v>925</v>
      </c>
      <c r="FB326">
        <v>1</v>
      </c>
      <c r="FC326">
        <v>1</v>
      </c>
      <c r="FD326" s="41">
        <v>46109</v>
      </c>
      <c r="FE326" t="s">
        <v>1719</v>
      </c>
      <c r="FF326">
        <v>4</v>
      </c>
      <c r="FI326">
        <v>0</v>
      </c>
      <c r="FL326">
        <v>0</v>
      </c>
      <c r="FM326" t="s">
        <v>7262</v>
      </c>
      <c r="FN326" t="s">
        <v>7263</v>
      </c>
      <c r="FO326">
        <v>1</v>
      </c>
      <c r="FP326" t="s">
        <v>7264</v>
      </c>
      <c r="FQ326" t="s">
        <v>7260</v>
      </c>
      <c r="FR326">
        <v>1</v>
      </c>
      <c r="FS326" t="s">
        <v>2938</v>
      </c>
      <c r="FT326" t="s">
        <v>7265</v>
      </c>
      <c r="FU326">
        <v>1</v>
      </c>
      <c r="FV326" t="s">
        <v>7266</v>
      </c>
      <c r="FW326" t="s">
        <v>7267</v>
      </c>
      <c r="FX326">
        <v>1</v>
      </c>
      <c r="FY326" t="s">
        <v>890</v>
      </c>
      <c r="FZ326" t="s">
        <v>7268</v>
      </c>
      <c r="GA326" t="s">
        <v>7266</v>
      </c>
      <c r="GB326">
        <v>1</v>
      </c>
      <c r="GD326">
        <v>0</v>
      </c>
      <c r="GF326">
        <v>0</v>
      </c>
      <c r="GG326">
        <v>1</v>
      </c>
      <c r="GH326" t="s">
        <v>892</v>
      </c>
      <c r="GI326" t="s">
        <v>893</v>
      </c>
      <c r="GJ326" t="s">
        <v>7267</v>
      </c>
      <c r="GM326">
        <v>1</v>
      </c>
      <c r="GN326">
        <v>1</v>
      </c>
      <c r="GO326">
        <v>0</v>
      </c>
      <c r="GP326">
        <v>1</v>
      </c>
      <c r="GQ326">
        <v>1</v>
      </c>
      <c r="GR326">
        <v>0</v>
      </c>
      <c r="GS326">
        <v>1</v>
      </c>
      <c r="GT326">
        <v>0</v>
      </c>
      <c r="GU326">
        <v>1</v>
      </c>
      <c r="GV326">
        <v>0</v>
      </c>
      <c r="GW326">
        <v>1</v>
      </c>
      <c r="GX326">
        <v>0</v>
      </c>
      <c r="GY326">
        <v>1</v>
      </c>
      <c r="GZ326">
        <v>0</v>
      </c>
      <c r="HA326" t="s">
        <v>269</v>
      </c>
      <c r="HB326" t="s">
        <v>894</v>
      </c>
      <c r="HC326" t="s">
        <v>935</v>
      </c>
      <c r="HD326" t="s">
        <v>845</v>
      </c>
      <c r="HE326" t="s">
        <v>900</v>
      </c>
      <c r="HF326" t="s">
        <v>923</v>
      </c>
      <c r="HG326" t="s">
        <v>894</v>
      </c>
      <c r="HH326" t="s">
        <v>935</v>
      </c>
      <c r="HI326" t="s">
        <v>845</v>
      </c>
      <c r="HJ326" t="s">
        <v>900</v>
      </c>
      <c r="HK326" t="s">
        <v>923</v>
      </c>
      <c r="HL326" t="s">
        <v>123</v>
      </c>
      <c r="HM326" t="s">
        <v>854</v>
      </c>
      <c r="HN326">
        <v>36805</v>
      </c>
      <c r="HP326" t="s">
        <v>124</v>
      </c>
      <c r="HQ326" t="s">
        <v>896</v>
      </c>
      <c r="HR326" t="s">
        <v>896</v>
      </c>
      <c r="HS326" t="s">
        <v>896</v>
      </c>
    </row>
    <row r="327" spans="1:227" x14ac:dyDescent="0.2">
      <c r="A327">
        <v>8702</v>
      </c>
      <c r="B327">
        <v>7621012276</v>
      </c>
      <c r="C327" t="s">
        <v>829</v>
      </c>
      <c r="D327" t="s">
        <v>830</v>
      </c>
      <c r="E327" t="s">
        <v>831</v>
      </c>
      <c r="F327">
        <v>0</v>
      </c>
      <c r="G327" t="s">
        <v>7269</v>
      </c>
      <c r="H327" t="s">
        <v>7269</v>
      </c>
      <c r="I327">
        <v>0</v>
      </c>
      <c r="J327" t="s">
        <v>833</v>
      </c>
      <c r="K327" t="s">
        <v>834</v>
      </c>
      <c r="L327">
        <v>152949072</v>
      </c>
      <c r="M327" t="s">
        <v>7017</v>
      </c>
      <c r="N327" t="s">
        <v>836</v>
      </c>
      <c r="O327" t="s">
        <v>837</v>
      </c>
      <c r="P327" t="s">
        <v>838</v>
      </c>
      <c r="Q327" t="s">
        <v>1251</v>
      </c>
      <c r="R327" t="s">
        <v>7270</v>
      </c>
      <c r="S327" t="s">
        <v>7271</v>
      </c>
      <c r="T327">
        <v>30300105488</v>
      </c>
      <c r="V327" t="s">
        <v>121</v>
      </c>
      <c r="W327" s="41">
        <v>46232</v>
      </c>
      <c r="X327" t="s">
        <v>7272</v>
      </c>
      <c r="Y327" t="s">
        <v>7273</v>
      </c>
      <c r="AA327">
        <v>0</v>
      </c>
      <c r="AB327" t="s">
        <v>845</v>
      </c>
      <c r="AC327" t="s">
        <v>846</v>
      </c>
      <c r="AD327" t="s">
        <v>907</v>
      </c>
      <c r="AE327" t="s">
        <v>908</v>
      </c>
      <c r="AF327">
        <v>1</v>
      </c>
      <c r="AG327">
        <v>452210</v>
      </c>
      <c r="AH327" t="s">
        <v>849</v>
      </c>
      <c r="AI327" t="s">
        <v>850</v>
      </c>
      <c r="AJ327" t="s">
        <v>851</v>
      </c>
      <c r="AK327" t="s">
        <v>273</v>
      </c>
      <c r="AL327" t="s">
        <v>2846</v>
      </c>
      <c r="AM327" t="s">
        <v>3266</v>
      </c>
      <c r="AN327" t="s">
        <v>854</v>
      </c>
      <c r="AO327">
        <v>36805</v>
      </c>
      <c r="AP327">
        <v>495</v>
      </c>
      <c r="AQ327" t="s">
        <v>855</v>
      </c>
      <c r="AR327">
        <v>66572027</v>
      </c>
      <c r="AS327" t="s">
        <v>856</v>
      </c>
      <c r="AU327" t="s">
        <v>7274</v>
      </c>
      <c r="AV327" t="s">
        <v>7275</v>
      </c>
      <c r="AW327" t="s">
        <v>1261</v>
      </c>
      <c r="AX327" t="s">
        <v>1262</v>
      </c>
      <c r="AY327" t="s">
        <v>861</v>
      </c>
      <c r="AZ327" t="s">
        <v>273</v>
      </c>
      <c r="BA327" t="s">
        <v>274</v>
      </c>
      <c r="BB327">
        <v>0</v>
      </c>
      <c r="BC327">
        <v>0</v>
      </c>
      <c r="BD327">
        <v>0</v>
      </c>
      <c r="BE327" t="s">
        <v>7017</v>
      </c>
      <c r="BF327">
        <v>0</v>
      </c>
      <c r="BG327">
        <v>0</v>
      </c>
      <c r="BH327" t="s">
        <v>862</v>
      </c>
      <c r="BI327">
        <v>0</v>
      </c>
      <c r="BJ327" t="s">
        <v>862</v>
      </c>
      <c r="BK327">
        <v>1</v>
      </c>
      <c r="BL327">
        <v>0</v>
      </c>
      <c r="BM327">
        <v>0</v>
      </c>
      <c r="BN327" t="s">
        <v>596</v>
      </c>
      <c r="BO327">
        <v>152949072</v>
      </c>
      <c r="BP327" t="s">
        <v>7269</v>
      </c>
      <c r="BR327">
        <v>42789062</v>
      </c>
      <c r="BT327">
        <v>2</v>
      </c>
      <c r="BU327" t="s">
        <v>1062</v>
      </c>
      <c r="BY327">
        <v>16</v>
      </c>
      <c r="CA327">
        <v>3</v>
      </c>
      <c r="CE327">
        <v>1</v>
      </c>
      <c r="CI327">
        <v>11</v>
      </c>
      <c r="CJ327" t="s">
        <v>94</v>
      </c>
      <c r="CM327">
        <v>4010</v>
      </c>
      <c r="CO327">
        <v>7360</v>
      </c>
      <c r="CP327">
        <v>0.51670000000000005</v>
      </c>
      <c r="CQ327">
        <v>0.51670000000000005</v>
      </c>
      <c r="CR327">
        <v>0.05</v>
      </c>
      <c r="CS327">
        <v>1</v>
      </c>
      <c r="CT327" t="s">
        <v>7275</v>
      </c>
      <c r="CU327" t="s">
        <v>7274</v>
      </c>
      <c r="CV327" t="s">
        <v>833</v>
      </c>
      <c r="CW327" t="s">
        <v>834</v>
      </c>
      <c r="CX327" t="s">
        <v>7017</v>
      </c>
      <c r="CY327">
        <v>0</v>
      </c>
      <c r="CZ327">
        <v>0</v>
      </c>
      <c r="DA327" t="s">
        <v>833</v>
      </c>
      <c r="DB327" t="s">
        <v>865</v>
      </c>
      <c r="DC327">
        <v>63304</v>
      </c>
      <c r="DD327">
        <v>2.75</v>
      </c>
      <c r="DE327" t="s">
        <v>866</v>
      </c>
      <c r="DG327" t="s">
        <v>867</v>
      </c>
      <c r="DH327" t="s">
        <v>851</v>
      </c>
      <c r="DI327" t="s">
        <v>7026</v>
      </c>
      <c r="DK327" t="s">
        <v>918</v>
      </c>
      <c r="DL327" t="s">
        <v>869</v>
      </c>
      <c r="DM327">
        <v>0</v>
      </c>
      <c r="DN327">
        <v>0</v>
      </c>
      <c r="DO327">
        <v>3</v>
      </c>
      <c r="DP327" t="s">
        <v>919</v>
      </c>
      <c r="DQ327">
        <v>16</v>
      </c>
      <c r="DR327">
        <v>165</v>
      </c>
      <c r="DS327">
        <v>165</v>
      </c>
      <c r="DT327">
        <v>2.2332999999999998</v>
      </c>
      <c r="DU327">
        <v>4</v>
      </c>
      <c r="DV327">
        <v>1</v>
      </c>
      <c r="DW327">
        <v>2</v>
      </c>
      <c r="DX327" t="s">
        <v>594</v>
      </c>
      <c r="DY327" t="s">
        <v>7017</v>
      </c>
      <c r="DZ327">
        <v>0</v>
      </c>
      <c r="EA327">
        <v>0</v>
      </c>
      <c r="EB327">
        <v>0</v>
      </c>
      <c r="EC327">
        <v>0</v>
      </c>
      <c r="ED327">
        <v>0</v>
      </c>
      <c r="EE327">
        <v>0</v>
      </c>
      <c r="EF327" t="s">
        <v>920</v>
      </c>
      <c r="EG327" t="s">
        <v>595</v>
      </c>
      <c r="EH327" t="s">
        <v>872</v>
      </c>
      <c r="EI327" t="s">
        <v>872</v>
      </c>
      <c r="EJ327" t="s">
        <v>111</v>
      </c>
      <c r="EK327">
        <v>9090</v>
      </c>
      <c r="EL327">
        <v>0</v>
      </c>
      <c r="EM327" t="s">
        <v>1037</v>
      </c>
      <c r="EN327">
        <v>0.05</v>
      </c>
      <c r="EO327">
        <v>2.75</v>
      </c>
      <c r="EP327">
        <v>99991120</v>
      </c>
      <c r="EQ327" t="s">
        <v>874</v>
      </c>
      <c r="ER327" t="s">
        <v>875</v>
      </c>
      <c r="ES327" t="s">
        <v>876</v>
      </c>
      <c r="ET327" t="s">
        <v>877</v>
      </c>
      <c r="EU327" t="s">
        <v>877</v>
      </c>
      <c r="EV327" t="s">
        <v>920</v>
      </c>
      <c r="EX327" t="s">
        <v>836</v>
      </c>
      <c r="EY327" t="s">
        <v>1051</v>
      </c>
      <c r="EZ327" t="s">
        <v>1038</v>
      </c>
      <c r="FA327" t="s">
        <v>925</v>
      </c>
      <c r="FB327">
        <v>1</v>
      </c>
      <c r="FC327">
        <v>1</v>
      </c>
      <c r="FD327" s="41">
        <v>46235</v>
      </c>
      <c r="FE327" t="s">
        <v>1066</v>
      </c>
      <c r="FF327">
        <v>7</v>
      </c>
      <c r="FG327" t="s">
        <v>7276</v>
      </c>
      <c r="FH327" t="s">
        <v>7277</v>
      </c>
      <c r="FI327">
        <v>1</v>
      </c>
      <c r="FJ327" t="s">
        <v>7278</v>
      </c>
      <c r="FK327" t="s">
        <v>7277</v>
      </c>
      <c r="FL327">
        <v>1</v>
      </c>
      <c r="FM327" t="s">
        <v>7030</v>
      </c>
      <c r="FN327" t="s">
        <v>7279</v>
      </c>
      <c r="FO327">
        <v>1</v>
      </c>
      <c r="FP327" t="s">
        <v>7280</v>
      </c>
      <c r="FQ327" t="s">
        <v>7274</v>
      </c>
      <c r="FR327">
        <v>1</v>
      </c>
      <c r="FS327" t="s">
        <v>7281</v>
      </c>
      <c r="FT327" t="s">
        <v>7282</v>
      </c>
      <c r="FU327">
        <v>1</v>
      </c>
      <c r="FV327" t="s">
        <v>7283</v>
      </c>
      <c r="FW327" t="s">
        <v>7284</v>
      </c>
      <c r="FX327">
        <v>1</v>
      </c>
      <c r="FY327" t="s">
        <v>890</v>
      </c>
      <c r="FZ327" t="s">
        <v>7285</v>
      </c>
      <c r="GA327" t="s">
        <v>7278</v>
      </c>
      <c r="GB327">
        <v>1</v>
      </c>
      <c r="GD327">
        <v>0</v>
      </c>
      <c r="GF327">
        <v>0</v>
      </c>
      <c r="GG327">
        <v>1</v>
      </c>
      <c r="GH327" t="s">
        <v>892</v>
      </c>
      <c r="GI327" t="s">
        <v>893</v>
      </c>
      <c r="GJ327" t="s">
        <v>7277</v>
      </c>
      <c r="GM327">
        <v>1</v>
      </c>
      <c r="GN327">
        <v>1</v>
      </c>
      <c r="GO327">
        <v>0</v>
      </c>
      <c r="GP327">
        <v>1</v>
      </c>
      <c r="GQ327">
        <v>1</v>
      </c>
      <c r="GR327">
        <v>0</v>
      </c>
      <c r="GS327">
        <v>1</v>
      </c>
      <c r="GT327">
        <v>0</v>
      </c>
      <c r="GU327">
        <v>1</v>
      </c>
      <c r="GV327">
        <v>0</v>
      </c>
      <c r="GW327">
        <v>1</v>
      </c>
      <c r="GX327">
        <v>0</v>
      </c>
      <c r="GY327">
        <v>1</v>
      </c>
      <c r="GZ327">
        <v>0</v>
      </c>
      <c r="HA327" t="s">
        <v>273</v>
      </c>
      <c r="HB327" t="s">
        <v>894</v>
      </c>
      <c r="HC327" t="s">
        <v>895</v>
      </c>
      <c r="HD327" t="s">
        <v>845</v>
      </c>
      <c r="HE327" t="s">
        <v>836</v>
      </c>
      <c r="HF327" t="s">
        <v>1051</v>
      </c>
      <c r="HG327" t="s">
        <v>894</v>
      </c>
      <c r="HH327" t="s">
        <v>895</v>
      </c>
      <c r="HI327" t="s">
        <v>845</v>
      </c>
      <c r="HJ327" t="s">
        <v>836</v>
      </c>
      <c r="HK327" t="s">
        <v>1037</v>
      </c>
      <c r="HL327" t="s">
        <v>121</v>
      </c>
      <c r="HM327" t="s">
        <v>854</v>
      </c>
      <c r="HN327">
        <v>36805</v>
      </c>
      <c r="HP327" t="s">
        <v>111</v>
      </c>
      <c r="HQ327" t="s">
        <v>896</v>
      </c>
      <c r="HR327" t="s">
        <v>896</v>
      </c>
      <c r="HS327" t="s">
        <v>896</v>
      </c>
    </row>
    <row r="328" spans="1:227" x14ac:dyDescent="0.2">
      <c r="A328">
        <v>8702</v>
      </c>
      <c r="B328">
        <v>7615413266</v>
      </c>
      <c r="C328" t="s">
        <v>829</v>
      </c>
      <c r="D328" t="s">
        <v>830</v>
      </c>
      <c r="E328" t="s">
        <v>831</v>
      </c>
      <c r="F328">
        <v>0</v>
      </c>
      <c r="G328" t="s">
        <v>7286</v>
      </c>
      <c r="H328" t="s">
        <v>7286</v>
      </c>
      <c r="I328">
        <v>0</v>
      </c>
      <c r="J328" t="s">
        <v>833</v>
      </c>
      <c r="K328" t="s">
        <v>834</v>
      </c>
      <c r="L328">
        <v>153294148</v>
      </c>
      <c r="M328" t="s">
        <v>2622</v>
      </c>
      <c r="N328" t="s">
        <v>836</v>
      </c>
      <c r="O328" t="s">
        <v>837</v>
      </c>
      <c r="P328" t="s">
        <v>838</v>
      </c>
      <c r="Q328" t="s">
        <v>1251</v>
      </c>
      <c r="R328" t="s">
        <v>7287</v>
      </c>
      <c r="S328" t="s">
        <v>7288</v>
      </c>
      <c r="T328">
        <v>30300131301</v>
      </c>
      <c r="V328" t="s">
        <v>1943</v>
      </c>
      <c r="W328" s="41">
        <v>46176</v>
      </c>
      <c r="X328" t="s">
        <v>7289</v>
      </c>
      <c r="Y328" t="s">
        <v>7290</v>
      </c>
      <c r="AA328">
        <v>0</v>
      </c>
      <c r="AB328" t="s">
        <v>845</v>
      </c>
      <c r="AC328" t="s">
        <v>846</v>
      </c>
      <c r="AD328" t="s">
        <v>907</v>
      </c>
      <c r="AE328" t="s">
        <v>908</v>
      </c>
      <c r="AF328">
        <v>1</v>
      </c>
      <c r="AG328">
        <v>452210</v>
      </c>
      <c r="AH328" t="s">
        <v>849</v>
      </c>
      <c r="AI328" t="s">
        <v>850</v>
      </c>
      <c r="AJ328" t="s">
        <v>851</v>
      </c>
      <c r="AK328" t="s">
        <v>325</v>
      </c>
      <c r="AL328" t="s">
        <v>1946</v>
      </c>
      <c r="AM328" t="s">
        <v>1947</v>
      </c>
      <c r="AN328" t="s">
        <v>854</v>
      </c>
      <c r="AO328">
        <v>36805</v>
      </c>
      <c r="AP328">
        <v>562</v>
      </c>
      <c r="AQ328" t="s">
        <v>855</v>
      </c>
      <c r="AR328">
        <v>66491549</v>
      </c>
      <c r="AS328" t="s">
        <v>856</v>
      </c>
      <c r="AU328" t="s">
        <v>7291</v>
      </c>
      <c r="AV328" t="s">
        <v>7292</v>
      </c>
      <c r="AW328" t="s">
        <v>1149</v>
      </c>
      <c r="AX328" t="s">
        <v>1150</v>
      </c>
      <c r="AY328" t="s">
        <v>861</v>
      </c>
      <c r="AZ328" t="s">
        <v>325</v>
      </c>
      <c r="BA328" t="s">
        <v>306</v>
      </c>
      <c r="BB328">
        <v>0</v>
      </c>
      <c r="BC328">
        <v>0</v>
      </c>
      <c r="BD328">
        <v>0</v>
      </c>
      <c r="BE328" t="s">
        <v>2622</v>
      </c>
      <c r="BF328">
        <v>0</v>
      </c>
      <c r="BG328">
        <v>0</v>
      </c>
      <c r="BH328" t="s">
        <v>862</v>
      </c>
      <c r="BI328">
        <v>0</v>
      </c>
      <c r="BJ328" t="s">
        <v>862</v>
      </c>
      <c r="BK328">
        <v>1</v>
      </c>
      <c r="BL328">
        <v>0</v>
      </c>
      <c r="BM328">
        <v>0</v>
      </c>
      <c r="BN328" t="s">
        <v>596</v>
      </c>
      <c r="BO328">
        <v>153294148</v>
      </c>
      <c r="BP328" t="s">
        <v>7286</v>
      </c>
      <c r="BQ328">
        <v>45.54862</v>
      </c>
      <c r="BR328">
        <v>42791464</v>
      </c>
      <c r="BS328">
        <v>-94.215507400000007</v>
      </c>
      <c r="BT328">
        <v>2</v>
      </c>
      <c r="BU328" t="s">
        <v>1314</v>
      </c>
      <c r="BY328">
        <v>16</v>
      </c>
      <c r="CA328">
        <v>3</v>
      </c>
      <c r="CE328">
        <v>1</v>
      </c>
      <c r="CI328">
        <v>11</v>
      </c>
      <c r="CJ328" t="s">
        <v>94</v>
      </c>
      <c r="CM328">
        <v>4010</v>
      </c>
      <c r="CO328">
        <v>7360</v>
      </c>
      <c r="CP328">
        <v>0.4667</v>
      </c>
      <c r="CQ328">
        <v>0.4667</v>
      </c>
      <c r="CR328">
        <v>1.5166999999999999</v>
      </c>
      <c r="CS328">
        <v>1</v>
      </c>
      <c r="CT328" t="s">
        <v>7292</v>
      </c>
      <c r="CU328" t="s">
        <v>7291</v>
      </c>
      <c r="CV328" t="s">
        <v>833</v>
      </c>
      <c r="CW328" t="s">
        <v>834</v>
      </c>
      <c r="CX328" t="s">
        <v>2622</v>
      </c>
      <c r="CY328">
        <v>0</v>
      </c>
      <c r="CZ328">
        <v>0</v>
      </c>
      <c r="DA328" t="s">
        <v>833</v>
      </c>
      <c r="DB328" t="s">
        <v>865</v>
      </c>
      <c r="DC328">
        <v>56387</v>
      </c>
      <c r="DD328">
        <v>3.2332999999999998</v>
      </c>
      <c r="DE328" t="s">
        <v>866</v>
      </c>
      <c r="DG328" t="s">
        <v>867</v>
      </c>
      <c r="DH328" t="s">
        <v>851</v>
      </c>
      <c r="DI328" t="s">
        <v>1266</v>
      </c>
      <c r="DK328" t="s">
        <v>918</v>
      </c>
      <c r="DL328" t="s">
        <v>869</v>
      </c>
      <c r="DM328">
        <v>0</v>
      </c>
      <c r="DN328">
        <v>0</v>
      </c>
      <c r="DO328">
        <v>2</v>
      </c>
      <c r="DP328" t="s">
        <v>870</v>
      </c>
      <c r="DQ328">
        <v>16</v>
      </c>
      <c r="DR328">
        <v>194</v>
      </c>
      <c r="DS328">
        <v>194</v>
      </c>
      <c r="DT328">
        <v>2.7667000000000002</v>
      </c>
      <c r="DU328">
        <v>4</v>
      </c>
      <c r="DV328">
        <v>1</v>
      </c>
      <c r="DW328">
        <v>2</v>
      </c>
      <c r="DX328" t="s">
        <v>594</v>
      </c>
      <c r="DY328" t="s">
        <v>2622</v>
      </c>
      <c r="DZ328">
        <v>0</v>
      </c>
      <c r="EA328">
        <v>0</v>
      </c>
      <c r="EB328">
        <v>0</v>
      </c>
      <c r="EC328">
        <v>0</v>
      </c>
      <c r="ED328">
        <v>0</v>
      </c>
      <c r="EE328">
        <v>0</v>
      </c>
      <c r="EF328" t="s">
        <v>920</v>
      </c>
      <c r="EG328" t="s">
        <v>595</v>
      </c>
      <c r="EH328" t="s">
        <v>872</v>
      </c>
      <c r="EI328" t="s">
        <v>872</v>
      </c>
      <c r="EJ328" t="s">
        <v>159</v>
      </c>
      <c r="EK328">
        <v>9090</v>
      </c>
      <c r="EL328">
        <v>0</v>
      </c>
      <c r="EM328" t="s">
        <v>873</v>
      </c>
      <c r="EN328">
        <v>1.5166999999999999</v>
      </c>
      <c r="EO328">
        <v>3.2333333</v>
      </c>
      <c r="EP328">
        <v>99991120</v>
      </c>
      <c r="EQ328" t="s">
        <v>874</v>
      </c>
      <c r="ER328" t="s">
        <v>875</v>
      </c>
      <c r="ES328" t="s">
        <v>876</v>
      </c>
      <c r="ET328" t="s">
        <v>877</v>
      </c>
      <c r="EU328" t="s">
        <v>877</v>
      </c>
      <c r="EV328" t="s">
        <v>920</v>
      </c>
      <c r="EX328" t="s">
        <v>836</v>
      </c>
      <c r="EY328" t="s">
        <v>873</v>
      </c>
      <c r="EZ328" t="s">
        <v>1122</v>
      </c>
      <c r="FA328" t="s">
        <v>956</v>
      </c>
      <c r="FB328">
        <v>1</v>
      </c>
      <c r="FC328">
        <v>1</v>
      </c>
      <c r="FD328" s="41">
        <v>46179</v>
      </c>
      <c r="FE328" t="s">
        <v>1315</v>
      </c>
      <c r="FF328">
        <v>5</v>
      </c>
      <c r="FI328">
        <v>0</v>
      </c>
      <c r="FJ328" t="s">
        <v>7293</v>
      </c>
      <c r="FK328" t="s">
        <v>7294</v>
      </c>
      <c r="FL328">
        <v>1</v>
      </c>
      <c r="FM328" t="s">
        <v>2631</v>
      </c>
      <c r="FN328" t="s">
        <v>7295</v>
      </c>
      <c r="FO328">
        <v>1</v>
      </c>
      <c r="FP328" t="s">
        <v>7296</v>
      </c>
      <c r="FQ328" t="s">
        <v>7291</v>
      </c>
      <c r="FR328">
        <v>1</v>
      </c>
      <c r="FS328" t="s">
        <v>1958</v>
      </c>
      <c r="FT328" t="s">
        <v>7297</v>
      </c>
      <c r="FU328">
        <v>1</v>
      </c>
      <c r="FV328" t="s">
        <v>7298</v>
      </c>
      <c r="FW328" t="s">
        <v>7294</v>
      </c>
      <c r="FX328">
        <v>1</v>
      </c>
      <c r="FY328" t="s">
        <v>890</v>
      </c>
      <c r="FZ328" t="s">
        <v>7299</v>
      </c>
      <c r="GA328" t="s">
        <v>7293</v>
      </c>
      <c r="GB328">
        <v>1</v>
      </c>
      <c r="GD328">
        <v>0</v>
      </c>
      <c r="GF328">
        <v>0</v>
      </c>
      <c r="GG328">
        <v>1</v>
      </c>
      <c r="GH328" t="s">
        <v>892</v>
      </c>
      <c r="GI328" t="s">
        <v>893</v>
      </c>
      <c r="GJ328" t="s">
        <v>7294</v>
      </c>
      <c r="GM328">
        <v>1</v>
      </c>
      <c r="GN328">
        <v>1</v>
      </c>
      <c r="GO328">
        <v>0</v>
      </c>
      <c r="GP328">
        <v>1</v>
      </c>
      <c r="GQ328">
        <v>1</v>
      </c>
      <c r="GR328">
        <v>0</v>
      </c>
      <c r="GS328">
        <v>1</v>
      </c>
      <c r="GT328">
        <v>0</v>
      </c>
      <c r="GU328">
        <v>1</v>
      </c>
      <c r="GV328">
        <v>0</v>
      </c>
      <c r="GW328">
        <v>1</v>
      </c>
      <c r="GX328">
        <v>0</v>
      </c>
      <c r="GY328">
        <v>1</v>
      </c>
      <c r="GZ328">
        <v>0</v>
      </c>
      <c r="HA328" t="s">
        <v>325</v>
      </c>
      <c r="HB328" t="s">
        <v>894</v>
      </c>
      <c r="HC328" t="s">
        <v>895</v>
      </c>
      <c r="HD328" t="s">
        <v>845</v>
      </c>
      <c r="HE328" t="s">
        <v>836</v>
      </c>
      <c r="HF328" t="s">
        <v>873</v>
      </c>
      <c r="HG328" t="s">
        <v>894</v>
      </c>
      <c r="HH328" t="s">
        <v>895</v>
      </c>
      <c r="HI328" t="s">
        <v>845</v>
      </c>
      <c r="HJ328" t="s">
        <v>836</v>
      </c>
      <c r="HK328" t="s">
        <v>873</v>
      </c>
      <c r="HL328" t="s">
        <v>1943</v>
      </c>
      <c r="HM328" t="s">
        <v>854</v>
      </c>
      <c r="HN328">
        <v>36805</v>
      </c>
      <c r="HP328" t="s">
        <v>159</v>
      </c>
      <c r="HQ328" t="s">
        <v>896</v>
      </c>
      <c r="HR328" t="s">
        <v>896</v>
      </c>
      <c r="HS328" t="s">
        <v>896</v>
      </c>
    </row>
    <row r="329" spans="1:227" x14ac:dyDescent="0.2">
      <c r="A329">
        <v>8702</v>
      </c>
      <c r="B329">
        <v>7525503296</v>
      </c>
      <c r="C329" t="s">
        <v>2265</v>
      </c>
      <c r="D329" t="s">
        <v>2266</v>
      </c>
      <c r="E329" t="s">
        <v>831</v>
      </c>
      <c r="F329">
        <v>0</v>
      </c>
      <c r="G329" t="s">
        <v>7300</v>
      </c>
      <c r="H329" t="s">
        <v>7300</v>
      </c>
      <c r="I329">
        <v>0</v>
      </c>
      <c r="J329" t="s">
        <v>833</v>
      </c>
      <c r="K329" t="s">
        <v>834</v>
      </c>
      <c r="L329">
        <v>153406554</v>
      </c>
      <c r="M329" t="s">
        <v>7301</v>
      </c>
      <c r="N329" t="s">
        <v>836</v>
      </c>
      <c r="O329" t="s">
        <v>837</v>
      </c>
      <c r="P329" t="s">
        <v>2269</v>
      </c>
      <c r="Q329" t="s">
        <v>5562</v>
      </c>
      <c r="R329" t="s">
        <v>7302</v>
      </c>
      <c r="S329" t="s">
        <v>7303</v>
      </c>
      <c r="T329">
        <v>41477092613</v>
      </c>
      <c r="V329" t="s">
        <v>165</v>
      </c>
      <c r="W329" s="41">
        <v>45913</v>
      </c>
      <c r="X329" t="s">
        <v>7304</v>
      </c>
      <c r="Y329" t="s">
        <v>7305</v>
      </c>
      <c r="AA329">
        <v>0</v>
      </c>
      <c r="AB329" t="s">
        <v>845</v>
      </c>
      <c r="AC329" t="s">
        <v>846</v>
      </c>
      <c r="AD329" t="s">
        <v>847</v>
      </c>
      <c r="AE329" t="s">
        <v>848</v>
      </c>
      <c r="AF329">
        <v>1</v>
      </c>
      <c r="AG329">
        <v>452210</v>
      </c>
      <c r="AH329" t="s">
        <v>849</v>
      </c>
      <c r="AI329" t="s">
        <v>850</v>
      </c>
      <c r="AJ329" t="s">
        <v>851</v>
      </c>
      <c r="AK329" t="s">
        <v>253</v>
      </c>
      <c r="AL329" t="s">
        <v>1257</v>
      </c>
      <c r="AM329" t="s">
        <v>1499</v>
      </c>
      <c r="AN329" t="s">
        <v>854</v>
      </c>
      <c r="AO329">
        <v>36805</v>
      </c>
      <c r="AP329">
        <v>544</v>
      </c>
      <c r="AQ329" t="s">
        <v>855</v>
      </c>
      <c r="AR329">
        <v>66112649</v>
      </c>
      <c r="AS329" t="s">
        <v>856</v>
      </c>
      <c r="AU329" t="s">
        <v>7306</v>
      </c>
      <c r="AV329" t="s">
        <v>7307</v>
      </c>
      <c r="AX329" t="s">
        <v>913</v>
      </c>
      <c r="AY329" t="s">
        <v>861</v>
      </c>
      <c r="AZ329" t="s">
        <v>253</v>
      </c>
      <c r="BA329" t="s">
        <v>254</v>
      </c>
      <c r="BB329">
        <v>0</v>
      </c>
      <c r="BC329">
        <v>1</v>
      </c>
      <c r="BD329">
        <v>0</v>
      </c>
      <c r="BE329" t="s">
        <v>7301</v>
      </c>
      <c r="BF329">
        <v>0</v>
      </c>
      <c r="BG329">
        <v>0</v>
      </c>
      <c r="BH329" t="s">
        <v>862</v>
      </c>
      <c r="BI329">
        <v>0</v>
      </c>
      <c r="BJ329" t="s">
        <v>862</v>
      </c>
      <c r="BK329">
        <v>1</v>
      </c>
      <c r="BL329">
        <v>1</v>
      </c>
      <c r="BM329">
        <v>0</v>
      </c>
      <c r="BN329" t="s">
        <v>596</v>
      </c>
      <c r="BO329">
        <v>153406554</v>
      </c>
      <c r="BP329" t="s">
        <v>7300</v>
      </c>
      <c r="BR329">
        <v>42791459</v>
      </c>
      <c r="BT329">
        <v>0</v>
      </c>
      <c r="CM329">
        <v>4010</v>
      </c>
      <c r="CO329">
        <v>7360</v>
      </c>
      <c r="CP329">
        <v>0.33329999999999999</v>
      </c>
      <c r="CQ329">
        <v>0.33329999999999999</v>
      </c>
      <c r="CR329">
        <v>0.45</v>
      </c>
      <c r="CS329">
        <v>0</v>
      </c>
      <c r="CT329" t="s">
        <v>7308</v>
      </c>
      <c r="CU329" t="s">
        <v>7309</v>
      </c>
      <c r="CV329" t="s">
        <v>833</v>
      </c>
      <c r="CW329" t="s">
        <v>834</v>
      </c>
      <c r="CX329" t="s">
        <v>7301</v>
      </c>
      <c r="CY329">
        <v>1</v>
      </c>
      <c r="CZ329">
        <v>1</v>
      </c>
      <c r="DA329" t="s">
        <v>833</v>
      </c>
      <c r="DB329" t="s">
        <v>865</v>
      </c>
      <c r="DC329">
        <v>55378</v>
      </c>
      <c r="DD329">
        <v>17.649999999999999</v>
      </c>
      <c r="DE329" t="s">
        <v>866</v>
      </c>
      <c r="DG329" t="s">
        <v>867</v>
      </c>
      <c r="DH329" t="s">
        <v>851</v>
      </c>
      <c r="DL329" t="s">
        <v>869</v>
      </c>
      <c r="DM329">
        <v>0</v>
      </c>
      <c r="DN329">
        <v>0</v>
      </c>
      <c r="DO329">
        <v>11</v>
      </c>
      <c r="DP329" t="s">
        <v>1010</v>
      </c>
      <c r="DQ329">
        <v>12</v>
      </c>
      <c r="DR329">
        <v>1059</v>
      </c>
      <c r="DS329">
        <v>1779</v>
      </c>
      <c r="DT329">
        <v>6.5</v>
      </c>
      <c r="DU329">
        <v>4</v>
      </c>
      <c r="DW329">
        <v>1</v>
      </c>
      <c r="DX329" t="s">
        <v>596</v>
      </c>
      <c r="DY329" t="s">
        <v>7301</v>
      </c>
      <c r="DZ329">
        <v>0</v>
      </c>
      <c r="EA329">
        <v>0</v>
      </c>
      <c r="EB329">
        <v>1</v>
      </c>
      <c r="EC329">
        <v>0</v>
      </c>
      <c r="ED329">
        <v>0</v>
      </c>
      <c r="EE329">
        <v>1</v>
      </c>
      <c r="EF329" t="s">
        <v>871</v>
      </c>
      <c r="EG329" t="s">
        <v>595</v>
      </c>
      <c r="EH329" t="s">
        <v>1036</v>
      </c>
      <c r="EI329" t="s">
        <v>1036</v>
      </c>
      <c r="EJ329" t="s">
        <v>159</v>
      </c>
      <c r="EK329">
        <v>9090</v>
      </c>
      <c r="EL329">
        <v>1</v>
      </c>
      <c r="EM329" t="s">
        <v>873</v>
      </c>
      <c r="EN329">
        <v>0.45</v>
      </c>
      <c r="EO329">
        <v>29.65</v>
      </c>
      <c r="EP329">
        <v>99991120</v>
      </c>
      <c r="EQ329" t="s">
        <v>874</v>
      </c>
      <c r="ER329" t="s">
        <v>875</v>
      </c>
      <c r="ES329" t="s">
        <v>876</v>
      </c>
      <c r="ET329" t="s">
        <v>877</v>
      </c>
      <c r="EU329" t="s">
        <v>877</v>
      </c>
      <c r="EV329" t="s">
        <v>871</v>
      </c>
      <c r="EX329" t="s">
        <v>836</v>
      </c>
      <c r="EY329" t="s">
        <v>1121</v>
      </c>
      <c r="EZ329" t="s">
        <v>1122</v>
      </c>
      <c r="FA329" t="s">
        <v>956</v>
      </c>
      <c r="FB329">
        <v>1</v>
      </c>
      <c r="FC329">
        <v>2</v>
      </c>
      <c r="FD329" s="41">
        <v>45913</v>
      </c>
      <c r="FE329" t="s">
        <v>880</v>
      </c>
      <c r="FF329">
        <v>9</v>
      </c>
      <c r="FG329" t="s">
        <v>7310</v>
      </c>
      <c r="FH329" t="s">
        <v>7311</v>
      </c>
      <c r="FI329">
        <v>1</v>
      </c>
      <c r="FJ329" t="s">
        <v>7312</v>
      </c>
      <c r="FK329" t="s">
        <v>7313</v>
      </c>
      <c r="FL329">
        <v>1</v>
      </c>
      <c r="FM329" t="s">
        <v>7314</v>
      </c>
      <c r="FN329" t="s">
        <v>7315</v>
      </c>
      <c r="FO329">
        <v>1</v>
      </c>
      <c r="FP329" t="s">
        <v>7316</v>
      </c>
      <c r="FQ329" t="s">
        <v>7317</v>
      </c>
      <c r="FR329">
        <v>1</v>
      </c>
      <c r="FS329" t="s">
        <v>1273</v>
      </c>
      <c r="FT329" t="s">
        <v>7318</v>
      </c>
      <c r="FU329">
        <v>1</v>
      </c>
      <c r="FV329" t="s">
        <v>7319</v>
      </c>
      <c r="FW329" t="s">
        <v>7320</v>
      </c>
      <c r="FX329">
        <v>1</v>
      </c>
      <c r="FY329" t="s">
        <v>890</v>
      </c>
      <c r="FZ329" t="s">
        <v>7321</v>
      </c>
      <c r="GA329" t="s">
        <v>7312</v>
      </c>
      <c r="GB329">
        <v>1</v>
      </c>
      <c r="GD329">
        <v>0</v>
      </c>
      <c r="GF329">
        <v>0</v>
      </c>
      <c r="GG329">
        <v>1</v>
      </c>
      <c r="GH329" t="s">
        <v>892</v>
      </c>
      <c r="GI329" t="s">
        <v>893</v>
      </c>
      <c r="GJ329" t="s">
        <v>7313</v>
      </c>
      <c r="GM329">
        <v>1</v>
      </c>
      <c r="GN329">
        <v>0</v>
      </c>
      <c r="GO329">
        <v>0</v>
      </c>
      <c r="GP329">
        <v>1</v>
      </c>
      <c r="GQ329">
        <v>1</v>
      </c>
      <c r="GR329">
        <v>0</v>
      </c>
      <c r="GS329">
        <v>1</v>
      </c>
      <c r="GT329">
        <v>0</v>
      </c>
      <c r="GU329">
        <v>1</v>
      </c>
      <c r="GV329">
        <v>0</v>
      </c>
      <c r="GW329">
        <v>1</v>
      </c>
      <c r="GX329">
        <v>0</v>
      </c>
      <c r="GY329">
        <v>1</v>
      </c>
      <c r="GZ329">
        <v>0</v>
      </c>
      <c r="HA329" t="s">
        <v>253</v>
      </c>
      <c r="HB329" t="s">
        <v>894</v>
      </c>
      <c r="HC329" t="s">
        <v>895</v>
      </c>
      <c r="HD329" t="s">
        <v>845</v>
      </c>
      <c r="HE329" t="s">
        <v>836</v>
      </c>
      <c r="HF329" t="s">
        <v>873</v>
      </c>
      <c r="HG329" t="s">
        <v>894</v>
      </c>
      <c r="HH329" t="s">
        <v>895</v>
      </c>
      <c r="HI329" t="s">
        <v>845</v>
      </c>
      <c r="HJ329" t="s">
        <v>836</v>
      </c>
      <c r="HK329" t="s">
        <v>873</v>
      </c>
      <c r="HL329" t="s">
        <v>165</v>
      </c>
      <c r="HM329" t="s">
        <v>854</v>
      </c>
      <c r="HN329">
        <v>36805</v>
      </c>
      <c r="HP329" t="s">
        <v>159</v>
      </c>
      <c r="HQ329" t="s">
        <v>896</v>
      </c>
      <c r="HR329" t="s">
        <v>896</v>
      </c>
      <c r="HS329" t="s">
        <v>896</v>
      </c>
    </row>
    <row r="330" spans="1:227" x14ac:dyDescent="0.2">
      <c r="A330">
        <v>8702</v>
      </c>
      <c r="B330">
        <v>7615609655</v>
      </c>
      <c r="C330" t="s">
        <v>936</v>
      </c>
      <c r="D330" t="s">
        <v>937</v>
      </c>
      <c r="E330" t="s">
        <v>897</v>
      </c>
      <c r="F330">
        <v>2</v>
      </c>
      <c r="G330" t="s">
        <v>7322</v>
      </c>
      <c r="H330" t="s">
        <v>7322</v>
      </c>
      <c r="I330">
        <v>0</v>
      </c>
      <c r="J330" t="s">
        <v>833</v>
      </c>
      <c r="K330" t="s">
        <v>834</v>
      </c>
      <c r="L330">
        <v>156046217</v>
      </c>
      <c r="M330" t="s">
        <v>2742</v>
      </c>
      <c r="N330" t="s">
        <v>900</v>
      </c>
      <c r="O330" t="s">
        <v>837</v>
      </c>
      <c r="P330" t="s">
        <v>940</v>
      </c>
      <c r="Q330" t="s">
        <v>1080</v>
      </c>
      <c r="R330" t="s">
        <v>7323</v>
      </c>
      <c r="S330" t="s">
        <v>7324</v>
      </c>
      <c r="T330">
        <v>41477119633</v>
      </c>
      <c r="V330" t="s">
        <v>208</v>
      </c>
      <c r="W330" s="41">
        <v>46180</v>
      </c>
      <c r="X330" t="s">
        <v>7325</v>
      </c>
      <c r="Y330" t="s">
        <v>7326</v>
      </c>
      <c r="AA330">
        <v>0</v>
      </c>
      <c r="AB330" t="s">
        <v>845</v>
      </c>
      <c r="AC330" t="s">
        <v>846</v>
      </c>
      <c r="AD330" t="s">
        <v>907</v>
      </c>
      <c r="AE330" t="s">
        <v>908</v>
      </c>
      <c r="AF330">
        <v>1</v>
      </c>
      <c r="AG330">
        <v>452210</v>
      </c>
      <c r="AH330" t="s">
        <v>849</v>
      </c>
      <c r="AI330" t="s">
        <v>850</v>
      </c>
      <c r="AJ330" t="s">
        <v>851</v>
      </c>
      <c r="AK330" t="s">
        <v>407</v>
      </c>
      <c r="AL330" t="s">
        <v>978</v>
      </c>
      <c r="AM330" t="s">
        <v>979</v>
      </c>
      <c r="AN330" t="s">
        <v>854</v>
      </c>
      <c r="AO330">
        <v>36805</v>
      </c>
      <c r="AP330">
        <v>647</v>
      </c>
      <c r="AQ330" t="s">
        <v>855</v>
      </c>
      <c r="AR330">
        <v>66497271</v>
      </c>
      <c r="AS330" t="s">
        <v>856</v>
      </c>
      <c r="AU330" t="s">
        <v>7327</v>
      </c>
      <c r="AV330" t="s">
        <v>7328</v>
      </c>
      <c r="AX330" t="s">
        <v>913</v>
      </c>
      <c r="AY330" t="s">
        <v>861</v>
      </c>
      <c r="AZ330" t="s">
        <v>407</v>
      </c>
      <c r="BA330" t="s">
        <v>408</v>
      </c>
      <c r="BB330">
        <v>0</v>
      </c>
      <c r="BC330">
        <v>0</v>
      </c>
      <c r="BD330">
        <v>1</v>
      </c>
      <c r="BE330" t="s">
        <v>2742</v>
      </c>
      <c r="BF330">
        <v>0</v>
      </c>
      <c r="BG330">
        <v>0</v>
      </c>
      <c r="BH330" t="s">
        <v>862</v>
      </c>
      <c r="BI330">
        <v>0</v>
      </c>
      <c r="BJ330" t="s">
        <v>862</v>
      </c>
      <c r="BK330">
        <v>1</v>
      </c>
      <c r="BL330">
        <v>1</v>
      </c>
      <c r="BM330">
        <v>0</v>
      </c>
      <c r="BN330" t="s">
        <v>596</v>
      </c>
      <c r="BO330">
        <v>156046217</v>
      </c>
      <c r="BP330" t="s">
        <v>7322</v>
      </c>
      <c r="BR330">
        <v>42791779</v>
      </c>
      <c r="BT330">
        <v>0</v>
      </c>
      <c r="BU330" t="s">
        <v>1314</v>
      </c>
      <c r="BY330">
        <v>16</v>
      </c>
      <c r="CA330">
        <v>26</v>
      </c>
      <c r="CE330">
        <v>0</v>
      </c>
      <c r="CI330">
        <v>11</v>
      </c>
      <c r="CJ330" t="s">
        <v>94</v>
      </c>
      <c r="CM330">
        <v>4010</v>
      </c>
      <c r="CO330">
        <v>7360</v>
      </c>
      <c r="CP330">
        <v>2.1166999999999998</v>
      </c>
      <c r="CQ330">
        <v>2.1166999999999998</v>
      </c>
      <c r="CR330">
        <v>1.67E-2</v>
      </c>
      <c r="CS330">
        <v>26</v>
      </c>
      <c r="CT330" t="s">
        <v>7328</v>
      </c>
      <c r="CU330" t="s">
        <v>7327</v>
      </c>
      <c r="CV330" t="s">
        <v>833</v>
      </c>
      <c r="CW330" t="s">
        <v>834</v>
      </c>
      <c r="CX330" t="s">
        <v>2742</v>
      </c>
      <c r="CY330">
        <v>1</v>
      </c>
      <c r="CZ330">
        <v>1</v>
      </c>
      <c r="DA330" t="s">
        <v>833</v>
      </c>
      <c r="DB330" t="s">
        <v>865</v>
      </c>
      <c r="DC330">
        <v>49002</v>
      </c>
      <c r="DD330">
        <v>26.4</v>
      </c>
      <c r="DE330" t="s">
        <v>866</v>
      </c>
      <c r="DG330" t="s">
        <v>867</v>
      </c>
      <c r="DH330" t="s">
        <v>851</v>
      </c>
      <c r="DI330" t="s">
        <v>984</v>
      </c>
      <c r="DK330" t="s">
        <v>918</v>
      </c>
      <c r="DL330" t="s">
        <v>869</v>
      </c>
      <c r="DM330">
        <v>0</v>
      </c>
      <c r="DN330">
        <v>0</v>
      </c>
      <c r="DO330">
        <v>11</v>
      </c>
      <c r="DP330" t="s">
        <v>1010</v>
      </c>
      <c r="DQ330">
        <v>16</v>
      </c>
      <c r="DR330">
        <v>1584</v>
      </c>
      <c r="DS330">
        <v>3024</v>
      </c>
      <c r="DT330">
        <v>24.283300000000001</v>
      </c>
      <c r="DU330">
        <v>4</v>
      </c>
      <c r="DV330">
        <v>1</v>
      </c>
      <c r="DW330">
        <v>2</v>
      </c>
      <c r="DX330" t="s">
        <v>596</v>
      </c>
      <c r="DY330" t="s">
        <v>2742</v>
      </c>
      <c r="DZ330">
        <v>0</v>
      </c>
      <c r="EA330">
        <v>0</v>
      </c>
      <c r="EB330">
        <v>1</v>
      </c>
      <c r="EC330">
        <v>0</v>
      </c>
      <c r="ED330">
        <v>0</v>
      </c>
      <c r="EE330">
        <v>1</v>
      </c>
      <c r="EF330" t="s">
        <v>1526</v>
      </c>
      <c r="EG330" t="s">
        <v>595</v>
      </c>
      <c r="EH330" t="s">
        <v>921</v>
      </c>
      <c r="EI330" t="s">
        <v>921</v>
      </c>
      <c r="EJ330" t="s">
        <v>178</v>
      </c>
      <c r="EK330">
        <v>9090</v>
      </c>
      <c r="EL330">
        <v>0</v>
      </c>
      <c r="EM330" t="s">
        <v>922</v>
      </c>
      <c r="EN330">
        <v>1.67E-2</v>
      </c>
      <c r="EO330">
        <v>50.4</v>
      </c>
      <c r="EP330">
        <v>99991120</v>
      </c>
      <c r="EQ330" t="s">
        <v>874</v>
      </c>
      <c r="ER330" t="s">
        <v>875</v>
      </c>
      <c r="ES330" t="s">
        <v>876</v>
      </c>
      <c r="ET330" t="s">
        <v>877</v>
      </c>
      <c r="EU330" t="s">
        <v>877</v>
      </c>
      <c r="EV330" t="s">
        <v>1526</v>
      </c>
      <c r="EX330" t="s">
        <v>900</v>
      </c>
      <c r="EY330" t="s">
        <v>923</v>
      </c>
      <c r="EZ330" t="s">
        <v>924</v>
      </c>
      <c r="FA330" t="s">
        <v>925</v>
      </c>
      <c r="FB330">
        <v>1</v>
      </c>
      <c r="FC330">
        <v>1</v>
      </c>
      <c r="FD330" s="41">
        <v>46186</v>
      </c>
      <c r="FE330" t="s">
        <v>1315</v>
      </c>
      <c r="FF330">
        <v>8</v>
      </c>
      <c r="FG330" t="s">
        <v>7329</v>
      </c>
      <c r="FH330" t="s">
        <v>7330</v>
      </c>
      <c r="FI330">
        <v>1</v>
      </c>
      <c r="FJ330" t="s">
        <v>7331</v>
      </c>
      <c r="FK330" t="s">
        <v>7330</v>
      </c>
      <c r="FL330">
        <v>1</v>
      </c>
      <c r="FM330" t="s">
        <v>5977</v>
      </c>
      <c r="FN330" t="s">
        <v>7332</v>
      </c>
      <c r="FO330">
        <v>1</v>
      </c>
      <c r="FP330" t="s">
        <v>7333</v>
      </c>
      <c r="FQ330" t="s">
        <v>7327</v>
      </c>
      <c r="FR330">
        <v>1</v>
      </c>
      <c r="FS330" t="s">
        <v>4346</v>
      </c>
      <c r="FT330" t="s">
        <v>7334</v>
      </c>
      <c r="FU330">
        <v>1</v>
      </c>
      <c r="FV330" t="s">
        <v>4917</v>
      </c>
      <c r="FW330" t="s">
        <v>7335</v>
      </c>
      <c r="FX330">
        <v>1</v>
      </c>
      <c r="FY330" t="s">
        <v>890</v>
      </c>
      <c r="FZ330" t="s">
        <v>7336</v>
      </c>
      <c r="GA330" t="s">
        <v>7331</v>
      </c>
      <c r="GB330">
        <v>1</v>
      </c>
      <c r="GD330">
        <v>0</v>
      </c>
      <c r="GF330">
        <v>0</v>
      </c>
      <c r="GG330">
        <v>1</v>
      </c>
      <c r="GH330" t="s">
        <v>892</v>
      </c>
      <c r="GI330" t="s">
        <v>893</v>
      </c>
      <c r="GJ330" t="s">
        <v>7330</v>
      </c>
      <c r="GM330">
        <v>1</v>
      </c>
      <c r="GN330">
        <v>1</v>
      </c>
      <c r="GO330">
        <v>0</v>
      </c>
      <c r="GP330">
        <v>1</v>
      </c>
      <c r="GQ330">
        <v>1</v>
      </c>
      <c r="GR330">
        <v>0</v>
      </c>
      <c r="GS330">
        <v>1</v>
      </c>
      <c r="GT330">
        <v>0</v>
      </c>
      <c r="GU330">
        <v>1</v>
      </c>
      <c r="GV330">
        <v>0</v>
      </c>
      <c r="GW330">
        <v>1</v>
      </c>
      <c r="GX330">
        <v>0</v>
      </c>
      <c r="GY330">
        <v>1</v>
      </c>
      <c r="GZ330">
        <v>0</v>
      </c>
      <c r="HA330" t="s">
        <v>407</v>
      </c>
      <c r="HB330" t="s">
        <v>894</v>
      </c>
      <c r="HC330" t="s">
        <v>935</v>
      </c>
      <c r="HD330" t="s">
        <v>845</v>
      </c>
      <c r="HE330" t="s">
        <v>900</v>
      </c>
      <c r="HF330" t="s">
        <v>923</v>
      </c>
      <c r="HG330" t="s">
        <v>894</v>
      </c>
      <c r="HH330" t="s">
        <v>935</v>
      </c>
      <c r="HI330" t="s">
        <v>845</v>
      </c>
      <c r="HJ330" t="s">
        <v>900</v>
      </c>
      <c r="HK330" t="s">
        <v>922</v>
      </c>
      <c r="HL330" t="s">
        <v>208</v>
      </c>
      <c r="HM330" t="s">
        <v>854</v>
      </c>
      <c r="HN330">
        <v>36805</v>
      </c>
      <c r="HP330" t="s">
        <v>178</v>
      </c>
      <c r="HQ330" t="s">
        <v>896</v>
      </c>
      <c r="HR330" t="s">
        <v>896</v>
      </c>
      <c r="HS330" t="s">
        <v>896</v>
      </c>
    </row>
    <row r="331" spans="1:227" x14ac:dyDescent="0.2">
      <c r="A331">
        <v>8702</v>
      </c>
      <c r="B331">
        <v>7528005038</v>
      </c>
      <c r="C331" t="s">
        <v>829</v>
      </c>
      <c r="D331" t="s">
        <v>830</v>
      </c>
      <c r="E331" t="s">
        <v>831</v>
      </c>
      <c r="F331">
        <v>0</v>
      </c>
      <c r="G331" t="s">
        <v>7337</v>
      </c>
      <c r="H331" t="s">
        <v>7337</v>
      </c>
      <c r="I331">
        <v>0</v>
      </c>
      <c r="J331" t="s">
        <v>833</v>
      </c>
      <c r="K331" t="s">
        <v>834</v>
      </c>
      <c r="L331">
        <v>156586345</v>
      </c>
      <c r="M331" t="s">
        <v>1053</v>
      </c>
      <c r="N331" t="s">
        <v>836</v>
      </c>
      <c r="O331" t="s">
        <v>837</v>
      </c>
      <c r="P331" t="s">
        <v>838</v>
      </c>
      <c r="Q331" t="s">
        <v>1279</v>
      </c>
      <c r="R331" t="s">
        <v>7338</v>
      </c>
      <c r="S331" t="s">
        <v>7339</v>
      </c>
      <c r="T331">
        <v>41477092210</v>
      </c>
      <c r="V331" t="s">
        <v>1003</v>
      </c>
      <c r="W331" s="41">
        <v>45939</v>
      </c>
      <c r="X331" t="s">
        <v>7340</v>
      </c>
      <c r="Y331" t="s">
        <v>7341</v>
      </c>
      <c r="AA331">
        <v>0</v>
      </c>
      <c r="AB331" t="s">
        <v>845</v>
      </c>
      <c r="AC331" t="s">
        <v>846</v>
      </c>
      <c r="AD331" t="s">
        <v>847</v>
      </c>
      <c r="AE331" t="s">
        <v>848</v>
      </c>
      <c r="AF331">
        <v>1</v>
      </c>
      <c r="AG331">
        <v>452210</v>
      </c>
      <c r="AH331" t="s">
        <v>849</v>
      </c>
      <c r="AI331" t="s">
        <v>850</v>
      </c>
      <c r="AJ331" t="s">
        <v>851</v>
      </c>
      <c r="AK331" t="s">
        <v>512</v>
      </c>
      <c r="AL331" t="s">
        <v>7342</v>
      </c>
      <c r="AM331" t="s">
        <v>1059</v>
      </c>
      <c r="AN331" t="s">
        <v>854</v>
      </c>
      <c r="AO331">
        <v>36805</v>
      </c>
      <c r="AP331">
        <v>638</v>
      </c>
      <c r="AQ331" t="s">
        <v>855</v>
      </c>
      <c r="AR331">
        <v>66150008</v>
      </c>
      <c r="AS331" t="s">
        <v>856</v>
      </c>
      <c r="AU331" t="s">
        <v>7343</v>
      </c>
      <c r="AV331" t="s">
        <v>7344</v>
      </c>
      <c r="AX331" t="s">
        <v>913</v>
      </c>
      <c r="AY331" t="s">
        <v>861</v>
      </c>
      <c r="AZ331" t="s">
        <v>512</v>
      </c>
      <c r="BA331" t="s">
        <v>513</v>
      </c>
      <c r="BB331">
        <v>0</v>
      </c>
      <c r="BC331">
        <v>0</v>
      </c>
      <c r="BD331">
        <v>0</v>
      </c>
      <c r="BE331" t="s">
        <v>1053</v>
      </c>
      <c r="BF331">
        <v>0</v>
      </c>
      <c r="BG331">
        <v>0</v>
      </c>
      <c r="BH331" t="s">
        <v>862</v>
      </c>
      <c r="BI331">
        <v>0</v>
      </c>
      <c r="BJ331" t="s">
        <v>862</v>
      </c>
      <c r="BK331">
        <v>1</v>
      </c>
      <c r="BL331">
        <v>1</v>
      </c>
      <c r="BM331">
        <v>0</v>
      </c>
      <c r="BN331" t="s">
        <v>596</v>
      </c>
      <c r="BO331">
        <v>156586345</v>
      </c>
      <c r="BP331" t="s">
        <v>7337</v>
      </c>
      <c r="BR331">
        <v>42791770</v>
      </c>
      <c r="BT331">
        <v>0</v>
      </c>
      <c r="CM331">
        <v>4010</v>
      </c>
      <c r="CO331">
        <v>7360</v>
      </c>
      <c r="CP331">
        <v>0.66669999999999996</v>
      </c>
      <c r="CQ331">
        <v>0.66669999999999996</v>
      </c>
      <c r="CR331">
        <v>0.6</v>
      </c>
      <c r="CS331">
        <v>81</v>
      </c>
      <c r="CT331" t="s">
        <v>7344</v>
      </c>
      <c r="CU331" t="s">
        <v>7343</v>
      </c>
      <c r="CV331" t="s">
        <v>833</v>
      </c>
      <c r="CW331" t="s">
        <v>834</v>
      </c>
      <c r="CX331" t="s">
        <v>1053</v>
      </c>
      <c r="CY331">
        <v>0</v>
      </c>
      <c r="CZ331">
        <v>0</v>
      </c>
      <c r="DA331" t="s">
        <v>833</v>
      </c>
      <c r="DB331" t="s">
        <v>865</v>
      </c>
      <c r="DC331">
        <v>61704</v>
      </c>
      <c r="DD331">
        <v>24.866700000000002</v>
      </c>
      <c r="DE331" t="s">
        <v>866</v>
      </c>
      <c r="DG331" t="s">
        <v>867</v>
      </c>
      <c r="DH331" t="s">
        <v>851</v>
      </c>
      <c r="DL331" t="s">
        <v>869</v>
      </c>
      <c r="DM331">
        <v>0</v>
      </c>
      <c r="DN331">
        <v>0</v>
      </c>
      <c r="DO331">
        <v>3</v>
      </c>
      <c r="DP331" t="s">
        <v>919</v>
      </c>
      <c r="DQ331">
        <v>16</v>
      </c>
      <c r="DR331">
        <v>1492</v>
      </c>
      <c r="DS331">
        <v>2932</v>
      </c>
      <c r="DT331">
        <v>24.2</v>
      </c>
      <c r="DU331">
        <v>4</v>
      </c>
      <c r="DW331">
        <v>2</v>
      </c>
      <c r="DX331" t="s">
        <v>596</v>
      </c>
      <c r="DY331" t="s">
        <v>1053</v>
      </c>
      <c r="DZ331">
        <v>0</v>
      </c>
      <c r="EA331">
        <v>0</v>
      </c>
      <c r="EB331">
        <v>1</v>
      </c>
      <c r="EC331">
        <v>0</v>
      </c>
      <c r="ED331">
        <v>0</v>
      </c>
      <c r="EE331">
        <v>1</v>
      </c>
      <c r="EF331" t="s">
        <v>871</v>
      </c>
      <c r="EG331" t="s">
        <v>595</v>
      </c>
      <c r="EH331" t="s">
        <v>921</v>
      </c>
      <c r="EI331" t="s">
        <v>921</v>
      </c>
      <c r="EJ331" t="s">
        <v>181</v>
      </c>
      <c r="EK331">
        <v>9090</v>
      </c>
      <c r="EL331">
        <v>0</v>
      </c>
      <c r="EM331" t="s">
        <v>1037</v>
      </c>
      <c r="EN331">
        <v>0.6</v>
      </c>
      <c r="EO331">
        <v>48.866666600000002</v>
      </c>
      <c r="EP331">
        <v>99991120</v>
      </c>
      <c r="EQ331" t="s">
        <v>874</v>
      </c>
      <c r="ER331" t="s">
        <v>875</v>
      </c>
      <c r="ES331" t="s">
        <v>876</v>
      </c>
      <c r="ET331" t="s">
        <v>877</v>
      </c>
      <c r="EU331" t="s">
        <v>877</v>
      </c>
      <c r="EV331" t="s">
        <v>871</v>
      </c>
      <c r="EX331" t="s">
        <v>836</v>
      </c>
      <c r="EY331" t="s">
        <v>873</v>
      </c>
      <c r="EZ331" t="s">
        <v>1065</v>
      </c>
      <c r="FA331" t="s">
        <v>879</v>
      </c>
      <c r="FB331">
        <v>1</v>
      </c>
      <c r="FC331">
        <v>1</v>
      </c>
      <c r="FD331" s="41">
        <v>45941</v>
      </c>
      <c r="FE331" t="s">
        <v>1039</v>
      </c>
      <c r="FF331">
        <v>6</v>
      </c>
      <c r="FG331" t="s">
        <v>7345</v>
      </c>
      <c r="FH331" t="s">
        <v>7346</v>
      </c>
      <c r="FI331">
        <v>1</v>
      </c>
      <c r="FJ331" t="s">
        <v>7347</v>
      </c>
      <c r="FK331" t="s">
        <v>7348</v>
      </c>
      <c r="FL331">
        <v>1</v>
      </c>
      <c r="FM331" t="s">
        <v>1071</v>
      </c>
      <c r="FN331" t="s">
        <v>7349</v>
      </c>
      <c r="FO331">
        <v>1</v>
      </c>
      <c r="FP331" t="s">
        <v>7350</v>
      </c>
      <c r="FQ331" t="s">
        <v>7343</v>
      </c>
      <c r="FR331">
        <v>1</v>
      </c>
      <c r="FS331" t="s">
        <v>4758</v>
      </c>
      <c r="FT331" t="s">
        <v>7351</v>
      </c>
      <c r="FU331">
        <v>1</v>
      </c>
      <c r="FV331" t="s">
        <v>7352</v>
      </c>
      <c r="FW331" t="s">
        <v>7353</v>
      </c>
      <c r="FX331">
        <v>1</v>
      </c>
      <c r="FY331" t="s">
        <v>890</v>
      </c>
      <c r="FZ331" t="s">
        <v>7354</v>
      </c>
      <c r="GA331" t="s">
        <v>7347</v>
      </c>
      <c r="GB331">
        <v>1</v>
      </c>
      <c r="GD331">
        <v>0</v>
      </c>
      <c r="GF331">
        <v>0</v>
      </c>
      <c r="GG331">
        <v>1</v>
      </c>
      <c r="GH331" t="s">
        <v>892</v>
      </c>
      <c r="GI331" t="s">
        <v>893</v>
      </c>
      <c r="GJ331" t="s">
        <v>7348</v>
      </c>
      <c r="GM331">
        <v>1</v>
      </c>
      <c r="GN331">
        <v>1</v>
      </c>
      <c r="GO331">
        <v>0</v>
      </c>
      <c r="GP331">
        <v>1</v>
      </c>
      <c r="GQ331">
        <v>1</v>
      </c>
      <c r="GR331">
        <v>0</v>
      </c>
      <c r="GS331">
        <v>1</v>
      </c>
      <c r="GT331">
        <v>0</v>
      </c>
      <c r="GU331">
        <v>1</v>
      </c>
      <c r="GV331">
        <v>0</v>
      </c>
      <c r="GW331">
        <v>1</v>
      </c>
      <c r="GX331">
        <v>0</v>
      </c>
      <c r="GY331">
        <v>1</v>
      </c>
      <c r="GZ331">
        <v>0</v>
      </c>
      <c r="HA331" t="s">
        <v>512</v>
      </c>
      <c r="HB331" t="s">
        <v>894</v>
      </c>
      <c r="HC331" t="s">
        <v>895</v>
      </c>
      <c r="HD331" t="s">
        <v>845</v>
      </c>
      <c r="HE331" t="s">
        <v>836</v>
      </c>
      <c r="HF331" t="s">
        <v>1051</v>
      </c>
      <c r="HG331" t="s">
        <v>894</v>
      </c>
      <c r="HH331" t="s">
        <v>895</v>
      </c>
      <c r="HI331" t="s">
        <v>845</v>
      </c>
      <c r="HJ331" t="s">
        <v>836</v>
      </c>
      <c r="HK331" t="s">
        <v>1037</v>
      </c>
      <c r="HL331" t="s">
        <v>1003</v>
      </c>
      <c r="HM331" t="s">
        <v>854</v>
      </c>
      <c r="HN331">
        <v>36805</v>
      </c>
      <c r="HP331" t="s">
        <v>181</v>
      </c>
      <c r="HQ331" t="s">
        <v>896</v>
      </c>
      <c r="HR331" t="s">
        <v>896</v>
      </c>
      <c r="HS331" t="s">
        <v>896</v>
      </c>
    </row>
    <row r="332" spans="1:227" x14ac:dyDescent="0.2">
      <c r="A332">
        <v>8702</v>
      </c>
      <c r="B332">
        <v>7532606860</v>
      </c>
      <c r="C332" t="s">
        <v>936</v>
      </c>
      <c r="D332" t="s">
        <v>937</v>
      </c>
      <c r="E332" t="s">
        <v>831</v>
      </c>
      <c r="F332">
        <v>0</v>
      </c>
      <c r="G332" t="s">
        <v>7355</v>
      </c>
      <c r="H332" t="s">
        <v>7355</v>
      </c>
      <c r="I332">
        <v>0</v>
      </c>
      <c r="J332" t="s">
        <v>833</v>
      </c>
      <c r="K332" t="s">
        <v>834</v>
      </c>
      <c r="L332">
        <v>153294154</v>
      </c>
      <c r="M332" t="s">
        <v>3698</v>
      </c>
      <c r="N332" t="s">
        <v>836</v>
      </c>
      <c r="O332" t="s">
        <v>837</v>
      </c>
      <c r="P332" t="s">
        <v>940</v>
      </c>
      <c r="Q332" t="s">
        <v>1080</v>
      </c>
      <c r="R332" t="s">
        <v>7356</v>
      </c>
      <c r="S332" t="s">
        <v>7357</v>
      </c>
      <c r="T332">
        <v>41477091735</v>
      </c>
      <c r="V332" t="s">
        <v>3701</v>
      </c>
      <c r="W332" s="41">
        <v>45983</v>
      </c>
      <c r="X332" t="s">
        <v>7358</v>
      </c>
      <c r="Y332" t="s">
        <v>7359</v>
      </c>
      <c r="AA332">
        <v>0</v>
      </c>
      <c r="AB332" t="s">
        <v>845</v>
      </c>
      <c r="AC332" t="s">
        <v>846</v>
      </c>
      <c r="AD332" t="s">
        <v>847</v>
      </c>
      <c r="AE332" t="s">
        <v>848</v>
      </c>
      <c r="AF332">
        <v>1</v>
      </c>
      <c r="AG332">
        <v>452210</v>
      </c>
      <c r="AH332" t="s">
        <v>849</v>
      </c>
      <c r="AI332" t="s">
        <v>850</v>
      </c>
      <c r="AJ332" t="s">
        <v>851</v>
      </c>
      <c r="AK332" t="s">
        <v>532</v>
      </c>
      <c r="AL332" t="s">
        <v>7360</v>
      </c>
      <c r="AM332" t="s">
        <v>3705</v>
      </c>
      <c r="AN332" t="s">
        <v>854</v>
      </c>
      <c r="AO332">
        <v>36805</v>
      </c>
      <c r="AP332">
        <v>968</v>
      </c>
      <c r="AQ332" t="s">
        <v>855</v>
      </c>
      <c r="AR332">
        <v>66213197</v>
      </c>
      <c r="AS332" t="s">
        <v>856</v>
      </c>
      <c r="AU332" t="s">
        <v>7361</v>
      </c>
      <c r="AV332" t="s">
        <v>7362</v>
      </c>
      <c r="AW332" t="s">
        <v>859</v>
      </c>
      <c r="AX332" t="s">
        <v>860</v>
      </c>
      <c r="AY332" t="s">
        <v>861</v>
      </c>
      <c r="AZ332" t="s">
        <v>532</v>
      </c>
      <c r="BA332" t="s">
        <v>533</v>
      </c>
      <c r="BB332">
        <v>0</v>
      </c>
      <c r="BC332">
        <v>0</v>
      </c>
      <c r="BD332">
        <v>0</v>
      </c>
      <c r="BE332" t="s">
        <v>3698</v>
      </c>
      <c r="BF332">
        <v>0</v>
      </c>
      <c r="BG332">
        <v>0</v>
      </c>
      <c r="BH332" t="s">
        <v>862</v>
      </c>
      <c r="BI332">
        <v>0</v>
      </c>
      <c r="BJ332" t="s">
        <v>862</v>
      </c>
      <c r="BK332">
        <v>1</v>
      </c>
      <c r="BL332">
        <v>0</v>
      </c>
      <c r="BM332">
        <v>0</v>
      </c>
      <c r="BN332" t="s">
        <v>596</v>
      </c>
      <c r="BO332">
        <v>153294154</v>
      </c>
      <c r="BP332" t="s">
        <v>7355</v>
      </c>
      <c r="BR332">
        <v>42793658</v>
      </c>
      <c r="BT332">
        <v>0</v>
      </c>
      <c r="CM332">
        <v>4010</v>
      </c>
      <c r="CO332">
        <v>7360</v>
      </c>
      <c r="CP332">
        <v>0.41670000000000001</v>
      </c>
      <c r="CQ332">
        <v>0.41670000000000001</v>
      </c>
      <c r="CR332">
        <v>0.9667</v>
      </c>
      <c r="CS332">
        <v>4</v>
      </c>
      <c r="CT332" t="s">
        <v>7363</v>
      </c>
      <c r="CU332" t="s">
        <v>7364</v>
      </c>
      <c r="CV332" t="s">
        <v>833</v>
      </c>
      <c r="CW332" t="s">
        <v>834</v>
      </c>
      <c r="CX332" t="s">
        <v>3698</v>
      </c>
      <c r="CY332">
        <v>0</v>
      </c>
      <c r="CZ332">
        <v>0</v>
      </c>
      <c r="DA332" t="s">
        <v>833</v>
      </c>
      <c r="DB332" t="s">
        <v>865</v>
      </c>
      <c r="DC332">
        <v>52807</v>
      </c>
      <c r="DD332">
        <v>3.4832999999999998</v>
      </c>
      <c r="DE332" t="s">
        <v>866</v>
      </c>
      <c r="DG332" t="s">
        <v>867</v>
      </c>
      <c r="DH332" t="s">
        <v>851</v>
      </c>
      <c r="DI332" t="s">
        <v>3708</v>
      </c>
      <c r="DL332" t="s">
        <v>869</v>
      </c>
      <c r="DM332">
        <v>0</v>
      </c>
      <c r="DN332">
        <v>0</v>
      </c>
      <c r="DO332">
        <v>53</v>
      </c>
      <c r="DP332" t="s">
        <v>1156</v>
      </c>
      <c r="DQ332">
        <v>16</v>
      </c>
      <c r="DR332">
        <v>209</v>
      </c>
      <c r="DS332">
        <v>929</v>
      </c>
      <c r="DT332">
        <v>3.0667</v>
      </c>
      <c r="DU332">
        <v>4</v>
      </c>
      <c r="DW332">
        <v>2</v>
      </c>
      <c r="DX332" t="s">
        <v>594</v>
      </c>
      <c r="DY332" t="s">
        <v>3698</v>
      </c>
      <c r="DZ332">
        <v>0</v>
      </c>
      <c r="EA332">
        <v>0</v>
      </c>
      <c r="EB332">
        <v>0</v>
      </c>
      <c r="EC332">
        <v>0</v>
      </c>
      <c r="ED332">
        <v>0</v>
      </c>
      <c r="EE332">
        <v>0</v>
      </c>
      <c r="EF332" t="s">
        <v>871</v>
      </c>
      <c r="EG332" t="s">
        <v>595</v>
      </c>
      <c r="EH332" t="s">
        <v>872</v>
      </c>
      <c r="EI332" t="s">
        <v>872</v>
      </c>
      <c r="EJ332" t="s">
        <v>246</v>
      </c>
      <c r="EK332">
        <v>9090</v>
      </c>
      <c r="EL332">
        <v>0</v>
      </c>
      <c r="EM332" t="s">
        <v>873</v>
      </c>
      <c r="EN332">
        <v>0.9667</v>
      </c>
      <c r="EO332">
        <v>15.4833333</v>
      </c>
      <c r="EP332">
        <v>99991120</v>
      </c>
      <c r="EQ332" t="s">
        <v>874</v>
      </c>
      <c r="ER332" t="s">
        <v>875</v>
      </c>
      <c r="ES332" t="s">
        <v>876</v>
      </c>
      <c r="ET332" t="s">
        <v>877</v>
      </c>
      <c r="EU332" t="s">
        <v>877</v>
      </c>
      <c r="EV332" t="s">
        <v>871</v>
      </c>
      <c r="EX332" t="s">
        <v>836</v>
      </c>
      <c r="EY332" t="s">
        <v>873</v>
      </c>
      <c r="EZ332" t="s">
        <v>3709</v>
      </c>
      <c r="FA332" t="s">
        <v>879</v>
      </c>
      <c r="FB332">
        <v>1</v>
      </c>
      <c r="FC332">
        <v>1</v>
      </c>
      <c r="FD332" s="41">
        <v>45983</v>
      </c>
      <c r="FE332" t="s">
        <v>1438</v>
      </c>
      <c r="FF332">
        <v>5</v>
      </c>
      <c r="FI332">
        <v>0</v>
      </c>
      <c r="FJ332" t="s">
        <v>7365</v>
      </c>
      <c r="FK332" t="s">
        <v>7366</v>
      </c>
      <c r="FL332">
        <v>1</v>
      </c>
      <c r="FM332" t="s">
        <v>3714</v>
      </c>
      <c r="FN332" t="s">
        <v>7367</v>
      </c>
      <c r="FO332">
        <v>1</v>
      </c>
      <c r="FP332" t="s">
        <v>7368</v>
      </c>
      <c r="FQ332" t="s">
        <v>7369</v>
      </c>
      <c r="FR332">
        <v>1</v>
      </c>
      <c r="FS332" t="s">
        <v>7370</v>
      </c>
      <c r="FT332" t="s">
        <v>7371</v>
      </c>
      <c r="FU332">
        <v>1</v>
      </c>
      <c r="FV332" t="s">
        <v>7365</v>
      </c>
      <c r="FW332" t="s">
        <v>7366</v>
      </c>
      <c r="FX332">
        <v>1</v>
      </c>
      <c r="FY332" t="s">
        <v>890</v>
      </c>
      <c r="FZ332" t="s">
        <v>7372</v>
      </c>
      <c r="GA332" t="s">
        <v>7365</v>
      </c>
      <c r="GB332">
        <v>1</v>
      </c>
      <c r="GD332">
        <v>0</v>
      </c>
      <c r="GF332">
        <v>0</v>
      </c>
      <c r="GG332">
        <v>1</v>
      </c>
      <c r="GH332" t="s">
        <v>892</v>
      </c>
      <c r="GI332" t="s">
        <v>893</v>
      </c>
      <c r="GJ332" t="s">
        <v>7366</v>
      </c>
      <c r="GM332">
        <v>1</v>
      </c>
      <c r="GN332">
        <v>1</v>
      </c>
      <c r="GO332">
        <v>0</v>
      </c>
      <c r="GP332">
        <v>1</v>
      </c>
      <c r="GQ332">
        <v>1</v>
      </c>
      <c r="GR332">
        <v>0</v>
      </c>
      <c r="GS332">
        <v>1</v>
      </c>
      <c r="GT332">
        <v>0</v>
      </c>
      <c r="GU332">
        <v>1</v>
      </c>
      <c r="GV332">
        <v>0</v>
      </c>
      <c r="GW332">
        <v>1</v>
      </c>
      <c r="GX332">
        <v>0</v>
      </c>
      <c r="GY332">
        <v>1</v>
      </c>
      <c r="GZ332">
        <v>0</v>
      </c>
      <c r="HA332" t="s">
        <v>532</v>
      </c>
      <c r="HB332" t="s">
        <v>894</v>
      </c>
      <c r="HC332" t="s">
        <v>895</v>
      </c>
      <c r="HD332" t="s">
        <v>845</v>
      </c>
      <c r="HE332" t="s">
        <v>836</v>
      </c>
      <c r="HF332" t="s">
        <v>873</v>
      </c>
      <c r="HG332" t="s">
        <v>894</v>
      </c>
      <c r="HH332" t="s">
        <v>895</v>
      </c>
      <c r="HI332" t="s">
        <v>845</v>
      </c>
      <c r="HJ332" t="s">
        <v>836</v>
      </c>
      <c r="HK332" t="s">
        <v>873</v>
      </c>
      <c r="HL332" t="s">
        <v>3701</v>
      </c>
      <c r="HM332" t="s">
        <v>854</v>
      </c>
      <c r="HN332">
        <v>36805</v>
      </c>
      <c r="HP332" t="s">
        <v>246</v>
      </c>
      <c r="HQ332" t="s">
        <v>896</v>
      </c>
      <c r="HR332" t="s">
        <v>896</v>
      </c>
      <c r="HS332" t="s">
        <v>896</v>
      </c>
    </row>
    <row r="333" spans="1:227" x14ac:dyDescent="0.2">
      <c r="A333">
        <v>8702</v>
      </c>
      <c r="B333">
        <v>7532500914</v>
      </c>
      <c r="C333" t="s">
        <v>829</v>
      </c>
      <c r="D333" t="s">
        <v>830</v>
      </c>
      <c r="E333" t="s">
        <v>897</v>
      </c>
      <c r="F333">
        <v>1</v>
      </c>
      <c r="G333" t="s">
        <v>7373</v>
      </c>
      <c r="H333" t="s">
        <v>7373</v>
      </c>
      <c r="I333">
        <v>0</v>
      </c>
      <c r="J333" t="s">
        <v>833</v>
      </c>
      <c r="K333" t="s">
        <v>834</v>
      </c>
      <c r="L333">
        <v>153402719</v>
      </c>
      <c r="M333" t="s">
        <v>6852</v>
      </c>
      <c r="N333" t="s">
        <v>900</v>
      </c>
      <c r="O333" t="s">
        <v>837</v>
      </c>
      <c r="P333" t="s">
        <v>838</v>
      </c>
      <c r="Q333" t="s">
        <v>839</v>
      </c>
      <c r="R333" t="s">
        <v>7374</v>
      </c>
      <c r="S333" t="s">
        <v>7375</v>
      </c>
      <c r="T333">
        <v>41477121725</v>
      </c>
      <c r="V333" t="s">
        <v>154</v>
      </c>
      <c r="W333" s="41">
        <v>45982</v>
      </c>
      <c r="X333" t="s">
        <v>7376</v>
      </c>
      <c r="Y333" t="s">
        <v>7377</v>
      </c>
      <c r="AA333">
        <v>0</v>
      </c>
      <c r="AB333" t="s">
        <v>845</v>
      </c>
      <c r="AC333" t="s">
        <v>846</v>
      </c>
      <c r="AD333" t="s">
        <v>847</v>
      </c>
      <c r="AE333" t="s">
        <v>848</v>
      </c>
      <c r="AF333">
        <v>1</v>
      </c>
      <c r="AG333">
        <v>452210</v>
      </c>
      <c r="AH333" t="s">
        <v>849</v>
      </c>
      <c r="AI333" t="s">
        <v>850</v>
      </c>
      <c r="AJ333" t="s">
        <v>851</v>
      </c>
      <c r="AK333" t="s">
        <v>342</v>
      </c>
      <c r="AL333" t="s">
        <v>1006</v>
      </c>
      <c r="AM333" t="s">
        <v>2409</v>
      </c>
      <c r="AN333" t="s">
        <v>854</v>
      </c>
      <c r="AO333">
        <v>36805</v>
      </c>
      <c r="AP333">
        <v>535</v>
      </c>
      <c r="AQ333" t="s">
        <v>855</v>
      </c>
      <c r="AR333">
        <v>66212379</v>
      </c>
      <c r="AS333" t="s">
        <v>856</v>
      </c>
      <c r="AU333" t="s">
        <v>7378</v>
      </c>
      <c r="AV333" t="s">
        <v>7379</v>
      </c>
      <c r="AX333" t="s">
        <v>913</v>
      </c>
      <c r="AY333" t="s">
        <v>861</v>
      </c>
      <c r="AZ333" t="s">
        <v>342</v>
      </c>
      <c r="BA333" t="s">
        <v>343</v>
      </c>
      <c r="BB333">
        <v>0</v>
      </c>
      <c r="BC333">
        <v>0</v>
      </c>
      <c r="BD333">
        <v>1</v>
      </c>
      <c r="BE333" t="s">
        <v>6852</v>
      </c>
      <c r="BF333">
        <v>0</v>
      </c>
      <c r="BG333">
        <v>0</v>
      </c>
      <c r="BH333" t="s">
        <v>862</v>
      </c>
      <c r="BI333">
        <v>0</v>
      </c>
      <c r="BJ333" t="s">
        <v>862</v>
      </c>
      <c r="BK333">
        <v>1</v>
      </c>
      <c r="BL333">
        <v>1</v>
      </c>
      <c r="BM333">
        <v>0</v>
      </c>
      <c r="BN333" t="s">
        <v>596</v>
      </c>
      <c r="BO333">
        <v>153402719</v>
      </c>
      <c r="BP333" t="s">
        <v>7373</v>
      </c>
      <c r="BQ333">
        <v>40.217389900000001</v>
      </c>
      <c r="BR333">
        <v>42791452</v>
      </c>
      <c r="BS333">
        <v>-85.391198500000002</v>
      </c>
      <c r="BT333">
        <v>0</v>
      </c>
      <c r="CM333">
        <v>4010</v>
      </c>
      <c r="CO333">
        <v>7360</v>
      </c>
      <c r="CP333">
        <v>1.05</v>
      </c>
      <c r="CQ333">
        <v>1.05</v>
      </c>
      <c r="CR333">
        <v>1.8167</v>
      </c>
      <c r="CS333">
        <v>9</v>
      </c>
      <c r="CT333" t="s">
        <v>7379</v>
      </c>
      <c r="CU333" t="s">
        <v>7378</v>
      </c>
      <c r="CV333" t="s">
        <v>833</v>
      </c>
      <c r="CW333" t="s">
        <v>834</v>
      </c>
      <c r="CX333" t="s">
        <v>6852</v>
      </c>
      <c r="CY333">
        <v>1</v>
      </c>
      <c r="CZ333">
        <v>1</v>
      </c>
      <c r="DA333" t="s">
        <v>833</v>
      </c>
      <c r="DB333" t="s">
        <v>865</v>
      </c>
      <c r="DC333">
        <v>47303</v>
      </c>
      <c r="DD333">
        <v>12</v>
      </c>
      <c r="DE333" t="s">
        <v>866</v>
      </c>
      <c r="DG333" t="s">
        <v>867</v>
      </c>
      <c r="DH333" t="s">
        <v>851</v>
      </c>
      <c r="DI333" t="s">
        <v>1154</v>
      </c>
      <c r="DL333" t="s">
        <v>869</v>
      </c>
      <c r="DM333">
        <v>0</v>
      </c>
      <c r="DN333">
        <v>0</v>
      </c>
      <c r="DO333">
        <v>11</v>
      </c>
      <c r="DP333" t="s">
        <v>1010</v>
      </c>
      <c r="DQ333">
        <v>16</v>
      </c>
      <c r="DR333">
        <v>720</v>
      </c>
      <c r="DS333">
        <v>1444</v>
      </c>
      <c r="DT333">
        <v>11.666700000000001</v>
      </c>
      <c r="DU333">
        <v>4</v>
      </c>
      <c r="DW333">
        <v>2</v>
      </c>
      <c r="DX333" t="s">
        <v>596</v>
      </c>
      <c r="DY333" t="s">
        <v>6852</v>
      </c>
      <c r="DZ333">
        <v>1</v>
      </c>
      <c r="EA333">
        <v>1</v>
      </c>
      <c r="EB333">
        <v>1</v>
      </c>
      <c r="EC333">
        <v>0</v>
      </c>
      <c r="ED333">
        <v>0</v>
      </c>
      <c r="EE333">
        <v>1</v>
      </c>
      <c r="EF333" t="s">
        <v>920</v>
      </c>
      <c r="EG333" t="s">
        <v>595</v>
      </c>
      <c r="EH333" t="s">
        <v>921</v>
      </c>
      <c r="EI333" t="s">
        <v>921</v>
      </c>
      <c r="EJ333" t="s">
        <v>134</v>
      </c>
      <c r="EK333">
        <v>9090</v>
      </c>
      <c r="EL333">
        <v>0</v>
      </c>
      <c r="EM333" t="s">
        <v>1011</v>
      </c>
      <c r="EN333">
        <v>1.8167</v>
      </c>
      <c r="EO333">
        <v>24.066666600000001</v>
      </c>
      <c r="EP333">
        <v>99991120</v>
      </c>
      <c r="EQ333" t="s">
        <v>874</v>
      </c>
      <c r="ER333" t="s">
        <v>875</v>
      </c>
      <c r="ES333" t="s">
        <v>876</v>
      </c>
      <c r="ET333" t="s">
        <v>877</v>
      </c>
      <c r="EU333" t="s">
        <v>877</v>
      </c>
      <c r="EV333" t="s">
        <v>920</v>
      </c>
      <c r="EX333" t="s">
        <v>953</v>
      </c>
      <c r="EY333" t="s">
        <v>1555</v>
      </c>
      <c r="EZ333" t="s">
        <v>1013</v>
      </c>
      <c r="FA333" t="s">
        <v>925</v>
      </c>
      <c r="FB333">
        <v>1</v>
      </c>
      <c r="FC333">
        <v>1</v>
      </c>
      <c r="FD333" s="41">
        <v>45983</v>
      </c>
      <c r="FE333" t="s">
        <v>1438</v>
      </c>
      <c r="FF333">
        <v>5</v>
      </c>
      <c r="FI333">
        <v>0</v>
      </c>
      <c r="FJ333" t="s">
        <v>7380</v>
      </c>
      <c r="FK333" t="s">
        <v>7381</v>
      </c>
      <c r="FL333">
        <v>1</v>
      </c>
      <c r="FM333" t="s">
        <v>6865</v>
      </c>
      <c r="FN333" t="s">
        <v>7382</v>
      </c>
      <c r="FO333">
        <v>1</v>
      </c>
      <c r="FP333" t="s">
        <v>7383</v>
      </c>
      <c r="FQ333" t="s">
        <v>7378</v>
      </c>
      <c r="FR333">
        <v>1</v>
      </c>
      <c r="FS333" t="s">
        <v>2872</v>
      </c>
      <c r="FT333" t="s">
        <v>7384</v>
      </c>
      <c r="FU333">
        <v>1</v>
      </c>
      <c r="FV333" t="s">
        <v>7385</v>
      </c>
      <c r="FW333" t="s">
        <v>7381</v>
      </c>
      <c r="FX333">
        <v>1</v>
      </c>
      <c r="FY333" t="s">
        <v>890</v>
      </c>
      <c r="FZ333" t="s">
        <v>7386</v>
      </c>
      <c r="GA333" t="s">
        <v>7380</v>
      </c>
      <c r="GB333">
        <v>1</v>
      </c>
      <c r="GD333">
        <v>0</v>
      </c>
      <c r="GF333">
        <v>0</v>
      </c>
      <c r="GG333">
        <v>1</v>
      </c>
      <c r="GH333" t="s">
        <v>892</v>
      </c>
      <c r="GI333" t="s">
        <v>893</v>
      </c>
      <c r="GJ333" t="s">
        <v>7381</v>
      </c>
      <c r="GM333">
        <v>1</v>
      </c>
      <c r="GN333">
        <v>1</v>
      </c>
      <c r="GO333">
        <v>0</v>
      </c>
      <c r="GP333">
        <v>1</v>
      </c>
      <c r="GQ333">
        <v>1</v>
      </c>
      <c r="GR333">
        <v>0</v>
      </c>
      <c r="GS333">
        <v>1</v>
      </c>
      <c r="GT333">
        <v>0</v>
      </c>
      <c r="GU333">
        <v>1</v>
      </c>
      <c r="GV333">
        <v>0</v>
      </c>
      <c r="GW333">
        <v>1</v>
      </c>
      <c r="GX333">
        <v>0</v>
      </c>
      <c r="GY333">
        <v>1</v>
      </c>
      <c r="GZ333">
        <v>0</v>
      </c>
      <c r="HA333" t="s">
        <v>342</v>
      </c>
      <c r="HB333" t="s">
        <v>894</v>
      </c>
      <c r="HC333" t="s">
        <v>935</v>
      </c>
      <c r="HD333" t="s">
        <v>845</v>
      </c>
      <c r="HE333" t="s">
        <v>900</v>
      </c>
      <c r="HF333" t="s">
        <v>1012</v>
      </c>
      <c r="HG333" t="s">
        <v>894</v>
      </c>
      <c r="HH333" t="s">
        <v>935</v>
      </c>
      <c r="HI333" t="s">
        <v>845</v>
      </c>
      <c r="HJ333" t="s">
        <v>900</v>
      </c>
      <c r="HK333" t="s">
        <v>1011</v>
      </c>
      <c r="HL333" t="s">
        <v>154</v>
      </c>
      <c r="HM333" t="s">
        <v>854</v>
      </c>
      <c r="HN333">
        <v>36805</v>
      </c>
      <c r="HP333" t="s">
        <v>134</v>
      </c>
      <c r="HQ333" t="s">
        <v>896</v>
      </c>
      <c r="HR333" t="s">
        <v>896</v>
      </c>
      <c r="HS333" t="s">
        <v>896</v>
      </c>
    </row>
    <row r="334" spans="1:227" x14ac:dyDescent="0.2">
      <c r="A334">
        <v>8702</v>
      </c>
      <c r="B334">
        <v>7529701179</v>
      </c>
      <c r="C334" t="s">
        <v>829</v>
      </c>
      <c r="D334" t="s">
        <v>830</v>
      </c>
      <c r="E334" t="s">
        <v>831</v>
      </c>
      <c r="F334">
        <v>0</v>
      </c>
      <c r="G334" t="s">
        <v>7387</v>
      </c>
      <c r="H334" t="s">
        <v>7387</v>
      </c>
      <c r="I334">
        <v>0</v>
      </c>
      <c r="J334" t="s">
        <v>833</v>
      </c>
      <c r="K334" t="s">
        <v>834</v>
      </c>
      <c r="L334">
        <v>152949084</v>
      </c>
      <c r="M334" t="s">
        <v>3422</v>
      </c>
      <c r="N334" t="s">
        <v>836</v>
      </c>
      <c r="O334" t="s">
        <v>837</v>
      </c>
      <c r="P334" t="s">
        <v>838</v>
      </c>
      <c r="Q334" t="s">
        <v>839</v>
      </c>
      <c r="R334" t="s">
        <v>7388</v>
      </c>
      <c r="S334" t="s">
        <v>7389</v>
      </c>
      <c r="T334">
        <v>41477075231</v>
      </c>
      <c r="V334" t="s">
        <v>121</v>
      </c>
      <c r="W334" s="41">
        <v>45955</v>
      </c>
      <c r="X334" t="s">
        <v>7390</v>
      </c>
      <c r="Y334" t="s">
        <v>7391</v>
      </c>
      <c r="AA334">
        <v>0</v>
      </c>
      <c r="AB334" t="s">
        <v>845</v>
      </c>
      <c r="AC334" t="s">
        <v>846</v>
      </c>
      <c r="AD334" t="s">
        <v>847</v>
      </c>
      <c r="AE334" t="s">
        <v>848</v>
      </c>
      <c r="AF334">
        <v>1</v>
      </c>
      <c r="AG334">
        <v>452210</v>
      </c>
      <c r="AH334" t="s">
        <v>849</v>
      </c>
      <c r="AI334" t="s">
        <v>850</v>
      </c>
      <c r="AJ334" t="s">
        <v>851</v>
      </c>
      <c r="AK334" t="s">
        <v>289</v>
      </c>
      <c r="AL334" t="s">
        <v>2443</v>
      </c>
      <c r="AM334" t="s">
        <v>3266</v>
      </c>
      <c r="AN334" t="s">
        <v>854</v>
      </c>
      <c r="AO334">
        <v>36805</v>
      </c>
      <c r="AP334">
        <v>495</v>
      </c>
      <c r="AQ334" t="s">
        <v>855</v>
      </c>
      <c r="AR334">
        <v>66173417</v>
      </c>
      <c r="AS334" t="s">
        <v>856</v>
      </c>
      <c r="AU334" t="s">
        <v>7392</v>
      </c>
      <c r="AV334" t="s">
        <v>7393</v>
      </c>
      <c r="AW334" t="s">
        <v>1149</v>
      </c>
      <c r="AX334" t="s">
        <v>1150</v>
      </c>
      <c r="AY334" t="s">
        <v>861</v>
      </c>
      <c r="AZ334" t="s">
        <v>289</v>
      </c>
      <c r="BA334" t="s">
        <v>290</v>
      </c>
      <c r="BB334">
        <v>0</v>
      </c>
      <c r="BC334">
        <v>0</v>
      </c>
      <c r="BD334">
        <v>1</v>
      </c>
      <c r="BE334" t="s">
        <v>3422</v>
      </c>
      <c r="BF334">
        <v>0</v>
      </c>
      <c r="BG334">
        <v>0</v>
      </c>
      <c r="BH334" t="s">
        <v>862</v>
      </c>
      <c r="BI334">
        <v>0</v>
      </c>
      <c r="BJ334" t="s">
        <v>862</v>
      </c>
      <c r="BK334">
        <v>1</v>
      </c>
      <c r="BL334">
        <v>0</v>
      </c>
      <c r="BM334">
        <v>0</v>
      </c>
      <c r="BN334" t="s">
        <v>596</v>
      </c>
      <c r="BO334">
        <v>152949084</v>
      </c>
      <c r="BP334" t="s">
        <v>7387</v>
      </c>
      <c r="BR334">
        <v>42789062</v>
      </c>
      <c r="BT334">
        <v>0</v>
      </c>
      <c r="CM334">
        <v>4010</v>
      </c>
      <c r="CO334">
        <v>7360</v>
      </c>
      <c r="CP334">
        <v>2.0333000000000001</v>
      </c>
      <c r="CQ334">
        <v>2.0333000000000001</v>
      </c>
      <c r="CR334">
        <v>1.9</v>
      </c>
      <c r="CS334">
        <v>0</v>
      </c>
      <c r="CT334" t="s">
        <v>7393</v>
      </c>
      <c r="CU334" t="s">
        <v>7392</v>
      </c>
      <c r="CV334" t="s">
        <v>833</v>
      </c>
      <c r="CW334" t="s">
        <v>834</v>
      </c>
      <c r="CX334" t="s">
        <v>3422</v>
      </c>
      <c r="CY334">
        <v>1</v>
      </c>
      <c r="CZ334">
        <v>1</v>
      </c>
      <c r="DA334" t="s">
        <v>833</v>
      </c>
      <c r="DB334" t="s">
        <v>865</v>
      </c>
      <c r="DC334">
        <v>63304</v>
      </c>
      <c r="DD334">
        <v>16.399999999999999</v>
      </c>
      <c r="DE334" t="s">
        <v>866</v>
      </c>
      <c r="DG334" t="s">
        <v>867</v>
      </c>
      <c r="DH334" t="s">
        <v>851</v>
      </c>
      <c r="DI334" t="s">
        <v>2828</v>
      </c>
      <c r="DJ334" t="s">
        <v>3429</v>
      </c>
      <c r="DL334" t="s">
        <v>869</v>
      </c>
      <c r="DM334">
        <v>0</v>
      </c>
      <c r="DN334">
        <v>0</v>
      </c>
      <c r="DO334">
        <v>48</v>
      </c>
      <c r="DP334" t="s">
        <v>3651</v>
      </c>
      <c r="DQ334">
        <v>16</v>
      </c>
      <c r="DR334">
        <v>984</v>
      </c>
      <c r="DS334">
        <v>1704</v>
      </c>
      <c r="DT334">
        <v>5.0167000000000002</v>
      </c>
      <c r="DU334">
        <v>4</v>
      </c>
      <c r="DW334">
        <v>2</v>
      </c>
      <c r="DX334" t="s">
        <v>594</v>
      </c>
      <c r="DY334" t="s">
        <v>3422</v>
      </c>
      <c r="DZ334">
        <v>0</v>
      </c>
      <c r="EA334">
        <v>0</v>
      </c>
      <c r="EB334">
        <v>0</v>
      </c>
      <c r="EC334">
        <v>0</v>
      </c>
      <c r="ED334">
        <v>0</v>
      </c>
      <c r="EE334">
        <v>0</v>
      </c>
      <c r="EF334" t="s">
        <v>920</v>
      </c>
      <c r="EG334" t="s">
        <v>595</v>
      </c>
      <c r="EH334" t="s">
        <v>872</v>
      </c>
      <c r="EI334" t="s">
        <v>872</v>
      </c>
      <c r="EJ334" t="s">
        <v>111</v>
      </c>
      <c r="EK334">
        <v>9090</v>
      </c>
      <c r="EL334">
        <v>1</v>
      </c>
      <c r="EM334" t="s">
        <v>1037</v>
      </c>
      <c r="EN334">
        <v>1.9</v>
      </c>
      <c r="EO334">
        <v>28.4</v>
      </c>
      <c r="EP334">
        <v>99991120</v>
      </c>
      <c r="EQ334" t="s">
        <v>874</v>
      </c>
      <c r="ER334" t="s">
        <v>875</v>
      </c>
      <c r="ES334" t="s">
        <v>876</v>
      </c>
      <c r="ET334" t="s">
        <v>877</v>
      </c>
      <c r="EU334" t="s">
        <v>877</v>
      </c>
      <c r="EV334" t="s">
        <v>920</v>
      </c>
      <c r="EX334" t="s">
        <v>900</v>
      </c>
      <c r="EY334" t="s">
        <v>923</v>
      </c>
      <c r="EZ334" t="s">
        <v>1038</v>
      </c>
      <c r="FA334" t="s">
        <v>925</v>
      </c>
      <c r="FB334">
        <v>1</v>
      </c>
      <c r="FC334">
        <v>3</v>
      </c>
      <c r="FD334" s="41">
        <v>45955</v>
      </c>
      <c r="FE334" t="s">
        <v>1039</v>
      </c>
      <c r="FF334">
        <v>12</v>
      </c>
      <c r="FG334" t="s">
        <v>7394</v>
      </c>
      <c r="FH334" t="s">
        <v>7395</v>
      </c>
      <c r="FI334">
        <v>1</v>
      </c>
      <c r="FJ334" t="s">
        <v>7394</v>
      </c>
      <c r="FK334" t="s">
        <v>7395</v>
      </c>
      <c r="FL334">
        <v>1</v>
      </c>
      <c r="FM334" t="s">
        <v>3430</v>
      </c>
      <c r="FN334" t="s">
        <v>7396</v>
      </c>
      <c r="FO334">
        <v>1</v>
      </c>
      <c r="FP334" t="s">
        <v>7397</v>
      </c>
      <c r="FQ334" t="s">
        <v>7398</v>
      </c>
      <c r="FR334">
        <v>1</v>
      </c>
      <c r="FS334" t="s">
        <v>1376</v>
      </c>
      <c r="FT334" t="s">
        <v>7399</v>
      </c>
      <c r="FU334">
        <v>1</v>
      </c>
      <c r="FV334" t="s">
        <v>7400</v>
      </c>
      <c r="FW334" t="s">
        <v>7401</v>
      </c>
      <c r="FX334">
        <v>1</v>
      </c>
      <c r="FY334" t="s">
        <v>890</v>
      </c>
      <c r="FZ334" t="s">
        <v>7402</v>
      </c>
      <c r="GA334" t="s">
        <v>7394</v>
      </c>
      <c r="GB334">
        <v>1</v>
      </c>
      <c r="GD334">
        <v>0</v>
      </c>
      <c r="GF334">
        <v>0</v>
      </c>
      <c r="GG334">
        <v>1</v>
      </c>
      <c r="GH334" t="s">
        <v>892</v>
      </c>
      <c r="GI334" t="s">
        <v>893</v>
      </c>
      <c r="GJ334" t="s">
        <v>7395</v>
      </c>
      <c r="GM334">
        <v>1</v>
      </c>
      <c r="GN334">
        <v>0</v>
      </c>
      <c r="GO334">
        <v>0</v>
      </c>
      <c r="GP334">
        <v>1</v>
      </c>
      <c r="GQ334">
        <v>1</v>
      </c>
      <c r="GR334">
        <v>0</v>
      </c>
      <c r="GS334">
        <v>1</v>
      </c>
      <c r="GT334">
        <v>0</v>
      </c>
      <c r="GU334">
        <v>1</v>
      </c>
      <c r="GV334">
        <v>0</v>
      </c>
      <c r="GW334">
        <v>1</v>
      </c>
      <c r="GX334">
        <v>0</v>
      </c>
      <c r="GY334">
        <v>1</v>
      </c>
      <c r="GZ334">
        <v>0</v>
      </c>
      <c r="HA334" t="s">
        <v>289</v>
      </c>
      <c r="HB334" t="s">
        <v>894</v>
      </c>
      <c r="HC334" t="s">
        <v>895</v>
      </c>
      <c r="HD334" t="s">
        <v>845</v>
      </c>
      <c r="HE334" t="s">
        <v>836</v>
      </c>
      <c r="HF334" t="s">
        <v>1051</v>
      </c>
      <c r="HG334" t="s">
        <v>894</v>
      </c>
      <c r="HH334" t="s">
        <v>895</v>
      </c>
      <c r="HI334" t="s">
        <v>845</v>
      </c>
      <c r="HJ334" t="s">
        <v>836</v>
      </c>
      <c r="HK334" t="s">
        <v>1037</v>
      </c>
      <c r="HL334" t="s">
        <v>121</v>
      </c>
      <c r="HM334" t="s">
        <v>854</v>
      </c>
      <c r="HN334">
        <v>36805</v>
      </c>
      <c r="HP334" t="s">
        <v>111</v>
      </c>
      <c r="HQ334" t="s">
        <v>896</v>
      </c>
      <c r="HR334" t="s">
        <v>896</v>
      </c>
      <c r="HS334" t="s">
        <v>896</v>
      </c>
    </row>
    <row r="335" spans="1:227" x14ac:dyDescent="0.2">
      <c r="A335">
        <v>8702</v>
      </c>
      <c r="B335">
        <v>7535501460</v>
      </c>
      <c r="C335" t="s">
        <v>936</v>
      </c>
      <c r="D335" t="s">
        <v>937</v>
      </c>
      <c r="E335" t="s">
        <v>897</v>
      </c>
      <c r="F335">
        <v>0</v>
      </c>
      <c r="G335" t="s">
        <v>7403</v>
      </c>
      <c r="H335" t="s">
        <v>7403</v>
      </c>
      <c r="I335">
        <v>0</v>
      </c>
      <c r="J335" t="s">
        <v>833</v>
      </c>
      <c r="K335" t="s">
        <v>834</v>
      </c>
      <c r="L335">
        <v>152946701</v>
      </c>
      <c r="M335" t="s">
        <v>3609</v>
      </c>
      <c r="N335" t="s">
        <v>900</v>
      </c>
      <c r="O335" t="s">
        <v>837</v>
      </c>
      <c r="P335" t="s">
        <v>940</v>
      </c>
      <c r="Q335" t="s">
        <v>1080</v>
      </c>
      <c r="R335" t="s">
        <v>7404</v>
      </c>
      <c r="S335" t="s">
        <v>7405</v>
      </c>
      <c r="T335">
        <v>41477085454</v>
      </c>
      <c r="V335" t="s">
        <v>200</v>
      </c>
      <c r="W335" s="41">
        <v>46012</v>
      </c>
      <c r="X335" t="s">
        <v>7406</v>
      </c>
      <c r="Y335" t="s">
        <v>7407</v>
      </c>
      <c r="AA335">
        <v>0</v>
      </c>
      <c r="AB335" t="s">
        <v>845</v>
      </c>
      <c r="AC335" t="s">
        <v>846</v>
      </c>
      <c r="AD335" t="s">
        <v>847</v>
      </c>
      <c r="AE335" t="s">
        <v>848</v>
      </c>
      <c r="AF335">
        <v>1</v>
      </c>
      <c r="AG335">
        <v>452210</v>
      </c>
      <c r="AH335" t="s">
        <v>849</v>
      </c>
      <c r="AI335" t="s">
        <v>850</v>
      </c>
      <c r="AJ335" t="s">
        <v>851</v>
      </c>
      <c r="AK335" t="s">
        <v>281</v>
      </c>
      <c r="AL335" t="s">
        <v>1407</v>
      </c>
      <c r="AM335" t="s">
        <v>3245</v>
      </c>
      <c r="AN335" t="s">
        <v>854</v>
      </c>
      <c r="AO335">
        <v>36805</v>
      </c>
      <c r="AP335">
        <v>642</v>
      </c>
      <c r="AQ335" t="s">
        <v>855</v>
      </c>
      <c r="AR335">
        <v>66254750</v>
      </c>
      <c r="AS335" t="s">
        <v>856</v>
      </c>
      <c r="AU335" t="s">
        <v>7408</v>
      </c>
      <c r="AV335" t="s">
        <v>7409</v>
      </c>
      <c r="AW335" t="s">
        <v>859</v>
      </c>
      <c r="AX335" t="s">
        <v>860</v>
      </c>
      <c r="AY335" t="s">
        <v>861</v>
      </c>
      <c r="AZ335" t="s">
        <v>281</v>
      </c>
      <c r="BA335" t="s">
        <v>282</v>
      </c>
      <c r="BB335">
        <v>0</v>
      </c>
      <c r="BC335">
        <v>0</v>
      </c>
      <c r="BD335">
        <v>0</v>
      </c>
      <c r="BE335" t="s">
        <v>3609</v>
      </c>
      <c r="BF335">
        <v>0</v>
      </c>
      <c r="BG335">
        <v>0</v>
      </c>
      <c r="BH335" t="s">
        <v>862</v>
      </c>
      <c r="BI335">
        <v>0</v>
      </c>
      <c r="BJ335" t="s">
        <v>862</v>
      </c>
      <c r="BK335">
        <v>1</v>
      </c>
      <c r="BL335">
        <v>0</v>
      </c>
      <c r="BM335">
        <v>0</v>
      </c>
      <c r="BN335" t="s">
        <v>596</v>
      </c>
      <c r="BO335">
        <v>152946701</v>
      </c>
      <c r="BP335" t="s">
        <v>7403</v>
      </c>
      <c r="BQ335">
        <v>42.397350199999998</v>
      </c>
      <c r="BR335">
        <v>42791773</v>
      </c>
      <c r="BS335">
        <v>-83.480324899999999</v>
      </c>
      <c r="BT335">
        <v>0</v>
      </c>
      <c r="CM335">
        <v>4010</v>
      </c>
      <c r="CO335">
        <v>7360</v>
      </c>
      <c r="CP335">
        <v>0.35</v>
      </c>
      <c r="CQ335">
        <v>0.35</v>
      </c>
      <c r="CR335">
        <v>0.51670000000000005</v>
      </c>
      <c r="CS335">
        <v>18</v>
      </c>
      <c r="CT335" t="s">
        <v>7409</v>
      </c>
      <c r="CU335" t="s">
        <v>7408</v>
      </c>
      <c r="CV335" t="s">
        <v>833</v>
      </c>
      <c r="CW335" t="s">
        <v>834</v>
      </c>
      <c r="CX335" t="s">
        <v>3609</v>
      </c>
      <c r="CY335">
        <v>0</v>
      </c>
      <c r="CZ335">
        <v>0</v>
      </c>
      <c r="DA335" t="s">
        <v>833</v>
      </c>
      <c r="DB335" t="s">
        <v>865</v>
      </c>
      <c r="DC335">
        <v>48168</v>
      </c>
      <c r="DD335">
        <v>0.2167</v>
      </c>
      <c r="DE335" t="s">
        <v>866</v>
      </c>
      <c r="DG335" t="s">
        <v>867</v>
      </c>
      <c r="DH335" t="s">
        <v>851</v>
      </c>
      <c r="DI335" t="s">
        <v>3616</v>
      </c>
      <c r="DL335" t="s">
        <v>869</v>
      </c>
      <c r="DM335">
        <v>0</v>
      </c>
      <c r="DN335">
        <v>0</v>
      </c>
      <c r="DO335">
        <v>53</v>
      </c>
      <c r="DP335" t="s">
        <v>1156</v>
      </c>
      <c r="DQ335">
        <v>16</v>
      </c>
      <c r="DR335">
        <v>13</v>
      </c>
      <c r="DS335">
        <v>625</v>
      </c>
      <c r="DT335">
        <v>0.2167</v>
      </c>
      <c r="DU335">
        <v>4</v>
      </c>
      <c r="DW335">
        <v>2</v>
      </c>
      <c r="DX335" t="s">
        <v>594</v>
      </c>
      <c r="DY335" t="s">
        <v>3609</v>
      </c>
      <c r="DZ335">
        <v>0</v>
      </c>
      <c r="EA335">
        <v>0</v>
      </c>
      <c r="EB335">
        <v>0</v>
      </c>
      <c r="EC335">
        <v>0</v>
      </c>
      <c r="ED335">
        <v>0</v>
      </c>
      <c r="EE335">
        <v>0</v>
      </c>
      <c r="EF335" t="s">
        <v>920</v>
      </c>
      <c r="EG335" t="s">
        <v>595</v>
      </c>
      <c r="EH335" t="s">
        <v>872</v>
      </c>
      <c r="EI335" t="s">
        <v>872</v>
      </c>
      <c r="EJ335" t="s">
        <v>178</v>
      </c>
      <c r="EK335">
        <v>9090</v>
      </c>
      <c r="EL335">
        <v>0</v>
      </c>
      <c r="EM335" t="s">
        <v>952</v>
      </c>
      <c r="EN335">
        <v>0.51670000000000005</v>
      </c>
      <c r="EO335">
        <v>10.416666599999999</v>
      </c>
      <c r="EP335">
        <v>99991120</v>
      </c>
      <c r="EQ335" t="s">
        <v>874</v>
      </c>
      <c r="ER335" t="s">
        <v>875</v>
      </c>
      <c r="ES335" t="s">
        <v>876</v>
      </c>
      <c r="ET335" t="s">
        <v>877</v>
      </c>
      <c r="EU335" t="s">
        <v>877</v>
      </c>
      <c r="EV335" t="s">
        <v>920</v>
      </c>
      <c r="EX335" t="s">
        <v>953</v>
      </c>
      <c r="EY335" t="s">
        <v>954</v>
      </c>
      <c r="EZ335" t="s">
        <v>955</v>
      </c>
      <c r="FA335" t="s">
        <v>956</v>
      </c>
      <c r="FB335">
        <v>1</v>
      </c>
      <c r="FC335">
        <v>1</v>
      </c>
      <c r="FD335" s="41">
        <v>46018</v>
      </c>
      <c r="FE335" t="s">
        <v>957</v>
      </c>
      <c r="FF335">
        <v>7</v>
      </c>
      <c r="FG335" t="s">
        <v>7410</v>
      </c>
      <c r="FH335" t="s">
        <v>7411</v>
      </c>
      <c r="FI335">
        <v>1</v>
      </c>
      <c r="FJ335" t="s">
        <v>7412</v>
      </c>
      <c r="FK335" t="s">
        <v>7411</v>
      </c>
      <c r="FL335">
        <v>1</v>
      </c>
      <c r="FM335" t="s">
        <v>3621</v>
      </c>
      <c r="FN335" t="s">
        <v>7413</v>
      </c>
      <c r="FO335">
        <v>1</v>
      </c>
      <c r="FP335" t="s">
        <v>7414</v>
      </c>
      <c r="FQ335" t="s">
        <v>7415</v>
      </c>
      <c r="FR335">
        <v>1</v>
      </c>
      <c r="FS335" t="s">
        <v>2196</v>
      </c>
      <c r="FT335" t="s">
        <v>7416</v>
      </c>
      <c r="FU335">
        <v>1</v>
      </c>
      <c r="FV335" t="s">
        <v>2701</v>
      </c>
      <c r="FW335" t="s">
        <v>7417</v>
      </c>
      <c r="FX335">
        <v>1</v>
      </c>
      <c r="FY335" t="s">
        <v>890</v>
      </c>
      <c r="FZ335" t="s">
        <v>7418</v>
      </c>
      <c r="GA335" t="s">
        <v>7412</v>
      </c>
      <c r="GB335">
        <v>1</v>
      </c>
      <c r="GD335">
        <v>0</v>
      </c>
      <c r="GF335">
        <v>0</v>
      </c>
      <c r="GG335">
        <v>1</v>
      </c>
      <c r="GH335" t="s">
        <v>892</v>
      </c>
      <c r="GI335" t="s">
        <v>893</v>
      </c>
      <c r="GJ335" t="s">
        <v>7411</v>
      </c>
      <c r="GM335">
        <v>1</v>
      </c>
      <c r="GN335">
        <v>1</v>
      </c>
      <c r="GO335">
        <v>0</v>
      </c>
      <c r="GP335">
        <v>1</v>
      </c>
      <c r="GQ335">
        <v>1</v>
      </c>
      <c r="GR335">
        <v>0</v>
      </c>
      <c r="GS335">
        <v>1</v>
      </c>
      <c r="GT335">
        <v>0</v>
      </c>
      <c r="GU335">
        <v>1</v>
      </c>
      <c r="GV335">
        <v>0</v>
      </c>
      <c r="GW335">
        <v>1</v>
      </c>
      <c r="GX335">
        <v>0</v>
      </c>
      <c r="GY335">
        <v>1</v>
      </c>
      <c r="GZ335">
        <v>0</v>
      </c>
      <c r="HA335" t="s">
        <v>281</v>
      </c>
      <c r="HB335" t="s">
        <v>894</v>
      </c>
      <c r="HC335" t="s">
        <v>935</v>
      </c>
      <c r="HD335" t="s">
        <v>845</v>
      </c>
      <c r="HE335" t="s">
        <v>900</v>
      </c>
      <c r="HF335" t="s">
        <v>923</v>
      </c>
      <c r="HG335" t="s">
        <v>894</v>
      </c>
      <c r="HH335" t="s">
        <v>935</v>
      </c>
      <c r="HI335" t="s">
        <v>845</v>
      </c>
      <c r="HJ335" t="s">
        <v>900</v>
      </c>
      <c r="HK335" t="s">
        <v>952</v>
      </c>
      <c r="HL335" t="s">
        <v>200</v>
      </c>
      <c r="HM335" t="s">
        <v>854</v>
      </c>
      <c r="HN335">
        <v>36805</v>
      </c>
      <c r="HP335" t="s">
        <v>178</v>
      </c>
      <c r="HQ335" t="s">
        <v>896</v>
      </c>
      <c r="HR335" t="s">
        <v>896</v>
      </c>
      <c r="HS335" t="s">
        <v>896</v>
      </c>
    </row>
    <row r="336" spans="1:227" x14ac:dyDescent="0.2">
      <c r="A336">
        <v>8702</v>
      </c>
      <c r="B336">
        <v>7523604375</v>
      </c>
      <c r="C336" t="s">
        <v>829</v>
      </c>
      <c r="D336" t="s">
        <v>830</v>
      </c>
      <c r="E336" t="s">
        <v>897</v>
      </c>
      <c r="F336">
        <v>0</v>
      </c>
      <c r="G336" t="s">
        <v>7419</v>
      </c>
      <c r="H336" t="s">
        <v>7419</v>
      </c>
      <c r="I336">
        <v>0</v>
      </c>
      <c r="J336" t="s">
        <v>833</v>
      </c>
      <c r="K336" t="s">
        <v>834</v>
      </c>
      <c r="L336">
        <v>153402695</v>
      </c>
      <c r="M336" t="s">
        <v>7420</v>
      </c>
      <c r="N336" t="s">
        <v>900</v>
      </c>
      <c r="O336" t="s">
        <v>837</v>
      </c>
      <c r="P336" t="s">
        <v>838</v>
      </c>
      <c r="Q336" t="s">
        <v>1251</v>
      </c>
      <c r="R336" t="s">
        <v>7421</v>
      </c>
      <c r="S336" t="s">
        <v>7422</v>
      </c>
      <c r="T336">
        <v>41477125636</v>
      </c>
      <c r="V336" t="s">
        <v>225</v>
      </c>
      <c r="W336" s="41">
        <v>45893</v>
      </c>
      <c r="X336" t="s">
        <v>7423</v>
      </c>
      <c r="Y336" t="s">
        <v>7424</v>
      </c>
      <c r="AA336">
        <v>0</v>
      </c>
      <c r="AB336" t="s">
        <v>845</v>
      </c>
      <c r="AC336" t="s">
        <v>846</v>
      </c>
      <c r="AD336" t="s">
        <v>847</v>
      </c>
      <c r="AE336" t="s">
        <v>848</v>
      </c>
      <c r="AF336">
        <v>1</v>
      </c>
      <c r="AG336">
        <v>452210</v>
      </c>
      <c r="AH336" t="s">
        <v>849</v>
      </c>
      <c r="AI336" t="s">
        <v>850</v>
      </c>
      <c r="AJ336" t="s">
        <v>851</v>
      </c>
      <c r="AK336" t="s">
        <v>468</v>
      </c>
      <c r="AL336" t="s">
        <v>7425</v>
      </c>
      <c r="AM336" t="s">
        <v>6384</v>
      </c>
      <c r="AN336" t="s">
        <v>854</v>
      </c>
      <c r="AO336">
        <v>36805</v>
      </c>
      <c r="AP336">
        <v>919</v>
      </c>
      <c r="AQ336" t="s">
        <v>855</v>
      </c>
      <c r="AR336">
        <v>66084217</v>
      </c>
      <c r="AS336" t="s">
        <v>856</v>
      </c>
      <c r="AU336" t="s">
        <v>7426</v>
      </c>
      <c r="AV336" t="s">
        <v>7427</v>
      </c>
      <c r="AX336" t="s">
        <v>913</v>
      </c>
      <c r="AY336" t="s">
        <v>861</v>
      </c>
      <c r="AZ336" t="s">
        <v>468</v>
      </c>
      <c r="BA336" t="s">
        <v>469</v>
      </c>
      <c r="BB336">
        <v>0</v>
      </c>
      <c r="BC336">
        <v>0</v>
      </c>
      <c r="BD336">
        <v>0</v>
      </c>
      <c r="BE336" t="s">
        <v>7420</v>
      </c>
      <c r="BF336">
        <v>0</v>
      </c>
      <c r="BG336">
        <v>0</v>
      </c>
      <c r="BH336" t="s">
        <v>862</v>
      </c>
      <c r="BI336">
        <v>0</v>
      </c>
      <c r="BJ336" t="s">
        <v>862</v>
      </c>
      <c r="BK336">
        <v>1</v>
      </c>
      <c r="BL336">
        <v>1</v>
      </c>
      <c r="BM336">
        <v>0</v>
      </c>
      <c r="BN336" t="s">
        <v>596</v>
      </c>
      <c r="BO336">
        <v>153402695</v>
      </c>
      <c r="BP336" t="s">
        <v>7419</v>
      </c>
      <c r="BR336">
        <v>42793643</v>
      </c>
      <c r="BT336">
        <v>0</v>
      </c>
      <c r="CM336">
        <v>4010</v>
      </c>
      <c r="CO336">
        <v>7360</v>
      </c>
      <c r="CP336">
        <v>0.26669999999999999</v>
      </c>
      <c r="CQ336">
        <v>0.26669999999999999</v>
      </c>
      <c r="CR336">
        <v>0.15</v>
      </c>
      <c r="CS336">
        <v>123</v>
      </c>
      <c r="CT336" t="s">
        <v>7428</v>
      </c>
      <c r="CU336" t="s">
        <v>7429</v>
      </c>
      <c r="CV336" t="s">
        <v>833</v>
      </c>
      <c r="CW336" t="s">
        <v>834</v>
      </c>
      <c r="CX336" t="s">
        <v>7420</v>
      </c>
      <c r="CY336">
        <v>0</v>
      </c>
      <c r="CZ336">
        <v>0</v>
      </c>
      <c r="DA336" t="s">
        <v>833</v>
      </c>
      <c r="DB336" t="s">
        <v>865</v>
      </c>
      <c r="DC336">
        <v>43235</v>
      </c>
      <c r="DD336">
        <v>5.8167</v>
      </c>
      <c r="DE336" t="s">
        <v>866</v>
      </c>
      <c r="DG336" t="s">
        <v>867</v>
      </c>
      <c r="DH336" t="s">
        <v>851</v>
      </c>
      <c r="DI336" t="s">
        <v>1154</v>
      </c>
      <c r="DL336" t="s">
        <v>869</v>
      </c>
      <c r="DM336">
        <v>0</v>
      </c>
      <c r="DN336">
        <v>0</v>
      </c>
      <c r="DO336">
        <v>3</v>
      </c>
      <c r="DP336" t="s">
        <v>919</v>
      </c>
      <c r="DQ336">
        <v>16</v>
      </c>
      <c r="DR336">
        <v>349</v>
      </c>
      <c r="DS336">
        <v>349</v>
      </c>
      <c r="DT336">
        <v>5.55</v>
      </c>
      <c r="DU336">
        <v>4</v>
      </c>
      <c r="DW336">
        <v>2</v>
      </c>
      <c r="DX336" t="s">
        <v>596</v>
      </c>
      <c r="DY336" t="s">
        <v>7420</v>
      </c>
      <c r="DZ336">
        <v>1</v>
      </c>
      <c r="EA336">
        <v>1</v>
      </c>
      <c r="EB336">
        <v>1</v>
      </c>
      <c r="EC336">
        <v>0</v>
      </c>
      <c r="ED336">
        <v>0</v>
      </c>
      <c r="EE336">
        <v>1</v>
      </c>
      <c r="EF336" t="s">
        <v>920</v>
      </c>
      <c r="EG336" t="s">
        <v>595</v>
      </c>
      <c r="EH336" t="s">
        <v>921</v>
      </c>
      <c r="EI336" t="s">
        <v>921</v>
      </c>
      <c r="EJ336" t="s">
        <v>226</v>
      </c>
      <c r="EK336">
        <v>9090</v>
      </c>
      <c r="EL336">
        <v>0</v>
      </c>
      <c r="EM336" t="s">
        <v>1157</v>
      </c>
      <c r="EN336">
        <v>0.15</v>
      </c>
      <c r="EO336">
        <v>5.8166665999999996</v>
      </c>
      <c r="EP336">
        <v>99991120</v>
      </c>
      <c r="EQ336" t="s">
        <v>874</v>
      </c>
      <c r="ER336" t="s">
        <v>875</v>
      </c>
      <c r="ES336" t="s">
        <v>876</v>
      </c>
      <c r="ET336" t="s">
        <v>877</v>
      </c>
      <c r="EU336" t="s">
        <v>877</v>
      </c>
      <c r="EV336" t="s">
        <v>920</v>
      </c>
      <c r="EX336" t="s">
        <v>953</v>
      </c>
      <c r="EY336" t="s">
        <v>986</v>
      </c>
      <c r="EZ336" t="s">
        <v>1158</v>
      </c>
      <c r="FA336" t="s">
        <v>925</v>
      </c>
      <c r="FB336">
        <v>1</v>
      </c>
      <c r="FC336">
        <v>1</v>
      </c>
      <c r="FD336" s="41">
        <v>45899</v>
      </c>
      <c r="FE336" t="s">
        <v>987</v>
      </c>
      <c r="FF336">
        <v>4</v>
      </c>
      <c r="FI336">
        <v>0</v>
      </c>
      <c r="FL336">
        <v>0</v>
      </c>
      <c r="FM336" t="s">
        <v>7430</v>
      </c>
      <c r="FN336" t="s">
        <v>7431</v>
      </c>
      <c r="FO336">
        <v>1</v>
      </c>
      <c r="FP336" t="s">
        <v>7432</v>
      </c>
      <c r="FQ336" t="s">
        <v>7429</v>
      </c>
      <c r="FR336">
        <v>1</v>
      </c>
      <c r="FS336" t="s">
        <v>7433</v>
      </c>
      <c r="FT336" t="s">
        <v>7434</v>
      </c>
      <c r="FU336">
        <v>1</v>
      </c>
      <c r="FV336" t="s">
        <v>7435</v>
      </c>
      <c r="FW336" t="s">
        <v>7436</v>
      </c>
      <c r="FX336">
        <v>1</v>
      </c>
      <c r="FY336" t="s">
        <v>890</v>
      </c>
      <c r="FZ336" t="s">
        <v>7437</v>
      </c>
      <c r="GA336" t="s">
        <v>7435</v>
      </c>
      <c r="GB336">
        <v>1</v>
      </c>
      <c r="GD336">
        <v>0</v>
      </c>
      <c r="GF336">
        <v>0</v>
      </c>
      <c r="GG336">
        <v>1</v>
      </c>
      <c r="GH336" t="s">
        <v>892</v>
      </c>
      <c r="GI336" t="s">
        <v>893</v>
      </c>
      <c r="GJ336" t="s">
        <v>7436</v>
      </c>
      <c r="GM336">
        <v>1</v>
      </c>
      <c r="GN336">
        <v>1</v>
      </c>
      <c r="GO336">
        <v>0</v>
      </c>
      <c r="GP336">
        <v>1</v>
      </c>
      <c r="GQ336">
        <v>1</v>
      </c>
      <c r="GR336">
        <v>0</v>
      </c>
      <c r="GS336">
        <v>1</v>
      </c>
      <c r="GT336">
        <v>0</v>
      </c>
      <c r="GU336">
        <v>1</v>
      </c>
      <c r="GV336">
        <v>0</v>
      </c>
      <c r="GW336">
        <v>1</v>
      </c>
      <c r="GX336">
        <v>0</v>
      </c>
      <c r="GY336">
        <v>1</v>
      </c>
      <c r="GZ336">
        <v>0</v>
      </c>
      <c r="HA336" t="s">
        <v>468</v>
      </c>
      <c r="HB336" t="s">
        <v>894</v>
      </c>
      <c r="HC336" t="s">
        <v>935</v>
      </c>
      <c r="HD336" t="s">
        <v>845</v>
      </c>
      <c r="HE336" t="s">
        <v>900</v>
      </c>
      <c r="HF336" t="s">
        <v>923</v>
      </c>
      <c r="HG336" t="s">
        <v>894</v>
      </c>
      <c r="HH336" t="s">
        <v>935</v>
      </c>
      <c r="HI336" t="s">
        <v>845</v>
      </c>
      <c r="HJ336" t="s">
        <v>900</v>
      </c>
      <c r="HK336" t="s">
        <v>922</v>
      </c>
      <c r="HL336" t="s">
        <v>225</v>
      </c>
      <c r="HM336" t="s">
        <v>854</v>
      </c>
      <c r="HN336">
        <v>36805</v>
      </c>
      <c r="HP336" t="s">
        <v>226</v>
      </c>
      <c r="HQ336" t="s">
        <v>896</v>
      </c>
      <c r="HR336" t="s">
        <v>896</v>
      </c>
      <c r="HS336" t="s">
        <v>896</v>
      </c>
    </row>
    <row r="337" spans="1:227" x14ac:dyDescent="0.2">
      <c r="A337">
        <v>8702</v>
      </c>
      <c r="B337">
        <v>7601201482</v>
      </c>
      <c r="C337" t="s">
        <v>829</v>
      </c>
      <c r="D337" t="s">
        <v>830</v>
      </c>
      <c r="E337" t="s">
        <v>831</v>
      </c>
      <c r="F337">
        <v>1</v>
      </c>
      <c r="G337" t="s">
        <v>7438</v>
      </c>
      <c r="H337" t="s">
        <v>7438</v>
      </c>
      <c r="I337">
        <v>0</v>
      </c>
      <c r="J337" t="s">
        <v>833</v>
      </c>
      <c r="K337" t="s">
        <v>834</v>
      </c>
      <c r="L337">
        <v>153406569</v>
      </c>
      <c r="M337" t="s">
        <v>1358</v>
      </c>
      <c r="N337" t="s">
        <v>836</v>
      </c>
      <c r="O337" t="s">
        <v>837</v>
      </c>
      <c r="P337" t="s">
        <v>838</v>
      </c>
      <c r="Q337" t="s">
        <v>839</v>
      </c>
      <c r="R337" t="s">
        <v>7439</v>
      </c>
      <c r="S337" t="s">
        <v>7440</v>
      </c>
      <c r="T337">
        <v>30300105488</v>
      </c>
      <c r="V337" t="s">
        <v>117</v>
      </c>
      <c r="W337" s="41">
        <v>46035</v>
      </c>
      <c r="X337" t="s">
        <v>7441</v>
      </c>
      <c r="Y337" t="s">
        <v>7442</v>
      </c>
      <c r="Z337">
        <v>1</v>
      </c>
      <c r="AA337">
        <v>0</v>
      </c>
      <c r="AB337" t="s">
        <v>845</v>
      </c>
      <c r="AC337" t="s">
        <v>846</v>
      </c>
      <c r="AD337" t="s">
        <v>847</v>
      </c>
      <c r="AE337" t="s">
        <v>848</v>
      </c>
      <c r="AF337">
        <v>1</v>
      </c>
      <c r="AG337">
        <v>452210</v>
      </c>
      <c r="AH337" t="s">
        <v>849</v>
      </c>
      <c r="AI337" t="s">
        <v>850</v>
      </c>
      <c r="AJ337" t="s">
        <v>851</v>
      </c>
      <c r="AK337" t="s">
        <v>273</v>
      </c>
      <c r="AL337" t="s">
        <v>2846</v>
      </c>
      <c r="AM337" t="s">
        <v>1364</v>
      </c>
      <c r="AN337" t="s">
        <v>854</v>
      </c>
      <c r="AO337">
        <v>36805</v>
      </c>
      <c r="AP337">
        <v>493</v>
      </c>
      <c r="AQ337" t="s">
        <v>855</v>
      </c>
      <c r="AR337">
        <v>66288034</v>
      </c>
      <c r="AS337" t="s">
        <v>856</v>
      </c>
      <c r="AU337" t="s">
        <v>7443</v>
      </c>
      <c r="AV337" t="s">
        <v>7444</v>
      </c>
      <c r="AX337" t="s">
        <v>913</v>
      </c>
      <c r="AY337" t="s">
        <v>861</v>
      </c>
      <c r="AZ337" t="s">
        <v>273</v>
      </c>
      <c r="BA337" t="s">
        <v>274</v>
      </c>
      <c r="BB337">
        <v>0</v>
      </c>
      <c r="BC337">
        <v>0</v>
      </c>
      <c r="BD337">
        <v>1</v>
      </c>
      <c r="BE337" t="s">
        <v>1358</v>
      </c>
      <c r="BF337">
        <v>0</v>
      </c>
      <c r="BG337">
        <v>0</v>
      </c>
      <c r="BH337" t="s">
        <v>862</v>
      </c>
      <c r="BI337">
        <v>0</v>
      </c>
      <c r="BJ337" t="s">
        <v>862</v>
      </c>
      <c r="BK337">
        <v>1</v>
      </c>
      <c r="BL337">
        <v>1</v>
      </c>
      <c r="BM337">
        <v>0</v>
      </c>
      <c r="BN337" t="s">
        <v>596</v>
      </c>
      <c r="BO337">
        <v>153406569</v>
      </c>
      <c r="BP337" t="s">
        <v>7438</v>
      </c>
      <c r="BR337">
        <v>42789054</v>
      </c>
      <c r="BT337">
        <v>2</v>
      </c>
      <c r="BU337" t="s">
        <v>1367</v>
      </c>
      <c r="CE337">
        <v>1</v>
      </c>
      <c r="CI337">
        <v>11</v>
      </c>
      <c r="CJ337" t="s">
        <v>94</v>
      </c>
      <c r="CM337">
        <v>4010</v>
      </c>
      <c r="CO337">
        <v>7360</v>
      </c>
      <c r="CP337">
        <v>0.8</v>
      </c>
      <c r="CQ337">
        <v>0.8</v>
      </c>
      <c r="CR337">
        <v>1.6167</v>
      </c>
      <c r="CS337">
        <v>12</v>
      </c>
      <c r="CT337" t="s">
        <v>7445</v>
      </c>
      <c r="CU337" t="s">
        <v>7446</v>
      </c>
      <c r="CV337" t="s">
        <v>833</v>
      </c>
      <c r="CW337" t="s">
        <v>834</v>
      </c>
      <c r="CX337" t="s">
        <v>1358</v>
      </c>
      <c r="CY337">
        <v>1</v>
      </c>
      <c r="CZ337">
        <v>1</v>
      </c>
      <c r="DA337" t="s">
        <v>833</v>
      </c>
      <c r="DB337" t="s">
        <v>865</v>
      </c>
      <c r="DC337">
        <v>63368</v>
      </c>
      <c r="DD337">
        <v>5.5</v>
      </c>
      <c r="DE337" t="s">
        <v>866</v>
      </c>
      <c r="DG337" t="s">
        <v>867</v>
      </c>
      <c r="DH337" t="s">
        <v>851</v>
      </c>
      <c r="DK337" t="s">
        <v>918</v>
      </c>
      <c r="DL337" t="s">
        <v>869</v>
      </c>
      <c r="DM337">
        <v>0</v>
      </c>
      <c r="DN337">
        <v>0</v>
      </c>
      <c r="DO337">
        <v>11</v>
      </c>
      <c r="DP337" t="s">
        <v>1010</v>
      </c>
      <c r="DQ337">
        <v>12</v>
      </c>
      <c r="DR337">
        <v>330</v>
      </c>
      <c r="DS337">
        <v>1050</v>
      </c>
      <c r="DT337">
        <v>4.7</v>
      </c>
      <c r="DU337">
        <v>4</v>
      </c>
      <c r="DV337">
        <v>1</v>
      </c>
      <c r="DW337">
        <v>1</v>
      </c>
      <c r="DX337" t="s">
        <v>596</v>
      </c>
      <c r="DY337" t="s">
        <v>1358</v>
      </c>
      <c r="DZ337">
        <v>1</v>
      </c>
      <c r="EA337">
        <v>1</v>
      </c>
      <c r="EB337">
        <v>1</v>
      </c>
      <c r="EC337">
        <v>0</v>
      </c>
      <c r="ED337">
        <v>0</v>
      </c>
      <c r="EE337">
        <v>1</v>
      </c>
      <c r="EF337" t="s">
        <v>920</v>
      </c>
      <c r="EG337" t="s">
        <v>595</v>
      </c>
      <c r="EH337" t="s">
        <v>1036</v>
      </c>
      <c r="EI337" t="s">
        <v>1036</v>
      </c>
      <c r="EJ337" t="s">
        <v>111</v>
      </c>
      <c r="EK337">
        <v>9090</v>
      </c>
      <c r="EL337">
        <v>0</v>
      </c>
      <c r="EM337" t="s">
        <v>1037</v>
      </c>
      <c r="EN337">
        <v>1.6167</v>
      </c>
      <c r="EO337">
        <v>17.5</v>
      </c>
      <c r="EP337">
        <v>99991120</v>
      </c>
      <c r="EQ337" t="s">
        <v>874</v>
      </c>
      <c r="ER337" t="s">
        <v>875</v>
      </c>
      <c r="ES337" t="s">
        <v>876</v>
      </c>
      <c r="ET337" t="s">
        <v>877</v>
      </c>
      <c r="EU337" t="s">
        <v>877</v>
      </c>
      <c r="EV337" t="s">
        <v>920</v>
      </c>
      <c r="EX337" t="s">
        <v>900</v>
      </c>
      <c r="EY337" t="s">
        <v>923</v>
      </c>
      <c r="EZ337" t="s">
        <v>1038</v>
      </c>
      <c r="FA337" t="s">
        <v>925</v>
      </c>
      <c r="FB337">
        <v>1</v>
      </c>
      <c r="FC337">
        <v>1</v>
      </c>
      <c r="FD337" s="41">
        <v>46039</v>
      </c>
      <c r="FE337" t="s">
        <v>1370</v>
      </c>
      <c r="FF337">
        <v>9</v>
      </c>
      <c r="FG337" t="s">
        <v>7447</v>
      </c>
      <c r="FH337" t="s">
        <v>7448</v>
      </c>
      <c r="FI337">
        <v>1</v>
      </c>
      <c r="FJ337" t="s">
        <v>7449</v>
      </c>
      <c r="FK337" t="s">
        <v>7450</v>
      </c>
      <c r="FL337">
        <v>1</v>
      </c>
      <c r="FM337" t="s">
        <v>7451</v>
      </c>
      <c r="FN337" t="s">
        <v>7452</v>
      </c>
      <c r="FO337">
        <v>1</v>
      </c>
      <c r="FP337" t="s">
        <v>7453</v>
      </c>
      <c r="FQ337" t="s">
        <v>7454</v>
      </c>
      <c r="FR337">
        <v>1</v>
      </c>
      <c r="FS337" t="s">
        <v>1100</v>
      </c>
      <c r="FT337" t="s">
        <v>7455</v>
      </c>
      <c r="FU337">
        <v>1</v>
      </c>
      <c r="FV337" t="s">
        <v>1102</v>
      </c>
      <c r="FW337" t="s">
        <v>7456</v>
      </c>
      <c r="FX337">
        <v>1</v>
      </c>
      <c r="FY337" t="s">
        <v>890</v>
      </c>
      <c r="FZ337" t="s">
        <v>7457</v>
      </c>
      <c r="GA337" t="s">
        <v>7447</v>
      </c>
      <c r="GB337">
        <v>1</v>
      </c>
      <c r="GD337">
        <v>0</v>
      </c>
      <c r="GF337">
        <v>0</v>
      </c>
      <c r="GG337">
        <v>1</v>
      </c>
      <c r="GH337" t="s">
        <v>892</v>
      </c>
      <c r="GI337" t="s">
        <v>893</v>
      </c>
      <c r="GJ337" t="s">
        <v>7448</v>
      </c>
      <c r="GM337">
        <v>1</v>
      </c>
      <c r="GN337">
        <v>1</v>
      </c>
      <c r="GO337">
        <v>0</v>
      </c>
      <c r="GP337">
        <v>1</v>
      </c>
      <c r="GQ337">
        <v>1</v>
      </c>
      <c r="GR337">
        <v>0</v>
      </c>
      <c r="GS337">
        <v>1</v>
      </c>
      <c r="GT337">
        <v>0</v>
      </c>
      <c r="GU337">
        <v>1</v>
      </c>
      <c r="GV337">
        <v>0</v>
      </c>
      <c r="GW337">
        <v>1</v>
      </c>
      <c r="GX337">
        <v>0</v>
      </c>
      <c r="GY337">
        <v>1</v>
      </c>
      <c r="GZ337">
        <v>0</v>
      </c>
      <c r="HA337" t="s">
        <v>273</v>
      </c>
      <c r="HB337" t="s">
        <v>894</v>
      </c>
      <c r="HC337" t="s">
        <v>895</v>
      </c>
      <c r="HD337" t="s">
        <v>845</v>
      </c>
      <c r="HE337" t="s">
        <v>836</v>
      </c>
      <c r="HF337" t="s">
        <v>1051</v>
      </c>
      <c r="HG337" t="s">
        <v>894</v>
      </c>
      <c r="HH337" t="s">
        <v>895</v>
      </c>
      <c r="HI337" t="s">
        <v>845</v>
      </c>
      <c r="HJ337" t="s">
        <v>836</v>
      </c>
      <c r="HK337" t="s">
        <v>1037</v>
      </c>
      <c r="HL337" t="s">
        <v>117</v>
      </c>
      <c r="HM337" t="s">
        <v>854</v>
      </c>
      <c r="HN337">
        <v>36805</v>
      </c>
      <c r="HP337" t="s">
        <v>111</v>
      </c>
      <c r="HQ337" t="s">
        <v>896</v>
      </c>
      <c r="HR337" t="s">
        <v>896</v>
      </c>
      <c r="HS337" t="s">
        <v>896</v>
      </c>
    </row>
    <row r="338" spans="1:227" x14ac:dyDescent="0.2">
      <c r="A338">
        <v>8702</v>
      </c>
      <c r="B338">
        <v>7524403906</v>
      </c>
      <c r="C338">
        <v>34</v>
      </c>
      <c r="D338" t="s">
        <v>996</v>
      </c>
      <c r="E338" t="s">
        <v>831</v>
      </c>
      <c r="F338">
        <v>0</v>
      </c>
      <c r="G338" t="s">
        <v>7458</v>
      </c>
      <c r="H338" t="s">
        <v>7458</v>
      </c>
      <c r="I338">
        <v>0</v>
      </c>
      <c r="J338" t="s">
        <v>833</v>
      </c>
      <c r="K338" t="s">
        <v>834</v>
      </c>
      <c r="L338">
        <v>153406551</v>
      </c>
      <c r="M338" t="s">
        <v>5561</v>
      </c>
      <c r="N338" t="s">
        <v>836</v>
      </c>
      <c r="O338" t="s">
        <v>837</v>
      </c>
      <c r="P338" t="s">
        <v>999</v>
      </c>
      <c r="Q338" t="s">
        <v>1027</v>
      </c>
      <c r="R338" t="s">
        <v>7459</v>
      </c>
      <c r="S338" t="s">
        <v>7460</v>
      </c>
      <c r="T338">
        <v>30300134878</v>
      </c>
      <c r="V338" t="s">
        <v>165</v>
      </c>
      <c r="W338" s="41">
        <v>45903</v>
      </c>
      <c r="X338" t="s">
        <v>7461</v>
      </c>
      <c r="Y338" t="s">
        <v>7462</v>
      </c>
      <c r="AA338">
        <v>0</v>
      </c>
      <c r="AB338" t="s">
        <v>845</v>
      </c>
      <c r="AC338" t="s">
        <v>846</v>
      </c>
      <c r="AD338" t="s">
        <v>847</v>
      </c>
      <c r="AE338" t="s">
        <v>848</v>
      </c>
      <c r="AF338">
        <v>1</v>
      </c>
      <c r="AG338">
        <v>452210</v>
      </c>
      <c r="AH338" t="s">
        <v>849</v>
      </c>
      <c r="AI338" t="s">
        <v>850</v>
      </c>
      <c r="AJ338" t="s">
        <v>851</v>
      </c>
      <c r="AK338" t="s">
        <v>285</v>
      </c>
      <c r="AL338" t="s">
        <v>1667</v>
      </c>
      <c r="AM338" t="s">
        <v>1499</v>
      </c>
      <c r="AN338" t="s">
        <v>854</v>
      </c>
      <c r="AO338">
        <v>36805</v>
      </c>
      <c r="AP338">
        <v>544</v>
      </c>
      <c r="AQ338" t="s">
        <v>855</v>
      </c>
      <c r="AR338">
        <v>66098310</v>
      </c>
      <c r="AS338" t="s">
        <v>856</v>
      </c>
      <c r="AU338" t="s">
        <v>7463</v>
      </c>
      <c r="AV338" t="s">
        <v>7464</v>
      </c>
      <c r="AX338" t="s">
        <v>913</v>
      </c>
      <c r="AY338" t="s">
        <v>861</v>
      </c>
      <c r="AZ338" t="s">
        <v>285</v>
      </c>
      <c r="BA338" t="s">
        <v>286</v>
      </c>
      <c r="BB338">
        <v>0</v>
      </c>
      <c r="BC338">
        <v>0</v>
      </c>
      <c r="BD338">
        <v>0</v>
      </c>
      <c r="BE338" t="s">
        <v>5561</v>
      </c>
      <c r="BF338">
        <v>0</v>
      </c>
      <c r="BG338">
        <v>0</v>
      </c>
      <c r="BH338" t="s">
        <v>862</v>
      </c>
      <c r="BI338">
        <v>0</v>
      </c>
      <c r="BJ338" t="s">
        <v>862</v>
      </c>
      <c r="BK338">
        <v>1</v>
      </c>
      <c r="BL338">
        <v>1</v>
      </c>
      <c r="BM338">
        <v>0</v>
      </c>
      <c r="BN338" t="s">
        <v>596</v>
      </c>
      <c r="BO338">
        <v>153406551</v>
      </c>
      <c r="BP338" t="s">
        <v>7458</v>
      </c>
      <c r="BR338">
        <v>42791459</v>
      </c>
      <c r="BT338">
        <v>0</v>
      </c>
      <c r="CM338">
        <v>4010</v>
      </c>
      <c r="CO338">
        <v>7360</v>
      </c>
      <c r="CP338">
        <v>0.43330000000000002</v>
      </c>
      <c r="CQ338">
        <v>0.43330000000000002</v>
      </c>
      <c r="CR338">
        <v>1.67E-2</v>
      </c>
      <c r="CS338">
        <v>0</v>
      </c>
      <c r="CT338" t="s">
        <v>7465</v>
      </c>
      <c r="CU338" t="s">
        <v>7466</v>
      </c>
      <c r="CV338" t="s">
        <v>833</v>
      </c>
      <c r="CW338" t="s">
        <v>834</v>
      </c>
      <c r="CX338" t="s">
        <v>5561</v>
      </c>
      <c r="CY338">
        <v>0</v>
      </c>
      <c r="CZ338">
        <v>0</v>
      </c>
      <c r="DA338" t="s">
        <v>833</v>
      </c>
      <c r="DB338" t="s">
        <v>865</v>
      </c>
      <c r="DC338">
        <v>55378</v>
      </c>
      <c r="DD338">
        <v>30.5</v>
      </c>
      <c r="DE338" t="s">
        <v>866</v>
      </c>
      <c r="DG338" t="s">
        <v>867</v>
      </c>
      <c r="DH338" t="s">
        <v>851</v>
      </c>
      <c r="DL338" t="s">
        <v>869</v>
      </c>
      <c r="DM338">
        <v>0</v>
      </c>
      <c r="DN338">
        <v>0</v>
      </c>
      <c r="DO338">
        <v>2</v>
      </c>
      <c r="DP338" t="s">
        <v>870</v>
      </c>
      <c r="DQ338">
        <v>16</v>
      </c>
      <c r="DR338">
        <v>1830</v>
      </c>
      <c r="DS338">
        <v>3294</v>
      </c>
      <c r="DT338">
        <v>12</v>
      </c>
      <c r="DU338">
        <v>4</v>
      </c>
      <c r="DW338">
        <v>2</v>
      </c>
      <c r="DX338" t="s">
        <v>596</v>
      </c>
      <c r="DY338" t="s">
        <v>5561</v>
      </c>
      <c r="DZ338">
        <v>0</v>
      </c>
      <c r="EA338">
        <v>0</v>
      </c>
      <c r="EB338">
        <v>1</v>
      </c>
      <c r="EC338">
        <v>0</v>
      </c>
      <c r="ED338">
        <v>0</v>
      </c>
      <c r="EE338">
        <v>1</v>
      </c>
      <c r="EF338" t="s">
        <v>871</v>
      </c>
      <c r="EG338" t="s">
        <v>595</v>
      </c>
      <c r="EH338" t="s">
        <v>921</v>
      </c>
      <c r="EI338" t="s">
        <v>921</v>
      </c>
      <c r="EJ338" t="s">
        <v>159</v>
      </c>
      <c r="EK338">
        <v>9090</v>
      </c>
      <c r="EL338">
        <v>1</v>
      </c>
      <c r="EM338" t="s">
        <v>873</v>
      </c>
      <c r="EN338">
        <v>0.93330000000000002</v>
      </c>
      <c r="EO338">
        <v>54.9</v>
      </c>
      <c r="EP338">
        <v>99991120</v>
      </c>
      <c r="EQ338" t="s">
        <v>874</v>
      </c>
      <c r="ER338" t="s">
        <v>875</v>
      </c>
      <c r="ES338" t="s">
        <v>876</v>
      </c>
      <c r="ET338" t="s">
        <v>877</v>
      </c>
      <c r="EU338" t="s">
        <v>877</v>
      </c>
      <c r="EV338" t="s">
        <v>871</v>
      </c>
      <c r="EX338" t="s">
        <v>836</v>
      </c>
      <c r="EY338" t="s">
        <v>1121</v>
      </c>
      <c r="EZ338" t="s">
        <v>1122</v>
      </c>
      <c r="FA338" t="s">
        <v>956</v>
      </c>
      <c r="FB338">
        <v>1</v>
      </c>
      <c r="FC338">
        <v>2</v>
      </c>
      <c r="FD338" s="41">
        <v>45906</v>
      </c>
      <c r="FE338" t="s">
        <v>880</v>
      </c>
      <c r="FF338">
        <v>9</v>
      </c>
      <c r="FG338" t="s">
        <v>1672</v>
      </c>
      <c r="FH338" t="s">
        <v>7467</v>
      </c>
      <c r="FI338">
        <v>1</v>
      </c>
      <c r="FJ338" t="s">
        <v>1674</v>
      </c>
      <c r="FK338" t="s">
        <v>7467</v>
      </c>
      <c r="FL338">
        <v>1</v>
      </c>
      <c r="FM338" t="s">
        <v>7468</v>
      </c>
      <c r="FN338" t="s">
        <v>7469</v>
      </c>
      <c r="FO338">
        <v>1</v>
      </c>
      <c r="FP338" t="s">
        <v>5441</v>
      </c>
      <c r="FQ338" t="s">
        <v>7466</v>
      </c>
      <c r="FR338">
        <v>1</v>
      </c>
      <c r="FS338" t="s">
        <v>1396</v>
      </c>
      <c r="FT338" t="s">
        <v>7470</v>
      </c>
      <c r="FU338">
        <v>1</v>
      </c>
      <c r="FV338" t="s">
        <v>7471</v>
      </c>
      <c r="FW338" t="s">
        <v>7472</v>
      </c>
      <c r="FX338">
        <v>1</v>
      </c>
      <c r="FY338" t="s">
        <v>890</v>
      </c>
      <c r="FZ338" t="s">
        <v>7473</v>
      </c>
      <c r="GA338" t="s">
        <v>1674</v>
      </c>
      <c r="GB338">
        <v>1</v>
      </c>
      <c r="GD338">
        <v>0</v>
      </c>
      <c r="GF338">
        <v>0</v>
      </c>
      <c r="GG338">
        <v>1</v>
      </c>
      <c r="GH338" t="s">
        <v>892</v>
      </c>
      <c r="GI338" t="s">
        <v>893</v>
      </c>
      <c r="GJ338" t="s">
        <v>7467</v>
      </c>
      <c r="GM338">
        <v>1</v>
      </c>
      <c r="GN338">
        <v>0</v>
      </c>
      <c r="GO338">
        <v>0</v>
      </c>
      <c r="GP338">
        <v>1</v>
      </c>
      <c r="GQ338">
        <v>1</v>
      </c>
      <c r="GR338">
        <v>0</v>
      </c>
      <c r="GS338">
        <v>1</v>
      </c>
      <c r="GT338">
        <v>1</v>
      </c>
      <c r="GU338">
        <v>1</v>
      </c>
      <c r="GV338">
        <v>0</v>
      </c>
      <c r="GW338">
        <v>1</v>
      </c>
      <c r="GX338">
        <v>0</v>
      </c>
      <c r="GY338">
        <v>1</v>
      </c>
      <c r="GZ338">
        <v>0</v>
      </c>
      <c r="HA338" t="s">
        <v>285</v>
      </c>
      <c r="HB338" t="s">
        <v>894</v>
      </c>
      <c r="HC338" t="s">
        <v>895</v>
      </c>
      <c r="HD338" t="s">
        <v>845</v>
      </c>
      <c r="HE338" t="s">
        <v>836</v>
      </c>
      <c r="HF338" t="s">
        <v>873</v>
      </c>
      <c r="HG338" t="s">
        <v>894</v>
      </c>
      <c r="HH338" t="s">
        <v>895</v>
      </c>
      <c r="HI338" t="s">
        <v>845</v>
      </c>
      <c r="HJ338" t="s">
        <v>836</v>
      </c>
      <c r="HK338" t="s">
        <v>873</v>
      </c>
      <c r="HL338" t="s">
        <v>165</v>
      </c>
      <c r="HM338" t="s">
        <v>854</v>
      </c>
      <c r="HN338">
        <v>36805</v>
      </c>
      <c r="HP338" t="s">
        <v>159</v>
      </c>
      <c r="HQ338" t="s">
        <v>896</v>
      </c>
      <c r="HR338" t="s">
        <v>896</v>
      </c>
      <c r="HS338" t="s">
        <v>896</v>
      </c>
    </row>
    <row r="339" spans="1:227" x14ac:dyDescent="0.2">
      <c r="A339">
        <v>8702</v>
      </c>
      <c r="B339">
        <v>7605404772</v>
      </c>
      <c r="C339">
        <v>34</v>
      </c>
      <c r="D339" t="s">
        <v>996</v>
      </c>
      <c r="E339" t="s">
        <v>831</v>
      </c>
      <c r="F339">
        <v>0</v>
      </c>
      <c r="G339" t="s">
        <v>7474</v>
      </c>
      <c r="H339" t="s">
        <v>7474</v>
      </c>
      <c r="I339">
        <v>0</v>
      </c>
      <c r="J339" t="s">
        <v>833</v>
      </c>
      <c r="K339" t="s">
        <v>834</v>
      </c>
      <c r="L339">
        <v>156586319</v>
      </c>
      <c r="M339" t="s">
        <v>1706</v>
      </c>
      <c r="N339" t="s">
        <v>836</v>
      </c>
      <c r="O339" t="s">
        <v>837</v>
      </c>
      <c r="P339" t="s">
        <v>999</v>
      </c>
      <c r="Q339" t="s">
        <v>1027</v>
      </c>
      <c r="R339" t="s">
        <v>7475</v>
      </c>
      <c r="S339" t="s">
        <v>7476</v>
      </c>
      <c r="T339">
        <v>30300127006</v>
      </c>
      <c r="V339" t="s">
        <v>196</v>
      </c>
      <c r="W339" s="41">
        <v>46076</v>
      </c>
      <c r="X339" t="s">
        <v>7477</v>
      </c>
      <c r="Y339" t="s">
        <v>7478</v>
      </c>
      <c r="AA339">
        <v>0</v>
      </c>
      <c r="AB339" t="s">
        <v>845</v>
      </c>
      <c r="AC339" t="s">
        <v>846</v>
      </c>
      <c r="AD339" t="s">
        <v>1113</v>
      </c>
      <c r="AE339" t="s">
        <v>1114</v>
      </c>
      <c r="AF339">
        <v>1</v>
      </c>
      <c r="AG339">
        <v>452210</v>
      </c>
      <c r="AH339" t="s">
        <v>849</v>
      </c>
      <c r="AI339" t="s">
        <v>850</v>
      </c>
      <c r="AJ339" t="s">
        <v>851</v>
      </c>
      <c r="AK339" t="s">
        <v>255</v>
      </c>
      <c r="AL339" t="s">
        <v>2605</v>
      </c>
      <c r="AM339" t="s">
        <v>1712</v>
      </c>
      <c r="AN339" t="s">
        <v>854</v>
      </c>
      <c r="AO339">
        <v>36805</v>
      </c>
      <c r="AP339">
        <v>639</v>
      </c>
      <c r="AQ339" t="s">
        <v>855</v>
      </c>
      <c r="AR339">
        <v>66347305</v>
      </c>
      <c r="AS339" t="s">
        <v>856</v>
      </c>
      <c r="AU339" t="s">
        <v>7479</v>
      </c>
      <c r="AV339" t="s">
        <v>7480</v>
      </c>
      <c r="AX339" t="s">
        <v>913</v>
      </c>
      <c r="AY339" t="s">
        <v>861</v>
      </c>
      <c r="AZ339" t="s">
        <v>255</v>
      </c>
      <c r="BA339" t="s">
        <v>256</v>
      </c>
      <c r="BB339">
        <v>0</v>
      </c>
      <c r="BC339">
        <v>0</v>
      </c>
      <c r="BD339">
        <v>0</v>
      </c>
      <c r="BE339" t="s">
        <v>1706</v>
      </c>
      <c r="BF339">
        <v>0</v>
      </c>
      <c r="BG339">
        <v>0</v>
      </c>
      <c r="BH339" t="s">
        <v>862</v>
      </c>
      <c r="BI339">
        <v>0</v>
      </c>
      <c r="BJ339" t="s">
        <v>862</v>
      </c>
      <c r="BK339">
        <v>1</v>
      </c>
      <c r="BL339">
        <v>1</v>
      </c>
      <c r="BM339">
        <v>0</v>
      </c>
      <c r="BN339" t="s">
        <v>596</v>
      </c>
      <c r="BO339">
        <v>156586319</v>
      </c>
      <c r="BP339" t="s">
        <v>7474</v>
      </c>
      <c r="BR339">
        <v>42791771</v>
      </c>
      <c r="BT339">
        <v>2</v>
      </c>
      <c r="BU339" t="s">
        <v>1780</v>
      </c>
      <c r="CE339">
        <v>1</v>
      </c>
      <c r="CI339">
        <v>11</v>
      </c>
      <c r="CJ339" t="s">
        <v>94</v>
      </c>
      <c r="CM339">
        <v>4010</v>
      </c>
      <c r="CO339">
        <v>7360</v>
      </c>
      <c r="CP339">
        <v>0.2167</v>
      </c>
      <c r="CQ339">
        <v>0.2167</v>
      </c>
      <c r="CR339">
        <v>1.67E-2</v>
      </c>
      <c r="CS339">
        <v>4</v>
      </c>
      <c r="CT339" t="s">
        <v>7480</v>
      </c>
      <c r="CU339" t="s">
        <v>7479</v>
      </c>
      <c r="CV339" t="s">
        <v>833</v>
      </c>
      <c r="CW339" t="s">
        <v>834</v>
      </c>
      <c r="CX339" t="s">
        <v>1706</v>
      </c>
      <c r="CY339">
        <v>0</v>
      </c>
      <c r="CZ339">
        <v>0</v>
      </c>
      <c r="DA339" t="s">
        <v>833</v>
      </c>
      <c r="DB339" t="s">
        <v>865</v>
      </c>
      <c r="DC339">
        <v>60134</v>
      </c>
      <c r="DD339">
        <v>4.4000000000000004</v>
      </c>
      <c r="DE339" t="s">
        <v>866</v>
      </c>
      <c r="DG339" t="s">
        <v>867</v>
      </c>
      <c r="DH339" t="s">
        <v>851</v>
      </c>
      <c r="DJ339" t="s">
        <v>1718</v>
      </c>
      <c r="DK339" t="s">
        <v>918</v>
      </c>
      <c r="DL339" t="s">
        <v>869</v>
      </c>
      <c r="DM339">
        <v>0</v>
      </c>
      <c r="DN339">
        <v>0</v>
      </c>
      <c r="DO339">
        <v>2</v>
      </c>
      <c r="DP339" t="s">
        <v>870</v>
      </c>
      <c r="DQ339">
        <v>0</v>
      </c>
      <c r="DR339">
        <v>264</v>
      </c>
      <c r="DS339">
        <v>264</v>
      </c>
      <c r="DT339">
        <v>4.1833</v>
      </c>
      <c r="DU339">
        <v>0</v>
      </c>
      <c r="DV339">
        <v>1</v>
      </c>
      <c r="DW339">
        <v>1</v>
      </c>
      <c r="DX339" t="s">
        <v>596</v>
      </c>
      <c r="DY339" t="s">
        <v>1706</v>
      </c>
      <c r="DZ339">
        <v>1</v>
      </c>
      <c r="EA339">
        <v>1</v>
      </c>
      <c r="EB339">
        <v>1</v>
      </c>
      <c r="EC339">
        <v>1</v>
      </c>
      <c r="ED339">
        <v>1</v>
      </c>
      <c r="EE339">
        <v>1</v>
      </c>
      <c r="EF339" t="s">
        <v>871</v>
      </c>
      <c r="EG339" t="s">
        <v>595</v>
      </c>
      <c r="EH339" t="s">
        <v>1036</v>
      </c>
      <c r="EI339" t="s">
        <v>1036</v>
      </c>
      <c r="EJ339" t="s">
        <v>181</v>
      </c>
      <c r="EK339">
        <v>9090</v>
      </c>
      <c r="EL339">
        <v>0</v>
      </c>
      <c r="EM339" t="s">
        <v>1436</v>
      </c>
      <c r="EN339">
        <v>1.67E-2</v>
      </c>
      <c r="EO339">
        <v>4.4000000000000004</v>
      </c>
      <c r="EP339">
        <v>99991120</v>
      </c>
      <c r="EQ339" t="s">
        <v>874</v>
      </c>
      <c r="ER339" t="s">
        <v>875</v>
      </c>
      <c r="ES339" t="s">
        <v>876</v>
      </c>
      <c r="ET339" t="s">
        <v>877</v>
      </c>
      <c r="EU339" t="s">
        <v>877</v>
      </c>
      <c r="EV339" t="s">
        <v>871</v>
      </c>
      <c r="EX339" t="s">
        <v>836</v>
      </c>
      <c r="EY339" t="s">
        <v>873</v>
      </c>
      <c r="EZ339" t="s">
        <v>1437</v>
      </c>
      <c r="FA339" t="s">
        <v>956</v>
      </c>
      <c r="FB339">
        <v>1</v>
      </c>
      <c r="FC339">
        <v>1</v>
      </c>
      <c r="FD339" s="41">
        <v>46081</v>
      </c>
      <c r="FE339" t="s">
        <v>1267</v>
      </c>
      <c r="FF339">
        <v>7</v>
      </c>
      <c r="FG339" t="s">
        <v>2610</v>
      </c>
      <c r="FH339" t="s">
        <v>7481</v>
      </c>
      <c r="FI339">
        <v>1</v>
      </c>
      <c r="FJ339" t="s">
        <v>7482</v>
      </c>
      <c r="FK339" t="s">
        <v>7483</v>
      </c>
      <c r="FL339">
        <v>1</v>
      </c>
      <c r="FM339" t="s">
        <v>1720</v>
      </c>
      <c r="FN339" t="s">
        <v>7484</v>
      </c>
      <c r="FO339">
        <v>1</v>
      </c>
      <c r="FP339" t="s">
        <v>7485</v>
      </c>
      <c r="FQ339" t="s">
        <v>7486</v>
      </c>
      <c r="FR339">
        <v>1</v>
      </c>
      <c r="FS339" t="s">
        <v>2736</v>
      </c>
      <c r="FT339" t="s">
        <v>7487</v>
      </c>
      <c r="FU339">
        <v>1</v>
      </c>
      <c r="FV339" t="s">
        <v>2738</v>
      </c>
      <c r="FW339" t="s">
        <v>7488</v>
      </c>
      <c r="FX339">
        <v>1</v>
      </c>
      <c r="FY339" t="s">
        <v>890</v>
      </c>
      <c r="FZ339" t="s">
        <v>7489</v>
      </c>
      <c r="GA339" t="s">
        <v>7482</v>
      </c>
      <c r="GB339">
        <v>1</v>
      </c>
      <c r="GD339">
        <v>0</v>
      </c>
      <c r="GF339">
        <v>0</v>
      </c>
      <c r="GG339">
        <v>1</v>
      </c>
      <c r="GH339" t="s">
        <v>892</v>
      </c>
      <c r="GI339" t="s">
        <v>893</v>
      </c>
      <c r="GJ339" t="s">
        <v>7483</v>
      </c>
      <c r="GM339">
        <v>1</v>
      </c>
      <c r="GN339">
        <v>1</v>
      </c>
      <c r="GO339">
        <v>0</v>
      </c>
      <c r="GP339">
        <v>1</v>
      </c>
      <c r="GQ339">
        <v>1</v>
      </c>
      <c r="GR339">
        <v>0</v>
      </c>
      <c r="GS339">
        <v>1</v>
      </c>
      <c r="GT339">
        <v>0</v>
      </c>
      <c r="GU339">
        <v>1</v>
      </c>
      <c r="GV339">
        <v>0</v>
      </c>
      <c r="GW339">
        <v>1</v>
      </c>
      <c r="GX339">
        <v>0</v>
      </c>
      <c r="GY339">
        <v>1</v>
      </c>
      <c r="GZ339">
        <v>0</v>
      </c>
      <c r="HA339" t="s">
        <v>255</v>
      </c>
      <c r="HB339" t="s">
        <v>894</v>
      </c>
      <c r="HC339" t="s">
        <v>895</v>
      </c>
      <c r="HD339" t="s">
        <v>845</v>
      </c>
      <c r="HE339" t="s">
        <v>836</v>
      </c>
      <c r="HF339" t="s">
        <v>873</v>
      </c>
      <c r="HG339" t="s">
        <v>894</v>
      </c>
      <c r="HH339" t="s">
        <v>895</v>
      </c>
      <c r="HI339" t="s">
        <v>845</v>
      </c>
      <c r="HJ339" t="s">
        <v>836</v>
      </c>
      <c r="HK339" t="s">
        <v>1436</v>
      </c>
      <c r="HL339" t="s">
        <v>196</v>
      </c>
      <c r="HM339" t="s">
        <v>854</v>
      </c>
      <c r="HN339">
        <v>36805</v>
      </c>
      <c r="HP339" t="s">
        <v>181</v>
      </c>
      <c r="HQ339" t="s">
        <v>896</v>
      </c>
      <c r="HR339" t="s">
        <v>896</v>
      </c>
      <c r="HS339" t="s">
        <v>896</v>
      </c>
    </row>
    <row r="340" spans="1:227" x14ac:dyDescent="0.2">
      <c r="A340">
        <v>8702</v>
      </c>
      <c r="B340">
        <v>7608305451</v>
      </c>
      <c r="C340" t="s">
        <v>829</v>
      </c>
      <c r="D340" t="s">
        <v>830</v>
      </c>
      <c r="E340" t="s">
        <v>897</v>
      </c>
      <c r="F340">
        <v>0</v>
      </c>
      <c r="G340" t="s">
        <v>7490</v>
      </c>
      <c r="H340" t="s">
        <v>7490</v>
      </c>
      <c r="I340">
        <v>0</v>
      </c>
      <c r="J340" t="s">
        <v>833</v>
      </c>
      <c r="K340" t="s">
        <v>834</v>
      </c>
      <c r="L340">
        <v>153195500</v>
      </c>
      <c r="M340" t="s">
        <v>2225</v>
      </c>
      <c r="N340" t="s">
        <v>900</v>
      </c>
      <c r="O340" t="s">
        <v>837</v>
      </c>
      <c r="P340" t="s">
        <v>838</v>
      </c>
      <c r="Q340" t="s">
        <v>839</v>
      </c>
      <c r="R340" t="s">
        <v>7491</v>
      </c>
      <c r="S340" t="s">
        <v>7492</v>
      </c>
      <c r="T340">
        <v>41477066624</v>
      </c>
      <c r="V340" t="s">
        <v>133</v>
      </c>
      <c r="W340" s="41">
        <v>46105</v>
      </c>
      <c r="X340" t="s">
        <v>7493</v>
      </c>
      <c r="Y340" t="s">
        <v>7494</v>
      </c>
      <c r="AA340">
        <v>0</v>
      </c>
      <c r="AB340" t="s">
        <v>845</v>
      </c>
      <c r="AC340" t="s">
        <v>846</v>
      </c>
      <c r="AD340" t="s">
        <v>1113</v>
      </c>
      <c r="AE340" t="s">
        <v>1114</v>
      </c>
      <c r="AF340">
        <v>1</v>
      </c>
      <c r="AG340">
        <v>452210</v>
      </c>
      <c r="AH340" t="s">
        <v>849</v>
      </c>
      <c r="AI340" t="s">
        <v>850</v>
      </c>
      <c r="AJ340" t="s">
        <v>851</v>
      </c>
      <c r="AK340" t="s">
        <v>307</v>
      </c>
      <c r="AL340" t="s">
        <v>2207</v>
      </c>
      <c r="AM340" t="s">
        <v>1182</v>
      </c>
      <c r="AN340" t="s">
        <v>854</v>
      </c>
      <c r="AO340">
        <v>36805</v>
      </c>
      <c r="AP340">
        <v>526</v>
      </c>
      <c r="AQ340" t="s">
        <v>855</v>
      </c>
      <c r="AR340">
        <v>66389411</v>
      </c>
      <c r="AS340" t="s">
        <v>856</v>
      </c>
      <c r="AU340" t="s">
        <v>7495</v>
      </c>
      <c r="AV340" t="s">
        <v>7496</v>
      </c>
      <c r="AW340" t="s">
        <v>1261</v>
      </c>
      <c r="AX340" t="s">
        <v>1262</v>
      </c>
      <c r="AY340" t="s">
        <v>861</v>
      </c>
      <c r="AZ340" t="s">
        <v>307</v>
      </c>
      <c r="BA340" t="s">
        <v>308</v>
      </c>
      <c r="BB340">
        <v>0</v>
      </c>
      <c r="BC340">
        <v>0</v>
      </c>
      <c r="BD340">
        <v>0</v>
      </c>
      <c r="BE340" t="s">
        <v>2225</v>
      </c>
      <c r="BF340">
        <v>0</v>
      </c>
      <c r="BG340">
        <v>0</v>
      </c>
      <c r="BH340" t="s">
        <v>862</v>
      </c>
      <c r="BI340">
        <v>0</v>
      </c>
      <c r="BJ340" t="s">
        <v>862</v>
      </c>
      <c r="BK340">
        <v>1</v>
      </c>
      <c r="BL340">
        <v>0</v>
      </c>
      <c r="BM340">
        <v>0</v>
      </c>
      <c r="BN340" t="s">
        <v>596</v>
      </c>
      <c r="BO340">
        <v>153195500</v>
      </c>
      <c r="BP340" t="s">
        <v>7490</v>
      </c>
      <c r="BQ340">
        <v>39.913160400000002</v>
      </c>
      <c r="BR340">
        <v>42791437</v>
      </c>
      <c r="BS340">
        <v>-86.202280400000006</v>
      </c>
      <c r="BT340">
        <v>2</v>
      </c>
      <c r="BU340" t="s">
        <v>1715</v>
      </c>
      <c r="BY340">
        <v>16</v>
      </c>
      <c r="CA340">
        <v>6</v>
      </c>
      <c r="CE340">
        <v>1</v>
      </c>
      <c r="CI340">
        <v>11</v>
      </c>
      <c r="CJ340" t="s">
        <v>94</v>
      </c>
      <c r="CM340">
        <v>4010</v>
      </c>
      <c r="CO340">
        <v>7360</v>
      </c>
      <c r="CP340">
        <v>0.56669999999999998</v>
      </c>
      <c r="CQ340">
        <v>0.56669999999999998</v>
      </c>
      <c r="CR340">
        <v>0.41670000000000001</v>
      </c>
      <c r="CS340">
        <v>109</v>
      </c>
      <c r="CT340" t="s">
        <v>7497</v>
      </c>
      <c r="CU340" t="s">
        <v>7498</v>
      </c>
      <c r="CV340" t="s">
        <v>833</v>
      </c>
      <c r="CW340" t="s">
        <v>834</v>
      </c>
      <c r="CX340" t="s">
        <v>2225</v>
      </c>
      <c r="CY340">
        <v>0</v>
      </c>
      <c r="CZ340">
        <v>0</v>
      </c>
      <c r="DA340" t="s">
        <v>833</v>
      </c>
      <c r="DB340" t="s">
        <v>865</v>
      </c>
      <c r="DC340">
        <v>46260</v>
      </c>
      <c r="DD340">
        <v>5.55</v>
      </c>
      <c r="DE340" t="s">
        <v>866</v>
      </c>
      <c r="DG340" t="s">
        <v>867</v>
      </c>
      <c r="DH340" t="s">
        <v>851</v>
      </c>
      <c r="DI340" t="s">
        <v>1554</v>
      </c>
      <c r="DK340" t="s">
        <v>918</v>
      </c>
      <c r="DL340" t="s">
        <v>869</v>
      </c>
      <c r="DM340">
        <v>0</v>
      </c>
      <c r="DN340">
        <v>0</v>
      </c>
      <c r="DO340">
        <v>3</v>
      </c>
      <c r="DP340" t="s">
        <v>919</v>
      </c>
      <c r="DQ340">
        <v>0</v>
      </c>
      <c r="DR340">
        <v>333</v>
      </c>
      <c r="DS340">
        <v>333</v>
      </c>
      <c r="DT340">
        <v>4.9832999999999998</v>
      </c>
      <c r="DU340">
        <v>0</v>
      </c>
      <c r="DV340">
        <v>1</v>
      </c>
      <c r="DW340">
        <v>2</v>
      </c>
      <c r="DX340" t="s">
        <v>594</v>
      </c>
      <c r="DY340" t="s">
        <v>2225</v>
      </c>
      <c r="DZ340">
        <v>1</v>
      </c>
      <c r="EA340">
        <v>1</v>
      </c>
      <c r="EB340">
        <v>1</v>
      </c>
      <c r="EC340">
        <v>1</v>
      </c>
      <c r="ED340">
        <v>1</v>
      </c>
      <c r="EE340">
        <v>1</v>
      </c>
      <c r="EF340" t="s">
        <v>920</v>
      </c>
      <c r="EG340" t="s">
        <v>595</v>
      </c>
      <c r="EH340" t="s">
        <v>872</v>
      </c>
      <c r="EI340" t="s">
        <v>872</v>
      </c>
      <c r="EJ340" t="s">
        <v>134</v>
      </c>
      <c r="EK340">
        <v>9090</v>
      </c>
      <c r="EL340">
        <v>0</v>
      </c>
      <c r="EM340" t="s">
        <v>1011</v>
      </c>
      <c r="EN340">
        <v>0.41670000000000001</v>
      </c>
      <c r="EO340">
        <v>5.55</v>
      </c>
      <c r="EP340">
        <v>99991120</v>
      </c>
      <c r="EQ340" t="s">
        <v>874</v>
      </c>
      <c r="ER340" t="s">
        <v>875</v>
      </c>
      <c r="ES340" t="s">
        <v>876</v>
      </c>
      <c r="ET340" t="s">
        <v>877</v>
      </c>
      <c r="EU340" t="s">
        <v>877</v>
      </c>
      <c r="EV340" t="s">
        <v>920</v>
      </c>
      <c r="EX340" t="s">
        <v>953</v>
      </c>
      <c r="EY340" t="s">
        <v>1555</v>
      </c>
      <c r="EZ340" t="s">
        <v>1013</v>
      </c>
      <c r="FA340" t="s">
        <v>925</v>
      </c>
      <c r="FB340">
        <v>1</v>
      </c>
      <c r="FC340">
        <v>1</v>
      </c>
      <c r="FD340" s="41">
        <v>46109</v>
      </c>
      <c r="FE340" t="s">
        <v>1719</v>
      </c>
      <c r="FF340">
        <v>5</v>
      </c>
      <c r="FI340">
        <v>0</v>
      </c>
      <c r="FJ340" t="s">
        <v>7499</v>
      </c>
      <c r="FK340" t="s">
        <v>7500</v>
      </c>
      <c r="FL340">
        <v>1</v>
      </c>
      <c r="FM340" t="s">
        <v>7501</v>
      </c>
      <c r="FN340" t="s">
        <v>7502</v>
      </c>
      <c r="FO340">
        <v>1</v>
      </c>
      <c r="FP340" t="s">
        <v>7503</v>
      </c>
      <c r="FQ340" t="s">
        <v>7498</v>
      </c>
      <c r="FR340">
        <v>1</v>
      </c>
      <c r="FS340" t="s">
        <v>2417</v>
      </c>
      <c r="FT340" t="s">
        <v>7504</v>
      </c>
      <c r="FU340">
        <v>1</v>
      </c>
      <c r="FV340" t="s">
        <v>7505</v>
      </c>
      <c r="FW340" t="s">
        <v>7500</v>
      </c>
      <c r="FX340">
        <v>1</v>
      </c>
      <c r="FY340" t="s">
        <v>890</v>
      </c>
      <c r="FZ340" t="s">
        <v>7506</v>
      </c>
      <c r="GA340" t="s">
        <v>7499</v>
      </c>
      <c r="GB340">
        <v>1</v>
      </c>
      <c r="GD340">
        <v>0</v>
      </c>
      <c r="GF340">
        <v>0</v>
      </c>
      <c r="GG340">
        <v>1</v>
      </c>
      <c r="GH340" t="s">
        <v>892</v>
      </c>
      <c r="GI340" t="s">
        <v>893</v>
      </c>
      <c r="GJ340" t="s">
        <v>7500</v>
      </c>
      <c r="GM340">
        <v>1</v>
      </c>
      <c r="GN340">
        <v>1</v>
      </c>
      <c r="GO340">
        <v>0</v>
      </c>
      <c r="GP340">
        <v>1</v>
      </c>
      <c r="GQ340">
        <v>1</v>
      </c>
      <c r="GR340">
        <v>0</v>
      </c>
      <c r="GS340">
        <v>1</v>
      </c>
      <c r="GT340">
        <v>0</v>
      </c>
      <c r="GU340">
        <v>1</v>
      </c>
      <c r="GV340">
        <v>0</v>
      </c>
      <c r="GW340">
        <v>1</v>
      </c>
      <c r="GX340">
        <v>0</v>
      </c>
      <c r="GY340">
        <v>1</v>
      </c>
      <c r="GZ340">
        <v>0</v>
      </c>
      <c r="HA340" t="s">
        <v>307</v>
      </c>
      <c r="HB340" t="s">
        <v>894</v>
      </c>
      <c r="HC340" t="s">
        <v>935</v>
      </c>
      <c r="HD340" t="s">
        <v>845</v>
      </c>
      <c r="HE340" t="s">
        <v>900</v>
      </c>
      <c r="HF340" t="s">
        <v>1012</v>
      </c>
      <c r="HG340" t="s">
        <v>894</v>
      </c>
      <c r="HH340" t="s">
        <v>935</v>
      </c>
      <c r="HI340" t="s">
        <v>845</v>
      </c>
      <c r="HJ340" t="s">
        <v>900</v>
      </c>
      <c r="HK340" t="s">
        <v>1011</v>
      </c>
      <c r="HL340" t="s">
        <v>133</v>
      </c>
      <c r="HM340" t="s">
        <v>854</v>
      </c>
      <c r="HN340">
        <v>36805</v>
      </c>
      <c r="HP340" t="s">
        <v>134</v>
      </c>
      <c r="HQ340" t="s">
        <v>896</v>
      </c>
      <c r="HR340" t="s">
        <v>896</v>
      </c>
      <c r="HS340" t="s">
        <v>896</v>
      </c>
    </row>
    <row r="341" spans="1:227" x14ac:dyDescent="0.2">
      <c r="A341">
        <v>8702</v>
      </c>
      <c r="B341">
        <v>7527204157</v>
      </c>
      <c r="C341" t="s">
        <v>1171</v>
      </c>
      <c r="D341" t="s">
        <v>1172</v>
      </c>
      <c r="E341" t="s">
        <v>831</v>
      </c>
      <c r="F341">
        <v>0</v>
      </c>
      <c r="G341" t="s">
        <v>7507</v>
      </c>
      <c r="H341" t="s">
        <v>7507</v>
      </c>
      <c r="I341">
        <v>0</v>
      </c>
      <c r="J341" t="s">
        <v>833</v>
      </c>
      <c r="K341" t="s">
        <v>834</v>
      </c>
      <c r="L341">
        <v>153294160</v>
      </c>
      <c r="M341" t="s">
        <v>7508</v>
      </c>
      <c r="N341" t="s">
        <v>836</v>
      </c>
      <c r="O341" t="s">
        <v>837</v>
      </c>
      <c r="P341" t="s">
        <v>1175</v>
      </c>
      <c r="Q341" t="s">
        <v>1176</v>
      </c>
      <c r="R341" t="s">
        <v>7509</v>
      </c>
      <c r="S341" t="s">
        <v>7510</v>
      </c>
      <c r="T341">
        <v>41477115830</v>
      </c>
      <c r="V341" t="s">
        <v>2273</v>
      </c>
      <c r="W341" s="41">
        <v>45929</v>
      </c>
      <c r="X341" t="s">
        <v>7511</v>
      </c>
      <c r="Y341" t="s">
        <v>7512</v>
      </c>
      <c r="AA341">
        <v>0</v>
      </c>
      <c r="AB341" t="s">
        <v>845</v>
      </c>
      <c r="AC341" t="s">
        <v>846</v>
      </c>
      <c r="AD341" t="s">
        <v>847</v>
      </c>
      <c r="AE341" t="s">
        <v>848</v>
      </c>
      <c r="AF341">
        <v>1</v>
      </c>
      <c r="AG341">
        <v>452210</v>
      </c>
      <c r="AH341" t="s">
        <v>849</v>
      </c>
      <c r="AI341" t="s">
        <v>850</v>
      </c>
      <c r="AJ341" t="s">
        <v>851</v>
      </c>
      <c r="AK341" t="s">
        <v>456</v>
      </c>
      <c r="AL341" t="s">
        <v>4769</v>
      </c>
      <c r="AM341" t="s">
        <v>2277</v>
      </c>
      <c r="AN341" t="s">
        <v>854</v>
      </c>
      <c r="AO341">
        <v>36805</v>
      </c>
      <c r="AP341">
        <v>561</v>
      </c>
      <c r="AQ341" t="s">
        <v>855</v>
      </c>
      <c r="AR341">
        <v>66135578</v>
      </c>
      <c r="AS341" t="s">
        <v>856</v>
      </c>
      <c r="AU341" t="s">
        <v>7513</v>
      </c>
      <c r="AV341" t="s">
        <v>7514</v>
      </c>
      <c r="AX341" t="s">
        <v>913</v>
      </c>
      <c r="AY341" t="s">
        <v>861</v>
      </c>
      <c r="AZ341" t="s">
        <v>456</v>
      </c>
      <c r="BA341" t="s">
        <v>457</v>
      </c>
      <c r="BB341">
        <v>0</v>
      </c>
      <c r="BC341">
        <v>0</v>
      </c>
      <c r="BD341">
        <v>0</v>
      </c>
      <c r="BE341" t="s">
        <v>7508</v>
      </c>
      <c r="BF341">
        <v>0</v>
      </c>
      <c r="BG341">
        <v>0</v>
      </c>
      <c r="BH341" t="s">
        <v>862</v>
      </c>
      <c r="BI341">
        <v>0</v>
      </c>
      <c r="BJ341" t="s">
        <v>862</v>
      </c>
      <c r="BK341">
        <v>1</v>
      </c>
      <c r="BL341">
        <v>1</v>
      </c>
      <c r="BM341">
        <v>0</v>
      </c>
      <c r="BN341" t="s">
        <v>596</v>
      </c>
      <c r="BO341">
        <v>153294160</v>
      </c>
      <c r="BP341" t="s">
        <v>7507</v>
      </c>
      <c r="BR341">
        <v>42791463</v>
      </c>
      <c r="BT341">
        <v>0</v>
      </c>
      <c r="CM341">
        <v>4010</v>
      </c>
      <c r="CO341">
        <v>7360</v>
      </c>
      <c r="CP341">
        <v>0.15</v>
      </c>
      <c r="CQ341">
        <v>0.15</v>
      </c>
      <c r="CR341">
        <v>0.26669999999999999</v>
      </c>
      <c r="CS341">
        <v>2</v>
      </c>
      <c r="CT341" t="s">
        <v>7514</v>
      </c>
      <c r="CU341" t="s">
        <v>7513</v>
      </c>
      <c r="CV341" t="s">
        <v>833</v>
      </c>
      <c r="CW341" t="s">
        <v>834</v>
      </c>
      <c r="CX341" t="s">
        <v>7508</v>
      </c>
      <c r="CY341">
        <v>0</v>
      </c>
      <c r="CZ341">
        <v>0</v>
      </c>
      <c r="DA341" t="s">
        <v>833</v>
      </c>
      <c r="DB341" t="s">
        <v>865</v>
      </c>
      <c r="DC341">
        <v>55414</v>
      </c>
      <c r="DD341">
        <v>0.58330000000000004</v>
      </c>
      <c r="DE341" t="s">
        <v>866</v>
      </c>
      <c r="DG341" t="s">
        <v>867</v>
      </c>
      <c r="DH341" t="s">
        <v>851</v>
      </c>
      <c r="DI341" t="s">
        <v>4437</v>
      </c>
      <c r="DL341" t="s">
        <v>869</v>
      </c>
      <c r="DM341">
        <v>0</v>
      </c>
      <c r="DN341">
        <v>0</v>
      </c>
      <c r="DO341">
        <v>2</v>
      </c>
      <c r="DP341" t="s">
        <v>870</v>
      </c>
      <c r="DQ341">
        <v>16</v>
      </c>
      <c r="DR341">
        <v>35</v>
      </c>
      <c r="DS341">
        <v>35</v>
      </c>
      <c r="DT341">
        <v>0.43330000000000002</v>
      </c>
      <c r="DU341">
        <v>4</v>
      </c>
      <c r="DW341">
        <v>2</v>
      </c>
      <c r="DX341" t="s">
        <v>596</v>
      </c>
      <c r="DY341" t="s">
        <v>7508</v>
      </c>
      <c r="DZ341">
        <v>1</v>
      </c>
      <c r="EA341">
        <v>1</v>
      </c>
      <c r="EB341">
        <v>1</v>
      </c>
      <c r="EC341">
        <v>1</v>
      </c>
      <c r="ED341">
        <v>1</v>
      </c>
      <c r="EE341">
        <v>1</v>
      </c>
      <c r="EF341" t="s">
        <v>871</v>
      </c>
      <c r="EG341" t="s">
        <v>595</v>
      </c>
      <c r="EH341" t="s">
        <v>921</v>
      </c>
      <c r="EI341" t="s">
        <v>921</v>
      </c>
      <c r="EJ341" t="s">
        <v>159</v>
      </c>
      <c r="EK341">
        <v>9090</v>
      </c>
      <c r="EL341">
        <v>0</v>
      </c>
      <c r="EM341" t="s">
        <v>873</v>
      </c>
      <c r="EN341">
        <v>0.26669999999999999</v>
      </c>
      <c r="EO341">
        <v>0.58333330000000005</v>
      </c>
      <c r="EP341">
        <v>99991120</v>
      </c>
      <c r="EQ341" t="s">
        <v>874</v>
      </c>
      <c r="ER341" t="s">
        <v>875</v>
      </c>
      <c r="ES341" t="s">
        <v>876</v>
      </c>
      <c r="ET341" t="s">
        <v>877</v>
      </c>
      <c r="EU341" t="s">
        <v>877</v>
      </c>
      <c r="EV341" t="s">
        <v>871</v>
      </c>
      <c r="EX341" t="s">
        <v>836</v>
      </c>
      <c r="EY341" t="s">
        <v>1121</v>
      </c>
      <c r="EZ341" t="s">
        <v>1122</v>
      </c>
      <c r="FA341" t="s">
        <v>956</v>
      </c>
      <c r="FB341">
        <v>1</v>
      </c>
      <c r="FC341">
        <v>1</v>
      </c>
      <c r="FD341" s="41">
        <v>45934</v>
      </c>
      <c r="FE341" t="s">
        <v>880</v>
      </c>
      <c r="FF341">
        <v>4</v>
      </c>
      <c r="FI341">
        <v>0</v>
      </c>
      <c r="FL341">
        <v>0</v>
      </c>
      <c r="FM341" t="s">
        <v>7515</v>
      </c>
      <c r="FN341" t="s">
        <v>7516</v>
      </c>
      <c r="FO341">
        <v>1</v>
      </c>
      <c r="FP341" t="s">
        <v>7517</v>
      </c>
      <c r="FQ341" t="s">
        <v>7513</v>
      </c>
      <c r="FR341">
        <v>1</v>
      </c>
      <c r="FS341" t="s">
        <v>2287</v>
      </c>
      <c r="FT341" t="s">
        <v>7518</v>
      </c>
      <c r="FU341">
        <v>1</v>
      </c>
      <c r="FV341" t="s">
        <v>7519</v>
      </c>
      <c r="FW341" t="s">
        <v>7520</v>
      </c>
      <c r="FX341">
        <v>1</v>
      </c>
      <c r="FY341" t="s">
        <v>890</v>
      </c>
      <c r="FZ341" t="s">
        <v>7521</v>
      </c>
      <c r="GA341" t="s">
        <v>7519</v>
      </c>
      <c r="GB341">
        <v>1</v>
      </c>
      <c r="GD341">
        <v>0</v>
      </c>
      <c r="GF341">
        <v>0</v>
      </c>
      <c r="GG341">
        <v>1</v>
      </c>
      <c r="GH341" t="s">
        <v>892</v>
      </c>
      <c r="GI341" t="s">
        <v>893</v>
      </c>
      <c r="GJ341" t="s">
        <v>7520</v>
      </c>
      <c r="GM341">
        <v>1</v>
      </c>
      <c r="GN341">
        <v>1</v>
      </c>
      <c r="GO341">
        <v>0</v>
      </c>
      <c r="GP341">
        <v>1</v>
      </c>
      <c r="GQ341">
        <v>1</v>
      </c>
      <c r="GR341">
        <v>0</v>
      </c>
      <c r="GS341">
        <v>1</v>
      </c>
      <c r="GT341">
        <v>0</v>
      </c>
      <c r="GU341">
        <v>1</v>
      </c>
      <c r="GV341">
        <v>0</v>
      </c>
      <c r="GW341">
        <v>1</v>
      </c>
      <c r="GX341">
        <v>0</v>
      </c>
      <c r="GY341">
        <v>1</v>
      </c>
      <c r="GZ341">
        <v>0</v>
      </c>
      <c r="HA341" t="s">
        <v>456</v>
      </c>
      <c r="HB341" t="s">
        <v>894</v>
      </c>
      <c r="HC341" t="s">
        <v>895</v>
      </c>
      <c r="HD341" t="s">
        <v>845</v>
      </c>
      <c r="HE341" t="s">
        <v>836</v>
      </c>
      <c r="HF341" t="s">
        <v>873</v>
      </c>
      <c r="HG341" t="s">
        <v>894</v>
      </c>
      <c r="HH341" t="s">
        <v>895</v>
      </c>
      <c r="HI341" t="s">
        <v>845</v>
      </c>
      <c r="HJ341" t="s">
        <v>836</v>
      </c>
      <c r="HK341" t="s">
        <v>873</v>
      </c>
      <c r="HL341" t="s">
        <v>2273</v>
      </c>
      <c r="HM341" t="s">
        <v>854</v>
      </c>
      <c r="HN341">
        <v>36805</v>
      </c>
      <c r="HP341" t="s">
        <v>159</v>
      </c>
      <c r="HQ341" t="s">
        <v>896</v>
      </c>
      <c r="HR341" t="s">
        <v>896</v>
      </c>
      <c r="HS341" t="s">
        <v>896</v>
      </c>
    </row>
    <row r="342" spans="1:227" x14ac:dyDescent="0.2">
      <c r="A342">
        <v>8702</v>
      </c>
      <c r="B342">
        <v>7533401461</v>
      </c>
      <c r="C342" t="s">
        <v>829</v>
      </c>
      <c r="D342" t="s">
        <v>830</v>
      </c>
      <c r="E342" t="s">
        <v>897</v>
      </c>
      <c r="F342">
        <v>1</v>
      </c>
      <c r="G342" t="s">
        <v>7522</v>
      </c>
      <c r="H342" t="s">
        <v>7522</v>
      </c>
      <c r="I342">
        <v>0</v>
      </c>
      <c r="J342" t="s">
        <v>833</v>
      </c>
      <c r="K342" t="s">
        <v>834</v>
      </c>
      <c r="L342">
        <v>153524572</v>
      </c>
      <c r="M342" t="s">
        <v>2923</v>
      </c>
      <c r="N342" t="s">
        <v>900</v>
      </c>
      <c r="O342" t="s">
        <v>837</v>
      </c>
      <c r="P342" t="s">
        <v>838</v>
      </c>
      <c r="Q342" t="s">
        <v>901</v>
      </c>
      <c r="R342" t="s">
        <v>7523</v>
      </c>
      <c r="S342" t="s">
        <v>7524</v>
      </c>
      <c r="T342">
        <v>41477084573</v>
      </c>
      <c r="V342" t="s">
        <v>1282</v>
      </c>
      <c r="W342" s="41">
        <v>45991</v>
      </c>
      <c r="X342" t="s">
        <v>7525</v>
      </c>
      <c r="Y342" t="s">
        <v>7526</v>
      </c>
      <c r="AA342">
        <v>0</v>
      </c>
      <c r="AB342" t="s">
        <v>845</v>
      </c>
      <c r="AC342" t="s">
        <v>846</v>
      </c>
      <c r="AD342" t="s">
        <v>847</v>
      </c>
      <c r="AE342" t="s">
        <v>848</v>
      </c>
      <c r="AF342">
        <v>1</v>
      </c>
      <c r="AG342">
        <v>452210</v>
      </c>
      <c r="AH342" t="s">
        <v>849</v>
      </c>
      <c r="AI342" t="s">
        <v>850</v>
      </c>
      <c r="AJ342" t="s">
        <v>851</v>
      </c>
      <c r="AK342" t="s">
        <v>363</v>
      </c>
      <c r="AL342" t="s">
        <v>1285</v>
      </c>
      <c r="AM342" t="s">
        <v>1286</v>
      </c>
      <c r="AN342" t="s">
        <v>854</v>
      </c>
      <c r="AO342">
        <v>36805</v>
      </c>
      <c r="AP342">
        <v>497</v>
      </c>
      <c r="AQ342" t="s">
        <v>855</v>
      </c>
      <c r="AR342">
        <v>66225164</v>
      </c>
      <c r="AS342" t="s">
        <v>856</v>
      </c>
      <c r="AU342" t="s">
        <v>7527</v>
      </c>
      <c r="AV342" t="s">
        <v>7528</v>
      </c>
      <c r="AX342" t="s">
        <v>913</v>
      </c>
      <c r="AY342" t="s">
        <v>861</v>
      </c>
      <c r="AZ342" t="s">
        <v>363</v>
      </c>
      <c r="BA342" t="s">
        <v>364</v>
      </c>
      <c r="BB342">
        <v>0</v>
      </c>
      <c r="BC342">
        <v>0</v>
      </c>
      <c r="BD342">
        <v>1</v>
      </c>
      <c r="BE342" t="s">
        <v>2923</v>
      </c>
      <c r="BF342">
        <v>0</v>
      </c>
      <c r="BG342">
        <v>0</v>
      </c>
      <c r="BH342" t="s">
        <v>862</v>
      </c>
      <c r="BI342">
        <v>0</v>
      </c>
      <c r="BJ342" t="s">
        <v>862</v>
      </c>
      <c r="BK342">
        <v>1</v>
      </c>
      <c r="BL342">
        <v>1</v>
      </c>
      <c r="BM342">
        <v>0</v>
      </c>
      <c r="BN342" t="s">
        <v>596</v>
      </c>
      <c r="BO342">
        <v>153524572</v>
      </c>
      <c r="BP342" t="s">
        <v>7522</v>
      </c>
      <c r="BR342">
        <v>42791323</v>
      </c>
      <c r="BT342">
        <v>0</v>
      </c>
      <c r="CM342">
        <v>4010</v>
      </c>
      <c r="CO342">
        <v>7360</v>
      </c>
      <c r="CP342">
        <v>0.65</v>
      </c>
      <c r="CQ342">
        <v>0.65</v>
      </c>
      <c r="CR342">
        <v>0.16669999999999999</v>
      </c>
      <c r="CS342">
        <v>2</v>
      </c>
      <c r="CT342" t="s">
        <v>7529</v>
      </c>
      <c r="CU342" t="s">
        <v>7530</v>
      </c>
      <c r="CV342" t="s">
        <v>833</v>
      </c>
      <c r="CW342" t="s">
        <v>834</v>
      </c>
      <c r="CX342" t="s">
        <v>2923</v>
      </c>
      <c r="CY342">
        <v>1</v>
      </c>
      <c r="CZ342">
        <v>1</v>
      </c>
      <c r="DA342" t="s">
        <v>833</v>
      </c>
      <c r="DB342" t="s">
        <v>865</v>
      </c>
      <c r="DC342">
        <v>15236</v>
      </c>
      <c r="DD342">
        <v>3.1667000000000001</v>
      </c>
      <c r="DE342" t="s">
        <v>866</v>
      </c>
      <c r="DG342" t="s">
        <v>867</v>
      </c>
      <c r="DH342" t="s">
        <v>851</v>
      </c>
      <c r="DI342" t="s">
        <v>1266</v>
      </c>
      <c r="DJ342" t="s">
        <v>2933</v>
      </c>
      <c r="DL342" t="s">
        <v>869</v>
      </c>
      <c r="DM342">
        <v>0</v>
      </c>
      <c r="DN342">
        <v>0</v>
      </c>
      <c r="DO342">
        <v>11</v>
      </c>
      <c r="DP342" t="s">
        <v>1010</v>
      </c>
      <c r="DQ342">
        <v>16</v>
      </c>
      <c r="DR342">
        <v>190</v>
      </c>
      <c r="DS342">
        <v>190</v>
      </c>
      <c r="DT342">
        <v>2.5167000000000002</v>
      </c>
      <c r="DU342">
        <v>4</v>
      </c>
      <c r="DW342">
        <v>2</v>
      </c>
      <c r="DX342" t="s">
        <v>596</v>
      </c>
      <c r="DY342" t="s">
        <v>2923</v>
      </c>
      <c r="DZ342">
        <v>1</v>
      </c>
      <c r="EA342">
        <v>1</v>
      </c>
      <c r="EB342">
        <v>1</v>
      </c>
      <c r="EC342">
        <v>1</v>
      </c>
      <c r="ED342">
        <v>1</v>
      </c>
      <c r="EE342">
        <v>1</v>
      </c>
      <c r="EF342" t="s">
        <v>1526</v>
      </c>
      <c r="EG342" t="s">
        <v>595</v>
      </c>
      <c r="EH342" t="s">
        <v>921</v>
      </c>
      <c r="EI342" t="s">
        <v>921</v>
      </c>
      <c r="EJ342" t="s">
        <v>124</v>
      </c>
      <c r="EK342">
        <v>9090</v>
      </c>
      <c r="EL342">
        <v>0</v>
      </c>
      <c r="EM342" t="s">
        <v>923</v>
      </c>
      <c r="EN342">
        <v>0.16669999999999999</v>
      </c>
      <c r="EO342">
        <v>3.1666666000000001</v>
      </c>
      <c r="EP342">
        <v>99991120</v>
      </c>
      <c r="EQ342" t="s">
        <v>874</v>
      </c>
      <c r="ER342" t="s">
        <v>875</v>
      </c>
      <c r="ES342" t="s">
        <v>876</v>
      </c>
      <c r="ET342" t="s">
        <v>877</v>
      </c>
      <c r="EU342" t="s">
        <v>877</v>
      </c>
      <c r="EV342" t="s">
        <v>1526</v>
      </c>
      <c r="EX342" t="s">
        <v>953</v>
      </c>
      <c r="EY342" t="s">
        <v>1292</v>
      </c>
      <c r="EZ342" t="s">
        <v>1293</v>
      </c>
      <c r="FA342" t="s">
        <v>925</v>
      </c>
      <c r="FB342">
        <v>1</v>
      </c>
      <c r="FC342">
        <v>1</v>
      </c>
      <c r="FD342" s="41">
        <v>45997</v>
      </c>
      <c r="FE342" t="s">
        <v>1438</v>
      </c>
      <c r="FF342">
        <v>8</v>
      </c>
      <c r="FG342" t="s">
        <v>7531</v>
      </c>
      <c r="FH342" t="s">
        <v>7532</v>
      </c>
      <c r="FI342">
        <v>1</v>
      </c>
      <c r="FJ342" t="s">
        <v>7533</v>
      </c>
      <c r="FK342" t="s">
        <v>7534</v>
      </c>
      <c r="FL342">
        <v>1</v>
      </c>
      <c r="FM342" t="s">
        <v>6938</v>
      </c>
      <c r="FN342" t="s">
        <v>7535</v>
      </c>
      <c r="FO342">
        <v>1</v>
      </c>
      <c r="FP342" t="s">
        <v>7536</v>
      </c>
      <c r="FQ342" t="s">
        <v>7530</v>
      </c>
      <c r="FR342">
        <v>1</v>
      </c>
      <c r="FS342" t="s">
        <v>4406</v>
      </c>
      <c r="FT342" t="s">
        <v>7537</v>
      </c>
      <c r="FU342">
        <v>1</v>
      </c>
      <c r="FV342" t="s">
        <v>6815</v>
      </c>
      <c r="FW342" t="s">
        <v>7538</v>
      </c>
      <c r="FX342">
        <v>1</v>
      </c>
      <c r="FY342" t="s">
        <v>890</v>
      </c>
      <c r="FZ342" t="s">
        <v>7539</v>
      </c>
      <c r="GA342" t="s">
        <v>7533</v>
      </c>
      <c r="GB342">
        <v>1</v>
      </c>
      <c r="GD342">
        <v>0</v>
      </c>
      <c r="GF342">
        <v>0</v>
      </c>
      <c r="GG342">
        <v>1</v>
      </c>
      <c r="GH342" t="s">
        <v>892</v>
      </c>
      <c r="GI342" t="s">
        <v>893</v>
      </c>
      <c r="GJ342" t="s">
        <v>7534</v>
      </c>
      <c r="GM342">
        <v>1</v>
      </c>
      <c r="GN342">
        <v>1</v>
      </c>
      <c r="GO342">
        <v>0</v>
      </c>
      <c r="GP342">
        <v>1</v>
      </c>
      <c r="GQ342">
        <v>1</v>
      </c>
      <c r="GR342">
        <v>0</v>
      </c>
      <c r="GS342">
        <v>1</v>
      </c>
      <c r="GT342">
        <v>0</v>
      </c>
      <c r="GU342">
        <v>1</v>
      </c>
      <c r="GV342">
        <v>0</v>
      </c>
      <c r="GW342">
        <v>1</v>
      </c>
      <c r="GX342">
        <v>0</v>
      </c>
      <c r="GY342">
        <v>1</v>
      </c>
      <c r="GZ342">
        <v>0</v>
      </c>
      <c r="HA342" t="s">
        <v>363</v>
      </c>
      <c r="HB342" t="s">
        <v>894</v>
      </c>
      <c r="HC342" t="s">
        <v>935</v>
      </c>
      <c r="HD342" t="s">
        <v>845</v>
      </c>
      <c r="HE342" t="s">
        <v>900</v>
      </c>
      <c r="HF342" t="s">
        <v>923</v>
      </c>
      <c r="HG342" t="s">
        <v>894</v>
      </c>
      <c r="HH342" t="s">
        <v>935</v>
      </c>
      <c r="HI342" t="s">
        <v>845</v>
      </c>
      <c r="HJ342" t="s">
        <v>900</v>
      </c>
      <c r="HK342" t="s">
        <v>923</v>
      </c>
      <c r="HL342" t="s">
        <v>1282</v>
      </c>
      <c r="HM342" t="s">
        <v>854</v>
      </c>
      <c r="HN342">
        <v>36805</v>
      </c>
      <c r="HP342" t="s">
        <v>124</v>
      </c>
      <c r="HQ342" t="s">
        <v>896</v>
      </c>
      <c r="HR342" t="s">
        <v>896</v>
      </c>
      <c r="HS342" t="s">
        <v>896</v>
      </c>
    </row>
    <row r="343" spans="1:227" x14ac:dyDescent="0.2">
      <c r="A343">
        <v>8702</v>
      </c>
      <c r="B343">
        <v>7530913973</v>
      </c>
      <c r="C343" t="s">
        <v>829</v>
      </c>
      <c r="D343" t="s">
        <v>830</v>
      </c>
      <c r="E343" t="s">
        <v>897</v>
      </c>
      <c r="F343">
        <v>1</v>
      </c>
      <c r="G343" t="s">
        <v>7540</v>
      </c>
      <c r="H343" t="s">
        <v>7540</v>
      </c>
      <c r="I343">
        <v>0</v>
      </c>
      <c r="J343" t="s">
        <v>833</v>
      </c>
      <c r="K343" t="s">
        <v>834</v>
      </c>
      <c r="L343">
        <v>156057615</v>
      </c>
      <c r="M343" t="s">
        <v>3104</v>
      </c>
      <c r="N343" t="s">
        <v>900</v>
      </c>
      <c r="O343" t="s">
        <v>837</v>
      </c>
      <c r="P343" t="s">
        <v>838</v>
      </c>
      <c r="Q343" t="s">
        <v>901</v>
      </c>
      <c r="R343" t="s">
        <v>7541</v>
      </c>
      <c r="S343" t="s">
        <v>7542</v>
      </c>
      <c r="T343">
        <v>41477056615</v>
      </c>
      <c r="V343" t="s">
        <v>3107</v>
      </c>
      <c r="W343" s="41">
        <v>45966</v>
      </c>
      <c r="X343" t="s">
        <v>7543</v>
      </c>
      <c r="Y343" t="s">
        <v>7544</v>
      </c>
      <c r="AA343">
        <v>0</v>
      </c>
      <c r="AB343" t="s">
        <v>845</v>
      </c>
      <c r="AC343" t="s">
        <v>846</v>
      </c>
      <c r="AD343" t="s">
        <v>847</v>
      </c>
      <c r="AE343" t="s">
        <v>848</v>
      </c>
      <c r="AF343">
        <v>1</v>
      </c>
      <c r="AG343">
        <v>452210</v>
      </c>
      <c r="AH343" t="s">
        <v>849</v>
      </c>
      <c r="AI343" t="s">
        <v>850</v>
      </c>
      <c r="AJ343" t="s">
        <v>851</v>
      </c>
      <c r="AK343" t="s">
        <v>275</v>
      </c>
      <c r="AL343" t="s">
        <v>3110</v>
      </c>
      <c r="AM343" t="s">
        <v>3111</v>
      </c>
      <c r="AN343" t="s">
        <v>854</v>
      </c>
      <c r="AO343">
        <v>36805</v>
      </c>
      <c r="AP343">
        <v>921</v>
      </c>
      <c r="AQ343" t="s">
        <v>855</v>
      </c>
      <c r="AR343">
        <v>66189076</v>
      </c>
      <c r="AS343" t="s">
        <v>856</v>
      </c>
      <c r="AU343" t="s">
        <v>7545</v>
      </c>
      <c r="AV343" t="s">
        <v>7546</v>
      </c>
      <c r="AX343" t="s">
        <v>913</v>
      </c>
      <c r="AY343" t="s">
        <v>861</v>
      </c>
      <c r="AZ343" t="s">
        <v>275</v>
      </c>
      <c r="BA343" t="s">
        <v>276</v>
      </c>
      <c r="BB343">
        <v>0</v>
      </c>
      <c r="BC343">
        <v>0</v>
      </c>
      <c r="BD343">
        <v>1</v>
      </c>
      <c r="BE343" t="s">
        <v>3104</v>
      </c>
      <c r="BF343">
        <v>0</v>
      </c>
      <c r="BG343">
        <v>0</v>
      </c>
      <c r="BH343" t="s">
        <v>862</v>
      </c>
      <c r="BI343">
        <v>0</v>
      </c>
      <c r="BJ343" t="s">
        <v>862</v>
      </c>
      <c r="BK343">
        <v>1</v>
      </c>
      <c r="BL343">
        <v>1</v>
      </c>
      <c r="BM343">
        <v>0</v>
      </c>
      <c r="BN343" t="s">
        <v>596</v>
      </c>
      <c r="BO343">
        <v>156057615</v>
      </c>
      <c r="BP343" t="s">
        <v>7540</v>
      </c>
      <c r="BR343">
        <v>42793646</v>
      </c>
      <c r="BT343">
        <v>0</v>
      </c>
      <c r="CM343">
        <v>4010</v>
      </c>
      <c r="CO343">
        <v>7360</v>
      </c>
      <c r="CP343">
        <v>2.6166999999999998</v>
      </c>
      <c r="CQ343">
        <v>2.6166999999999998</v>
      </c>
      <c r="CR343">
        <v>0.7167</v>
      </c>
      <c r="CS343">
        <v>135</v>
      </c>
      <c r="CT343" t="s">
        <v>7547</v>
      </c>
      <c r="CU343" t="s">
        <v>7548</v>
      </c>
      <c r="CV343" t="s">
        <v>833</v>
      </c>
      <c r="CW343" t="s">
        <v>834</v>
      </c>
      <c r="CX343" t="s">
        <v>3104</v>
      </c>
      <c r="CY343">
        <v>1</v>
      </c>
      <c r="CZ343">
        <v>1</v>
      </c>
      <c r="DA343" t="s">
        <v>833</v>
      </c>
      <c r="DB343" t="s">
        <v>865</v>
      </c>
      <c r="DC343">
        <v>45249</v>
      </c>
      <c r="DD343">
        <v>3.35</v>
      </c>
      <c r="DE343" t="s">
        <v>866</v>
      </c>
      <c r="DG343" t="s">
        <v>867</v>
      </c>
      <c r="DH343" t="s">
        <v>851</v>
      </c>
      <c r="DJ343">
        <v>921</v>
      </c>
      <c r="DL343" t="s">
        <v>869</v>
      </c>
      <c r="DM343">
        <v>0</v>
      </c>
      <c r="DN343">
        <v>0</v>
      </c>
      <c r="DO343">
        <v>12</v>
      </c>
      <c r="DP343" t="s">
        <v>1190</v>
      </c>
      <c r="DQ343">
        <v>16</v>
      </c>
      <c r="DR343">
        <v>201</v>
      </c>
      <c r="DS343">
        <v>201</v>
      </c>
      <c r="DT343">
        <v>1.25</v>
      </c>
      <c r="DU343">
        <v>4</v>
      </c>
      <c r="DW343">
        <v>2</v>
      </c>
      <c r="DX343" t="s">
        <v>596</v>
      </c>
      <c r="DY343" t="s">
        <v>3104</v>
      </c>
      <c r="DZ343">
        <v>1</v>
      </c>
      <c r="EA343">
        <v>1</v>
      </c>
      <c r="EB343">
        <v>1</v>
      </c>
      <c r="EC343">
        <v>1</v>
      </c>
      <c r="ED343">
        <v>1</v>
      </c>
      <c r="EE343">
        <v>1</v>
      </c>
      <c r="EF343" t="s">
        <v>871</v>
      </c>
      <c r="EG343" t="s">
        <v>595</v>
      </c>
      <c r="EH343" t="s">
        <v>921</v>
      </c>
      <c r="EI343" t="s">
        <v>921</v>
      </c>
      <c r="EJ343" t="s">
        <v>226</v>
      </c>
      <c r="EK343">
        <v>9090</v>
      </c>
      <c r="EL343">
        <v>0</v>
      </c>
      <c r="EM343" t="s">
        <v>1157</v>
      </c>
      <c r="EN343">
        <v>0.7167</v>
      </c>
      <c r="EO343">
        <v>3.35</v>
      </c>
      <c r="EP343">
        <v>99991120</v>
      </c>
      <c r="EQ343" t="s">
        <v>874</v>
      </c>
      <c r="ER343" t="s">
        <v>875</v>
      </c>
      <c r="ES343" t="s">
        <v>876</v>
      </c>
      <c r="ET343" t="s">
        <v>877</v>
      </c>
      <c r="EU343" t="s">
        <v>877</v>
      </c>
      <c r="EV343" t="s">
        <v>871</v>
      </c>
      <c r="EX343" t="s">
        <v>953</v>
      </c>
      <c r="EY343" t="s">
        <v>1555</v>
      </c>
      <c r="EZ343" t="s">
        <v>3116</v>
      </c>
      <c r="FA343" t="s">
        <v>925</v>
      </c>
      <c r="FB343">
        <v>1</v>
      </c>
      <c r="FC343">
        <v>1</v>
      </c>
      <c r="FD343" s="41">
        <v>45969</v>
      </c>
      <c r="FE343" t="s">
        <v>1438</v>
      </c>
      <c r="FF343">
        <v>11</v>
      </c>
      <c r="FG343" t="s">
        <v>7549</v>
      </c>
      <c r="FH343" t="s">
        <v>7550</v>
      </c>
      <c r="FI343">
        <v>1</v>
      </c>
      <c r="FJ343" t="s">
        <v>7551</v>
      </c>
      <c r="FK343" t="s">
        <v>7552</v>
      </c>
      <c r="FL343">
        <v>1</v>
      </c>
      <c r="FM343" t="s">
        <v>7553</v>
      </c>
      <c r="FN343" t="s">
        <v>7554</v>
      </c>
      <c r="FO343">
        <v>1</v>
      </c>
      <c r="FP343" t="s">
        <v>7555</v>
      </c>
      <c r="FQ343" t="s">
        <v>7548</v>
      </c>
      <c r="FR343">
        <v>1</v>
      </c>
      <c r="FS343" t="s">
        <v>3120</v>
      </c>
      <c r="FT343" t="s">
        <v>7556</v>
      </c>
      <c r="FU343">
        <v>1</v>
      </c>
      <c r="FV343" t="s">
        <v>7557</v>
      </c>
      <c r="FW343" t="s">
        <v>7558</v>
      </c>
      <c r="FX343">
        <v>1</v>
      </c>
      <c r="FY343" t="s">
        <v>890</v>
      </c>
      <c r="FZ343" t="s">
        <v>7559</v>
      </c>
      <c r="GA343" t="s">
        <v>7551</v>
      </c>
      <c r="GB343">
        <v>1</v>
      </c>
      <c r="GC343" t="s">
        <v>7560</v>
      </c>
      <c r="GD343">
        <v>1</v>
      </c>
      <c r="GF343">
        <v>0</v>
      </c>
      <c r="GG343">
        <v>1</v>
      </c>
      <c r="GH343" t="s">
        <v>892</v>
      </c>
      <c r="GI343" t="s">
        <v>893</v>
      </c>
      <c r="GJ343" t="s">
        <v>7552</v>
      </c>
      <c r="GK343" t="s">
        <v>7561</v>
      </c>
      <c r="GM343">
        <v>1</v>
      </c>
      <c r="GN343">
        <v>1</v>
      </c>
      <c r="GO343">
        <v>0</v>
      </c>
      <c r="GP343">
        <v>1</v>
      </c>
      <c r="GQ343">
        <v>1</v>
      </c>
      <c r="GR343">
        <v>0</v>
      </c>
      <c r="GS343">
        <v>1</v>
      </c>
      <c r="GT343">
        <v>0</v>
      </c>
      <c r="GU343">
        <v>1</v>
      </c>
      <c r="GV343">
        <v>0</v>
      </c>
      <c r="GW343">
        <v>1</v>
      </c>
      <c r="GX343">
        <v>0</v>
      </c>
      <c r="GY343">
        <v>1</v>
      </c>
      <c r="GZ343">
        <v>0</v>
      </c>
      <c r="HA343" t="s">
        <v>275</v>
      </c>
      <c r="HB343" t="s">
        <v>894</v>
      </c>
      <c r="HC343" t="s">
        <v>935</v>
      </c>
      <c r="HD343" t="s">
        <v>845</v>
      </c>
      <c r="HE343" t="s">
        <v>900</v>
      </c>
      <c r="HF343" t="s">
        <v>923</v>
      </c>
      <c r="HG343" t="s">
        <v>894</v>
      </c>
      <c r="HH343" t="s">
        <v>935</v>
      </c>
      <c r="HI343" t="s">
        <v>845</v>
      </c>
      <c r="HJ343" t="s">
        <v>900</v>
      </c>
      <c r="HK343" t="s">
        <v>922</v>
      </c>
      <c r="HL343" t="s">
        <v>3107</v>
      </c>
      <c r="HM343" t="s">
        <v>854</v>
      </c>
      <c r="HN343">
        <v>36805</v>
      </c>
      <c r="HP343" t="s">
        <v>226</v>
      </c>
      <c r="HQ343" t="s">
        <v>896</v>
      </c>
      <c r="HR343" t="s">
        <v>896</v>
      </c>
      <c r="HS343" t="s">
        <v>896</v>
      </c>
    </row>
    <row r="344" spans="1:227" x14ac:dyDescent="0.2">
      <c r="A344">
        <v>8702</v>
      </c>
      <c r="B344">
        <v>7523707402</v>
      </c>
      <c r="C344">
        <v>34</v>
      </c>
      <c r="D344" t="s">
        <v>996</v>
      </c>
      <c r="E344" t="s">
        <v>897</v>
      </c>
      <c r="F344">
        <v>0</v>
      </c>
      <c r="G344" t="s">
        <v>7562</v>
      </c>
      <c r="H344" t="s">
        <v>7562</v>
      </c>
      <c r="I344">
        <v>0</v>
      </c>
      <c r="J344" t="s">
        <v>833</v>
      </c>
      <c r="K344" t="s">
        <v>834</v>
      </c>
      <c r="L344">
        <v>155403181</v>
      </c>
      <c r="M344" t="s">
        <v>7563</v>
      </c>
      <c r="N344" t="s">
        <v>900</v>
      </c>
      <c r="O344" t="s">
        <v>837</v>
      </c>
      <c r="P344" t="s">
        <v>999</v>
      </c>
      <c r="Q344" t="s">
        <v>1027</v>
      </c>
      <c r="R344" t="s">
        <v>7564</v>
      </c>
      <c r="S344" t="s">
        <v>7565</v>
      </c>
      <c r="T344">
        <v>41477095563</v>
      </c>
      <c r="V344" t="s">
        <v>904</v>
      </c>
      <c r="W344" s="41">
        <v>45895</v>
      </c>
      <c r="X344" t="s">
        <v>7566</v>
      </c>
      <c r="Y344" t="s">
        <v>7567</v>
      </c>
      <c r="AA344">
        <v>0</v>
      </c>
      <c r="AB344" t="s">
        <v>845</v>
      </c>
      <c r="AC344" t="s">
        <v>846</v>
      </c>
      <c r="AD344" t="s">
        <v>847</v>
      </c>
      <c r="AE344" t="s">
        <v>848</v>
      </c>
      <c r="AF344">
        <v>1</v>
      </c>
      <c r="AG344">
        <v>452210</v>
      </c>
      <c r="AH344" t="s">
        <v>849</v>
      </c>
      <c r="AI344" t="s">
        <v>850</v>
      </c>
      <c r="AJ344" t="s">
        <v>851</v>
      </c>
      <c r="AK344" t="s">
        <v>291</v>
      </c>
      <c r="AL344" t="s">
        <v>909</v>
      </c>
      <c r="AM344" t="s">
        <v>910</v>
      </c>
      <c r="AN344" t="s">
        <v>854</v>
      </c>
      <c r="AO344">
        <v>36805</v>
      </c>
      <c r="AP344">
        <v>606</v>
      </c>
      <c r="AQ344" t="s">
        <v>855</v>
      </c>
      <c r="AR344">
        <v>66086929</v>
      </c>
      <c r="AS344" t="s">
        <v>856</v>
      </c>
      <c r="AU344" t="s">
        <v>7568</v>
      </c>
      <c r="AV344" t="s">
        <v>7569</v>
      </c>
      <c r="AW344" t="s">
        <v>950</v>
      </c>
      <c r="AX344" t="s">
        <v>951</v>
      </c>
      <c r="AY344" t="s">
        <v>861</v>
      </c>
      <c r="AZ344" t="s">
        <v>291</v>
      </c>
      <c r="BA344" t="s">
        <v>292</v>
      </c>
      <c r="BB344">
        <v>0</v>
      </c>
      <c r="BC344">
        <v>0</v>
      </c>
      <c r="BD344">
        <v>1</v>
      </c>
      <c r="BE344" t="s">
        <v>7563</v>
      </c>
      <c r="BF344">
        <v>0</v>
      </c>
      <c r="BG344">
        <v>0</v>
      </c>
      <c r="BH344" t="s">
        <v>862</v>
      </c>
      <c r="BI344">
        <v>0</v>
      </c>
      <c r="BJ344" t="s">
        <v>862</v>
      </c>
      <c r="BK344">
        <v>1</v>
      </c>
      <c r="BL344">
        <v>0</v>
      </c>
      <c r="BM344">
        <v>0</v>
      </c>
      <c r="BN344" t="s">
        <v>596</v>
      </c>
      <c r="BO344">
        <v>155403181</v>
      </c>
      <c r="BP344" t="s">
        <v>7562</v>
      </c>
      <c r="BQ344">
        <v>42.926062100000003</v>
      </c>
      <c r="BR344">
        <v>42810759</v>
      </c>
      <c r="BS344">
        <v>-85.605938100000003</v>
      </c>
      <c r="BT344">
        <v>0</v>
      </c>
      <c r="CM344">
        <v>4010</v>
      </c>
      <c r="CO344">
        <v>7360</v>
      </c>
      <c r="CP344">
        <v>0.31669999999999998</v>
      </c>
      <c r="CQ344">
        <v>0.31669999999999998</v>
      </c>
      <c r="CR344">
        <v>0.41670000000000001</v>
      </c>
      <c r="CS344">
        <v>1</v>
      </c>
      <c r="CT344" t="s">
        <v>7570</v>
      </c>
      <c r="CU344" t="s">
        <v>7571</v>
      </c>
      <c r="CV344" t="s">
        <v>833</v>
      </c>
      <c r="CW344" t="s">
        <v>834</v>
      </c>
      <c r="CX344" t="s">
        <v>7563</v>
      </c>
      <c r="CY344">
        <v>1</v>
      </c>
      <c r="CZ344">
        <v>1</v>
      </c>
      <c r="DA344" t="s">
        <v>833</v>
      </c>
      <c r="DB344" t="s">
        <v>865</v>
      </c>
      <c r="DC344">
        <v>49546</v>
      </c>
      <c r="DD344">
        <v>14.316700000000001</v>
      </c>
      <c r="DE344" t="s">
        <v>866</v>
      </c>
      <c r="DG344" t="s">
        <v>867</v>
      </c>
      <c r="DH344" t="s">
        <v>851</v>
      </c>
      <c r="DI344" t="s">
        <v>3733</v>
      </c>
      <c r="DL344" t="s">
        <v>869</v>
      </c>
      <c r="DM344">
        <v>0</v>
      </c>
      <c r="DN344">
        <v>0</v>
      </c>
      <c r="DO344">
        <v>11</v>
      </c>
      <c r="DP344" t="s">
        <v>1010</v>
      </c>
      <c r="DQ344">
        <v>16</v>
      </c>
      <c r="DR344">
        <v>859</v>
      </c>
      <c r="DS344">
        <v>1579</v>
      </c>
      <c r="DT344">
        <v>14</v>
      </c>
      <c r="DU344">
        <v>4</v>
      </c>
      <c r="DW344">
        <v>2</v>
      </c>
      <c r="DX344" t="s">
        <v>594</v>
      </c>
      <c r="DY344" t="s">
        <v>7563</v>
      </c>
      <c r="DZ344">
        <v>0</v>
      </c>
      <c r="EA344">
        <v>0</v>
      </c>
      <c r="EB344">
        <v>0</v>
      </c>
      <c r="EC344">
        <v>0</v>
      </c>
      <c r="ED344">
        <v>0</v>
      </c>
      <c r="EE344">
        <v>0</v>
      </c>
      <c r="EF344" t="s">
        <v>920</v>
      </c>
      <c r="EG344" t="s">
        <v>595</v>
      </c>
      <c r="EH344" t="s">
        <v>872</v>
      </c>
      <c r="EI344" t="s">
        <v>872</v>
      </c>
      <c r="EJ344" t="s">
        <v>178</v>
      </c>
      <c r="EK344">
        <v>9090</v>
      </c>
      <c r="EL344">
        <v>0</v>
      </c>
      <c r="EM344" t="s">
        <v>922</v>
      </c>
      <c r="EN344">
        <v>0.41670000000000001</v>
      </c>
      <c r="EO344">
        <v>26.316666600000001</v>
      </c>
      <c r="EP344">
        <v>99991120</v>
      </c>
      <c r="EQ344" t="s">
        <v>874</v>
      </c>
      <c r="ER344" t="s">
        <v>875</v>
      </c>
      <c r="ES344" t="s">
        <v>876</v>
      </c>
      <c r="ET344" t="s">
        <v>877</v>
      </c>
      <c r="EU344" t="s">
        <v>877</v>
      </c>
      <c r="EV344" t="s">
        <v>920</v>
      </c>
      <c r="EX344" t="s">
        <v>953</v>
      </c>
      <c r="EY344" t="s">
        <v>986</v>
      </c>
      <c r="EZ344" t="s">
        <v>924</v>
      </c>
      <c r="FA344" t="s">
        <v>925</v>
      </c>
      <c r="FB344">
        <v>1</v>
      </c>
      <c r="FC344">
        <v>1</v>
      </c>
      <c r="FD344" s="41">
        <v>45899</v>
      </c>
      <c r="FE344" t="s">
        <v>987</v>
      </c>
      <c r="FF344">
        <v>8</v>
      </c>
      <c r="FG344" t="s">
        <v>7572</v>
      </c>
      <c r="FH344" t="s">
        <v>7573</v>
      </c>
      <c r="FI344">
        <v>1</v>
      </c>
      <c r="FJ344" t="s">
        <v>7574</v>
      </c>
      <c r="FK344" t="s">
        <v>7573</v>
      </c>
      <c r="FL344">
        <v>1</v>
      </c>
      <c r="FM344" t="s">
        <v>7575</v>
      </c>
      <c r="FN344" t="s">
        <v>7573</v>
      </c>
      <c r="FO344">
        <v>1</v>
      </c>
      <c r="FP344" t="s">
        <v>7576</v>
      </c>
      <c r="FQ344" t="s">
        <v>7577</v>
      </c>
      <c r="FR344">
        <v>1</v>
      </c>
      <c r="FS344" t="s">
        <v>7578</v>
      </c>
      <c r="FT344" t="s">
        <v>7579</v>
      </c>
      <c r="FU344">
        <v>1</v>
      </c>
      <c r="FV344" t="s">
        <v>7580</v>
      </c>
      <c r="FW344" t="s">
        <v>7581</v>
      </c>
      <c r="FX344">
        <v>1</v>
      </c>
      <c r="FY344" t="s">
        <v>890</v>
      </c>
      <c r="FZ344" t="s">
        <v>7582</v>
      </c>
      <c r="GA344" t="s">
        <v>7574</v>
      </c>
      <c r="GB344">
        <v>1</v>
      </c>
      <c r="GD344">
        <v>0</v>
      </c>
      <c r="GF344">
        <v>0</v>
      </c>
      <c r="GG344">
        <v>1</v>
      </c>
      <c r="GH344" t="s">
        <v>892</v>
      </c>
      <c r="GI344" t="s">
        <v>893</v>
      </c>
      <c r="GJ344" t="s">
        <v>7573</v>
      </c>
      <c r="GM344">
        <v>1</v>
      </c>
      <c r="GN344">
        <v>1</v>
      </c>
      <c r="GO344">
        <v>0</v>
      </c>
      <c r="GP344">
        <v>1</v>
      </c>
      <c r="GQ344">
        <v>1</v>
      </c>
      <c r="GR344">
        <v>0</v>
      </c>
      <c r="GS344">
        <v>1</v>
      </c>
      <c r="GT344">
        <v>0</v>
      </c>
      <c r="GU344">
        <v>1</v>
      </c>
      <c r="GV344">
        <v>0</v>
      </c>
      <c r="GW344">
        <v>1</v>
      </c>
      <c r="GX344">
        <v>0</v>
      </c>
      <c r="GY344">
        <v>1</v>
      </c>
      <c r="GZ344">
        <v>0</v>
      </c>
      <c r="HA344" t="s">
        <v>291</v>
      </c>
      <c r="HB344" t="s">
        <v>894</v>
      </c>
      <c r="HC344" t="s">
        <v>935</v>
      </c>
      <c r="HD344" t="s">
        <v>845</v>
      </c>
      <c r="HE344" t="s">
        <v>900</v>
      </c>
      <c r="HF344" t="s">
        <v>923</v>
      </c>
      <c r="HG344" t="s">
        <v>894</v>
      </c>
      <c r="HH344" t="s">
        <v>935</v>
      </c>
      <c r="HI344" t="s">
        <v>845</v>
      </c>
      <c r="HJ344" t="s">
        <v>900</v>
      </c>
      <c r="HK344" t="s">
        <v>922</v>
      </c>
      <c r="HL344" t="s">
        <v>904</v>
      </c>
      <c r="HM344" t="s">
        <v>854</v>
      </c>
      <c r="HN344">
        <v>36805</v>
      </c>
      <c r="HP344" t="s">
        <v>178</v>
      </c>
      <c r="HQ344" t="s">
        <v>896</v>
      </c>
      <c r="HR344" t="s">
        <v>896</v>
      </c>
      <c r="HS344" t="s">
        <v>896</v>
      </c>
    </row>
    <row r="345" spans="1:227" x14ac:dyDescent="0.2">
      <c r="A345">
        <v>8702</v>
      </c>
      <c r="B345">
        <v>7608003827</v>
      </c>
      <c r="C345">
        <v>34</v>
      </c>
      <c r="D345" t="s">
        <v>996</v>
      </c>
      <c r="E345" t="s">
        <v>831</v>
      </c>
      <c r="F345">
        <v>0</v>
      </c>
      <c r="G345" t="s">
        <v>7583</v>
      </c>
      <c r="H345" t="s">
        <v>7583</v>
      </c>
      <c r="I345">
        <v>0</v>
      </c>
      <c r="J345" t="s">
        <v>833</v>
      </c>
      <c r="K345" t="s">
        <v>834</v>
      </c>
      <c r="L345">
        <v>152949080</v>
      </c>
      <c r="M345" t="s">
        <v>7584</v>
      </c>
      <c r="N345" t="s">
        <v>836</v>
      </c>
      <c r="O345" t="s">
        <v>837</v>
      </c>
      <c r="P345" t="s">
        <v>999</v>
      </c>
      <c r="Q345" t="s">
        <v>1027</v>
      </c>
      <c r="R345" t="s">
        <v>7585</v>
      </c>
      <c r="S345" t="s">
        <v>7586</v>
      </c>
      <c r="T345">
        <v>30300105423</v>
      </c>
      <c r="V345" t="s">
        <v>219</v>
      </c>
      <c r="W345" s="41">
        <v>46102</v>
      </c>
      <c r="X345" t="s">
        <v>7587</v>
      </c>
      <c r="Y345" t="s">
        <v>7588</v>
      </c>
      <c r="AA345">
        <v>0</v>
      </c>
      <c r="AB345" t="s">
        <v>845</v>
      </c>
      <c r="AC345" t="s">
        <v>846</v>
      </c>
      <c r="AD345" t="s">
        <v>1113</v>
      </c>
      <c r="AE345" t="s">
        <v>1114</v>
      </c>
      <c r="AF345">
        <v>1</v>
      </c>
      <c r="AG345">
        <v>452210</v>
      </c>
      <c r="AH345" t="s">
        <v>849</v>
      </c>
      <c r="AI345" t="s">
        <v>850</v>
      </c>
      <c r="AJ345" t="s">
        <v>851</v>
      </c>
      <c r="AK345" t="s">
        <v>323</v>
      </c>
      <c r="AL345" t="s">
        <v>1799</v>
      </c>
      <c r="AM345" t="s">
        <v>2823</v>
      </c>
      <c r="AN345" t="s">
        <v>854</v>
      </c>
      <c r="AO345">
        <v>36805</v>
      </c>
      <c r="AP345">
        <v>708</v>
      </c>
      <c r="AQ345" t="s">
        <v>855</v>
      </c>
      <c r="AR345">
        <v>66385199</v>
      </c>
      <c r="AS345" t="s">
        <v>856</v>
      </c>
      <c r="AU345" t="s">
        <v>7589</v>
      </c>
      <c r="AV345" t="s">
        <v>7590</v>
      </c>
      <c r="AX345" t="s">
        <v>913</v>
      </c>
      <c r="AY345" t="s">
        <v>861</v>
      </c>
      <c r="AZ345" t="s">
        <v>323</v>
      </c>
      <c r="BA345" t="s">
        <v>324</v>
      </c>
      <c r="BB345">
        <v>0</v>
      </c>
      <c r="BC345">
        <v>0</v>
      </c>
      <c r="BD345">
        <v>1</v>
      </c>
      <c r="BE345" t="s">
        <v>7584</v>
      </c>
      <c r="BF345">
        <v>0</v>
      </c>
      <c r="BG345">
        <v>0</v>
      </c>
      <c r="BH345" t="s">
        <v>862</v>
      </c>
      <c r="BI345">
        <v>0</v>
      </c>
      <c r="BJ345" t="s">
        <v>862</v>
      </c>
      <c r="BK345">
        <v>1</v>
      </c>
      <c r="BL345">
        <v>1</v>
      </c>
      <c r="BM345">
        <v>0</v>
      </c>
      <c r="BN345" t="s">
        <v>596</v>
      </c>
      <c r="BO345">
        <v>152949080</v>
      </c>
      <c r="BP345" t="s">
        <v>7583</v>
      </c>
      <c r="BQ345">
        <v>42.570408899999997</v>
      </c>
      <c r="BR345">
        <v>42791787</v>
      </c>
      <c r="BS345">
        <v>-87.889567499999998</v>
      </c>
      <c r="BT345">
        <v>2</v>
      </c>
      <c r="BU345" t="s">
        <v>1715</v>
      </c>
      <c r="BY345">
        <v>16</v>
      </c>
      <c r="CA345">
        <v>6</v>
      </c>
      <c r="CE345">
        <v>1</v>
      </c>
      <c r="CI345">
        <v>11</v>
      </c>
      <c r="CJ345" t="s">
        <v>94</v>
      </c>
      <c r="CM345">
        <v>4010</v>
      </c>
      <c r="CO345">
        <v>7360</v>
      </c>
      <c r="CP345">
        <v>0.5</v>
      </c>
      <c r="CQ345">
        <v>0.5</v>
      </c>
      <c r="CR345">
        <v>0.7167</v>
      </c>
      <c r="CS345">
        <v>2</v>
      </c>
      <c r="CT345" t="s">
        <v>7590</v>
      </c>
      <c r="CU345" t="s">
        <v>7589</v>
      </c>
      <c r="CV345" t="s">
        <v>833</v>
      </c>
      <c r="CW345" t="s">
        <v>834</v>
      </c>
      <c r="CX345" t="s">
        <v>7584</v>
      </c>
      <c r="CY345">
        <v>1</v>
      </c>
      <c r="CZ345">
        <v>1</v>
      </c>
      <c r="DA345" t="s">
        <v>833</v>
      </c>
      <c r="DB345" t="s">
        <v>865</v>
      </c>
      <c r="DC345">
        <v>53142</v>
      </c>
      <c r="DD345">
        <v>6.25</v>
      </c>
      <c r="DE345" t="s">
        <v>866</v>
      </c>
      <c r="DG345" t="s">
        <v>867</v>
      </c>
      <c r="DH345" t="s">
        <v>851</v>
      </c>
      <c r="DI345" t="s">
        <v>1624</v>
      </c>
      <c r="DK345" t="s">
        <v>918</v>
      </c>
      <c r="DL345" t="s">
        <v>869</v>
      </c>
      <c r="DM345">
        <v>0</v>
      </c>
      <c r="DN345">
        <v>0</v>
      </c>
      <c r="DO345">
        <v>11</v>
      </c>
      <c r="DP345" t="s">
        <v>1010</v>
      </c>
      <c r="DQ345">
        <v>0</v>
      </c>
      <c r="DR345">
        <v>375</v>
      </c>
      <c r="DS345">
        <v>405</v>
      </c>
      <c r="DT345">
        <v>6.25</v>
      </c>
      <c r="DU345">
        <v>0</v>
      </c>
      <c r="DV345">
        <v>1</v>
      </c>
      <c r="DW345">
        <v>2</v>
      </c>
      <c r="DX345" t="s">
        <v>596</v>
      </c>
      <c r="DY345" t="s">
        <v>7584</v>
      </c>
      <c r="DZ345">
        <v>1</v>
      </c>
      <c r="EA345">
        <v>1</v>
      </c>
      <c r="EB345">
        <v>1</v>
      </c>
      <c r="EC345">
        <v>1</v>
      </c>
      <c r="ED345">
        <v>1</v>
      </c>
      <c r="EE345">
        <v>1</v>
      </c>
      <c r="EF345" t="s">
        <v>920</v>
      </c>
      <c r="EG345" t="s">
        <v>595</v>
      </c>
      <c r="EH345" t="s">
        <v>921</v>
      </c>
      <c r="EI345" t="s">
        <v>921</v>
      </c>
      <c r="EJ345" t="s">
        <v>215</v>
      </c>
      <c r="EK345">
        <v>9090</v>
      </c>
      <c r="EL345">
        <v>0</v>
      </c>
      <c r="EM345" t="s">
        <v>873</v>
      </c>
      <c r="EN345">
        <v>0.7167</v>
      </c>
      <c r="EO345">
        <v>6.75</v>
      </c>
      <c r="EP345">
        <v>99991120</v>
      </c>
      <c r="EQ345" t="s">
        <v>874</v>
      </c>
      <c r="ER345" t="s">
        <v>875</v>
      </c>
      <c r="ES345" t="s">
        <v>876</v>
      </c>
      <c r="ET345" t="s">
        <v>877</v>
      </c>
      <c r="EU345" t="s">
        <v>877</v>
      </c>
      <c r="EV345" t="s">
        <v>920</v>
      </c>
      <c r="EX345" t="s">
        <v>836</v>
      </c>
      <c r="EY345" t="s">
        <v>873</v>
      </c>
      <c r="EZ345" t="s">
        <v>1807</v>
      </c>
      <c r="FA345" t="s">
        <v>925</v>
      </c>
      <c r="FB345">
        <v>1</v>
      </c>
      <c r="FC345">
        <v>1</v>
      </c>
      <c r="FD345" s="41">
        <v>46102</v>
      </c>
      <c r="FE345" t="s">
        <v>1719</v>
      </c>
      <c r="FF345">
        <v>6</v>
      </c>
      <c r="FG345" t="s">
        <v>1911</v>
      </c>
      <c r="FH345" t="s">
        <v>7591</v>
      </c>
      <c r="FI345">
        <v>1</v>
      </c>
      <c r="FJ345" t="s">
        <v>2831</v>
      </c>
      <c r="FK345" t="s">
        <v>7592</v>
      </c>
      <c r="FL345">
        <v>1</v>
      </c>
      <c r="FM345" t="s">
        <v>7593</v>
      </c>
      <c r="FN345" t="s">
        <v>7594</v>
      </c>
      <c r="FO345">
        <v>1</v>
      </c>
      <c r="FP345" t="s">
        <v>7595</v>
      </c>
      <c r="FQ345" t="s">
        <v>7589</v>
      </c>
      <c r="FR345">
        <v>1</v>
      </c>
      <c r="FS345" t="s">
        <v>2836</v>
      </c>
      <c r="FT345" t="s">
        <v>7596</v>
      </c>
      <c r="FU345">
        <v>1</v>
      </c>
      <c r="FV345" t="s">
        <v>2838</v>
      </c>
      <c r="FW345" t="s">
        <v>7597</v>
      </c>
      <c r="FX345">
        <v>1</v>
      </c>
      <c r="FY345" t="s">
        <v>890</v>
      </c>
      <c r="FZ345" t="s">
        <v>7598</v>
      </c>
      <c r="GA345" t="s">
        <v>2831</v>
      </c>
      <c r="GB345">
        <v>1</v>
      </c>
      <c r="GD345">
        <v>0</v>
      </c>
      <c r="GF345">
        <v>0</v>
      </c>
      <c r="GG345">
        <v>1</v>
      </c>
      <c r="GH345" t="s">
        <v>892</v>
      </c>
      <c r="GI345" t="s">
        <v>893</v>
      </c>
      <c r="GJ345" t="s">
        <v>7592</v>
      </c>
      <c r="GM345">
        <v>1</v>
      </c>
      <c r="GN345">
        <v>1</v>
      </c>
      <c r="GO345">
        <v>0</v>
      </c>
      <c r="GP345">
        <v>1</v>
      </c>
      <c r="GQ345">
        <v>1</v>
      </c>
      <c r="GR345">
        <v>0</v>
      </c>
      <c r="GS345">
        <v>1</v>
      </c>
      <c r="GT345">
        <v>0</v>
      </c>
      <c r="GU345">
        <v>1</v>
      </c>
      <c r="GV345">
        <v>0</v>
      </c>
      <c r="GW345">
        <v>1</v>
      </c>
      <c r="GX345">
        <v>0</v>
      </c>
      <c r="GY345">
        <v>1</v>
      </c>
      <c r="GZ345">
        <v>0</v>
      </c>
      <c r="HA345" t="s">
        <v>323</v>
      </c>
      <c r="HB345" t="s">
        <v>894</v>
      </c>
      <c r="HC345" t="s">
        <v>895</v>
      </c>
      <c r="HD345" t="s">
        <v>845</v>
      </c>
      <c r="HE345" t="s">
        <v>836</v>
      </c>
      <c r="HF345" t="s">
        <v>873</v>
      </c>
      <c r="HG345" t="s">
        <v>894</v>
      </c>
      <c r="HH345" t="s">
        <v>895</v>
      </c>
      <c r="HI345" t="s">
        <v>845</v>
      </c>
      <c r="HJ345" t="s">
        <v>836</v>
      </c>
      <c r="HK345" t="s">
        <v>873</v>
      </c>
      <c r="HL345" t="s">
        <v>219</v>
      </c>
      <c r="HM345" t="s">
        <v>854</v>
      </c>
      <c r="HN345">
        <v>36805</v>
      </c>
      <c r="HP345" t="s">
        <v>215</v>
      </c>
      <c r="HQ345" t="s">
        <v>896</v>
      </c>
      <c r="HR345" t="s">
        <v>896</v>
      </c>
      <c r="HS345" t="s">
        <v>896</v>
      </c>
    </row>
    <row r="346" spans="1:227" x14ac:dyDescent="0.2">
      <c r="A346">
        <v>8702</v>
      </c>
      <c r="B346">
        <v>7621504071</v>
      </c>
      <c r="C346" t="s">
        <v>936</v>
      </c>
      <c r="D346" t="s">
        <v>937</v>
      </c>
      <c r="E346" t="s">
        <v>897</v>
      </c>
      <c r="F346">
        <v>0</v>
      </c>
      <c r="G346" t="s">
        <v>7599</v>
      </c>
      <c r="H346" t="s">
        <v>7599</v>
      </c>
      <c r="I346">
        <v>0</v>
      </c>
      <c r="J346" t="s">
        <v>833</v>
      </c>
      <c r="K346" t="s">
        <v>834</v>
      </c>
      <c r="L346">
        <v>153406617</v>
      </c>
      <c r="M346" t="s">
        <v>7600</v>
      </c>
      <c r="N346" t="s">
        <v>900</v>
      </c>
      <c r="O346" t="s">
        <v>837</v>
      </c>
      <c r="P346" t="s">
        <v>940</v>
      </c>
      <c r="Q346" t="s">
        <v>1080</v>
      </c>
      <c r="R346" t="s">
        <v>7601</v>
      </c>
      <c r="S346" t="s">
        <v>7602</v>
      </c>
      <c r="T346">
        <v>30300086330</v>
      </c>
      <c r="V346" t="s">
        <v>198</v>
      </c>
      <c r="W346" s="41">
        <v>46237</v>
      </c>
      <c r="X346" t="s">
        <v>7603</v>
      </c>
      <c r="Y346" t="s">
        <v>7604</v>
      </c>
      <c r="AA346">
        <v>0</v>
      </c>
      <c r="AB346" t="s">
        <v>845</v>
      </c>
      <c r="AC346" t="s">
        <v>846</v>
      </c>
      <c r="AD346" t="s">
        <v>907</v>
      </c>
      <c r="AE346" t="s">
        <v>908</v>
      </c>
      <c r="AF346">
        <v>1</v>
      </c>
      <c r="AG346">
        <v>452210</v>
      </c>
      <c r="AH346" t="s">
        <v>849</v>
      </c>
      <c r="AI346" t="s">
        <v>850</v>
      </c>
      <c r="AJ346" t="s">
        <v>851</v>
      </c>
      <c r="AK346" t="s">
        <v>403</v>
      </c>
      <c r="AL346" t="s">
        <v>7605</v>
      </c>
      <c r="AM346" t="s">
        <v>1619</v>
      </c>
      <c r="AN346" t="s">
        <v>854</v>
      </c>
      <c r="AO346">
        <v>36805</v>
      </c>
      <c r="AP346">
        <v>640</v>
      </c>
      <c r="AQ346" t="s">
        <v>855</v>
      </c>
      <c r="AR346">
        <v>66579314</v>
      </c>
      <c r="AS346" t="s">
        <v>856</v>
      </c>
      <c r="AU346" t="s">
        <v>7606</v>
      </c>
      <c r="AV346" t="s">
        <v>7607</v>
      </c>
      <c r="AX346" t="s">
        <v>913</v>
      </c>
      <c r="AY346" t="s">
        <v>861</v>
      </c>
      <c r="AZ346" t="s">
        <v>403</v>
      </c>
      <c r="BA346" t="s">
        <v>404</v>
      </c>
      <c r="BB346">
        <v>0</v>
      </c>
      <c r="BC346">
        <v>0</v>
      </c>
      <c r="BD346">
        <v>0</v>
      </c>
      <c r="BE346" t="s">
        <v>7600</v>
      </c>
      <c r="BF346">
        <v>0</v>
      </c>
      <c r="BG346">
        <v>0</v>
      </c>
      <c r="BH346" t="s">
        <v>862</v>
      </c>
      <c r="BI346">
        <v>0</v>
      </c>
      <c r="BJ346" t="s">
        <v>862</v>
      </c>
      <c r="BK346">
        <v>1</v>
      </c>
      <c r="BL346">
        <v>1</v>
      </c>
      <c r="BM346">
        <v>0</v>
      </c>
      <c r="BN346" t="s">
        <v>596</v>
      </c>
      <c r="BO346">
        <v>153406617</v>
      </c>
      <c r="BP346" t="s">
        <v>7599</v>
      </c>
      <c r="BR346">
        <v>42791772</v>
      </c>
      <c r="BT346">
        <v>2</v>
      </c>
      <c r="BU346" t="s">
        <v>914</v>
      </c>
      <c r="BY346">
        <v>16</v>
      </c>
      <c r="CA346">
        <v>8</v>
      </c>
      <c r="CE346">
        <v>1</v>
      </c>
      <c r="CI346">
        <v>11</v>
      </c>
      <c r="CJ346" t="s">
        <v>94</v>
      </c>
      <c r="CM346">
        <v>4010</v>
      </c>
      <c r="CO346">
        <v>7360</v>
      </c>
      <c r="CP346">
        <v>0.36670000000000003</v>
      </c>
      <c r="CQ346">
        <v>0.36670000000000003</v>
      </c>
      <c r="CR346">
        <v>2.0333000000000001</v>
      </c>
      <c r="CS346">
        <v>800</v>
      </c>
      <c r="CT346" t="s">
        <v>7607</v>
      </c>
      <c r="CU346" t="s">
        <v>7606</v>
      </c>
      <c r="CV346" t="s">
        <v>833</v>
      </c>
      <c r="CW346" t="s">
        <v>834</v>
      </c>
      <c r="CX346" t="s">
        <v>7600</v>
      </c>
      <c r="CY346">
        <v>0</v>
      </c>
      <c r="CZ346">
        <v>0</v>
      </c>
      <c r="DA346" t="s">
        <v>833</v>
      </c>
      <c r="DB346" t="s">
        <v>865</v>
      </c>
      <c r="DC346">
        <v>48823</v>
      </c>
      <c r="DD346">
        <v>7.6166999999999998</v>
      </c>
      <c r="DE346" t="s">
        <v>866</v>
      </c>
      <c r="DG346" t="s">
        <v>867</v>
      </c>
      <c r="DH346" t="s">
        <v>851</v>
      </c>
      <c r="DK346" t="s">
        <v>918</v>
      </c>
      <c r="DL346" t="s">
        <v>869</v>
      </c>
      <c r="DM346">
        <v>0</v>
      </c>
      <c r="DN346">
        <v>0.1</v>
      </c>
      <c r="DO346">
        <v>2</v>
      </c>
      <c r="DP346" t="s">
        <v>870</v>
      </c>
      <c r="DQ346">
        <v>16</v>
      </c>
      <c r="DR346">
        <v>22</v>
      </c>
      <c r="DS346">
        <v>1052</v>
      </c>
      <c r="DT346">
        <v>0</v>
      </c>
      <c r="DU346">
        <v>4</v>
      </c>
      <c r="DV346">
        <v>1</v>
      </c>
      <c r="DW346">
        <v>2</v>
      </c>
      <c r="DX346" t="s">
        <v>596</v>
      </c>
      <c r="DY346" t="s">
        <v>7600</v>
      </c>
      <c r="DZ346">
        <v>1</v>
      </c>
      <c r="EA346">
        <v>1</v>
      </c>
      <c r="EB346">
        <v>1</v>
      </c>
      <c r="EC346">
        <v>0</v>
      </c>
      <c r="ED346">
        <v>1</v>
      </c>
      <c r="EE346">
        <v>1</v>
      </c>
      <c r="EF346" t="s">
        <v>920</v>
      </c>
      <c r="EG346" t="s">
        <v>595</v>
      </c>
      <c r="EH346" t="s">
        <v>921</v>
      </c>
      <c r="EI346" t="s">
        <v>921</v>
      </c>
      <c r="EJ346" t="s">
        <v>178</v>
      </c>
      <c r="EK346">
        <v>9090</v>
      </c>
      <c r="EL346">
        <v>0</v>
      </c>
      <c r="EM346" t="s">
        <v>922</v>
      </c>
      <c r="EN346">
        <v>2.0333000000000001</v>
      </c>
      <c r="EO346">
        <v>17.533333299999999</v>
      </c>
      <c r="EP346">
        <v>99991120</v>
      </c>
      <c r="EQ346" t="s">
        <v>874</v>
      </c>
      <c r="ER346" t="s">
        <v>875</v>
      </c>
      <c r="ES346" t="s">
        <v>876</v>
      </c>
      <c r="ET346" t="s">
        <v>877</v>
      </c>
      <c r="EU346" t="s">
        <v>877</v>
      </c>
      <c r="EV346" t="s">
        <v>920</v>
      </c>
      <c r="EX346" t="s">
        <v>900</v>
      </c>
      <c r="EY346" t="s">
        <v>923</v>
      </c>
      <c r="EZ346" t="s">
        <v>1625</v>
      </c>
      <c r="FA346" t="s">
        <v>879</v>
      </c>
      <c r="FB346">
        <v>1</v>
      </c>
      <c r="FC346">
        <v>1</v>
      </c>
      <c r="FD346" s="41">
        <v>46242</v>
      </c>
      <c r="FE346" t="s">
        <v>926</v>
      </c>
      <c r="FF346">
        <v>7</v>
      </c>
      <c r="FG346" t="s">
        <v>4799</v>
      </c>
      <c r="FH346" t="s">
        <v>7608</v>
      </c>
      <c r="FI346">
        <v>1</v>
      </c>
      <c r="FJ346" t="s">
        <v>7609</v>
      </c>
      <c r="FK346" t="s">
        <v>7610</v>
      </c>
      <c r="FL346">
        <v>1</v>
      </c>
      <c r="FM346" t="s">
        <v>7611</v>
      </c>
      <c r="FN346" t="s">
        <v>7612</v>
      </c>
      <c r="FO346">
        <v>1</v>
      </c>
      <c r="FP346" t="s">
        <v>7613</v>
      </c>
      <c r="FQ346" t="s">
        <v>7606</v>
      </c>
      <c r="FR346">
        <v>1</v>
      </c>
      <c r="FS346" t="s">
        <v>1626</v>
      </c>
      <c r="FT346" t="s">
        <v>7614</v>
      </c>
      <c r="FU346">
        <v>1</v>
      </c>
      <c r="FV346" t="s">
        <v>7615</v>
      </c>
      <c r="FW346" t="s">
        <v>7616</v>
      </c>
      <c r="FX346">
        <v>1</v>
      </c>
      <c r="FY346" t="s">
        <v>890</v>
      </c>
      <c r="FZ346" t="s">
        <v>7617</v>
      </c>
      <c r="GA346" t="s">
        <v>7609</v>
      </c>
      <c r="GB346">
        <v>1</v>
      </c>
      <c r="GD346">
        <v>0</v>
      </c>
      <c r="GF346">
        <v>0</v>
      </c>
      <c r="GG346">
        <v>1</v>
      </c>
      <c r="GH346" t="s">
        <v>892</v>
      </c>
      <c r="GI346" t="s">
        <v>893</v>
      </c>
      <c r="GJ346" t="s">
        <v>7610</v>
      </c>
      <c r="GM346">
        <v>1</v>
      </c>
      <c r="GN346">
        <v>1</v>
      </c>
      <c r="GO346">
        <v>0</v>
      </c>
      <c r="GP346">
        <v>1</v>
      </c>
      <c r="GQ346">
        <v>1</v>
      </c>
      <c r="GR346">
        <v>0</v>
      </c>
      <c r="GS346">
        <v>1</v>
      </c>
      <c r="GT346">
        <v>0</v>
      </c>
      <c r="GU346">
        <v>1</v>
      </c>
      <c r="GV346">
        <v>0</v>
      </c>
      <c r="GW346">
        <v>1</v>
      </c>
      <c r="GX346">
        <v>0</v>
      </c>
      <c r="GY346">
        <v>1</v>
      </c>
      <c r="GZ346">
        <v>0</v>
      </c>
      <c r="HA346" t="s">
        <v>403</v>
      </c>
      <c r="HB346" t="s">
        <v>894</v>
      </c>
      <c r="HC346" t="s">
        <v>935</v>
      </c>
      <c r="HD346" t="s">
        <v>845</v>
      </c>
      <c r="HE346" t="s">
        <v>900</v>
      </c>
      <c r="HF346" t="s">
        <v>923</v>
      </c>
      <c r="HG346" t="s">
        <v>894</v>
      </c>
      <c r="HH346" t="s">
        <v>935</v>
      </c>
      <c r="HI346" t="s">
        <v>845</v>
      </c>
      <c r="HJ346" t="s">
        <v>900</v>
      </c>
      <c r="HK346" t="s">
        <v>922</v>
      </c>
      <c r="HL346" t="s">
        <v>198</v>
      </c>
      <c r="HM346" t="s">
        <v>854</v>
      </c>
      <c r="HN346">
        <v>36805</v>
      </c>
      <c r="HP346" t="s">
        <v>178</v>
      </c>
      <c r="HQ346" t="s">
        <v>896</v>
      </c>
      <c r="HR346" t="s">
        <v>896</v>
      </c>
      <c r="HS346" t="s">
        <v>896</v>
      </c>
    </row>
    <row r="347" spans="1:227" x14ac:dyDescent="0.2">
      <c r="A347">
        <v>8702</v>
      </c>
      <c r="B347">
        <v>7524504292</v>
      </c>
      <c r="C347">
        <v>36</v>
      </c>
      <c r="D347" t="s">
        <v>1302</v>
      </c>
      <c r="E347" t="s">
        <v>831</v>
      </c>
      <c r="F347">
        <v>1</v>
      </c>
      <c r="G347" t="s">
        <v>7618</v>
      </c>
      <c r="H347" t="s">
        <v>7618</v>
      </c>
      <c r="I347">
        <v>0</v>
      </c>
      <c r="J347" t="s">
        <v>833</v>
      </c>
      <c r="K347" t="s">
        <v>834</v>
      </c>
      <c r="L347">
        <v>156586341</v>
      </c>
      <c r="M347" t="s">
        <v>7619</v>
      </c>
      <c r="N347" t="s">
        <v>836</v>
      </c>
      <c r="O347" t="s">
        <v>837</v>
      </c>
      <c r="P347" t="s">
        <v>1302</v>
      </c>
      <c r="Q347" t="s">
        <v>1305</v>
      </c>
      <c r="R347" t="s">
        <v>7620</v>
      </c>
      <c r="S347" t="s">
        <v>7621</v>
      </c>
      <c r="T347">
        <v>41477066044</v>
      </c>
      <c r="V347" t="s">
        <v>191</v>
      </c>
      <c r="W347" s="41">
        <v>45903</v>
      </c>
      <c r="X347" t="s">
        <v>7622</v>
      </c>
      <c r="Y347" t="s">
        <v>7623</v>
      </c>
      <c r="AA347">
        <v>0</v>
      </c>
      <c r="AB347" t="s">
        <v>845</v>
      </c>
      <c r="AC347" t="s">
        <v>846</v>
      </c>
      <c r="AD347" t="s">
        <v>847</v>
      </c>
      <c r="AE347" t="s">
        <v>848</v>
      </c>
      <c r="AF347">
        <v>1</v>
      </c>
      <c r="AG347">
        <v>452210</v>
      </c>
      <c r="AH347" t="s">
        <v>849</v>
      </c>
      <c r="AI347" t="s">
        <v>850</v>
      </c>
      <c r="AJ347" t="s">
        <v>851</v>
      </c>
      <c r="AK347" t="s">
        <v>350</v>
      </c>
      <c r="AL347" t="s">
        <v>3750</v>
      </c>
      <c r="AM347" t="s">
        <v>2252</v>
      </c>
      <c r="AN347" t="s">
        <v>854</v>
      </c>
      <c r="AO347">
        <v>36805</v>
      </c>
      <c r="AP347">
        <v>636</v>
      </c>
      <c r="AQ347" t="s">
        <v>855</v>
      </c>
      <c r="AR347">
        <v>66097986</v>
      </c>
      <c r="AS347" t="s">
        <v>856</v>
      </c>
      <c r="AU347" t="s">
        <v>7624</v>
      </c>
      <c r="AV347" t="s">
        <v>7625</v>
      </c>
      <c r="AX347" t="s">
        <v>913</v>
      </c>
      <c r="AY347" t="s">
        <v>861</v>
      </c>
      <c r="AZ347" t="s">
        <v>350</v>
      </c>
      <c r="BA347" t="s">
        <v>351</v>
      </c>
      <c r="BB347">
        <v>0</v>
      </c>
      <c r="BC347">
        <v>0</v>
      </c>
      <c r="BD347">
        <v>0</v>
      </c>
      <c r="BE347" t="s">
        <v>7619</v>
      </c>
      <c r="BF347">
        <v>0</v>
      </c>
      <c r="BG347">
        <v>0</v>
      </c>
      <c r="BH347" t="s">
        <v>862</v>
      </c>
      <c r="BI347">
        <v>0</v>
      </c>
      <c r="BJ347" t="s">
        <v>862</v>
      </c>
      <c r="BK347">
        <v>1</v>
      </c>
      <c r="BL347">
        <v>1</v>
      </c>
      <c r="BM347">
        <v>0</v>
      </c>
      <c r="BN347" t="s">
        <v>596</v>
      </c>
      <c r="BO347">
        <v>156586341</v>
      </c>
      <c r="BP347" t="s">
        <v>7618</v>
      </c>
      <c r="BR347">
        <v>42791762</v>
      </c>
      <c r="BT347">
        <v>0</v>
      </c>
      <c r="CM347">
        <v>4010</v>
      </c>
      <c r="CO347">
        <v>7360</v>
      </c>
      <c r="CP347">
        <v>1.05</v>
      </c>
      <c r="CQ347">
        <v>1.05</v>
      </c>
      <c r="CR347">
        <v>1.1667000000000001</v>
      </c>
      <c r="CS347">
        <v>4</v>
      </c>
      <c r="CT347" t="s">
        <v>7625</v>
      </c>
      <c r="CU347" t="s">
        <v>7624</v>
      </c>
      <c r="CV347" t="s">
        <v>833</v>
      </c>
      <c r="CW347" t="s">
        <v>834</v>
      </c>
      <c r="CX347" t="s">
        <v>7619</v>
      </c>
      <c r="CY347">
        <v>0</v>
      </c>
      <c r="CZ347">
        <v>0</v>
      </c>
      <c r="DA347" t="s">
        <v>833</v>
      </c>
      <c r="DB347" t="s">
        <v>865</v>
      </c>
      <c r="DC347">
        <v>60305</v>
      </c>
      <c r="DD347">
        <v>10.65</v>
      </c>
      <c r="DE347" t="s">
        <v>866</v>
      </c>
      <c r="DG347" t="s">
        <v>867</v>
      </c>
      <c r="DH347" t="s">
        <v>851</v>
      </c>
      <c r="DL347" t="s">
        <v>869</v>
      </c>
      <c r="DM347">
        <v>0</v>
      </c>
      <c r="DN347">
        <v>0</v>
      </c>
      <c r="DO347">
        <v>12</v>
      </c>
      <c r="DP347" t="s">
        <v>1190</v>
      </c>
      <c r="DQ347">
        <v>16</v>
      </c>
      <c r="DR347">
        <v>639</v>
      </c>
      <c r="DS347">
        <v>1359</v>
      </c>
      <c r="DT347">
        <v>9.6</v>
      </c>
      <c r="DU347">
        <v>4</v>
      </c>
      <c r="DW347">
        <v>2</v>
      </c>
      <c r="DX347" t="s">
        <v>596</v>
      </c>
      <c r="DY347" t="s">
        <v>7619</v>
      </c>
      <c r="DZ347">
        <v>1</v>
      </c>
      <c r="EA347">
        <v>1</v>
      </c>
      <c r="EB347">
        <v>1</v>
      </c>
      <c r="EC347">
        <v>0</v>
      </c>
      <c r="ED347">
        <v>0</v>
      </c>
      <c r="EE347">
        <v>1</v>
      </c>
      <c r="EF347" t="s">
        <v>871</v>
      </c>
      <c r="EG347" t="s">
        <v>595</v>
      </c>
      <c r="EH347" t="s">
        <v>921</v>
      </c>
      <c r="EI347" t="s">
        <v>921</v>
      </c>
      <c r="EJ347" t="s">
        <v>181</v>
      </c>
      <c r="EK347">
        <v>9090</v>
      </c>
      <c r="EL347">
        <v>0</v>
      </c>
      <c r="EM347" t="s">
        <v>1436</v>
      </c>
      <c r="EN347">
        <v>1.1667000000000001</v>
      </c>
      <c r="EO347">
        <v>22.65</v>
      </c>
      <c r="EP347">
        <v>99991120</v>
      </c>
      <c r="EQ347" t="s">
        <v>874</v>
      </c>
      <c r="ER347" t="s">
        <v>875</v>
      </c>
      <c r="ES347" t="s">
        <v>876</v>
      </c>
      <c r="ET347" t="s">
        <v>877</v>
      </c>
      <c r="EU347" t="s">
        <v>877</v>
      </c>
      <c r="EV347" t="s">
        <v>871</v>
      </c>
      <c r="EX347" t="s">
        <v>836</v>
      </c>
      <c r="EY347" t="s">
        <v>873</v>
      </c>
      <c r="EZ347" t="s">
        <v>1437</v>
      </c>
      <c r="FA347" t="s">
        <v>956</v>
      </c>
      <c r="FB347">
        <v>1</v>
      </c>
      <c r="FC347">
        <v>1</v>
      </c>
      <c r="FD347" s="41">
        <v>45906</v>
      </c>
      <c r="FE347" t="s">
        <v>880</v>
      </c>
      <c r="FF347">
        <v>8</v>
      </c>
      <c r="FG347" t="s">
        <v>2655</v>
      </c>
      <c r="FH347" t="s">
        <v>7626</v>
      </c>
      <c r="FI347">
        <v>1</v>
      </c>
      <c r="FJ347" t="s">
        <v>7627</v>
      </c>
      <c r="FK347" t="s">
        <v>7628</v>
      </c>
      <c r="FL347">
        <v>1</v>
      </c>
      <c r="FM347" t="s">
        <v>7629</v>
      </c>
      <c r="FN347" t="s">
        <v>7630</v>
      </c>
      <c r="FO347">
        <v>1</v>
      </c>
      <c r="FP347" t="s">
        <v>7631</v>
      </c>
      <c r="FQ347" t="s">
        <v>7624</v>
      </c>
      <c r="FR347">
        <v>1</v>
      </c>
      <c r="FS347" t="s">
        <v>2260</v>
      </c>
      <c r="FT347" t="s">
        <v>7632</v>
      </c>
      <c r="FU347">
        <v>1</v>
      </c>
      <c r="FV347" t="s">
        <v>7633</v>
      </c>
      <c r="FW347" t="s">
        <v>7634</v>
      </c>
      <c r="FX347">
        <v>1</v>
      </c>
      <c r="FY347" t="s">
        <v>890</v>
      </c>
      <c r="FZ347" t="s">
        <v>7635</v>
      </c>
      <c r="GA347" t="s">
        <v>7627</v>
      </c>
      <c r="GB347">
        <v>1</v>
      </c>
      <c r="GD347">
        <v>0</v>
      </c>
      <c r="GF347">
        <v>0</v>
      </c>
      <c r="GG347">
        <v>1</v>
      </c>
      <c r="GH347" t="s">
        <v>892</v>
      </c>
      <c r="GI347" t="s">
        <v>893</v>
      </c>
      <c r="GJ347" t="s">
        <v>7628</v>
      </c>
      <c r="GM347">
        <v>1</v>
      </c>
      <c r="GN347">
        <v>1</v>
      </c>
      <c r="GO347">
        <v>0</v>
      </c>
      <c r="GP347">
        <v>1</v>
      </c>
      <c r="GQ347">
        <v>1</v>
      </c>
      <c r="GR347">
        <v>0</v>
      </c>
      <c r="GS347">
        <v>1</v>
      </c>
      <c r="GT347">
        <v>0</v>
      </c>
      <c r="GU347">
        <v>1</v>
      </c>
      <c r="GV347">
        <v>0</v>
      </c>
      <c r="GW347">
        <v>1</v>
      </c>
      <c r="GX347">
        <v>0</v>
      </c>
      <c r="GY347">
        <v>1</v>
      </c>
      <c r="GZ347">
        <v>0</v>
      </c>
      <c r="HA347" t="s">
        <v>350</v>
      </c>
      <c r="HB347" t="s">
        <v>894</v>
      </c>
      <c r="HC347" t="s">
        <v>895</v>
      </c>
      <c r="HD347" t="s">
        <v>845</v>
      </c>
      <c r="HE347" t="s">
        <v>836</v>
      </c>
      <c r="HF347" t="s">
        <v>873</v>
      </c>
      <c r="HG347" t="s">
        <v>894</v>
      </c>
      <c r="HH347" t="s">
        <v>895</v>
      </c>
      <c r="HI347" t="s">
        <v>845</v>
      </c>
      <c r="HJ347" t="s">
        <v>836</v>
      </c>
      <c r="HK347" t="s">
        <v>1436</v>
      </c>
      <c r="HL347" t="s">
        <v>191</v>
      </c>
      <c r="HM347" t="s">
        <v>854</v>
      </c>
      <c r="HN347">
        <v>36805</v>
      </c>
      <c r="HP347" t="s">
        <v>181</v>
      </c>
      <c r="HQ347" t="s">
        <v>896</v>
      </c>
      <c r="HR347" t="s">
        <v>896</v>
      </c>
      <c r="HS347" t="s">
        <v>896</v>
      </c>
    </row>
    <row r="348" spans="1:227" x14ac:dyDescent="0.2">
      <c r="A348">
        <v>8702</v>
      </c>
      <c r="B348">
        <v>7621817039</v>
      </c>
      <c r="C348">
        <v>36</v>
      </c>
      <c r="D348" t="s">
        <v>1302</v>
      </c>
      <c r="E348" t="s">
        <v>897</v>
      </c>
      <c r="F348">
        <v>1</v>
      </c>
      <c r="G348" t="s">
        <v>7636</v>
      </c>
      <c r="H348" t="s">
        <v>7636</v>
      </c>
      <c r="I348">
        <v>0</v>
      </c>
      <c r="J348" t="s">
        <v>833</v>
      </c>
      <c r="K348" t="s">
        <v>834</v>
      </c>
      <c r="L348">
        <v>156057615</v>
      </c>
      <c r="M348" t="s">
        <v>3104</v>
      </c>
      <c r="N348" t="s">
        <v>900</v>
      </c>
      <c r="O348" t="s">
        <v>837</v>
      </c>
      <c r="P348" t="s">
        <v>1302</v>
      </c>
      <c r="Q348" t="s">
        <v>1517</v>
      </c>
      <c r="R348" t="s">
        <v>7637</v>
      </c>
      <c r="S348" t="s">
        <v>7638</v>
      </c>
      <c r="T348">
        <v>41477056615</v>
      </c>
      <c r="V348" t="s">
        <v>3107</v>
      </c>
      <c r="W348" s="41">
        <v>46240</v>
      </c>
      <c r="X348" t="s">
        <v>7639</v>
      </c>
      <c r="Y348" t="s">
        <v>7640</v>
      </c>
      <c r="AA348">
        <v>0</v>
      </c>
      <c r="AB348" t="s">
        <v>845</v>
      </c>
      <c r="AC348" t="s">
        <v>846</v>
      </c>
      <c r="AD348" t="s">
        <v>907</v>
      </c>
      <c r="AE348" t="s">
        <v>908</v>
      </c>
      <c r="AF348">
        <v>1</v>
      </c>
      <c r="AG348">
        <v>452210</v>
      </c>
      <c r="AH348" t="s">
        <v>849</v>
      </c>
      <c r="AI348" t="s">
        <v>850</v>
      </c>
      <c r="AJ348" t="s">
        <v>851</v>
      </c>
      <c r="AK348" t="s">
        <v>275</v>
      </c>
      <c r="AL348" t="s">
        <v>3110</v>
      </c>
      <c r="AM348" t="s">
        <v>3111</v>
      </c>
      <c r="AN348" t="s">
        <v>854</v>
      </c>
      <c r="AO348">
        <v>36805</v>
      </c>
      <c r="AP348">
        <v>921</v>
      </c>
      <c r="AQ348" t="s">
        <v>855</v>
      </c>
      <c r="AR348">
        <v>66583447</v>
      </c>
      <c r="AS348" t="s">
        <v>856</v>
      </c>
      <c r="AU348" t="s">
        <v>7641</v>
      </c>
      <c r="AV348" t="s">
        <v>7642</v>
      </c>
      <c r="AX348" t="s">
        <v>913</v>
      </c>
      <c r="AY348" t="s">
        <v>861</v>
      </c>
      <c r="AZ348" t="s">
        <v>275</v>
      </c>
      <c r="BA348" t="s">
        <v>276</v>
      </c>
      <c r="BB348">
        <v>0</v>
      </c>
      <c r="BC348">
        <v>0</v>
      </c>
      <c r="BD348">
        <v>1</v>
      </c>
      <c r="BE348" t="s">
        <v>3104</v>
      </c>
      <c r="BF348">
        <v>0</v>
      </c>
      <c r="BG348">
        <v>0</v>
      </c>
      <c r="BH348" t="s">
        <v>862</v>
      </c>
      <c r="BI348">
        <v>0</v>
      </c>
      <c r="BJ348" t="s">
        <v>862</v>
      </c>
      <c r="BK348">
        <v>1</v>
      </c>
      <c r="BL348">
        <v>1</v>
      </c>
      <c r="BM348">
        <v>0</v>
      </c>
      <c r="BN348" t="s">
        <v>596</v>
      </c>
      <c r="BO348">
        <v>156057615</v>
      </c>
      <c r="BP348" t="s">
        <v>7636</v>
      </c>
      <c r="BR348">
        <v>42793646</v>
      </c>
      <c r="BT348">
        <v>2</v>
      </c>
      <c r="BU348" t="s">
        <v>914</v>
      </c>
      <c r="BY348">
        <v>16</v>
      </c>
      <c r="CA348">
        <v>2</v>
      </c>
      <c r="CE348">
        <v>1</v>
      </c>
      <c r="CI348">
        <v>11</v>
      </c>
      <c r="CJ348" t="s">
        <v>94</v>
      </c>
      <c r="CM348">
        <v>4010</v>
      </c>
      <c r="CO348">
        <v>7360</v>
      </c>
      <c r="CP348">
        <v>1.2166999999999999</v>
      </c>
      <c r="CQ348">
        <v>1.2166999999999999</v>
      </c>
      <c r="CR348">
        <v>0.8</v>
      </c>
      <c r="CS348">
        <v>1</v>
      </c>
      <c r="CT348" t="s">
        <v>7642</v>
      </c>
      <c r="CU348" t="s">
        <v>7641</v>
      </c>
      <c r="CV348" t="s">
        <v>833</v>
      </c>
      <c r="CW348" t="s">
        <v>834</v>
      </c>
      <c r="CX348" t="s">
        <v>3104</v>
      </c>
      <c r="CY348">
        <v>1</v>
      </c>
      <c r="CZ348">
        <v>1</v>
      </c>
      <c r="DA348" t="s">
        <v>833</v>
      </c>
      <c r="DB348" t="s">
        <v>865</v>
      </c>
      <c r="DC348">
        <v>45249</v>
      </c>
      <c r="DD348">
        <v>2.1</v>
      </c>
      <c r="DE348" t="s">
        <v>866</v>
      </c>
      <c r="DG348" t="s">
        <v>867</v>
      </c>
      <c r="DH348" t="s">
        <v>851</v>
      </c>
      <c r="DJ348">
        <v>921</v>
      </c>
      <c r="DK348" t="s">
        <v>918</v>
      </c>
      <c r="DL348" t="s">
        <v>869</v>
      </c>
      <c r="DM348">
        <v>0</v>
      </c>
      <c r="DN348">
        <v>0</v>
      </c>
      <c r="DO348">
        <v>11</v>
      </c>
      <c r="DP348" t="s">
        <v>1010</v>
      </c>
      <c r="DQ348">
        <v>16</v>
      </c>
      <c r="DR348">
        <v>126</v>
      </c>
      <c r="DS348">
        <v>126</v>
      </c>
      <c r="DT348">
        <v>0.88329999999999997</v>
      </c>
      <c r="DU348">
        <v>4</v>
      </c>
      <c r="DV348">
        <v>1</v>
      </c>
      <c r="DW348">
        <v>2</v>
      </c>
      <c r="DX348" t="s">
        <v>596</v>
      </c>
      <c r="DY348" t="s">
        <v>3104</v>
      </c>
      <c r="DZ348">
        <v>1</v>
      </c>
      <c r="EA348">
        <v>1</v>
      </c>
      <c r="EB348">
        <v>1</v>
      </c>
      <c r="EC348">
        <v>1</v>
      </c>
      <c r="ED348">
        <v>1</v>
      </c>
      <c r="EE348">
        <v>1</v>
      </c>
      <c r="EF348" t="s">
        <v>871</v>
      </c>
      <c r="EG348" t="s">
        <v>595</v>
      </c>
      <c r="EH348" t="s">
        <v>921</v>
      </c>
      <c r="EI348" t="s">
        <v>921</v>
      </c>
      <c r="EJ348" t="s">
        <v>226</v>
      </c>
      <c r="EK348">
        <v>9090</v>
      </c>
      <c r="EL348">
        <v>0</v>
      </c>
      <c r="EM348" t="s">
        <v>1157</v>
      </c>
      <c r="EN348">
        <v>0.8</v>
      </c>
      <c r="EO348">
        <v>2.1</v>
      </c>
      <c r="EP348">
        <v>99991120</v>
      </c>
      <c r="EQ348" t="s">
        <v>874</v>
      </c>
      <c r="ER348" t="s">
        <v>875</v>
      </c>
      <c r="ES348" t="s">
        <v>876</v>
      </c>
      <c r="ET348" t="s">
        <v>877</v>
      </c>
      <c r="EU348" t="s">
        <v>877</v>
      </c>
      <c r="EV348" t="s">
        <v>871</v>
      </c>
      <c r="EX348" t="s">
        <v>900</v>
      </c>
      <c r="EY348" t="s">
        <v>923</v>
      </c>
      <c r="EZ348" t="s">
        <v>3116</v>
      </c>
      <c r="FA348" t="s">
        <v>925</v>
      </c>
      <c r="FB348">
        <v>1</v>
      </c>
      <c r="FC348">
        <v>1</v>
      </c>
      <c r="FD348" s="41">
        <v>46242</v>
      </c>
      <c r="FE348" t="s">
        <v>926</v>
      </c>
      <c r="FF348">
        <v>4</v>
      </c>
      <c r="FI348">
        <v>0</v>
      </c>
      <c r="FL348">
        <v>0</v>
      </c>
      <c r="FM348" t="s">
        <v>3117</v>
      </c>
      <c r="FN348" t="s">
        <v>7643</v>
      </c>
      <c r="FO348">
        <v>1</v>
      </c>
      <c r="FP348" t="s">
        <v>7644</v>
      </c>
      <c r="FQ348" t="s">
        <v>7641</v>
      </c>
      <c r="FR348">
        <v>1</v>
      </c>
      <c r="FS348" t="s">
        <v>3120</v>
      </c>
      <c r="FT348" t="s">
        <v>7645</v>
      </c>
      <c r="FU348">
        <v>1</v>
      </c>
      <c r="FV348" t="s">
        <v>7646</v>
      </c>
      <c r="FW348" t="s">
        <v>7647</v>
      </c>
      <c r="FX348">
        <v>1</v>
      </c>
      <c r="FY348" t="s">
        <v>890</v>
      </c>
      <c r="FZ348" t="s">
        <v>7648</v>
      </c>
      <c r="GA348" t="s">
        <v>7646</v>
      </c>
      <c r="GB348">
        <v>1</v>
      </c>
      <c r="GD348">
        <v>0</v>
      </c>
      <c r="GF348">
        <v>0</v>
      </c>
      <c r="GG348">
        <v>1</v>
      </c>
      <c r="GH348" t="s">
        <v>892</v>
      </c>
      <c r="GI348" t="s">
        <v>893</v>
      </c>
      <c r="GJ348" t="s">
        <v>7647</v>
      </c>
      <c r="GM348">
        <v>1</v>
      </c>
      <c r="GN348">
        <v>1</v>
      </c>
      <c r="GO348">
        <v>0</v>
      </c>
      <c r="GP348">
        <v>1</v>
      </c>
      <c r="GQ348">
        <v>1</v>
      </c>
      <c r="GR348">
        <v>0</v>
      </c>
      <c r="GS348">
        <v>1</v>
      </c>
      <c r="GT348">
        <v>0</v>
      </c>
      <c r="GU348">
        <v>1</v>
      </c>
      <c r="GV348">
        <v>0</v>
      </c>
      <c r="GW348">
        <v>1</v>
      </c>
      <c r="GX348">
        <v>0</v>
      </c>
      <c r="GY348">
        <v>1</v>
      </c>
      <c r="GZ348">
        <v>0</v>
      </c>
      <c r="HA348" t="s">
        <v>275</v>
      </c>
      <c r="HB348" t="s">
        <v>894</v>
      </c>
      <c r="HC348" t="s">
        <v>935</v>
      </c>
      <c r="HD348" t="s">
        <v>845</v>
      </c>
      <c r="HE348" t="s">
        <v>900</v>
      </c>
      <c r="HF348" t="s">
        <v>923</v>
      </c>
      <c r="HG348" t="s">
        <v>894</v>
      </c>
      <c r="HH348" t="s">
        <v>935</v>
      </c>
      <c r="HI348" t="s">
        <v>845</v>
      </c>
      <c r="HJ348" t="s">
        <v>900</v>
      </c>
      <c r="HK348" t="s">
        <v>922</v>
      </c>
      <c r="HL348" t="s">
        <v>3107</v>
      </c>
      <c r="HM348" t="s">
        <v>854</v>
      </c>
      <c r="HN348">
        <v>36805</v>
      </c>
      <c r="HP348" t="s">
        <v>226</v>
      </c>
      <c r="HQ348" t="s">
        <v>896</v>
      </c>
      <c r="HR348" t="s">
        <v>896</v>
      </c>
      <c r="HS348" t="s">
        <v>896</v>
      </c>
    </row>
    <row r="349" spans="1:227" x14ac:dyDescent="0.2">
      <c r="A349">
        <v>8702</v>
      </c>
      <c r="B349">
        <v>7533210258</v>
      </c>
      <c r="C349" t="s">
        <v>829</v>
      </c>
      <c r="D349" t="s">
        <v>830</v>
      </c>
      <c r="E349" t="s">
        <v>831</v>
      </c>
      <c r="F349">
        <v>1</v>
      </c>
      <c r="G349" t="s">
        <v>7649</v>
      </c>
      <c r="H349" t="s">
        <v>7649</v>
      </c>
      <c r="I349">
        <v>0</v>
      </c>
      <c r="J349" t="s">
        <v>833</v>
      </c>
      <c r="K349" t="s">
        <v>834</v>
      </c>
      <c r="L349">
        <v>153008251</v>
      </c>
      <c r="M349" t="s">
        <v>2076</v>
      </c>
      <c r="N349" t="s">
        <v>836</v>
      </c>
      <c r="O349" t="s">
        <v>837</v>
      </c>
      <c r="P349" t="s">
        <v>838</v>
      </c>
      <c r="Q349" t="s">
        <v>1593</v>
      </c>
      <c r="R349" t="s">
        <v>7650</v>
      </c>
      <c r="S349" t="s">
        <v>7651</v>
      </c>
      <c r="T349">
        <v>41477009259</v>
      </c>
      <c r="V349" t="s">
        <v>117</v>
      </c>
      <c r="W349" s="41">
        <v>45989</v>
      </c>
      <c r="X349" t="s">
        <v>7652</v>
      </c>
      <c r="Y349" t="s">
        <v>7653</v>
      </c>
      <c r="AA349">
        <v>0</v>
      </c>
      <c r="AB349" t="s">
        <v>845</v>
      </c>
      <c r="AC349" t="s">
        <v>846</v>
      </c>
      <c r="AD349" t="s">
        <v>847</v>
      </c>
      <c r="AE349" t="s">
        <v>848</v>
      </c>
      <c r="AF349">
        <v>1</v>
      </c>
      <c r="AG349">
        <v>452210</v>
      </c>
      <c r="AH349" t="s">
        <v>849</v>
      </c>
      <c r="AI349" t="s">
        <v>850</v>
      </c>
      <c r="AJ349" t="s">
        <v>851</v>
      </c>
      <c r="AK349" t="s">
        <v>257</v>
      </c>
      <c r="AL349" t="s">
        <v>2012</v>
      </c>
      <c r="AM349" t="s">
        <v>1364</v>
      </c>
      <c r="AN349" t="s">
        <v>854</v>
      </c>
      <c r="AO349">
        <v>36805</v>
      </c>
      <c r="AP349">
        <v>493</v>
      </c>
      <c r="AQ349" t="s">
        <v>855</v>
      </c>
      <c r="AR349">
        <v>66222282</v>
      </c>
      <c r="AS349" t="s">
        <v>856</v>
      </c>
      <c r="AU349" t="s">
        <v>7654</v>
      </c>
      <c r="AV349" t="s">
        <v>7655</v>
      </c>
      <c r="AW349" t="s">
        <v>859</v>
      </c>
      <c r="AX349" t="s">
        <v>860</v>
      </c>
      <c r="AY349" t="s">
        <v>861</v>
      </c>
      <c r="AZ349" t="s">
        <v>257</v>
      </c>
      <c r="BA349" t="s">
        <v>258</v>
      </c>
      <c r="BB349">
        <v>0</v>
      </c>
      <c r="BC349">
        <v>0</v>
      </c>
      <c r="BD349">
        <v>0</v>
      </c>
      <c r="BE349" t="s">
        <v>2076</v>
      </c>
      <c r="BF349">
        <v>0</v>
      </c>
      <c r="BG349">
        <v>0</v>
      </c>
      <c r="BH349" t="s">
        <v>862</v>
      </c>
      <c r="BI349">
        <v>0</v>
      </c>
      <c r="BJ349" t="s">
        <v>862</v>
      </c>
      <c r="BK349">
        <v>1</v>
      </c>
      <c r="BL349">
        <v>0</v>
      </c>
      <c r="BM349">
        <v>0</v>
      </c>
      <c r="BN349" t="s">
        <v>596</v>
      </c>
      <c r="BO349">
        <v>153008251</v>
      </c>
      <c r="BP349" t="s">
        <v>7649</v>
      </c>
      <c r="BQ349">
        <v>38.779370999999998</v>
      </c>
      <c r="BR349">
        <v>42789054</v>
      </c>
      <c r="BS349">
        <v>-90.702741599999996</v>
      </c>
      <c r="BT349">
        <v>0</v>
      </c>
      <c r="CM349">
        <v>4010</v>
      </c>
      <c r="CO349">
        <v>7360</v>
      </c>
      <c r="CP349">
        <v>1.0166999999999999</v>
      </c>
      <c r="CQ349">
        <v>1.0166999999999999</v>
      </c>
      <c r="CR349">
        <v>1.4</v>
      </c>
      <c r="CS349">
        <v>5</v>
      </c>
      <c r="CT349" t="s">
        <v>7655</v>
      </c>
      <c r="CU349" t="s">
        <v>7654</v>
      </c>
      <c r="CV349" t="s">
        <v>833</v>
      </c>
      <c r="CW349" t="s">
        <v>834</v>
      </c>
      <c r="CX349" t="s">
        <v>2076</v>
      </c>
      <c r="CY349">
        <v>0</v>
      </c>
      <c r="CZ349">
        <v>0</v>
      </c>
      <c r="DA349" t="s">
        <v>833</v>
      </c>
      <c r="DB349" t="s">
        <v>865</v>
      </c>
      <c r="DC349">
        <v>63368</v>
      </c>
      <c r="DD349">
        <v>8.8833000000000002</v>
      </c>
      <c r="DE349" t="s">
        <v>866</v>
      </c>
      <c r="DG349" t="s">
        <v>867</v>
      </c>
      <c r="DH349" t="s">
        <v>851</v>
      </c>
      <c r="DI349" t="s">
        <v>2085</v>
      </c>
      <c r="DL349" t="s">
        <v>869</v>
      </c>
      <c r="DM349">
        <v>0</v>
      </c>
      <c r="DN349">
        <v>0</v>
      </c>
      <c r="DO349">
        <v>56</v>
      </c>
      <c r="DP349" t="s">
        <v>7656</v>
      </c>
      <c r="DQ349">
        <v>16</v>
      </c>
      <c r="DR349">
        <v>533</v>
      </c>
      <c r="DS349">
        <v>533</v>
      </c>
      <c r="DT349">
        <v>7.8666999999999998</v>
      </c>
      <c r="DU349">
        <v>4</v>
      </c>
      <c r="DW349">
        <v>2</v>
      </c>
      <c r="DX349" t="s">
        <v>594</v>
      </c>
      <c r="DY349" t="s">
        <v>2076</v>
      </c>
      <c r="DZ349">
        <v>0</v>
      </c>
      <c r="EA349">
        <v>0</v>
      </c>
      <c r="EB349">
        <v>0</v>
      </c>
      <c r="EC349">
        <v>0</v>
      </c>
      <c r="ED349">
        <v>0</v>
      </c>
      <c r="EE349">
        <v>0</v>
      </c>
      <c r="EF349" t="s">
        <v>920</v>
      </c>
      <c r="EG349" t="s">
        <v>595</v>
      </c>
      <c r="EH349" t="s">
        <v>872</v>
      </c>
      <c r="EI349" t="s">
        <v>872</v>
      </c>
      <c r="EJ349" t="s">
        <v>111</v>
      </c>
      <c r="EK349">
        <v>9090</v>
      </c>
      <c r="EL349">
        <v>0</v>
      </c>
      <c r="EM349" t="s">
        <v>1037</v>
      </c>
      <c r="EN349">
        <v>1.4</v>
      </c>
      <c r="EO349">
        <v>8.8833333000000003</v>
      </c>
      <c r="EP349">
        <v>99991120</v>
      </c>
      <c r="EQ349" t="s">
        <v>874</v>
      </c>
      <c r="ER349" t="s">
        <v>875</v>
      </c>
      <c r="ES349" t="s">
        <v>876</v>
      </c>
      <c r="ET349" t="s">
        <v>877</v>
      </c>
      <c r="EU349" t="s">
        <v>877</v>
      </c>
      <c r="EV349" t="s">
        <v>920</v>
      </c>
      <c r="EX349" t="s">
        <v>900</v>
      </c>
      <c r="EY349" t="s">
        <v>923</v>
      </c>
      <c r="EZ349" t="s">
        <v>1038</v>
      </c>
      <c r="FA349" t="s">
        <v>925</v>
      </c>
      <c r="FB349">
        <v>1</v>
      </c>
      <c r="FC349">
        <v>1</v>
      </c>
      <c r="FD349" s="41">
        <v>45990</v>
      </c>
      <c r="FE349" t="s">
        <v>1438</v>
      </c>
      <c r="FF349">
        <v>11</v>
      </c>
      <c r="FG349" t="s">
        <v>7657</v>
      </c>
      <c r="FH349" t="s">
        <v>7658</v>
      </c>
      <c r="FI349">
        <v>1</v>
      </c>
      <c r="FJ349" t="s">
        <v>7659</v>
      </c>
      <c r="FK349" t="s">
        <v>7658</v>
      </c>
      <c r="FL349">
        <v>1</v>
      </c>
      <c r="FM349" t="s">
        <v>7660</v>
      </c>
      <c r="FN349" t="s">
        <v>7661</v>
      </c>
      <c r="FO349">
        <v>1</v>
      </c>
      <c r="FP349" t="s">
        <v>7662</v>
      </c>
      <c r="FQ349" t="s">
        <v>7654</v>
      </c>
      <c r="FR349">
        <v>1</v>
      </c>
      <c r="FS349" t="s">
        <v>2498</v>
      </c>
      <c r="FT349" t="s">
        <v>7663</v>
      </c>
      <c r="FU349">
        <v>1</v>
      </c>
      <c r="FV349" t="s">
        <v>2500</v>
      </c>
      <c r="FW349" t="s">
        <v>7664</v>
      </c>
      <c r="FX349">
        <v>1</v>
      </c>
      <c r="FY349" t="s">
        <v>890</v>
      </c>
      <c r="FZ349" t="s">
        <v>7665</v>
      </c>
      <c r="GA349" t="s">
        <v>7659</v>
      </c>
      <c r="GB349">
        <v>1</v>
      </c>
      <c r="GD349">
        <v>0</v>
      </c>
      <c r="GF349">
        <v>0</v>
      </c>
      <c r="GG349">
        <v>1</v>
      </c>
      <c r="GH349" t="s">
        <v>892</v>
      </c>
      <c r="GI349" t="s">
        <v>893</v>
      </c>
      <c r="GJ349" t="s">
        <v>7658</v>
      </c>
      <c r="GM349">
        <v>1</v>
      </c>
      <c r="GN349">
        <v>1</v>
      </c>
      <c r="GO349">
        <v>0</v>
      </c>
      <c r="GP349">
        <v>1</v>
      </c>
      <c r="GQ349">
        <v>1</v>
      </c>
      <c r="GR349">
        <v>0</v>
      </c>
      <c r="GS349">
        <v>1</v>
      </c>
      <c r="GT349">
        <v>0</v>
      </c>
      <c r="GU349">
        <v>1</v>
      </c>
      <c r="GV349">
        <v>0</v>
      </c>
      <c r="GW349">
        <v>1</v>
      </c>
      <c r="GX349">
        <v>0</v>
      </c>
      <c r="GY349">
        <v>1</v>
      </c>
      <c r="GZ349">
        <v>0</v>
      </c>
      <c r="HA349" t="s">
        <v>257</v>
      </c>
      <c r="HB349" t="s">
        <v>894</v>
      </c>
      <c r="HC349" t="s">
        <v>895</v>
      </c>
      <c r="HD349" t="s">
        <v>845</v>
      </c>
      <c r="HE349" t="s">
        <v>836</v>
      </c>
      <c r="HF349" t="s">
        <v>1051</v>
      </c>
      <c r="HG349" t="s">
        <v>894</v>
      </c>
      <c r="HH349" t="s">
        <v>895</v>
      </c>
      <c r="HI349" t="s">
        <v>845</v>
      </c>
      <c r="HJ349" t="s">
        <v>836</v>
      </c>
      <c r="HK349" t="s">
        <v>1037</v>
      </c>
      <c r="HL349" t="s">
        <v>117</v>
      </c>
      <c r="HM349" t="s">
        <v>854</v>
      </c>
      <c r="HN349">
        <v>36805</v>
      </c>
      <c r="HP349" t="s">
        <v>111</v>
      </c>
      <c r="HQ349" t="s">
        <v>896</v>
      </c>
      <c r="HR349" t="s">
        <v>896</v>
      </c>
      <c r="HS349" t="s">
        <v>896</v>
      </c>
    </row>
    <row r="350" spans="1:227" x14ac:dyDescent="0.2">
      <c r="A350">
        <v>8702</v>
      </c>
      <c r="B350">
        <v>7619901820</v>
      </c>
      <c r="C350" t="s">
        <v>829</v>
      </c>
      <c r="D350" t="s">
        <v>830</v>
      </c>
      <c r="E350" t="s">
        <v>831</v>
      </c>
      <c r="F350">
        <v>0</v>
      </c>
      <c r="G350" t="s">
        <v>7666</v>
      </c>
      <c r="H350" t="s">
        <v>7666</v>
      </c>
      <c r="I350">
        <v>0</v>
      </c>
      <c r="J350" t="s">
        <v>833</v>
      </c>
      <c r="K350" t="s">
        <v>834</v>
      </c>
      <c r="L350">
        <v>152949084</v>
      </c>
      <c r="M350" t="s">
        <v>3422</v>
      </c>
      <c r="N350" t="s">
        <v>836</v>
      </c>
      <c r="O350" t="s">
        <v>837</v>
      </c>
      <c r="P350" t="s">
        <v>838</v>
      </c>
      <c r="Q350" t="s">
        <v>1251</v>
      </c>
      <c r="R350" t="s">
        <v>7667</v>
      </c>
      <c r="S350" t="s">
        <v>7668</v>
      </c>
      <c r="T350">
        <v>30300105488</v>
      </c>
      <c r="V350" t="s">
        <v>121</v>
      </c>
      <c r="W350" s="41">
        <v>46221</v>
      </c>
      <c r="X350" t="s">
        <v>7669</v>
      </c>
      <c r="Y350" t="s">
        <v>7670</v>
      </c>
      <c r="AA350">
        <v>0</v>
      </c>
      <c r="AB350" t="s">
        <v>845</v>
      </c>
      <c r="AC350" t="s">
        <v>846</v>
      </c>
      <c r="AD350" t="s">
        <v>907</v>
      </c>
      <c r="AE350" t="s">
        <v>908</v>
      </c>
      <c r="AF350">
        <v>1</v>
      </c>
      <c r="AG350">
        <v>452210</v>
      </c>
      <c r="AH350" t="s">
        <v>849</v>
      </c>
      <c r="AI350" t="s">
        <v>850</v>
      </c>
      <c r="AJ350" t="s">
        <v>851</v>
      </c>
      <c r="AK350" t="s">
        <v>273</v>
      </c>
      <c r="AL350" t="s">
        <v>2846</v>
      </c>
      <c r="AM350" t="s">
        <v>3266</v>
      </c>
      <c r="AN350" t="s">
        <v>854</v>
      </c>
      <c r="AO350">
        <v>36805</v>
      </c>
      <c r="AP350">
        <v>495</v>
      </c>
      <c r="AQ350" t="s">
        <v>855</v>
      </c>
      <c r="AR350">
        <v>66556039</v>
      </c>
      <c r="AS350" t="s">
        <v>856</v>
      </c>
      <c r="AU350" t="s">
        <v>7671</v>
      </c>
      <c r="AV350" t="s">
        <v>7672</v>
      </c>
      <c r="AW350" t="s">
        <v>1261</v>
      </c>
      <c r="AX350" t="s">
        <v>1262</v>
      </c>
      <c r="AY350" t="s">
        <v>861</v>
      </c>
      <c r="AZ350" t="s">
        <v>273</v>
      </c>
      <c r="BA350" t="s">
        <v>274</v>
      </c>
      <c r="BB350">
        <v>0</v>
      </c>
      <c r="BC350">
        <v>0</v>
      </c>
      <c r="BD350">
        <v>0</v>
      </c>
      <c r="BE350" t="s">
        <v>3422</v>
      </c>
      <c r="BF350">
        <v>0</v>
      </c>
      <c r="BG350">
        <v>0</v>
      </c>
      <c r="BH350" t="s">
        <v>862</v>
      </c>
      <c r="BI350">
        <v>0</v>
      </c>
      <c r="BJ350" t="s">
        <v>862</v>
      </c>
      <c r="BK350">
        <v>1</v>
      </c>
      <c r="BL350">
        <v>0</v>
      </c>
      <c r="BM350">
        <v>0</v>
      </c>
      <c r="BN350" t="s">
        <v>596</v>
      </c>
      <c r="BO350">
        <v>152949084</v>
      </c>
      <c r="BP350" t="s">
        <v>7666</v>
      </c>
      <c r="BR350">
        <v>42789062</v>
      </c>
      <c r="BT350">
        <v>2</v>
      </c>
      <c r="BU350" t="s">
        <v>1062</v>
      </c>
      <c r="BY350">
        <v>16</v>
      </c>
      <c r="CA350">
        <v>4</v>
      </c>
      <c r="CE350">
        <v>1</v>
      </c>
      <c r="CI350">
        <v>11</v>
      </c>
      <c r="CJ350" t="s">
        <v>94</v>
      </c>
      <c r="CM350">
        <v>4010</v>
      </c>
      <c r="CO350">
        <v>7360</v>
      </c>
      <c r="CP350">
        <v>0.51670000000000005</v>
      </c>
      <c r="CQ350">
        <v>0.51670000000000005</v>
      </c>
      <c r="CR350">
        <v>0.51670000000000005</v>
      </c>
      <c r="CS350">
        <v>13</v>
      </c>
      <c r="CT350" t="s">
        <v>7672</v>
      </c>
      <c r="CU350" t="s">
        <v>7671</v>
      </c>
      <c r="CV350" t="s">
        <v>833</v>
      </c>
      <c r="CW350" t="s">
        <v>834</v>
      </c>
      <c r="CX350" t="s">
        <v>3422</v>
      </c>
      <c r="CY350">
        <v>0</v>
      </c>
      <c r="CZ350">
        <v>0</v>
      </c>
      <c r="DA350" t="s">
        <v>833</v>
      </c>
      <c r="DB350" t="s">
        <v>865</v>
      </c>
      <c r="DC350">
        <v>63304</v>
      </c>
      <c r="DD350">
        <v>3.85</v>
      </c>
      <c r="DE350" t="s">
        <v>866</v>
      </c>
      <c r="DG350" t="s">
        <v>867</v>
      </c>
      <c r="DH350" t="s">
        <v>851</v>
      </c>
      <c r="DI350" t="s">
        <v>2828</v>
      </c>
      <c r="DJ350" t="s">
        <v>3429</v>
      </c>
      <c r="DK350" t="s">
        <v>918</v>
      </c>
      <c r="DL350" t="s">
        <v>869</v>
      </c>
      <c r="DM350">
        <v>0</v>
      </c>
      <c r="DN350">
        <v>0</v>
      </c>
      <c r="DO350">
        <v>3</v>
      </c>
      <c r="DP350" t="s">
        <v>919</v>
      </c>
      <c r="DQ350">
        <v>16</v>
      </c>
      <c r="DR350">
        <v>231</v>
      </c>
      <c r="DS350">
        <v>255</v>
      </c>
      <c r="DT350">
        <v>3.3332999999999999</v>
      </c>
      <c r="DU350">
        <v>4</v>
      </c>
      <c r="DV350">
        <v>1</v>
      </c>
      <c r="DW350">
        <v>2</v>
      </c>
      <c r="DX350" t="s">
        <v>594</v>
      </c>
      <c r="DY350" t="s">
        <v>3422</v>
      </c>
      <c r="DZ350">
        <v>0</v>
      </c>
      <c r="EA350">
        <v>0</v>
      </c>
      <c r="EB350">
        <v>0</v>
      </c>
      <c r="EC350">
        <v>0</v>
      </c>
      <c r="ED350">
        <v>0</v>
      </c>
      <c r="EE350">
        <v>0</v>
      </c>
      <c r="EF350" t="s">
        <v>920</v>
      </c>
      <c r="EG350" t="s">
        <v>595</v>
      </c>
      <c r="EH350" t="s">
        <v>872</v>
      </c>
      <c r="EI350" t="s">
        <v>872</v>
      </c>
      <c r="EJ350" t="s">
        <v>111</v>
      </c>
      <c r="EK350">
        <v>9090</v>
      </c>
      <c r="EL350">
        <v>0</v>
      </c>
      <c r="EM350" t="s">
        <v>1037</v>
      </c>
      <c r="EN350">
        <v>0.51670000000000005</v>
      </c>
      <c r="EO350">
        <v>4.25</v>
      </c>
      <c r="EP350">
        <v>99991120</v>
      </c>
      <c r="EQ350" t="s">
        <v>874</v>
      </c>
      <c r="ER350" t="s">
        <v>875</v>
      </c>
      <c r="ES350" t="s">
        <v>876</v>
      </c>
      <c r="ET350" t="s">
        <v>877</v>
      </c>
      <c r="EU350" t="s">
        <v>877</v>
      </c>
      <c r="EV350" t="s">
        <v>920</v>
      </c>
      <c r="EX350" t="s">
        <v>836</v>
      </c>
      <c r="EY350" t="s">
        <v>1051</v>
      </c>
      <c r="EZ350" t="s">
        <v>1038</v>
      </c>
      <c r="FA350" t="s">
        <v>925</v>
      </c>
      <c r="FB350">
        <v>1</v>
      </c>
      <c r="FC350">
        <v>1</v>
      </c>
      <c r="FD350" s="41">
        <v>46221</v>
      </c>
      <c r="FE350" t="s">
        <v>1066</v>
      </c>
      <c r="FF350">
        <v>5</v>
      </c>
      <c r="FI350">
        <v>0</v>
      </c>
      <c r="FJ350" t="s">
        <v>7673</v>
      </c>
      <c r="FK350" t="s">
        <v>7674</v>
      </c>
      <c r="FL350">
        <v>1</v>
      </c>
      <c r="FM350" t="s">
        <v>7675</v>
      </c>
      <c r="FN350" t="s">
        <v>7676</v>
      </c>
      <c r="FO350">
        <v>1</v>
      </c>
      <c r="FP350" t="s">
        <v>7677</v>
      </c>
      <c r="FQ350" t="s">
        <v>7671</v>
      </c>
      <c r="FR350">
        <v>1</v>
      </c>
      <c r="FS350" t="s">
        <v>4075</v>
      </c>
      <c r="FT350" t="s">
        <v>7678</v>
      </c>
      <c r="FU350">
        <v>1</v>
      </c>
      <c r="FV350" t="s">
        <v>7679</v>
      </c>
      <c r="FW350" t="s">
        <v>7674</v>
      </c>
      <c r="FX350">
        <v>1</v>
      </c>
      <c r="FY350" t="s">
        <v>890</v>
      </c>
      <c r="FZ350" t="s">
        <v>7680</v>
      </c>
      <c r="GA350" t="s">
        <v>7673</v>
      </c>
      <c r="GB350">
        <v>1</v>
      </c>
      <c r="GD350">
        <v>0</v>
      </c>
      <c r="GF350">
        <v>0</v>
      </c>
      <c r="GG350">
        <v>1</v>
      </c>
      <c r="GH350" t="s">
        <v>892</v>
      </c>
      <c r="GI350" t="s">
        <v>893</v>
      </c>
      <c r="GJ350" t="s">
        <v>7674</v>
      </c>
      <c r="GM350">
        <v>1</v>
      </c>
      <c r="GN350">
        <v>1</v>
      </c>
      <c r="GO350">
        <v>0</v>
      </c>
      <c r="GP350">
        <v>1</v>
      </c>
      <c r="GQ350">
        <v>1</v>
      </c>
      <c r="GR350">
        <v>0</v>
      </c>
      <c r="GS350">
        <v>1</v>
      </c>
      <c r="GT350">
        <v>0</v>
      </c>
      <c r="GU350">
        <v>1</v>
      </c>
      <c r="GV350">
        <v>0</v>
      </c>
      <c r="GW350">
        <v>1</v>
      </c>
      <c r="GX350">
        <v>0</v>
      </c>
      <c r="GY350">
        <v>1</v>
      </c>
      <c r="GZ350">
        <v>0</v>
      </c>
      <c r="HA350" t="s">
        <v>273</v>
      </c>
      <c r="HB350" t="s">
        <v>894</v>
      </c>
      <c r="HC350" t="s">
        <v>895</v>
      </c>
      <c r="HD350" t="s">
        <v>845</v>
      </c>
      <c r="HE350" t="s">
        <v>836</v>
      </c>
      <c r="HF350" t="s">
        <v>1051</v>
      </c>
      <c r="HG350" t="s">
        <v>894</v>
      </c>
      <c r="HH350" t="s">
        <v>895</v>
      </c>
      <c r="HI350" t="s">
        <v>845</v>
      </c>
      <c r="HJ350" t="s">
        <v>836</v>
      </c>
      <c r="HK350" t="s">
        <v>1037</v>
      </c>
      <c r="HL350" t="s">
        <v>121</v>
      </c>
      <c r="HM350" t="s">
        <v>854</v>
      </c>
      <c r="HN350">
        <v>36805</v>
      </c>
      <c r="HP350" t="s">
        <v>111</v>
      </c>
      <c r="HQ350" t="s">
        <v>896</v>
      </c>
      <c r="HR350" t="s">
        <v>896</v>
      </c>
      <c r="HS350" t="s">
        <v>896</v>
      </c>
    </row>
    <row r="351" spans="1:227" x14ac:dyDescent="0.2">
      <c r="A351">
        <v>8702</v>
      </c>
      <c r="B351">
        <v>7608002950</v>
      </c>
      <c r="C351" t="s">
        <v>829</v>
      </c>
      <c r="D351" t="s">
        <v>830</v>
      </c>
      <c r="E351" t="s">
        <v>831</v>
      </c>
      <c r="F351">
        <v>0</v>
      </c>
      <c r="G351" t="s">
        <v>7681</v>
      </c>
      <c r="H351" t="s">
        <v>7681</v>
      </c>
      <c r="I351">
        <v>0</v>
      </c>
      <c r="J351" t="s">
        <v>833</v>
      </c>
      <c r="K351" t="s">
        <v>834</v>
      </c>
      <c r="L351">
        <v>152949076</v>
      </c>
      <c r="M351" t="s">
        <v>1793</v>
      </c>
      <c r="N351" t="s">
        <v>836</v>
      </c>
      <c r="O351" t="s">
        <v>837</v>
      </c>
      <c r="P351" t="s">
        <v>838</v>
      </c>
      <c r="Q351" t="s">
        <v>901</v>
      </c>
      <c r="R351" t="s">
        <v>7682</v>
      </c>
      <c r="S351" t="s">
        <v>7683</v>
      </c>
      <c r="T351">
        <v>30300098479</v>
      </c>
      <c r="V351" t="s">
        <v>1796</v>
      </c>
      <c r="W351" s="41">
        <v>46105</v>
      </c>
      <c r="X351" t="s">
        <v>7684</v>
      </c>
      <c r="Y351" t="s">
        <v>7685</v>
      </c>
      <c r="Z351" t="s">
        <v>7686</v>
      </c>
      <c r="AA351">
        <v>0</v>
      </c>
      <c r="AB351" t="s">
        <v>845</v>
      </c>
      <c r="AC351" t="s">
        <v>846</v>
      </c>
      <c r="AD351" t="s">
        <v>1113</v>
      </c>
      <c r="AE351" t="s">
        <v>1114</v>
      </c>
      <c r="AF351">
        <v>1</v>
      </c>
      <c r="AG351">
        <v>452210</v>
      </c>
      <c r="AH351" t="s">
        <v>849</v>
      </c>
      <c r="AI351" t="s">
        <v>850</v>
      </c>
      <c r="AJ351" t="s">
        <v>851</v>
      </c>
      <c r="AK351" t="s">
        <v>391</v>
      </c>
      <c r="AL351" t="s">
        <v>7687</v>
      </c>
      <c r="AM351" t="s">
        <v>1800</v>
      </c>
      <c r="AN351" t="s">
        <v>854</v>
      </c>
      <c r="AO351">
        <v>36805</v>
      </c>
      <c r="AP351">
        <v>710</v>
      </c>
      <c r="AQ351" t="s">
        <v>855</v>
      </c>
      <c r="AR351">
        <v>66389076</v>
      </c>
      <c r="AS351" t="s">
        <v>856</v>
      </c>
      <c r="AU351" t="s">
        <v>7688</v>
      </c>
      <c r="AV351" t="s">
        <v>7689</v>
      </c>
      <c r="AW351" t="s">
        <v>1185</v>
      </c>
      <c r="AX351" t="s">
        <v>1186</v>
      </c>
      <c r="AY351" t="s">
        <v>861</v>
      </c>
      <c r="AZ351" t="s">
        <v>391</v>
      </c>
      <c r="BA351" t="s">
        <v>392</v>
      </c>
      <c r="BB351">
        <v>1</v>
      </c>
      <c r="BC351">
        <v>0</v>
      </c>
      <c r="BD351">
        <v>0</v>
      </c>
      <c r="BE351" t="s">
        <v>1793</v>
      </c>
      <c r="BF351">
        <v>0</v>
      </c>
      <c r="BG351">
        <v>0</v>
      </c>
      <c r="BH351" t="s">
        <v>862</v>
      </c>
      <c r="BI351">
        <v>0</v>
      </c>
      <c r="BJ351" t="s">
        <v>862</v>
      </c>
      <c r="BK351">
        <v>1</v>
      </c>
      <c r="BL351">
        <v>0</v>
      </c>
      <c r="BM351">
        <v>0</v>
      </c>
      <c r="BN351" t="s">
        <v>596</v>
      </c>
      <c r="BO351">
        <v>152949076</v>
      </c>
      <c r="BP351" t="s">
        <v>7681</v>
      </c>
      <c r="BR351">
        <v>42791788</v>
      </c>
      <c r="BT351">
        <v>1</v>
      </c>
      <c r="BU351" t="s">
        <v>1715</v>
      </c>
      <c r="BY351">
        <v>16</v>
      </c>
      <c r="CA351">
        <v>41</v>
      </c>
      <c r="CI351">
        <v>11</v>
      </c>
      <c r="CJ351" t="s">
        <v>94</v>
      </c>
      <c r="CM351">
        <v>4010</v>
      </c>
      <c r="CO351">
        <v>7360</v>
      </c>
      <c r="CP351">
        <v>2.0333000000000001</v>
      </c>
      <c r="CQ351">
        <v>2.0333000000000001</v>
      </c>
      <c r="CR351">
        <v>0.86670000000000003</v>
      </c>
      <c r="CS351">
        <v>0</v>
      </c>
      <c r="CT351" t="s">
        <v>7690</v>
      </c>
      <c r="CU351" t="s">
        <v>7691</v>
      </c>
      <c r="CV351" t="s">
        <v>833</v>
      </c>
      <c r="CW351" t="s">
        <v>834</v>
      </c>
      <c r="CX351" t="s">
        <v>1793</v>
      </c>
      <c r="CY351">
        <v>1</v>
      </c>
      <c r="CZ351">
        <v>1</v>
      </c>
      <c r="DA351" t="s">
        <v>833</v>
      </c>
      <c r="DB351" t="s">
        <v>865</v>
      </c>
      <c r="DC351">
        <v>53228</v>
      </c>
      <c r="DD351">
        <v>41.2667</v>
      </c>
      <c r="DE351" t="s">
        <v>866</v>
      </c>
      <c r="DG351" t="s">
        <v>867</v>
      </c>
      <c r="DH351" t="s">
        <v>851</v>
      </c>
      <c r="DI351" t="s">
        <v>1806</v>
      </c>
      <c r="DK351" t="s">
        <v>918</v>
      </c>
      <c r="DL351" t="s">
        <v>869</v>
      </c>
      <c r="DM351">
        <v>0</v>
      </c>
      <c r="DN351">
        <v>0</v>
      </c>
      <c r="DO351">
        <v>11</v>
      </c>
      <c r="DP351" t="s">
        <v>1010</v>
      </c>
      <c r="DQ351">
        <v>0</v>
      </c>
      <c r="DR351">
        <v>2476</v>
      </c>
      <c r="DS351">
        <v>4738</v>
      </c>
      <c r="DT351">
        <v>4.7332999999999998</v>
      </c>
      <c r="DU351">
        <v>0</v>
      </c>
      <c r="DV351">
        <v>1</v>
      </c>
      <c r="DW351">
        <v>2</v>
      </c>
      <c r="DX351" t="s">
        <v>594</v>
      </c>
      <c r="DY351" t="s">
        <v>1793</v>
      </c>
      <c r="DZ351">
        <v>1</v>
      </c>
      <c r="EA351">
        <v>1</v>
      </c>
      <c r="EB351">
        <v>1</v>
      </c>
      <c r="EC351">
        <v>1</v>
      </c>
      <c r="ED351">
        <v>1</v>
      </c>
      <c r="EE351">
        <v>1</v>
      </c>
      <c r="EF351" t="s">
        <v>871</v>
      </c>
      <c r="EG351" t="s">
        <v>595</v>
      </c>
      <c r="EH351" t="s">
        <v>872</v>
      </c>
      <c r="EI351" t="s">
        <v>872</v>
      </c>
      <c r="EJ351" t="s">
        <v>215</v>
      </c>
      <c r="EK351">
        <v>9090</v>
      </c>
      <c r="EL351">
        <v>1</v>
      </c>
      <c r="EM351" t="s">
        <v>873</v>
      </c>
      <c r="EN351">
        <v>0.86670000000000003</v>
      </c>
      <c r="EO351">
        <v>78.966666700000005</v>
      </c>
      <c r="EP351">
        <v>99991120</v>
      </c>
      <c r="EQ351" t="s">
        <v>874</v>
      </c>
      <c r="ER351" t="s">
        <v>875</v>
      </c>
      <c r="ES351" t="s">
        <v>876</v>
      </c>
      <c r="ET351" t="s">
        <v>877</v>
      </c>
      <c r="EU351" t="s">
        <v>877</v>
      </c>
      <c r="EV351" t="s">
        <v>871</v>
      </c>
      <c r="EX351" t="s">
        <v>836</v>
      </c>
      <c r="EY351" t="s">
        <v>873</v>
      </c>
      <c r="EZ351" t="s">
        <v>1807</v>
      </c>
      <c r="FA351" t="s">
        <v>925</v>
      </c>
      <c r="FB351">
        <v>1</v>
      </c>
      <c r="FC351">
        <v>2</v>
      </c>
      <c r="FD351" s="41">
        <v>46109</v>
      </c>
      <c r="FE351" t="s">
        <v>1719</v>
      </c>
      <c r="FF351">
        <v>13</v>
      </c>
      <c r="FG351" t="s">
        <v>7692</v>
      </c>
      <c r="FH351" t="s">
        <v>7693</v>
      </c>
      <c r="FI351">
        <v>1</v>
      </c>
      <c r="FJ351" t="s">
        <v>7694</v>
      </c>
      <c r="FK351" t="s">
        <v>7695</v>
      </c>
      <c r="FL351">
        <v>1</v>
      </c>
      <c r="FM351" t="s">
        <v>7696</v>
      </c>
      <c r="FN351" t="s">
        <v>7697</v>
      </c>
      <c r="FO351">
        <v>1</v>
      </c>
      <c r="FP351" t="s">
        <v>7698</v>
      </c>
      <c r="FQ351" t="s">
        <v>7691</v>
      </c>
      <c r="FR351">
        <v>1</v>
      </c>
      <c r="FS351" t="s">
        <v>1911</v>
      </c>
      <c r="FT351" t="s">
        <v>7699</v>
      </c>
      <c r="FU351">
        <v>1</v>
      </c>
      <c r="FV351" t="s">
        <v>7700</v>
      </c>
      <c r="FW351" t="s">
        <v>7701</v>
      </c>
      <c r="FX351">
        <v>1</v>
      </c>
      <c r="FY351" t="s">
        <v>890</v>
      </c>
      <c r="FZ351" t="s">
        <v>7702</v>
      </c>
      <c r="GA351" t="s">
        <v>7692</v>
      </c>
      <c r="GB351">
        <v>1</v>
      </c>
      <c r="GD351">
        <v>0</v>
      </c>
      <c r="GF351">
        <v>0</v>
      </c>
      <c r="GG351">
        <v>1</v>
      </c>
      <c r="GH351" t="s">
        <v>892</v>
      </c>
      <c r="GI351" t="s">
        <v>893</v>
      </c>
      <c r="GJ351" t="s">
        <v>7693</v>
      </c>
      <c r="GM351">
        <v>1</v>
      </c>
      <c r="GN351">
        <v>0</v>
      </c>
      <c r="GO351">
        <v>0</v>
      </c>
      <c r="GP351">
        <v>1</v>
      </c>
      <c r="GQ351">
        <v>1</v>
      </c>
      <c r="GR351">
        <v>0</v>
      </c>
      <c r="GS351">
        <v>1</v>
      </c>
      <c r="GT351">
        <v>0</v>
      </c>
      <c r="GU351">
        <v>1</v>
      </c>
      <c r="GV351">
        <v>0</v>
      </c>
      <c r="GW351">
        <v>1</v>
      </c>
      <c r="GX351">
        <v>0</v>
      </c>
      <c r="GY351">
        <v>1</v>
      </c>
      <c r="GZ351">
        <v>0</v>
      </c>
      <c r="HA351" t="s">
        <v>391</v>
      </c>
      <c r="HB351" t="s">
        <v>894</v>
      </c>
      <c r="HC351" t="s">
        <v>895</v>
      </c>
      <c r="HD351" t="s">
        <v>845</v>
      </c>
      <c r="HE351" t="s">
        <v>836</v>
      </c>
      <c r="HF351" t="s">
        <v>873</v>
      </c>
      <c r="HG351" t="s">
        <v>894</v>
      </c>
      <c r="HH351" t="s">
        <v>895</v>
      </c>
      <c r="HI351" t="s">
        <v>845</v>
      </c>
      <c r="HJ351" t="s">
        <v>836</v>
      </c>
      <c r="HK351" t="s">
        <v>873</v>
      </c>
      <c r="HL351" t="s">
        <v>1796</v>
      </c>
      <c r="HM351" t="s">
        <v>854</v>
      </c>
      <c r="HN351">
        <v>36805</v>
      </c>
      <c r="HO351">
        <v>1</v>
      </c>
      <c r="HP351" t="s">
        <v>215</v>
      </c>
      <c r="HQ351" t="s">
        <v>896</v>
      </c>
      <c r="HR351" t="s">
        <v>896</v>
      </c>
      <c r="HS351" t="s">
        <v>896</v>
      </c>
    </row>
    <row r="352" spans="1:227" x14ac:dyDescent="0.2">
      <c r="A352">
        <v>8702</v>
      </c>
      <c r="B352">
        <v>7602901133</v>
      </c>
      <c r="C352" t="s">
        <v>829</v>
      </c>
      <c r="D352" t="s">
        <v>830</v>
      </c>
      <c r="E352" t="s">
        <v>897</v>
      </c>
      <c r="F352">
        <v>0</v>
      </c>
      <c r="G352" t="s">
        <v>7703</v>
      </c>
      <c r="H352" t="s">
        <v>7703</v>
      </c>
      <c r="I352">
        <v>0</v>
      </c>
      <c r="J352" t="s">
        <v>833</v>
      </c>
      <c r="K352" t="s">
        <v>834</v>
      </c>
      <c r="L352">
        <v>152832688</v>
      </c>
      <c r="M352" t="s">
        <v>7704</v>
      </c>
      <c r="N352" t="s">
        <v>900</v>
      </c>
      <c r="O352" t="s">
        <v>837</v>
      </c>
      <c r="P352" t="s">
        <v>838</v>
      </c>
      <c r="Q352" t="s">
        <v>1593</v>
      </c>
      <c r="R352" t="s">
        <v>7705</v>
      </c>
      <c r="S352" t="s">
        <v>7706</v>
      </c>
      <c r="T352">
        <v>41477129840</v>
      </c>
      <c r="V352" t="s">
        <v>1141</v>
      </c>
      <c r="W352" s="41">
        <v>46051</v>
      </c>
      <c r="X352" t="s">
        <v>7707</v>
      </c>
      <c r="Y352" t="s">
        <v>7708</v>
      </c>
      <c r="Z352">
        <v>1</v>
      </c>
      <c r="AA352">
        <v>0</v>
      </c>
      <c r="AB352" t="s">
        <v>845</v>
      </c>
      <c r="AC352" t="s">
        <v>846</v>
      </c>
      <c r="AD352" t="s">
        <v>847</v>
      </c>
      <c r="AE352" t="s">
        <v>848</v>
      </c>
      <c r="AF352">
        <v>1</v>
      </c>
      <c r="AG352">
        <v>452210</v>
      </c>
      <c r="AH352" t="s">
        <v>849</v>
      </c>
      <c r="AI352" t="s">
        <v>850</v>
      </c>
      <c r="AJ352" t="s">
        <v>851</v>
      </c>
      <c r="AK352" t="s">
        <v>411</v>
      </c>
      <c r="AL352" t="s">
        <v>4356</v>
      </c>
      <c r="AM352" t="s">
        <v>1146</v>
      </c>
      <c r="AN352" t="s">
        <v>854</v>
      </c>
      <c r="AO352">
        <v>36805</v>
      </c>
      <c r="AP352">
        <v>926</v>
      </c>
      <c r="AQ352" t="s">
        <v>855</v>
      </c>
      <c r="AR352">
        <v>66311589</v>
      </c>
      <c r="AS352" t="s">
        <v>856</v>
      </c>
      <c r="AU352" t="s">
        <v>7709</v>
      </c>
      <c r="AV352" t="s">
        <v>7710</v>
      </c>
      <c r="AW352" t="s">
        <v>3946</v>
      </c>
      <c r="AX352" t="s">
        <v>3947</v>
      </c>
      <c r="AY352" t="s">
        <v>861</v>
      </c>
      <c r="AZ352" t="s">
        <v>411</v>
      </c>
      <c r="BA352" t="s">
        <v>412</v>
      </c>
      <c r="BB352">
        <v>0</v>
      </c>
      <c r="BC352">
        <v>0</v>
      </c>
      <c r="BD352">
        <v>0</v>
      </c>
      <c r="BE352" t="s">
        <v>7704</v>
      </c>
      <c r="BF352">
        <v>0</v>
      </c>
      <c r="BG352">
        <v>0</v>
      </c>
      <c r="BH352" t="s">
        <v>862</v>
      </c>
      <c r="BI352">
        <v>0</v>
      </c>
      <c r="BJ352" t="s">
        <v>862</v>
      </c>
      <c r="BK352">
        <v>1</v>
      </c>
      <c r="BL352">
        <v>0</v>
      </c>
      <c r="BM352">
        <v>0</v>
      </c>
      <c r="BN352" t="s">
        <v>596</v>
      </c>
      <c r="BO352">
        <v>152832688</v>
      </c>
      <c r="BP352" t="s">
        <v>7703</v>
      </c>
      <c r="BR352">
        <v>42793651</v>
      </c>
      <c r="BT352">
        <v>2</v>
      </c>
      <c r="BU352" t="s">
        <v>1367</v>
      </c>
      <c r="CE352">
        <v>1</v>
      </c>
      <c r="CI352">
        <v>11</v>
      </c>
      <c r="CJ352" t="s">
        <v>94</v>
      </c>
      <c r="CM352">
        <v>4010</v>
      </c>
      <c r="CO352">
        <v>7360</v>
      </c>
      <c r="CP352">
        <v>0.45</v>
      </c>
      <c r="CQ352">
        <v>0.45</v>
      </c>
      <c r="CR352">
        <v>0.36670000000000003</v>
      </c>
      <c r="CS352">
        <v>2</v>
      </c>
      <c r="CT352" t="s">
        <v>7711</v>
      </c>
      <c r="CU352" t="s">
        <v>7712</v>
      </c>
      <c r="CV352" t="s">
        <v>833</v>
      </c>
      <c r="CW352" t="s">
        <v>834</v>
      </c>
      <c r="CX352" t="s">
        <v>7704</v>
      </c>
      <c r="CY352">
        <v>0</v>
      </c>
      <c r="CZ352">
        <v>0</v>
      </c>
      <c r="DA352" t="s">
        <v>833</v>
      </c>
      <c r="DB352" t="s">
        <v>865</v>
      </c>
      <c r="DC352">
        <v>43240</v>
      </c>
      <c r="DD352">
        <v>2.5499999999999998</v>
      </c>
      <c r="DE352" t="s">
        <v>866</v>
      </c>
      <c r="DG352" t="s">
        <v>867</v>
      </c>
      <c r="DH352" t="s">
        <v>851</v>
      </c>
      <c r="DI352" t="s">
        <v>7713</v>
      </c>
      <c r="DK352" t="s">
        <v>918</v>
      </c>
      <c r="DL352" t="s">
        <v>869</v>
      </c>
      <c r="DM352">
        <v>0</v>
      </c>
      <c r="DN352">
        <v>0</v>
      </c>
      <c r="DO352">
        <v>1</v>
      </c>
      <c r="DP352" t="s">
        <v>985</v>
      </c>
      <c r="DQ352">
        <v>16</v>
      </c>
      <c r="DR352">
        <v>153</v>
      </c>
      <c r="DS352">
        <v>153</v>
      </c>
      <c r="DT352">
        <v>2.1</v>
      </c>
      <c r="DU352">
        <v>4</v>
      </c>
      <c r="DV352">
        <v>1</v>
      </c>
      <c r="DW352">
        <v>2</v>
      </c>
      <c r="DX352" t="s">
        <v>596</v>
      </c>
      <c r="DY352" t="s">
        <v>7704</v>
      </c>
      <c r="DZ352">
        <v>0</v>
      </c>
      <c r="EA352">
        <v>0</v>
      </c>
      <c r="EB352">
        <v>0</v>
      </c>
      <c r="EC352">
        <v>0</v>
      </c>
      <c r="ED352">
        <v>0</v>
      </c>
      <c r="EE352">
        <v>0</v>
      </c>
      <c r="EF352" t="s">
        <v>871</v>
      </c>
      <c r="EG352" t="s">
        <v>595</v>
      </c>
      <c r="EH352" t="s">
        <v>921</v>
      </c>
      <c r="EI352" t="s">
        <v>921</v>
      </c>
      <c r="EJ352" t="s">
        <v>226</v>
      </c>
      <c r="EK352">
        <v>9090</v>
      </c>
      <c r="EL352">
        <v>0</v>
      </c>
      <c r="EM352" t="s">
        <v>1157</v>
      </c>
      <c r="EN352">
        <v>0.36670000000000003</v>
      </c>
      <c r="EO352">
        <v>2.5499999999999998</v>
      </c>
      <c r="EP352">
        <v>99991120</v>
      </c>
      <c r="EQ352" t="s">
        <v>874</v>
      </c>
      <c r="ER352" t="s">
        <v>875</v>
      </c>
      <c r="ES352" t="s">
        <v>876</v>
      </c>
      <c r="ET352" t="s">
        <v>877</v>
      </c>
      <c r="EU352" t="s">
        <v>877</v>
      </c>
      <c r="EV352" t="s">
        <v>871</v>
      </c>
      <c r="EX352" t="s">
        <v>953</v>
      </c>
      <c r="EY352" t="s">
        <v>986</v>
      </c>
      <c r="EZ352" t="s">
        <v>1158</v>
      </c>
      <c r="FA352" t="s">
        <v>925</v>
      </c>
      <c r="FB352">
        <v>1</v>
      </c>
      <c r="FC352">
        <v>1</v>
      </c>
      <c r="FD352" s="41">
        <v>46053</v>
      </c>
      <c r="FE352" t="s">
        <v>1370</v>
      </c>
      <c r="FF352">
        <v>7</v>
      </c>
      <c r="FG352" t="s">
        <v>7714</v>
      </c>
      <c r="FH352" t="s">
        <v>7715</v>
      </c>
      <c r="FI352">
        <v>1</v>
      </c>
      <c r="FJ352" t="s">
        <v>7716</v>
      </c>
      <c r="FK352" t="s">
        <v>7717</v>
      </c>
      <c r="FL352">
        <v>1</v>
      </c>
      <c r="FM352" t="s">
        <v>7718</v>
      </c>
      <c r="FN352" t="s">
        <v>7717</v>
      </c>
      <c r="FO352">
        <v>1</v>
      </c>
      <c r="FP352" t="s">
        <v>7719</v>
      </c>
      <c r="FQ352" t="s">
        <v>7712</v>
      </c>
      <c r="FR352">
        <v>1</v>
      </c>
      <c r="FS352" t="s">
        <v>5010</v>
      </c>
      <c r="FT352" t="s">
        <v>7720</v>
      </c>
      <c r="FU352">
        <v>1</v>
      </c>
      <c r="FV352" t="s">
        <v>5012</v>
      </c>
      <c r="FW352" t="s">
        <v>7721</v>
      </c>
      <c r="FX352">
        <v>1</v>
      </c>
      <c r="FY352" t="s">
        <v>890</v>
      </c>
      <c r="FZ352" t="s">
        <v>7722</v>
      </c>
      <c r="GA352" t="s">
        <v>7714</v>
      </c>
      <c r="GB352">
        <v>1</v>
      </c>
      <c r="GD352">
        <v>0</v>
      </c>
      <c r="GF352">
        <v>0</v>
      </c>
      <c r="GG352">
        <v>1</v>
      </c>
      <c r="GH352" t="s">
        <v>892</v>
      </c>
      <c r="GI352" t="s">
        <v>893</v>
      </c>
      <c r="GJ352" t="s">
        <v>7715</v>
      </c>
      <c r="GM352">
        <v>1</v>
      </c>
      <c r="GN352">
        <v>1</v>
      </c>
      <c r="GO352">
        <v>0</v>
      </c>
      <c r="GP352">
        <v>1</v>
      </c>
      <c r="GQ352">
        <v>1</v>
      </c>
      <c r="GR352">
        <v>0</v>
      </c>
      <c r="GS352">
        <v>1</v>
      </c>
      <c r="GT352">
        <v>0</v>
      </c>
      <c r="GU352">
        <v>1</v>
      </c>
      <c r="GV352">
        <v>0</v>
      </c>
      <c r="GW352">
        <v>1</v>
      </c>
      <c r="GX352">
        <v>0</v>
      </c>
      <c r="GY352">
        <v>1</v>
      </c>
      <c r="GZ352">
        <v>0</v>
      </c>
      <c r="HA352" t="s">
        <v>411</v>
      </c>
      <c r="HB352" t="s">
        <v>894</v>
      </c>
      <c r="HC352" t="s">
        <v>935</v>
      </c>
      <c r="HD352" t="s">
        <v>845</v>
      </c>
      <c r="HE352" t="s">
        <v>900</v>
      </c>
      <c r="HF352" t="s">
        <v>923</v>
      </c>
      <c r="HG352" t="s">
        <v>894</v>
      </c>
      <c r="HH352" t="s">
        <v>935</v>
      </c>
      <c r="HI352" t="s">
        <v>845</v>
      </c>
      <c r="HJ352" t="s">
        <v>900</v>
      </c>
      <c r="HK352" t="s">
        <v>922</v>
      </c>
      <c r="HL352" t="s">
        <v>1141</v>
      </c>
      <c r="HM352" t="s">
        <v>854</v>
      </c>
      <c r="HN352">
        <v>36805</v>
      </c>
      <c r="HP352" t="s">
        <v>226</v>
      </c>
      <c r="HQ352" t="s">
        <v>896</v>
      </c>
      <c r="HR352" t="s">
        <v>896</v>
      </c>
      <c r="HS352" t="s">
        <v>896</v>
      </c>
    </row>
    <row r="353" spans="1:227" x14ac:dyDescent="0.2">
      <c r="A353">
        <v>8702</v>
      </c>
      <c r="B353">
        <v>7602703653</v>
      </c>
      <c r="C353">
        <v>34</v>
      </c>
      <c r="D353" t="s">
        <v>996</v>
      </c>
      <c r="E353" t="s">
        <v>831</v>
      </c>
      <c r="F353">
        <v>0</v>
      </c>
      <c r="G353" t="s">
        <v>7723</v>
      </c>
      <c r="H353" t="s">
        <v>7723</v>
      </c>
      <c r="I353">
        <v>0</v>
      </c>
      <c r="J353" t="s">
        <v>833</v>
      </c>
      <c r="K353" t="s">
        <v>834</v>
      </c>
      <c r="L353">
        <v>153294174</v>
      </c>
      <c r="M353" t="s">
        <v>2959</v>
      </c>
      <c r="N353" t="s">
        <v>836</v>
      </c>
      <c r="O353" t="s">
        <v>837</v>
      </c>
      <c r="P353" t="s">
        <v>999</v>
      </c>
      <c r="Q353" t="s">
        <v>2459</v>
      </c>
      <c r="R353" t="s">
        <v>7724</v>
      </c>
      <c r="S353" t="s">
        <v>7725</v>
      </c>
      <c r="T353">
        <v>30300127006</v>
      </c>
      <c r="V353" t="s">
        <v>2962</v>
      </c>
      <c r="W353" s="41">
        <v>46051</v>
      </c>
      <c r="X353" t="s">
        <v>7726</v>
      </c>
      <c r="Y353" t="s">
        <v>7727</v>
      </c>
      <c r="Z353" t="s">
        <v>2965</v>
      </c>
      <c r="AA353">
        <v>0</v>
      </c>
      <c r="AB353" t="s">
        <v>845</v>
      </c>
      <c r="AC353" t="s">
        <v>846</v>
      </c>
      <c r="AD353" t="s">
        <v>847</v>
      </c>
      <c r="AE353" t="s">
        <v>848</v>
      </c>
      <c r="AF353">
        <v>1</v>
      </c>
      <c r="AG353">
        <v>452210</v>
      </c>
      <c r="AH353" t="s">
        <v>849</v>
      </c>
      <c r="AI353" t="s">
        <v>850</v>
      </c>
      <c r="AJ353" t="s">
        <v>851</v>
      </c>
      <c r="AK353" t="s">
        <v>255</v>
      </c>
      <c r="AL353" t="s">
        <v>2605</v>
      </c>
      <c r="AM353" t="s">
        <v>2966</v>
      </c>
      <c r="AN353" t="s">
        <v>854</v>
      </c>
      <c r="AO353">
        <v>36805</v>
      </c>
      <c r="AP353">
        <v>715</v>
      </c>
      <c r="AQ353" t="s">
        <v>855</v>
      </c>
      <c r="AR353">
        <v>66311385</v>
      </c>
      <c r="AS353" t="s">
        <v>856</v>
      </c>
      <c r="AU353" t="s">
        <v>7728</v>
      </c>
      <c r="AV353" t="s">
        <v>7729</v>
      </c>
      <c r="AX353" t="s">
        <v>913</v>
      </c>
      <c r="AY353" t="s">
        <v>861</v>
      </c>
      <c r="AZ353" t="s">
        <v>255</v>
      </c>
      <c r="BA353" t="s">
        <v>256</v>
      </c>
      <c r="BB353">
        <v>0</v>
      </c>
      <c r="BC353">
        <v>1</v>
      </c>
      <c r="BD353">
        <v>0</v>
      </c>
      <c r="BE353" t="s">
        <v>2959</v>
      </c>
      <c r="BF353">
        <v>0</v>
      </c>
      <c r="BG353">
        <v>0</v>
      </c>
      <c r="BH353" t="s">
        <v>862</v>
      </c>
      <c r="BI353">
        <v>0</v>
      </c>
      <c r="BJ353" t="s">
        <v>862</v>
      </c>
      <c r="BK353">
        <v>1</v>
      </c>
      <c r="BL353">
        <v>1</v>
      </c>
      <c r="BM353">
        <v>0</v>
      </c>
      <c r="BN353" t="s">
        <v>596</v>
      </c>
      <c r="BO353">
        <v>153294174</v>
      </c>
      <c r="BP353" t="s">
        <v>7723</v>
      </c>
      <c r="BR353">
        <v>42793503</v>
      </c>
      <c r="BT353">
        <v>1</v>
      </c>
      <c r="BU353" t="s">
        <v>1367</v>
      </c>
      <c r="CI353">
        <v>11</v>
      </c>
      <c r="CJ353" t="s">
        <v>94</v>
      </c>
      <c r="CM353">
        <v>4010</v>
      </c>
      <c r="CO353">
        <v>7360</v>
      </c>
      <c r="CP353">
        <v>1.67E-2</v>
      </c>
      <c r="CQ353">
        <v>1.67E-2</v>
      </c>
      <c r="CR353">
        <v>1.67E-2</v>
      </c>
      <c r="CS353">
        <v>3</v>
      </c>
      <c r="CT353" t="s">
        <v>7729</v>
      </c>
      <c r="CU353" t="s">
        <v>7728</v>
      </c>
      <c r="CV353" t="s">
        <v>833</v>
      </c>
      <c r="CW353" t="s">
        <v>834</v>
      </c>
      <c r="CX353" t="s">
        <v>2959</v>
      </c>
      <c r="CY353">
        <v>1</v>
      </c>
      <c r="CZ353">
        <v>1</v>
      </c>
      <c r="DA353" t="s">
        <v>833</v>
      </c>
      <c r="DB353" t="s">
        <v>865</v>
      </c>
      <c r="DC353">
        <v>54304</v>
      </c>
      <c r="DD353">
        <v>29.15</v>
      </c>
      <c r="DE353" t="s">
        <v>866</v>
      </c>
      <c r="DG353" t="s">
        <v>867</v>
      </c>
      <c r="DH353" t="s">
        <v>851</v>
      </c>
      <c r="DI353" t="s">
        <v>2971</v>
      </c>
      <c r="DK353" t="s">
        <v>918</v>
      </c>
      <c r="DL353" t="s">
        <v>869</v>
      </c>
      <c r="DM353">
        <v>0</v>
      </c>
      <c r="DN353">
        <v>0</v>
      </c>
      <c r="DO353">
        <v>11</v>
      </c>
      <c r="DP353" t="s">
        <v>1010</v>
      </c>
      <c r="DQ353">
        <v>16</v>
      </c>
      <c r="DR353">
        <v>1749</v>
      </c>
      <c r="DS353">
        <v>3189</v>
      </c>
      <c r="DT353">
        <v>29.133299999999998</v>
      </c>
      <c r="DU353">
        <v>4</v>
      </c>
      <c r="DV353">
        <v>1</v>
      </c>
      <c r="DW353">
        <v>2</v>
      </c>
      <c r="DX353" t="s">
        <v>596</v>
      </c>
      <c r="DY353" t="s">
        <v>2959</v>
      </c>
      <c r="DZ353">
        <v>0</v>
      </c>
      <c r="EA353">
        <v>0</v>
      </c>
      <c r="EB353">
        <v>1</v>
      </c>
      <c r="EC353">
        <v>0</v>
      </c>
      <c r="ED353">
        <v>0</v>
      </c>
      <c r="EE353">
        <v>1</v>
      </c>
      <c r="EF353" t="s">
        <v>871</v>
      </c>
      <c r="EG353" t="s">
        <v>595</v>
      </c>
      <c r="EH353" t="s">
        <v>921</v>
      </c>
      <c r="EI353" t="s">
        <v>921</v>
      </c>
      <c r="EJ353" t="s">
        <v>215</v>
      </c>
      <c r="EK353">
        <v>9090</v>
      </c>
      <c r="EL353">
        <v>0</v>
      </c>
      <c r="EM353" t="s">
        <v>1436</v>
      </c>
      <c r="EN353">
        <v>1.67E-2</v>
      </c>
      <c r="EO353">
        <v>53.15</v>
      </c>
      <c r="EP353">
        <v>99991120</v>
      </c>
      <c r="EQ353" t="s">
        <v>874</v>
      </c>
      <c r="ER353" t="s">
        <v>875</v>
      </c>
      <c r="ES353" t="s">
        <v>876</v>
      </c>
      <c r="ET353" t="s">
        <v>877</v>
      </c>
      <c r="EU353" t="s">
        <v>877</v>
      </c>
      <c r="EV353" t="s">
        <v>871</v>
      </c>
      <c r="EX353" t="s">
        <v>836</v>
      </c>
      <c r="EY353" t="s">
        <v>873</v>
      </c>
      <c r="EZ353" t="s">
        <v>2972</v>
      </c>
      <c r="FA353" t="s">
        <v>879</v>
      </c>
      <c r="FB353">
        <v>1</v>
      </c>
      <c r="FC353">
        <v>1</v>
      </c>
      <c r="FD353" s="41">
        <v>46053</v>
      </c>
      <c r="FE353" t="s">
        <v>1370</v>
      </c>
      <c r="FF353">
        <v>7</v>
      </c>
      <c r="FG353" t="s">
        <v>7730</v>
      </c>
      <c r="FH353" t="s">
        <v>7731</v>
      </c>
      <c r="FI353">
        <v>1</v>
      </c>
      <c r="FJ353" t="s">
        <v>2975</v>
      </c>
      <c r="FK353" t="s">
        <v>7731</v>
      </c>
      <c r="FL353">
        <v>1</v>
      </c>
      <c r="FM353" t="s">
        <v>2976</v>
      </c>
      <c r="FN353" t="s">
        <v>7732</v>
      </c>
      <c r="FO353">
        <v>1</v>
      </c>
      <c r="FP353" t="s">
        <v>7733</v>
      </c>
      <c r="FQ353" t="s">
        <v>7734</v>
      </c>
      <c r="FR353">
        <v>1</v>
      </c>
      <c r="FS353" t="s">
        <v>2610</v>
      </c>
      <c r="FT353" t="s">
        <v>7735</v>
      </c>
      <c r="FU353">
        <v>1</v>
      </c>
      <c r="FV353" t="s">
        <v>7736</v>
      </c>
      <c r="FW353" t="s">
        <v>7737</v>
      </c>
      <c r="FX353">
        <v>1</v>
      </c>
      <c r="FY353" t="s">
        <v>890</v>
      </c>
      <c r="FZ353" t="s">
        <v>7738</v>
      </c>
      <c r="GA353" t="s">
        <v>2975</v>
      </c>
      <c r="GB353">
        <v>1</v>
      </c>
      <c r="GD353">
        <v>0</v>
      </c>
      <c r="GF353">
        <v>0</v>
      </c>
      <c r="GG353">
        <v>1</v>
      </c>
      <c r="GH353" t="s">
        <v>892</v>
      </c>
      <c r="GI353" t="s">
        <v>893</v>
      </c>
      <c r="GJ353" t="s">
        <v>7731</v>
      </c>
      <c r="GM353">
        <v>1</v>
      </c>
      <c r="GN353">
        <v>1</v>
      </c>
      <c r="GO353">
        <v>0</v>
      </c>
      <c r="GP353">
        <v>1</v>
      </c>
      <c r="GQ353">
        <v>1</v>
      </c>
      <c r="GR353">
        <v>0</v>
      </c>
      <c r="GS353">
        <v>1</v>
      </c>
      <c r="GT353">
        <v>0</v>
      </c>
      <c r="GU353">
        <v>1</v>
      </c>
      <c r="GV353">
        <v>0</v>
      </c>
      <c r="GW353">
        <v>1</v>
      </c>
      <c r="GX353">
        <v>0</v>
      </c>
      <c r="GY353">
        <v>1</v>
      </c>
      <c r="GZ353">
        <v>0</v>
      </c>
      <c r="HA353" t="s">
        <v>255</v>
      </c>
      <c r="HB353" t="s">
        <v>894</v>
      </c>
      <c r="HC353" t="s">
        <v>895</v>
      </c>
      <c r="HD353" t="s">
        <v>845</v>
      </c>
      <c r="HE353" t="s">
        <v>836</v>
      </c>
      <c r="HF353" t="s">
        <v>873</v>
      </c>
      <c r="HG353" t="s">
        <v>894</v>
      </c>
      <c r="HH353" t="s">
        <v>895</v>
      </c>
      <c r="HI353" t="s">
        <v>845</v>
      </c>
      <c r="HJ353" t="s">
        <v>836</v>
      </c>
      <c r="HK353" t="s">
        <v>1436</v>
      </c>
      <c r="HL353" t="s">
        <v>2962</v>
      </c>
      <c r="HM353" t="s">
        <v>854</v>
      </c>
      <c r="HN353">
        <v>36805</v>
      </c>
      <c r="HO353">
        <v>1</v>
      </c>
      <c r="HP353" t="s">
        <v>215</v>
      </c>
      <c r="HQ353" t="s">
        <v>896</v>
      </c>
      <c r="HR353" t="s">
        <v>896</v>
      </c>
      <c r="HS353" t="s">
        <v>896</v>
      </c>
    </row>
    <row r="354" spans="1:227" x14ac:dyDescent="0.2">
      <c r="A354">
        <v>8702</v>
      </c>
      <c r="B354">
        <v>7611911315</v>
      </c>
      <c r="D354" t="s">
        <v>913</v>
      </c>
      <c r="E354" t="s">
        <v>831</v>
      </c>
      <c r="F354">
        <v>0</v>
      </c>
      <c r="G354" t="s">
        <v>7739</v>
      </c>
      <c r="H354" t="s">
        <v>7739</v>
      </c>
      <c r="I354">
        <v>0</v>
      </c>
      <c r="J354" t="s">
        <v>833</v>
      </c>
      <c r="K354" t="s">
        <v>834</v>
      </c>
      <c r="L354">
        <v>156587992</v>
      </c>
      <c r="M354" t="s">
        <v>2116</v>
      </c>
      <c r="N354" t="s">
        <v>836</v>
      </c>
      <c r="O354" t="s">
        <v>837</v>
      </c>
      <c r="P354" t="s">
        <v>913</v>
      </c>
      <c r="V354" t="s">
        <v>196</v>
      </c>
      <c r="W354" s="41">
        <v>46141</v>
      </c>
      <c r="X354" t="s">
        <v>7740</v>
      </c>
      <c r="Y354" t="s">
        <v>7739</v>
      </c>
      <c r="Z354" t="s">
        <v>3599</v>
      </c>
      <c r="AA354">
        <v>0</v>
      </c>
      <c r="AB354" t="s">
        <v>845</v>
      </c>
      <c r="AC354" t="s">
        <v>846</v>
      </c>
      <c r="AD354" t="s">
        <v>1113</v>
      </c>
      <c r="AE354" t="s">
        <v>1114</v>
      </c>
      <c r="AF354">
        <v>1</v>
      </c>
      <c r="AG354">
        <v>452210</v>
      </c>
      <c r="AH354" t="s">
        <v>849</v>
      </c>
      <c r="AI354" t="s">
        <v>850</v>
      </c>
      <c r="AJ354" t="s">
        <v>851</v>
      </c>
      <c r="AM354" t="s">
        <v>1712</v>
      </c>
      <c r="AN354" t="s">
        <v>854</v>
      </c>
      <c r="AO354">
        <v>36805</v>
      </c>
      <c r="AP354">
        <v>639</v>
      </c>
      <c r="AQ354" t="s">
        <v>855</v>
      </c>
      <c r="AR354">
        <v>0</v>
      </c>
      <c r="AS354" t="s">
        <v>856</v>
      </c>
      <c r="AU354" t="s">
        <v>7741</v>
      </c>
      <c r="AV354" t="s">
        <v>7742</v>
      </c>
      <c r="AX354" t="s">
        <v>913</v>
      </c>
      <c r="AY354" t="s">
        <v>861</v>
      </c>
      <c r="BB354">
        <v>0</v>
      </c>
      <c r="BC354">
        <v>0</v>
      </c>
      <c r="BD354">
        <v>0</v>
      </c>
      <c r="BE354" t="s">
        <v>2116</v>
      </c>
      <c r="BF354">
        <v>0</v>
      </c>
      <c r="BG354">
        <v>0</v>
      </c>
      <c r="BH354" t="s">
        <v>862</v>
      </c>
      <c r="BI354">
        <v>0</v>
      </c>
      <c r="BJ354" t="s">
        <v>862</v>
      </c>
      <c r="BK354">
        <v>0</v>
      </c>
      <c r="BL354">
        <v>1</v>
      </c>
      <c r="BM354">
        <v>0</v>
      </c>
      <c r="BN354" t="s">
        <v>596</v>
      </c>
      <c r="BO354">
        <v>156587992</v>
      </c>
      <c r="BP354" t="s">
        <v>7739</v>
      </c>
      <c r="BR354">
        <v>42791771</v>
      </c>
      <c r="BT354">
        <v>1</v>
      </c>
      <c r="BU354" t="s">
        <v>1119</v>
      </c>
      <c r="CI354">
        <v>11</v>
      </c>
      <c r="CJ354" t="s">
        <v>94</v>
      </c>
      <c r="CM354">
        <v>4010</v>
      </c>
      <c r="CO354">
        <v>7360</v>
      </c>
      <c r="CP354">
        <v>0</v>
      </c>
      <c r="CQ354">
        <v>0</v>
      </c>
      <c r="CR354">
        <v>0</v>
      </c>
      <c r="CS354">
        <v>0</v>
      </c>
      <c r="CT354" t="s">
        <v>7743</v>
      </c>
      <c r="CU354" t="s">
        <v>7744</v>
      </c>
      <c r="CV354" t="s">
        <v>833</v>
      </c>
      <c r="CW354" t="s">
        <v>834</v>
      </c>
      <c r="CX354" t="s">
        <v>2116</v>
      </c>
      <c r="CY354">
        <v>0</v>
      </c>
      <c r="CZ354">
        <v>0</v>
      </c>
      <c r="DA354" t="s">
        <v>833</v>
      </c>
      <c r="DB354" t="s">
        <v>865</v>
      </c>
      <c r="DC354">
        <v>60134</v>
      </c>
      <c r="DD354">
        <v>0.7167</v>
      </c>
      <c r="DE354" t="s">
        <v>866</v>
      </c>
      <c r="DG354" t="s">
        <v>867</v>
      </c>
      <c r="DH354" t="s">
        <v>851</v>
      </c>
      <c r="DK354" t="s">
        <v>918</v>
      </c>
      <c r="DL354" t="s">
        <v>869</v>
      </c>
      <c r="DM354">
        <v>1</v>
      </c>
      <c r="DN354">
        <v>0</v>
      </c>
      <c r="DP354" t="s">
        <v>913</v>
      </c>
      <c r="DQ354">
        <v>0</v>
      </c>
      <c r="DR354">
        <v>43</v>
      </c>
      <c r="DS354">
        <v>53</v>
      </c>
      <c r="DT354">
        <v>0</v>
      </c>
      <c r="DU354">
        <v>0</v>
      </c>
      <c r="DV354">
        <v>1</v>
      </c>
      <c r="DW354">
        <v>2</v>
      </c>
      <c r="DX354" t="s">
        <v>596</v>
      </c>
      <c r="DY354" t="s">
        <v>2116</v>
      </c>
      <c r="DZ354">
        <v>1</v>
      </c>
      <c r="EA354">
        <v>1</v>
      </c>
      <c r="EB354">
        <v>1</v>
      </c>
      <c r="EC354">
        <v>1</v>
      </c>
      <c r="ED354">
        <v>1</v>
      </c>
      <c r="EE354">
        <v>1</v>
      </c>
      <c r="EG354" t="s">
        <v>600</v>
      </c>
      <c r="EH354" t="s">
        <v>921</v>
      </c>
      <c r="EI354" t="s">
        <v>921</v>
      </c>
      <c r="EJ354" t="s">
        <v>181</v>
      </c>
      <c r="EK354">
        <v>9090</v>
      </c>
      <c r="EL354">
        <v>0</v>
      </c>
      <c r="EM354" t="s">
        <v>873</v>
      </c>
      <c r="EN354">
        <v>0</v>
      </c>
      <c r="EO354">
        <v>0.88333329999999999</v>
      </c>
      <c r="EP354">
        <v>99991120</v>
      </c>
      <c r="EQ354" t="s">
        <v>874</v>
      </c>
      <c r="ER354" t="s">
        <v>875</v>
      </c>
      <c r="ES354" t="s">
        <v>876</v>
      </c>
      <c r="ET354" t="s">
        <v>877</v>
      </c>
      <c r="EU354" t="s">
        <v>877</v>
      </c>
      <c r="EX354" t="s">
        <v>836</v>
      </c>
      <c r="EY354" t="s">
        <v>873</v>
      </c>
      <c r="EZ354" t="s">
        <v>1437</v>
      </c>
      <c r="FA354" t="s">
        <v>956</v>
      </c>
      <c r="FB354">
        <v>1</v>
      </c>
      <c r="FC354">
        <v>0</v>
      </c>
      <c r="FD354" s="41">
        <v>46144</v>
      </c>
      <c r="FE354" t="s">
        <v>1123</v>
      </c>
      <c r="FF354">
        <v>4</v>
      </c>
      <c r="FI354">
        <v>0</v>
      </c>
      <c r="FL354">
        <v>0</v>
      </c>
      <c r="FM354" t="s">
        <v>7745</v>
      </c>
      <c r="FN354" t="s">
        <v>7740</v>
      </c>
      <c r="FO354">
        <v>1</v>
      </c>
      <c r="FP354" t="s">
        <v>7746</v>
      </c>
      <c r="FQ354" t="s">
        <v>7744</v>
      </c>
      <c r="FR354">
        <v>1</v>
      </c>
      <c r="FS354" t="s">
        <v>2616</v>
      </c>
      <c r="FT354" t="s">
        <v>7747</v>
      </c>
      <c r="FU354">
        <v>1</v>
      </c>
      <c r="FV354" t="s">
        <v>7748</v>
      </c>
      <c r="FW354" t="s">
        <v>7740</v>
      </c>
      <c r="FX354">
        <v>1</v>
      </c>
      <c r="FY354" t="s">
        <v>890</v>
      </c>
      <c r="FZ354" t="s">
        <v>7749</v>
      </c>
      <c r="GB354">
        <v>0</v>
      </c>
      <c r="GD354">
        <v>0</v>
      </c>
      <c r="GF354">
        <v>0</v>
      </c>
      <c r="GG354">
        <v>0</v>
      </c>
      <c r="GM354">
        <v>0</v>
      </c>
      <c r="GN354">
        <v>0</v>
      </c>
      <c r="GO354">
        <v>0</v>
      </c>
      <c r="GP354">
        <v>0</v>
      </c>
      <c r="GQ354">
        <v>0</v>
      </c>
      <c r="GR354">
        <v>0</v>
      </c>
      <c r="GS354">
        <v>0</v>
      </c>
      <c r="GT354">
        <v>0</v>
      </c>
      <c r="GU354">
        <v>0</v>
      </c>
      <c r="GV354">
        <v>0</v>
      </c>
      <c r="GW354">
        <v>0</v>
      </c>
      <c r="GX354">
        <v>0</v>
      </c>
      <c r="GY354">
        <v>0</v>
      </c>
      <c r="GZ354">
        <v>0</v>
      </c>
      <c r="HB354" t="s">
        <v>894</v>
      </c>
      <c r="HC354" t="s">
        <v>895</v>
      </c>
      <c r="HD354" t="s">
        <v>845</v>
      </c>
      <c r="HE354" t="s">
        <v>836</v>
      </c>
      <c r="HF354" t="s">
        <v>873</v>
      </c>
      <c r="HG354" t="s">
        <v>894</v>
      </c>
      <c r="HH354" t="s">
        <v>895</v>
      </c>
      <c r="HI354" t="s">
        <v>845</v>
      </c>
      <c r="HJ354" t="s">
        <v>836</v>
      </c>
      <c r="HK354" t="s">
        <v>873</v>
      </c>
      <c r="HL354" t="s">
        <v>196</v>
      </c>
      <c r="HM354" t="s">
        <v>854</v>
      </c>
      <c r="HN354">
        <v>36805</v>
      </c>
      <c r="HO354">
        <v>1</v>
      </c>
      <c r="HP354" t="s">
        <v>181</v>
      </c>
      <c r="HQ354" t="s">
        <v>896</v>
      </c>
      <c r="HR354" t="s">
        <v>896</v>
      </c>
      <c r="HS354" t="s">
        <v>896</v>
      </c>
    </row>
    <row r="355" spans="1:227" x14ac:dyDescent="0.2">
      <c r="A355">
        <v>8702</v>
      </c>
      <c r="B355">
        <v>7605704418</v>
      </c>
      <c r="C355" t="s">
        <v>829</v>
      </c>
      <c r="D355" t="s">
        <v>830</v>
      </c>
      <c r="E355" t="s">
        <v>897</v>
      </c>
      <c r="F355">
        <v>0</v>
      </c>
      <c r="G355" t="s">
        <v>7750</v>
      </c>
      <c r="H355" t="s">
        <v>7750</v>
      </c>
      <c r="I355">
        <v>0</v>
      </c>
      <c r="J355" t="s">
        <v>833</v>
      </c>
      <c r="K355" t="s">
        <v>834</v>
      </c>
      <c r="L355">
        <v>152832721</v>
      </c>
      <c r="M355" t="s">
        <v>7751</v>
      </c>
      <c r="N355" t="s">
        <v>900</v>
      </c>
      <c r="O355" t="s">
        <v>837</v>
      </c>
      <c r="P355" t="s">
        <v>838</v>
      </c>
      <c r="Q355" t="s">
        <v>1251</v>
      </c>
      <c r="R355" t="s">
        <v>7752</v>
      </c>
      <c r="S355" t="s">
        <v>7753</v>
      </c>
      <c r="T355">
        <v>41477095626</v>
      </c>
      <c r="V355" t="s">
        <v>239</v>
      </c>
      <c r="W355" s="41">
        <v>46079</v>
      </c>
      <c r="X355" t="s">
        <v>7754</v>
      </c>
      <c r="Y355" t="s">
        <v>7755</v>
      </c>
      <c r="AA355">
        <v>0</v>
      </c>
      <c r="AB355" t="s">
        <v>845</v>
      </c>
      <c r="AC355" t="s">
        <v>846</v>
      </c>
      <c r="AD355" t="s">
        <v>1113</v>
      </c>
      <c r="AE355" t="s">
        <v>1114</v>
      </c>
      <c r="AF355">
        <v>1</v>
      </c>
      <c r="AG355">
        <v>452210</v>
      </c>
      <c r="AH355" t="s">
        <v>849</v>
      </c>
      <c r="AI355" t="s">
        <v>850</v>
      </c>
      <c r="AJ355" t="s">
        <v>851</v>
      </c>
      <c r="AK355" t="s">
        <v>277</v>
      </c>
      <c r="AL355" t="s">
        <v>1229</v>
      </c>
      <c r="AM355" t="s">
        <v>1645</v>
      </c>
      <c r="AN355" t="s">
        <v>854</v>
      </c>
      <c r="AO355">
        <v>36805</v>
      </c>
      <c r="AP355">
        <v>928</v>
      </c>
      <c r="AQ355" t="s">
        <v>855</v>
      </c>
      <c r="AR355">
        <v>66351836</v>
      </c>
      <c r="AS355" t="s">
        <v>856</v>
      </c>
      <c r="AU355" t="s">
        <v>7756</v>
      </c>
      <c r="AV355" t="s">
        <v>7757</v>
      </c>
      <c r="AW355" t="s">
        <v>1149</v>
      </c>
      <c r="AX355" t="s">
        <v>1150</v>
      </c>
      <c r="AY355" t="s">
        <v>861</v>
      </c>
      <c r="AZ355" t="s">
        <v>277</v>
      </c>
      <c r="BA355" t="s">
        <v>278</v>
      </c>
      <c r="BB355">
        <v>0</v>
      </c>
      <c r="BC355">
        <v>0</v>
      </c>
      <c r="BD355">
        <v>0</v>
      </c>
      <c r="BE355" t="s">
        <v>7751</v>
      </c>
      <c r="BF355">
        <v>0</v>
      </c>
      <c r="BG355">
        <v>0</v>
      </c>
      <c r="BH355" t="s">
        <v>862</v>
      </c>
      <c r="BI355">
        <v>0</v>
      </c>
      <c r="BJ355" t="s">
        <v>862</v>
      </c>
      <c r="BK355">
        <v>1</v>
      </c>
      <c r="BL355">
        <v>0</v>
      </c>
      <c r="BM355">
        <v>0</v>
      </c>
      <c r="BN355" t="s">
        <v>596</v>
      </c>
      <c r="BO355">
        <v>152832721</v>
      </c>
      <c r="BP355" t="s">
        <v>7750</v>
      </c>
      <c r="BR355">
        <v>42793653</v>
      </c>
      <c r="BT355">
        <v>2</v>
      </c>
      <c r="BU355" t="s">
        <v>1780</v>
      </c>
      <c r="CE355">
        <v>1</v>
      </c>
      <c r="CI355">
        <v>11</v>
      </c>
      <c r="CJ355" t="s">
        <v>94</v>
      </c>
      <c r="CM355">
        <v>4010</v>
      </c>
      <c r="CO355">
        <v>7360</v>
      </c>
      <c r="CP355">
        <v>0.36670000000000003</v>
      </c>
      <c r="CQ355">
        <v>0.36670000000000003</v>
      </c>
      <c r="CR355">
        <v>0.76670000000000005</v>
      </c>
      <c r="CS355">
        <v>57</v>
      </c>
      <c r="CT355" t="s">
        <v>7757</v>
      </c>
      <c r="CU355" t="s">
        <v>7756</v>
      </c>
      <c r="CV355" t="s">
        <v>833</v>
      </c>
      <c r="CW355" t="s">
        <v>834</v>
      </c>
      <c r="CX355" t="s">
        <v>7751</v>
      </c>
      <c r="CY355">
        <v>0</v>
      </c>
      <c r="CZ355">
        <v>0</v>
      </c>
      <c r="DA355" t="s">
        <v>833</v>
      </c>
      <c r="DB355" t="s">
        <v>865</v>
      </c>
      <c r="DC355">
        <v>44145</v>
      </c>
      <c r="DD355">
        <v>2.1166999999999998</v>
      </c>
      <c r="DE355" t="s">
        <v>866</v>
      </c>
      <c r="DG355" t="s">
        <v>867</v>
      </c>
      <c r="DH355" t="s">
        <v>851</v>
      </c>
      <c r="DI355" t="s">
        <v>2105</v>
      </c>
      <c r="DK355" t="s">
        <v>918</v>
      </c>
      <c r="DL355" t="s">
        <v>869</v>
      </c>
      <c r="DM355">
        <v>0</v>
      </c>
      <c r="DN355">
        <v>0</v>
      </c>
      <c r="DO355">
        <v>12</v>
      </c>
      <c r="DP355" t="s">
        <v>1190</v>
      </c>
      <c r="DQ355">
        <v>0</v>
      </c>
      <c r="DR355">
        <v>127</v>
      </c>
      <c r="DS355">
        <v>127</v>
      </c>
      <c r="DT355">
        <v>1.75</v>
      </c>
      <c r="DU355">
        <v>0</v>
      </c>
      <c r="DV355">
        <v>1</v>
      </c>
      <c r="DW355">
        <v>1</v>
      </c>
      <c r="DX355" t="s">
        <v>594</v>
      </c>
      <c r="DY355" t="s">
        <v>7751</v>
      </c>
      <c r="DZ355">
        <v>1</v>
      </c>
      <c r="EA355">
        <v>1</v>
      </c>
      <c r="EB355">
        <v>1</v>
      </c>
      <c r="EC355">
        <v>1</v>
      </c>
      <c r="ED355">
        <v>1</v>
      </c>
      <c r="EE355">
        <v>1</v>
      </c>
      <c r="EF355" t="s">
        <v>871</v>
      </c>
      <c r="EG355" t="s">
        <v>595</v>
      </c>
      <c r="EH355" t="s">
        <v>1695</v>
      </c>
      <c r="EI355" t="s">
        <v>1695</v>
      </c>
      <c r="EJ355" t="s">
        <v>226</v>
      </c>
      <c r="EK355">
        <v>9090</v>
      </c>
      <c r="EL355">
        <v>0</v>
      </c>
      <c r="EM355" t="s">
        <v>1157</v>
      </c>
      <c r="EN355">
        <v>0.76670000000000005</v>
      </c>
      <c r="EO355">
        <v>2.1166667000000001</v>
      </c>
      <c r="EP355">
        <v>99991120</v>
      </c>
      <c r="EQ355" t="s">
        <v>874</v>
      </c>
      <c r="ER355" t="s">
        <v>875</v>
      </c>
      <c r="ES355" t="s">
        <v>876</v>
      </c>
      <c r="ET355" t="s">
        <v>877</v>
      </c>
      <c r="EU355" t="s">
        <v>877</v>
      </c>
      <c r="EV355" t="s">
        <v>871</v>
      </c>
      <c r="EX355" t="s">
        <v>953</v>
      </c>
      <c r="EY355" t="s">
        <v>986</v>
      </c>
      <c r="EZ355" t="s">
        <v>1236</v>
      </c>
      <c r="FA355" t="s">
        <v>956</v>
      </c>
      <c r="FB355">
        <v>1</v>
      </c>
      <c r="FC355">
        <v>1</v>
      </c>
      <c r="FD355" s="41">
        <v>46081</v>
      </c>
      <c r="FE355" t="s">
        <v>1267</v>
      </c>
      <c r="FF355">
        <v>5</v>
      </c>
      <c r="FI355">
        <v>0</v>
      </c>
      <c r="FJ355" t="s">
        <v>7758</v>
      </c>
      <c r="FK355" t="s">
        <v>7759</v>
      </c>
      <c r="FL355">
        <v>1</v>
      </c>
      <c r="FM355" t="s">
        <v>7760</v>
      </c>
      <c r="FN355" t="s">
        <v>7761</v>
      </c>
      <c r="FO355">
        <v>1</v>
      </c>
      <c r="FP355" t="s">
        <v>7762</v>
      </c>
      <c r="FQ355" t="s">
        <v>7763</v>
      </c>
      <c r="FR355">
        <v>1</v>
      </c>
      <c r="FS355" t="s">
        <v>1244</v>
      </c>
      <c r="FT355" t="s">
        <v>7764</v>
      </c>
      <c r="FU355">
        <v>1</v>
      </c>
      <c r="FV355" t="s">
        <v>7765</v>
      </c>
      <c r="FW355" t="s">
        <v>7759</v>
      </c>
      <c r="FX355">
        <v>1</v>
      </c>
      <c r="FY355" t="s">
        <v>890</v>
      </c>
      <c r="FZ355" t="s">
        <v>7766</v>
      </c>
      <c r="GA355" t="s">
        <v>7758</v>
      </c>
      <c r="GB355">
        <v>1</v>
      </c>
      <c r="GD355">
        <v>0</v>
      </c>
      <c r="GF355">
        <v>0</v>
      </c>
      <c r="GG355">
        <v>1</v>
      </c>
      <c r="GH355" t="s">
        <v>892</v>
      </c>
      <c r="GI355" t="s">
        <v>893</v>
      </c>
      <c r="GJ355" t="s">
        <v>7759</v>
      </c>
      <c r="GM355">
        <v>1</v>
      </c>
      <c r="GN355">
        <v>1</v>
      </c>
      <c r="GO355">
        <v>0</v>
      </c>
      <c r="GP355">
        <v>1</v>
      </c>
      <c r="GQ355">
        <v>1</v>
      </c>
      <c r="GR355">
        <v>0</v>
      </c>
      <c r="GS355">
        <v>1</v>
      </c>
      <c r="GT355">
        <v>0</v>
      </c>
      <c r="GU355">
        <v>1</v>
      </c>
      <c r="GV355">
        <v>0</v>
      </c>
      <c r="GW355">
        <v>1</v>
      </c>
      <c r="GX355">
        <v>0</v>
      </c>
      <c r="GY355">
        <v>1</v>
      </c>
      <c r="GZ355">
        <v>0</v>
      </c>
      <c r="HA355" t="s">
        <v>277</v>
      </c>
      <c r="HB355" t="s">
        <v>894</v>
      </c>
      <c r="HC355" t="s">
        <v>935</v>
      </c>
      <c r="HD355" t="s">
        <v>845</v>
      </c>
      <c r="HE355" t="s">
        <v>900</v>
      </c>
      <c r="HF355" t="s">
        <v>923</v>
      </c>
      <c r="HG355" t="s">
        <v>894</v>
      </c>
      <c r="HH355" t="s">
        <v>935</v>
      </c>
      <c r="HI355" t="s">
        <v>845</v>
      </c>
      <c r="HJ355" t="s">
        <v>900</v>
      </c>
      <c r="HK355" t="s">
        <v>922</v>
      </c>
      <c r="HL355" t="s">
        <v>239</v>
      </c>
      <c r="HM355" t="s">
        <v>854</v>
      </c>
      <c r="HN355">
        <v>36805</v>
      </c>
      <c r="HP355" t="s">
        <v>226</v>
      </c>
      <c r="HQ355" t="s">
        <v>896</v>
      </c>
      <c r="HR355" t="s">
        <v>896</v>
      </c>
      <c r="HS355" t="s">
        <v>896</v>
      </c>
    </row>
    <row r="356" spans="1:227" x14ac:dyDescent="0.2">
      <c r="A356">
        <v>8702</v>
      </c>
      <c r="B356">
        <v>7530914116</v>
      </c>
      <c r="C356">
        <v>34</v>
      </c>
      <c r="D356" t="s">
        <v>996</v>
      </c>
      <c r="E356" t="s">
        <v>831</v>
      </c>
      <c r="F356">
        <v>0</v>
      </c>
      <c r="G356" t="s">
        <v>7767</v>
      </c>
      <c r="H356" t="s">
        <v>7767</v>
      </c>
      <c r="I356">
        <v>0</v>
      </c>
      <c r="J356" t="s">
        <v>833</v>
      </c>
      <c r="K356" t="s">
        <v>834</v>
      </c>
      <c r="L356">
        <v>153406465</v>
      </c>
      <c r="M356" t="s">
        <v>4628</v>
      </c>
      <c r="N356" t="s">
        <v>836</v>
      </c>
      <c r="O356" t="s">
        <v>837</v>
      </c>
      <c r="P356" t="s">
        <v>999</v>
      </c>
      <c r="Q356" t="s">
        <v>1000</v>
      </c>
      <c r="R356" t="s">
        <v>7768</v>
      </c>
      <c r="S356" t="s">
        <v>7769</v>
      </c>
      <c r="T356">
        <v>30300131301</v>
      </c>
      <c r="V356" t="s">
        <v>1943</v>
      </c>
      <c r="W356" s="41">
        <v>45981</v>
      </c>
      <c r="X356" t="s">
        <v>7770</v>
      </c>
      <c r="Y356" t="s">
        <v>7771</v>
      </c>
      <c r="AA356">
        <v>0</v>
      </c>
      <c r="AB356" t="s">
        <v>845</v>
      </c>
      <c r="AC356" t="s">
        <v>846</v>
      </c>
      <c r="AD356" t="s">
        <v>847</v>
      </c>
      <c r="AE356" t="s">
        <v>848</v>
      </c>
      <c r="AF356">
        <v>1</v>
      </c>
      <c r="AG356">
        <v>452210</v>
      </c>
      <c r="AH356" t="s">
        <v>849</v>
      </c>
      <c r="AI356" t="s">
        <v>850</v>
      </c>
      <c r="AJ356" t="s">
        <v>851</v>
      </c>
      <c r="AK356" t="s">
        <v>305</v>
      </c>
      <c r="AL356" t="s">
        <v>1946</v>
      </c>
      <c r="AM356" t="s">
        <v>1947</v>
      </c>
      <c r="AN356" t="s">
        <v>854</v>
      </c>
      <c r="AO356">
        <v>36805</v>
      </c>
      <c r="AP356">
        <v>562</v>
      </c>
      <c r="AQ356" t="s">
        <v>855</v>
      </c>
      <c r="AR356">
        <v>66210400</v>
      </c>
      <c r="AS356" t="s">
        <v>856</v>
      </c>
      <c r="AU356" t="s">
        <v>7772</v>
      </c>
      <c r="AV356" t="s">
        <v>7773</v>
      </c>
      <c r="AX356" t="s">
        <v>913</v>
      </c>
      <c r="AY356" t="s">
        <v>861</v>
      </c>
      <c r="AZ356" t="s">
        <v>305</v>
      </c>
      <c r="BA356" t="s">
        <v>306</v>
      </c>
      <c r="BB356">
        <v>0</v>
      </c>
      <c r="BC356">
        <v>0</v>
      </c>
      <c r="BD356">
        <v>1</v>
      </c>
      <c r="BE356" t="s">
        <v>4628</v>
      </c>
      <c r="BF356">
        <v>0</v>
      </c>
      <c r="BG356">
        <v>0</v>
      </c>
      <c r="BH356" t="s">
        <v>862</v>
      </c>
      <c r="BI356">
        <v>0</v>
      </c>
      <c r="BJ356" t="s">
        <v>862</v>
      </c>
      <c r="BK356">
        <v>1</v>
      </c>
      <c r="BL356">
        <v>1</v>
      </c>
      <c r="BM356">
        <v>0</v>
      </c>
      <c r="BN356" t="s">
        <v>596</v>
      </c>
      <c r="BO356">
        <v>153406465</v>
      </c>
      <c r="BP356" t="s">
        <v>7767</v>
      </c>
      <c r="BQ356">
        <v>45.548564499999998</v>
      </c>
      <c r="BR356">
        <v>42791464</v>
      </c>
      <c r="BS356">
        <v>-94.215584899999996</v>
      </c>
      <c r="BT356">
        <v>0</v>
      </c>
      <c r="CM356">
        <v>4010</v>
      </c>
      <c r="CO356">
        <v>7360</v>
      </c>
      <c r="CP356">
        <v>0.2</v>
      </c>
      <c r="CQ356">
        <v>0.2</v>
      </c>
      <c r="CR356">
        <v>1.1499999999999999</v>
      </c>
      <c r="CS356">
        <v>0</v>
      </c>
      <c r="CT356" t="s">
        <v>7773</v>
      </c>
      <c r="CU356" t="s">
        <v>7772</v>
      </c>
      <c r="CV356" t="s">
        <v>833</v>
      </c>
      <c r="CW356" t="s">
        <v>834</v>
      </c>
      <c r="CX356" t="s">
        <v>4628</v>
      </c>
      <c r="CY356">
        <v>1</v>
      </c>
      <c r="CZ356">
        <v>1</v>
      </c>
      <c r="DA356" t="s">
        <v>833</v>
      </c>
      <c r="DB356" t="s">
        <v>865</v>
      </c>
      <c r="DC356">
        <v>56387</v>
      </c>
      <c r="DD356">
        <v>178.4333</v>
      </c>
      <c r="DE356" t="s">
        <v>866</v>
      </c>
      <c r="DG356" t="s">
        <v>867</v>
      </c>
      <c r="DH356" t="s">
        <v>851</v>
      </c>
      <c r="DL356" t="s">
        <v>869</v>
      </c>
      <c r="DM356">
        <v>0</v>
      </c>
      <c r="DN356">
        <v>3.7667000000000002</v>
      </c>
      <c r="DO356">
        <v>11</v>
      </c>
      <c r="DP356" t="s">
        <v>1010</v>
      </c>
      <c r="DQ356">
        <v>16</v>
      </c>
      <c r="DR356">
        <v>10706</v>
      </c>
      <c r="DS356">
        <v>21506</v>
      </c>
      <c r="DT356">
        <v>1.3833</v>
      </c>
      <c r="DU356">
        <v>4</v>
      </c>
      <c r="DW356">
        <v>2</v>
      </c>
      <c r="DX356" t="s">
        <v>596</v>
      </c>
      <c r="DY356" t="s">
        <v>4628</v>
      </c>
      <c r="DZ356">
        <v>0</v>
      </c>
      <c r="EA356">
        <v>0</v>
      </c>
      <c r="EB356">
        <v>1</v>
      </c>
      <c r="EC356">
        <v>1</v>
      </c>
      <c r="ED356">
        <v>1</v>
      </c>
      <c r="EE356">
        <v>1</v>
      </c>
      <c r="EF356" t="s">
        <v>871</v>
      </c>
      <c r="EG356" t="s">
        <v>595</v>
      </c>
      <c r="EH356" t="s">
        <v>921</v>
      </c>
      <c r="EI356" t="s">
        <v>921</v>
      </c>
      <c r="EJ356" t="s">
        <v>159</v>
      </c>
      <c r="EK356">
        <v>9090</v>
      </c>
      <c r="EL356">
        <v>1</v>
      </c>
      <c r="EM356" t="s">
        <v>873</v>
      </c>
      <c r="EN356">
        <v>2.5167000000000002</v>
      </c>
      <c r="EO356">
        <v>358.43333330000002</v>
      </c>
      <c r="EP356">
        <v>99991120</v>
      </c>
      <c r="EQ356" t="s">
        <v>874</v>
      </c>
      <c r="ER356" t="s">
        <v>875</v>
      </c>
      <c r="ES356" t="s">
        <v>876</v>
      </c>
      <c r="ET356" t="s">
        <v>877</v>
      </c>
      <c r="EU356" t="s">
        <v>877</v>
      </c>
      <c r="EV356" t="s">
        <v>871</v>
      </c>
      <c r="EX356" t="s">
        <v>836</v>
      </c>
      <c r="EY356" t="s">
        <v>1121</v>
      </c>
      <c r="EZ356" t="s">
        <v>1122</v>
      </c>
      <c r="FA356" t="s">
        <v>956</v>
      </c>
      <c r="FB356">
        <v>1</v>
      </c>
      <c r="FC356">
        <v>1</v>
      </c>
      <c r="FD356" s="41">
        <v>45983</v>
      </c>
      <c r="FE356" t="s">
        <v>1438</v>
      </c>
      <c r="FF356">
        <v>9</v>
      </c>
      <c r="FG356" t="s">
        <v>7774</v>
      </c>
      <c r="FH356" t="s">
        <v>7775</v>
      </c>
      <c r="FI356">
        <v>1</v>
      </c>
      <c r="FJ356" t="s">
        <v>5420</v>
      </c>
      <c r="FK356" t="s">
        <v>7776</v>
      </c>
      <c r="FL356">
        <v>1</v>
      </c>
      <c r="FM356" t="s">
        <v>4638</v>
      </c>
      <c r="FN356" t="s">
        <v>7777</v>
      </c>
      <c r="FO356">
        <v>1</v>
      </c>
      <c r="FP356" t="s">
        <v>7778</v>
      </c>
      <c r="FQ356" t="s">
        <v>7779</v>
      </c>
      <c r="FR356">
        <v>1</v>
      </c>
      <c r="FS356" t="s">
        <v>4643</v>
      </c>
      <c r="FT356" t="s">
        <v>7780</v>
      </c>
      <c r="FU356">
        <v>1</v>
      </c>
      <c r="FV356" t="s">
        <v>5425</v>
      </c>
      <c r="FW356" t="s">
        <v>5426</v>
      </c>
      <c r="FX356">
        <v>1</v>
      </c>
      <c r="FY356" t="s">
        <v>890</v>
      </c>
      <c r="FZ356" t="s">
        <v>7781</v>
      </c>
      <c r="GA356" t="s">
        <v>5420</v>
      </c>
      <c r="GB356">
        <v>1</v>
      </c>
      <c r="GD356">
        <v>0</v>
      </c>
      <c r="GF356">
        <v>0</v>
      </c>
      <c r="GG356">
        <v>1</v>
      </c>
      <c r="GH356" t="s">
        <v>892</v>
      </c>
      <c r="GI356" t="s">
        <v>893</v>
      </c>
      <c r="GJ356" t="s">
        <v>7776</v>
      </c>
      <c r="GM356">
        <v>1</v>
      </c>
      <c r="GN356">
        <v>1</v>
      </c>
      <c r="GO356">
        <v>0</v>
      </c>
      <c r="GP356">
        <v>1</v>
      </c>
      <c r="GQ356">
        <v>1</v>
      </c>
      <c r="GR356">
        <v>0</v>
      </c>
      <c r="GS356">
        <v>1</v>
      </c>
      <c r="GT356">
        <v>0</v>
      </c>
      <c r="GU356">
        <v>1</v>
      </c>
      <c r="GV356">
        <v>0</v>
      </c>
      <c r="GW356">
        <v>1</v>
      </c>
      <c r="GX356">
        <v>0</v>
      </c>
      <c r="GY356">
        <v>1</v>
      </c>
      <c r="GZ356">
        <v>0</v>
      </c>
      <c r="HA356" t="s">
        <v>305</v>
      </c>
      <c r="HB356" t="s">
        <v>894</v>
      </c>
      <c r="HC356" t="s">
        <v>895</v>
      </c>
      <c r="HD356" t="s">
        <v>845</v>
      </c>
      <c r="HE356" t="s">
        <v>836</v>
      </c>
      <c r="HF356" t="s">
        <v>873</v>
      </c>
      <c r="HG356" t="s">
        <v>894</v>
      </c>
      <c r="HH356" t="s">
        <v>895</v>
      </c>
      <c r="HI356" t="s">
        <v>845</v>
      </c>
      <c r="HJ356" t="s">
        <v>836</v>
      </c>
      <c r="HK356" t="s">
        <v>873</v>
      </c>
      <c r="HL356" t="s">
        <v>1943</v>
      </c>
      <c r="HM356" t="s">
        <v>854</v>
      </c>
      <c r="HN356">
        <v>36805</v>
      </c>
      <c r="HP356" t="s">
        <v>159</v>
      </c>
      <c r="HQ356" t="s">
        <v>896</v>
      </c>
      <c r="HR356" t="s">
        <v>896</v>
      </c>
      <c r="HS356" t="s">
        <v>896</v>
      </c>
    </row>
    <row r="357" spans="1:227" ht="409.6" x14ac:dyDescent="0.2">
      <c r="A357">
        <v>8702</v>
      </c>
      <c r="B357">
        <v>7530205152</v>
      </c>
      <c r="C357" t="s">
        <v>1171</v>
      </c>
      <c r="D357" t="s">
        <v>1172</v>
      </c>
      <c r="E357" t="s">
        <v>897</v>
      </c>
      <c r="F357">
        <v>1</v>
      </c>
      <c r="G357" t="s">
        <v>7782</v>
      </c>
      <c r="H357" t="s">
        <v>7782</v>
      </c>
      <c r="I357">
        <v>0</v>
      </c>
      <c r="J357" t="s">
        <v>833</v>
      </c>
      <c r="K357" t="s">
        <v>834</v>
      </c>
      <c r="L357">
        <v>152858787</v>
      </c>
      <c r="M357" t="s">
        <v>1839</v>
      </c>
      <c r="N357" t="s">
        <v>900</v>
      </c>
      <c r="O357" t="s">
        <v>837</v>
      </c>
      <c r="P357" t="s">
        <v>1175</v>
      </c>
      <c r="Q357" t="s">
        <v>1176</v>
      </c>
      <c r="R357" t="s">
        <v>7783</v>
      </c>
      <c r="S357" t="s">
        <v>7784</v>
      </c>
      <c r="T357">
        <v>41477050287</v>
      </c>
      <c r="V357" t="s">
        <v>210</v>
      </c>
      <c r="W357" s="41">
        <v>45961</v>
      </c>
      <c r="X357" t="s">
        <v>7785</v>
      </c>
      <c r="Y357" t="s">
        <v>7786</v>
      </c>
      <c r="AA357">
        <v>0</v>
      </c>
      <c r="AB357" t="s">
        <v>845</v>
      </c>
      <c r="AC357" t="s">
        <v>846</v>
      </c>
      <c r="AD357" t="s">
        <v>847</v>
      </c>
      <c r="AE357" t="s">
        <v>848</v>
      </c>
      <c r="AF357">
        <v>1</v>
      </c>
      <c r="AG357">
        <v>452210</v>
      </c>
      <c r="AH357" t="s">
        <v>849</v>
      </c>
      <c r="AI357" t="s">
        <v>850</v>
      </c>
      <c r="AJ357" t="s">
        <v>851</v>
      </c>
      <c r="AK357" t="s">
        <v>346</v>
      </c>
      <c r="AL357" t="s">
        <v>3308</v>
      </c>
      <c r="AM357" t="s">
        <v>1408</v>
      </c>
      <c r="AN357" t="s">
        <v>854</v>
      </c>
      <c r="AO357">
        <v>36805</v>
      </c>
      <c r="AP357">
        <v>648</v>
      </c>
      <c r="AQ357" t="s">
        <v>855</v>
      </c>
      <c r="AR357">
        <v>66181430</v>
      </c>
      <c r="AS357" t="s">
        <v>856</v>
      </c>
      <c r="AU357" t="s">
        <v>7787</v>
      </c>
      <c r="AV357" t="s">
        <v>7788</v>
      </c>
      <c r="AW357" t="s">
        <v>950</v>
      </c>
      <c r="AX357" t="s">
        <v>951</v>
      </c>
      <c r="AY357" t="s">
        <v>861</v>
      </c>
      <c r="AZ357" t="s">
        <v>346</v>
      </c>
      <c r="BA357" t="s">
        <v>347</v>
      </c>
      <c r="BB357">
        <v>0</v>
      </c>
      <c r="BC357">
        <v>0</v>
      </c>
      <c r="BD357">
        <v>1</v>
      </c>
      <c r="BE357" t="s">
        <v>1839</v>
      </c>
      <c r="BF357">
        <v>0</v>
      </c>
      <c r="BG357">
        <v>0</v>
      </c>
      <c r="BH357" t="s">
        <v>862</v>
      </c>
      <c r="BI357">
        <v>0</v>
      </c>
      <c r="BJ357" t="s">
        <v>862</v>
      </c>
      <c r="BK357">
        <v>1</v>
      </c>
      <c r="BL357">
        <v>0</v>
      </c>
      <c r="BM357">
        <v>0</v>
      </c>
      <c r="BN357" t="s">
        <v>596</v>
      </c>
      <c r="BO357">
        <v>152858787</v>
      </c>
      <c r="BP357" t="s">
        <v>7782</v>
      </c>
      <c r="BQ357">
        <v>42.249323799999999</v>
      </c>
      <c r="BR357">
        <v>42791781</v>
      </c>
      <c r="BS357">
        <v>-83.659873000000005</v>
      </c>
      <c r="BT357">
        <v>0</v>
      </c>
      <c r="CM357">
        <v>4010</v>
      </c>
      <c r="CO357">
        <v>7360</v>
      </c>
      <c r="CP357">
        <v>1.05</v>
      </c>
      <c r="CQ357">
        <v>1.05</v>
      </c>
      <c r="CR357">
        <v>0.56669999999999998</v>
      </c>
      <c r="CS357">
        <v>706</v>
      </c>
      <c r="CT357" t="s">
        <v>7788</v>
      </c>
      <c r="CU357" t="s">
        <v>7787</v>
      </c>
      <c r="CV357" t="s">
        <v>833</v>
      </c>
      <c r="CW357" t="s">
        <v>834</v>
      </c>
      <c r="CX357" t="s">
        <v>1839</v>
      </c>
      <c r="CY357">
        <v>1</v>
      </c>
      <c r="CZ357">
        <v>1</v>
      </c>
      <c r="DA357" t="s">
        <v>833</v>
      </c>
      <c r="DB357" t="s">
        <v>865</v>
      </c>
      <c r="DC357">
        <v>48197</v>
      </c>
      <c r="DD357">
        <v>14.416700000000001</v>
      </c>
      <c r="DE357" t="s">
        <v>866</v>
      </c>
      <c r="DG357" t="s">
        <v>867</v>
      </c>
      <c r="DH357" t="s">
        <v>851</v>
      </c>
      <c r="DI357" t="s">
        <v>1846</v>
      </c>
      <c r="DL357" t="s">
        <v>869</v>
      </c>
      <c r="DM357">
        <v>0</v>
      </c>
      <c r="DN357">
        <v>0</v>
      </c>
      <c r="DO357">
        <v>11</v>
      </c>
      <c r="DP357" t="s">
        <v>1010</v>
      </c>
      <c r="DQ357">
        <v>16</v>
      </c>
      <c r="DR357">
        <v>865</v>
      </c>
      <c r="DS357">
        <v>2305</v>
      </c>
      <c r="DT357">
        <v>13.5167</v>
      </c>
      <c r="DU357">
        <v>4</v>
      </c>
      <c r="DW357">
        <v>2</v>
      </c>
      <c r="DX357" t="s">
        <v>594</v>
      </c>
      <c r="DY357" t="s">
        <v>1839</v>
      </c>
      <c r="DZ357">
        <v>0</v>
      </c>
      <c r="EA357">
        <v>0</v>
      </c>
      <c r="EB357">
        <v>0</v>
      </c>
      <c r="EC357">
        <v>0</v>
      </c>
      <c r="ED357">
        <v>0</v>
      </c>
      <c r="EE357">
        <v>0</v>
      </c>
      <c r="EF357" t="s">
        <v>920</v>
      </c>
      <c r="EG357" t="s">
        <v>595</v>
      </c>
      <c r="EH357" t="s">
        <v>872</v>
      </c>
      <c r="EI357" t="s">
        <v>872</v>
      </c>
      <c r="EJ357" t="s">
        <v>178</v>
      </c>
      <c r="EK357">
        <v>9090</v>
      </c>
      <c r="EL357">
        <v>0</v>
      </c>
      <c r="EM357" t="s">
        <v>952</v>
      </c>
      <c r="EN357">
        <v>0.56669999999999998</v>
      </c>
      <c r="EO357">
        <v>38.416666599999999</v>
      </c>
      <c r="EP357">
        <v>99991120</v>
      </c>
      <c r="EQ357" t="s">
        <v>874</v>
      </c>
      <c r="ER357" t="s">
        <v>875</v>
      </c>
      <c r="ES357" t="s">
        <v>876</v>
      </c>
      <c r="ET357" t="s">
        <v>877</v>
      </c>
      <c r="EU357" t="s">
        <v>877</v>
      </c>
      <c r="EV357" t="s">
        <v>920</v>
      </c>
      <c r="EX357" t="s">
        <v>953</v>
      </c>
      <c r="EY357" t="s">
        <v>954</v>
      </c>
      <c r="EZ357" t="s">
        <v>955</v>
      </c>
      <c r="FA357" t="s">
        <v>956</v>
      </c>
      <c r="FB357">
        <v>1</v>
      </c>
      <c r="FC357">
        <v>1</v>
      </c>
      <c r="FD357" s="41">
        <v>45962</v>
      </c>
      <c r="FE357" t="s">
        <v>1039</v>
      </c>
      <c r="FF357">
        <v>10</v>
      </c>
      <c r="FG357" t="s">
        <v>3318</v>
      </c>
      <c r="FH357" t="s">
        <v>7789</v>
      </c>
      <c r="FI357">
        <v>1</v>
      </c>
      <c r="FJ357" t="s">
        <v>7790</v>
      </c>
      <c r="FK357" t="s">
        <v>7789</v>
      </c>
      <c r="FL357">
        <v>1</v>
      </c>
      <c r="FM357" t="s">
        <v>7791</v>
      </c>
      <c r="FN357" t="s">
        <v>7792</v>
      </c>
      <c r="FO357">
        <v>1</v>
      </c>
      <c r="FP357" s="42" t="s">
        <v>7793</v>
      </c>
      <c r="FQ357" t="s">
        <v>7794</v>
      </c>
      <c r="FR357">
        <v>1</v>
      </c>
      <c r="FS357" t="s">
        <v>3316</v>
      </c>
      <c r="FT357" t="s">
        <v>7795</v>
      </c>
      <c r="FU357">
        <v>1</v>
      </c>
      <c r="FV357" t="s">
        <v>5869</v>
      </c>
      <c r="FW357" t="s">
        <v>7796</v>
      </c>
      <c r="FX357">
        <v>1</v>
      </c>
      <c r="FY357" t="s">
        <v>890</v>
      </c>
      <c r="FZ357" s="42" t="s">
        <v>7797</v>
      </c>
      <c r="GA357" t="s">
        <v>7790</v>
      </c>
      <c r="GB357">
        <v>1</v>
      </c>
      <c r="GD357">
        <v>0</v>
      </c>
      <c r="GF357">
        <v>0</v>
      </c>
      <c r="GG357">
        <v>1</v>
      </c>
      <c r="GH357" t="s">
        <v>892</v>
      </c>
      <c r="GI357" t="s">
        <v>893</v>
      </c>
      <c r="GJ357" t="s">
        <v>7789</v>
      </c>
      <c r="GM357">
        <v>1</v>
      </c>
      <c r="GN357">
        <v>1</v>
      </c>
      <c r="GO357">
        <v>0</v>
      </c>
      <c r="GP357">
        <v>1</v>
      </c>
      <c r="GQ357">
        <v>1</v>
      </c>
      <c r="GR357">
        <v>0</v>
      </c>
      <c r="GS357">
        <v>1</v>
      </c>
      <c r="GT357">
        <v>0</v>
      </c>
      <c r="GU357">
        <v>1</v>
      </c>
      <c r="GV357">
        <v>0</v>
      </c>
      <c r="GW357">
        <v>1</v>
      </c>
      <c r="GX357">
        <v>0</v>
      </c>
      <c r="GY357">
        <v>1</v>
      </c>
      <c r="GZ357">
        <v>0</v>
      </c>
      <c r="HA357" t="s">
        <v>346</v>
      </c>
      <c r="HB357" t="s">
        <v>894</v>
      </c>
      <c r="HC357" t="s">
        <v>935</v>
      </c>
      <c r="HD357" t="s">
        <v>845</v>
      </c>
      <c r="HE357" t="s">
        <v>900</v>
      </c>
      <c r="HF357" t="s">
        <v>923</v>
      </c>
      <c r="HG357" t="s">
        <v>894</v>
      </c>
      <c r="HH357" t="s">
        <v>935</v>
      </c>
      <c r="HI357" t="s">
        <v>845</v>
      </c>
      <c r="HJ357" t="s">
        <v>900</v>
      </c>
      <c r="HK357" t="s">
        <v>952</v>
      </c>
      <c r="HL357" t="s">
        <v>210</v>
      </c>
      <c r="HM357" t="s">
        <v>854</v>
      </c>
      <c r="HN357">
        <v>36805</v>
      </c>
      <c r="HP357" t="s">
        <v>178</v>
      </c>
      <c r="HQ357" t="s">
        <v>896</v>
      </c>
      <c r="HR357" t="s">
        <v>896</v>
      </c>
      <c r="HS357" t="s">
        <v>896</v>
      </c>
    </row>
    <row r="358" spans="1:227" ht="409.6" x14ac:dyDescent="0.2">
      <c r="A358">
        <v>8702</v>
      </c>
      <c r="B358">
        <v>7607003018</v>
      </c>
      <c r="C358" t="s">
        <v>936</v>
      </c>
      <c r="D358" t="s">
        <v>937</v>
      </c>
      <c r="E358" t="s">
        <v>831</v>
      </c>
      <c r="F358">
        <v>1</v>
      </c>
      <c r="G358" t="s">
        <v>7798</v>
      </c>
      <c r="H358" t="s">
        <v>7798</v>
      </c>
      <c r="I358">
        <v>0</v>
      </c>
      <c r="J358" t="s">
        <v>833</v>
      </c>
      <c r="K358" t="s">
        <v>834</v>
      </c>
      <c r="L358">
        <v>153406603</v>
      </c>
      <c r="M358" t="s">
        <v>7799</v>
      </c>
      <c r="N358" t="s">
        <v>836</v>
      </c>
      <c r="O358" t="s">
        <v>837</v>
      </c>
      <c r="P358" t="s">
        <v>940</v>
      </c>
      <c r="Q358" t="s">
        <v>4334</v>
      </c>
      <c r="R358" t="s">
        <v>7800</v>
      </c>
      <c r="S358" t="s">
        <v>7801</v>
      </c>
      <c r="T358">
        <v>30300134878</v>
      </c>
      <c r="V358" t="s">
        <v>2273</v>
      </c>
      <c r="W358" s="41">
        <v>46092</v>
      </c>
      <c r="X358" t="s">
        <v>7802</v>
      </c>
      <c r="Y358" t="s">
        <v>7803</v>
      </c>
      <c r="AA358">
        <v>0</v>
      </c>
      <c r="AB358" t="s">
        <v>845</v>
      </c>
      <c r="AC358" t="s">
        <v>846</v>
      </c>
      <c r="AD358" t="s">
        <v>1113</v>
      </c>
      <c r="AE358" t="s">
        <v>1114</v>
      </c>
      <c r="AF358">
        <v>1</v>
      </c>
      <c r="AG358">
        <v>452210</v>
      </c>
      <c r="AH358" t="s">
        <v>849</v>
      </c>
      <c r="AI358" t="s">
        <v>850</v>
      </c>
      <c r="AJ358" t="s">
        <v>851</v>
      </c>
      <c r="AK358" t="s">
        <v>285</v>
      </c>
      <c r="AL358" t="s">
        <v>1667</v>
      </c>
      <c r="AM358" t="s">
        <v>2277</v>
      </c>
      <c r="AN358" t="s">
        <v>854</v>
      </c>
      <c r="AO358">
        <v>36805</v>
      </c>
      <c r="AP358">
        <v>561</v>
      </c>
      <c r="AQ358" t="s">
        <v>855</v>
      </c>
      <c r="AR358">
        <v>66370130</v>
      </c>
      <c r="AS358" t="s">
        <v>856</v>
      </c>
      <c r="AU358" t="s">
        <v>7804</v>
      </c>
      <c r="AV358" t="s">
        <v>7805</v>
      </c>
      <c r="AX358" t="s">
        <v>913</v>
      </c>
      <c r="AY358" t="s">
        <v>861</v>
      </c>
      <c r="AZ358" t="s">
        <v>285</v>
      </c>
      <c r="BA358" t="s">
        <v>286</v>
      </c>
      <c r="BB358">
        <v>0</v>
      </c>
      <c r="BC358">
        <v>0</v>
      </c>
      <c r="BD358">
        <v>0</v>
      </c>
      <c r="BE358" t="s">
        <v>7799</v>
      </c>
      <c r="BF358">
        <v>0</v>
      </c>
      <c r="BG358">
        <v>0</v>
      </c>
      <c r="BH358" t="s">
        <v>862</v>
      </c>
      <c r="BI358">
        <v>0</v>
      </c>
      <c r="BJ358" t="s">
        <v>862</v>
      </c>
      <c r="BK358">
        <v>1</v>
      </c>
      <c r="BL358">
        <v>1</v>
      </c>
      <c r="BM358">
        <v>0</v>
      </c>
      <c r="BN358" t="s">
        <v>596</v>
      </c>
      <c r="BO358">
        <v>153406603</v>
      </c>
      <c r="BP358" t="s">
        <v>7798</v>
      </c>
      <c r="BR358">
        <v>42791463</v>
      </c>
      <c r="BT358">
        <v>2</v>
      </c>
      <c r="BU358" t="s">
        <v>1715</v>
      </c>
      <c r="BY358">
        <v>16</v>
      </c>
      <c r="CA358">
        <v>2</v>
      </c>
      <c r="CE358">
        <v>1</v>
      </c>
      <c r="CI358">
        <v>11</v>
      </c>
      <c r="CJ358" t="s">
        <v>94</v>
      </c>
      <c r="CM358">
        <v>4010</v>
      </c>
      <c r="CO358">
        <v>7360</v>
      </c>
      <c r="CP358">
        <v>0.91669999999999996</v>
      </c>
      <c r="CQ358">
        <v>0.91669999999999996</v>
      </c>
      <c r="CR358">
        <v>0.81669999999999998</v>
      </c>
      <c r="CS358">
        <v>7</v>
      </c>
      <c r="CT358" t="s">
        <v>7805</v>
      </c>
      <c r="CU358" t="s">
        <v>7804</v>
      </c>
      <c r="CV358" t="s">
        <v>833</v>
      </c>
      <c r="CW358" t="s">
        <v>834</v>
      </c>
      <c r="CX358" t="s">
        <v>7799</v>
      </c>
      <c r="CY358">
        <v>0</v>
      </c>
      <c r="CZ358">
        <v>0</v>
      </c>
      <c r="DA358" t="s">
        <v>833</v>
      </c>
      <c r="DB358" t="s">
        <v>865</v>
      </c>
      <c r="DC358">
        <v>55414</v>
      </c>
      <c r="DD358">
        <v>1.7666999999999999</v>
      </c>
      <c r="DE358" t="s">
        <v>866</v>
      </c>
      <c r="DG358" t="s">
        <v>867</v>
      </c>
      <c r="DH358" t="s">
        <v>851</v>
      </c>
      <c r="DK358" t="s">
        <v>918</v>
      </c>
      <c r="DL358" t="s">
        <v>869</v>
      </c>
      <c r="DM358">
        <v>0</v>
      </c>
      <c r="DN358">
        <v>0</v>
      </c>
      <c r="DO358">
        <v>2</v>
      </c>
      <c r="DP358" t="s">
        <v>870</v>
      </c>
      <c r="DQ358">
        <v>0</v>
      </c>
      <c r="DR358">
        <v>106</v>
      </c>
      <c r="DS358">
        <v>114</v>
      </c>
      <c r="DT358">
        <v>0.85</v>
      </c>
      <c r="DU358">
        <v>0</v>
      </c>
      <c r="DV358">
        <v>1</v>
      </c>
      <c r="DW358">
        <v>2</v>
      </c>
      <c r="DX358" t="s">
        <v>596</v>
      </c>
      <c r="DY358" t="s">
        <v>7799</v>
      </c>
      <c r="DZ358">
        <v>1</v>
      </c>
      <c r="EA358">
        <v>1</v>
      </c>
      <c r="EB358">
        <v>1</v>
      </c>
      <c r="EC358">
        <v>1</v>
      </c>
      <c r="ED358">
        <v>1</v>
      </c>
      <c r="EE358">
        <v>1</v>
      </c>
      <c r="EF358" t="s">
        <v>871</v>
      </c>
      <c r="EG358" t="s">
        <v>595</v>
      </c>
      <c r="EH358" t="s">
        <v>921</v>
      </c>
      <c r="EI358" t="s">
        <v>921</v>
      </c>
      <c r="EJ358" t="s">
        <v>159</v>
      </c>
      <c r="EK358">
        <v>9090</v>
      </c>
      <c r="EL358">
        <v>0</v>
      </c>
      <c r="EM358" t="s">
        <v>873</v>
      </c>
      <c r="EN358">
        <v>0.81669999999999998</v>
      </c>
      <c r="EO358">
        <v>1.9</v>
      </c>
      <c r="EP358">
        <v>99991120</v>
      </c>
      <c r="EQ358" t="s">
        <v>874</v>
      </c>
      <c r="ER358" t="s">
        <v>875</v>
      </c>
      <c r="ES358" t="s">
        <v>876</v>
      </c>
      <c r="ET358" t="s">
        <v>877</v>
      </c>
      <c r="EU358" t="s">
        <v>877</v>
      </c>
      <c r="EV358" t="s">
        <v>871</v>
      </c>
      <c r="EX358" t="s">
        <v>836</v>
      </c>
      <c r="EY358" t="s">
        <v>1121</v>
      </c>
      <c r="EZ358" t="s">
        <v>1122</v>
      </c>
      <c r="FA358" t="s">
        <v>956</v>
      </c>
      <c r="FB358">
        <v>1</v>
      </c>
      <c r="FC358">
        <v>1</v>
      </c>
      <c r="FD358" s="41">
        <v>46095</v>
      </c>
      <c r="FE358" t="s">
        <v>1719</v>
      </c>
      <c r="FF358">
        <v>4</v>
      </c>
      <c r="FI358">
        <v>0</v>
      </c>
      <c r="FL358">
        <v>0</v>
      </c>
      <c r="FM358" t="s">
        <v>7806</v>
      </c>
      <c r="FN358" t="s">
        <v>7807</v>
      </c>
      <c r="FO358">
        <v>1</v>
      </c>
      <c r="FP358" s="42" t="s">
        <v>7808</v>
      </c>
      <c r="FQ358" t="s">
        <v>7809</v>
      </c>
      <c r="FR358">
        <v>1</v>
      </c>
      <c r="FS358" t="s">
        <v>1672</v>
      </c>
      <c r="FT358" t="s">
        <v>7810</v>
      </c>
      <c r="FU358">
        <v>1</v>
      </c>
      <c r="FV358" t="s">
        <v>7811</v>
      </c>
      <c r="FW358" t="s">
        <v>7812</v>
      </c>
      <c r="FX358">
        <v>1</v>
      </c>
      <c r="FY358" t="s">
        <v>890</v>
      </c>
      <c r="FZ358" s="42" t="s">
        <v>7813</v>
      </c>
      <c r="GA358" t="s">
        <v>7811</v>
      </c>
      <c r="GB358">
        <v>1</v>
      </c>
      <c r="GD358">
        <v>0</v>
      </c>
      <c r="GF358">
        <v>0</v>
      </c>
      <c r="GG358">
        <v>1</v>
      </c>
      <c r="GH358" t="s">
        <v>892</v>
      </c>
      <c r="GI358" t="s">
        <v>893</v>
      </c>
      <c r="GJ358" t="s">
        <v>7812</v>
      </c>
      <c r="GM358">
        <v>1</v>
      </c>
      <c r="GN358">
        <v>1</v>
      </c>
      <c r="GO358">
        <v>0</v>
      </c>
      <c r="GP358">
        <v>1</v>
      </c>
      <c r="GQ358">
        <v>1</v>
      </c>
      <c r="GR358">
        <v>0</v>
      </c>
      <c r="GS358">
        <v>1</v>
      </c>
      <c r="GT358">
        <v>0</v>
      </c>
      <c r="GU358">
        <v>1</v>
      </c>
      <c r="GV358">
        <v>0</v>
      </c>
      <c r="GW358">
        <v>1</v>
      </c>
      <c r="GX358">
        <v>0</v>
      </c>
      <c r="GY358">
        <v>1</v>
      </c>
      <c r="GZ358">
        <v>0</v>
      </c>
      <c r="HA358" t="s">
        <v>285</v>
      </c>
      <c r="HB358" t="s">
        <v>894</v>
      </c>
      <c r="HC358" t="s">
        <v>895</v>
      </c>
      <c r="HD358" t="s">
        <v>845</v>
      </c>
      <c r="HE358" t="s">
        <v>836</v>
      </c>
      <c r="HF358" t="s">
        <v>873</v>
      </c>
      <c r="HG358" t="s">
        <v>894</v>
      </c>
      <c r="HH358" t="s">
        <v>895</v>
      </c>
      <c r="HI358" t="s">
        <v>845</v>
      </c>
      <c r="HJ358" t="s">
        <v>836</v>
      </c>
      <c r="HK358" t="s">
        <v>873</v>
      </c>
      <c r="HL358" t="s">
        <v>2273</v>
      </c>
      <c r="HM358" t="s">
        <v>854</v>
      </c>
      <c r="HN358">
        <v>36805</v>
      </c>
      <c r="HP358" t="s">
        <v>159</v>
      </c>
      <c r="HQ358" t="s">
        <v>896</v>
      </c>
      <c r="HR358" t="s">
        <v>896</v>
      </c>
      <c r="HS358" t="s">
        <v>896</v>
      </c>
    </row>
    <row r="359" spans="1:227" x14ac:dyDescent="0.2">
      <c r="A359">
        <v>8702</v>
      </c>
      <c r="B359">
        <v>7534402521</v>
      </c>
      <c r="C359" t="s">
        <v>936</v>
      </c>
      <c r="D359" t="s">
        <v>937</v>
      </c>
      <c r="E359" t="s">
        <v>897</v>
      </c>
      <c r="F359">
        <v>0</v>
      </c>
      <c r="G359" t="s">
        <v>7814</v>
      </c>
      <c r="H359" t="s">
        <v>7814</v>
      </c>
      <c r="I359">
        <v>0</v>
      </c>
      <c r="J359" t="s">
        <v>833</v>
      </c>
      <c r="K359" t="s">
        <v>834</v>
      </c>
      <c r="L359">
        <v>156046189</v>
      </c>
      <c r="M359" t="s">
        <v>4921</v>
      </c>
      <c r="N359" t="s">
        <v>900</v>
      </c>
      <c r="O359" t="s">
        <v>837</v>
      </c>
      <c r="P359" t="s">
        <v>940</v>
      </c>
      <c r="Q359" t="s">
        <v>2404</v>
      </c>
      <c r="R359" t="s">
        <v>7815</v>
      </c>
      <c r="S359" t="s">
        <v>7816</v>
      </c>
      <c r="T359">
        <v>41477123263</v>
      </c>
      <c r="V359" t="s">
        <v>208</v>
      </c>
      <c r="W359" s="41">
        <v>46003</v>
      </c>
      <c r="X359" t="s">
        <v>7817</v>
      </c>
      <c r="Y359" t="s">
        <v>7818</v>
      </c>
      <c r="AA359">
        <v>0</v>
      </c>
      <c r="AB359" t="s">
        <v>845</v>
      </c>
      <c r="AC359" t="s">
        <v>846</v>
      </c>
      <c r="AD359" t="s">
        <v>847</v>
      </c>
      <c r="AE359" t="s">
        <v>848</v>
      </c>
      <c r="AF359">
        <v>1</v>
      </c>
      <c r="AG359">
        <v>452210</v>
      </c>
      <c r="AH359" t="s">
        <v>849</v>
      </c>
      <c r="AI359" t="s">
        <v>850</v>
      </c>
      <c r="AJ359" t="s">
        <v>851</v>
      </c>
      <c r="AK359" t="s">
        <v>332</v>
      </c>
      <c r="AL359" t="s">
        <v>7819</v>
      </c>
      <c r="AM359" t="s">
        <v>979</v>
      </c>
      <c r="AN359" t="s">
        <v>854</v>
      </c>
      <c r="AO359">
        <v>36805</v>
      </c>
      <c r="AP359">
        <v>647</v>
      </c>
      <c r="AQ359" t="s">
        <v>855</v>
      </c>
      <c r="AR359">
        <v>66242257</v>
      </c>
      <c r="AS359" t="s">
        <v>856</v>
      </c>
      <c r="AU359" t="s">
        <v>7820</v>
      </c>
      <c r="AV359" t="s">
        <v>7821</v>
      </c>
      <c r="AX359" t="s">
        <v>913</v>
      </c>
      <c r="AY359" t="s">
        <v>861</v>
      </c>
      <c r="AZ359" t="s">
        <v>332</v>
      </c>
      <c r="BA359" t="s">
        <v>333</v>
      </c>
      <c r="BB359">
        <v>0</v>
      </c>
      <c r="BC359">
        <v>0</v>
      </c>
      <c r="BD359">
        <v>0</v>
      </c>
      <c r="BE359" t="s">
        <v>4921</v>
      </c>
      <c r="BF359">
        <v>0</v>
      </c>
      <c r="BG359">
        <v>0</v>
      </c>
      <c r="BH359" t="s">
        <v>862</v>
      </c>
      <c r="BI359">
        <v>0</v>
      </c>
      <c r="BJ359" t="s">
        <v>862</v>
      </c>
      <c r="BK359">
        <v>1</v>
      </c>
      <c r="BL359">
        <v>1</v>
      </c>
      <c r="BM359">
        <v>0</v>
      </c>
      <c r="BN359" t="s">
        <v>596</v>
      </c>
      <c r="BO359">
        <v>156046189</v>
      </c>
      <c r="BP359" t="s">
        <v>7814</v>
      </c>
      <c r="BQ359">
        <v>42.226799100000001</v>
      </c>
      <c r="BR359">
        <v>42791779</v>
      </c>
      <c r="BS359">
        <v>-85.591362200000006</v>
      </c>
      <c r="BT359">
        <v>0</v>
      </c>
      <c r="CM359">
        <v>4010</v>
      </c>
      <c r="CO359">
        <v>7360</v>
      </c>
      <c r="CP359">
        <v>0.38329999999999997</v>
      </c>
      <c r="CQ359">
        <v>0.38329999999999997</v>
      </c>
      <c r="CR359">
        <v>2.1667000000000001</v>
      </c>
      <c r="CS359">
        <v>0</v>
      </c>
      <c r="CT359" t="s">
        <v>7821</v>
      </c>
      <c r="CU359" t="s">
        <v>7820</v>
      </c>
      <c r="CV359" t="s">
        <v>833</v>
      </c>
      <c r="CW359" t="s">
        <v>834</v>
      </c>
      <c r="CX359" t="s">
        <v>4921</v>
      </c>
      <c r="CY359">
        <v>0</v>
      </c>
      <c r="CZ359">
        <v>0</v>
      </c>
      <c r="DA359" t="s">
        <v>833</v>
      </c>
      <c r="DB359" t="s">
        <v>865</v>
      </c>
      <c r="DC359">
        <v>49002</v>
      </c>
      <c r="DD359">
        <v>23.833300000000001</v>
      </c>
      <c r="DE359" t="s">
        <v>866</v>
      </c>
      <c r="DG359" t="s">
        <v>867</v>
      </c>
      <c r="DH359" t="s">
        <v>851</v>
      </c>
      <c r="DI359" t="s">
        <v>984</v>
      </c>
      <c r="DL359" t="s">
        <v>869</v>
      </c>
      <c r="DM359">
        <v>0</v>
      </c>
      <c r="DN359">
        <v>0</v>
      </c>
      <c r="DO359">
        <v>3</v>
      </c>
      <c r="DP359" t="s">
        <v>919</v>
      </c>
      <c r="DQ359">
        <v>16</v>
      </c>
      <c r="DR359">
        <v>372</v>
      </c>
      <c r="DS359">
        <v>2870</v>
      </c>
      <c r="DT359">
        <v>5.8333000000000004</v>
      </c>
      <c r="DU359">
        <v>4</v>
      </c>
      <c r="DW359">
        <v>2</v>
      </c>
      <c r="DX359" t="s">
        <v>596</v>
      </c>
      <c r="DY359" t="s">
        <v>4921</v>
      </c>
      <c r="DZ359">
        <v>0</v>
      </c>
      <c r="EA359">
        <v>1</v>
      </c>
      <c r="EB359">
        <v>1</v>
      </c>
      <c r="EC359">
        <v>0</v>
      </c>
      <c r="ED359">
        <v>0</v>
      </c>
      <c r="EE359">
        <v>1</v>
      </c>
      <c r="EF359" t="s">
        <v>1526</v>
      </c>
      <c r="EG359" t="s">
        <v>595</v>
      </c>
      <c r="EH359" t="s">
        <v>921</v>
      </c>
      <c r="EI359" t="s">
        <v>921</v>
      </c>
      <c r="EJ359" t="s">
        <v>178</v>
      </c>
      <c r="EK359">
        <v>9090</v>
      </c>
      <c r="EL359">
        <v>0</v>
      </c>
      <c r="EM359" t="s">
        <v>922</v>
      </c>
      <c r="EN359">
        <v>2.1667000000000001</v>
      </c>
      <c r="EO359">
        <v>47.8333333</v>
      </c>
      <c r="EP359">
        <v>99991120</v>
      </c>
      <c r="EQ359" t="s">
        <v>874</v>
      </c>
      <c r="ER359" t="s">
        <v>875</v>
      </c>
      <c r="ES359" t="s">
        <v>876</v>
      </c>
      <c r="ET359" t="s">
        <v>877</v>
      </c>
      <c r="EU359" t="s">
        <v>877</v>
      </c>
      <c r="EV359" t="s">
        <v>1526</v>
      </c>
      <c r="EX359" t="s">
        <v>953</v>
      </c>
      <c r="EY359" t="s">
        <v>986</v>
      </c>
      <c r="EZ359" t="s">
        <v>924</v>
      </c>
      <c r="FA359" t="s">
        <v>925</v>
      </c>
      <c r="FB359">
        <v>1</v>
      </c>
      <c r="FC359">
        <v>2</v>
      </c>
      <c r="FD359" s="41">
        <v>46004</v>
      </c>
      <c r="FE359" t="s">
        <v>957</v>
      </c>
      <c r="FF359">
        <v>8</v>
      </c>
      <c r="FG359" t="s">
        <v>7578</v>
      </c>
      <c r="FH359" t="s">
        <v>7822</v>
      </c>
      <c r="FI359">
        <v>1</v>
      </c>
      <c r="FJ359" t="s">
        <v>7823</v>
      </c>
      <c r="FK359" t="s">
        <v>7824</v>
      </c>
      <c r="FL359">
        <v>1</v>
      </c>
      <c r="FM359" t="s">
        <v>7825</v>
      </c>
      <c r="FN359" t="s">
        <v>7826</v>
      </c>
      <c r="FO359">
        <v>1</v>
      </c>
      <c r="FP359" t="s">
        <v>7827</v>
      </c>
      <c r="FQ359" t="s">
        <v>7828</v>
      </c>
      <c r="FR359">
        <v>1</v>
      </c>
      <c r="FS359" t="s">
        <v>993</v>
      </c>
      <c r="FT359" t="s">
        <v>7829</v>
      </c>
      <c r="FU359">
        <v>1</v>
      </c>
      <c r="FV359" t="s">
        <v>7830</v>
      </c>
      <c r="FW359" t="s">
        <v>7831</v>
      </c>
      <c r="FX359">
        <v>1</v>
      </c>
      <c r="FY359" t="s">
        <v>890</v>
      </c>
      <c r="FZ359" t="s">
        <v>7832</v>
      </c>
      <c r="GA359" t="s">
        <v>7823</v>
      </c>
      <c r="GB359">
        <v>1</v>
      </c>
      <c r="GD359">
        <v>0</v>
      </c>
      <c r="GF359">
        <v>0</v>
      </c>
      <c r="GG359">
        <v>1</v>
      </c>
      <c r="GH359" t="s">
        <v>892</v>
      </c>
      <c r="GI359" t="s">
        <v>893</v>
      </c>
      <c r="GJ359" t="s">
        <v>7824</v>
      </c>
      <c r="GM359">
        <v>1</v>
      </c>
      <c r="GN359">
        <v>0</v>
      </c>
      <c r="GO359">
        <v>0</v>
      </c>
      <c r="GP359">
        <v>1</v>
      </c>
      <c r="GQ359">
        <v>1</v>
      </c>
      <c r="GR359">
        <v>0</v>
      </c>
      <c r="GS359">
        <v>1</v>
      </c>
      <c r="GT359">
        <v>0</v>
      </c>
      <c r="GU359">
        <v>1</v>
      </c>
      <c r="GV359">
        <v>0</v>
      </c>
      <c r="GW359">
        <v>1</v>
      </c>
      <c r="GX359">
        <v>0</v>
      </c>
      <c r="GY359">
        <v>1</v>
      </c>
      <c r="GZ359">
        <v>0</v>
      </c>
      <c r="HA359" t="s">
        <v>332</v>
      </c>
      <c r="HB359" t="s">
        <v>894</v>
      </c>
      <c r="HC359" t="s">
        <v>935</v>
      </c>
      <c r="HD359" t="s">
        <v>845</v>
      </c>
      <c r="HE359" t="s">
        <v>900</v>
      </c>
      <c r="HF359" t="s">
        <v>923</v>
      </c>
      <c r="HG359" t="s">
        <v>894</v>
      </c>
      <c r="HH359" t="s">
        <v>935</v>
      </c>
      <c r="HI359" t="s">
        <v>845</v>
      </c>
      <c r="HJ359" t="s">
        <v>900</v>
      </c>
      <c r="HK359" t="s">
        <v>922</v>
      </c>
      <c r="HL359" t="s">
        <v>208</v>
      </c>
      <c r="HM359" t="s">
        <v>854</v>
      </c>
      <c r="HN359">
        <v>36805</v>
      </c>
      <c r="HP359" t="s">
        <v>178</v>
      </c>
      <c r="HQ359" t="s">
        <v>896</v>
      </c>
      <c r="HR359" t="s">
        <v>896</v>
      </c>
      <c r="HS359" t="s">
        <v>896</v>
      </c>
    </row>
    <row r="360" spans="1:227" x14ac:dyDescent="0.2">
      <c r="A360">
        <v>8702</v>
      </c>
      <c r="B360">
        <v>7534006473</v>
      </c>
      <c r="C360" t="s">
        <v>936</v>
      </c>
      <c r="D360" t="s">
        <v>937</v>
      </c>
      <c r="E360" t="s">
        <v>897</v>
      </c>
      <c r="F360">
        <v>0</v>
      </c>
      <c r="G360" t="s">
        <v>7833</v>
      </c>
      <c r="H360" t="s">
        <v>7833</v>
      </c>
      <c r="I360">
        <v>0</v>
      </c>
      <c r="J360" t="s">
        <v>833</v>
      </c>
      <c r="K360" t="s">
        <v>834</v>
      </c>
      <c r="L360">
        <v>153402703</v>
      </c>
      <c r="M360" t="s">
        <v>2403</v>
      </c>
      <c r="N360" t="s">
        <v>900</v>
      </c>
      <c r="O360" t="s">
        <v>837</v>
      </c>
      <c r="P360" t="s">
        <v>940</v>
      </c>
      <c r="Q360" t="s">
        <v>2404</v>
      </c>
      <c r="R360" t="s">
        <v>7834</v>
      </c>
      <c r="S360" t="s">
        <v>7835</v>
      </c>
      <c r="T360">
        <v>41477122910</v>
      </c>
      <c r="V360" t="s">
        <v>154</v>
      </c>
      <c r="W360" s="41">
        <v>45997</v>
      </c>
      <c r="X360" t="s">
        <v>7836</v>
      </c>
      <c r="Y360" t="s">
        <v>7837</v>
      </c>
      <c r="AA360">
        <v>0</v>
      </c>
      <c r="AB360" t="s">
        <v>845</v>
      </c>
      <c r="AC360" t="s">
        <v>846</v>
      </c>
      <c r="AD360" t="s">
        <v>847</v>
      </c>
      <c r="AE360" t="s">
        <v>848</v>
      </c>
      <c r="AF360">
        <v>1</v>
      </c>
      <c r="AG360">
        <v>452210</v>
      </c>
      <c r="AH360" t="s">
        <v>849</v>
      </c>
      <c r="AI360" t="s">
        <v>850</v>
      </c>
      <c r="AJ360" t="s">
        <v>851</v>
      </c>
      <c r="AK360" t="s">
        <v>259</v>
      </c>
      <c r="AL360" t="s">
        <v>1547</v>
      </c>
      <c r="AM360" t="s">
        <v>2409</v>
      </c>
      <c r="AN360" t="s">
        <v>854</v>
      </c>
      <c r="AO360">
        <v>36805</v>
      </c>
      <c r="AP360">
        <v>535</v>
      </c>
      <c r="AQ360" t="s">
        <v>855</v>
      </c>
      <c r="AR360">
        <v>66233482</v>
      </c>
      <c r="AS360" t="s">
        <v>856</v>
      </c>
      <c r="AU360" t="s">
        <v>7838</v>
      </c>
      <c r="AV360" t="s">
        <v>7839</v>
      </c>
      <c r="AW360" t="s">
        <v>1261</v>
      </c>
      <c r="AX360" t="s">
        <v>1262</v>
      </c>
      <c r="AY360" t="s">
        <v>861</v>
      </c>
      <c r="AZ360" t="s">
        <v>259</v>
      </c>
      <c r="BA360" t="s">
        <v>260</v>
      </c>
      <c r="BB360">
        <v>0</v>
      </c>
      <c r="BC360">
        <v>0</v>
      </c>
      <c r="BD360">
        <v>0</v>
      </c>
      <c r="BE360" t="s">
        <v>2403</v>
      </c>
      <c r="BF360">
        <v>0</v>
      </c>
      <c r="BG360">
        <v>0</v>
      </c>
      <c r="BH360" t="s">
        <v>862</v>
      </c>
      <c r="BI360">
        <v>0</v>
      </c>
      <c r="BJ360" t="s">
        <v>862</v>
      </c>
      <c r="BK360">
        <v>1</v>
      </c>
      <c r="BL360">
        <v>0</v>
      </c>
      <c r="BM360">
        <v>0</v>
      </c>
      <c r="BN360" t="s">
        <v>596</v>
      </c>
      <c r="BO360">
        <v>153402703</v>
      </c>
      <c r="BP360" t="s">
        <v>7833</v>
      </c>
      <c r="BR360">
        <v>42791452</v>
      </c>
      <c r="BT360">
        <v>0</v>
      </c>
      <c r="CM360">
        <v>4010</v>
      </c>
      <c r="CO360">
        <v>7360</v>
      </c>
      <c r="CP360">
        <v>0.56669999999999998</v>
      </c>
      <c r="CQ360">
        <v>0.56669999999999998</v>
      </c>
      <c r="CR360">
        <v>1.0166999999999999</v>
      </c>
      <c r="CS360">
        <v>18</v>
      </c>
      <c r="CT360" t="s">
        <v>7840</v>
      </c>
      <c r="CU360" t="s">
        <v>7841</v>
      </c>
      <c r="CV360" t="s">
        <v>833</v>
      </c>
      <c r="CW360" t="s">
        <v>834</v>
      </c>
      <c r="CX360" t="s">
        <v>2403</v>
      </c>
      <c r="CY360">
        <v>0</v>
      </c>
      <c r="CZ360">
        <v>0</v>
      </c>
      <c r="DA360" t="s">
        <v>833</v>
      </c>
      <c r="DB360" t="s">
        <v>865</v>
      </c>
      <c r="DC360">
        <v>47303</v>
      </c>
      <c r="DD360">
        <v>2.8</v>
      </c>
      <c r="DE360" t="s">
        <v>866</v>
      </c>
      <c r="DG360" t="s">
        <v>867</v>
      </c>
      <c r="DH360" t="s">
        <v>851</v>
      </c>
      <c r="DI360" t="s">
        <v>1154</v>
      </c>
      <c r="DL360" t="s">
        <v>869</v>
      </c>
      <c r="DM360">
        <v>0</v>
      </c>
      <c r="DN360">
        <v>0</v>
      </c>
      <c r="DO360">
        <v>3</v>
      </c>
      <c r="DP360" t="s">
        <v>919</v>
      </c>
      <c r="DQ360">
        <v>16</v>
      </c>
      <c r="DR360">
        <v>168</v>
      </c>
      <c r="DS360">
        <v>168</v>
      </c>
      <c r="DT360">
        <v>2.2332999999999998</v>
      </c>
      <c r="DU360">
        <v>4</v>
      </c>
      <c r="DW360">
        <v>2</v>
      </c>
      <c r="DX360" t="s">
        <v>594</v>
      </c>
      <c r="DY360" t="s">
        <v>2403</v>
      </c>
      <c r="DZ360">
        <v>0</v>
      </c>
      <c r="EA360">
        <v>0</v>
      </c>
      <c r="EB360">
        <v>0</v>
      </c>
      <c r="EC360">
        <v>0</v>
      </c>
      <c r="ED360">
        <v>0</v>
      </c>
      <c r="EE360">
        <v>0</v>
      </c>
      <c r="EF360" t="s">
        <v>920</v>
      </c>
      <c r="EG360" t="s">
        <v>595</v>
      </c>
      <c r="EH360" t="s">
        <v>872</v>
      </c>
      <c r="EI360" t="s">
        <v>872</v>
      </c>
      <c r="EJ360" t="s">
        <v>134</v>
      </c>
      <c r="EK360">
        <v>9090</v>
      </c>
      <c r="EL360">
        <v>0</v>
      </c>
      <c r="EM360" t="s">
        <v>1011</v>
      </c>
      <c r="EN360">
        <v>1.0166999999999999</v>
      </c>
      <c r="EO360">
        <v>2.8</v>
      </c>
      <c r="EP360">
        <v>99991120</v>
      </c>
      <c r="EQ360" t="s">
        <v>874</v>
      </c>
      <c r="ER360" t="s">
        <v>875</v>
      </c>
      <c r="ES360" t="s">
        <v>876</v>
      </c>
      <c r="ET360" t="s">
        <v>877</v>
      </c>
      <c r="EU360" t="s">
        <v>877</v>
      </c>
      <c r="EV360" t="s">
        <v>920</v>
      </c>
      <c r="EX360" t="s">
        <v>953</v>
      </c>
      <c r="EY360" t="s">
        <v>1555</v>
      </c>
      <c r="EZ360" t="s">
        <v>1013</v>
      </c>
      <c r="FA360" t="s">
        <v>925</v>
      </c>
      <c r="FB360">
        <v>1</v>
      </c>
      <c r="FC360">
        <v>1</v>
      </c>
      <c r="FD360" s="41">
        <v>45997</v>
      </c>
      <c r="FE360" t="s">
        <v>957</v>
      </c>
      <c r="FF360">
        <v>5</v>
      </c>
      <c r="FI360">
        <v>0</v>
      </c>
      <c r="FJ360" t="s">
        <v>7842</v>
      </c>
      <c r="FK360" t="s">
        <v>7843</v>
      </c>
      <c r="FL360">
        <v>1</v>
      </c>
      <c r="FM360" t="s">
        <v>2414</v>
      </c>
      <c r="FN360" t="s">
        <v>7844</v>
      </c>
      <c r="FO360">
        <v>1</v>
      </c>
      <c r="FP360" t="s">
        <v>7845</v>
      </c>
      <c r="FQ360" t="s">
        <v>7841</v>
      </c>
      <c r="FR360">
        <v>1</v>
      </c>
      <c r="FS360" t="s">
        <v>1934</v>
      </c>
      <c r="FT360" t="s">
        <v>7846</v>
      </c>
      <c r="FU360">
        <v>1</v>
      </c>
      <c r="FV360" t="s">
        <v>7847</v>
      </c>
      <c r="FW360" t="s">
        <v>7843</v>
      </c>
      <c r="FX360">
        <v>1</v>
      </c>
      <c r="FY360" t="s">
        <v>890</v>
      </c>
      <c r="FZ360" t="s">
        <v>7848</v>
      </c>
      <c r="GA360" t="s">
        <v>7842</v>
      </c>
      <c r="GB360">
        <v>1</v>
      </c>
      <c r="GD360">
        <v>0</v>
      </c>
      <c r="GF360">
        <v>0</v>
      </c>
      <c r="GG360">
        <v>1</v>
      </c>
      <c r="GH360" t="s">
        <v>892</v>
      </c>
      <c r="GI360" t="s">
        <v>893</v>
      </c>
      <c r="GJ360" t="s">
        <v>7843</v>
      </c>
      <c r="GM360">
        <v>1</v>
      </c>
      <c r="GN360">
        <v>1</v>
      </c>
      <c r="GO360">
        <v>0</v>
      </c>
      <c r="GP360">
        <v>1</v>
      </c>
      <c r="GQ360">
        <v>1</v>
      </c>
      <c r="GR360">
        <v>0</v>
      </c>
      <c r="GS360">
        <v>1</v>
      </c>
      <c r="GT360">
        <v>0</v>
      </c>
      <c r="GU360">
        <v>1</v>
      </c>
      <c r="GV360">
        <v>0</v>
      </c>
      <c r="GW360">
        <v>1</v>
      </c>
      <c r="GX360">
        <v>0</v>
      </c>
      <c r="GY360">
        <v>1</v>
      </c>
      <c r="GZ360">
        <v>0</v>
      </c>
      <c r="HA360" t="s">
        <v>259</v>
      </c>
      <c r="HB360" t="s">
        <v>894</v>
      </c>
      <c r="HC360" t="s">
        <v>935</v>
      </c>
      <c r="HD360" t="s">
        <v>845</v>
      </c>
      <c r="HE360" t="s">
        <v>900</v>
      </c>
      <c r="HF360" t="s">
        <v>1012</v>
      </c>
      <c r="HG360" t="s">
        <v>894</v>
      </c>
      <c r="HH360" t="s">
        <v>935</v>
      </c>
      <c r="HI360" t="s">
        <v>845</v>
      </c>
      <c r="HJ360" t="s">
        <v>900</v>
      </c>
      <c r="HK360" t="s">
        <v>1011</v>
      </c>
      <c r="HL360" t="s">
        <v>154</v>
      </c>
      <c r="HM360" t="s">
        <v>854</v>
      </c>
      <c r="HN360">
        <v>36805</v>
      </c>
      <c r="HP360" t="s">
        <v>134</v>
      </c>
      <c r="HQ360" t="s">
        <v>896</v>
      </c>
      <c r="HR360" t="s">
        <v>896</v>
      </c>
      <c r="HS360" t="s">
        <v>896</v>
      </c>
    </row>
    <row r="361" spans="1:227" x14ac:dyDescent="0.2">
      <c r="A361">
        <v>8702</v>
      </c>
      <c r="B361">
        <v>7622204378</v>
      </c>
      <c r="C361">
        <v>36</v>
      </c>
      <c r="D361" t="s">
        <v>1302</v>
      </c>
      <c r="E361" t="s">
        <v>831</v>
      </c>
      <c r="F361">
        <v>0</v>
      </c>
      <c r="G361" t="s">
        <v>7849</v>
      </c>
      <c r="H361" t="s">
        <v>7849</v>
      </c>
      <c r="I361">
        <v>0</v>
      </c>
      <c r="J361" t="s">
        <v>833</v>
      </c>
      <c r="K361" t="s">
        <v>834</v>
      </c>
      <c r="L361">
        <v>153589115</v>
      </c>
      <c r="M361" t="s">
        <v>4841</v>
      </c>
      <c r="N361" t="s">
        <v>836</v>
      </c>
      <c r="O361" t="s">
        <v>837</v>
      </c>
      <c r="P361" t="s">
        <v>1302</v>
      </c>
      <c r="Q361" t="s">
        <v>1517</v>
      </c>
      <c r="R361" t="s">
        <v>7850</v>
      </c>
      <c r="S361" t="s">
        <v>7851</v>
      </c>
      <c r="T361">
        <v>30300105488</v>
      </c>
      <c r="V361" t="s">
        <v>117</v>
      </c>
      <c r="W361" s="41">
        <v>46244</v>
      </c>
      <c r="X361" t="s">
        <v>7852</v>
      </c>
      <c r="Y361" t="s">
        <v>7853</v>
      </c>
      <c r="AA361">
        <v>0</v>
      </c>
      <c r="AB361" t="s">
        <v>845</v>
      </c>
      <c r="AC361" t="s">
        <v>846</v>
      </c>
      <c r="AD361" t="s">
        <v>907</v>
      </c>
      <c r="AE361" t="s">
        <v>908</v>
      </c>
      <c r="AF361">
        <v>1</v>
      </c>
      <c r="AG361">
        <v>452210</v>
      </c>
      <c r="AH361" t="s">
        <v>849</v>
      </c>
      <c r="AI361" t="s">
        <v>850</v>
      </c>
      <c r="AJ361" t="s">
        <v>851</v>
      </c>
      <c r="AK361" t="s">
        <v>273</v>
      </c>
      <c r="AL361" t="s">
        <v>2846</v>
      </c>
      <c r="AM361" t="s">
        <v>1364</v>
      </c>
      <c r="AN361" t="s">
        <v>854</v>
      </c>
      <c r="AO361">
        <v>36805</v>
      </c>
      <c r="AP361">
        <v>493</v>
      </c>
      <c r="AQ361" t="s">
        <v>855</v>
      </c>
      <c r="AR361">
        <v>66589003</v>
      </c>
      <c r="AS361" t="s">
        <v>856</v>
      </c>
      <c r="AU361" t="s">
        <v>7854</v>
      </c>
      <c r="AV361" t="s">
        <v>7855</v>
      </c>
      <c r="AW361" t="s">
        <v>859</v>
      </c>
      <c r="AX361" t="s">
        <v>860</v>
      </c>
      <c r="AY361" t="s">
        <v>861</v>
      </c>
      <c r="AZ361" t="s">
        <v>273</v>
      </c>
      <c r="BA361" t="s">
        <v>274</v>
      </c>
      <c r="BB361">
        <v>0</v>
      </c>
      <c r="BC361">
        <v>0</v>
      </c>
      <c r="BD361">
        <v>0</v>
      </c>
      <c r="BE361" t="s">
        <v>4841</v>
      </c>
      <c r="BF361">
        <v>0</v>
      </c>
      <c r="BG361">
        <v>0</v>
      </c>
      <c r="BH361" t="s">
        <v>862</v>
      </c>
      <c r="BI361">
        <v>0</v>
      </c>
      <c r="BJ361" t="s">
        <v>862</v>
      </c>
      <c r="BK361">
        <v>1</v>
      </c>
      <c r="BL361">
        <v>0</v>
      </c>
      <c r="BM361">
        <v>0</v>
      </c>
      <c r="BN361" t="s">
        <v>596</v>
      </c>
      <c r="BO361">
        <v>153589115</v>
      </c>
      <c r="BP361" t="s">
        <v>7849</v>
      </c>
      <c r="BR361">
        <v>42789054</v>
      </c>
      <c r="BT361">
        <v>0</v>
      </c>
      <c r="CM361">
        <v>4010</v>
      </c>
      <c r="CO361">
        <v>7360</v>
      </c>
      <c r="CP361">
        <v>0.31669999999999998</v>
      </c>
      <c r="CQ361">
        <v>0.31669999999999998</v>
      </c>
      <c r="CR361">
        <v>0.1</v>
      </c>
      <c r="CS361">
        <v>1</v>
      </c>
      <c r="CT361" t="s">
        <v>7855</v>
      </c>
      <c r="CU361" t="s">
        <v>7854</v>
      </c>
      <c r="CV361" t="s">
        <v>833</v>
      </c>
      <c r="CW361" t="s">
        <v>834</v>
      </c>
      <c r="CX361" t="s">
        <v>4841</v>
      </c>
      <c r="CY361">
        <v>0</v>
      </c>
      <c r="CZ361">
        <v>0</v>
      </c>
      <c r="DA361" t="s">
        <v>833</v>
      </c>
      <c r="DB361" t="s">
        <v>865</v>
      </c>
      <c r="DC361">
        <v>63368</v>
      </c>
      <c r="DD361">
        <v>1.05</v>
      </c>
      <c r="DE361" t="s">
        <v>866</v>
      </c>
      <c r="DG361" t="s">
        <v>867</v>
      </c>
      <c r="DH361" t="s">
        <v>851</v>
      </c>
      <c r="DI361" t="s">
        <v>2534</v>
      </c>
      <c r="DL361" t="s">
        <v>869</v>
      </c>
      <c r="DM361">
        <v>0</v>
      </c>
      <c r="DN361">
        <v>0</v>
      </c>
      <c r="DO361">
        <v>53</v>
      </c>
      <c r="DP361" t="s">
        <v>1156</v>
      </c>
      <c r="DQ361">
        <v>12</v>
      </c>
      <c r="DR361">
        <v>63</v>
      </c>
      <c r="DS361">
        <v>68</v>
      </c>
      <c r="DT361">
        <v>0.73329999999999995</v>
      </c>
      <c r="DU361">
        <v>4</v>
      </c>
      <c r="DW361">
        <v>1</v>
      </c>
      <c r="DX361" t="s">
        <v>594</v>
      </c>
      <c r="DY361" t="s">
        <v>4841</v>
      </c>
      <c r="DZ361">
        <v>0</v>
      </c>
      <c r="EA361">
        <v>0</v>
      </c>
      <c r="EB361">
        <v>0</v>
      </c>
      <c r="EC361">
        <v>0</v>
      </c>
      <c r="ED361">
        <v>0</v>
      </c>
      <c r="EE361">
        <v>0</v>
      </c>
      <c r="EF361" t="s">
        <v>920</v>
      </c>
      <c r="EG361" t="s">
        <v>595</v>
      </c>
      <c r="EH361" t="s">
        <v>1695</v>
      </c>
      <c r="EI361" t="s">
        <v>1695</v>
      </c>
      <c r="EJ361" t="s">
        <v>111</v>
      </c>
      <c r="EK361">
        <v>9090</v>
      </c>
      <c r="EL361">
        <v>0</v>
      </c>
      <c r="EM361" t="s">
        <v>1037</v>
      </c>
      <c r="EN361">
        <v>0.1</v>
      </c>
      <c r="EO361">
        <v>1.1333333000000001</v>
      </c>
      <c r="EP361">
        <v>99991120</v>
      </c>
      <c r="EQ361" t="s">
        <v>874</v>
      </c>
      <c r="ER361" t="s">
        <v>875</v>
      </c>
      <c r="ES361" t="s">
        <v>876</v>
      </c>
      <c r="ET361" t="s">
        <v>877</v>
      </c>
      <c r="EU361" t="s">
        <v>877</v>
      </c>
      <c r="EV361" t="s">
        <v>920</v>
      </c>
      <c r="EX361" t="s">
        <v>836</v>
      </c>
      <c r="EY361" t="s">
        <v>1051</v>
      </c>
      <c r="EZ361" t="s">
        <v>1038</v>
      </c>
      <c r="FA361" t="s">
        <v>925</v>
      </c>
      <c r="FB361">
        <v>1</v>
      </c>
      <c r="FC361">
        <v>1</v>
      </c>
      <c r="FD361" s="41">
        <v>46249</v>
      </c>
      <c r="FE361" t="s">
        <v>926</v>
      </c>
      <c r="FF361">
        <v>5</v>
      </c>
      <c r="FI361">
        <v>0</v>
      </c>
      <c r="FJ361" t="s">
        <v>7856</v>
      </c>
      <c r="FK361" t="s">
        <v>7857</v>
      </c>
      <c r="FL361">
        <v>1</v>
      </c>
      <c r="FM361" t="s">
        <v>7858</v>
      </c>
      <c r="FN361" t="s">
        <v>7859</v>
      </c>
      <c r="FO361">
        <v>1</v>
      </c>
      <c r="FP361" t="s">
        <v>7860</v>
      </c>
      <c r="FQ361" t="s">
        <v>7854</v>
      </c>
      <c r="FR361">
        <v>1</v>
      </c>
      <c r="FS361" t="s">
        <v>4075</v>
      </c>
      <c r="FT361" t="s">
        <v>7861</v>
      </c>
      <c r="FU361">
        <v>1</v>
      </c>
      <c r="FV361" t="s">
        <v>7657</v>
      </c>
      <c r="FW361" t="s">
        <v>7857</v>
      </c>
      <c r="FX361">
        <v>1</v>
      </c>
      <c r="FY361" t="s">
        <v>890</v>
      </c>
      <c r="FZ361" t="s">
        <v>7862</v>
      </c>
      <c r="GA361" t="s">
        <v>7856</v>
      </c>
      <c r="GB361">
        <v>1</v>
      </c>
      <c r="GD361">
        <v>0</v>
      </c>
      <c r="GF361">
        <v>0</v>
      </c>
      <c r="GG361">
        <v>1</v>
      </c>
      <c r="GH361" t="s">
        <v>892</v>
      </c>
      <c r="GI361" t="s">
        <v>893</v>
      </c>
      <c r="GJ361" t="s">
        <v>7857</v>
      </c>
      <c r="GM361">
        <v>1</v>
      </c>
      <c r="GN361">
        <v>1</v>
      </c>
      <c r="GO361">
        <v>0</v>
      </c>
      <c r="GP361">
        <v>1</v>
      </c>
      <c r="GQ361">
        <v>1</v>
      </c>
      <c r="GR361">
        <v>0</v>
      </c>
      <c r="GS361">
        <v>1</v>
      </c>
      <c r="GT361">
        <v>0</v>
      </c>
      <c r="GU361">
        <v>1</v>
      </c>
      <c r="GV361">
        <v>0</v>
      </c>
      <c r="GW361">
        <v>1</v>
      </c>
      <c r="GX361">
        <v>0</v>
      </c>
      <c r="GY361">
        <v>1</v>
      </c>
      <c r="GZ361">
        <v>0</v>
      </c>
      <c r="HA361" t="s">
        <v>273</v>
      </c>
      <c r="HB361" t="s">
        <v>894</v>
      </c>
      <c r="HC361" t="s">
        <v>895</v>
      </c>
      <c r="HD361" t="s">
        <v>845</v>
      </c>
      <c r="HE361" t="s">
        <v>836</v>
      </c>
      <c r="HF361" t="s">
        <v>1051</v>
      </c>
      <c r="HG361" t="s">
        <v>894</v>
      </c>
      <c r="HH361" t="s">
        <v>895</v>
      </c>
      <c r="HI361" t="s">
        <v>845</v>
      </c>
      <c r="HJ361" t="s">
        <v>836</v>
      </c>
      <c r="HK361" t="s">
        <v>1037</v>
      </c>
      <c r="HL361" t="s">
        <v>117</v>
      </c>
      <c r="HM361" t="s">
        <v>854</v>
      </c>
      <c r="HN361">
        <v>36805</v>
      </c>
      <c r="HP361" t="s">
        <v>111</v>
      </c>
      <c r="HQ361" t="s">
        <v>896</v>
      </c>
      <c r="HR361" t="s">
        <v>896</v>
      </c>
      <c r="HS361" t="s">
        <v>896</v>
      </c>
    </row>
    <row r="362" spans="1:227" x14ac:dyDescent="0.2">
      <c r="A362">
        <v>8702</v>
      </c>
      <c r="B362">
        <v>7613601013</v>
      </c>
      <c r="C362" t="s">
        <v>829</v>
      </c>
      <c r="D362" t="s">
        <v>830</v>
      </c>
      <c r="E362" t="s">
        <v>831</v>
      </c>
      <c r="F362">
        <v>0</v>
      </c>
      <c r="G362" t="s">
        <v>7863</v>
      </c>
      <c r="H362" t="s">
        <v>7863</v>
      </c>
      <c r="I362">
        <v>0</v>
      </c>
      <c r="J362" t="s">
        <v>833</v>
      </c>
      <c r="K362" t="s">
        <v>834</v>
      </c>
      <c r="L362">
        <v>152946727</v>
      </c>
      <c r="M362" t="s">
        <v>7864</v>
      </c>
      <c r="N362" t="s">
        <v>836</v>
      </c>
      <c r="O362" t="s">
        <v>837</v>
      </c>
      <c r="P362" t="s">
        <v>838</v>
      </c>
      <c r="Q362" t="s">
        <v>839</v>
      </c>
      <c r="R362" t="s">
        <v>7865</v>
      </c>
      <c r="S362" t="s">
        <v>7866</v>
      </c>
      <c r="T362">
        <v>41477009259</v>
      </c>
      <c r="V362" t="s">
        <v>117</v>
      </c>
      <c r="W362" s="41">
        <v>46159</v>
      </c>
      <c r="X362" t="s">
        <v>7867</v>
      </c>
      <c r="Y362" t="s">
        <v>7868</v>
      </c>
      <c r="AA362">
        <v>0</v>
      </c>
      <c r="AB362" t="s">
        <v>845</v>
      </c>
      <c r="AC362" t="s">
        <v>846</v>
      </c>
      <c r="AD362" t="s">
        <v>907</v>
      </c>
      <c r="AE362" t="s">
        <v>908</v>
      </c>
      <c r="AF362">
        <v>1</v>
      </c>
      <c r="AG362">
        <v>452210</v>
      </c>
      <c r="AH362" t="s">
        <v>849</v>
      </c>
      <c r="AI362" t="s">
        <v>850</v>
      </c>
      <c r="AJ362" t="s">
        <v>851</v>
      </c>
      <c r="AK362" t="s">
        <v>257</v>
      </c>
      <c r="AL362" t="s">
        <v>2012</v>
      </c>
      <c r="AM362" t="s">
        <v>1364</v>
      </c>
      <c r="AN362" t="s">
        <v>854</v>
      </c>
      <c r="AO362">
        <v>36805</v>
      </c>
      <c r="AP362">
        <v>493</v>
      </c>
      <c r="AQ362" t="s">
        <v>855</v>
      </c>
      <c r="AR362">
        <v>66466973</v>
      </c>
      <c r="AS362" t="s">
        <v>856</v>
      </c>
      <c r="AU362" t="s">
        <v>7869</v>
      </c>
      <c r="AV362" t="s">
        <v>7870</v>
      </c>
      <c r="AX362" t="s">
        <v>913</v>
      </c>
      <c r="AY362" t="s">
        <v>861</v>
      </c>
      <c r="AZ362" t="s">
        <v>257</v>
      </c>
      <c r="BA362" t="s">
        <v>258</v>
      </c>
      <c r="BB362">
        <v>0</v>
      </c>
      <c r="BC362">
        <v>0</v>
      </c>
      <c r="BD362">
        <v>1</v>
      </c>
      <c r="BE362" t="s">
        <v>7864</v>
      </c>
      <c r="BF362">
        <v>0</v>
      </c>
      <c r="BG362">
        <v>0</v>
      </c>
      <c r="BH362" t="s">
        <v>862</v>
      </c>
      <c r="BI362">
        <v>0</v>
      </c>
      <c r="BJ362" t="s">
        <v>862</v>
      </c>
      <c r="BK362">
        <v>1</v>
      </c>
      <c r="BL362">
        <v>1</v>
      </c>
      <c r="BM362">
        <v>0</v>
      </c>
      <c r="BN362" t="s">
        <v>596</v>
      </c>
      <c r="BO362">
        <v>152946727</v>
      </c>
      <c r="BP362" t="s">
        <v>7863</v>
      </c>
      <c r="BR362">
        <v>42789054</v>
      </c>
      <c r="BT362">
        <v>2</v>
      </c>
      <c r="BU362" t="s">
        <v>1803</v>
      </c>
      <c r="BY362">
        <v>16</v>
      </c>
      <c r="CA362">
        <v>13</v>
      </c>
      <c r="CE362">
        <v>1</v>
      </c>
      <c r="CI362">
        <v>11</v>
      </c>
      <c r="CJ362" t="s">
        <v>94</v>
      </c>
      <c r="CM362">
        <v>4010</v>
      </c>
      <c r="CO362">
        <v>7360</v>
      </c>
      <c r="CP362">
        <v>0.41670000000000001</v>
      </c>
      <c r="CQ362">
        <v>0.41670000000000001</v>
      </c>
      <c r="CR362">
        <v>6.6699999999999995E-2</v>
      </c>
      <c r="CS362">
        <v>4</v>
      </c>
      <c r="CT362" t="s">
        <v>7870</v>
      </c>
      <c r="CU362" t="s">
        <v>7869</v>
      </c>
      <c r="CV362" t="s">
        <v>833</v>
      </c>
      <c r="CW362" t="s">
        <v>834</v>
      </c>
      <c r="CX362" t="s">
        <v>7864</v>
      </c>
      <c r="CY362">
        <v>1</v>
      </c>
      <c r="CZ362">
        <v>1</v>
      </c>
      <c r="DA362" t="s">
        <v>833</v>
      </c>
      <c r="DB362" t="s">
        <v>865</v>
      </c>
      <c r="DC362">
        <v>63368</v>
      </c>
      <c r="DD362">
        <v>13.1</v>
      </c>
      <c r="DE362" t="s">
        <v>866</v>
      </c>
      <c r="DG362" t="s">
        <v>867</v>
      </c>
      <c r="DH362" t="s">
        <v>851</v>
      </c>
      <c r="DI362" t="s">
        <v>7871</v>
      </c>
      <c r="DK362" t="s">
        <v>918</v>
      </c>
      <c r="DL362" t="s">
        <v>869</v>
      </c>
      <c r="DM362">
        <v>0</v>
      </c>
      <c r="DN362">
        <v>0</v>
      </c>
      <c r="DO362">
        <v>11</v>
      </c>
      <c r="DP362" t="s">
        <v>1010</v>
      </c>
      <c r="DQ362">
        <v>16</v>
      </c>
      <c r="DR362">
        <v>786</v>
      </c>
      <c r="DS362">
        <v>1506</v>
      </c>
      <c r="DT362">
        <v>12.683299999999999</v>
      </c>
      <c r="DU362">
        <v>4</v>
      </c>
      <c r="DV362">
        <v>1</v>
      </c>
      <c r="DW362">
        <v>2</v>
      </c>
      <c r="DX362" t="s">
        <v>596</v>
      </c>
      <c r="DY362" t="s">
        <v>7864</v>
      </c>
      <c r="DZ362">
        <v>1</v>
      </c>
      <c r="EA362">
        <v>1</v>
      </c>
      <c r="EB362">
        <v>1</v>
      </c>
      <c r="EC362">
        <v>0</v>
      </c>
      <c r="ED362">
        <v>0</v>
      </c>
      <c r="EE362">
        <v>1</v>
      </c>
      <c r="EF362" t="s">
        <v>920</v>
      </c>
      <c r="EG362" t="s">
        <v>595</v>
      </c>
      <c r="EH362" t="s">
        <v>921</v>
      </c>
      <c r="EI362" t="s">
        <v>921</v>
      </c>
      <c r="EJ362" t="s">
        <v>111</v>
      </c>
      <c r="EK362">
        <v>9090</v>
      </c>
      <c r="EL362">
        <v>0</v>
      </c>
      <c r="EM362" t="s">
        <v>1037</v>
      </c>
      <c r="EN362">
        <v>6.6699999999999995E-2</v>
      </c>
      <c r="EO362">
        <v>25.1</v>
      </c>
      <c r="EP362">
        <v>99991120</v>
      </c>
      <c r="EQ362" t="s">
        <v>874</v>
      </c>
      <c r="ER362" t="s">
        <v>875</v>
      </c>
      <c r="ES362" t="s">
        <v>876</v>
      </c>
      <c r="ET362" t="s">
        <v>877</v>
      </c>
      <c r="EU362" t="s">
        <v>877</v>
      </c>
      <c r="EV362" t="s">
        <v>920</v>
      </c>
      <c r="EX362" t="s">
        <v>900</v>
      </c>
      <c r="EY362" t="s">
        <v>923</v>
      </c>
      <c r="EZ362" t="s">
        <v>1038</v>
      </c>
      <c r="FA362" t="s">
        <v>925</v>
      </c>
      <c r="FB362">
        <v>1</v>
      </c>
      <c r="FC362">
        <v>1</v>
      </c>
      <c r="FD362" s="41">
        <v>46165</v>
      </c>
      <c r="FE362" t="s">
        <v>1808</v>
      </c>
      <c r="FF362">
        <v>9</v>
      </c>
      <c r="FG362" t="s">
        <v>7872</v>
      </c>
      <c r="FH362" t="s">
        <v>7873</v>
      </c>
      <c r="FI362">
        <v>1</v>
      </c>
      <c r="FJ362" t="s">
        <v>7874</v>
      </c>
      <c r="FK362" t="s">
        <v>7873</v>
      </c>
      <c r="FL362">
        <v>1</v>
      </c>
      <c r="FM362" t="s">
        <v>7875</v>
      </c>
      <c r="FN362" t="s">
        <v>7876</v>
      </c>
      <c r="FO362">
        <v>1</v>
      </c>
      <c r="FP362" t="s">
        <v>7877</v>
      </c>
      <c r="FQ362" t="s">
        <v>7869</v>
      </c>
      <c r="FR362">
        <v>1</v>
      </c>
      <c r="FS362" t="s">
        <v>1100</v>
      </c>
      <c r="FT362" t="s">
        <v>7878</v>
      </c>
      <c r="FU362">
        <v>1</v>
      </c>
      <c r="FV362" t="s">
        <v>1102</v>
      </c>
      <c r="FW362" t="s">
        <v>7879</v>
      </c>
      <c r="FX362">
        <v>1</v>
      </c>
      <c r="FY362" t="s">
        <v>890</v>
      </c>
      <c r="FZ362" t="s">
        <v>7880</v>
      </c>
      <c r="GA362" t="s">
        <v>7874</v>
      </c>
      <c r="GB362">
        <v>1</v>
      </c>
      <c r="GD362">
        <v>0</v>
      </c>
      <c r="GF362">
        <v>0</v>
      </c>
      <c r="GG362">
        <v>1</v>
      </c>
      <c r="GH362" t="s">
        <v>892</v>
      </c>
      <c r="GI362" t="s">
        <v>893</v>
      </c>
      <c r="GJ362" t="s">
        <v>7873</v>
      </c>
      <c r="GM362">
        <v>1</v>
      </c>
      <c r="GN362">
        <v>1</v>
      </c>
      <c r="GO362">
        <v>0</v>
      </c>
      <c r="GP362">
        <v>1</v>
      </c>
      <c r="GQ362">
        <v>1</v>
      </c>
      <c r="GR362">
        <v>0</v>
      </c>
      <c r="GS362">
        <v>1</v>
      </c>
      <c r="GT362">
        <v>0</v>
      </c>
      <c r="GU362">
        <v>1</v>
      </c>
      <c r="GV362">
        <v>0</v>
      </c>
      <c r="GW362">
        <v>1</v>
      </c>
      <c r="GX362">
        <v>0</v>
      </c>
      <c r="GY362">
        <v>1</v>
      </c>
      <c r="GZ362">
        <v>0</v>
      </c>
      <c r="HA362" t="s">
        <v>257</v>
      </c>
      <c r="HB362" t="s">
        <v>894</v>
      </c>
      <c r="HC362" t="s">
        <v>895</v>
      </c>
      <c r="HD362" t="s">
        <v>845</v>
      </c>
      <c r="HE362" t="s">
        <v>836</v>
      </c>
      <c r="HF362" t="s">
        <v>1051</v>
      </c>
      <c r="HG362" t="s">
        <v>894</v>
      </c>
      <c r="HH362" t="s">
        <v>895</v>
      </c>
      <c r="HI362" t="s">
        <v>845</v>
      </c>
      <c r="HJ362" t="s">
        <v>836</v>
      </c>
      <c r="HK362" t="s">
        <v>1037</v>
      </c>
      <c r="HL362" t="s">
        <v>117</v>
      </c>
      <c r="HM362" t="s">
        <v>854</v>
      </c>
      <c r="HN362">
        <v>36805</v>
      </c>
      <c r="HP362" t="s">
        <v>111</v>
      </c>
      <c r="HQ362" t="s">
        <v>896</v>
      </c>
      <c r="HR362" t="s">
        <v>896</v>
      </c>
      <c r="HS362" t="s">
        <v>896</v>
      </c>
    </row>
    <row r="363" spans="1:227" x14ac:dyDescent="0.2">
      <c r="A363">
        <v>8702</v>
      </c>
      <c r="B363">
        <v>7612501357</v>
      </c>
      <c r="C363" t="s">
        <v>829</v>
      </c>
      <c r="D363" t="s">
        <v>830</v>
      </c>
      <c r="E363" t="s">
        <v>897</v>
      </c>
      <c r="F363">
        <v>0</v>
      </c>
      <c r="G363" t="s">
        <v>7881</v>
      </c>
      <c r="H363" t="s">
        <v>7881</v>
      </c>
      <c r="I363">
        <v>0</v>
      </c>
      <c r="J363" t="s">
        <v>833</v>
      </c>
      <c r="K363" t="s">
        <v>834</v>
      </c>
      <c r="L363">
        <v>153406445</v>
      </c>
      <c r="M363" t="s">
        <v>7882</v>
      </c>
      <c r="N363" t="s">
        <v>900</v>
      </c>
      <c r="O363" t="s">
        <v>837</v>
      </c>
      <c r="P363" t="s">
        <v>838</v>
      </c>
      <c r="Q363" t="s">
        <v>839</v>
      </c>
      <c r="R363" t="s">
        <v>7883</v>
      </c>
      <c r="S363" t="s">
        <v>7884</v>
      </c>
      <c r="T363">
        <v>30300117806</v>
      </c>
      <c r="V363" t="s">
        <v>204</v>
      </c>
      <c r="W363" s="41">
        <v>46148</v>
      </c>
      <c r="X363" t="s">
        <v>7885</v>
      </c>
      <c r="Y363" t="s">
        <v>7886</v>
      </c>
      <c r="AA363">
        <v>0</v>
      </c>
      <c r="AB363" t="s">
        <v>845</v>
      </c>
      <c r="AC363" t="s">
        <v>846</v>
      </c>
      <c r="AD363" t="s">
        <v>1113</v>
      </c>
      <c r="AE363" t="s">
        <v>1114</v>
      </c>
      <c r="AF363">
        <v>1</v>
      </c>
      <c r="AG363">
        <v>452210</v>
      </c>
      <c r="AH363" t="s">
        <v>849</v>
      </c>
      <c r="AI363" t="s">
        <v>850</v>
      </c>
      <c r="AJ363" t="s">
        <v>851</v>
      </c>
      <c r="AK363" t="s">
        <v>287</v>
      </c>
      <c r="AL363" t="s">
        <v>2767</v>
      </c>
      <c r="AM363" t="s">
        <v>4472</v>
      </c>
      <c r="AN363" t="s">
        <v>854</v>
      </c>
      <c r="AO363">
        <v>36805</v>
      </c>
      <c r="AP363">
        <v>644</v>
      </c>
      <c r="AQ363" t="s">
        <v>855</v>
      </c>
      <c r="AR363">
        <v>66450790</v>
      </c>
      <c r="AS363" t="s">
        <v>856</v>
      </c>
      <c r="AU363" t="s">
        <v>7887</v>
      </c>
      <c r="AV363" t="s">
        <v>7888</v>
      </c>
      <c r="AW363" t="s">
        <v>859</v>
      </c>
      <c r="AX363" t="s">
        <v>860</v>
      </c>
      <c r="AY363" t="s">
        <v>861</v>
      </c>
      <c r="AZ363" t="s">
        <v>287</v>
      </c>
      <c r="BA363" t="s">
        <v>288</v>
      </c>
      <c r="BB363">
        <v>0</v>
      </c>
      <c r="BC363">
        <v>0</v>
      </c>
      <c r="BD363">
        <v>0</v>
      </c>
      <c r="BE363" t="s">
        <v>7882</v>
      </c>
      <c r="BF363">
        <v>0</v>
      </c>
      <c r="BG363">
        <v>0</v>
      </c>
      <c r="BH363" t="s">
        <v>862</v>
      </c>
      <c r="BI363">
        <v>0</v>
      </c>
      <c r="BJ363" t="s">
        <v>862</v>
      </c>
      <c r="BK363">
        <v>1</v>
      </c>
      <c r="BL363">
        <v>0</v>
      </c>
      <c r="BM363">
        <v>0</v>
      </c>
      <c r="BN363" t="s">
        <v>596</v>
      </c>
      <c r="BO363">
        <v>153406445</v>
      </c>
      <c r="BP363" t="s">
        <v>7881</v>
      </c>
      <c r="BQ363">
        <v>42.651724600000001</v>
      </c>
      <c r="BR363">
        <v>42791775</v>
      </c>
      <c r="BS363">
        <v>-83.130866499999996</v>
      </c>
      <c r="BT363">
        <v>2</v>
      </c>
      <c r="BU363" t="s">
        <v>1803</v>
      </c>
      <c r="BY363">
        <v>16</v>
      </c>
      <c r="CA363">
        <v>4</v>
      </c>
      <c r="CE363">
        <v>1</v>
      </c>
      <c r="CI363">
        <v>11</v>
      </c>
      <c r="CJ363" t="s">
        <v>94</v>
      </c>
      <c r="CM363">
        <v>4010</v>
      </c>
      <c r="CO363">
        <v>7360</v>
      </c>
      <c r="CP363">
        <v>0.3</v>
      </c>
      <c r="CQ363">
        <v>0.3</v>
      </c>
      <c r="CR363">
        <v>0.66669999999999996</v>
      </c>
      <c r="CS363">
        <v>3</v>
      </c>
      <c r="CT363" t="s">
        <v>7888</v>
      </c>
      <c r="CU363" t="s">
        <v>7887</v>
      </c>
      <c r="CV363" t="s">
        <v>833</v>
      </c>
      <c r="CW363" t="s">
        <v>834</v>
      </c>
      <c r="CX363" t="s">
        <v>7882</v>
      </c>
      <c r="CY363">
        <v>0</v>
      </c>
      <c r="CZ363">
        <v>0</v>
      </c>
      <c r="DA363" t="s">
        <v>833</v>
      </c>
      <c r="DB363" t="s">
        <v>865</v>
      </c>
      <c r="DC363">
        <v>48307</v>
      </c>
      <c r="DD363">
        <v>4.2667000000000002</v>
      </c>
      <c r="DE363" t="s">
        <v>866</v>
      </c>
      <c r="DG363" t="s">
        <v>867</v>
      </c>
      <c r="DH363" t="s">
        <v>851</v>
      </c>
      <c r="DK363" t="s">
        <v>918</v>
      </c>
      <c r="DL363" t="s">
        <v>869</v>
      </c>
      <c r="DM363">
        <v>0</v>
      </c>
      <c r="DN363">
        <v>0</v>
      </c>
      <c r="DO363">
        <v>53</v>
      </c>
      <c r="DP363" t="s">
        <v>1156</v>
      </c>
      <c r="DQ363">
        <v>0</v>
      </c>
      <c r="DR363">
        <v>256</v>
      </c>
      <c r="DS363">
        <v>976</v>
      </c>
      <c r="DT363">
        <v>3.9666999999999999</v>
      </c>
      <c r="DU363">
        <v>0</v>
      </c>
      <c r="DV363">
        <v>1</v>
      </c>
      <c r="DW363">
        <v>2</v>
      </c>
      <c r="DX363" t="s">
        <v>594</v>
      </c>
      <c r="DY363" t="s">
        <v>7882</v>
      </c>
      <c r="DZ363">
        <v>1</v>
      </c>
      <c r="EA363">
        <v>1</v>
      </c>
      <c r="EB363">
        <v>1</v>
      </c>
      <c r="EC363">
        <v>1</v>
      </c>
      <c r="ED363">
        <v>1</v>
      </c>
      <c r="EE363">
        <v>1</v>
      </c>
      <c r="EF363" t="s">
        <v>920</v>
      </c>
      <c r="EG363" t="s">
        <v>595</v>
      </c>
      <c r="EH363" t="s">
        <v>872</v>
      </c>
      <c r="EI363" t="s">
        <v>872</v>
      </c>
      <c r="EJ363" t="s">
        <v>178</v>
      </c>
      <c r="EK363">
        <v>9090</v>
      </c>
      <c r="EL363">
        <v>0</v>
      </c>
      <c r="EM363" t="s">
        <v>952</v>
      </c>
      <c r="EN363">
        <v>0.66669999999999996</v>
      </c>
      <c r="EO363">
        <v>16.266666699999998</v>
      </c>
      <c r="EP363">
        <v>99991120</v>
      </c>
      <c r="EQ363" t="s">
        <v>874</v>
      </c>
      <c r="ER363" t="s">
        <v>875</v>
      </c>
      <c r="ES363" t="s">
        <v>876</v>
      </c>
      <c r="ET363" t="s">
        <v>877</v>
      </c>
      <c r="EU363" t="s">
        <v>877</v>
      </c>
      <c r="EV363" t="s">
        <v>920</v>
      </c>
      <c r="EX363" t="s">
        <v>953</v>
      </c>
      <c r="EY363" t="s">
        <v>954</v>
      </c>
      <c r="EZ363" t="s">
        <v>955</v>
      </c>
      <c r="FA363" t="s">
        <v>956</v>
      </c>
      <c r="FB363">
        <v>1</v>
      </c>
      <c r="FC363">
        <v>1</v>
      </c>
      <c r="FD363" s="41">
        <v>46151</v>
      </c>
      <c r="FE363" t="s">
        <v>1808</v>
      </c>
      <c r="FF363">
        <v>5</v>
      </c>
      <c r="FI363">
        <v>0</v>
      </c>
      <c r="FJ363" t="s">
        <v>7889</v>
      </c>
      <c r="FK363" t="s">
        <v>7890</v>
      </c>
      <c r="FL363">
        <v>1</v>
      </c>
      <c r="FM363" t="s">
        <v>7891</v>
      </c>
      <c r="FN363" t="s">
        <v>7892</v>
      </c>
      <c r="FO363">
        <v>1</v>
      </c>
      <c r="FP363" t="s">
        <v>7893</v>
      </c>
      <c r="FQ363" t="s">
        <v>7894</v>
      </c>
      <c r="FR363">
        <v>1</v>
      </c>
      <c r="FS363" t="s">
        <v>2777</v>
      </c>
      <c r="FT363" t="s">
        <v>7895</v>
      </c>
      <c r="FU363">
        <v>1</v>
      </c>
      <c r="FV363" t="s">
        <v>7896</v>
      </c>
      <c r="FW363" t="s">
        <v>7890</v>
      </c>
      <c r="FX363">
        <v>1</v>
      </c>
      <c r="FY363" t="s">
        <v>890</v>
      </c>
      <c r="FZ363" t="s">
        <v>7897</v>
      </c>
      <c r="GA363" t="s">
        <v>7889</v>
      </c>
      <c r="GB363">
        <v>1</v>
      </c>
      <c r="GD363">
        <v>0</v>
      </c>
      <c r="GF363">
        <v>0</v>
      </c>
      <c r="GG363">
        <v>1</v>
      </c>
      <c r="GH363" t="s">
        <v>892</v>
      </c>
      <c r="GI363" t="s">
        <v>893</v>
      </c>
      <c r="GJ363" t="s">
        <v>7890</v>
      </c>
      <c r="GM363">
        <v>1</v>
      </c>
      <c r="GN363">
        <v>1</v>
      </c>
      <c r="GO363">
        <v>0</v>
      </c>
      <c r="GP363">
        <v>1</v>
      </c>
      <c r="GQ363">
        <v>1</v>
      </c>
      <c r="GR363">
        <v>0</v>
      </c>
      <c r="GS363">
        <v>1</v>
      </c>
      <c r="GT363">
        <v>0</v>
      </c>
      <c r="GU363">
        <v>1</v>
      </c>
      <c r="GV363">
        <v>0</v>
      </c>
      <c r="GW363">
        <v>1</v>
      </c>
      <c r="GX363">
        <v>0</v>
      </c>
      <c r="GY363">
        <v>1</v>
      </c>
      <c r="GZ363">
        <v>0</v>
      </c>
      <c r="HA363" t="s">
        <v>287</v>
      </c>
      <c r="HB363" t="s">
        <v>894</v>
      </c>
      <c r="HC363" t="s">
        <v>935</v>
      </c>
      <c r="HD363" t="s">
        <v>845</v>
      </c>
      <c r="HE363" t="s">
        <v>900</v>
      </c>
      <c r="HF363" t="s">
        <v>923</v>
      </c>
      <c r="HG363" t="s">
        <v>894</v>
      </c>
      <c r="HH363" t="s">
        <v>935</v>
      </c>
      <c r="HI363" t="s">
        <v>845</v>
      </c>
      <c r="HJ363" t="s">
        <v>900</v>
      </c>
      <c r="HK363" t="s">
        <v>952</v>
      </c>
      <c r="HL363" t="s">
        <v>204</v>
      </c>
      <c r="HM363" t="s">
        <v>854</v>
      </c>
      <c r="HN363">
        <v>36805</v>
      </c>
      <c r="HP363" t="s">
        <v>178</v>
      </c>
      <c r="HQ363" t="s">
        <v>896</v>
      </c>
      <c r="HR363" t="s">
        <v>896</v>
      </c>
      <c r="HS363" t="s">
        <v>896</v>
      </c>
    </row>
    <row r="364" spans="1:227" x14ac:dyDescent="0.2">
      <c r="A364">
        <v>8702</v>
      </c>
      <c r="B364">
        <v>7528303495</v>
      </c>
      <c r="C364">
        <v>34</v>
      </c>
      <c r="D364" t="s">
        <v>996</v>
      </c>
      <c r="E364" t="s">
        <v>831</v>
      </c>
      <c r="F364">
        <v>0</v>
      </c>
      <c r="G364" t="s">
        <v>7898</v>
      </c>
      <c r="H364" t="s">
        <v>7898</v>
      </c>
      <c r="I364">
        <v>0</v>
      </c>
      <c r="J364" t="s">
        <v>833</v>
      </c>
      <c r="K364" t="s">
        <v>834</v>
      </c>
      <c r="L364">
        <v>148874664</v>
      </c>
      <c r="M364">
        <v>7528303495</v>
      </c>
      <c r="N364" t="s">
        <v>836</v>
      </c>
      <c r="O364" t="s">
        <v>837</v>
      </c>
      <c r="P364" t="s">
        <v>999</v>
      </c>
      <c r="Q364" t="s">
        <v>1027</v>
      </c>
      <c r="R364" t="s">
        <v>7899</v>
      </c>
      <c r="S364" t="s">
        <v>7900</v>
      </c>
      <c r="T364">
        <v>30300105488</v>
      </c>
      <c r="V364" t="s">
        <v>1732</v>
      </c>
      <c r="W364" s="41">
        <v>45942</v>
      </c>
      <c r="X364" t="s">
        <v>7901</v>
      </c>
      <c r="Y364" t="s">
        <v>7902</v>
      </c>
      <c r="AA364">
        <v>0</v>
      </c>
      <c r="AB364" t="s">
        <v>845</v>
      </c>
      <c r="AC364" t="s">
        <v>846</v>
      </c>
      <c r="AD364" t="s">
        <v>1335</v>
      </c>
      <c r="AE364" t="s">
        <v>1336</v>
      </c>
      <c r="AF364">
        <v>1</v>
      </c>
      <c r="AG364">
        <v>452210</v>
      </c>
      <c r="AH364" t="s">
        <v>849</v>
      </c>
      <c r="AI364" t="s">
        <v>850</v>
      </c>
      <c r="AJ364" t="s">
        <v>851</v>
      </c>
      <c r="AK364" t="s">
        <v>273</v>
      </c>
      <c r="AL364" t="s">
        <v>2846</v>
      </c>
      <c r="AM364" t="s">
        <v>1736</v>
      </c>
      <c r="AN364" t="s">
        <v>854</v>
      </c>
      <c r="AO364">
        <v>36805</v>
      </c>
      <c r="AP364">
        <v>494</v>
      </c>
      <c r="AQ364" t="s">
        <v>855</v>
      </c>
      <c r="AR364">
        <v>66154093</v>
      </c>
      <c r="AS364" t="s">
        <v>856</v>
      </c>
      <c r="AU364" t="s">
        <v>7903</v>
      </c>
      <c r="AV364" t="s">
        <v>7904</v>
      </c>
      <c r="AW364" t="s">
        <v>859</v>
      </c>
      <c r="AX364" t="s">
        <v>860</v>
      </c>
      <c r="AY364" t="s">
        <v>861</v>
      </c>
      <c r="AZ364" t="s">
        <v>273</v>
      </c>
      <c r="BA364" t="s">
        <v>274</v>
      </c>
      <c r="BB364">
        <v>0</v>
      </c>
      <c r="BC364">
        <v>0</v>
      </c>
      <c r="BD364">
        <v>0</v>
      </c>
      <c r="BE364">
        <v>7528303495</v>
      </c>
      <c r="BF364">
        <v>0</v>
      </c>
      <c r="BG364">
        <v>0</v>
      </c>
      <c r="BH364" t="s">
        <v>862</v>
      </c>
      <c r="BI364">
        <v>0</v>
      </c>
      <c r="BJ364" t="s">
        <v>862</v>
      </c>
      <c r="BK364">
        <v>1</v>
      </c>
      <c r="BL364">
        <v>0</v>
      </c>
      <c r="BM364">
        <v>0</v>
      </c>
      <c r="BN364" t="s">
        <v>596</v>
      </c>
      <c r="BP364" t="s">
        <v>7898</v>
      </c>
      <c r="BR364">
        <v>42789059</v>
      </c>
      <c r="BT364">
        <v>0</v>
      </c>
      <c r="CM364">
        <v>4010</v>
      </c>
      <c r="CO364">
        <v>7360</v>
      </c>
      <c r="CP364">
        <v>0.4</v>
      </c>
      <c r="CQ364">
        <v>0.4</v>
      </c>
      <c r="CR364">
        <v>0.3</v>
      </c>
      <c r="CS364">
        <v>1</v>
      </c>
      <c r="CT364" t="s">
        <v>7905</v>
      </c>
      <c r="CU364" t="s">
        <v>7906</v>
      </c>
      <c r="CV364" t="s">
        <v>833</v>
      </c>
      <c r="CW364" t="s">
        <v>834</v>
      </c>
      <c r="CX364" t="s">
        <v>7907</v>
      </c>
      <c r="CY364">
        <v>0</v>
      </c>
      <c r="CZ364">
        <v>0</v>
      </c>
      <c r="DA364" t="s">
        <v>833</v>
      </c>
      <c r="DB364" t="s">
        <v>865</v>
      </c>
      <c r="DC364">
        <v>63123</v>
      </c>
      <c r="DD364">
        <v>22.433299999999999</v>
      </c>
      <c r="DE364" t="s">
        <v>866</v>
      </c>
      <c r="DG364" t="s">
        <v>867</v>
      </c>
      <c r="DH364" t="s">
        <v>851</v>
      </c>
      <c r="DL364" t="s">
        <v>869</v>
      </c>
      <c r="DM364">
        <v>0</v>
      </c>
      <c r="DN364">
        <v>0</v>
      </c>
      <c r="DO364">
        <v>53</v>
      </c>
      <c r="DP364" t="s">
        <v>1156</v>
      </c>
      <c r="DQ364">
        <v>12</v>
      </c>
      <c r="DR364">
        <v>1346</v>
      </c>
      <c r="DS364">
        <v>2786</v>
      </c>
      <c r="DT364">
        <v>22.033300000000001</v>
      </c>
      <c r="DU364">
        <v>4</v>
      </c>
      <c r="DW364">
        <v>1</v>
      </c>
      <c r="DX364" t="s">
        <v>594</v>
      </c>
      <c r="DY364">
        <v>7528303495</v>
      </c>
      <c r="DZ364">
        <v>0</v>
      </c>
      <c r="EA364">
        <v>0</v>
      </c>
      <c r="EB364">
        <v>0</v>
      </c>
      <c r="EC364">
        <v>0</v>
      </c>
      <c r="ED364">
        <v>0</v>
      </c>
      <c r="EE364">
        <v>0</v>
      </c>
      <c r="EF364" t="s">
        <v>920</v>
      </c>
      <c r="EG364" t="s">
        <v>595</v>
      </c>
      <c r="EH364" t="s">
        <v>1695</v>
      </c>
      <c r="EI364" t="s">
        <v>1695</v>
      </c>
      <c r="EJ364" t="s">
        <v>111</v>
      </c>
      <c r="EK364">
        <v>9090</v>
      </c>
      <c r="EL364">
        <v>0</v>
      </c>
      <c r="EM364" t="s">
        <v>1037</v>
      </c>
      <c r="EN364">
        <v>0.3</v>
      </c>
      <c r="EO364">
        <v>46.433333300000001</v>
      </c>
      <c r="EP364">
        <v>99991120</v>
      </c>
      <c r="EQ364" t="s">
        <v>874</v>
      </c>
      <c r="ER364" t="s">
        <v>875</v>
      </c>
      <c r="ES364" t="s">
        <v>876</v>
      </c>
      <c r="ET364" t="s">
        <v>877</v>
      </c>
      <c r="EU364" t="s">
        <v>877</v>
      </c>
      <c r="EV364" t="s">
        <v>920</v>
      </c>
      <c r="EX364" t="s">
        <v>900</v>
      </c>
      <c r="EY364" t="s">
        <v>923</v>
      </c>
      <c r="EZ364" t="s">
        <v>1038</v>
      </c>
      <c r="FA364" t="s">
        <v>925</v>
      </c>
      <c r="FB364">
        <v>1</v>
      </c>
      <c r="FC364">
        <v>1</v>
      </c>
      <c r="FD364" s="41">
        <v>45948</v>
      </c>
      <c r="FE364" t="s">
        <v>1039</v>
      </c>
      <c r="FF364">
        <v>7</v>
      </c>
      <c r="FG364" t="s">
        <v>7908</v>
      </c>
      <c r="FH364" t="s">
        <v>7909</v>
      </c>
      <c r="FI364">
        <v>1</v>
      </c>
      <c r="FJ364" t="s">
        <v>7910</v>
      </c>
      <c r="FK364" t="s">
        <v>7909</v>
      </c>
      <c r="FL364">
        <v>1</v>
      </c>
      <c r="FM364" t="s">
        <v>7911</v>
      </c>
      <c r="FN364" t="s">
        <v>7912</v>
      </c>
      <c r="FO364">
        <v>1</v>
      </c>
      <c r="FP364" t="s">
        <v>7913</v>
      </c>
      <c r="FQ364" t="s">
        <v>7906</v>
      </c>
      <c r="FR364">
        <v>1</v>
      </c>
      <c r="FS364" t="s">
        <v>4075</v>
      </c>
      <c r="FT364" t="s">
        <v>7914</v>
      </c>
      <c r="FU364">
        <v>1</v>
      </c>
      <c r="FV364" t="s">
        <v>7915</v>
      </c>
      <c r="FW364" t="s">
        <v>7916</v>
      </c>
      <c r="FX364">
        <v>1</v>
      </c>
      <c r="FY364" t="s">
        <v>890</v>
      </c>
      <c r="FZ364" t="s">
        <v>7917</v>
      </c>
      <c r="GA364" t="s">
        <v>7910</v>
      </c>
      <c r="GB364">
        <v>1</v>
      </c>
      <c r="GD364">
        <v>0</v>
      </c>
      <c r="GF364">
        <v>0</v>
      </c>
      <c r="GG364">
        <v>1</v>
      </c>
      <c r="GH364" t="s">
        <v>892</v>
      </c>
      <c r="GI364" t="s">
        <v>893</v>
      </c>
      <c r="GJ364" t="s">
        <v>7909</v>
      </c>
      <c r="GM364">
        <v>1</v>
      </c>
      <c r="GN364">
        <v>1</v>
      </c>
      <c r="GO364">
        <v>0</v>
      </c>
      <c r="GP364">
        <v>1</v>
      </c>
      <c r="GQ364">
        <v>1</v>
      </c>
      <c r="GR364">
        <v>0</v>
      </c>
      <c r="GS364">
        <v>1</v>
      </c>
      <c r="GT364">
        <v>0</v>
      </c>
      <c r="GU364">
        <v>1</v>
      </c>
      <c r="GV364">
        <v>0</v>
      </c>
      <c r="GW364">
        <v>1</v>
      </c>
      <c r="GX364">
        <v>0</v>
      </c>
      <c r="GY364">
        <v>1</v>
      </c>
      <c r="GZ364">
        <v>0</v>
      </c>
      <c r="HA364" t="s">
        <v>273</v>
      </c>
      <c r="HB364" t="s">
        <v>894</v>
      </c>
      <c r="HC364" t="s">
        <v>895</v>
      </c>
      <c r="HD364" t="s">
        <v>845</v>
      </c>
      <c r="HE364" t="s">
        <v>836</v>
      </c>
      <c r="HF364" t="s">
        <v>1051</v>
      </c>
      <c r="HG364" t="s">
        <v>894</v>
      </c>
      <c r="HH364" t="s">
        <v>895</v>
      </c>
      <c r="HI364" t="s">
        <v>845</v>
      </c>
      <c r="HJ364" t="s">
        <v>836</v>
      </c>
      <c r="HK364" t="s">
        <v>1037</v>
      </c>
      <c r="HL364" t="s">
        <v>1732</v>
      </c>
      <c r="HM364" t="s">
        <v>854</v>
      </c>
      <c r="HN364">
        <v>36805</v>
      </c>
      <c r="HP364" t="s">
        <v>111</v>
      </c>
      <c r="HQ364" t="s">
        <v>896</v>
      </c>
      <c r="HR364" t="s">
        <v>896</v>
      </c>
      <c r="HS364" t="s">
        <v>896</v>
      </c>
    </row>
    <row r="365" spans="1:227" x14ac:dyDescent="0.2">
      <c r="A365">
        <v>8702</v>
      </c>
      <c r="B365">
        <v>7615202919</v>
      </c>
      <c r="C365">
        <v>34</v>
      </c>
      <c r="D365" t="s">
        <v>996</v>
      </c>
      <c r="E365" t="s">
        <v>897</v>
      </c>
      <c r="F365">
        <v>0</v>
      </c>
      <c r="G365" t="s">
        <v>7918</v>
      </c>
      <c r="H365" t="s">
        <v>7918</v>
      </c>
      <c r="I365">
        <v>0</v>
      </c>
      <c r="J365" t="s">
        <v>833</v>
      </c>
      <c r="K365" t="s">
        <v>834</v>
      </c>
      <c r="L365">
        <v>153195490</v>
      </c>
      <c r="M365" t="s">
        <v>7919</v>
      </c>
      <c r="N365" t="s">
        <v>900</v>
      </c>
      <c r="O365" t="s">
        <v>837</v>
      </c>
      <c r="P365" t="s">
        <v>999</v>
      </c>
      <c r="Q365" t="s">
        <v>1000</v>
      </c>
      <c r="R365" t="s">
        <v>7920</v>
      </c>
      <c r="S365" t="s">
        <v>7921</v>
      </c>
      <c r="T365">
        <v>41477122128</v>
      </c>
      <c r="V365" t="s">
        <v>1543</v>
      </c>
      <c r="W365" s="41">
        <v>46180</v>
      </c>
      <c r="X365" t="s">
        <v>7922</v>
      </c>
      <c r="Y365" t="s">
        <v>7923</v>
      </c>
      <c r="Z365" t="s">
        <v>2362</v>
      </c>
      <c r="AA365">
        <v>0</v>
      </c>
      <c r="AB365" t="s">
        <v>845</v>
      </c>
      <c r="AC365" t="s">
        <v>846</v>
      </c>
      <c r="AD365" t="s">
        <v>907</v>
      </c>
      <c r="AE365" t="s">
        <v>908</v>
      </c>
      <c r="AF365">
        <v>1</v>
      </c>
      <c r="AG365">
        <v>452210</v>
      </c>
      <c r="AH365" t="s">
        <v>849</v>
      </c>
      <c r="AI365" t="s">
        <v>850</v>
      </c>
      <c r="AJ365" t="s">
        <v>851</v>
      </c>
      <c r="AK365" t="s">
        <v>263</v>
      </c>
      <c r="AL365" t="s">
        <v>2230</v>
      </c>
      <c r="AM365" t="s">
        <v>1548</v>
      </c>
      <c r="AN365" t="s">
        <v>854</v>
      </c>
      <c r="AO365">
        <v>36805</v>
      </c>
      <c r="AP365">
        <v>522</v>
      </c>
      <c r="AQ365" t="s">
        <v>855</v>
      </c>
      <c r="AR365">
        <v>66497050</v>
      </c>
      <c r="AS365" t="s">
        <v>856</v>
      </c>
      <c r="AU365" t="s">
        <v>7924</v>
      </c>
      <c r="AV365" t="s">
        <v>7925</v>
      </c>
      <c r="AX365" t="s">
        <v>913</v>
      </c>
      <c r="AY365" t="s">
        <v>861</v>
      </c>
      <c r="AZ365" t="s">
        <v>263</v>
      </c>
      <c r="BA365" t="s">
        <v>264</v>
      </c>
      <c r="BB365">
        <v>0</v>
      </c>
      <c r="BC365">
        <v>1</v>
      </c>
      <c r="BD365">
        <v>0</v>
      </c>
      <c r="BE365" t="s">
        <v>7919</v>
      </c>
      <c r="BF365">
        <v>0</v>
      </c>
      <c r="BG365">
        <v>0</v>
      </c>
      <c r="BH365" t="s">
        <v>862</v>
      </c>
      <c r="BI365">
        <v>0</v>
      </c>
      <c r="BJ365" t="s">
        <v>862</v>
      </c>
      <c r="BK365">
        <v>1</v>
      </c>
      <c r="BL365">
        <v>1</v>
      </c>
      <c r="BM365">
        <v>0</v>
      </c>
      <c r="BN365" t="s">
        <v>596</v>
      </c>
      <c r="BO365">
        <v>153195490</v>
      </c>
      <c r="BP365" t="s">
        <v>7918</v>
      </c>
      <c r="BQ365">
        <v>39.638537100000001</v>
      </c>
      <c r="BR365">
        <v>42791431</v>
      </c>
      <c r="BS365">
        <v>-86.130627099999998</v>
      </c>
      <c r="BT365">
        <v>1</v>
      </c>
      <c r="BU365" t="s">
        <v>1314</v>
      </c>
      <c r="BY365">
        <v>16</v>
      </c>
      <c r="CA365">
        <v>71</v>
      </c>
      <c r="CI365">
        <v>11</v>
      </c>
      <c r="CJ365" t="s">
        <v>94</v>
      </c>
      <c r="CM365">
        <v>4010</v>
      </c>
      <c r="CO365">
        <v>7360</v>
      </c>
      <c r="CP365">
        <v>3.7</v>
      </c>
      <c r="CQ365">
        <v>3.7</v>
      </c>
      <c r="CR365">
        <v>2.4832999999999998</v>
      </c>
      <c r="CS365">
        <v>0</v>
      </c>
      <c r="CT365" t="s">
        <v>7926</v>
      </c>
      <c r="CU365" t="s">
        <v>7927</v>
      </c>
      <c r="CV365" t="s">
        <v>833</v>
      </c>
      <c r="CW365" t="s">
        <v>834</v>
      </c>
      <c r="CX365" t="s">
        <v>7919</v>
      </c>
      <c r="CY365">
        <v>1</v>
      </c>
      <c r="CZ365">
        <v>1</v>
      </c>
      <c r="DA365" t="s">
        <v>833</v>
      </c>
      <c r="DB365" t="s">
        <v>865</v>
      </c>
      <c r="DC365">
        <v>46227</v>
      </c>
      <c r="DD365">
        <v>71.4833</v>
      </c>
      <c r="DE365" t="s">
        <v>866</v>
      </c>
      <c r="DG365" t="s">
        <v>867</v>
      </c>
      <c r="DH365" t="s">
        <v>851</v>
      </c>
      <c r="DI365" t="s">
        <v>7928</v>
      </c>
      <c r="DK365" t="s">
        <v>918</v>
      </c>
      <c r="DL365" t="s">
        <v>869</v>
      </c>
      <c r="DM365">
        <v>0</v>
      </c>
      <c r="DN365">
        <v>0</v>
      </c>
      <c r="DO365">
        <v>11</v>
      </c>
      <c r="DP365" t="s">
        <v>1010</v>
      </c>
      <c r="DQ365">
        <v>16</v>
      </c>
      <c r="DR365">
        <v>4289</v>
      </c>
      <c r="DS365">
        <v>8609</v>
      </c>
      <c r="DT365">
        <v>25.666699999999999</v>
      </c>
      <c r="DU365">
        <v>4</v>
      </c>
      <c r="DV365">
        <v>1</v>
      </c>
      <c r="DW365">
        <v>2</v>
      </c>
      <c r="DX365" t="s">
        <v>596</v>
      </c>
      <c r="DY365" t="s">
        <v>7919</v>
      </c>
      <c r="DZ365">
        <v>0</v>
      </c>
      <c r="EA365">
        <v>0</v>
      </c>
      <c r="EB365">
        <v>1</v>
      </c>
      <c r="EC365">
        <v>0</v>
      </c>
      <c r="ED365">
        <v>0</v>
      </c>
      <c r="EE365">
        <v>1</v>
      </c>
      <c r="EF365" t="s">
        <v>920</v>
      </c>
      <c r="EG365" t="s">
        <v>595</v>
      </c>
      <c r="EH365" t="s">
        <v>921</v>
      </c>
      <c r="EI365" t="s">
        <v>921</v>
      </c>
      <c r="EJ365" t="s">
        <v>134</v>
      </c>
      <c r="EK365">
        <v>9090</v>
      </c>
      <c r="EL365">
        <v>1</v>
      </c>
      <c r="EM365" t="s">
        <v>1011</v>
      </c>
      <c r="EN365">
        <v>2.4832999999999998</v>
      </c>
      <c r="EO365">
        <v>143.4833333</v>
      </c>
      <c r="EP365">
        <v>99991120</v>
      </c>
      <c r="EQ365" t="s">
        <v>874</v>
      </c>
      <c r="ER365" t="s">
        <v>875</v>
      </c>
      <c r="ES365" t="s">
        <v>876</v>
      </c>
      <c r="ET365" t="s">
        <v>877</v>
      </c>
      <c r="EU365" t="s">
        <v>877</v>
      </c>
      <c r="EV365" t="s">
        <v>920</v>
      </c>
      <c r="EX365" t="s">
        <v>900</v>
      </c>
      <c r="EY365" t="s">
        <v>1012</v>
      </c>
      <c r="EZ365" t="s">
        <v>1013</v>
      </c>
      <c r="FA365" t="s">
        <v>925</v>
      </c>
      <c r="FB365">
        <v>1</v>
      </c>
      <c r="FC365">
        <v>3</v>
      </c>
      <c r="FD365" s="41">
        <v>46186</v>
      </c>
      <c r="FE365" t="s">
        <v>1315</v>
      </c>
      <c r="FF365">
        <v>20</v>
      </c>
      <c r="FG365" t="s">
        <v>7929</v>
      </c>
      <c r="FH365" t="s">
        <v>7930</v>
      </c>
      <c r="FI365">
        <v>1</v>
      </c>
      <c r="FJ365" t="s">
        <v>7931</v>
      </c>
      <c r="FK365" t="s">
        <v>7930</v>
      </c>
      <c r="FL365">
        <v>1</v>
      </c>
      <c r="FM365" t="s">
        <v>7932</v>
      </c>
      <c r="FN365" t="s">
        <v>7933</v>
      </c>
      <c r="FO365">
        <v>1</v>
      </c>
      <c r="FP365" t="s">
        <v>7934</v>
      </c>
      <c r="FQ365" t="s">
        <v>7927</v>
      </c>
      <c r="FR365">
        <v>1</v>
      </c>
      <c r="FS365" t="s">
        <v>2872</v>
      </c>
      <c r="FT365" t="s">
        <v>7935</v>
      </c>
      <c r="FU365">
        <v>1</v>
      </c>
      <c r="FV365" t="s">
        <v>7936</v>
      </c>
      <c r="FW365" t="s">
        <v>7937</v>
      </c>
      <c r="FX365">
        <v>1</v>
      </c>
      <c r="FY365" t="s">
        <v>890</v>
      </c>
      <c r="FZ365" t="s">
        <v>7938</v>
      </c>
      <c r="GA365" t="s">
        <v>7931</v>
      </c>
      <c r="GB365">
        <v>1</v>
      </c>
      <c r="GD365">
        <v>0</v>
      </c>
      <c r="GF365">
        <v>0</v>
      </c>
      <c r="GG365">
        <v>1</v>
      </c>
      <c r="GH365" t="s">
        <v>892</v>
      </c>
      <c r="GI365" t="s">
        <v>893</v>
      </c>
      <c r="GJ365" t="s">
        <v>7930</v>
      </c>
      <c r="GM365">
        <v>1</v>
      </c>
      <c r="GN365">
        <v>0</v>
      </c>
      <c r="GO365">
        <v>0</v>
      </c>
      <c r="GP365">
        <v>1</v>
      </c>
      <c r="GQ365">
        <v>1</v>
      </c>
      <c r="GR365">
        <v>0</v>
      </c>
      <c r="GS365">
        <v>1</v>
      </c>
      <c r="GT365">
        <v>0</v>
      </c>
      <c r="GU365">
        <v>1</v>
      </c>
      <c r="GV365">
        <v>0</v>
      </c>
      <c r="GW365">
        <v>1</v>
      </c>
      <c r="GX365">
        <v>0</v>
      </c>
      <c r="GY365">
        <v>1</v>
      </c>
      <c r="GZ365">
        <v>0</v>
      </c>
      <c r="HA365" t="s">
        <v>263</v>
      </c>
      <c r="HB365" t="s">
        <v>894</v>
      </c>
      <c r="HC365" t="s">
        <v>935</v>
      </c>
      <c r="HD365" t="s">
        <v>845</v>
      </c>
      <c r="HE365" t="s">
        <v>900</v>
      </c>
      <c r="HF365" t="s">
        <v>1012</v>
      </c>
      <c r="HG365" t="s">
        <v>894</v>
      </c>
      <c r="HH365" t="s">
        <v>935</v>
      </c>
      <c r="HI365" t="s">
        <v>845</v>
      </c>
      <c r="HJ365" t="s">
        <v>900</v>
      </c>
      <c r="HK365" t="s">
        <v>1011</v>
      </c>
      <c r="HL365" t="s">
        <v>1543</v>
      </c>
      <c r="HM365" t="s">
        <v>854</v>
      </c>
      <c r="HN365">
        <v>36805</v>
      </c>
      <c r="HO365">
        <v>1</v>
      </c>
      <c r="HP365" t="s">
        <v>134</v>
      </c>
      <c r="HQ365" t="s">
        <v>896</v>
      </c>
      <c r="HR365" t="s">
        <v>896</v>
      </c>
      <c r="HS365" t="s">
        <v>896</v>
      </c>
    </row>
    <row r="366" spans="1:227" x14ac:dyDescent="0.2">
      <c r="A366">
        <v>8702</v>
      </c>
      <c r="B366">
        <v>7606400580</v>
      </c>
      <c r="C366">
        <v>34</v>
      </c>
      <c r="D366" t="s">
        <v>996</v>
      </c>
      <c r="E366" t="s">
        <v>831</v>
      </c>
      <c r="F366">
        <v>0</v>
      </c>
      <c r="G366" t="s">
        <v>7939</v>
      </c>
      <c r="H366" t="s">
        <v>7939</v>
      </c>
      <c r="I366">
        <v>0</v>
      </c>
      <c r="J366" t="s">
        <v>833</v>
      </c>
      <c r="K366" t="s">
        <v>834</v>
      </c>
      <c r="L366">
        <v>156057623</v>
      </c>
      <c r="M366" t="s">
        <v>7940</v>
      </c>
      <c r="N366" t="s">
        <v>836</v>
      </c>
      <c r="O366" t="s">
        <v>837</v>
      </c>
      <c r="P366" t="s">
        <v>999</v>
      </c>
      <c r="Q366" t="s">
        <v>1027</v>
      </c>
      <c r="R366" t="s">
        <v>7941</v>
      </c>
      <c r="S366" t="s">
        <v>7942</v>
      </c>
      <c r="T366">
        <v>41477009259</v>
      </c>
      <c r="V366" t="s">
        <v>1732</v>
      </c>
      <c r="W366" s="41">
        <v>46087</v>
      </c>
      <c r="X366" t="s">
        <v>7943</v>
      </c>
      <c r="Y366" t="s">
        <v>7944</v>
      </c>
      <c r="AA366">
        <v>0</v>
      </c>
      <c r="AB366" t="s">
        <v>845</v>
      </c>
      <c r="AC366" t="s">
        <v>846</v>
      </c>
      <c r="AD366" t="s">
        <v>1113</v>
      </c>
      <c r="AE366" t="s">
        <v>1114</v>
      </c>
      <c r="AF366">
        <v>1</v>
      </c>
      <c r="AG366">
        <v>452210</v>
      </c>
      <c r="AH366" t="s">
        <v>849</v>
      </c>
      <c r="AI366" t="s">
        <v>850</v>
      </c>
      <c r="AJ366" t="s">
        <v>851</v>
      </c>
      <c r="AK366" t="s">
        <v>257</v>
      </c>
      <c r="AL366" t="s">
        <v>2012</v>
      </c>
      <c r="AM366" t="s">
        <v>1736</v>
      </c>
      <c r="AN366" t="s">
        <v>854</v>
      </c>
      <c r="AO366">
        <v>36805</v>
      </c>
      <c r="AP366">
        <v>494</v>
      </c>
      <c r="AQ366" t="s">
        <v>855</v>
      </c>
      <c r="AR366">
        <v>66363357</v>
      </c>
      <c r="AS366" t="s">
        <v>856</v>
      </c>
      <c r="AU366" t="s">
        <v>7945</v>
      </c>
      <c r="AV366" t="s">
        <v>7946</v>
      </c>
      <c r="AX366" t="s">
        <v>913</v>
      </c>
      <c r="AY366" t="s">
        <v>861</v>
      </c>
      <c r="AZ366" t="s">
        <v>257</v>
      </c>
      <c r="BA366" t="s">
        <v>258</v>
      </c>
      <c r="BB366">
        <v>0</v>
      </c>
      <c r="BC366">
        <v>1</v>
      </c>
      <c r="BD366">
        <v>0</v>
      </c>
      <c r="BE366" t="s">
        <v>7940</v>
      </c>
      <c r="BF366">
        <v>0</v>
      </c>
      <c r="BG366">
        <v>0</v>
      </c>
      <c r="BH366" t="s">
        <v>862</v>
      </c>
      <c r="BI366">
        <v>0</v>
      </c>
      <c r="BJ366" t="s">
        <v>862</v>
      </c>
      <c r="BK366">
        <v>1</v>
      </c>
      <c r="BL366">
        <v>1</v>
      </c>
      <c r="BM366">
        <v>0</v>
      </c>
      <c r="BN366" t="s">
        <v>596</v>
      </c>
      <c r="BO366">
        <v>156057623</v>
      </c>
      <c r="BP366" t="s">
        <v>7939</v>
      </c>
      <c r="BR366">
        <v>42789059</v>
      </c>
      <c r="BT366">
        <v>2</v>
      </c>
      <c r="BU366" t="s">
        <v>1715</v>
      </c>
      <c r="CE366">
        <v>1</v>
      </c>
      <c r="CI366">
        <v>11</v>
      </c>
      <c r="CJ366" t="s">
        <v>94</v>
      </c>
      <c r="CM366">
        <v>4010</v>
      </c>
      <c r="CO366">
        <v>7360</v>
      </c>
      <c r="CP366">
        <v>6.6699999999999995E-2</v>
      </c>
      <c r="CQ366">
        <v>6.6699999999999995E-2</v>
      </c>
      <c r="CR366">
        <v>0</v>
      </c>
      <c r="CS366">
        <v>27</v>
      </c>
      <c r="CT366" t="s">
        <v>7947</v>
      </c>
      <c r="CU366" t="s">
        <v>7948</v>
      </c>
      <c r="CV366" t="s">
        <v>833</v>
      </c>
      <c r="CW366" t="s">
        <v>834</v>
      </c>
      <c r="CX366" t="s">
        <v>7940</v>
      </c>
      <c r="CY366">
        <v>1</v>
      </c>
      <c r="CZ366">
        <v>1</v>
      </c>
      <c r="DA366" t="s">
        <v>833</v>
      </c>
      <c r="DB366" t="s">
        <v>865</v>
      </c>
      <c r="DC366">
        <v>63123</v>
      </c>
      <c r="DD366">
        <v>10.033300000000001</v>
      </c>
      <c r="DE366" t="s">
        <v>866</v>
      </c>
      <c r="DG366" t="s">
        <v>867</v>
      </c>
      <c r="DH366" t="s">
        <v>851</v>
      </c>
      <c r="DK366" t="s">
        <v>918</v>
      </c>
      <c r="DL366" t="s">
        <v>869</v>
      </c>
      <c r="DM366">
        <v>0</v>
      </c>
      <c r="DN366">
        <v>0</v>
      </c>
      <c r="DO366">
        <v>11</v>
      </c>
      <c r="DP366" t="s">
        <v>1010</v>
      </c>
      <c r="DQ366">
        <v>0</v>
      </c>
      <c r="DR366">
        <v>602</v>
      </c>
      <c r="DS366">
        <v>1322</v>
      </c>
      <c r="DT366">
        <v>9.9666999999999994</v>
      </c>
      <c r="DU366">
        <v>0</v>
      </c>
      <c r="DV366">
        <v>1</v>
      </c>
      <c r="DW366">
        <v>2</v>
      </c>
      <c r="DX366" t="s">
        <v>596</v>
      </c>
      <c r="DY366" t="s">
        <v>7940</v>
      </c>
      <c r="DZ366">
        <v>1</v>
      </c>
      <c r="EA366">
        <v>1</v>
      </c>
      <c r="EB366">
        <v>1</v>
      </c>
      <c r="EC366">
        <v>1</v>
      </c>
      <c r="ED366">
        <v>1</v>
      </c>
      <c r="EE366">
        <v>1</v>
      </c>
      <c r="EF366" t="s">
        <v>920</v>
      </c>
      <c r="EG366" t="s">
        <v>595</v>
      </c>
      <c r="EH366" t="s">
        <v>921</v>
      </c>
      <c r="EI366" t="s">
        <v>921</v>
      </c>
      <c r="EJ366" t="s">
        <v>111</v>
      </c>
      <c r="EK366">
        <v>9090</v>
      </c>
      <c r="EL366">
        <v>0</v>
      </c>
      <c r="EM366" t="s">
        <v>1037</v>
      </c>
      <c r="EN366">
        <v>0</v>
      </c>
      <c r="EO366">
        <v>22.033333299999999</v>
      </c>
      <c r="EP366">
        <v>99991120</v>
      </c>
      <c r="EQ366" t="s">
        <v>874</v>
      </c>
      <c r="ER366" t="s">
        <v>875</v>
      </c>
      <c r="ES366" t="s">
        <v>876</v>
      </c>
      <c r="ET366" t="s">
        <v>877</v>
      </c>
      <c r="EU366" t="s">
        <v>877</v>
      </c>
      <c r="EV366" t="s">
        <v>920</v>
      </c>
      <c r="EX366" t="s">
        <v>900</v>
      </c>
      <c r="EY366" t="s">
        <v>923</v>
      </c>
      <c r="EZ366" t="s">
        <v>1038</v>
      </c>
      <c r="FA366" t="s">
        <v>925</v>
      </c>
      <c r="FB366">
        <v>1</v>
      </c>
      <c r="FC366">
        <v>1</v>
      </c>
      <c r="FD366" s="41">
        <v>46088</v>
      </c>
      <c r="FE366" t="s">
        <v>1719</v>
      </c>
      <c r="FF366">
        <v>8</v>
      </c>
      <c r="FG366" t="s">
        <v>7949</v>
      </c>
      <c r="FH366" t="s">
        <v>4493</v>
      </c>
      <c r="FI366">
        <v>1</v>
      </c>
      <c r="FJ366" t="s">
        <v>4494</v>
      </c>
      <c r="FK366" t="s">
        <v>7950</v>
      </c>
      <c r="FL366">
        <v>1</v>
      </c>
      <c r="FM366" t="s">
        <v>7951</v>
      </c>
      <c r="FN366" t="s">
        <v>7952</v>
      </c>
      <c r="FO366">
        <v>1</v>
      </c>
      <c r="FP366" t="s">
        <v>7953</v>
      </c>
      <c r="FQ366" t="s">
        <v>7948</v>
      </c>
      <c r="FR366">
        <v>1</v>
      </c>
      <c r="FS366" t="s">
        <v>1100</v>
      </c>
      <c r="FT366" t="s">
        <v>7954</v>
      </c>
      <c r="FU366">
        <v>1</v>
      </c>
      <c r="FV366" t="s">
        <v>4501</v>
      </c>
      <c r="FW366" t="s">
        <v>4502</v>
      </c>
      <c r="FX366">
        <v>1</v>
      </c>
      <c r="FY366" t="s">
        <v>890</v>
      </c>
      <c r="FZ366" t="s">
        <v>7955</v>
      </c>
      <c r="GA366" t="s">
        <v>4494</v>
      </c>
      <c r="GB366">
        <v>1</v>
      </c>
      <c r="GD366">
        <v>0</v>
      </c>
      <c r="GF366">
        <v>0</v>
      </c>
      <c r="GG366">
        <v>1</v>
      </c>
      <c r="GH366" t="s">
        <v>892</v>
      </c>
      <c r="GI366" t="s">
        <v>893</v>
      </c>
      <c r="GJ366" t="s">
        <v>7950</v>
      </c>
      <c r="GM366">
        <v>1</v>
      </c>
      <c r="GN366">
        <v>1</v>
      </c>
      <c r="GO366">
        <v>0</v>
      </c>
      <c r="GP366">
        <v>1</v>
      </c>
      <c r="GQ366">
        <v>1</v>
      </c>
      <c r="GR366">
        <v>0</v>
      </c>
      <c r="GS366">
        <v>1</v>
      </c>
      <c r="GT366">
        <v>0</v>
      </c>
      <c r="GU366">
        <v>1</v>
      </c>
      <c r="GV366">
        <v>0</v>
      </c>
      <c r="GW366">
        <v>1</v>
      </c>
      <c r="GX366">
        <v>0</v>
      </c>
      <c r="GY366">
        <v>1</v>
      </c>
      <c r="GZ366">
        <v>0</v>
      </c>
      <c r="HA366" t="s">
        <v>257</v>
      </c>
      <c r="HB366" t="s">
        <v>894</v>
      </c>
      <c r="HC366" t="s">
        <v>895</v>
      </c>
      <c r="HD366" t="s">
        <v>845</v>
      </c>
      <c r="HE366" t="s">
        <v>836</v>
      </c>
      <c r="HF366" t="s">
        <v>1051</v>
      </c>
      <c r="HG366" t="s">
        <v>894</v>
      </c>
      <c r="HH366" t="s">
        <v>895</v>
      </c>
      <c r="HI366" t="s">
        <v>845</v>
      </c>
      <c r="HJ366" t="s">
        <v>836</v>
      </c>
      <c r="HK366" t="s">
        <v>1037</v>
      </c>
      <c r="HL366" t="s">
        <v>1732</v>
      </c>
      <c r="HM366" t="s">
        <v>854</v>
      </c>
      <c r="HN366">
        <v>36805</v>
      </c>
      <c r="HP366" t="s">
        <v>111</v>
      </c>
      <c r="HQ366" t="s">
        <v>896</v>
      </c>
      <c r="HR366" t="s">
        <v>896</v>
      </c>
      <c r="HS366" t="s">
        <v>896</v>
      </c>
    </row>
    <row r="367" spans="1:227" x14ac:dyDescent="0.2">
      <c r="A367">
        <v>8702</v>
      </c>
      <c r="B367">
        <v>7536514402</v>
      </c>
      <c r="C367" t="s">
        <v>829</v>
      </c>
      <c r="D367" t="s">
        <v>830</v>
      </c>
      <c r="E367" t="s">
        <v>831</v>
      </c>
      <c r="F367">
        <v>0</v>
      </c>
      <c r="G367" t="s">
        <v>7956</v>
      </c>
      <c r="H367" t="s">
        <v>7956</v>
      </c>
      <c r="I367">
        <v>0</v>
      </c>
      <c r="J367" t="s">
        <v>833</v>
      </c>
      <c r="K367" t="s">
        <v>834</v>
      </c>
      <c r="L367">
        <v>153524535</v>
      </c>
      <c r="M367" t="s">
        <v>2338</v>
      </c>
      <c r="N367" t="s">
        <v>836</v>
      </c>
      <c r="O367" t="s">
        <v>837</v>
      </c>
      <c r="P367" t="s">
        <v>838</v>
      </c>
      <c r="Q367" t="s">
        <v>901</v>
      </c>
      <c r="R367" t="s">
        <v>7957</v>
      </c>
      <c r="S367" t="s">
        <v>7958</v>
      </c>
      <c r="T367">
        <v>41477094299</v>
      </c>
      <c r="V367" t="s">
        <v>2032</v>
      </c>
      <c r="W367" s="41">
        <v>46022</v>
      </c>
      <c r="X367" t="s">
        <v>7959</v>
      </c>
      <c r="Y367" t="s">
        <v>7960</v>
      </c>
      <c r="AA367">
        <v>0</v>
      </c>
      <c r="AB367" t="s">
        <v>845</v>
      </c>
      <c r="AC367" t="s">
        <v>846</v>
      </c>
      <c r="AD367" t="s">
        <v>847</v>
      </c>
      <c r="AE367" t="s">
        <v>848</v>
      </c>
      <c r="AF367">
        <v>1</v>
      </c>
      <c r="AG367">
        <v>452210</v>
      </c>
      <c r="AH367" t="s">
        <v>849</v>
      </c>
      <c r="AI367" t="s">
        <v>850</v>
      </c>
      <c r="AJ367" t="s">
        <v>851</v>
      </c>
      <c r="AK367" t="s">
        <v>354</v>
      </c>
      <c r="AL367" t="s">
        <v>1206</v>
      </c>
      <c r="AM367" t="s">
        <v>2036</v>
      </c>
      <c r="AN367" t="s">
        <v>854</v>
      </c>
      <c r="AO367">
        <v>36805</v>
      </c>
      <c r="AP367">
        <v>537</v>
      </c>
      <c r="AQ367" t="s">
        <v>855</v>
      </c>
      <c r="AR367">
        <v>66269688</v>
      </c>
      <c r="AS367" t="s">
        <v>856</v>
      </c>
      <c r="AU367" t="s">
        <v>7961</v>
      </c>
      <c r="AV367" t="s">
        <v>7962</v>
      </c>
      <c r="AX367" t="s">
        <v>913</v>
      </c>
      <c r="AY367" t="s">
        <v>861</v>
      </c>
      <c r="AZ367" t="s">
        <v>354</v>
      </c>
      <c r="BA367" t="s">
        <v>355</v>
      </c>
      <c r="BB367">
        <v>0</v>
      </c>
      <c r="BC367">
        <v>0</v>
      </c>
      <c r="BD367">
        <v>0</v>
      </c>
      <c r="BE367" t="s">
        <v>2338</v>
      </c>
      <c r="BF367">
        <v>0</v>
      </c>
      <c r="BG367">
        <v>0</v>
      </c>
      <c r="BH367" t="s">
        <v>862</v>
      </c>
      <c r="BI367">
        <v>0</v>
      </c>
      <c r="BJ367" t="s">
        <v>862</v>
      </c>
      <c r="BK367">
        <v>1</v>
      </c>
      <c r="BL367">
        <v>1</v>
      </c>
      <c r="BM367">
        <v>0</v>
      </c>
      <c r="BN367" t="s">
        <v>596</v>
      </c>
      <c r="BO367">
        <v>153524535</v>
      </c>
      <c r="BP367" t="s">
        <v>7956</v>
      </c>
      <c r="BQ367">
        <v>40.451987500000001</v>
      </c>
      <c r="BR367">
        <v>42791480</v>
      </c>
      <c r="BS367">
        <v>-86.914945000000003</v>
      </c>
      <c r="BT367">
        <v>0</v>
      </c>
      <c r="CM367">
        <v>4010</v>
      </c>
      <c r="CO367">
        <v>7360</v>
      </c>
      <c r="CP367">
        <v>0.65</v>
      </c>
      <c r="CQ367">
        <v>0.65</v>
      </c>
      <c r="CR367">
        <v>0.2</v>
      </c>
      <c r="CS367">
        <v>4</v>
      </c>
      <c r="CT367" t="s">
        <v>7963</v>
      </c>
      <c r="CU367" t="s">
        <v>7964</v>
      </c>
      <c r="CV367" t="s">
        <v>833</v>
      </c>
      <c r="CW367" t="s">
        <v>834</v>
      </c>
      <c r="CX367" t="s">
        <v>2338</v>
      </c>
      <c r="CY367">
        <v>0</v>
      </c>
      <c r="CZ367">
        <v>0</v>
      </c>
      <c r="DA367" t="s">
        <v>833</v>
      </c>
      <c r="DB367" t="s">
        <v>865</v>
      </c>
      <c r="DC367">
        <v>47906</v>
      </c>
      <c r="DD367">
        <v>3.7</v>
      </c>
      <c r="DE367" t="s">
        <v>866</v>
      </c>
      <c r="DG367" t="s">
        <v>867</v>
      </c>
      <c r="DH367" t="s">
        <v>851</v>
      </c>
      <c r="DI367" t="s">
        <v>1291</v>
      </c>
      <c r="DL367" t="s">
        <v>869</v>
      </c>
      <c r="DM367">
        <v>0</v>
      </c>
      <c r="DN367">
        <v>0</v>
      </c>
      <c r="DO367">
        <v>3</v>
      </c>
      <c r="DP367" t="s">
        <v>919</v>
      </c>
      <c r="DQ367">
        <v>16</v>
      </c>
      <c r="DR367">
        <v>222</v>
      </c>
      <c r="DS367">
        <v>222</v>
      </c>
      <c r="DT367">
        <v>3.05</v>
      </c>
      <c r="DU367">
        <v>4</v>
      </c>
      <c r="DW367">
        <v>2</v>
      </c>
      <c r="DX367" t="s">
        <v>596</v>
      </c>
      <c r="DY367" t="s">
        <v>2338</v>
      </c>
      <c r="DZ367">
        <v>1</v>
      </c>
      <c r="EA367">
        <v>1</v>
      </c>
      <c r="EB367">
        <v>1</v>
      </c>
      <c r="EC367">
        <v>1</v>
      </c>
      <c r="ED367">
        <v>1</v>
      </c>
      <c r="EE367">
        <v>1</v>
      </c>
      <c r="EF367" t="s">
        <v>920</v>
      </c>
      <c r="EG367" t="s">
        <v>595</v>
      </c>
      <c r="EH367" t="s">
        <v>921</v>
      </c>
      <c r="EI367" t="s">
        <v>921</v>
      </c>
      <c r="EJ367" t="s">
        <v>134</v>
      </c>
      <c r="EK367">
        <v>9090</v>
      </c>
      <c r="EL367">
        <v>0</v>
      </c>
      <c r="EM367" t="s">
        <v>1436</v>
      </c>
      <c r="EN367">
        <v>0.2</v>
      </c>
      <c r="EO367">
        <v>3.7</v>
      </c>
      <c r="EP367">
        <v>99991120</v>
      </c>
      <c r="EQ367" t="s">
        <v>874</v>
      </c>
      <c r="ER367" t="s">
        <v>875</v>
      </c>
      <c r="ES367" t="s">
        <v>876</v>
      </c>
      <c r="ET367" t="s">
        <v>877</v>
      </c>
      <c r="EU367" t="s">
        <v>877</v>
      </c>
      <c r="EV367" t="s">
        <v>920</v>
      </c>
      <c r="EX367" t="s">
        <v>953</v>
      </c>
      <c r="EY367" t="s">
        <v>1555</v>
      </c>
      <c r="EZ367" t="s">
        <v>1211</v>
      </c>
      <c r="FA367" t="s">
        <v>1212</v>
      </c>
      <c r="FB367">
        <v>1</v>
      </c>
      <c r="FC367">
        <v>1</v>
      </c>
      <c r="FD367" s="41">
        <v>46025</v>
      </c>
      <c r="FE367" t="s">
        <v>957</v>
      </c>
      <c r="FF367">
        <v>4</v>
      </c>
      <c r="FI367">
        <v>0</v>
      </c>
      <c r="FL367">
        <v>0</v>
      </c>
      <c r="FM367" t="s">
        <v>2349</v>
      </c>
      <c r="FN367" t="s">
        <v>7965</v>
      </c>
      <c r="FO367">
        <v>1</v>
      </c>
      <c r="FP367" t="s">
        <v>7966</v>
      </c>
      <c r="FQ367" t="s">
        <v>7964</v>
      </c>
      <c r="FR367">
        <v>1</v>
      </c>
      <c r="FS367" t="s">
        <v>5938</v>
      </c>
      <c r="FT367" t="s">
        <v>7967</v>
      </c>
      <c r="FU367">
        <v>1</v>
      </c>
      <c r="FV367" t="s">
        <v>7968</v>
      </c>
      <c r="FW367" t="s">
        <v>7969</v>
      </c>
      <c r="FX367">
        <v>1</v>
      </c>
      <c r="FY367" t="s">
        <v>890</v>
      </c>
      <c r="FZ367" t="s">
        <v>7970</v>
      </c>
      <c r="GA367" t="s">
        <v>7968</v>
      </c>
      <c r="GB367">
        <v>1</v>
      </c>
      <c r="GD367">
        <v>0</v>
      </c>
      <c r="GF367">
        <v>0</v>
      </c>
      <c r="GG367">
        <v>1</v>
      </c>
      <c r="GH367" t="s">
        <v>892</v>
      </c>
      <c r="GI367" t="s">
        <v>893</v>
      </c>
      <c r="GJ367" t="s">
        <v>7969</v>
      </c>
      <c r="GM367">
        <v>1</v>
      </c>
      <c r="GN367">
        <v>1</v>
      </c>
      <c r="GO367">
        <v>0</v>
      </c>
      <c r="GP367">
        <v>1</v>
      </c>
      <c r="GQ367">
        <v>1</v>
      </c>
      <c r="GR367">
        <v>0</v>
      </c>
      <c r="GS367">
        <v>1</v>
      </c>
      <c r="GT367">
        <v>0</v>
      </c>
      <c r="GU367">
        <v>1</v>
      </c>
      <c r="GV367">
        <v>0</v>
      </c>
      <c r="GW367">
        <v>1</v>
      </c>
      <c r="GX367">
        <v>0</v>
      </c>
      <c r="GY367">
        <v>1</v>
      </c>
      <c r="GZ367">
        <v>0</v>
      </c>
      <c r="HA367" t="s">
        <v>354</v>
      </c>
      <c r="HB367" t="s">
        <v>894</v>
      </c>
      <c r="HC367" t="s">
        <v>895</v>
      </c>
      <c r="HD367" t="s">
        <v>845</v>
      </c>
      <c r="HE367" t="s">
        <v>836</v>
      </c>
      <c r="HF367" t="s">
        <v>873</v>
      </c>
      <c r="HG367" t="s">
        <v>894</v>
      </c>
      <c r="HH367" t="s">
        <v>895</v>
      </c>
      <c r="HI367" t="s">
        <v>845</v>
      </c>
      <c r="HJ367" t="s">
        <v>836</v>
      </c>
      <c r="HK367" t="s">
        <v>1436</v>
      </c>
      <c r="HL367" t="s">
        <v>2032</v>
      </c>
      <c r="HM367" t="s">
        <v>854</v>
      </c>
      <c r="HN367">
        <v>36805</v>
      </c>
      <c r="HP367" t="s">
        <v>134</v>
      </c>
      <c r="HQ367" t="s">
        <v>896</v>
      </c>
      <c r="HR367" t="s">
        <v>896</v>
      </c>
      <c r="HS367" t="s">
        <v>896</v>
      </c>
    </row>
    <row r="368" spans="1:227" x14ac:dyDescent="0.2">
      <c r="A368">
        <v>8702</v>
      </c>
      <c r="B368">
        <v>7535709966</v>
      </c>
      <c r="C368" t="s">
        <v>936</v>
      </c>
      <c r="D368" t="s">
        <v>937</v>
      </c>
      <c r="E368" t="s">
        <v>897</v>
      </c>
      <c r="F368">
        <v>0</v>
      </c>
      <c r="G368" t="s">
        <v>7971</v>
      </c>
      <c r="H368" t="s">
        <v>7971</v>
      </c>
      <c r="I368">
        <v>0</v>
      </c>
      <c r="J368" t="s">
        <v>833</v>
      </c>
      <c r="K368" t="s">
        <v>834</v>
      </c>
      <c r="L368">
        <v>153402721</v>
      </c>
      <c r="M368" t="s">
        <v>7972</v>
      </c>
      <c r="N368" t="s">
        <v>900</v>
      </c>
      <c r="O368" t="s">
        <v>837</v>
      </c>
      <c r="P368" t="s">
        <v>940</v>
      </c>
      <c r="Q368" t="s">
        <v>1080</v>
      </c>
      <c r="R368" t="s">
        <v>7973</v>
      </c>
      <c r="S368" t="s">
        <v>7974</v>
      </c>
      <c r="T368">
        <v>41477053562</v>
      </c>
      <c r="V368" t="s">
        <v>154</v>
      </c>
      <c r="W368" s="41">
        <v>46015</v>
      </c>
      <c r="X368" t="s">
        <v>7975</v>
      </c>
      <c r="Y368" t="s">
        <v>7976</v>
      </c>
      <c r="AA368">
        <v>0</v>
      </c>
      <c r="AB368" t="s">
        <v>845</v>
      </c>
      <c r="AC368" t="s">
        <v>846</v>
      </c>
      <c r="AD368" t="s">
        <v>847</v>
      </c>
      <c r="AE368" t="s">
        <v>848</v>
      </c>
      <c r="AF368">
        <v>1</v>
      </c>
      <c r="AG368">
        <v>452210</v>
      </c>
      <c r="AH368" t="s">
        <v>849</v>
      </c>
      <c r="AI368" t="s">
        <v>850</v>
      </c>
      <c r="AJ368" t="s">
        <v>851</v>
      </c>
      <c r="AK368" t="s">
        <v>295</v>
      </c>
      <c r="AL368" t="s">
        <v>4729</v>
      </c>
      <c r="AM368" t="s">
        <v>2409</v>
      </c>
      <c r="AN368" t="s">
        <v>854</v>
      </c>
      <c r="AO368">
        <v>36805</v>
      </c>
      <c r="AP368">
        <v>535</v>
      </c>
      <c r="AQ368" t="s">
        <v>855</v>
      </c>
      <c r="AR368">
        <v>66259704</v>
      </c>
      <c r="AS368" t="s">
        <v>856</v>
      </c>
      <c r="AU368" t="s">
        <v>7977</v>
      </c>
      <c r="AV368" t="s">
        <v>7978</v>
      </c>
      <c r="AX368" t="s">
        <v>913</v>
      </c>
      <c r="AY368" t="s">
        <v>861</v>
      </c>
      <c r="AZ368" t="s">
        <v>295</v>
      </c>
      <c r="BA368" t="s">
        <v>296</v>
      </c>
      <c r="BB368">
        <v>0</v>
      </c>
      <c r="BC368">
        <v>0</v>
      </c>
      <c r="BD368">
        <v>0</v>
      </c>
      <c r="BE368" t="s">
        <v>7972</v>
      </c>
      <c r="BF368">
        <v>0</v>
      </c>
      <c r="BG368">
        <v>0</v>
      </c>
      <c r="BH368" t="s">
        <v>862</v>
      </c>
      <c r="BI368">
        <v>0</v>
      </c>
      <c r="BJ368" t="s">
        <v>862</v>
      </c>
      <c r="BK368">
        <v>1</v>
      </c>
      <c r="BL368">
        <v>1</v>
      </c>
      <c r="BM368">
        <v>0</v>
      </c>
      <c r="BN368" t="s">
        <v>596</v>
      </c>
      <c r="BO368">
        <v>153402721</v>
      </c>
      <c r="BP368" t="s">
        <v>7971</v>
      </c>
      <c r="BR368">
        <v>42791452</v>
      </c>
      <c r="BT368">
        <v>0</v>
      </c>
      <c r="CM368">
        <v>4010</v>
      </c>
      <c r="CO368">
        <v>7360</v>
      </c>
      <c r="CP368">
        <v>1.67E-2</v>
      </c>
      <c r="CQ368">
        <v>1.67E-2</v>
      </c>
      <c r="CR368">
        <v>0</v>
      </c>
      <c r="CS368">
        <v>2</v>
      </c>
      <c r="CT368" t="s">
        <v>7978</v>
      </c>
      <c r="CU368" t="s">
        <v>7977</v>
      </c>
      <c r="CV368" t="s">
        <v>833</v>
      </c>
      <c r="CW368" t="s">
        <v>834</v>
      </c>
      <c r="CX368" t="s">
        <v>7972</v>
      </c>
      <c r="CY368">
        <v>0</v>
      </c>
      <c r="CZ368">
        <v>0</v>
      </c>
      <c r="DA368" t="s">
        <v>833</v>
      </c>
      <c r="DB368" t="s">
        <v>865</v>
      </c>
      <c r="DC368">
        <v>47303</v>
      </c>
      <c r="DD368">
        <v>12.216699999999999</v>
      </c>
      <c r="DE368" t="s">
        <v>866</v>
      </c>
      <c r="DG368" t="s">
        <v>867</v>
      </c>
      <c r="DH368" t="s">
        <v>851</v>
      </c>
      <c r="DI368" t="s">
        <v>1154</v>
      </c>
      <c r="DL368" t="s">
        <v>869</v>
      </c>
      <c r="DM368">
        <v>0</v>
      </c>
      <c r="DN368">
        <v>0</v>
      </c>
      <c r="DO368">
        <v>3</v>
      </c>
      <c r="DP368" t="s">
        <v>919</v>
      </c>
      <c r="DQ368">
        <v>16</v>
      </c>
      <c r="DR368">
        <v>733</v>
      </c>
      <c r="DS368">
        <v>1453</v>
      </c>
      <c r="DT368">
        <v>12.2</v>
      </c>
      <c r="DU368">
        <v>4</v>
      </c>
      <c r="DW368">
        <v>2</v>
      </c>
      <c r="DX368" t="s">
        <v>596</v>
      </c>
      <c r="DY368" t="s">
        <v>7972</v>
      </c>
      <c r="DZ368">
        <v>1</v>
      </c>
      <c r="EA368">
        <v>1</v>
      </c>
      <c r="EB368">
        <v>1</v>
      </c>
      <c r="EC368">
        <v>0</v>
      </c>
      <c r="ED368">
        <v>0</v>
      </c>
      <c r="EE368">
        <v>1</v>
      </c>
      <c r="EF368" t="s">
        <v>871</v>
      </c>
      <c r="EG368" t="s">
        <v>595</v>
      </c>
      <c r="EH368" t="s">
        <v>921</v>
      </c>
      <c r="EI368" t="s">
        <v>921</v>
      </c>
      <c r="EJ368" t="s">
        <v>134</v>
      </c>
      <c r="EK368">
        <v>9090</v>
      </c>
      <c r="EL368">
        <v>0</v>
      </c>
      <c r="EM368" t="s">
        <v>1011</v>
      </c>
      <c r="EN368">
        <v>0</v>
      </c>
      <c r="EO368">
        <v>24.2166666</v>
      </c>
      <c r="EP368">
        <v>99991120</v>
      </c>
      <c r="EQ368" t="s">
        <v>874</v>
      </c>
      <c r="ER368" t="s">
        <v>875</v>
      </c>
      <c r="ES368" t="s">
        <v>876</v>
      </c>
      <c r="ET368" t="s">
        <v>877</v>
      </c>
      <c r="EU368" t="s">
        <v>877</v>
      </c>
      <c r="EV368" t="s">
        <v>871</v>
      </c>
      <c r="EX368" t="s">
        <v>953</v>
      </c>
      <c r="EY368" t="s">
        <v>1555</v>
      </c>
      <c r="EZ368" t="s">
        <v>1013</v>
      </c>
      <c r="FA368" t="s">
        <v>925</v>
      </c>
      <c r="FB368">
        <v>1</v>
      </c>
      <c r="FC368">
        <v>1</v>
      </c>
      <c r="FD368" s="41">
        <v>46018</v>
      </c>
      <c r="FE368" t="s">
        <v>957</v>
      </c>
      <c r="FF368">
        <v>4</v>
      </c>
      <c r="FI368">
        <v>0</v>
      </c>
      <c r="FL368">
        <v>0</v>
      </c>
      <c r="FM368" t="s">
        <v>7979</v>
      </c>
      <c r="FN368" t="s">
        <v>7980</v>
      </c>
      <c r="FO368">
        <v>1</v>
      </c>
      <c r="FP368" t="s">
        <v>7981</v>
      </c>
      <c r="FQ368" t="s">
        <v>7982</v>
      </c>
      <c r="FR368">
        <v>1</v>
      </c>
      <c r="FS368" t="s">
        <v>1976</v>
      </c>
      <c r="FT368" t="s">
        <v>7983</v>
      </c>
      <c r="FU368">
        <v>1</v>
      </c>
      <c r="FV368" t="s">
        <v>7984</v>
      </c>
      <c r="FW368" t="s">
        <v>7985</v>
      </c>
      <c r="FX368">
        <v>1</v>
      </c>
      <c r="FY368" t="s">
        <v>890</v>
      </c>
      <c r="FZ368" t="s">
        <v>7986</v>
      </c>
      <c r="GA368" t="s">
        <v>7984</v>
      </c>
      <c r="GB368">
        <v>1</v>
      </c>
      <c r="GD368">
        <v>0</v>
      </c>
      <c r="GF368">
        <v>0</v>
      </c>
      <c r="GG368">
        <v>1</v>
      </c>
      <c r="GH368" t="s">
        <v>892</v>
      </c>
      <c r="GI368" t="s">
        <v>893</v>
      </c>
      <c r="GJ368" t="s">
        <v>7985</v>
      </c>
      <c r="GM368">
        <v>1</v>
      </c>
      <c r="GN368">
        <v>1</v>
      </c>
      <c r="GO368">
        <v>0</v>
      </c>
      <c r="GP368">
        <v>1</v>
      </c>
      <c r="GQ368">
        <v>1</v>
      </c>
      <c r="GR368">
        <v>0</v>
      </c>
      <c r="GS368">
        <v>1</v>
      </c>
      <c r="GT368">
        <v>0</v>
      </c>
      <c r="GU368">
        <v>1</v>
      </c>
      <c r="GV368">
        <v>0</v>
      </c>
      <c r="GW368">
        <v>1</v>
      </c>
      <c r="GX368">
        <v>0</v>
      </c>
      <c r="GY368">
        <v>1</v>
      </c>
      <c r="GZ368">
        <v>0</v>
      </c>
      <c r="HA368" t="s">
        <v>295</v>
      </c>
      <c r="HB368" t="s">
        <v>894</v>
      </c>
      <c r="HC368" t="s">
        <v>935</v>
      </c>
      <c r="HD368" t="s">
        <v>845</v>
      </c>
      <c r="HE368" t="s">
        <v>900</v>
      </c>
      <c r="HF368" t="s">
        <v>1012</v>
      </c>
      <c r="HG368" t="s">
        <v>894</v>
      </c>
      <c r="HH368" t="s">
        <v>935</v>
      </c>
      <c r="HI368" t="s">
        <v>845</v>
      </c>
      <c r="HJ368" t="s">
        <v>900</v>
      </c>
      <c r="HK368" t="s">
        <v>1011</v>
      </c>
      <c r="HL368" t="s">
        <v>154</v>
      </c>
      <c r="HM368" t="s">
        <v>854</v>
      </c>
      <c r="HN368">
        <v>36805</v>
      </c>
      <c r="HP368" t="s">
        <v>134</v>
      </c>
      <c r="HQ368" t="s">
        <v>896</v>
      </c>
      <c r="HR368" t="s">
        <v>896</v>
      </c>
      <c r="HS368" t="s">
        <v>896</v>
      </c>
    </row>
    <row r="369" spans="1:227" x14ac:dyDescent="0.2">
      <c r="A369">
        <v>8702</v>
      </c>
      <c r="B369">
        <v>7611701344</v>
      </c>
      <c r="C369" t="s">
        <v>829</v>
      </c>
      <c r="D369" t="s">
        <v>830</v>
      </c>
      <c r="E369" t="s">
        <v>831</v>
      </c>
      <c r="F369">
        <v>1</v>
      </c>
      <c r="G369" t="s">
        <v>7987</v>
      </c>
      <c r="H369" t="s">
        <v>7987</v>
      </c>
      <c r="I369">
        <v>0</v>
      </c>
      <c r="J369" t="s">
        <v>833</v>
      </c>
      <c r="K369" t="s">
        <v>834</v>
      </c>
      <c r="L369">
        <v>156046223</v>
      </c>
      <c r="M369" t="s">
        <v>2546</v>
      </c>
      <c r="N369" t="s">
        <v>836</v>
      </c>
      <c r="O369" t="s">
        <v>837</v>
      </c>
      <c r="P369" t="s">
        <v>838</v>
      </c>
      <c r="Q369" t="s">
        <v>839</v>
      </c>
      <c r="R369" t="s">
        <v>7988</v>
      </c>
      <c r="S369" t="s">
        <v>7989</v>
      </c>
      <c r="T369">
        <v>41477066044</v>
      </c>
      <c r="V369" t="s">
        <v>187</v>
      </c>
      <c r="W369" s="41">
        <v>46139</v>
      </c>
      <c r="X369" t="s">
        <v>7990</v>
      </c>
      <c r="Y369" t="s">
        <v>7991</v>
      </c>
      <c r="AA369">
        <v>0</v>
      </c>
      <c r="AB369" t="s">
        <v>845</v>
      </c>
      <c r="AC369" t="s">
        <v>846</v>
      </c>
      <c r="AD369" t="s">
        <v>1113</v>
      </c>
      <c r="AE369" t="s">
        <v>1114</v>
      </c>
      <c r="AF369">
        <v>1</v>
      </c>
      <c r="AG369">
        <v>452210</v>
      </c>
      <c r="AH369" t="s">
        <v>849</v>
      </c>
      <c r="AI369" t="s">
        <v>850</v>
      </c>
      <c r="AJ369" t="s">
        <v>851</v>
      </c>
      <c r="AK369" t="s">
        <v>350</v>
      </c>
      <c r="AL369" t="s">
        <v>3750</v>
      </c>
      <c r="AM369" t="s">
        <v>2553</v>
      </c>
      <c r="AN369" t="s">
        <v>854</v>
      </c>
      <c r="AO369">
        <v>36805</v>
      </c>
      <c r="AP369">
        <v>634</v>
      </c>
      <c r="AQ369" t="s">
        <v>855</v>
      </c>
      <c r="AR369">
        <v>66437801</v>
      </c>
      <c r="AS369" t="s">
        <v>856</v>
      </c>
      <c r="AU369" t="s">
        <v>7992</v>
      </c>
      <c r="AV369" t="s">
        <v>7993</v>
      </c>
      <c r="AX369" t="s">
        <v>913</v>
      </c>
      <c r="AY369" t="s">
        <v>861</v>
      </c>
      <c r="AZ369" t="s">
        <v>350</v>
      </c>
      <c r="BA369" t="s">
        <v>351</v>
      </c>
      <c r="BB369">
        <v>0</v>
      </c>
      <c r="BC369">
        <v>0</v>
      </c>
      <c r="BD369">
        <v>1</v>
      </c>
      <c r="BE369" t="s">
        <v>2546</v>
      </c>
      <c r="BF369">
        <v>0</v>
      </c>
      <c r="BG369">
        <v>0</v>
      </c>
      <c r="BH369" t="s">
        <v>862</v>
      </c>
      <c r="BI369">
        <v>0</v>
      </c>
      <c r="BJ369" t="s">
        <v>862</v>
      </c>
      <c r="BK369">
        <v>1</v>
      </c>
      <c r="BL369">
        <v>1</v>
      </c>
      <c r="BM369">
        <v>0</v>
      </c>
      <c r="BN369" t="s">
        <v>596</v>
      </c>
      <c r="BO369">
        <v>156046223</v>
      </c>
      <c r="BP369" t="s">
        <v>7987</v>
      </c>
      <c r="BR369">
        <v>42791756</v>
      </c>
      <c r="BT369">
        <v>2</v>
      </c>
      <c r="BU369" t="s">
        <v>1119</v>
      </c>
      <c r="BY369">
        <v>16</v>
      </c>
      <c r="CA369">
        <v>1</v>
      </c>
      <c r="CE369">
        <v>1</v>
      </c>
      <c r="CI369">
        <v>11</v>
      </c>
      <c r="CJ369" t="s">
        <v>94</v>
      </c>
      <c r="CM369">
        <v>4010</v>
      </c>
      <c r="CO369">
        <v>7360</v>
      </c>
      <c r="CP369">
        <v>1.0166999999999999</v>
      </c>
      <c r="CQ369">
        <v>1.0166999999999999</v>
      </c>
      <c r="CR369">
        <v>0.91669999999999996</v>
      </c>
      <c r="CS369">
        <v>5</v>
      </c>
      <c r="CT369" t="s">
        <v>7994</v>
      </c>
      <c r="CU369" t="s">
        <v>7995</v>
      </c>
      <c r="CV369" t="s">
        <v>833</v>
      </c>
      <c r="CW369" t="s">
        <v>834</v>
      </c>
      <c r="CX369" t="s">
        <v>2546</v>
      </c>
      <c r="CY369">
        <v>1</v>
      </c>
      <c r="CZ369">
        <v>1</v>
      </c>
      <c r="DA369" t="s">
        <v>833</v>
      </c>
      <c r="DB369" t="s">
        <v>865</v>
      </c>
      <c r="DC369">
        <v>60435</v>
      </c>
      <c r="DD369">
        <v>1.3667</v>
      </c>
      <c r="DE369" t="s">
        <v>866</v>
      </c>
      <c r="DG369" t="s">
        <v>867</v>
      </c>
      <c r="DH369" t="s">
        <v>851</v>
      </c>
      <c r="DI369" t="s">
        <v>984</v>
      </c>
      <c r="DJ369" t="s">
        <v>2556</v>
      </c>
      <c r="DK369" t="s">
        <v>918</v>
      </c>
      <c r="DL369" t="s">
        <v>869</v>
      </c>
      <c r="DM369">
        <v>0</v>
      </c>
      <c r="DN369">
        <v>0</v>
      </c>
      <c r="DO369">
        <v>14</v>
      </c>
      <c r="DP369" t="s">
        <v>3564</v>
      </c>
      <c r="DQ369">
        <v>0</v>
      </c>
      <c r="DR369">
        <v>82</v>
      </c>
      <c r="DS369">
        <v>783</v>
      </c>
      <c r="DT369">
        <v>0.35</v>
      </c>
      <c r="DU369">
        <v>0</v>
      </c>
      <c r="DV369">
        <v>1</v>
      </c>
      <c r="DW369">
        <v>2</v>
      </c>
      <c r="DX369" t="s">
        <v>596</v>
      </c>
      <c r="DY369" t="s">
        <v>2546</v>
      </c>
      <c r="DZ369">
        <v>1</v>
      </c>
      <c r="EA369">
        <v>1</v>
      </c>
      <c r="EB369">
        <v>1</v>
      </c>
      <c r="EC369">
        <v>1</v>
      </c>
      <c r="ED369">
        <v>1</v>
      </c>
      <c r="EE369">
        <v>1</v>
      </c>
      <c r="EF369" t="s">
        <v>871</v>
      </c>
      <c r="EG369" t="s">
        <v>595</v>
      </c>
      <c r="EH369" t="s">
        <v>921</v>
      </c>
      <c r="EI369" t="s">
        <v>921</v>
      </c>
      <c r="EJ369" t="s">
        <v>181</v>
      </c>
      <c r="EK369">
        <v>9090</v>
      </c>
      <c r="EL369">
        <v>0</v>
      </c>
      <c r="EM369" t="s">
        <v>1436</v>
      </c>
      <c r="EN369">
        <v>0.91669999999999996</v>
      </c>
      <c r="EO369">
        <v>13.05</v>
      </c>
      <c r="EP369">
        <v>99991120</v>
      </c>
      <c r="EQ369" t="s">
        <v>874</v>
      </c>
      <c r="ER369" t="s">
        <v>875</v>
      </c>
      <c r="ES369" t="s">
        <v>876</v>
      </c>
      <c r="ET369" t="s">
        <v>877</v>
      </c>
      <c r="EU369" t="s">
        <v>877</v>
      </c>
      <c r="EV369" t="s">
        <v>871</v>
      </c>
      <c r="EX369" t="s">
        <v>836</v>
      </c>
      <c r="EY369" t="s">
        <v>873</v>
      </c>
      <c r="EZ369" t="s">
        <v>1437</v>
      </c>
      <c r="FA369" t="s">
        <v>956</v>
      </c>
      <c r="FB369">
        <v>1</v>
      </c>
      <c r="FC369">
        <v>1</v>
      </c>
      <c r="FD369" s="41">
        <v>46144</v>
      </c>
      <c r="FE369" t="s">
        <v>1123</v>
      </c>
      <c r="FF369">
        <v>5</v>
      </c>
      <c r="FI369">
        <v>0</v>
      </c>
      <c r="FJ369" t="s">
        <v>7996</v>
      </c>
      <c r="FK369" t="s">
        <v>7997</v>
      </c>
      <c r="FL369">
        <v>1</v>
      </c>
      <c r="FM369" t="s">
        <v>2561</v>
      </c>
      <c r="FN369" t="s">
        <v>7998</v>
      </c>
      <c r="FO369">
        <v>1</v>
      </c>
      <c r="FP369" t="s">
        <v>7999</v>
      </c>
      <c r="FQ369" t="s">
        <v>7995</v>
      </c>
      <c r="FR369">
        <v>1</v>
      </c>
      <c r="FS369" t="s">
        <v>2655</v>
      </c>
      <c r="FT369" t="s">
        <v>8000</v>
      </c>
      <c r="FU369">
        <v>1</v>
      </c>
      <c r="FV369" t="s">
        <v>8001</v>
      </c>
      <c r="FW369" t="s">
        <v>7997</v>
      </c>
      <c r="FX369">
        <v>1</v>
      </c>
      <c r="FY369" t="s">
        <v>890</v>
      </c>
      <c r="FZ369" t="s">
        <v>8002</v>
      </c>
      <c r="GA369" t="s">
        <v>7996</v>
      </c>
      <c r="GB369">
        <v>1</v>
      </c>
      <c r="GD369">
        <v>0</v>
      </c>
      <c r="GF369">
        <v>0</v>
      </c>
      <c r="GG369">
        <v>1</v>
      </c>
      <c r="GH369" t="s">
        <v>892</v>
      </c>
      <c r="GI369" t="s">
        <v>893</v>
      </c>
      <c r="GJ369" t="s">
        <v>7997</v>
      </c>
      <c r="GM369">
        <v>1</v>
      </c>
      <c r="GN369">
        <v>1</v>
      </c>
      <c r="GO369">
        <v>0</v>
      </c>
      <c r="GP369">
        <v>1</v>
      </c>
      <c r="GQ369">
        <v>1</v>
      </c>
      <c r="GR369">
        <v>0</v>
      </c>
      <c r="GS369">
        <v>1</v>
      </c>
      <c r="GT369">
        <v>0</v>
      </c>
      <c r="GU369">
        <v>1</v>
      </c>
      <c r="GV369">
        <v>0</v>
      </c>
      <c r="GW369">
        <v>1</v>
      </c>
      <c r="GX369">
        <v>0</v>
      </c>
      <c r="GY369">
        <v>1</v>
      </c>
      <c r="GZ369">
        <v>0</v>
      </c>
      <c r="HA369" t="s">
        <v>350</v>
      </c>
      <c r="HB369" t="s">
        <v>894</v>
      </c>
      <c r="HC369" t="s">
        <v>895</v>
      </c>
      <c r="HD369" t="s">
        <v>845</v>
      </c>
      <c r="HE369" t="s">
        <v>836</v>
      </c>
      <c r="HF369" t="s">
        <v>873</v>
      </c>
      <c r="HG369" t="s">
        <v>894</v>
      </c>
      <c r="HH369" t="s">
        <v>895</v>
      </c>
      <c r="HI369" t="s">
        <v>845</v>
      </c>
      <c r="HJ369" t="s">
        <v>836</v>
      </c>
      <c r="HK369" t="s">
        <v>1436</v>
      </c>
      <c r="HL369" t="s">
        <v>187</v>
      </c>
      <c r="HM369" t="s">
        <v>854</v>
      </c>
      <c r="HN369">
        <v>36805</v>
      </c>
      <c r="HP369" t="s">
        <v>181</v>
      </c>
      <c r="HQ369" t="s">
        <v>896</v>
      </c>
      <c r="HR369" t="s">
        <v>896</v>
      </c>
      <c r="HS369" t="s">
        <v>896</v>
      </c>
    </row>
    <row r="370" spans="1:227" x14ac:dyDescent="0.2">
      <c r="A370">
        <v>8702</v>
      </c>
      <c r="B370">
        <v>7620705491</v>
      </c>
      <c r="C370" t="s">
        <v>829</v>
      </c>
      <c r="D370" t="s">
        <v>830</v>
      </c>
      <c r="E370" t="s">
        <v>897</v>
      </c>
      <c r="F370">
        <v>1</v>
      </c>
      <c r="G370" t="s">
        <v>8003</v>
      </c>
      <c r="H370" t="s">
        <v>8003</v>
      </c>
      <c r="I370">
        <v>0</v>
      </c>
      <c r="J370" t="s">
        <v>833</v>
      </c>
      <c r="K370" t="s">
        <v>834</v>
      </c>
      <c r="L370">
        <v>153517090</v>
      </c>
      <c r="M370" t="s">
        <v>3959</v>
      </c>
      <c r="N370" t="s">
        <v>900</v>
      </c>
      <c r="O370" t="s">
        <v>837</v>
      </c>
      <c r="P370" t="s">
        <v>838</v>
      </c>
      <c r="Q370" t="s">
        <v>839</v>
      </c>
      <c r="R370" t="s">
        <v>8004</v>
      </c>
      <c r="S370" t="s">
        <v>8005</v>
      </c>
      <c r="T370">
        <v>30300111331</v>
      </c>
      <c r="V370" t="s">
        <v>123</v>
      </c>
      <c r="W370" s="41">
        <v>46230</v>
      </c>
      <c r="X370" t="s">
        <v>8006</v>
      </c>
      <c r="Y370" t="s">
        <v>8007</v>
      </c>
      <c r="AA370">
        <v>0</v>
      </c>
      <c r="AB370" t="s">
        <v>845</v>
      </c>
      <c r="AC370" t="s">
        <v>846</v>
      </c>
      <c r="AD370" t="s">
        <v>907</v>
      </c>
      <c r="AE370" t="s">
        <v>908</v>
      </c>
      <c r="AF370">
        <v>1</v>
      </c>
      <c r="AG370">
        <v>452210</v>
      </c>
      <c r="AH370" t="s">
        <v>849</v>
      </c>
      <c r="AI370" t="s">
        <v>850</v>
      </c>
      <c r="AJ370" t="s">
        <v>851</v>
      </c>
      <c r="AK370" t="s">
        <v>401</v>
      </c>
      <c r="AL370" t="s">
        <v>4397</v>
      </c>
      <c r="AM370" t="s">
        <v>3964</v>
      </c>
      <c r="AN370" t="s">
        <v>854</v>
      </c>
      <c r="AO370">
        <v>36805</v>
      </c>
      <c r="AP370">
        <v>496</v>
      </c>
      <c r="AQ370" t="s">
        <v>855</v>
      </c>
      <c r="AR370">
        <v>66568840</v>
      </c>
      <c r="AS370" t="s">
        <v>856</v>
      </c>
      <c r="AU370" t="s">
        <v>8008</v>
      </c>
      <c r="AV370" t="s">
        <v>8009</v>
      </c>
      <c r="AX370" t="s">
        <v>913</v>
      </c>
      <c r="AY370" t="s">
        <v>861</v>
      </c>
      <c r="AZ370" t="s">
        <v>401</v>
      </c>
      <c r="BA370" t="s">
        <v>402</v>
      </c>
      <c r="BB370">
        <v>0</v>
      </c>
      <c r="BC370">
        <v>0</v>
      </c>
      <c r="BD370">
        <v>1</v>
      </c>
      <c r="BE370" t="s">
        <v>3959</v>
      </c>
      <c r="BF370">
        <v>0</v>
      </c>
      <c r="BG370">
        <v>0</v>
      </c>
      <c r="BH370" t="s">
        <v>862</v>
      </c>
      <c r="BI370">
        <v>0</v>
      </c>
      <c r="BJ370" t="s">
        <v>862</v>
      </c>
      <c r="BK370">
        <v>1</v>
      </c>
      <c r="BL370">
        <v>1</v>
      </c>
      <c r="BM370">
        <v>0</v>
      </c>
      <c r="BN370" t="s">
        <v>596</v>
      </c>
      <c r="BO370">
        <v>153517090</v>
      </c>
      <c r="BP370" t="s">
        <v>8003</v>
      </c>
      <c r="BQ370">
        <v>40.369731600000001</v>
      </c>
      <c r="BR370">
        <v>42789074</v>
      </c>
      <c r="BS370">
        <v>-80.104580400000003</v>
      </c>
      <c r="BT370">
        <v>2</v>
      </c>
      <c r="BU370" t="s">
        <v>1062</v>
      </c>
      <c r="BY370">
        <v>16</v>
      </c>
      <c r="CA370">
        <v>10</v>
      </c>
      <c r="CE370">
        <v>1</v>
      </c>
      <c r="CI370">
        <v>11</v>
      </c>
      <c r="CJ370" t="s">
        <v>94</v>
      </c>
      <c r="CM370">
        <v>4010</v>
      </c>
      <c r="CO370">
        <v>7360</v>
      </c>
      <c r="CP370">
        <v>1.3667</v>
      </c>
      <c r="CQ370">
        <v>1.3667</v>
      </c>
      <c r="CR370">
        <v>0.91669999999999996</v>
      </c>
      <c r="CS370">
        <v>3</v>
      </c>
      <c r="CT370" t="s">
        <v>8009</v>
      </c>
      <c r="CU370" t="s">
        <v>8008</v>
      </c>
      <c r="CV370" t="s">
        <v>833</v>
      </c>
      <c r="CW370" t="s">
        <v>834</v>
      </c>
      <c r="CX370" t="s">
        <v>3959</v>
      </c>
      <c r="CY370">
        <v>1</v>
      </c>
      <c r="CZ370">
        <v>1</v>
      </c>
      <c r="DA370" t="s">
        <v>833</v>
      </c>
      <c r="DB370" t="s">
        <v>865</v>
      </c>
      <c r="DC370">
        <v>15017</v>
      </c>
      <c r="DD370">
        <v>9.8000000000000007</v>
      </c>
      <c r="DE370" t="s">
        <v>866</v>
      </c>
      <c r="DG370" t="s">
        <v>867</v>
      </c>
      <c r="DH370" t="s">
        <v>851</v>
      </c>
      <c r="DI370" t="s">
        <v>3967</v>
      </c>
      <c r="DK370" t="s">
        <v>918</v>
      </c>
      <c r="DL370" t="s">
        <v>869</v>
      </c>
      <c r="DM370">
        <v>0</v>
      </c>
      <c r="DN370">
        <v>0</v>
      </c>
      <c r="DO370">
        <v>11</v>
      </c>
      <c r="DP370" t="s">
        <v>1010</v>
      </c>
      <c r="DQ370">
        <v>16</v>
      </c>
      <c r="DR370">
        <v>588</v>
      </c>
      <c r="DS370">
        <v>1308</v>
      </c>
      <c r="DT370">
        <v>8.4332999999999991</v>
      </c>
      <c r="DU370">
        <v>4</v>
      </c>
      <c r="DV370">
        <v>1</v>
      </c>
      <c r="DW370">
        <v>2</v>
      </c>
      <c r="DX370" t="s">
        <v>596</v>
      </c>
      <c r="DY370" t="s">
        <v>3959</v>
      </c>
      <c r="DZ370">
        <v>1</v>
      </c>
      <c r="EA370">
        <v>1</v>
      </c>
      <c r="EB370">
        <v>1</v>
      </c>
      <c r="EC370">
        <v>0</v>
      </c>
      <c r="ED370">
        <v>0</v>
      </c>
      <c r="EE370">
        <v>1</v>
      </c>
      <c r="EF370" t="s">
        <v>920</v>
      </c>
      <c r="EG370" t="s">
        <v>595</v>
      </c>
      <c r="EH370" t="s">
        <v>921</v>
      </c>
      <c r="EI370" t="s">
        <v>921</v>
      </c>
      <c r="EJ370" t="s">
        <v>124</v>
      </c>
      <c r="EK370">
        <v>9090</v>
      </c>
      <c r="EL370">
        <v>0</v>
      </c>
      <c r="EM370" t="s">
        <v>923</v>
      </c>
      <c r="EN370">
        <v>0.91669999999999996</v>
      </c>
      <c r="EO370">
        <v>21.8</v>
      </c>
      <c r="EP370">
        <v>99991120</v>
      </c>
      <c r="EQ370" t="s">
        <v>874</v>
      </c>
      <c r="ER370" t="s">
        <v>875</v>
      </c>
      <c r="ES370" t="s">
        <v>876</v>
      </c>
      <c r="ET370" t="s">
        <v>877</v>
      </c>
      <c r="EU370" t="s">
        <v>877</v>
      </c>
      <c r="EV370" t="s">
        <v>920</v>
      </c>
      <c r="EX370" t="s">
        <v>900</v>
      </c>
      <c r="EY370" t="s">
        <v>923</v>
      </c>
      <c r="EZ370" t="s">
        <v>1293</v>
      </c>
      <c r="FA370" t="s">
        <v>925</v>
      </c>
      <c r="FB370">
        <v>1</v>
      </c>
      <c r="FC370">
        <v>1</v>
      </c>
      <c r="FD370" s="41">
        <v>46235</v>
      </c>
      <c r="FE370" t="s">
        <v>1066</v>
      </c>
      <c r="FF370">
        <v>5</v>
      </c>
      <c r="FI370">
        <v>0</v>
      </c>
      <c r="FJ370" t="s">
        <v>8010</v>
      </c>
      <c r="FK370" t="s">
        <v>8011</v>
      </c>
      <c r="FL370">
        <v>1</v>
      </c>
      <c r="FM370" t="s">
        <v>8012</v>
      </c>
      <c r="FN370" t="s">
        <v>8013</v>
      </c>
      <c r="FO370">
        <v>1</v>
      </c>
      <c r="FP370" t="s">
        <v>8014</v>
      </c>
      <c r="FQ370" t="s">
        <v>8015</v>
      </c>
      <c r="FR370">
        <v>1</v>
      </c>
      <c r="FS370" t="s">
        <v>4406</v>
      </c>
      <c r="FT370" t="s">
        <v>8016</v>
      </c>
      <c r="FU370">
        <v>1</v>
      </c>
      <c r="FV370" t="s">
        <v>8017</v>
      </c>
      <c r="FW370" t="s">
        <v>8018</v>
      </c>
      <c r="FX370">
        <v>1</v>
      </c>
      <c r="FY370" t="s">
        <v>890</v>
      </c>
      <c r="FZ370" t="s">
        <v>8019</v>
      </c>
      <c r="GA370" t="s">
        <v>8010</v>
      </c>
      <c r="GB370">
        <v>1</v>
      </c>
      <c r="GD370">
        <v>0</v>
      </c>
      <c r="GF370">
        <v>0</v>
      </c>
      <c r="GG370">
        <v>1</v>
      </c>
      <c r="GH370" t="s">
        <v>892</v>
      </c>
      <c r="GI370" t="s">
        <v>893</v>
      </c>
      <c r="GJ370" t="s">
        <v>8011</v>
      </c>
      <c r="GM370">
        <v>1</v>
      </c>
      <c r="GN370">
        <v>1</v>
      </c>
      <c r="GO370">
        <v>0</v>
      </c>
      <c r="GP370">
        <v>1</v>
      </c>
      <c r="GQ370">
        <v>1</v>
      </c>
      <c r="GR370">
        <v>0</v>
      </c>
      <c r="GS370">
        <v>1</v>
      </c>
      <c r="GT370">
        <v>0</v>
      </c>
      <c r="GU370">
        <v>1</v>
      </c>
      <c r="GV370">
        <v>0</v>
      </c>
      <c r="GW370">
        <v>1</v>
      </c>
      <c r="GX370">
        <v>0</v>
      </c>
      <c r="GY370">
        <v>1</v>
      </c>
      <c r="GZ370">
        <v>0</v>
      </c>
      <c r="HA370" t="s">
        <v>401</v>
      </c>
      <c r="HB370" t="s">
        <v>894</v>
      </c>
      <c r="HC370" t="s">
        <v>935</v>
      </c>
      <c r="HD370" t="s">
        <v>845</v>
      </c>
      <c r="HE370" t="s">
        <v>900</v>
      </c>
      <c r="HF370" t="s">
        <v>923</v>
      </c>
      <c r="HG370" t="s">
        <v>894</v>
      </c>
      <c r="HH370" t="s">
        <v>935</v>
      </c>
      <c r="HI370" t="s">
        <v>845</v>
      </c>
      <c r="HJ370" t="s">
        <v>900</v>
      </c>
      <c r="HK370" t="s">
        <v>923</v>
      </c>
      <c r="HL370" t="s">
        <v>123</v>
      </c>
      <c r="HM370" t="s">
        <v>854</v>
      </c>
      <c r="HN370">
        <v>36805</v>
      </c>
      <c r="HP370" t="s">
        <v>124</v>
      </c>
      <c r="HQ370" t="s">
        <v>896</v>
      </c>
      <c r="HR370" t="s">
        <v>896</v>
      </c>
      <c r="HS370" t="s">
        <v>896</v>
      </c>
    </row>
    <row r="371" spans="1:227" x14ac:dyDescent="0.2">
      <c r="A371">
        <v>8702</v>
      </c>
      <c r="B371">
        <v>7528911469</v>
      </c>
      <c r="C371">
        <v>36</v>
      </c>
      <c r="D371" t="s">
        <v>1302</v>
      </c>
      <c r="E371" t="s">
        <v>831</v>
      </c>
      <c r="F371">
        <v>0</v>
      </c>
      <c r="G371" t="s">
        <v>8020</v>
      </c>
      <c r="H371" t="s">
        <v>8020</v>
      </c>
      <c r="I371">
        <v>0</v>
      </c>
      <c r="J371" t="s">
        <v>833</v>
      </c>
      <c r="K371" t="s">
        <v>834</v>
      </c>
      <c r="L371">
        <v>156046223</v>
      </c>
      <c r="M371" t="s">
        <v>2546</v>
      </c>
      <c r="N371" t="s">
        <v>836</v>
      </c>
      <c r="O371" t="s">
        <v>837</v>
      </c>
      <c r="P371" t="s">
        <v>1302</v>
      </c>
      <c r="Q371" t="s">
        <v>8021</v>
      </c>
      <c r="R371" t="s">
        <v>8022</v>
      </c>
      <c r="S371" t="s">
        <v>8023</v>
      </c>
      <c r="T371">
        <v>41477066044</v>
      </c>
      <c r="V371" t="s">
        <v>187</v>
      </c>
      <c r="W371" s="41">
        <v>45950</v>
      </c>
      <c r="X371" t="s">
        <v>8024</v>
      </c>
      <c r="Y371" t="s">
        <v>8025</v>
      </c>
      <c r="AA371">
        <v>0</v>
      </c>
      <c r="AB371" t="s">
        <v>845</v>
      </c>
      <c r="AC371" t="s">
        <v>846</v>
      </c>
      <c r="AD371" t="s">
        <v>847</v>
      </c>
      <c r="AE371" t="s">
        <v>848</v>
      </c>
      <c r="AF371">
        <v>1</v>
      </c>
      <c r="AG371">
        <v>452210</v>
      </c>
      <c r="AH371" t="s">
        <v>849</v>
      </c>
      <c r="AI371" t="s">
        <v>850</v>
      </c>
      <c r="AJ371" t="s">
        <v>851</v>
      </c>
      <c r="AK371" t="s">
        <v>350</v>
      </c>
      <c r="AL371" t="s">
        <v>3750</v>
      </c>
      <c r="AM371" t="s">
        <v>2553</v>
      </c>
      <c r="AN371" t="s">
        <v>854</v>
      </c>
      <c r="AO371">
        <v>36805</v>
      </c>
      <c r="AP371">
        <v>634</v>
      </c>
      <c r="AQ371" t="s">
        <v>855</v>
      </c>
      <c r="AR371">
        <v>66165734</v>
      </c>
      <c r="AS371" t="s">
        <v>856</v>
      </c>
      <c r="AU371" t="s">
        <v>8026</v>
      </c>
      <c r="AV371" t="s">
        <v>8027</v>
      </c>
      <c r="AW371" t="s">
        <v>950</v>
      </c>
      <c r="AX371" t="s">
        <v>951</v>
      </c>
      <c r="AY371" t="s">
        <v>861</v>
      </c>
      <c r="AZ371" t="s">
        <v>350</v>
      </c>
      <c r="BA371" t="s">
        <v>351</v>
      </c>
      <c r="BB371">
        <v>0</v>
      </c>
      <c r="BC371">
        <v>0</v>
      </c>
      <c r="BD371">
        <v>0</v>
      </c>
      <c r="BE371" t="s">
        <v>2546</v>
      </c>
      <c r="BF371">
        <v>0</v>
      </c>
      <c r="BG371">
        <v>0</v>
      </c>
      <c r="BH371" t="s">
        <v>862</v>
      </c>
      <c r="BI371">
        <v>0</v>
      </c>
      <c r="BJ371" t="s">
        <v>862</v>
      </c>
      <c r="BK371">
        <v>1</v>
      </c>
      <c r="BL371">
        <v>0</v>
      </c>
      <c r="BM371">
        <v>0</v>
      </c>
      <c r="BN371" t="s">
        <v>596</v>
      </c>
      <c r="BO371">
        <v>156046223</v>
      </c>
      <c r="BP371" t="s">
        <v>8020</v>
      </c>
      <c r="BR371">
        <v>42791756</v>
      </c>
      <c r="BT371">
        <v>0</v>
      </c>
      <c r="CM371">
        <v>4010</v>
      </c>
      <c r="CO371">
        <v>7360</v>
      </c>
      <c r="CP371">
        <v>0.9667</v>
      </c>
      <c r="CQ371">
        <v>0.9667</v>
      </c>
      <c r="CR371">
        <v>2.2999999999999998</v>
      </c>
      <c r="CS371">
        <v>0</v>
      </c>
      <c r="CT371" t="s">
        <v>8027</v>
      </c>
      <c r="CU371" t="s">
        <v>8026</v>
      </c>
      <c r="CV371" t="s">
        <v>833</v>
      </c>
      <c r="CW371" t="s">
        <v>834</v>
      </c>
      <c r="CX371" t="s">
        <v>2546</v>
      </c>
      <c r="CY371">
        <v>0</v>
      </c>
      <c r="CZ371">
        <v>0</v>
      </c>
      <c r="DA371" t="s">
        <v>833</v>
      </c>
      <c r="DB371" t="s">
        <v>865</v>
      </c>
      <c r="DC371">
        <v>60435</v>
      </c>
      <c r="DD371">
        <v>49.4</v>
      </c>
      <c r="DE371" t="s">
        <v>866</v>
      </c>
      <c r="DG371" t="s">
        <v>867</v>
      </c>
      <c r="DH371" t="s">
        <v>851</v>
      </c>
      <c r="DI371" t="s">
        <v>984</v>
      </c>
      <c r="DJ371" t="s">
        <v>2556</v>
      </c>
      <c r="DL371" t="s">
        <v>869</v>
      </c>
      <c r="DM371">
        <v>0</v>
      </c>
      <c r="DN371">
        <v>0</v>
      </c>
      <c r="DO371">
        <v>12</v>
      </c>
      <c r="DP371" t="s">
        <v>1190</v>
      </c>
      <c r="DQ371">
        <v>16</v>
      </c>
      <c r="DR371">
        <v>2964</v>
      </c>
      <c r="DS371">
        <v>5844</v>
      </c>
      <c r="DT371">
        <v>14.916700000000001</v>
      </c>
      <c r="DU371">
        <v>4</v>
      </c>
      <c r="DW371">
        <v>2</v>
      </c>
      <c r="DX371" t="s">
        <v>594</v>
      </c>
      <c r="DY371" t="s">
        <v>2546</v>
      </c>
      <c r="DZ371">
        <v>0</v>
      </c>
      <c r="EA371">
        <v>0</v>
      </c>
      <c r="EB371">
        <v>0</v>
      </c>
      <c r="EC371">
        <v>0</v>
      </c>
      <c r="ED371">
        <v>0</v>
      </c>
      <c r="EE371">
        <v>0</v>
      </c>
      <c r="EF371" t="s">
        <v>871</v>
      </c>
      <c r="EG371" t="s">
        <v>595</v>
      </c>
      <c r="EH371" t="s">
        <v>872</v>
      </c>
      <c r="EI371" t="s">
        <v>872</v>
      </c>
      <c r="EJ371" t="s">
        <v>181</v>
      </c>
      <c r="EK371">
        <v>9090</v>
      </c>
      <c r="EL371">
        <v>1</v>
      </c>
      <c r="EM371" t="s">
        <v>1436</v>
      </c>
      <c r="EN371">
        <v>2.2999999999999998</v>
      </c>
      <c r="EO371">
        <v>97.4</v>
      </c>
      <c r="EP371">
        <v>99991120</v>
      </c>
      <c r="EQ371" t="s">
        <v>874</v>
      </c>
      <c r="ER371" t="s">
        <v>875</v>
      </c>
      <c r="ES371" t="s">
        <v>876</v>
      </c>
      <c r="ET371" t="s">
        <v>877</v>
      </c>
      <c r="EU371" t="s">
        <v>877</v>
      </c>
      <c r="EV371" t="s">
        <v>871</v>
      </c>
      <c r="EX371" t="s">
        <v>836</v>
      </c>
      <c r="EY371" t="s">
        <v>873</v>
      </c>
      <c r="EZ371" t="s">
        <v>1437</v>
      </c>
      <c r="FA371" t="s">
        <v>956</v>
      </c>
      <c r="FB371">
        <v>1</v>
      </c>
      <c r="FC371">
        <v>2</v>
      </c>
      <c r="FD371" s="41">
        <v>45955</v>
      </c>
      <c r="FE371" t="s">
        <v>1039</v>
      </c>
      <c r="FF371">
        <v>9</v>
      </c>
      <c r="FG371" t="s">
        <v>8028</v>
      </c>
      <c r="FH371" t="s">
        <v>8029</v>
      </c>
      <c r="FI371">
        <v>1</v>
      </c>
      <c r="FJ371" t="s">
        <v>8028</v>
      </c>
      <c r="FK371" t="s">
        <v>8029</v>
      </c>
      <c r="FL371">
        <v>1</v>
      </c>
      <c r="FM371" t="s">
        <v>2561</v>
      </c>
      <c r="FN371" t="s">
        <v>8030</v>
      </c>
      <c r="FO371">
        <v>1</v>
      </c>
      <c r="FP371" t="s">
        <v>8031</v>
      </c>
      <c r="FQ371" t="s">
        <v>8032</v>
      </c>
      <c r="FR371">
        <v>1</v>
      </c>
      <c r="FS371" t="s">
        <v>8033</v>
      </c>
      <c r="FT371" t="s">
        <v>8034</v>
      </c>
      <c r="FU371">
        <v>1</v>
      </c>
      <c r="FV371" t="s">
        <v>8035</v>
      </c>
      <c r="FW371" t="s">
        <v>8036</v>
      </c>
      <c r="FX371">
        <v>1</v>
      </c>
      <c r="FY371" t="s">
        <v>890</v>
      </c>
      <c r="FZ371" t="s">
        <v>8037</v>
      </c>
      <c r="GA371" t="s">
        <v>8028</v>
      </c>
      <c r="GB371">
        <v>1</v>
      </c>
      <c r="GD371">
        <v>0</v>
      </c>
      <c r="GF371">
        <v>0</v>
      </c>
      <c r="GG371">
        <v>1</v>
      </c>
      <c r="GH371" t="s">
        <v>892</v>
      </c>
      <c r="GI371" t="s">
        <v>893</v>
      </c>
      <c r="GJ371" t="s">
        <v>8029</v>
      </c>
      <c r="GM371">
        <v>1</v>
      </c>
      <c r="GN371">
        <v>0</v>
      </c>
      <c r="GO371">
        <v>0</v>
      </c>
      <c r="GP371">
        <v>1</v>
      </c>
      <c r="GQ371">
        <v>1</v>
      </c>
      <c r="GR371">
        <v>0</v>
      </c>
      <c r="GS371">
        <v>1</v>
      </c>
      <c r="GT371">
        <v>0</v>
      </c>
      <c r="GU371">
        <v>1</v>
      </c>
      <c r="GV371">
        <v>0</v>
      </c>
      <c r="GW371">
        <v>1</v>
      </c>
      <c r="GX371">
        <v>0</v>
      </c>
      <c r="GY371">
        <v>1</v>
      </c>
      <c r="GZ371">
        <v>0</v>
      </c>
      <c r="HA371" t="s">
        <v>350</v>
      </c>
      <c r="HB371" t="s">
        <v>894</v>
      </c>
      <c r="HC371" t="s">
        <v>895</v>
      </c>
      <c r="HD371" t="s">
        <v>845</v>
      </c>
      <c r="HE371" t="s">
        <v>836</v>
      </c>
      <c r="HF371" t="s">
        <v>873</v>
      </c>
      <c r="HG371" t="s">
        <v>894</v>
      </c>
      <c r="HH371" t="s">
        <v>895</v>
      </c>
      <c r="HI371" t="s">
        <v>845</v>
      </c>
      <c r="HJ371" t="s">
        <v>836</v>
      </c>
      <c r="HK371" t="s">
        <v>1436</v>
      </c>
      <c r="HL371" t="s">
        <v>187</v>
      </c>
      <c r="HM371" t="s">
        <v>854</v>
      </c>
      <c r="HN371">
        <v>36805</v>
      </c>
      <c r="HP371" t="s">
        <v>181</v>
      </c>
      <c r="HQ371" t="s">
        <v>896</v>
      </c>
      <c r="HR371" t="s">
        <v>896</v>
      </c>
      <c r="HS371" t="s">
        <v>896</v>
      </c>
    </row>
    <row r="372" spans="1:227" x14ac:dyDescent="0.2">
      <c r="A372">
        <v>8702</v>
      </c>
      <c r="B372">
        <v>7601002834</v>
      </c>
      <c r="C372" t="s">
        <v>936</v>
      </c>
      <c r="D372" t="s">
        <v>937</v>
      </c>
      <c r="E372" t="s">
        <v>831</v>
      </c>
      <c r="F372">
        <v>0</v>
      </c>
      <c r="G372" t="s">
        <v>8038</v>
      </c>
      <c r="H372" t="s">
        <v>8038</v>
      </c>
      <c r="I372">
        <v>0</v>
      </c>
      <c r="J372" t="s">
        <v>833</v>
      </c>
      <c r="K372" t="s">
        <v>834</v>
      </c>
      <c r="L372">
        <v>142427782</v>
      </c>
      <c r="M372" t="s">
        <v>8039</v>
      </c>
      <c r="N372" t="s">
        <v>836</v>
      </c>
      <c r="O372" t="s">
        <v>837</v>
      </c>
      <c r="P372" t="s">
        <v>940</v>
      </c>
      <c r="Q372" t="s">
        <v>1080</v>
      </c>
      <c r="R372" t="s">
        <v>8040</v>
      </c>
      <c r="S372" t="s">
        <v>8041</v>
      </c>
      <c r="T372">
        <v>41477009259</v>
      </c>
      <c r="V372" t="s">
        <v>1083</v>
      </c>
      <c r="W372" s="41">
        <v>46032</v>
      </c>
      <c r="X372" t="s">
        <v>8042</v>
      </c>
      <c r="Y372" t="s">
        <v>8043</v>
      </c>
      <c r="Z372">
        <v>1</v>
      </c>
      <c r="AA372">
        <v>0</v>
      </c>
      <c r="AB372" t="s">
        <v>845</v>
      </c>
      <c r="AC372" t="s">
        <v>846</v>
      </c>
      <c r="AD372" t="s">
        <v>847</v>
      </c>
      <c r="AE372" t="s">
        <v>848</v>
      </c>
      <c r="AF372">
        <v>1</v>
      </c>
      <c r="AG372">
        <v>452210</v>
      </c>
      <c r="AH372" t="s">
        <v>849</v>
      </c>
      <c r="AI372" t="s">
        <v>850</v>
      </c>
      <c r="AJ372" t="s">
        <v>851</v>
      </c>
      <c r="AK372" t="s">
        <v>257</v>
      </c>
      <c r="AL372" t="s">
        <v>2012</v>
      </c>
      <c r="AM372" t="s">
        <v>1087</v>
      </c>
      <c r="AN372" t="s">
        <v>854</v>
      </c>
      <c r="AO372">
        <v>36805</v>
      </c>
      <c r="AP372">
        <v>448</v>
      </c>
      <c r="AQ372" t="s">
        <v>855</v>
      </c>
      <c r="AR372">
        <v>66284170</v>
      </c>
      <c r="AS372" t="s">
        <v>856</v>
      </c>
      <c r="AU372" t="s">
        <v>8044</v>
      </c>
      <c r="AV372" t="s">
        <v>8045</v>
      </c>
      <c r="AW372" t="s">
        <v>859</v>
      </c>
      <c r="AX372" t="s">
        <v>860</v>
      </c>
      <c r="AY372" t="s">
        <v>861</v>
      </c>
      <c r="AZ372" t="s">
        <v>257</v>
      </c>
      <c r="BA372" t="s">
        <v>258</v>
      </c>
      <c r="BB372">
        <v>0</v>
      </c>
      <c r="BC372">
        <v>0</v>
      </c>
      <c r="BD372">
        <v>0</v>
      </c>
      <c r="BE372" t="s">
        <v>8039</v>
      </c>
      <c r="BF372">
        <v>0</v>
      </c>
      <c r="BG372">
        <v>0</v>
      </c>
      <c r="BH372" t="s">
        <v>862</v>
      </c>
      <c r="BI372">
        <v>0</v>
      </c>
      <c r="BJ372" t="s">
        <v>862</v>
      </c>
      <c r="BK372">
        <v>1</v>
      </c>
      <c r="BL372">
        <v>0</v>
      </c>
      <c r="BM372">
        <v>0</v>
      </c>
      <c r="BN372" t="s">
        <v>596</v>
      </c>
      <c r="BO372">
        <v>142427782</v>
      </c>
      <c r="BP372" t="s">
        <v>8038</v>
      </c>
      <c r="BQ372">
        <v>38.633826300000003</v>
      </c>
      <c r="BR372">
        <v>42511030</v>
      </c>
      <c r="BS372">
        <v>-90.239181099999996</v>
      </c>
      <c r="BT372">
        <v>2</v>
      </c>
      <c r="BU372" t="s">
        <v>1367</v>
      </c>
      <c r="CE372">
        <v>1</v>
      </c>
      <c r="CI372">
        <v>11</v>
      </c>
      <c r="CJ372" t="s">
        <v>94</v>
      </c>
      <c r="CM372">
        <v>4010</v>
      </c>
      <c r="CO372">
        <v>7360</v>
      </c>
      <c r="CP372">
        <v>0.51670000000000005</v>
      </c>
      <c r="CQ372">
        <v>0.51670000000000005</v>
      </c>
      <c r="CR372">
        <v>0.66669999999999996</v>
      </c>
      <c r="CS372">
        <v>2</v>
      </c>
      <c r="CT372" t="s">
        <v>8046</v>
      </c>
      <c r="CU372" t="s">
        <v>8047</v>
      </c>
      <c r="CV372" t="s">
        <v>833</v>
      </c>
      <c r="CW372" t="s">
        <v>834</v>
      </c>
      <c r="CX372" t="s">
        <v>8039</v>
      </c>
      <c r="CY372">
        <v>0</v>
      </c>
      <c r="CZ372">
        <v>0</v>
      </c>
      <c r="DA372" t="s">
        <v>833</v>
      </c>
      <c r="DB372" t="s">
        <v>865</v>
      </c>
      <c r="DC372">
        <v>63110</v>
      </c>
      <c r="DD372">
        <v>4.1166999999999998</v>
      </c>
      <c r="DE372" t="s">
        <v>866</v>
      </c>
      <c r="DG372" t="s">
        <v>867</v>
      </c>
      <c r="DH372" t="s">
        <v>851</v>
      </c>
      <c r="DI372" t="s">
        <v>1092</v>
      </c>
      <c r="DK372" t="s">
        <v>918</v>
      </c>
      <c r="DL372" t="s">
        <v>869</v>
      </c>
      <c r="DM372">
        <v>0</v>
      </c>
      <c r="DN372">
        <v>0</v>
      </c>
      <c r="DO372">
        <v>53</v>
      </c>
      <c r="DP372" t="s">
        <v>1156</v>
      </c>
      <c r="DQ372">
        <v>16</v>
      </c>
      <c r="DR372">
        <v>247</v>
      </c>
      <c r="DS372">
        <v>247</v>
      </c>
      <c r="DT372">
        <v>3.6</v>
      </c>
      <c r="DU372">
        <v>4</v>
      </c>
      <c r="DV372">
        <v>1</v>
      </c>
      <c r="DW372">
        <v>2</v>
      </c>
      <c r="DX372" t="s">
        <v>594</v>
      </c>
      <c r="DY372" t="s">
        <v>8039</v>
      </c>
      <c r="DZ372">
        <v>0</v>
      </c>
      <c r="EA372">
        <v>0</v>
      </c>
      <c r="EB372">
        <v>0</v>
      </c>
      <c r="EC372">
        <v>0</v>
      </c>
      <c r="ED372">
        <v>0</v>
      </c>
      <c r="EE372">
        <v>0</v>
      </c>
      <c r="EF372" t="s">
        <v>920</v>
      </c>
      <c r="EG372" t="s">
        <v>595</v>
      </c>
      <c r="EH372" t="s">
        <v>872</v>
      </c>
      <c r="EI372" t="s">
        <v>872</v>
      </c>
      <c r="EJ372" t="s">
        <v>111</v>
      </c>
      <c r="EK372">
        <v>9090</v>
      </c>
      <c r="EL372">
        <v>0</v>
      </c>
      <c r="EM372" t="s">
        <v>1037</v>
      </c>
      <c r="EN372">
        <v>0.66669999999999996</v>
      </c>
      <c r="EO372">
        <v>4.1166666000000003</v>
      </c>
      <c r="EP372">
        <v>99991120</v>
      </c>
      <c r="EQ372" t="s">
        <v>874</v>
      </c>
      <c r="ER372" t="s">
        <v>875</v>
      </c>
      <c r="ES372" t="s">
        <v>876</v>
      </c>
      <c r="ET372" t="s">
        <v>877</v>
      </c>
      <c r="EU372" t="s">
        <v>877</v>
      </c>
      <c r="EV372" t="s">
        <v>920</v>
      </c>
      <c r="EX372" t="s">
        <v>900</v>
      </c>
      <c r="EY372" t="s">
        <v>923</v>
      </c>
      <c r="EZ372" t="s">
        <v>1038</v>
      </c>
      <c r="FA372" t="s">
        <v>925</v>
      </c>
      <c r="FB372">
        <v>1</v>
      </c>
      <c r="FC372">
        <v>1</v>
      </c>
      <c r="FD372" s="41">
        <v>46032</v>
      </c>
      <c r="FE372" t="s">
        <v>1370</v>
      </c>
      <c r="FF372">
        <v>5</v>
      </c>
      <c r="FI372">
        <v>0</v>
      </c>
      <c r="FJ372" t="s">
        <v>8048</v>
      </c>
      <c r="FK372" t="s">
        <v>8049</v>
      </c>
      <c r="FL372">
        <v>1</v>
      </c>
      <c r="FM372" t="s">
        <v>8050</v>
      </c>
      <c r="FN372" t="s">
        <v>8051</v>
      </c>
      <c r="FO372">
        <v>1</v>
      </c>
      <c r="FP372" t="s">
        <v>8052</v>
      </c>
      <c r="FQ372" t="s">
        <v>8047</v>
      </c>
      <c r="FR372">
        <v>1</v>
      </c>
      <c r="FS372" t="s">
        <v>1100</v>
      </c>
      <c r="FT372" t="s">
        <v>8053</v>
      </c>
      <c r="FU372">
        <v>1</v>
      </c>
      <c r="FV372" t="s">
        <v>6014</v>
      </c>
      <c r="FW372" t="s">
        <v>8049</v>
      </c>
      <c r="FX372">
        <v>1</v>
      </c>
      <c r="FY372" t="s">
        <v>890</v>
      </c>
      <c r="FZ372" t="s">
        <v>8054</v>
      </c>
      <c r="GA372" t="s">
        <v>8048</v>
      </c>
      <c r="GB372">
        <v>1</v>
      </c>
      <c r="GD372">
        <v>0</v>
      </c>
      <c r="GF372">
        <v>0</v>
      </c>
      <c r="GG372">
        <v>1</v>
      </c>
      <c r="GH372" t="s">
        <v>892</v>
      </c>
      <c r="GI372" t="s">
        <v>893</v>
      </c>
      <c r="GJ372" t="s">
        <v>8049</v>
      </c>
      <c r="GM372">
        <v>1</v>
      </c>
      <c r="GN372">
        <v>1</v>
      </c>
      <c r="GO372">
        <v>0</v>
      </c>
      <c r="GP372">
        <v>1</v>
      </c>
      <c r="GQ372">
        <v>1</v>
      </c>
      <c r="GR372">
        <v>0</v>
      </c>
      <c r="GS372">
        <v>1</v>
      </c>
      <c r="GT372">
        <v>0</v>
      </c>
      <c r="GU372">
        <v>1</v>
      </c>
      <c r="GV372">
        <v>0</v>
      </c>
      <c r="GW372">
        <v>1</v>
      </c>
      <c r="GX372">
        <v>0</v>
      </c>
      <c r="GY372">
        <v>1</v>
      </c>
      <c r="GZ372">
        <v>0</v>
      </c>
      <c r="HA372" t="s">
        <v>257</v>
      </c>
      <c r="HB372" t="s">
        <v>894</v>
      </c>
      <c r="HC372" t="s">
        <v>895</v>
      </c>
      <c r="HD372" t="s">
        <v>845</v>
      </c>
      <c r="HE372" t="s">
        <v>836</v>
      </c>
      <c r="HF372" t="s">
        <v>1051</v>
      </c>
      <c r="HG372" t="s">
        <v>894</v>
      </c>
      <c r="HH372" t="s">
        <v>895</v>
      </c>
      <c r="HI372" t="s">
        <v>845</v>
      </c>
      <c r="HJ372" t="s">
        <v>836</v>
      </c>
      <c r="HK372" t="s">
        <v>1037</v>
      </c>
      <c r="HL372" t="s">
        <v>1083</v>
      </c>
      <c r="HM372" t="s">
        <v>854</v>
      </c>
      <c r="HN372">
        <v>36805</v>
      </c>
      <c r="HP372" t="s">
        <v>111</v>
      </c>
      <c r="HQ372" t="s">
        <v>896</v>
      </c>
      <c r="HR372" t="s">
        <v>896</v>
      </c>
      <c r="HS372" t="s">
        <v>896</v>
      </c>
    </row>
    <row r="373" spans="1:227" x14ac:dyDescent="0.2">
      <c r="A373">
        <v>8702</v>
      </c>
      <c r="B373">
        <v>7533600080</v>
      </c>
      <c r="C373">
        <v>34</v>
      </c>
      <c r="D373" t="s">
        <v>996</v>
      </c>
      <c r="E373" t="s">
        <v>831</v>
      </c>
      <c r="F373">
        <v>0</v>
      </c>
      <c r="G373" t="s">
        <v>8055</v>
      </c>
      <c r="H373" t="s">
        <v>8055</v>
      </c>
      <c r="I373">
        <v>0</v>
      </c>
      <c r="J373" t="s">
        <v>833</v>
      </c>
      <c r="K373" t="s">
        <v>834</v>
      </c>
      <c r="L373">
        <v>153524588</v>
      </c>
      <c r="M373" t="s">
        <v>3555</v>
      </c>
      <c r="N373" t="s">
        <v>836</v>
      </c>
      <c r="O373" t="s">
        <v>837</v>
      </c>
      <c r="P373" t="s">
        <v>999</v>
      </c>
      <c r="Q373" t="s">
        <v>1857</v>
      </c>
      <c r="R373" t="s">
        <v>8056</v>
      </c>
      <c r="S373" t="s">
        <v>8057</v>
      </c>
      <c r="T373">
        <v>41477093921</v>
      </c>
      <c r="V373" t="s">
        <v>2903</v>
      </c>
      <c r="W373" s="41">
        <v>45993</v>
      </c>
      <c r="X373" t="s">
        <v>8058</v>
      </c>
      <c r="Y373" t="s">
        <v>8059</v>
      </c>
      <c r="AA373">
        <v>0</v>
      </c>
      <c r="AB373" t="s">
        <v>845</v>
      </c>
      <c r="AC373" t="s">
        <v>846</v>
      </c>
      <c r="AD373" t="s">
        <v>847</v>
      </c>
      <c r="AE373" t="s">
        <v>848</v>
      </c>
      <c r="AF373">
        <v>1</v>
      </c>
      <c r="AG373">
        <v>452210</v>
      </c>
      <c r="AH373" t="s">
        <v>849</v>
      </c>
      <c r="AI373" t="s">
        <v>850</v>
      </c>
      <c r="AJ373" t="s">
        <v>851</v>
      </c>
      <c r="AK373" t="s">
        <v>377</v>
      </c>
      <c r="AL373" t="s">
        <v>3561</v>
      </c>
      <c r="AM373" t="s">
        <v>2907</v>
      </c>
      <c r="AN373" t="s">
        <v>854</v>
      </c>
      <c r="AO373">
        <v>36805</v>
      </c>
      <c r="AP373">
        <v>563</v>
      </c>
      <c r="AQ373" t="s">
        <v>855</v>
      </c>
      <c r="AR373">
        <v>66227866</v>
      </c>
      <c r="AS373" t="s">
        <v>856</v>
      </c>
      <c r="AU373" t="s">
        <v>8060</v>
      </c>
      <c r="AV373" t="s">
        <v>8061</v>
      </c>
      <c r="AX373" t="s">
        <v>913</v>
      </c>
      <c r="AY373" t="s">
        <v>861</v>
      </c>
      <c r="AZ373" t="s">
        <v>377</v>
      </c>
      <c r="BA373" t="s">
        <v>378</v>
      </c>
      <c r="BB373">
        <v>0</v>
      </c>
      <c r="BC373">
        <v>0</v>
      </c>
      <c r="BD373">
        <v>0</v>
      </c>
      <c r="BE373" t="s">
        <v>3555</v>
      </c>
      <c r="BF373">
        <v>0</v>
      </c>
      <c r="BG373">
        <v>0</v>
      </c>
      <c r="BH373" t="s">
        <v>862</v>
      </c>
      <c r="BI373">
        <v>0</v>
      </c>
      <c r="BJ373" t="s">
        <v>862</v>
      </c>
      <c r="BK373">
        <v>1</v>
      </c>
      <c r="BL373">
        <v>1</v>
      </c>
      <c r="BM373">
        <v>0</v>
      </c>
      <c r="BN373" t="s">
        <v>596</v>
      </c>
      <c r="BO373">
        <v>153524588</v>
      </c>
      <c r="BP373" t="s">
        <v>8055</v>
      </c>
      <c r="BQ373">
        <v>44.023133399999999</v>
      </c>
      <c r="BR373">
        <v>42791465</v>
      </c>
      <c r="BS373">
        <v>-92.486677799999995</v>
      </c>
      <c r="BT373">
        <v>0</v>
      </c>
      <c r="CM373">
        <v>4010</v>
      </c>
      <c r="CO373">
        <v>7360</v>
      </c>
      <c r="CP373">
        <v>0.36670000000000003</v>
      </c>
      <c r="CQ373">
        <v>0.36670000000000003</v>
      </c>
      <c r="CR373">
        <v>0.4667</v>
      </c>
      <c r="CS373">
        <v>2</v>
      </c>
      <c r="CT373" t="s">
        <v>8061</v>
      </c>
      <c r="CU373" t="s">
        <v>8060</v>
      </c>
      <c r="CV373" t="s">
        <v>833</v>
      </c>
      <c r="CW373" t="s">
        <v>834</v>
      </c>
      <c r="CX373" t="s">
        <v>3555</v>
      </c>
      <c r="CY373">
        <v>0</v>
      </c>
      <c r="CZ373">
        <v>0</v>
      </c>
      <c r="DA373" t="s">
        <v>833</v>
      </c>
      <c r="DB373" t="s">
        <v>865</v>
      </c>
      <c r="DC373">
        <v>55902</v>
      </c>
      <c r="DD373">
        <v>0.91669999999999996</v>
      </c>
      <c r="DE373" t="s">
        <v>866</v>
      </c>
      <c r="DG373" t="s">
        <v>867</v>
      </c>
      <c r="DH373" t="s">
        <v>851</v>
      </c>
      <c r="DI373" t="s">
        <v>1266</v>
      </c>
      <c r="DL373" t="s">
        <v>869</v>
      </c>
      <c r="DM373">
        <v>0</v>
      </c>
      <c r="DN373">
        <v>0</v>
      </c>
      <c r="DO373">
        <v>14</v>
      </c>
      <c r="DP373" t="s">
        <v>3564</v>
      </c>
      <c r="DQ373">
        <v>12</v>
      </c>
      <c r="DR373">
        <v>55</v>
      </c>
      <c r="DS373">
        <v>55</v>
      </c>
      <c r="DT373">
        <v>0.55000000000000004</v>
      </c>
      <c r="DU373">
        <v>4</v>
      </c>
      <c r="DW373">
        <v>1</v>
      </c>
      <c r="DX373" t="s">
        <v>596</v>
      </c>
      <c r="DY373" t="s">
        <v>3555</v>
      </c>
      <c r="DZ373">
        <v>1</v>
      </c>
      <c r="EA373">
        <v>1</v>
      </c>
      <c r="EB373">
        <v>1</v>
      </c>
      <c r="EC373">
        <v>1</v>
      </c>
      <c r="ED373">
        <v>1</v>
      </c>
      <c r="EE373">
        <v>1</v>
      </c>
      <c r="EF373" t="s">
        <v>920</v>
      </c>
      <c r="EG373" t="s">
        <v>595</v>
      </c>
      <c r="EH373" t="s">
        <v>1036</v>
      </c>
      <c r="EI373" t="s">
        <v>1036</v>
      </c>
      <c r="EJ373" t="s">
        <v>159</v>
      </c>
      <c r="EK373">
        <v>9090</v>
      </c>
      <c r="EL373">
        <v>0</v>
      </c>
      <c r="EM373" t="s">
        <v>1436</v>
      </c>
      <c r="EN373">
        <v>0.4667</v>
      </c>
      <c r="EO373">
        <v>0.9166666</v>
      </c>
      <c r="EP373">
        <v>99991120</v>
      </c>
      <c r="EQ373" t="s">
        <v>874</v>
      </c>
      <c r="ER373" t="s">
        <v>875</v>
      </c>
      <c r="ES373" t="s">
        <v>876</v>
      </c>
      <c r="ET373" t="s">
        <v>877</v>
      </c>
      <c r="EU373" t="s">
        <v>877</v>
      </c>
      <c r="EV373" t="s">
        <v>920</v>
      </c>
      <c r="EX373" t="s">
        <v>836</v>
      </c>
      <c r="EY373" t="s">
        <v>1121</v>
      </c>
      <c r="EZ373" t="s">
        <v>2913</v>
      </c>
      <c r="FA373" t="s">
        <v>1212</v>
      </c>
      <c r="FB373">
        <v>1</v>
      </c>
      <c r="FC373">
        <v>1</v>
      </c>
      <c r="FD373" s="41">
        <v>45997</v>
      </c>
      <c r="FE373" t="s">
        <v>957</v>
      </c>
      <c r="FF373">
        <v>4</v>
      </c>
      <c r="FI373">
        <v>0</v>
      </c>
      <c r="FL373">
        <v>0</v>
      </c>
      <c r="FM373" t="s">
        <v>3569</v>
      </c>
      <c r="FN373" t="s">
        <v>8062</v>
      </c>
      <c r="FO373">
        <v>1</v>
      </c>
      <c r="FP373" t="s">
        <v>8063</v>
      </c>
      <c r="FQ373" t="s">
        <v>8064</v>
      </c>
      <c r="FR373">
        <v>1</v>
      </c>
      <c r="FS373" t="s">
        <v>3565</v>
      </c>
      <c r="FT373" t="s">
        <v>8065</v>
      </c>
      <c r="FU373">
        <v>1</v>
      </c>
      <c r="FV373" t="s">
        <v>8066</v>
      </c>
      <c r="FW373" t="s">
        <v>8067</v>
      </c>
      <c r="FX373">
        <v>1</v>
      </c>
      <c r="FY373" t="s">
        <v>890</v>
      </c>
      <c r="FZ373" t="s">
        <v>8068</v>
      </c>
      <c r="GA373" t="s">
        <v>8066</v>
      </c>
      <c r="GB373">
        <v>1</v>
      </c>
      <c r="GD373">
        <v>0</v>
      </c>
      <c r="GF373">
        <v>0</v>
      </c>
      <c r="GG373">
        <v>1</v>
      </c>
      <c r="GH373" t="s">
        <v>892</v>
      </c>
      <c r="GI373" t="s">
        <v>893</v>
      </c>
      <c r="GJ373" t="s">
        <v>8067</v>
      </c>
      <c r="GM373">
        <v>1</v>
      </c>
      <c r="GN373">
        <v>1</v>
      </c>
      <c r="GO373">
        <v>0</v>
      </c>
      <c r="GP373">
        <v>1</v>
      </c>
      <c r="GQ373">
        <v>1</v>
      </c>
      <c r="GR373">
        <v>0</v>
      </c>
      <c r="GS373">
        <v>1</v>
      </c>
      <c r="GT373">
        <v>0</v>
      </c>
      <c r="GU373">
        <v>1</v>
      </c>
      <c r="GV373">
        <v>0</v>
      </c>
      <c r="GW373">
        <v>1</v>
      </c>
      <c r="GX373">
        <v>0</v>
      </c>
      <c r="GY373">
        <v>1</v>
      </c>
      <c r="GZ373">
        <v>0</v>
      </c>
      <c r="HA373" t="s">
        <v>377</v>
      </c>
      <c r="HB373" t="s">
        <v>894</v>
      </c>
      <c r="HC373" t="s">
        <v>895</v>
      </c>
      <c r="HD373" t="s">
        <v>845</v>
      </c>
      <c r="HE373" t="s">
        <v>836</v>
      </c>
      <c r="HF373" t="s">
        <v>873</v>
      </c>
      <c r="HG373" t="s">
        <v>894</v>
      </c>
      <c r="HH373" t="s">
        <v>895</v>
      </c>
      <c r="HI373" t="s">
        <v>845</v>
      </c>
      <c r="HJ373" t="s">
        <v>836</v>
      </c>
      <c r="HK373" t="s">
        <v>1436</v>
      </c>
      <c r="HL373" t="s">
        <v>2903</v>
      </c>
      <c r="HM373" t="s">
        <v>854</v>
      </c>
      <c r="HN373">
        <v>36805</v>
      </c>
      <c r="HP373" t="s">
        <v>159</v>
      </c>
      <c r="HQ373" t="s">
        <v>896</v>
      </c>
      <c r="HR373" t="s">
        <v>896</v>
      </c>
      <c r="HS373" t="s">
        <v>896</v>
      </c>
    </row>
    <row r="374" spans="1:227" x14ac:dyDescent="0.2">
      <c r="A374">
        <v>8702</v>
      </c>
      <c r="B374">
        <v>7612805447</v>
      </c>
      <c r="C374">
        <v>34</v>
      </c>
      <c r="D374" t="s">
        <v>996</v>
      </c>
      <c r="E374" t="s">
        <v>897</v>
      </c>
      <c r="F374">
        <v>1</v>
      </c>
      <c r="G374" t="s">
        <v>8069</v>
      </c>
      <c r="H374" t="s">
        <v>8069</v>
      </c>
      <c r="I374">
        <v>0</v>
      </c>
      <c r="J374" t="s">
        <v>833</v>
      </c>
      <c r="K374" t="s">
        <v>834</v>
      </c>
      <c r="L374">
        <v>153517127</v>
      </c>
      <c r="M374" t="s">
        <v>4456</v>
      </c>
      <c r="N374" t="s">
        <v>900</v>
      </c>
      <c r="O374" t="s">
        <v>837</v>
      </c>
      <c r="P374" t="s">
        <v>999</v>
      </c>
      <c r="Q374" t="s">
        <v>1027</v>
      </c>
      <c r="R374" t="s">
        <v>8070</v>
      </c>
      <c r="S374" t="s">
        <v>8071</v>
      </c>
      <c r="T374">
        <v>30300136758</v>
      </c>
      <c r="V374" t="s">
        <v>200</v>
      </c>
      <c r="W374" s="41">
        <v>46151</v>
      </c>
      <c r="X374" t="s">
        <v>8072</v>
      </c>
      <c r="Y374" t="s">
        <v>8073</v>
      </c>
      <c r="AA374">
        <v>0</v>
      </c>
      <c r="AB374" t="s">
        <v>845</v>
      </c>
      <c r="AC374" t="s">
        <v>846</v>
      </c>
      <c r="AD374" t="s">
        <v>1113</v>
      </c>
      <c r="AE374" t="s">
        <v>1114</v>
      </c>
      <c r="AF374">
        <v>1</v>
      </c>
      <c r="AG374">
        <v>452210</v>
      </c>
      <c r="AH374" t="s">
        <v>849</v>
      </c>
      <c r="AI374" t="s">
        <v>850</v>
      </c>
      <c r="AJ374" t="s">
        <v>851</v>
      </c>
      <c r="AK374" t="s">
        <v>267</v>
      </c>
      <c r="AL374" t="s">
        <v>3244</v>
      </c>
      <c r="AM374" t="s">
        <v>3245</v>
      </c>
      <c r="AN374" t="s">
        <v>854</v>
      </c>
      <c r="AO374">
        <v>36805</v>
      </c>
      <c r="AP374">
        <v>642</v>
      </c>
      <c r="AQ374" t="s">
        <v>855</v>
      </c>
      <c r="AR374">
        <v>66454978</v>
      </c>
      <c r="AS374" t="s">
        <v>856</v>
      </c>
      <c r="AU374" t="s">
        <v>8074</v>
      </c>
      <c r="AV374" t="s">
        <v>8075</v>
      </c>
      <c r="AX374" t="s">
        <v>913</v>
      </c>
      <c r="AY374" t="s">
        <v>861</v>
      </c>
      <c r="AZ374" t="s">
        <v>267</v>
      </c>
      <c r="BA374" t="s">
        <v>268</v>
      </c>
      <c r="BB374">
        <v>0</v>
      </c>
      <c r="BC374">
        <v>0</v>
      </c>
      <c r="BD374">
        <v>1</v>
      </c>
      <c r="BE374" t="s">
        <v>4456</v>
      </c>
      <c r="BF374">
        <v>0</v>
      </c>
      <c r="BG374">
        <v>0</v>
      </c>
      <c r="BH374" t="s">
        <v>862</v>
      </c>
      <c r="BI374">
        <v>0</v>
      </c>
      <c r="BJ374" t="s">
        <v>862</v>
      </c>
      <c r="BK374">
        <v>1</v>
      </c>
      <c r="BL374">
        <v>1</v>
      </c>
      <c r="BM374">
        <v>0</v>
      </c>
      <c r="BN374" t="s">
        <v>596</v>
      </c>
      <c r="BO374">
        <v>153517127</v>
      </c>
      <c r="BP374" t="s">
        <v>8069</v>
      </c>
      <c r="BQ374">
        <v>42.397342100000003</v>
      </c>
      <c r="BR374">
        <v>42791773</v>
      </c>
      <c r="BS374">
        <v>-83.480283499999999</v>
      </c>
      <c r="BT374">
        <v>2</v>
      </c>
      <c r="BU374" t="s">
        <v>1803</v>
      </c>
      <c r="BY374">
        <v>16</v>
      </c>
      <c r="CA374">
        <v>3</v>
      </c>
      <c r="CE374">
        <v>1</v>
      </c>
      <c r="CI374">
        <v>11</v>
      </c>
      <c r="CJ374" t="s">
        <v>94</v>
      </c>
      <c r="CM374">
        <v>4010</v>
      </c>
      <c r="CO374">
        <v>7360</v>
      </c>
      <c r="CP374">
        <v>1.2166999999999999</v>
      </c>
      <c r="CQ374">
        <v>1.2166999999999999</v>
      </c>
      <c r="CR374">
        <v>0.4667</v>
      </c>
      <c r="CS374">
        <v>12</v>
      </c>
      <c r="CT374" t="s">
        <v>8075</v>
      </c>
      <c r="CU374" t="s">
        <v>8074</v>
      </c>
      <c r="CV374" t="s">
        <v>833</v>
      </c>
      <c r="CW374" t="s">
        <v>834</v>
      </c>
      <c r="CX374" t="s">
        <v>4456</v>
      </c>
      <c r="CY374">
        <v>1</v>
      </c>
      <c r="CZ374">
        <v>1</v>
      </c>
      <c r="DA374" t="s">
        <v>833</v>
      </c>
      <c r="DB374" t="s">
        <v>865</v>
      </c>
      <c r="DC374">
        <v>48168</v>
      </c>
      <c r="DD374">
        <v>2.5499999999999998</v>
      </c>
      <c r="DE374" t="s">
        <v>866</v>
      </c>
      <c r="DG374" t="s">
        <v>867</v>
      </c>
      <c r="DH374" t="s">
        <v>851</v>
      </c>
      <c r="DI374" t="s">
        <v>1154</v>
      </c>
      <c r="DK374" t="s">
        <v>918</v>
      </c>
      <c r="DL374" t="s">
        <v>869</v>
      </c>
      <c r="DM374">
        <v>0</v>
      </c>
      <c r="DN374">
        <v>0</v>
      </c>
      <c r="DO374">
        <v>11</v>
      </c>
      <c r="DP374" t="s">
        <v>1010</v>
      </c>
      <c r="DQ374">
        <v>0</v>
      </c>
      <c r="DR374">
        <v>153</v>
      </c>
      <c r="DS374">
        <v>873</v>
      </c>
      <c r="DT374">
        <v>2.35</v>
      </c>
      <c r="DU374">
        <v>0</v>
      </c>
      <c r="DV374">
        <v>1</v>
      </c>
      <c r="DW374">
        <v>2</v>
      </c>
      <c r="DX374" t="s">
        <v>596</v>
      </c>
      <c r="DY374" t="s">
        <v>4456</v>
      </c>
      <c r="DZ374">
        <v>1</v>
      </c>
      <c r="EA374">
        <v>1</v>
      </c>
      <c r="EB374">
        <v>1</v>
      </c>
      <c r="EC374">
        <v>1</v>
      </c>
      <c r="ED374">
        <v>1</v>
      </c>
      <c r="EE374">
        <v>1</v>
      </c>
      <c r="EF374" t="s">
        <v>920</v>
      </c>
      <c r="EG374" t="s">
        <v>595</v>
      </c>
      <c r="EH374" t="s">
        <v>921</v>
      </c>
      <c r="EI374" t="s">
        <v>921</v>
      </c>
      <c r="EJ374" t="s">
        <v>178</v>
      </c>
      <c r="EK374">
        <v>9090</v>
      </c>
      <c r="EL374">
        <v>0</v>
      </c>
      <c r="EM374" t="s">
        <v>952</v>
      </c>
      <c r="EN374">
        <v>0.4667</v>
      </c>
      <c r="EO374">
        <v>14.55</v>
      </c>
      <c r="EP374">
        <v>99991120</v>
      </c>
      <c r="EQ374" t="s">
        <v>874</v>
      </c>
      <c r="ER374" t="s">
        <v>875</v>
      </c>
      <c r="ES374" t="s">
        <v>876</v>
      </c>
      <c r="ET374" t="s">
        <v>877</v>
      </c>
      <c r="EU374" t="s">
        <v>877</v>
      </c>
      <c r="EV374" t="s">
        <v>920</v>
      </c>
      <c r="EX374" t="s">
        <v>953</v>
      </c>
      <c r="EY374" t="s">
        <v>954</v>
      </c>
      <c r="EZ374" t="s">
        <v>955</v>
      </c>
      <c r="FA374" t="s">
        <v>956</v>
      </c>
      <c r="FB374">
        <v>1</v>
      </c>
      <c r="FC374">
        <v>1</v>
      </c>
      <c r="FD374" s="41">
        <v>46151</v>
      </c>
      <c r="FE374" t="s">
        <v>1808</v>
      </c>
      <c r="FF374">
        <v>10</v>
      </c>
      <c r="FG374" t="s">
        <v>3249</v>
      </c>
      <c r="FH374" t="s">
        <v>8076</v>
      </c>
      <c r="FI374">
        <v>1</v>
      </c>
      <c r="FJ374" t="s">
        <v>8077</v>
      </c>
      <c r="FK374" t="s">
        <v>3252</v>
      </c>
      <c r="FL374">
        <v>1</v>
      </c>
      <c r="FM374" t="s">
        <v>5514</v>
      </c>
      <c r="FN374" t="s">
        <v>8078</v>
      </c>
      <c r="FO374">
        <v>1</v>
      </c>
      <c r="FP374" t="s">
        <v>3255</v>
      </c>
      <c r="FQ374" t="s">
        <v>8074</v>
      </c>
      <c r="FR374">
        <v>1</v>
      </c>
      <c r="FS374" t="s">
        <v>4479</v>
      </c>
      <c r="FT374" t="s">
        <v>8079</v>
      </c>
      <c r="FU374">
        <v>1</v>
      </c>
      <c r="FV374" t="s">
        <v>8080</v>
      </c>
      <c r="FW374" t="s">
        <v>8081</v>
      </c>
      <c r="FX374">
        <v>1</v>
      </c>
      <c r="FY374" t="s">
        <v>890</v>
      </c>
      <c r="FZ374" t="s">
        <v>8082</v>
      </c>
      <c r="GA374" t="s">
        <v>8077</v>
      </c>
      <c r="GB374">
        <v>1</v>
      </c>
      <c r="GD374">
        <v>0</v>
      </c>
      <c r="GF374">
        <v>0</v>
      </c>
      <c r="GG374">
        <v>1</v>
      </c>
      <c r="GH374" t="s">
        <v>892</v>
      </c>
      <c r="GI374" t="s">
        <v>893</v>
      </c>
      <c r="GJ374" t="s">
        <v>3252</v>
      </c>
      <c r="GM374">
        <v>1</v>
      </c>
      <c r="GN374">
        <v>1</v>
      </c>
      <c r="GO374">
        <v>0</v>
      </c>
      <c r="GP374">
        <v>1</v>
      </c>
      <c r="GQ374">
        <v>1</v>
      </c>
      <c r="GR374">
        <v>0</v>
      </c>
      <c r="GS374">
        <v>1</v>
      </c>
      <c r="GT374">
        <v>0</v>
      </c>
      <c r="GU374">
        <v>1</v>
      </c>
      <c r="GV374">
        <v>0</v>
      </c>
      <c r="GW374">
        <v>1</v>
      </c>
      <c r="GX374">
        <v>0</v>
      </c>
      <c r="GY374">
        <v>1</v>
      </c>
      <c r="GZ374">
        <v>0</v>
      </c>
      <c r="HA374" t="s">
        <v>267</v>
      </c>
      <c r="HB374" t="s">
        <v>894</v>
      </c>
      <c r="HC374" t="s">
        <v>935</v>
      </c>
      <c r="HD374" t="s">
        <v>845</v>
      </c>
      <c r="HE374" t="s">
        <v>900</v>
      </c>
      <c r="HF374" t="s">
        <v>923</v>
      </c>
      <c r="HG374" t="s">
        <v>894</v>
      </c>
      <c r="HH374" t="s">
        <v>935</v>
      </c>
      <c r="HI374" t="s">
        <v>845</v>
      </c>
      <c r="HJ374" t="s">
        <v>900</v>
      </c>
      <c r="HK374" t="s">
        <v>952</v>
      </c>
      <c r="HL374" t="s">
        <v>200</v>
      </c>
      <c r="HM374" t="s">
        <v>854</v>
      </c>
      <c r="HN374">
        <v>36805</v>
      </c>
      <c r="HP374" t="s">
        <v>178</v>
      </c>
      <c r="HQ374" t="s">
        <v>896</v>
      </c>
      <c r="HR374" t="s">
        <v>896</v>
      </c>
      <c r="HS374" t="s">
        <v>896</v>
      </c>
    </row>
    <row r="375" spans="1:227" x14ac:dyDescent="0.2">
      <c r="A375">
        <v>8702</v>
      </c>
      <c r="B375">
        <v>7600504706</v>
      </c>
      <c r="C375">
        <v>34</v>
      </c>
      <c r="D375" t="s">
        <v>996</v>
      </c>
      <c r="E375" t="s">
        <v>897</v>
      </c>
      <c r="F375">
        <v>0</v>
      </c>
      <c r="G375" t="s">
        <v>8083</v>
      </c>
      <c r="H375" t="s">
        <v>8083</v>
      </c>
      <c r="I375">
        <v>0</v>
      </c>
      <c r="J375" t="s">
        <v>833</v>
      </c>
      <c r="K375" t="s">
        <v>834</v>
      </c>
      <c r="L375">
        <v>148722482</v>
      </c>
      <c r="M375" t="s">
        <v>8084</v>
      </c>
      <c r="N375" t="s">
        <v>900</v>
      </c>
      <c r="O375" t="s">
        <v>837</v>
      </c>
      <c r="P375" t="s">
        <v>999</v>
      </c>
      <c r="Q375" t="s">
        <v>2661</v>
      </c>
      <c r="R375" t="s">
        <v>8085</v>
      </c>
      <c r="S375" t="s">
        <v>8086</v>
      </c>
      <c r="T375">
        <v>41477130640</v>
      </c>
      <c r="V375" t="s">
        <v>239</v>
      </c>
      <c r="W375" s="41">
        <v>46027</v>
      </c>
      <c r="X375" t="s">
        <v>8087</v>
      </c>
      <c r="Y375" t="s">
        <v>8088</v>
      </c>
      <c r="Z375">
        <v>1</v>
      </c>
      <c r="AA375">
        <v>0</v>
      </c>
      <c r="AB375" t="s">
        <v>845</v>
      </c>
      <c r="AC375" t="s">
        <v>846</v>
      </c>
      <c r="AD375" t="s">
        <v>1335</v>
      </c>
      <c r="AE375" t="s">
        <v>1336</v>
      </c>
      <c r="AF375">
        <v>1</v>
      </c>
      <c r="AG375">
        <v>452210</v>
      </c>
      <c r="AH375" t="s">
        <v>849</v>
      </c>
      <c r="AI375" t="s">
        <v>850</v>
      </c>
      <c r="AJ375" t="s">
        <v>851</v>
      </c>
      <c r="AK375" t="s">
        <v>265</v>
      </c>
      <c r="AL375" t="s">
        <v>1644</v>
      </c>
      <c r="AM375" t="s">
        <v>1645</v>
      </c>
      <c r="AN375" t="s">
        <v>854</v>
      </c>
      <c r="AO375">
        <v>36805</v>
      </c>
      <c r="AP375">
        <v>928</v>
      </c>
      <c r="AQ375" t="s">
        <v>855</v>
      </c>
      <c r="AR375">
        <v>66276728</v>
      </c>
      <c r="AS375" t="s">
        <v>856</v>
      </c>
      <c r="AU375" t="s">
        <v>8089</v>
      </c>
      <c r="AV375" t="s">
        <v>8090</v>
      </c>
      <c r="AX375" t="s">
        <v>913</v>
      </c>
      <c r="AY375" t="s">
        <v>861</v>
      </c>
      <c r="AZ375" t="s">
        <v>265</v>
      </c>
      <c r="BA375" t="s">
        <v>266</v>
      </c>
      <c r="BB375">
        <v>0</v>
      </c>
      <c r="BC375">
        <v>0</v>
      </c>
      <c r="BD375">
        <v>0</v>
      </c>
      <c r="BE375" t="s">
        <v>8084</v>
      </c>
      <c r="BF375">
        <v>0</v>
      </c>
      <c r="BG375">
        <v>0</v>
      </c>
      <c r="BH375" t="s">
        <v>862</v>
      </c>
      <c r="BI375">
        <v>0</v>
      </c>
      <c r="BJ375" t="s">
        <v>862</v>
      </c>
      <c r="BK375">
        <v>1</v>
      </c>
      <c r="BL375">
        <v>1</v>
      </c>
      <c r="BM375">
        <v>0</v>
      </c>
      <c r="BN375" t="s">
        <v>596</v>
      </c>
      <c r="BP375" t="s">
        <v>8083</v>
      </c>
      <c r="BQ375">
        <v>41.465787599999999</v>
      </c>
      <c r="BR375">
        <v>42793653</v>
      </c>
      <c r="BS375">
        <v>-81.952492599999999</v>
      </c>
      <c r="BT375">
        <v>2</v>
      </c>
      <c r="BU375" t="s">
        <v>1367</v>
      </c>
      <c r="CE375">
        <v>1</v>
      </c>
      <c r="CI375">
        <v>11</v>
      </c>
      <c r="CJ375" t="s">
        <v>94</v>
      </c>
      <c r="CM375">
        <v>4010</v>
      </c>
      <c r="CO375">
        <v>7360</v>
      </c>
      <c r="CP375">
        <v>0.15</v>
      </c>
      <c r="CQ375">
        <v>0.15</v>
      </c>
      <c r="CR375">
        <v>1.67E-2</v>
      </c>
      <c r="CS375">
        <v>0</v>
      </c>
      <c r="CT375" t="s">
        <v>8090</v>
      </c>
      <c r="CU375" t="s">
        <v>8089</v>
      </c>
      <c r="CV375" t="s">
        <v>833</v>
      </c>
      <c r="CW375" t="s">
        <v>834</v>
      </c>
      <c r="CX375" t="s">
        <v>2097</v>
      </c>
      <c r="CY375">
        <v>0</v>
      </c>
      <c r="CZ375">
        <v>0</v>
      </c>
      <c r="DA375" t="s">
        <v>833</v>
      </c>
      <c r="DB375" t="s">
        <v>865</v>
      </c>
      <c r="DC375">
        <v>44145</v>
      </c>
      <c r="DD375">
        <v>2.8</v>
      </c>
      <c r="DE375" t="s">
        <v>866</v>
      </c>
      <c r="DG375" t="s">
        <v>867</v>
      </c>
      <c r="DH375" t="s">
        <v>851</v>
      </c>
      <c r="DK375" t="s">
        <v>918</v>
      </c>
      <c r="DL375" t="s">
        <v>869</v>
      </c>
      <c r="DM375">
        <v>0</v>
      </c>
      <c r="DN375">
        <v>0</v>
      </c>
      <c r="DO375">
        <v>1</v>
      </c>
      <c r="DP375" t="s">
        <v>985</v>
      </c>
      <c r="DQ375">
        <v>16</v>
      </c>
      <c r="DR375">
        <v>168</v>
      </c>
      <c r="DS375">
        <v>168</v>
      </c>
      <c r="DT375">
        <v>2.65</v>
      </c>
      <c r="DU375">
        <v>4</v>
      </c>
      <c r="DV375">
        <v>1</v>
      </c>
      <c r="DW375">
        <v>2</v>
      </c>
      <c r="DX375" t="s">
        <v>596</v>
      </c>
      <c r="DY375" t="s">
        <v>8084</v>
      </c>
      <c r="DZ375">
        <v>1</v>
      </c>
      <c r="EA375">
        <v>1</v>
      </c>
      <c r="EB375">
        <v>1</v>
      </c>
      <c r="EC375">
        <v>1</v>
      </c>
      <c r="ED375">
        <v>1</v>
      </c>
      <c r="EE375">
        <v>1</v>
      </c>
      <c r="EF375" t="s">
        <v>920</v>
      </c>
      <c r="EG375" t="s">
        <v>595</v>
      </c>
      <c r="EH375" t="s">
        <v>921</v>
      </c>
      <c r="EI375" t="s">
        <v>921</v>
      </c>
      <c r="EJ375" t="s">
        <v>226</v>
      </c>
      <c r="EK375">
        <v>9090</v>
      </c>
      <c r="EL375">
        <v>0</v>
      </c>
      <c r="EM375" t="s">
        <v>1157</v>
      </c>
      <c r="EN375">
        <v>1.67E-2</v>
      </c>
      <c r="EO375">
        <v>2.8</v>
      </c>
      <c r="EP375">
        <v>99991120</v>
      </c>
      <c r="EQ375" t="s">
        <v>874</v>
      </c>
      <c r="ER375" t="s">
        <v>875</v>
      </c>
      <c r="ES375" t="s">
        <v>876</v>
      </c>
      <c r="ET375" t="s">
        <v>877</v>
      </c>
      <c r="EU375" t="s">
        <v>877</v>
      </c>
      <c r="EV375" t="s">
        <v>920</v>
      </c>
      <c r="EX375" t="s">
        <v>953</v>
      </c>
      <c r="EY375" t="s">
        <v>986</v>
      </c>
      <c r="EZ375" t="s">
        <v>1236</v>
      </c>
      <c r="FA375" t="s">
        <v>956</v>
      </c>
      <c r="FB375">
        <v>1</v>
      </c>
      <c r="FC375">
        <v>1</v>
      </c>
      <c r="FD375" s="41">
        <v>46032</v>
      </c>
      <c r="FE375" t="s">
        <v>1370</v>
      </c>
      <c r="FF375">
        <v>7</v>
      </c>
      <c r="FG375" t="s">
        <v>1649</v>
      </c>
      <c r="FH375" t="s">
        <v>8091</v>
      </c>
      <c r="FI375">
        <v>1</v>
      </c>
      <c r="FJ375" t="s">
        <v>1651</v>
      </c>
      <c r="FK375" t="s">
        <v>8092</v>
      </c>
      <c r="FL375">
        <v>1</v>
      </c>
      <c r="FM375" t="s">
        <v>8093</v>
      </c>
      <c r="FN375" t="s">
        <v>8094</v>
      </c>
      <c r="FO375">
        <v>1</v>
      </c>
      <c r="FP375" t="s">
        <v>8095</v>
      </c>
      <c r="FQ375" t="s">
        <v>8089</v>
      </c>
      <c r="FR375">
        <v>1</v>
      </c>
      <c r="FS375" t="s">
        <v>1656</v>
      </c>
      <c r="FT375" t="s">
        <v>8096</v>
      </c>
      <c r="FU375">
        <v>1</v>
      </c>
      <c r="FV375" t="s">
        <v>1658</v>
      </c>
      <c r="FW375" t="s">
        <v>8097</v>
      </c>
      <c r="FX375">
        <v>1</v>
      </c>
      <c r="FY375" t="s">
        <v>890</v>
      </c>
      <c r="FZ375" t="s">
        <v>8098</v>
      </c>
      <c r="GA375" t="s">
        <v>1651</v>
      </c>
      <c r="GB375">
        <v>1</v>
      </c>
      <c r="GD375">
        <v>0</v>
      </c>
      <c r="GF375">
        <v>0</v>
      </c>
      <c r="GG375">
        <v>1</v>
      </c>
      <c r="GH375" t="s">
        <v>892</v>
      </c>
      <c r="GI375" t="s">
        <v>893</v>
      </c>
      <c r="GJ375" t="s">
        <v>8092</v>
      </c>
      <c r="GM375">
        <v>1</v>
      </c>
      <c r="GN375">
        <v>1</v>
      </c>
      <c r="GO375">
        <v>0</v>
      </c>
      <c r="GP375">
        <v>1</v>
      </c>
      <c r="GQ375">
        <v>1</v>
      </c>
      <c r="GR375">
        <v>0</v>
      </c>
      <c r="GS375">
        <v>1</v>
      </c>
      <c r="GT375">
        <v>0</v>
      </c>
      <c r="GU375">
        <v>1</v>
      </c>
      <c r="GV375">
        <v>0</v>
      </c>
      <c r="GW375">
        <v>1</v>
      </c>
      <c r="GX375">
        <v>0</v>
      </c>
      <c r="GY375">
        <v>1</v>
      </c>
      <c r="GZ375">
        <v>0</v>
      </c>
      <c r="HA375" t="s">
        <v>265</v>
      </c>
      <c r="HB375" t="s">
        <v>894</v>
      </c>
      <c r="HC375" t="s">
        <v>935</v>
      </c>
      <c r="HD375" t="s">
        <v>845</v>
      </c>
      <c r="HE375" t="s">
        <v>900</v>
      </c>
      <c r="HF375" t="s">
        <v>923</v>
      </c>
      <c r="HG375" t="s">
        <v>894</v>
      </c>
      <c r="HH375" t="s">
        <v>935</v>
      </c>
      <c r="HI375" t="s">
        <v>845</v>
      </c>
      <c r="HJ375" t="s">
        <v>900</v>
      </c>
      <c r="HK375" t="s">
        <v>922</v>
      </c>
      <c r="HL375" t="s">
        <v>239</v>
      </c>
      <c r="HM375" t="s">
        <v>854</v>
      </c>
      <c r="HN375">
        <v>36805</v>
      </c>
      <c r="HP375" t="s">
        <v>226</v>
      </c>
      <c r="HQ375" t="s">
        <v>896</v>
      </c>
      <c r="HR375" t="s">
        <v>896</v>
      </c>
      <c r="HS375" t="s">
        <v>896</v>
      </c>
    </row>
    <row r="376" spans="1:227" x14ac:dyDescent="0.2">
      <c r="A376">
        <v>8702</v>
      </c>
      <c r="B376">
        <v>7604308147</v>
      </c>
      <c r="C376" t="s">
        <v>1171</v>
      </c>
      <c r="D376" t="s">
        <v>1172</v>
      </c>
      <c r="E376" t="s">
        <v>831</v>
      </c>
      <c r="F376">
        <v>0</v>
      </c>
      <c r="G376" t="s">
        <v>8099</v>
      </c>
      <c r="H376" t="s">
        <v>8099</v>
      </c>
      <c r="I376">
        <v>0</v>
      </c>
      <c r="J376" t="s">
        <v>833</v>
      </c>
      <c r="K376" t="s">
        <v>834</v>
      </c>
      <c r="L376">
        <v>153406525</v>
      </c>
      <c r="M376" t="s">
        <v>2268</v>
      </c>
      <c r="N376" t="s">
        <v>836</v>
      </c>
      <c r="O376" t="s">
        <v>837</v>
      </c>
      <c r="P376" t="s">
        <v>1175</v>
      </c>
      <c r="Q376" t="s">
        <v>1176</v>
      </c>
      <c r="R376" t="s">
        <v>6228</v>
      </c>
      <c r="S376" t="s">
        <v>6229</v>
      </c>
      <c r="T376">
        <v>41477088992</v>
      </c>
      <c r="V376" t="s">
        <v>2273</v>
      </c>
      <c r="W376" s="41">
        <v>46065</v>
      </c>
      <c r="X376" t="s">
        <v>8100</v>
      </c>
      <c r="Y376" t="s">
        <v>8101</v>
      </c>
      <c r="AA376">
        <v>0</v>
      </c>
      <c r="AB376" t="s">
        <v>845</v>
      </c>
      <c r="AC376" t="s">
        <v>846</v>
      </c>
      <c r="AD376" t="s">
        <v>1113</v>
      </c>
      <c r="AE376" t="s">
        <v>1114</v>
      </c>
      <c r="AF376">
        <v>1</v>
      </c>
      <c r="AG376">
        <v>452210</v>
      </c>
      <c r="AH376" t="s">
        <v>849</v>
      </c>
      <c r="AI376" t="s">
        <v>850</v>
      </c>
      <c r="AJ376" t="s">
        <v>851</v>
      </c>
      <c r="AK376" t="s">
        <v>303</v>
      </c>
      <c r="AL376" t="s">
        <v>1115</v>
      </c>
      <c r="AM376" t="s">
        <v>2277</v>
      </c>
      <c r="AN376" t="s">
        <v>854</v>
      </c>
      <c r="AO376">
        <v>36805</v>
      </c>
      <c r="AP376">
        <v>561</v>
      </c>
      <c r="AQ376" t="s">
        <v>855</v>
      </c>
      <c r="AR376">
        <v>66331668</v>
      </c>
      <c r="AS376" t="s">
        <v>856</v>
      </c>
      <c r="AU376" t="s">
        <v>8102</v>
      </c>
      <c r="AV376" t="s">
        <v>8103</v>
      </c>
      <c r="AX376" t="s">
        <v>913</v>
      </c>
      <c r="AY376" t="s">
        <v>861</v>
      </c>
      <c r="AZ376" t="s">
        <v>303</v>
      </c>
      <c r="BA376" t="s">
        <v>304</v>
      </c>
      <c r="BB376">
        <v>0</v>
      </c>
      <c r="BC376">
        <v>0</v>
      </c>
      <c r="BD376">
        <v>0</v>
      </c>
      <c r="BE376" t="s">
        <v>2268</v>
      </c>
      <c r="BF376">
        <v>0</v>
      </c>
      <c r="BG376">
        <v>0</v>
      </c>
      <c r="BH376" t="s">
        <v>862</v>
      </c>
      <c r="BI376">
        <v>0</v>
      </c>
      <c r="BJ376" t="s">
        <v>862</v>
      </c>
      <c r="BK376">
        <v>1</v>
      </c>
      <c r="BL376">
        <v>1</v>
      </c>
      <c r="BM376">
        <v>0</v>
      </c>
      <c r="BN376" t="s">
        <v>596</v>
      </c>
      <c r="BO376">
        <v>153406525</v>
      </c>
      <c r="BP376" t="s">
        <v>8099</v>
      </c>
      <c r="BR376">
        <v>42791463</v>
      </c>
      <c r="BT376">
        <v>2</v>
      </c>
      <c r="BU376" t="s">
        <v>1780</v>
      </c>
      <c r="CE376">
        <v>1</v>
      </c>
      <c r="CI376">
        <v>11</v>
      </c>
      <c r="CJ376" t="s">
        <v>94</v>
      </c>
      <c r="CM376">
        <v>4010</v>
      </c>
      <c r="CO376">
        <v>7360</v>
      </c>
      <c r="CP376">
        <v>0.41670000000000001</v>
      </c>
      <c r="CQ376">
        <v>0.41670000000000001</v>
      </c>
      <c r="CR376">
        <v>0.66669999999999996</v>
      </c>
      <c r="CS376">
        <v>3</v>
      </c>
      <c r="CT376" t="s">
        <v>8104</v>
      </c>
      <c r="CU376" t="s">
        <v>8105</v>
      </c>
      <c r="CV376" t="s">
        <v>833</v>
      </c>
      <c r="CW376" t="s">
        <v>834</v>
      </c>
      <c r="CX376" t="s">
        <v>2268</v>
      </c>
      <c r="CY376">
        <v>0</v>
      </c>
      <c r="CZ376">
        <v>0</v>
      </c>
      <c r="DA376" t="s">
        <v>833</v>
      </c>
      <c r="DB376" t="s">
        <v>865</v>
      </c>
      <c r="DC376">
        <v>55414</v>
      </c>
      <c r="DD376">
        <v>1.6</v>
      </c>
      <c r="DE376" t="s">
        <v>866</v>
      </c>
      <c r="DG376" t="s">
        <v>867</v>
      </c>
      <c r="DH376" t="s">
        <v>851</v>
      </c>
      <c r="DK376" t="s">
        <v>918</v>
      </c>
      <c r="DL376" t="s">
        <v>869</v>
      </c>
      <c r="DM376">
        <v>0</v>
      </c>
      <c r="DN376">
        <v>0</v>
      </c>
      <c r="DO376">
        <v>1</v>
      </c>
      <c r="DP376" t="s">
        <v>985</v>
      </c>
      <c r="DQ376">
        <v>0</v>
      </c>
      <c r="DR376">
        <v>96</v>
      </c>
      <c r="DS376">
        <v>96</v>
      </c>
      <c r="DT376">
        <v>1.1833</v>
      </c>
      <c r="DU376">
        <v>0</v>
      </c>
      <c r="DV376">
        <v>1</v>
      </c>
      <c r="DW376">
        <v>2</v>
      </c>
      <c r="DX376" t="s">
        <v>596</v>
      </c>
      <c r="DY376" t="s">
        <v>2268</v>
      </c>
      <c r="DZ376">
        <v>1</v>
      </c>
      <c r="EA376">
        <v>1</v>
      </c>
      <c r="EB376">
        <v>1</v>
      </c>
      <c r="EC376">
        <v>1</v>
      </c>
      <c r="ED376">
        <v>1</v>
      </c>
      <c r="EE376">
        <v>1</v>
      </c>
      <c r="EF376" t="s">
        <v>871</v>
      </c>
      <c r="EG376" t="s">
        <v>595</v>
      </c>
      <c r="EH376" t="s">
        <v>921</v>
      </c>
      <c r="EI376" t="s">
        <v>921</v>
      </c>
      <c r="EJ376" t="s">
        <v>159</v>
      </c>
      <c r="EK376">
        <v>9090</v>
      </c>
      <c r="EL376">
        <v>0</v>
      </c>
      <c r="EM376" t="s">
        <v>873</v>
      </c>
      <c r="EN376">
        <v>0.66669999999999996</v>
      </c>
      <c r="EO376">
        <v>1.6</v>
      </c>
      <c r="EP376">
        <v>99991120</v>
      </c>
      <c r="EQ376" t="s">
        <v>874</v>
      </c>
      <c r="ER376" t="s">
        <v>875</v>
      </c>
      <c r="ES376" t="s">
        <v>876</v>
      </c>
      <c r="ET376" t="s">
        <v>877</v>
      </c>
      <c r="EU376" t="s">
        <v>877</v>
      </c>
      <c r="EV376" t="s">
        <v>871</v>
      </c>
      <c r="EX376" t="s">
        <v>836</v>
      </c>
      <c r="EY376" t="s">
        <v>1121</v>
      </c>
      <c r="EZ376" t="s">
        <v>1122</v>
      </c>
      <c r="FA376" t="s">
        <v>956</v>
      </c>
      <c r="FB376">
        <v>1</v>
      </c>
      <c r="FC376">
        <v>1</v>
      </c>
      <c r="FD376" s="41">
        <v>46067</v>
      </c>
      <c r="FE376" t="s">
        <v>1267</v>
      </c>
      <c r="FF376">
        <v>4</v>
      </c>
      <c r="FI376">
        <v>0</v>
      </c>
      <c r="FL376">
        <v>0</v>
      </c>
      <c r="FM376" t="s">
        <v>2284</v>
      </c>
      <c r="FN376" t="s">
        <v>8106</v>
      </c>
      <c r="FO376">
        <v>1</v>
      </c>
      <c r="FP376" t="s">
        <v>8107</v>
      </c>
      <c r="FQ376" t="s">
        <v>8105</v>
      </c>
      <c r="FR376">
        <v>1</v>
      </c>
      <c r="FS376" t="s">
        <v>1502</v>
      </c>
      <c r="FT376" t="s">
        <v>8108</v>
      </c>
      <c r="FU376">
        <v>1</v>
      </c>
      <c r="FV376" t="s">
        <v>8109</v>
      </c>
      <c r="FW376" t="s">
        <v>8110</v>
      </c>
      <c r="FX376">
        <v>1</v>
      </c>
      <c r="FY376" t="s">
        <v>890</v>
      </c>
      <c r="FZ376" t="s">
        <v>8111</v>
      </c>
      <c r="GA376" t="s">
        <v>8109</v>
      </c>
      <c r="GB376">
        <v>1</v>
      </c>
      <c r="GD376">
        <v>0</v>
      </c>
      <c r="GF376">
        <v>0</v>
      </c>
      <c r="GG376">
        <v>1</v>
      </c>
      <c r="GH376" t="s">
        <v>892</v>
      </c>
      <c r="GI376" t="s">
        <v>893</v>
      </c>
      <c r="GJ376" t="s">
        <v>8110</v>
      </c>
      <c r="GM376">
        <v>1</v>
      </c>
      <c r="GN376">
        <v>1</v>
      </c>
      <c r="GO376">
        <v>0</v>
      </c>
      <c r="GP376">
        <v>1</v>
      </c>
      <c r="GQ376">
        <v>1</v>
      </c>
      <c r="GR376">
        <v>0</v>
      </c>
      <c r="GS376">
        <v>1</v>
      </c>
      <c r="GT376">
        <v>0</v>
      </c>
      <c r="GU376">
        <v>1</v>
      </c>
      <c r="GV376">
        <v>0</v>
      </c>
      <c r="GW376">
        <v>1</v>
      </c>
      <c r="GX376">
        <v>0</v>
      </c>
      <c r="GY376">
        <v>1</v>
      </c>
      <c r="GZ376">
        <v>0</v>
      </c>
      <c r="HA376" t="s">
        <v>303</v>
      </c>
      <c r="HB376" t="s">
        <v>894</v>
      </c>
      <c r="HC376" t="s">
        <v>895</v>
      </c>
      <c r="HD376" t="s">
        <v>845</v>
      </c>
      <c r="HE376" t="s">
        <v>836</v>
      </c>
      <c r="HF376" t="s">
        <v>873</v>
      </c>
      <c r="HG376" t="s">
        <v>894</v>
      </c>
      <c r="HH376" t="s">
        <v>895</v>
      </c>
      <c r="HI376" t="s">
        <v>845</v>
      </c>
      <c r="HJ376" t="s">
        <v>836</v>
      </c>
      <c r="HK376" t="s">
        <v>873</v>
      </c>
      <c r="HL376" t="s">
        <v>2273</v>
      </c>
      <c r="HM376" t="s">
        <v>854</v>
      </c>
      <c r="HN376">
        <v>36805</v>
      </c>
      <c r="HP376" t="s">
        <v>159</v>
      </c>
      <c r="HQ376" t="s">
        <v>896</v>
      </c>
      <c r="HR376" t="s">
        <v>896</v>
      </c>
      <c r="HS376" t="s">
        <v>896</v>
      </c>
    </row>
    <row r="377" spans="1:227" x14ac:dyDescent="0.2">
      <c r="A377">
        <v>8702</v>
      </c>
      <c r="B377">
        <v>7524614544</v>
      </c>
      <c r="C377">
        <v>34</v>
      </c>
      <c r="D377" t="s">
        <v>996</v>
      </c>
      <c r="E377" t="s">
        <v>831</v>
      </c>
      <c r="F377">
        <v>0</v>
      </c>
      <c r="G377" t="s">
        <v>8112</v>
      </c>
      <c r="H377" t="s">
        <v>8112</v>
      </c>
      <c r="I377">
        <v>0</v>
      </c>
      <c r="J377" t="s">
        <v>833</v>
      </c>
      <c r="K377" t="s">
        <v>834</v>
      </c>
      <c r="L377">
        <v>153406461</v>
      </c>
      <c r="M377" t="s">
        <v>2423</v>
      </c>
      <c r="N377" t="s">
        <v>836</v>
      </c>
      <c r="O377" t="s">
        <v>837</v>
      </c>
      <c r="P377" t="s">
        <v>999</v>
      </c>
      <c r="Q377" t="s">
        <v>1027</v>
      </c>
      <c r="R377" t="s">
        <v>8113</v>
      </c>
      <c r="S377" t="s">
        <v>8114</v>
      </c>
      <c r="T377">
        <v>30300134878</v>
      </c>
      <c r="V377" t="s">
        <v>165</v>
      </c>
      <c r="W377" s="41">
        <v>45903</v>
      </c>
      <c r="X377" t="s">
        <v>8115</v>
      </c>
      <c r="Y377" t="s">
        <v>8116</v>
      </c>
      <c r="AA377">
        <v>0</v>
      </c>
      <c r="AB377" t="s">
        <v>845</v>
      </c>
      <c r="AC377" t="s">
        <v>846</v>
      </c>
      <c r="AD377" t="s">
        <v>847</v>
      </c>
      <c r="AE377" t="s">
        <v>848</v>
      </c>
      <c r="AF377">
        <v>1</v>
      </c>
      <c r="AG377">
        <v>452210</v>
      </c>
      <c r="AH377" t="s">
        <v>849</v>
      </c>
      <c r="AI377" t="s">
        <v>850</v>
      </c>
      <c r="AJ377" t="s">
        <v>851</v>
      </c>
      <c r="AK377" t="s">
        <v>285</v>
      </c>
      <c r="AL377" t="s">
        <v>1667</v>
      </c>
      <c r="AM377" t="s">
        <v>1499</v>
      </c>
      <c r="AN377" t="s">
        <v>854</v>
      </c>
      <c r="AO377">
        <v>36805</v>
      </c>
      <c r="AP377">
        <v>544</v>
      </c>
      <c r="AQ377" t="s">
        <v>855</v>
      </c>
      <c r="AR377">
        <v>66098307</v>
      </c>
      <c r="AS377" t="s">
        <v>856</v>
      </c>
      <c r="AU377" t="s">
        <v>8117</v>
      </c>
      <c r="AV377" t="s">
        <v>8118</v>
      </c>
      <c r="AX377" t="s">
        <v>913</v>
      </c>
      <c r="AY377" t="s">
        <v>861</v>
      </c>
      <c r="AZ377" t="s">
        <v>285</v>
      </c>
      <c r="BA377" t="s">
        <v>286</v>
      </c>
      <c r="BB377">
        <v>0</v>
      </c>
      <c r="BC377">
        <v>0</v>
      </c>
      <c r="BD377">
        <v>0</v>
      </c>
      <c r="BE377" t="s">
        <v>2423</v>
      </c>
      <c r="BF377">
        <v>0</v>
      </c>
      <c r="BG377">
        <v>0</v>
      </c>
      <c r="BH377" t="s">
        <v>862</v>
      </c>
      <c r="BI377">
        <v>0</v>
      </c>
      <c r="BJ377" t="s">
        <v>862</v>
      </c>
      <c r="BK377">
        <v>1</v>
      </c>
      <c r="BL377">
        <v>1</v>
      </c>
      <c r="BM377">
        <v>0</v>
      </c>
      <c r="BN377" t="s">
        <v>596</v>
      </c>
      <c r="BO377">
        <v>153406461</v>
      </c>
      <c r="BP377" t="s">
        <v>8112</v>
      </c>
      <c r="BR377">
        <v>42791459</v>
      </c>
      <c r="BT377">
        <v>0</v>
      </c>
      <c r="CM377">
        <v>4010</v>
      </c>
      <c r="CO377">
        <v>7360</v>
      </c>
      <c r="CP377">
        <v>0.2</v>
      </c>
      <c r="CQ377">
        <v>0.2</v>
      </c>
      <c r="CR377">
        <v>1.67E-2</v>
      </c>
      <c r="CS377">
        <v>1</v>
      </c>
      <c r="CT377" t="s">
        <v>8119</v>
      </c>
      <c r="CU377" t="s">
        <v>8120</v>
      </c>
      <c r="CV377" t="s">
        <v>833</v>
      </c>
      <c r="CW377" t="s">
        <v>834</v>
      </c>
      <c r="CX377" t="s">
        <v>2423</v>
      </c>
      <c r="CY377">
        <v>0</v>
      </c>
      <c r="CZ377">
        <v>0</v>
      </c>
      <c r="DA377" t="s">
        <v>833</v>
      </c>
      <c r="DB377" t="s">
        <v>865</v>
      </c>
      <c r="DC377">
        <v>55378</v>
      </c>
      <c r="DD377">
        <v>3.3666999999999998</v>
      </c>
      <c r="DE377" t="s">
        <v>866</v>
      </c>
      <c r="DG377" t="s">
        <v>867</v>
      </c>
      <c r="DH377" t="s">
        <v>851</v>
      </c>
      <c r="DL377" t="s">
        <v>869</v>
      </c>
      <c r="DM377">
        <v>0</v>
      </c>
      <c r="DN377">
        <v>0</v>
      </c>
      <c r="DO377">
        <v>2</v>
      </c>
      <c r="DP377" t="s">
        <v>870</v>
      </c>
      <c r="DQ377">
        <v>12</v>
      </c>
      <c r="DR377">
        <v>202</v>
      </c>
      <c r="DS377">
        <v>202</v>
      </c>
      <c r="DT377">
        <v>3.1667000000000001</v>
      </c>
      <c r="DU377">
        <v>4</v>
      </c>
      <c r="DW377">
        <v>1</v>
      </c>
      <c r="DX377" t="s">
        <v>596</v>
      </c>
      <c r="DY377" t="s">
        <v>2423</v>
      </c>
      <c r="DZ377">
        <v>1</v>
      </c>
      <c r="EA377">
        <v>1</v>
      </c>
      <c r="EB377">
        <v>1</v>
      </c>
      <c r="EC377">
        <v>1</v>
      </c>
      <c r="ED377">
        <v>1</v>
      </c>
      <c r="EE377">
        <v>1</v>
      </c>
      <c r="EF377" t="s">
        <v>871</v>
      </c>
      <c r="EG377" t="s">
        <v>595</v>
      </c>
      <c r="EH377" t="s">
        <v>1036</v>
      </c>
      <c r="EI377" t="s">
        <v>1036</v>
      </c>
      <c r="EJ377" t="s">
        <v>159</v>
      </c>
      <c r="EK377">
        <v>9090</v>
      </c>
      <c r="EL377">
        <v>0</v>
      </c>
      <c r="EM377" t="s">
        <v>873</v>
      </c>
      <c r="EN377">
        <v>1.67E-2</v>
      </c>
      <c r="EO377">
        <v>3.3666665999999998</v>
      </c>
      <c r="EP377">
        <v>99991120</v>
      </c>
      <c r="EQ377" t="s">
        <v>874</v>
      </c>
      <c r="ER377" t="s">
        <v>875</v>
      </c>
      <c r="ES377" t="s">
        <v>876</v>
      </c>
      <c r="ET377" t="s">
        <v>877</v>
      </c>
      <c r="EU377" t="s">
        <v>877</v>
      </c>
      <c r="EV377" t="s">
        <v>871</v>
      </c>
      <c r="EX377" t="s">
        <v>836</v>
      </c>
      <c r="EY377" t="s">
        <v>1121</v>
      </c>
      <c r="EZ377" t="s">
        <v>1122</v>
      </c>
      <c r="FA377" t="s">
        <v>956</v>
      </c>
      <c r="FB377">
        <v>1</v>
      </c>
      <c r="FC377">
        <v>1</v>
      </c>
      <c r="FD377" s="41">
        <v>45906</v>
      </c>
      <c r="FE377" t="s">
        <v>880</v>
      </c>
      <c r="FF377">
        <v>4</v>
      </c>
      <c r="FI377">
        <v>0</v>
      </c>
      <c r="FL377">
        <v>0</v>
      </c>
      <c r="FM377" t="s">
        <v>2430</v>
      </c>
      <c r="FN377" t="s">
        <v>8121</v>
      </c>
      <c r="FO377">
        <v>1</v>
      </c>
      <c r="FP377" t="s">
        <v>8122</v>
      </c>
      <c r="FQ377" t="s">
        <v>8120</v>
      </c>
      <c r="FR377">
        <v>1</v>
      </c>
      <c r="FS377" t="s">
        <v>1672</v>
      </c>
      <c r="FT377" t="s">
        <v>8123</v>
      </c>
      <c r="FU377">
        <v>1</v>
      </c>
      <c r="FV377" t="s">
        <v>1674</v>
      </c>
      <c r="FW377" t="s">
        <v>8124</v>
      </c>
      <c r="FX377">
        <v>1</v>
      </c>
      <c r="FY377" t="s">
        <v>890</v>
      </c>
      <c r="FZ377" t="s">
        <v>8125</v>
      </c>
      <c r="GA377" t="s">
        <v>1674</v>
      </c>
      <c r="GB377">
        <v>1</v>
      </c>
      <c r="GD377">
        <v>0</v>
      </c>
      <c r="GF377">
        <v>0</v>
      </c>
      <c r="GG377">
        <v>1</v>
      </c>
      <c r="GH377" t="s">
        <v>892</v>
      </c>
      <c r="GI377" t="s">
        <v>893</v>
      </c>
      <c r="GJ377" t="s">
        <v>8124</v>
      </c>
      <c r="GM377">
        <v>1</v>
      </c>
      <c r="GN377">
        <v>1</v>
      </c>
      <c r="GO377">
        <v>0</v>
      </c>
      <c r="GP377">
        <v>1</v>
      </c>
      <c r="GQ377">
        <v>1</v>
      </c>
      <c r="GR377">
        <v>0</v>
      </c>
      <c r="GS377">
        <v>1</v>
      </c>
      <c r="GT377">
        <v>0</v>
      </c>
      <c r="GU377">
        <v>1</v>
      </c>
      <c r="GV377">
        <v>0</v>
      </c>
      <c r="GW377">
        <v>1</v>
      </c>
      <c r="GX377">
        <v>0</v>
      </c>
      <c r="GY377">
        <v>1</v>
      </c>
      <c r="GZ377">
        <v>0</v>
      </c>
      <c r="HA377" t="s">
        <v>285</v>
      </c>
      <c r="HB377" t="s">
        <v>894</v>
      </c>
      <c r="HC377" t="s">
        <v>895</v>
      </c>
      <c r="HD377" t="s">
        <v>845</v>
      </c>
      <c r="HE377" t="s">
        <v>836</v>
      </c>
      <c r="HF377" t="s">
        <v>873</v>
      </c>
      <c r="HG377" t="s">
        <v>894</v>
      </c>
      <c r="HH377" t="s">
        <v>895</v>
      </c>
      <c r="HI377" t="s">
        <v>845</v>
      </c>
      <c r="HJ377" t="s">
        <v>836</v>
      </c>
      <c r="HK377" t="s">
        <v>873</v>
      </c>
      <c r="HL377" t="s">
        <v>165</v>
      </c>
      <c r="HM377" t="s">
        <v>854</v>
      </c>
      <c r="HN377">
        <v>36805</v>
      </c>
      <c r="HP377" t="s">
        <v>159</v>
      </c>
      <c r="HQ377" t="s">
        <v>896</v>
      </c>
      <c r="HR377" t="s">
        <v>896</v>
      </c>
      <c r="HS377" t="s">
        <v>896</v>
      </c>
    </row>
    <row r="378" spans="1:227" x14ac:dyDescent="0.2">
      <c r="A378">
        <v>8702</v>
      </c>
      <c r="B378">
        <v>7527202432</v>
      </c>
      <c r="C378">
        <v>34</v>
      </c>
      <c r="D378" t="s">
        <v>996</v>
      </c>
      <c r="E378" t="s">
        <v>831</v>
      </c>
      <c r="F378">
        <v>0</v>
      </c>
      <c r="G378" t="s">
        <v>8126</v>
      </c>
      <c r="H378" t="s">
        <v>8126</v>
      </c>
      <c r="I378">
        <v>0</v>
      </c>
      <c r="J378" t="s">
        <v>833</v>
      </c>
      <c r="K378" t="s">
        <v>834</v>
      </c>
      <c r="L378">
        <v>156046223</v>
      </c>
      <c r="M378" t="s">
        <v>2546</v>
      </c>
      <c r="N378" t="s">
        <v>836</v>
      </c>
      <c r="O378" t="s">
        <v>837</v>
      </c>
      <c r="P378" t="s">
        <v>999</v>
      </c>
      <c r="Q378" t="s">
        <v>2459</v>
      </c>
      <c r="R378" t="s">
        <v>8127</v>
      </c>
      <c r="S378" t="s">
        <v>8128</v>
      </c>
      <c r="T378">
        <v>30300127006</v>
      </c>
      <c r="V378" t="s">
        <v>187</v>
      </c>
      <c r="W378" s="41">
        <v>45929</v>
      </c>
      <c r="X378" t="s">
        <v>8129</v>
      </c>
      <c r="Y378" t="s">
        <v>8130</v>
      </c>
      <c r="AA378">
        <v>0</v>
      </c>
      <c r="AB378" t="s">
        <v>845</v>
      </c>
      <c r="AC378" t="s">
        <v>846</v>
      </c>
      <c r="AD378" t="s">
        <v>847</v>
      </c>
      <c r="AE378" t="s">
        <v>848</v>
      </c>
      <c r="AF378">
        <v>1</v>
      </c>
      <c r="AG378">
        <v>452210</v>
      </c>
      <c r="AH378" t="s">
        <v>849</v>
      </c>
      <c r="AI378" t="s">
        <v>850</v>
      </c>
      <c r="AJ378" t="s">
        <v>851</v>
      </c>
      <c r="AK378" t="s">
        <v>255</v>
      </c>
      <c r="AL378" t="s">
        <v>2605</v>
      </c>
      <c r="AM378" t="s">
        <v>2553</v>
      </c>
      <c r="AN378" t="s">
        <v>854</v>
      </c>
      <c r="AO378">
        <v>36805</v>
      </c>
      <c r="AP378">
        <v>634</v>
      </c>
      <c r="AQ378" t="s">
        <v>855</v>
      </c>
      <c r="AR378">
        <v>66135611</v>
      </c>
      <c r="AS378" t="s">
        <v>856</v>
      </c>
      <c r="AU378" t="s">
        <v>8131</v>
      </c>
      <c r="AV378" t="s">
        <v>8132</v>
      </c>
      <c r="AX378" t="s">
        <v>913</v>
      </c>
      <c r="AY378" t="s">
        <v>861</v>
      </c>
      <c r="AZ378" t="s">
        <v>255</v>
      </c>
      <c r="BA378" t="s">
        <v>256</v>
      </c>
      <c r="BB378">
        <v>0</v>
      </c>
      <c r="BC378">
        <v>0</v>
      </c>
      <c r="BD378">
        <v>0</v>
      </c>
      <c r="BE378" t="s">
        <v>2546</v>
      </c>
      <c r="BF378">
        <v>0</v>
      </c>
      <c r="BG378">
        <v>0</v>
      </c>
      <c r="BH378" t="s">
        <v>862</v>
      </c>
      <c r="BI378">
        <v>0</v>
      </c>
      <c r="BJ378" t="s">
        <v>862</v>
      </c>
      <c r="BK378">
        <v>1</v>
      </c>
      <c r="BL378">
        <v>1</v>
      </c>
      <c r="BM378">
        <v>0</v>
      </c>
      <c r="BN378" t="s">
        <v>596</v>
      </c>
      <c r="BO378">
        <v>156046223</v>
      </c>
      <c r="BP378" t="s">
        <v>8126</v>
      </c>
      <c r="BR378">
        <v>42791756</v>
      </c>
      <c r="BT378">
        <v>0</v>
      </c>
      <c r="CM378">
        <v>4010</v>
      </c>
      <c r="CO378">
        <v>7360</v>
      </c>
      <c r="CP378">
        <v>0.7</v>
      </c>
      <c r="CQ378">
        <v>0.7</v>
      </c>
      <c r="CR378">
        <v>1.45</v>
      </c>
      <c r="CS378">
        <v>71</v>
      </c>
      <c r="CT378" t="s">
        <v>8132</v>
      </c>
      <c r="CU378" t="s">
        <v>8131</v>
      </c>
      <c r="CV378" t="s">
        <v>833</v>
      </c>
      <c r="CW378" t="s">
        <v>834</v>
      </c>
      <c r="CX378" t="s">
        <v>2546</v>
      </c>
      <c r="CY378">
        <v>0</v>
      </c>
      <c r="CZ378">
        <v>0</v>
      </c>
      <c r="DA378" t="s">
        <v>833</v>
      </c>
      <c r="DB378" t="s">
        <v>865</v>
      </c>
      <c r="DC378">
        <v>60435</v>
      </c>
      <c r="DD378">
        <v>4.9000000000000004</v>
      </c>
      <c r="DE378" t="s">
        <v>866</v>
      </c>
      <c r="DG378" t="s">
        <v>867</v>
      </c>
      <c r="DH378" t="s">
        <v>851</v>
      </c>
      <c r="DI378" t="s">
        <v>984</v>
      </c>
      <c r="DJ378" t="s">
        <v>2556</v>
      </c>
      <c r="DL378" t="s">
        <v>869</v>
      </c>
      <c r="DM378">
        <v>0</v>
      </c>
      <c r="DN378">
        <v>0</v>
      </c>
      <c r="DO378">
        <v>2</v>
      </c>
      <c r="DP378" t="s">
        <v>870</v>
      </c>
      <c r="DQ378">
        <v>16</v>
      </c>
      <c r="DR378">
        <v>294</v>
      </c>
      <c r="DS378">
        <v>364</v>
      </c>
      <c r="DT378">
        <v>4.2</v>
      </c>
      <c r="DU378">
        <v>4</v>
      </c>
      <c r="DW378">
        <v>2</v>
      </c>
      <c r="DX378" t="s">
        <v>596</v>
      </c>
      <c r="DY378" t="s">
        <v>2546</v>
      </c>
      <c r="DZ378">
        <v>1</v>
      </c>
      <c r="EA378">
        <v>1</v>
      </c>
      <c r="EB378">
        <v>1</v>
      </c>
      <c r="EC378">
        <v>0</v>
      </c>
      <c r="ED378">
        <v>0</v>
      </c>
      <c r="EE378">
        <v>1</v>
      </c>
      <c r="EF378" t="s">
        <v>871</v>
      </c>
      <c r="EG378" t="s">
        <v>595</v>
      </c>
      <c r="EH378" t="s">
        <v>921</v>
      </c>
      <c r="EI378" t="s">
        <v>921</v>
      </c>
      <c r="EJ378" t="s">
        <v>181</v>
      </c>
      <c r="EK378">
        <v>9090</v>
      </c>
      <c r="EL378">
        <v>0</v>
      </c>
      <c r="EM378" t="s">
        <v>1436</v>
      </c>
      <c r="EN378">
        <v>1.45</v>
      </c>
      <c r="EO378">
        <v>6.0666665999999996</v>
      </c>
      <c r="EP378">
        <v>99991120</v>
      </c>
      <c r="EQ378" t="s">
        <v>874</v>
      </c>
      <c r="ER378" t="s">
        <v>875</v>
      </c>
      <c r="ES378" t="s">
        <v>876</v>
      </c>
      <c r="ET378" t="s">
        <v>877</v>
      </c>
      <c r="EU378" t="s">
        <v>877</v>
      </c>
      <c r="EV378" t="s">
        <v>871</v>
      </c>
      <c r="EX378" t="s">
        <v>836</v>
      </c>
      <c r="EY378" t="s">
        <v>873</v>
      </c>
      <c r="EZ378" t="s">
        <v>1437</v>
      </c>
      <c r="FA378" t="s">
        <v>956</v>
      </c>
      <c r="FB378">
        <v>1</v>
      </c>
      <c r="FC378">
        <v>1</v>
      </c>
      <c r="FD378" s="41">
        <v>45934</v>
      </c>
      <c r="FE378" t="s">
        <v>880</v>
      </c>
      <c r="FF378">
        <v>4</v>
      </c>
      <c r="FI378">
        <v>0</v>
      </c>
      <c r="FL378">
        <v>0</v>
      </c>
      <c r="FM378" t="s">
        <v>2561</v>
      </c>
      <c r="FN378" t="s">
        <v>8133</v>
      </c>
      <c r="FO378">
        <v>1</v>
      </c>
      <c r="FP378" t="s">
        <v>8134</v>
      </c>
      <c r="FQ378" t="s">
        <v>8135</v>
      </c>
      <c r="FR378">
        <v>1</v>
      </c>
      <c r="FS378" t="s">
        <v>2610</v>
      </c>
      <c r="FT378" t="s">
        <v>8136</v>
      </c>
      <c r="FU378">
        <v>1</v>
      </c>
      <c r="FV378" t="s">
        <v>8137</v>
      </c>
      <c r="FW378" t="s">
        <v>8138</v>
      </c>
      <c r="FX378">
        <v>1</v>
      </c>
      <c r="FY378" t="s">
        <v>890</v>
      </c>
      <c r="FZ378" t="s">
        <v>8139</v>
      </c>
      <c r="GA378" t="s">
        <v>8137</v>
      </c>
      <c r="GB378">
        <v>1</v>
      </c>
      <c r="GD378">
        <v>0</v>
      </c>
      <c r="GF378">
        <v>0</v>
      </c>
      <c r="GG378">
        <v>1</v>
      </c>
      <c r="GH378" t="s">
        <v>892</v>
      </c>
      <c r="GI378" t="s">
        <v>893</v>
      </c>
      <c r="GJ378" t="s">
        <v>8138</v>
      </c>
      <c r="GM378">
        <v>1</v>
      </c>
      <c r="GN378">
        <v>1</v>
      </c>
      <c r="GO378">
        <v>0</v>
      </c>
      <c r="GP378">
        <v>1</v>
      </c>
      <c r="GQ378">
        <v>1</v>
      </c>
      <c r="GR378">
        <v>0</v>
      </c>
      <c r="GS378">
        <v>1</v>
      </c>
      <c r="GT378">
        <v>0</v>
      </c>
      <c r="GU378">
        <v>1</v>
      </c>
      <c r="GV378">
        <v>0</v>
      </c>
      <c r="GW378">
        <v>1</v>
      </c>
      <c r="GX378">
        <v>0</v>
      </c>
      <c r="GY378">
        <v>1</v>
      </c>
      <c r="GZ378">
        <v>0</v>
      </c>
      <c r="HA378" t="s">
        <v>255</v>
      </c>
      <c r="HB378" t="s">
        <v>894</v>
      </c>
      <c r="HC378" t="s">
        <v>895</v>
      </c>
      <c r="HD378" t="s">
        <v>845</v>
      </c>
      <c r="HE378" t="s">
        <v>836</v>
      </c>
      <c r="HF378" t="s">
        <v>873</v>
      </c>
      <c r="HG378" t="s">
        <v>894</v>
      </c>
      <c r="HH378" t="s">
        <v>895</v>
      </c>
      <c r="HI378" t="s">
        <v>845</v>
      </c>
      <c r="HJ378" t="s">
        <v>836</v>
      </c>
      <c r="HK378" t="s">
        <v>1436</v>
      </c>
      <c r="HL378" t="s">
        <v>187</v>
      </c>
      <c r="HM378" t="s">
        <v>854</v>
      </c>
      <c r="HN378">
        <v>36805</v>
      </c>
      <c r="HP378" t="s">
        <v>181</v>
      </c>
      <c r="HQ378" t="s">
        <v>896</v>
      </c>
      <c r="HR378" t="s">
        <v>896</v>
      </c>
      <c r="HS378" t="s">
        <v>896</v>
      </c>
    </row>
    <row r="379" spans="1:227" x14ac:dyDescent="0.2">
      <c r="A379">
        <v>8702</v>
      </c>
      <c r="B379">
        <v>7604105200</v>
      </c>
      <c r="C379" t="s">
        <v>829</v>
      </c>
      <c r="D379" t="s">
        <v>830</v>
      </c>
      <c r="E379" t="s">
        <v>831</v>
      </c>
      <c r="F379">
        <v>0</v>
      </c>
      <c r="G379" t="s">
        <v>8140</v>
      </c>
      <c r="H379" t="s">
        <v>8140</v>
      </c>
      <c r="I379">
        <v>0</v>
      </c>
      <c r="J379" t="s">
        <v>833</v>
      </c>
      <c r="K379" t="s">
        <v>834</v>
      </c>
      <c r="L379">
        <v>153406482</v>
      </c>
      <c r="M379" t="s">
        <v>8141</v>
      </c>
      <c r="N379" t="s">
        <v>836</v>
      </c>
      <c r="O379" t="s">
        <v>837</v>
      </c>
      <c r="P379" t="s">
        <v>838</v>
      </c>
      <c r="Q379" t="s">
        <v>1251</v>
      </c>
      <c r="R379" t="s">
        <v>8142</v>
      </c>
      <c r="S379" t="s">
        <v>8143</v>
      </c>
      <c r="T379">
        <v>30300098479</v>
      </c>
      <c r="V379" t="s">
        <v>214</v>
      </c>
      <c r="W379" s="41">
        <v>46063</v>
      </c>
      <c r="X379" t="s">
        <v>8144</v>
      </c>
      <c r="Y379" t="s">
        <v>8145</v>
      </c>
      <c r="AA379">
        <v>0</v>
      </c>
      <c r="AB379" t="s">
        <v>845</v>
      </c>
      <c r="AC379" t="s">
        <v>846</v>
      </c>
      <c r="AD379" t="s">
        <v>1113</v>
      </c>
      <c r="AE379" t="s">
        <v>1114</v>
      </c>
      <c r="AF379">
        <v>1</v>
      </c>
      <c r="AG379">
        <v>452210</v>
      </c>
      <c r="AH379" t="s">
        <v>849</v>
      </c>
      <c r="AI379" t="s">
        <v>850</v>
      </c>
      <c r="AJ379" t="s">
        <v>851</v>
      </c>
      <c r="AK379" t="s">
        <v>391</v>
      </c>
      <c r="AL379" t="s">
        <v>7687</v>
      </c>
      <c r="AM379" t="s">
        <v>1902</v>
      </c>
      <c r="AN379" t="s">
        <v>854</v>
      </c>
      <c r="AO379">
        <v>36805</v>
      </c>
      <c r="AP379">
        <v>701</v>
      </c>
      <c r="AQ379" t="s">
        <v>855</v>
      </c>
      <c r="AR379">
        <v>66328514</v>
      </c>
      <c r="AS379" t="s">
        <v>856</v>
      </c>
      <c r="AU379" t="s">
        <v>8146</v>
      </c>
      <c r="AV379" t="s">
        <v>8147</v>
      </c>
      <c r="AW379" t="s">
        <v>1261</v>
      </c>
      <c r="AX379" t="s">
        <v>1262</v>
      </c>
      <c r="AY379" t="s">
        <v>861</v>
      </c>
      <c r="AZ379" t="s">
        <v>391</v>
      </c>
      <c r="BA379" t="s">
        <v>392</v>
      </c>
      <c r="BB379">
        <v>0</v>
      </c>
      <c r="BC379">
        <v>0</v>
      </c>
      <c r="BD379">
        <v>0</v>
      </c>
      <c r="BE379" t="s">
        <v>8141</v>
      </c>
      <c r="BF379">
        <v>0</v>
      </c>
      <c r="BG379">
        <v>0</v>
      </c>
      <c r="BH379" t="s">
        <v>862</v>
      </c>
      <c r="BI379">
        <v>0</v>
      </c>
      <c r="BJ379" t="s">
        <v>862</v>
      </c>
      <c r="BK379">
        <v>1</v>
      </c>
      <c r="BL379">
        <v>0</v>
      </c>
      <c r="BM379">
        <v>0</v>
      </c>
      <c r="BN379" t="s">
        <v>596</v>
      </c>
      <c r="BO379">
        <v>153406482</v>
      </c>
      <c r="BP379" t="s">
        <v>8140</v>
      </c>
      <c r="BR379">
        <v>42791783</v>
      </c>
      <c r="BT379">
        <v>2</v>
      </c>
      <c r="BU379" t="s">
        <v>1263</v>
      </c>
      <c r="CE379">
        <v>1</v>
      </c>
      <c r="CI379">
        <v>11</v>
      </c>
      <c r="CJ379" t="s">
        <v>94</v>
      </c>
      <c r="CM379">
        <v>4010</v>
      </c>
      <c r="CO379">
        <v>7360</v>
      </c>
      <c r="CP379">
        <v>0.4667</v>
      </c>
      <c r="CQ379">
        <v>0.4667</v>
      </c>
      <c r="CR379">
        <v>0.55000000000000004</v>
      </c>
      <c r="CS379">
        <v>2</v>
      </c>
      <c r="CT379" t="s">
        <v>8147</v>
      </c>
      <c r="CU379" t="s">
        <v>8146</v>
      </c>
      <c r="CV379" t="s">
        <v>833</v>
      </c>
      <c r="CW379" t="s">
        <v>834</v>
      </c>
      <c r="CX379" t="s">
        <v>8141</v>
      </c>
      <c r="CY379">
        <v>0</v>
      </c>
      <c r="CZ379">
        <v>0</v>
      </c>
      <c r="DA379" t="s">
        <v>833</v>
      </c>
      <c r="DB379" t="s">
        <v>865</v>
      </c>
      <c r="DC379">
        <v>53202</v>
      </c>
      <c r="DD379">
        <v>2.1</v>
      </c>
      <c r="DE379" t="s">
        <v>866</v>
      </c>
      <c r="DG379" t="s">
        <v>867</v>
      </c>
      <c r="DH379" t="s">
        <v>851</v>
      </c>
      <c r="DK379" t="s">
        <v>918</v>
      </c>
      <c r="DL379" t="s">
        <v>869</v>
      </c>
      <c r="DM379">
        <v>0</v>
      </c>
      <c r="DN379">
        <v>0</v>
      </c>
      <c r="DO379">
        <v>3</v>
      </c>
      <c r="DP379" t="s">
        <v>919</v>
      </c>
      <c r="DQ379">
        <v>0</v>
      </c>
      <c r="DR379">
        <v>126</v>
      </c>
      <c r="DS379">
        <v>126</v>
      </c>
      <c r="DT379">
        <v>1.6333</v>
      </c>
      <c r="DU379">
        <v>0</v>
      </c>
      <c r="DV379">
        <v>1</v>
      </c>
      <c r="DW379">
        <v>2</v>
      </c>
      <c r="DX379" t="s">
        <v>594</v>
      </c>
      <c r="DY379" t="s">
        <v>8141</v>
      </c>
      <c r="DZ379">
        <v>1</v>
      </c>
      <c r="EA379">
        <v>1</v>
      </c>
      <c r="EB379">
        <v>1</v>
      </c>
      <c r="EC379">
        <v>1</v>
      </c>
      <c r="ED379">
        <v>1</v>
      </c>
      <c r="EE379">
        <v>1</v>
      </c>
      <c r="EF379" t="s">
        <v>920</v>
      </c>
      <c r="EG379" t="s">
        <v>595</v>
      </c>
      <c r="EH379" t="s">
        <v>872</v>
      </c>
      <c r="EI379" t="s">
        <v>872</v>
      </c>
      <c r="EJ379" t="s">
        <v>215</v>
      </c>
      <c r="EK379">
        <v>9090</v>
      </c>
      <c r="EL379">
        <v>0</v>
      </c>
      <c r="EM379" t="s">
        <v>873</v>
      </c>
      <c r="EN379">
        <v>0.55000000000000004</v>
      </c>
      <c r="EO379">
        <v>2.1</v>
      </c>
      <c r="EP379">
        <v>99991120</v>
      </c>
      <c r="EQ379" t="s">
        <v>874</v>
      </c>
      <c r="ER379" t="s">
        <v>875</v>
      </c>
      <c r="ES379" t="s">
        <v>876</v>
      </c>
      <c r="ET379" t="s">
        <v>877</v>
      </c>
      <c r="EU379" t="s">
        <v>877</v>
      </c>
      <c r="EV379" t="s">
        <v>920</v>
      </c>
      <c r="EX379" t="s">
        <v>836</v>
      </c>
      <c r="EY379" t="s">
        <v>873</v>
      </c>
      <c r="EZ379" t="s">
        <v>1807</v>
      </c>
      <c r="FA379" t="s">
        <v>925</v>
      </c>
      <c r="FB379">
        <v>1</v>
      </c>
      <c r="FC379">
        <v>1</v>
      </c>
      <c r="FD379" s="41">
        <v>46067</v>
      </c>
      <c r="FE379" t="s">
        <v>1267</v>
      </c>
      <c r="FF379">
        <v>6</v>
      </c>
      <c r="FG379" t="s">
        <v>8148</v>
      </c>
      <c r="FH379" t="s">
        <v>8149</v>
      </c>
      <c r="FI379">
        <v>1</v>
      </c>
      <c r="FJ379" t="s">
        <v>8150</v>
      </c>
      <c r="FK379" t="s">
        <v>8149</v>
      </c>
      <c r="FL379">
        <v>1</v>
      </c>
      <c r="FM379" t="s">
        <v>8151</v>
      </c>
      <c r="FN379" t="s">
        <v>8152</v>
      </c>
      <c r="FO379">
        <v>1</v>
      </c>
      <c r="FP379" t="s">
        <v>8153</v>
      </c>
      <c r="FQ379" t="s">
        <v>8154</v>
      </c>
      <c r="FR379">
        <v>1</v>
      </c>
      <c r="FS379" t="s">
        <v>8155</v>
      </c>
      <c r="FT379" t="s">
        <v>8156</v>
      </c>
      <c r="FU379">
        <v>1</v>
      </c>
      <c r="FV379" t="s">
        <v>8148</v>
      </c>
      <c r="FW379" t="s">
        <v>8149</v>
      </c>
      <c r="FX379">
        <v>1</v>
      </c>
      <c r="FY379" t="s">
        <v>890</v>
      </c>
      <c r="FZ379" t="s">
        <v>8157</v>
      </c>
      <c r="GA379" t="s">
        <v>8150</v>
      </c>
      <c r="GB379">
        <v>1</v>
      </c>
      <c r="GD379">
        <v>0</v>
      </c>
      <c r="GF379">
        <v>0</v>
      </c>
      <c r="GG379">
        <v>1</v>
      </c>
      <c r="GH379" t="s">
        <v>892</v>
      </c>
      <c r="GI379" t="s">
        <v>893</v>
      </c>
      <c r="GJ379" t="s">
        <v>8149</v>
      </c>
      <c r="GM379">
        <v>1</v>
      </c>
      <c r="GN379">
        <v>1</v>
      </c>
      <c r="GO379">
        <v>0</v>
      </c>
      <c r="GP379">
        <v>1</v>
      </c>
      <c r="GQ379">
        <v>1</v>
      </c>
      <c r="GR379">
        <v>0</v>
      </c>
      <c r="GS379">
        <v>1</v>
      </c>
      <c r="GT379">
        <v>0</v>
      </c>
      <c r="GU379">
        <v>1</v>
      </c>
      <c r="GV379">
        <v>0</v>
      </c>
      <c r="GW379">
        <v>1</v>
      </c>
      <c r="GX379">
        <v>0</v>
      </c>
      <c r="GY379">
        <v>1</v>
      </c>
      <c r="GZ379">
        <v>0</v>
      </c>
      <c r="HA379" t="s">
        <v>391</v>
      </c>
      <c r="HB379" t="s">
        <v>894</v>
      </c>
      <c r="HC379" t="s">
        <v>895</v>
      </c>
      <c r="HD379" t="s">
        <v>845</v>
      </c>
      <c r="HE379" t="s">
        <v>836</v>
      </c>
      <c r="HF379" t="s">
        <v>873</v>
      </c>
      <c r="HG379" t="s">
        <v>894</v>
      </c>
      <c r="HH379" t="s">
        <v>895</v>
      </c>
      <c r="HI379" t="s">
        <v>845</v>
      </c>
      <c r="HJ379" t="s">
        <v>836</v>
      </c>
      <c r="HK379" t="s">
        <v>873</v>
      </c>
      <c r="HL379" t="s">
        <v>214</v>
      </c>
      <c r="HM379" t="s">
        <v>854</v>
      </c>
      <c r="HN379">
        <v>36805</v>
      </c>
      <c r="HP379" t="s">
        <v>215</v>
      </c>
      <c r="HQ379" t="s">
        <v>896</v>
      </c>
      <c r="HR379" t="s">
        <v>896</v>
      </c>
      <c r="HS379" t="s">
        <v>896</v>
      </c>
    </row>
    <row r="380" spans="1:227" x14ac:dyDescent="0.2">
      <c r="A380">
        <v>8702</v>
      </c>
      <c r="B380">
        <v>7534603459</v>
      </c>
      <c r="C380" t="s">
        <v>936</v>
      </c>
      <c r="D380" t="s">
        <v>937</v>
      </c>
      <c r="E380" t="s">
        <v>897</v>
      </c>
      <c r="F380">
        <v>1</v>
      </c>
      <c r="G380" t="s">
        <v>8158</v>
      </c>
      <c r="H380" t="s">
        <v>8158</v>
      </c>
      <c r="I380">
        <v>0</v>
      </c>
      <c r="J380" t="s">
        <v>833</v>
      </c>
      <c r="K380" t="s">
        <v>834</v>
      </c>
      <c r="L380">
        <v>156057617</v>
      </c>
      <c r="M380" t="s">
        <v>8159</v>
      </c>
      <c r="N380" t="s">
        <v>900</v>
      </c>
      <c r="O380" t="s">
        <v>837</v>
      </c>
      <c r="P380" t="s">
        <v>940</v>
      </c>
      <c r="Q380" t="s">
        <v>1080</v>
      </c>
      <c r="R380" t="s">
        <v>8160</v>
      </c>
      <c r="S380" t="s">
        <v>8161</v>
      </c>
      <c r="T380">
        <v>30300098918</v>
      </c>
      <c r="V380" t="s">
        <v>206</v>
      </c>
      <c r="W380" s="41">
        <v>46003</v>
      </c>
      <c r="X380" t="s">
        <v>8162</v>
      </c>
      <c r="Y380" t="s">
        <v>8163</v>
      </c>
      <c r="AA380">
        <v>0</v>
      </c>
      <c r="AB380" t="s">
        <v>845</v>
      </c>
      <c r="AC380" t="s">
        <v>846</v>
      </c>
      <c r="AD380" t="s">
        <v>847</v>
      </c>
      <c r="AE380" t="s">
        <v>848</v>
      </c>
      <c r="AF380">
        <v>1</v>
      </c>
      <c r="AG380">
        <v>452210</v>
      </c>
      <c r="AH380" t="s">
        <v>849</v>
      </c>
      <c r="AI380" t="s">
        <v>850</v>
      </c>
      <c r="AJ380" t="s">
        <v>851</v>
      </c>
      <c r="AK380" t="s">
        <v>348</v>
      </c>
      <c r="AL380" t="s">
        <v>5043</v>
      </c>
      <c r="AM380" t="s">
        <v>4162</v>
      </c>
      <c r="AN380" t="s">
        <v>854</v>
      </c>
      <c r="AO380">
        <v>36805</v>
      </c>
      <c r="AP380">
        <v>645</v>
      </c>
      <c r="AQ380" t="s">
        <v>855</v>
      </c>
      <c r="AR380">
        <v>66242164</v>
      </c>
      <c r="AS380" t="s">
        <v>856</v>
      </c>
      <c r="AU380" t="s">
        <v>8164</v>
      </c>
      <c r="AV380" t="s">
        <v>8165</v>
      </c>
      <c r="AX380" t="s">
        <v>913</v>
      </c>
      <c r="AY380" t="s">
        <v>861</v>
      </c>
      <c r="AZ380" t="s">
        <v>348</v>
      </c>
      <c r="BA380" t="s">
        <v>349</v>
      </c>
      <c r="BB380">
        <v>0</v>
      </c>
      <c r="BC380">
        <v>0</v>
      </c>
      <c r="BD380">
        <v>0</v>
      </c>
      <c r="BE380" t="s">
        <v>8159</v>
      </c>
      <c r="BF380">
        <v>0</v>
      </c>
      <c r="BG380">
        <v>0</v>
      </c>
      <c r="BH380" t="s">
        <v>862</v>
      </c>
      <c r="BI380">
        <v>0</v>
      </c>
      <c r="BJ380" t="s">
        <v>862</v>
      </c>
      <c r="BK380">
        <v>1</v>
      </c>
      <c r="BL380">
        <v>1</v>
      </c>
      <c r="BM380">
        <v>0</v>
      </c>
      <c r="BN380" t="s">
        <v>596</v>
      </c>
      <c r="BO380">
        <v>156057617</v>
      </c>
      <c r="BP380" t="s">
        <v>8158</v>
      </c>
      <c r="BR380">
        <v>42791778</v>
      </c>
      <c r="BT380">
        <v>0</v>
      </c>
      <c r="CM380">
        <v>4010</v>
      </c>
      <c r="CO380">
        <v>7360</v>
      </c>
      <c r="CP380">
        <v>1.2</v>
      </c>
      <c r="CQ380">
        <v>1.2</v>
      </c>
      <c r="CR380">
        <v>1.0667</v>
      </c>
      <c r="CS380">
        <v>3</v>
      </c>
      <c r="CT380" t="s">
        <v>8165</v>
      </c>
      <c r="CU380" t="s">
        <v>8164</v>
      </c>
      <c r="CV380" t="s">
        <v>833</v>
      </c>
      <c r="CW380" t="s">
        <v>834</v>
      </c>
      <c r="CX380" t="s">
        <v>8159</v>
      </c>
      <c r="CY380">
        <v>0</v>
      </c>
      <c r="CZ380">
        <v>0</v>
      </c>
      <c r="DA380" t="s">
        <v>833</v>
      </c>
      <c r="DB380" t="s">
        <v>865</v>
      </c>
      <c r="DC380">
        <v>48336</v>
      </c>
      <c r="DD380">
        <v>4</v>
      </c>
      <c r="DE380" t="s">
        <v>866</v>
      </c>
      <c r="DG380" t="s">
        <v>867</v>
      </c>
      <c r="DH380" t="s">
        <v>851</v>
      </c>
      <c r="DJ380">
        <v>645</v>
      </c>
      <c r="DL380" t="s">
        <v>869</v>
      </c>
      <c r="DM380">
        <v>0</v>
      </c>
      <c r="DN380">
        <v>0</v>
      </c>
      <c r="DO380">
        <v>3</v>
      </c>
      <c r="DP380" t="s">
        <v>919</v>
      </c>
      <c r="DQ380">
        <v>16</v>
      </c>
      <c r="DR380">
        <v>240</v>
      </c>
      <c r="DS380">
        <v>240</v>
      </c>
      <c r="DT380">
        <v>2.8</v>
      </c>
      <c r="DU380">
        <v>4</v>
      </c>
      <c r="DW380">
        <v>2</v>
      </c>
      <c r="DX380" t="s">
        <v>596</v>
      </c>
      <c r="DY380" t="s">
        <v>8159</v>
      </c>
      <c r="DZ380">
        <v>1</v>
      </c>
      <c r="EA380">
        <v>1</v>
      </c>
      <c r="EB380">
        <v>1</v>
      </c>
      <c r="EC380">
        <v>1</v>
      </c>
      <c r="ED380">
        <v>1</v>
      </c>
      <c r="EE380">
        <v>1</v>
      </c>
      <c r="EF380" t="s">
        <v>920</v>
      </c>
      <c r="EG380" t="s">
        <v>595</v>
      </c>
      <c r="EH380" t="s">
        <v>921</v>
      </c>
      <c r="EI380" t="s">
        <v>921</v>
      </c>
      <c r="EJ380" t="s">
        <v>178</v>
      </c>
      <c r="EK380">
        <v>9090</v>
      </c>
      <c r="EL380">
        <v>0</v>
      </c>
      <c r="EM380" t="s">
        <v>952</v>
      </c>
      <c r="EN380">
        <v>1.0667</v>
      </c>
      <c r="EO380">
        <v>4</v>
      </c>
      <c r="EP380">
        <v>99991120</v>
      </c>
      <c r="EQ380" t="s">
        <v>874</v>
      </c>
      <c r="ER380" t="s">
        <v>875</v>
      </c>
      <c r="ES380" t="s">
        <v>876</v>
      </c>
      <c r="ET380" t="s">
        <v>877</v>
      </c>
      <c r="EU380" t="s">
        <v>877</v>
      </c>
      <c r="EV380" t="s">
        <v>920</v>
      </c>
      <c r="EX380" t="s">
        <v>953</v>
      </c>
      <c r="EY380" t="s">
        <v>954</v>
      </c>
      <c r="EZ380" t="s">
        <v>955</v>
      </c>
      <c r="FA380" t="s">
        <v>956</v>
      </c>
      <c r="FB380">
        <v>1</v>
      </c>
      <c r="FC380">
        <v>1</v>
      </c>
      <c r="FD380" s="41">
        <v>46004</v>
      </c>
      <c r="FE380" t="s">
        <v>957</v>
      </c>
      <c r="FF380">
        <v>4</v>
      </c>
      <c r="FI380">
        <v>0</v>
      </c>
      <c r="FL380">
        <v>0</v>
      </c>
      <c r="FM380" t="s">
        <v>8166</v>
      </c>
      <c r="FN380" t="s">
        <v>8167</v>
      </c>
      <c r="FO380">
        <v>1</v>
      </c>
      <c r="FP380" t="s">
        <v>8168</v>
      </c>
      <c r="FQ380" t="s">
        <v>8164</v>
      </c>
      <c r="FR380">
        <v>1</v>
      </c>
      <c r="FS380" t="s">
        <v>5046</v>
      </c>
      <c r="FT380" t="s">
        <v>8169</v>
      </c>
      <c r="FU380">
        <v>1</v>
      </c>
      <c r="FV380" t="s">
        <v>8170</v>
      </c>
      <c r="FW380" t="s">
        <v>8171</v>
      </c>
      <c r="FX380">
        <v>1</v>
      </c>
      <c r="FY380" t="s">
        <v>890</v>
      </c>
      <c r="FZ380" t="s">
        <v>8172</v>
      </c>
      <c r="GA380" t="s">
        <v>8170</v>
      </c>
      <c r="GB380">
        <v>1</v>
      </c>
      <c r="GD380">
        <v>0</v>
      </c>
      <c r="GF380">
        <v>0</v>
      </c>
      <c r="GG380">
        <v>1</v>
      </c>
      <c r="GH380" t="s">
        <v>892</v>
      </c>
      <c r="GI380" t="s">
        <v>893</v>
      </c>
      <c r="GJ380" t="s">
        <v>8171</v>
      </c>
      <c r="GM380">
        <v>1</v>
      </c>
      <c r="GN380">
        <v>1</v>
      </c>
      <c r="GO380">
        <v>0</v>
      </c>
      <c r="GP380">
        <v>1</v>
      </c>
      <c r="GQ380">
        <v>1</v>
      </c>
      <c r="GR380">
        <v>0</v>
      </c>
      <c r="GS380">
        <v>1</v>
      </c>
      <c r="GT380">
        <v>0</v>
      </c>
      <c r="GU380">
        <v>1</v>
      </c>
      <c r="GV380">
        <v>0</v>
      </c>
      <c r="GW380">
        <v>1</v>
      </c>
      <c r="GX380">
        <v>0</v>
      </c>
      <c r="GY380">
        <v>1</v>
      </c>
      <c r="GZ380">
        <v>0</v>
      </c>
      <c r="HA380" t="s">
        <v>348</v>
      </c>
      <c r="HB380" t="s">
        <v>894</v>
      </c>
      <c r="HC380" t="s">
        <v>935</v>
      </c>
      <c r="HD380" t="s">
        <v>845</v>
      </c>
      <c r="HE380" t="s">
        <v>900</v>
      </c>
      <c r="HF380" t="s">
        <v>923</v>
      </c>
      <c r="HG380" t="s">
        <v>894</v>
      </c>
      <c r="HH380" t="s">
        <v>935</v>
      </c>
      <c r="HI380" t="s">
        <v>845</v>
      </c>
      <c r="HJ380" t="s">
        <v>900</v>
      </c>
      <c r="HK380" t="s">
        <v>952</v>
      </c>
      <c r="HL380" t="s">
        <v>206</v>
      </c>
      <c r="HM380" t="s">
        <v>854</v>
      </c>
      <c r="HN380">
        <v>36805</v>
      </c>
      <c r="HP380" t="s">
        <v>178</v>
      </c>
      <c r="HQ380" t="s">
        <v>896</v>
      </c>
      <c r="HR380" t="s">
        <v>896</v>
      </c>
      <c r="HS380" t="s">
        <v>896</v>
      </c>
    </row>
    <row r="381" spans="1:227" x14ac:dyDescent="0.2">
      <c r="A381">
        <v>8702</v>
      </c>
      <c r="B381">
        <v>7606304835</v>
      </c>
      <c r="C381" t="s">
        <v>829</v>
      </c>
      <c r="D381" t="s">
        <v>830</v>
      </c>
      <c r="E381" t="s">
        <v>831</v>
      </c>
      <c r="F381">
        <v>0</v>
      </c>
      <c r="G381" t="s">
        <v>8173</v>
      </c>
      <c r="H381" t="s">
        <v>8173</v>
      </c>
      <c r="I381">
        <v>0</v>
      </c>
      <c r="J381" t="s">
        <v>833</v>
      </c>
      <c r="K381" t="s">
        <v>834</v>
      </c>
      <c r="L381">
        <v>153406529</v>
      </c>
      <c r="M381" t="s">
        <v>3034</v>
      </c>
      <c r="N381" t="s">
        <v>836</v>
      </c>
      <c r="O381" t="s">
        <v>837</v>
      </c>
      <c r="P381" t="s">
        <v>838</v>
      </c>
      <c r="Q381" t="s">
        <v>901</v>
      </c>
      <c r="R381" t="s">
        <v>8174</v>
      </c>
      <c r="S381" t="s">
        <v>8175</v>
      </c>
      <c r="T381">
        <v>30300099310</v>
      </c>
      <c r="V381" t="s">
        <v>1943</v>
      </c>
      <c r="W381" s="41">
        <v>46086</v>
      </c>
      <c r="X381" t="s">
        <v>8176</v>
      </c>
      <c r="Y381" t="s">
        <v>8177</v>
      </c>
      <c r="AA381">
        <v>0</v>
      </c>
      <c r="AB381" t="s">
        <v>845</v>
      </c>
      <c r="AC381" t="s">
        <v>846</v>
      </c>
      <c r="AD381" t="s">
        <v>1113</v>
      </c>
      <c r="AE381" t="s">
        <v>1114</v>
      </c>
      <c r="AF381">
        <v>1</v>
      </c>
      <c r="AG381">
        <v>452210</v>
      </c>
      <c r="AH381" t="s">
        <v>849</v>
      </c>
      <c r="AI381" t="s">
        <v>850</v>
      </c>
      <c r="AJ381" t="s">
        <v>851</v>
      </c>
      <c r="AK381" t="s">
        <v>399</v>
      </c>
      <c r="AL381" t="s">
        <v>3031</v>
      </c>
      <c r="AM381" t="s">
        <v>1947</v>
      </c>
      <c r="AN381" t="s">
        <v>854</v>
      </c>
      <c r="AO381">
        <v>36805</v>
      </c>
      <c r="AP381">
        <v>562</v>
      </c>
      <c r="AQ381" t="s">
        <v>855</v>
      </c>
      <c r="AR381">
        <v>66361854</v>
      </c>
      <c r="AS381" t="s">
        <v>856</v>
      </c>
      <c r="AU381" t="s">
        <v>8178</v>
      </c>
      <c r="AV381" t="s">
        <v>8179</v>
      </c>
      <c r="AX381" t="s">
        <v>913</v>
      </c>
      <c r="AY381" t="s">
        <v>861</v>
      </c>
      <c r="AZ381" t="s">
        <v>399</v>
      </c>
      <c r="BA381" t="s">
        <v>400</v>
      </c>
      <c r="BB381">
        <v>0</v>
      </c>
      <c r="BC381">
        <v>0</v>
      </c>
      <c r="BD381">
        <v>1</v>
      </c>
      <c r="BE381" t="s">
        <v>3034</v>
      </c>
      <c r="BF381">
        <v>0</v>
      </c>
      <c r="BG381">
        <v>0</v>
      </c>
      <c r="BH381" t="s">
        <v>862</v>
      </c>
      <c r="BI381">
        <v>0</v>
      </c>
      <c r="BJ381" t="s">
        <v>862</v>
      </c>
      <c r="BK381">
        <v>1</v>
      </c>
      <c r="BL381">
        <v>1</v>
      </c>
      <c r="BM381">
        <v>0</v>
      </c>
      <c r="BN381" t="s">
        <v>596</v>
      </c>
      <c r="BO381">
        <v>153406529</v>
      </c>
      <c r="BP381" t="s">
        <v>8173</v>
      </c>
      <c r="BR381">
        <v>42791464</v>
      </c>
      <c r="BT381">
        <v>2</v>
      </c>
      <c r="BU381" t="s">
        <v>1715</v>
      </c>
      <c r="CE381">
        <v>1</v>
      </c>
      <c r="CI381">
        <v>11</v>
      </c>
      <c r="CJ381" t="s">
        <v>94</v>
      </c>
      <c r="CM381">
        <v>4010</v>
      </c>
      <c r="CO381">
        <v>7360</v>
      </c>
      <c r="CP381">
        <v>0.41670000000000001</v>
      </c>
      <c r="CQ381">
        <v>0.41670000000000001</v>
      </c>
      <c r="CR381">
        <v>0.15</v>
      </c>
      <c r="CS381">
        <v>452</v>
      </c>
      <c r="CT381" t="s">
        <v>8180</v>
      </c>
      <c r="CU381" t="s">
        <v>8181</v>
      </c>
      <c r="CV381" t="s">
        <v>833</v>
      </c>
      <c r="CW381" t="s">
        <v>834</v>
      </c>
      <c r="CX381" t="s">
        <v>3034</v>
      </c>
      <c r="CY381">
        <v>1</v>
      </c>
      <c r="CZ381">
        <v>1</v>
      </c>
      <c r="DA381" t="s">
        <v>833</v>
      </c>
      <c r="DB381" t="s">
        <v>865</v>
      </c>
      <c r="DC381">
        <v>56387</v>
      </c>
      <c r="DD381">
        <v>8.5</v>
      </c>
      <c r="DE381" t="s">
        <v>866</v>
      </c>
      <c r="DG381" t="s">
        <v>867</v>
      </c>
      <c r="DH381" t="s">
        <v>851</v>
      </c>
      <c r="DK381" t="s">
        <v>918</v>
      </c>
      <c r="DL381" t="s">
        <v>869</v>
      </c>
      <c r="DM381">
        <v>0</v>
      </c>
      <c r="DN381">
        <v>0</v>
      </c>
      <c r="DO381">
        <v>11</v>
      </c>
      <c r="DP381" t="s">
        <v>1010</v>
      </c>
      <c r="DQ381">
        <v>0</v>
      </c>
      <c r="DR381">
        <v>510</v>
      </c>
      <c r="DS381">
        <v>1230</v>
      </c>
      <c r="DT381">
        <v>8.0832999999999995</v>
      </c>
      <c r="DU381">
        <v>0</v>
      </c>
      <c r="DV381">
        <v>1</v>
      </c>
      <c r="DW381">
        <v>2</v>
      </c>
      <c r="DX381" t="s">
        <v>596</v>
      </c>
      <c r="DY381" t="s">
        <v>3034</v>
      </c>
      <c r="DZ381">
        <v>1</v>
      </c>
      <c r="EA381">
        <v>1</v>
      </c>
      <c r="EB381">
        <v>1</v>
      </c>
      <c r="EC381">
        <v>1</v>
      </c>
      <c r="ED381">
        <v>1</v>
      </c>
      <c r="EE381">
        <v>1</v>
      </c>
      <c r="EF381" t="s">
        <v>920</v>
      </c>
      <c r="EG381" t="s">
        <v>595</v>
      </c>
      <c r="EH381" t="s">
        <v>921</v>
      </c>
      <c r="EI381" t="s">
        <v>921</v>
      </c>
      <c r="EJ381" t="s">
        <v>159</v>
      </c>
      <c r="EK381">
        <v>9090</v>
      </c>
      <c r="EL381">
        <v>0</v>
      </c>
      <c r="EM381" t="s">
        <v>873</v>
      </c>
      <c r="EN381">
        <v>0.15</v>
      </c>
      <c r="EO381">
        <v>20.5</v>
      </c>
      <c r="EP381">
        <v>99991120</v>
      </c>
      <c r="EQ381" t="s">
        <v>874</v>
      </c>
      <c r="ER381" t="s">
        <v>875</v>
      </c>
      <c r="ES381" t="s">
        <v>876</v>
      </c>
      <c r="ET381" t="s">
        <v>877</v>
      </c>
      <c r="EU381" t="s">
        <v>877</v>
      </c>
      <c r="EV381" t="s">
        <v>920</v>
      </c>
      <c r="EX381" t="s">
        <v>836</v>
      </c>
      <c r="EY381" t="s">
        <v>1121</v>
      </c>
      <c r="EZ381" t="s">
        <v>1122</v>
      </c>
      <c r="FA381" t="s">
        <v>956</v>
      </c>
      <c r="FB381">
        <v>1</v>
      </c>
      <c r="FC381">
        <v>1</v>
      </c>
      <c r="FD381" s="41">
        <v>46088</v>
      </c>
      <c r="FE381" t="s">
        <v>1719</v>
      </c>
      <c r="FF381">
        <v>5</v>
      </c>
      <c r="FI381">
        <v>0</v>
      </c>
      <c r="FJ381" t="s">
        <v>8182</v>
      </c>
      <c r="FK381" t="s">
        <v>8183</v>
      </c>
      <c r="FL381">
        <v>1</v>
      </c>
      <c r="FM381" t="s">
        <v>8184</v>
      </c>
      <c r="FN381" t="s">
        <v>8185</v>
      </c>
      <c r="FO381">
        <v>1</v>
      </c>
      <c r="FP381" t="s">
        <v>7350</v>
      </c>
      <c r="FQ381" t="s">
        <v>8181</v>
      </c>
      <c r="FR381">
        <v>1</v>
      </c>
      <c r="FS381" t="s">
        <v>3039</v>
      </c>
      <c r="FT381" t="s">
        <v>8186</v>
      </c>
      <c r="FU381">
        <v>1</v>
      </c>
      <c r="FV381" t="s">
        <v>8187</v>
      </c>
      <c r="FW381" t="s">
        <v>8183</v>
      </c>
      <c r="FX381">
        <v>1</v>
      </c>
      <c r="FY381" t="s">
        <v>890</v>
      </c>
      <c r="FZ381" t="s">
        <v>8188</v>
      </c>
      <c r="GA381" t="s">
        <v>8182</v>
      </c>
      <c r="GB381">
        <v>1</v>
      </c>
      <c r="GD381">
        <v>0</v>
      </c>
      <c r="GF381">
        <v>0</v>
      </c>
      <c r="GG381">
        <v>1</v>
      </c>
      <c r="GH381" t="s">
        <v>892</v>
      </c>
      <c r="GI381" t="s">
        <v>893</v>
      </c>
      <c r="GJ381" t="s">
        <v>8183</v>
      </c>
      <c r="GM381">
        <v>1</v>
      </c>
      <c r="GN381">
        <v>1</v>
      </c>
      <c r="GO381">
        <v>0</v>
      </c>
      <c r="GP381">
        <v>1</v>
      </c>
      <c r="GQ381">
        <v>1</v>
      </c>
      <c r="GR381">
        <v>0</v>
      </c>
      <c r="GS381">
        <v>1</v>
      </c>
      <c r="GT381">
        <v>0</v>
      </c>
      <c r="GU381">
        <v>1</v>
      </c>
      <c r="GV381">
        <v>0</v>
      </c>
      <c r="GW381">
        <v>1</v>
      </c>
      <c r="GX381">
        <v>0</v>
      </c>
      <c r="GY381">
        <v>1</v>
      </c>
      <c r="GZ381">
        <v>0</v>
      </c>
      <c r="HA381" t="s">
        <v>399</v>
      </c>
      <c r="HB381" t="s">
        <v>894</v>
      </c>
      <c r="HC381" t="s">
        <v>895</v>
      </c>
      <c r="HD381" t="s">
        <v>845</v>
      </c>
      <c r="HE381" t="s">
        <v>836</v>
      </c>
      <c r="HF381" t="s">
        <v>873</v>
      </c>
      <c r="HG381" t="s">
        <v>894</v>
      </c>
      <c r="HH381" t="s">
        <v>895</v>
      </c>
      <c r="HI381" t="s">
        <v>845</v>
      </c>
      <c r="HJ381" t="s">
        <v>836</v>
      </c>
      <c r="HK381" t="s">
        <v>873</v>
      </c>
      <c r="HL381" t="s">
        <v>1943</v>
      </c>
      <c r="HM381" t="s">
        <v>854</v>
      </c>
      <c r="HN381">
        <v>36805</v>
      </c>
      <c r="HP381" t="s">
        <v>159</v>
      </c>
      <c r="HQ381" t="s">
        <v>896</v>
      </c>
      <c r="HR381" t="s">
        <v>896</v>
      </c>
      <c r="HS381" t="s">
        <v>896</v>
      </c>
    </row>
    <row r="382" spans="1:227" x14ac:dyDescent="0.2">
      <c r="A382">
        <v>8702</v>
      </c>
      <c r="B382">
        <v>7618401850</v>
      </c>
      <c r="C382" t="s">
        <v>829</v>
      </c>
      <c r="D382" t="s">
        <v>830</v>
      </c>
      <c r="E382" t="s">
        <v>831</v>
      </c>
      <c r="F382">
        <v>0</v>
      </c>
      <c r="G382" t="s">
        <v>8189</v>
      </c>
      <c r="H382" t="s">
        <v>8189</v>
      </c>
      <c r="I382">
        <v>0</v>
      </c>
      <c r="J382" t="s">
        <v>833</v>
      </c>
      <c r="K382" t="s">
        <v>834</v>
      </c>
      <c r="L382">
        <v>153524600</v>
      </c>
      <c r="M382" t="s">
        <v>8190</v>
      </c>
      <c r="N382" t="s">
        <v>836</v>
      </c>
      <c r="O382" t="s">
        <v>837</v>
      </c>
      <c r="P382" t="s">
        <v>838</v>
      </c>
      <c r="Q382" t="s">
        <v>839</v>
      </c>
      <c r="R382" t="s">
        <v>8191</v>
      </c>
      <c r="S382" t="s">
        <v>8192</v>
      </c>
      <c r="T382">
        <v>41477092613</v>
      </c>
      <c r="V382" t="s">
        <v>1254</v>
      </c>
      <c r="W382" s="41">
        <v>46206</v>
      </c>
      <c r="X382" t="s">
        <v>8193</v>
      </c>
      <c r="Y382" t="s">
        <v>8194</v>
      </c>
      <c r="AA382">
        <v>0</v>
      </c>
      <c r="AB382" t="s">
        <v>845</v>
      </c>
      <c r="AC382" t="s">
        <v>846</v>
      </c>
      <c r="AD382" t="s">
        <v>907</v>
      </c>
      <c r="AE382" t="s">
        <v>908</v>
      </c>
      <c r="AF382">
        <v>1</v>
      </c>
      <c r="AG382">
        <v>452210</v>
      </c>
      <c r="AH382" t="s">
        <v>849</v>
      </c>
      <c r="AI382" t="s">
        <v>850</v>
      </c>
      <c r="AJ382" t="s">
        <v>851</v>
      </c>
      <c r="AK382" t="s">
        <v>359</v>
      </c>
      <c r="AL382" t="s">
        <v>1257</v>
      </c>
      <c r="AM382" t="s">
        <v>1258</v>
      </c>
      <c r="AN382" t="s">
        <v>854</v>
      </c>
      <c r="AO382">
        <v>36805</v>
      </c>
      <c r="AP382">
        <v>546</v>
      </c>
      <c r="AQ382" t="s">
        <v>855</v>
      </c>
      <c r="AR382">
        <v>66534336</v>
      </c>
      <c r="AS382" t="s">
        <v>856</v>
      </c>
      <c r="AU382" t="s">
        <v>8195</v>
      </c>
      <c r="AV382" t="s">
        <v>8196</v>
      </c>
      <c r="AW382" t="s">
        <v>1261</v>
      </c>
      <c r="AX382" t="s">
        <v>1262</v>
      </c>
      <c r="AY382" t="s">
        <v>861</v>
      </c>
      <c r="AZ382" t="s">
        <v>359</v>
      </c>
      <c r="BA382" t="s">
        <v>254</v>
      </c>
      <c r="BB382">
        <v>0</v>
      </c>
      <c r="BC382">
        <v>0</v>
      </c>
      <c r="BD382">
        <v>0</v>
      </c>
      <c r="BE382" t="s">
        <v>8190</v>
      </c>
      <c r="BF382">
        <v>0</v>
      </c>
      <c r="BG382">
        <v>0</v>
      </c>
      <c r="BH382" t="s">
        <v>862</v>
      </c>
      <c r="BI382">
        <v>0</v>
      </c>
      <c r="BJ382" t="s">
        <v>862</v>
      </c>
      <c r="BK382">
        <v>1</v>
      </c>
      <c r="BL382">
        <v>0</v>
      </c>
      <c r="BM382">
        <v>0</v>
      </c>
      <c r="BN382" t="s">
        <v>596</v>
      </c>
      <c r="BO382">
        <v>153524600</v>
      </c>
      <c r="BP382" t="s">
        <v>8189</v>
      </c>
      <c r="BR382">
        <v>42791462</v>
      </c>
      <c r="BT382">
        <v>2</v>
      </c>
      <c r="BU382" t="s">
        <v>1062</v>
      </c>
      <c r="BY382">
        <v>16</v>
      </c>
      <c r="CA382">
        <v>1</v>
      </c>
      <c r="CE382">
        <v>1</v>
      </c>
      <c r="CI382">
        <v>11</v>
      </c>
      <c r="CJ382" t="s">
        <v>94</v>
      </c>
      <c r="CM382">
        <v>4010</v>
      </c>
      <c r="CO382">
        <v>7360</v>
      </c>
      <c r="CP382">
        <v>0.7167</v>
      </c>
      <c r="CQ382">
        <v>0.7167</v>
      </c>
      <c r="CR382">
        <v>0.55000000000000004</v>
      </c>
      <c r="CS382">
        <v>0</v>
      </c>
      <c r="CT382" t="s">
        <v>8196</v>
      </c>
      <c r="CU382" t="s">
        <v>8195</v>
      </c>
      <c r="CV382" t="s">
        <v>833</v>
      </c>
      <c r="CW382" t="s">
        <v>834</v>
      </c>
      <c r="CX382" t="s">
        <v>8190</v>
      </c>
      <c r="CY382">
        <v>0</v>
      </c>
      <c r="CZ382">
        <v>0</v>
      </c>
      <c r="DA382" t="s">
        <v>833</v>
      </c>
      <c r="DB382" t="s">
        <v>865</v>
      </c>
      <c r="DC382">
        <v>55447</v>
      </c>
      <c r="DD382">
        <v>1.35</v>
      </c>
      <c r="DE382" t="s">
        <v>866</v>
      </c>
      <c r="DG382" t="s">
        <v>867</v>
      </c>
      <c r="DH382" t="s">
        <v>851</v>
      </c>
      <c r="DI382" t="s">
        <v>1266</v>
      </c>
      <c r="DK382" t="s">
        <v>918</v>
      </c>
      <c r="DL382" t="s">
        <v>869</v>
      </c>
      <c r="DM382">
        <v>0</v>
      </c>
      <c r="DN382">
        <v>0</v>
      </c>
      <c r="DO382">
        <v>3</v>
      </c>
      <c r="DP382" t="s">
        <v>919</v>
      </c>
      <c r="DQ382">
        <v>16</v>
      </c>
      <c r="DR382">
        <v>81</v>
      </c>
      <c r="DS382">
        <v>81</v>
      </c>
      <c r="DT382">
        <v>0.63329999999999997</v>
      </c>
      <c r="DU382">
        <v>4</v>
      </c>
      <c r="DV382">
        <v>1</v>
      </c>
      <c r="DW382">
        <v>2</v>
      </c>
      <c r="DX382" t="s">
        <v>594</v>
      </c>
      <c r="DY382" t="s">
        <v>8190</v>
      </c>
      <c r="DZ382">
        <v>0</v>
      </c>
      <c r="EA382">
        <v>0</v>
      </c>
      <c r="EB382">
        <v>0</v>
      </c>
      <c r="EC382">
        <v>0</v>
      </c>
      <c r="ED382">
        <v>0</v>
      </c>
      <c r="EE382">
        <v>0</v>
      </c>
      <c r="EF382" t="s">
        <v>871</v>
      </c>
      <c r="EG382" t="s">
        <v>595</v>
      </c>
      <c r="EH382" t="s">
        <v>872</v>
      </c>
      <c r="EI382" t="s">
        <v>872</v>
      </c>
      <c r="EJ382" t="s">
        <v>159</v>
      </c>
      <c r="EK382">
        <v>9090</v>
      </c>
      <c r="EL382">
        <v>0</v>
      </c>
      <c r="EM382" t="s">
        <v>873</v>
      </c>
      <c r="EN382">
        <v>0.55000000000000004</v>
      </c>
      <c r="EO382">
        <v>1.35</v>
      </c>
      <c r="EP382">
        <v>99991120</v>
      </c>
      <c r="EQ382" t="s">
        <v>874</v>
      </c>
      <c r="ER382" t="s">
        <v>875</v>
      </c>
      <c r="ES382" t="s">
        <v>876</v>
      </c>
      <c r="ET382" t="s">
        <v>877</v>
      </c>
      <c r="EU382" t="s">
        <v>877</v>
      </c>
      <c r="EV382" t="s">
        <v>871</v>
      </c>
      <c r="EX382" t="s">
        <v>836</v>
      </c>
      <c r="EY382" t="s">
        <v>873</v>
      </c>
      <c r="EZ382" t="s">
        <v>1122</v>
      </c>
      <c r="FA382" t="s">
        <v>956</v>
      </c>
      <c r="FB382">
        <v>1</v>
      </c>
      <c r="FC382">
        <v>1</v>
      </c>
      <c r="FD382" s="41">
        <v>46207</v>
      </c>
      <c r="FE382" t="s">
        <v>1066</v>
      </c>
      <c r="FF382">
        <v>5</v>
      </c>
      <c r="FI382">
        <v>0</v>
      </c>
      <c r="FJ382" t="s">
        <v>8197</v>
      </c>
      <c r="FK382" t="s">
        <v>8198</v>
      </c>
      <c r="FL382">
        <v>1</v>
      </c>
      <c r="FM382" t="s">
        <v>8199</v>
      </c>
      <c r="FN382" t="s">
        <v>8200</v>
      </c>
      <c r="FO382">
        <v>1</v>
      </c>
      <c r="FP382" t="s">
        <v>8201</v>
      </c>
      <c r="FQ382" t="s">
        <v>8195</v>
      </c>
      <c r="FR382">
        <v>1</v>
      </c>
      <c r="FS382" t="s">
        <v>5534</v>
      </c>
      <c r="FT382" t="s">
        <v>8202</v>
      </c>
      <c r="FU382">
        <v>1</v>
      </c>
      <c r="FV382" t="s">
        <v>8203</v>
      </c>
      <c r="FW382" t="s">
        <v>8198</v>
      </c>
      <c r="FX382">
        <v>1</v>
      </c>
      <c r="FY382" t="s">
        <v>890</v>
      </c>
      <c r="FZ382" t="s">
        <v>8204</v>
      </c>
      <c r="GA382" t="s">
        <v>8197</v>
      </c>
      <c r="GB382">
        <v>1</v>
      </c>
      <c r="GD382">
        <v>0</v>
      </c>
      <c r="GF382">
        <v>0</v>
      </c>
      <c r="GG382">
        <v>1</v>
      </c>
      <c r="GH382" t="s">
        <v>892</v>
      </c>
      <c r="GI382" t="s">
        <v>893</v>
      </c>
      <c r="GJ382" t="s">
        <v>8198</v>
      </c>
      <c r="GM382">
        <v>1</v>
      </c>
      <c r="GN382">
        <v>1</v>
      </c>
      <c r="GO382">
        <v>0</v>
      </c>
      <c r="GP382">
        <v>1</v>
      </c>
      <c r="GQ382">
        <v>1</v>
      </c>
      <c r="GR382">
        <v>0</v>
      </c>
      <c r="GS382">
        <v>1</v>
      </c>
      <c r="GT382">
        <v>0</v>
      </c>
      <c r="GU382">
        <v>1</v>
      </c>
      <c r="GV382">
        <v>0</v>
      </c>
      <c r="GW382">
        <v>1</v>
      </c>
      <c r="GX382">
        <v>0</v>
      </c>
      <c r="GY382">
        <v>1</v>
      </c>
      <c r="GZ382">
        <v>0</v>
      </c>
      <c r="HA382" t="s">
        <v>359</v>
      </c>
      <c r="HB382" t="s">
        <v>894</v>
      </c>
      <c r="HC382" t="s">
        <v>895</v>
      </c>
      <c r="HD382" t="s">
        <v>845</v>
      </c>
      <c r="HE382" t="s">
        <v>836</v>
      </c>
      <c r="HF382" t="s">
        <v>873</v>
      </c>
      <c r="HG382" t="s">
        <v>894</v>
      </c>
      <c r="HH382" t="s">
        <v>895</v>
      </c>
      <c r="HI382" t="s">
        <v>845</v>
      </c>
      <c r="HJ382" t="s">
        <v>836</v>
      </c>
      <c r="HK382" t="s">
        <v>873</v>
      </c>
      <c r="HL382" t="s">
        <v>1254</v>
      </c>
      <c r="HM382" t="s">
        <v>854</v>
      </c>
      <c r="HN382">
        <v>36805</v>
      </c>
      <c r="HP382" t="s">
        <v>159</v>
      </c>
      <c r="HQ382" t="s">
        <v>896</v>
      </c>
      <c r="HR382" t="s">
        <v>896</v>
      </c>
      <c r="HS382" t="s">
        <v>896</v>
      </c>
    </row>
    <row r="383" spans="1:227" x14ac:dyDescent="0.2">
      <c r="A383">
        <v>8702</v>
      </c>
      <c r="B383">
        <v>7613303448</v>
      </c>
      <c r="C383" t="s">
        <v>829</v>
      </c>
      <c r="D383" t="s">
        <v>830</v>
      </c>
      <c r="E383" t="s">
        <v>897</v>
      </c>
      <c r="F383">
        <v>0</v>
      </c>
      <c r="G383" t="s">
        <v>8205</v>
      </c>
      <c r="H383" t="s">
        <v>8205</v>
      </c>
      <c r="I383">
        <v>0</v>
      </c>
      <c r="J383" t="s">
        <v>833</v>
      </c>
      <c r="K383" t="s">
        <v>834</v>
      </c>
      <c r="L383">
        <v>153406443</v>
      </c>
      <c r="M383" t="s">
        <v>8206</v>
      </c>
      <c r="N383" t="s">
        <v>900</v>
      </c>
      <c r="O383" t="s">
        <v>837</v>
      </c>
      <c r="P383" t="s">
        <v>838</v>
      </c>
      <c r="Q383" t="s">
        <v>901</v>
      </c>
      <c r="R383" t="s">
        <v>8207</v>
      </c>
      <c r="S383" t="s">
        <v>8208</v>
      </c>
      <c r="T383">
        <v>30300100179</v>
      </c>
      <c r="V383" t="s">
        <v>204</v>
      </c>
      <c r="W383" s="41">
        <v>46155</v>
      </c>
      <c r="X383" t="s">
        <v>8209</v>
      </c>
      <c r="Y383" t="s">
        <v>8210</v>
      </c>
      <c r="AA383">
        <v>0</v>
      </c>
      <c r="AB383" t="s">
        <v>845</v>
      </c>
      <c r="AC383" t="s">
        <v>846</v>
      </c>
      <c r="AD383" t="s">
        <v>1113</v>
      </c>
      <c r="AE383" t="s">
        <v>1114</v>
      </c>
      <c r="AF383">
        <v>1</v>
      </c>
      <c r="AG383">
        <v>452210</v>
      </c>
      <c r="AH383" t="s">
        <v>849</v>
      </c>
      <c r="AI383" t="s">
        <v>850</v>
      </c>
      <c r="AJ383" t="s">
        <v>851</v>
      </c>
      <c r="AK383" t="s">
        <v>498</v>
      </c>
      <c r="AL383" t="s">
        <v>8211</v>
      </c>
      <c r="AM383" t="s">
        <v>4472</v>
      </c>
      <c r="AN383" t="s">
        <v>854</v>
      </c>
      <c r="AO383">
        <v>36805</v>
      </c>
      <c r="AP383">
        <v>644</v>
      </c>
      <c r="AQ383" t="s">
        <v>855</v>
      </c>
      <c r="AR383">
        <v>66461243</v>
      </c>
      <c r="AS383" t="s">
        <v>856</v>
      </c>
      <c r="AU383" t="s">
        <v>8212</v>
      </c>
      <c r="AV383" t="s">
        <v>8213</v>
      </c>
      <c r="AX383" t="s">
        <v>913</v>
      </c>
      <c r="AY383" t="s">
        <v>861</v>
      </c>
      <c r="AZ383" t="s">
        <v>498</v>
      </c>
      <c r="BA383" t="s">
        <v>499</v>
      </c>
      <c r="BB383">
        <v>0</v>
      </c>
      <c r="BC383">
        <v>0</v>
      </c>
      <c r="BD383">
        <v>1</v>
      </c>
      <c r="BE383" t="s">
        <v>8206</v>
      </c>
      <c r="BF383">
        <v>0</v>
      </c>
      <c r="BG383">
        <v>0</v>
      </c>
      <c r="BH383" t="s">
        <v>862</v>
      </c>
      <c r="BI383">
        <v>0</v>
      </c>
      <c r="BJ383" t="s">
        <v>862</v>
      </c>
      <c r="BK383">
        <v>1</v>
      </c>
      <c r="BL383">
        <v>1</v>
      </c>
      <c r="BM383">
        <v>0</v>
      </c>
      <c r="BN383" t="s">
        <v>596</v>
      </c>
      <c r="BO383">
        <v>153406443</v>
      </c>
      <c r="BP383" t="s">
        <v>8205</v>
      </c>
      <c r="BQ383">
        <v>42.623160300000002</v>
      </c>
      <c r="BR383">
        <v>42791775</v>
      </c>
      <c r="BS383">
        <v>-83.071822699999998</v>
      </c>
      <c r="BT383">
        <v>2</v>
      </c>
      <c r="BU383" t="s">
        <v>1803</v>
      </c>
      <c r="BY383">
        <v>16</v>
      </c>
      <c r="CA383">
        <v>4</v>
      </c>
      <c r="CE383">
        <v>1</v>
      </c>
      <c r="CI383">
        <v>11</v>
      </c>
      <c r="CJ383" t="s">
        <v>94</v>
      </c>
      <c r="CM383">
        <v>4010</v>
      </c>
      <c r="CO383">
        <v>7360</v>
      </c>
      <c r="CP383">
        <v>0.51670000000000005</v>
      </c>
      <c r="CQ383">
        <v>0.51670000000000005</v>
      </c>
      <c r="CR383">
        <v>1.0667</v>
      </c>
      <c r="CS383">
        <v>18</v>
      </c>
      <c r="CT383" t="s">
        <v>8213</v>
      </c>
      <c r="CU383" t="s">
        <v>8212</v>
      </c>
      <c r="CV383" t="s">
        <v>833</v>
      </c>
      <c r="CW383" t="s">
        <v>834</v>
      </c>
      <c r="CX383" t="s">
        <v>8206</v>
      </c>
      <c r="CY383">
        <v>1</v>
      </c>
      <c r="CZ383">
        <v>1</v>
      </c>
      <c r="DA383" t="s">
        <v>833</v>
      </c>
      <c r="DB383" t="s">
        <v>865</v>
      </c>
      <c r="DC383">
        <v>48307</v>
      </c>
      <c r="DD383">
        <v>3.8332999999999999</v>
      </c>
      <c r="DE383" t="s">
        <v>866</v>
      </c>
      <c r="DG383" t="s">
        <v>867</v>
      </c>
      <c r="DH383" t="s">
        <v>851</v>
      </c>
      <c r="DK383" t="s">
        <v>918</v>
      </c>
      <c r="DL383" t="s">
        <v>869</v>
      </c>
      <c r="DM383">
        <v>0</v>
      </c>
      <c r="DN383">
        <v>0</v>
      </c>
      <c r="DO383">
        <v>11</v>
      </c>
      <c r="DP383" t="s">
        <v>1010</v>
      </c>
      <c r="DQ383">
        <v>0</v>
      </c>
      <c r="DR383">
        <v>230</v>
      </c>
      <c r="DS383">
        <v>230</v>
      </c>
      <c r="DT383">
        <v>3.3167</v>
      </c>
      <c r="DU383">
        <v>0</v>
      </c>
      <c r="DV383">
        <v>1</v>
      </c>
      <c r="DW383">
        <v>2</v>
      </c>
      <c r="DX383" t="s">
        <v>596</v>
      </c>
      <c r="DY383" t="s">
        <v>8206</v>
      </c>
      <c r="DZ383">
        <v>1</v>
      </c>
      <c r="EA383">
        <v>1</v>
      </c>
      <c r="EB383">
        <v>1</v>
      </c>
      <c r="EC383">
        <v>1</v>
      </c>
      <c r="ED383">
        <v>1</v>
      </c>
      <c r="EE383">
        <v>1</v>
      </c>
      <c r="EF383" t="s">
        <v>920</v>
      </c>
      <c r="EG383" t="s">
        <v>595</v>
      </c>
      <c r="EH383" t="s">
        <v>921</v>
      </c>
      <c r="EI383" t="s">
        <v>921</v>
      </c>
      <c r="EJ383" t="s">
        <v>178</v>
      </c>
      <c r="EK383">
        <v>9090</v>
      </c>
      <c r="EL383">
        <v>0</v>
      </c>
      <c r="EM383" t="s">
        <v>952</v>
      </c>
      <c r="EN383">
        <v>1.5832999999999999</v>
      </c>
      <c r="EO383">
        <v>3.8333333000000001</v>
      </c>
      <c r="EP383">
        <v>99991120</v>
      </c>
      <c r="EQ383" t="s">
        <v>874</v>
      </c>
      <c r="ER383" t="s">
        <v>875</v>
      </c>
      <c r="ES383" t="s">
        <v>876</v>
      </c>
      <c r="ET383" t="s">
        <v>877</v>
      </c>
      <c r="EU383" t="s">
        <v>877</v>
      </c>
      <c r="EV383" t="s">
        <v>920</v>
      </c>
      <c r="EX383" t="s">
        <v>953</v>
      </c>
      <c r="EY383" t="s">
        <v>954</v>
      </c>
      <c r="EZ383" t="s">
        <v>955</v>
      </c>
      <c r="FA383" t="s">
        <v>956</v>
      </c>
      <c r="FB383">
        <v>1</v>
      </c>
      <c r="FC383">
        <v>1</v>
      </c>
      <c r="FD383" s="41">
        <v>46158</v>
      </c>
      <c r="FE383" t="s">
        <v>1808</v>
      </c>
      <c r="FF383">
        <v>7</v>
      </c>
      <c r="FG383" t="s">
        <v>8214</v>
      </c>
      <c r="FH383" t="s">
        <v>8215</v>
      </c>
      <c r="FI383">
        <v>1</v>
      </c>
      <c r="FJ383" t="s">
        <v>8216</v>
      </c>
      <c r="FK383" t="s">
        <v>8215</v>
      </c>
      <c r="FL383">
        <v>1</v>
      </c>
      <c r="FM383" t="s">
        <v>8217</v>
      </c>
      <c r="FN383" t="s">
        <v>8218</v>
      </c>
      <c r="FO383">
        <v>1</v>
      </c>
      <c r="FP383" t="s">
        <v>8219</v>
      </c>
      <c r="FQ383" t="s">
        <v>8212</v>
      </c>
      <c r="FR383">
        <v>1</v>
      </c>
      <c r="FS383" t="s">
        <v>4171</v>
      </c>
      <c r="FT383" t="s">
        <v>8220</v>
      </c>
      <c r="FU383">
        <v>1</v>
      </c>
      <c r="FV383" t="s">
        <v>8221</v>
      </c>
      <c r="FW383" t="s">
        <v>8222</v>
      </c>
      <c r="FX383">
        <v>1</v>
      </c>
      <c r="FY383" t="s">
        <v>890</v>
      </c>
      <c r="FZ383" t="s">
        <v>8223</v>
      </c>
      <c r="GA383" t="s">
        <v>8216</v>
      </c>
      <c r="GB383">
        <v>1</v>
      </c>
      <c r="GD383">
        <v>0</v>
      </c>
      <c r="GF383">
        <v>0</v>
      </c>
      <c r="GG383">
        <v>1</v>
      </c>
      <c r="GH383" t="s">
        <v>892</v>
      </c>
      <c r="GI383" t="s">
        <v>893</v>
      </c>
      <c r="GJ383" t="s">
        <v>8215</v>
      </c>
      <c r="GM383">
        <v>1</v>
      </c>
      <c r="GN383">
        <v>1</v>
      </c>
      <c r="GO383">
        <v>0</v>
      </c>
      <c r="GP383">
        <v>1</v>
      </c>
      <c r="GQ383">
        <v>1</v>
      </c>
      <c r="GR383">
        <v>0</v>
      </c>
      <c r="GS383">
        <v>1</v>
      </c>
      <c r="GT383">
        <v>0</v>
      </c>
      <c r="GU383">
        <v>1</v>
      </c>
      <c r="GV383">
        <v>0</v>
      </c>
      <c r="GW383">
        <v>1</v>
      </c>
      <c r="GX383">
        <v>0</v>
      </c>
      <c r="GY383">
        <v>1</v>
      </c>
      <c r="GZ383">
        <v>0</v>
      </c>
      <c r="HA383" t="s">
        <v>498</v>
      </c>
      <c r="HB383" t="s">
        <v>894</v>
      </c>
      <c r="HC383" t="s">
        <v>935</v>
      </c>
      <c r="HD383" t="s">
        <v>845</v>
      </c>
      <c r="HE383" t="s">
        <v>900</v>
      </c>
      <c r="HF383" t="s">
        <v>923</v>
      </c>
      <c r="HG383" t="s">
        <v>894</v>
      </c>
      <c r="HH383" t="s">
        <v>935</v>
      </c>
      <c r="HI383" t="s">
        <v>845</v>
      </c>
      <c r="HJ383" t="s">
        <v>900</v>
      </c>
      <c r="HK383" t="s">
        <v>952</v>
      </c>
      <c r="HL383" t="s">
        <v>204</v>
      </c>
      <c r="HM383" t="s">
        <v>854</v>
      </c>
      <c r="HN383">
        <v>36805</v>
      </c>
      <c r="HP383" t="s">
        <v>178</v>
      </c>
      <c r="HQ383" t="s">
        <v>896</v>
      </c>
      <c r="HR383" t="s">
        <v>896</v>
      </c>
      <c r="HS383" t="s">
        <v>896</v>
      </c>
    </row>
    <row r="384" spans="1:227" x14ac:dyDescent="0.2">
      <c r="A384">
        <v>8702</v>
      </c>
      <c r="B384">
        <v>7525503140</v>
      </c>
      <c r="C384">
        <v>34</v>
      </c>
      <c r="D384" t="s">
        <v>996</v>
      </c>
      <c r="E384" t="s">
        <v>831</v>
      </c>
      <c r="F384">
        <v>0</v>
      </c>
      <c r="G384" t="s">
        <v>8224</v>
      </c>
      <c r="H384" t="s">
        <v>8224</v>
      </c>
      <c r="I384">
        <v>0</v>
      </c>
      <c r="J384" t="s">
        <v>833</v>
      </c>
      <c r="K384" t="s">
        <v>834</v>
      </c>
      <c r="L384">
        <v>153406461</v>
      </c>
      <c r="M384" t="s">
        <v>2423</v>
      </c>
      <c r="N384" t="s">
        <v>836</v>
      </c>
      <c r="O384" t="s">
        <v>837</v>
      </c>
      <c r="P384" t="s">
        <v>999</v>
      </c>
      <c r="Q384" t="s">
        <v>1857</v>
      </c>
      <c r="R384" t="s">
        <v>8225</v>
      </c>
      <c r="S384" t="s">
        <v>8226</v>
      </c>
      <c r="T384">
        <v>41477092613</v>
      </c>
      <c r="V384" t="s">
        <v>165</v>
      </c>
      <c r="W384" s="41">
        <v>45912</v>
      </c>
      <c r="X384" t="s">
        <v>8227</v>
      </c>
      <c r="Y384" t="s">
        <v>8228</v>
      </c>
      <c r="AA384">
        <v>0</v>
      </c>
      <c r="AB384" t="s">
        <v>845</v>
      </c>
      <c r="AC384" t="s">
        <v>846</v>
      </c>
      <c r="AD384" t="s">
        <v>847</v>
      </c>
      <c r="AE384" t="s">
        <v>848</v>
      </c>
      <c r="AF384">
        <v>1</v>
      </c>
      <c r="AG384">
        <v>452210</v>
      </c>
      <c r="AH384" t="s">
        <v>849</v>
      </c>
      <c r="AI384" t="s">
        <v>850</v>
      </c>
      <c r="AJ384" t="s">
        <v>851</v>
      </c>
      <c r="AK384" t="s">
        <v>253</v>
      </c>
      <c r="AL384" t="s">
        <v>1257</v>
      </c>
      <c r="AM384" t="s">
        <v>1499</v>
      </c>
      <c r="AN384" t="s">
        <v>854</v>
      </c>
      <c r="AO384">
        <v>36805</v>
      </c>
      <c r="AP384">
        <v>544</v>
      </c>
      <c r="AQ384" t="s">
        <v>855</v>
      </c>
      <c r="AR384">
        <v>66111222</v>
      </c>
      <c r="AS384" t="s">
        <v>856</v>
      </c>
      <c r="AU384" t="s">
        <v>8229</v>
      </c>
      <c r="AV384" t="s">
        <v>8230</v>
      </c>
      <c r="AX384" t="s">
        <v>913</v>
      </c>
      <c r="AY384" t="s">
        <v>861</v>
      </c>
      <c r="AZ384" t="s">
        <v>253</v>
      </c>
      <c r="BA384" t="s">
        <v>254</v>
      </c>
      <c r="BB384">
        <v>0</v>
      </c>
      <c r="BC384">
        <v>0</v>
      </c>
      <c r="BD384">
        <v>1</v>
      </c>
      <c r="BE384" t="s">
        <v>2423</v>
      </c>
      <c r="BF384">
        <v>0</v>
      </c>
      <c r="BG384">
        <v>0</v>
      </c>
      <c r="BH384" t="s">
        <v>862</v>
      </c>
      <c r="BI384">
        <v>0</v>
      </c>
      <c r="BJ384" t="s">
        <v>862</v>
      </c>
      <c r="BK384">
        <v>1</v>
      </c>
      <c r="BL384">
        <v>1</v>
      </c>
      <c r="BM384">
        <v>0</v>
      </c>
      <c r="BN384" t="s">
        <v>596</v>
      </c>
      <c r="BO384">
        <v>153406461</v>
      </c>
      <c r="BP384" t="s">
        <v>8224</v>
      </c>
      <c r="BQ384">
        <v>44.748204800000003</v>
      </c>
      <c r="BR384">
        <v>42791459</v>
      </c>
      <c r="BS384">
        <v>-93.382549100000006</v>
      </c>
      <c r="BT384">
        <v>0</v>
      </c>
      <c r="CM384">
        <v>4010</v>
      </c>
      <c r="CO384">
        <v>7360</v>
      </c>
      <c r="CP384">
        <v>0.56669999999999998</v>
      </c>
      <c r="CQ384">
        <v>0.56669999999999998</v>
      </c>
      <c r="CR384">
        <v>0.4667</v>
      </c>
      <c r="CS384">
        <v>1</v>
      </c>
      <c r="CT384" t="s">
        <v>8231</v>
      </c>
      <c r="CU384" t="s">
        <v>8232</v>
      </c>
      <c r="CV384" t="s">
        <v>833</v>
      </c>
      <c r="CW384" t="s">
        <v>834</v>
      </c>
      <c r="CX384" t="s">
        <v>2423</v>
      </c>
      <c r="CY384">
        <v>1</v>
      </c>
      <c r="CZ384">
        <v>1</v>
      </c>
      <c r="DA384" t="s">
        <v>833</v>
      </c>
      <c r="DB384" t="s">
        <v>865</v>
      </c>
      <c r="DC384">
        <v>55378</v>
      </c>
      <c r="DD384">
        <v>6.2832999999999997</v>
      </c>
      <c r="DE384" t="s">
        <v>866</v>
      </c>
      <c r="DG384" t="s">
        <v>867</v>
      </c>
      <c r="DH384" t="s">
        <v>851</v>
      </c>
      <c r="DL384" t="s">
        <v>869</v>
      </c>
      <c r="DM384">
        <v>0</v>
      </c>
      <c r="DN384">
        <v>0</v>
      </c>
      <c r="DO384">
        <v>11</v>
      </c>
      <c r="DP384" t="s">
        <v>1010</v>
      </c>
      <c r="DQ384">
        <v>12</v>
      </c>
      <c r="DR384">
        <v>377</v>
      </c>
      <c r="DS384">
        <v>418</v>
      </c>
      <c r="DT384">
        <v>5.7167000000000003</v>
      </c>
      <c r="DU384">
        <v>4</v>
      </c>
      <c r="DW384">
        <v>1</v>
      </c>
      <c r="DX384" t="s">
        <v>596</v>
      </c>
      <c r="DY384" t="s">
        <v>2423</v>
      </c>
      <c r="DZ384">
        <v>1</v>
      </c>
      <c r="EA384">
        <v>1</v>
      </c>
      <c r="EB384">
        <v>1</v>
      </c>
      <c r="EC384">
        <v>0</v>
      </c>
      <c r="ED384">
        <v>0</v>
      </c>
      <c r="EE384">
        <v>1</v>
      </c>
      <c r="EF384" t="s">
        <v>920</v>
      </c>
      <c r="EG384" t="s">
        <v>595</v>
      </c>
      <c r="EH384" t="s">
        <v>1036</v>
      </c>
      <c r="EI384" t="s">
        <v>1036</v>
      </c>
      <c r="EJ384" t="s">
        <v>159</v>
      </c>
      <c r="EK384">
        <v>9090</v>
      </c>
      <c r="EL384">
        <v>0</v>
      </c>
      <c r="EM384" t="s">
        <v>873</v>
      </c>
      <c r="EN384">
        <v>0.4667</v>
      </c>
      <c r="EO384">
        <v>6.9666665999999999</v>
      </c>
      <c r="EP384">
        <v>99991120</v>
      </c>
      <c r="EQ384" t="s">
        <v>874</v>
      </c>
      <c r="ER384" t="s">
        <v>875</v>
      </c>
      <c r="ES384" t="s">
        <v>876</v>
      </c>
      <c r="ET384" t="s">
        <v>877</v>
      </c>
      <c r="EU384" t="s">
        <v>877</v>
      </c>
      <c r="EV384" t="s">
        <v>920</v>
      </c>
      <c r="EX384" t="s">
        <v>836</v>
      </c>
      <c r="EY384" t="s">
        <v>1121</v>
      </c>
      <c r="EZ384" t="s">
        <v>1122</v>
      </c>
      <c r="FA384" t="s">
        <v>956</v>
      </c>
      <c r="FB384">
        <v>1</v>
      </c>
      <c r="FC384">
        <v>1</v>
      </c>
      <c r="FD384" s="41">
        <v>45913</v>
      </c>
      <c r="FE384" t="s">
        <v>880</v>
      </c>
      <c r="FF384">
        <v>4</v>
      </c>
      <c r="FI384">
        <v>0</v>
      </c>
      <c r="FL384">
        <v>0</v>
      </c>
      <c r="FM384" t="s">
        <v>8233</v>
      </c>
      <c r="FN384" t="s">
        <v>8234</v>
      </c>
      <c r="FO384">
        <v>1</v>
      </c>
      <c r="FP384" t="s">
        <v>8235</v>
      </c>
      <c r="FQ384" t="s">
        <v>8232</v>
      </c>
      <c r="FR384">
        <v>1</v>
      </c>
      <c r="FS384" t="s">
        <v>1273</v>
      </c>
      <c r="FT384" t="s">
        <v>8236</v>
      </c>
      <c r="FU384">
        <v>1</v>
      </c>
      <c r="FV384" t="s">
        <v>8237</v>
      </c>
      <c r="FW384" t="s">
        <v>8238</v>
      </c>
      <c r="FX384">
        <v>1</v>
      </c>
      <c r="FY384" t="s">
        <v>890</v>
      </c>
      <c r="FZ384" t="s">
        <v>8239</v>
      </c>
      <c r="GA384" t="s">
        <v>8237</v>
      </c>
      <c r="GB384">
        <v>1</v>
      </c>
      <c r="GD384">
        <v>0</v>
      </c>
      <c r="GF384">
        <v>0</v>
      </c>
      <c r="GG384">
        <v>1</v>
      </c>
      <c r="GH384" t="s">
        <v>892</v>
      </c>
      <c r="GI384" t="s">
        <v>893</v>
      </c>
      <c r="GJ384" t="s">
        <v>8238</v>
      </c>
      <c r="GM384">
        <v>1</v>
      </c>
      <c r="GN384">
        <v>1</v>
      </c>
      <c r="GO384">
        <v>0</v>
      </c>
      <c r="GP384">
        <v>1</v>
      </c>
      <c r="GQ384">
        <v>1</v>
      </c>
      <c r="GR384">
        <v>0</v>
      </c>
      <c r="GS384">
        <v>1</v>
      </c>
      <c r="GT384">
        <v>0</v>
      </c>
      <c r="GU384">
        <v>1</v>
      </c>
      <c r="GV384">
        <v>0</v>
      </c>
      <c r="GW384">
        <v>1</v>
      </c>
      <c r="GX384">
        <v>0</v>
      </c>
      <c r="GY384">
        <v>1</v>
      </c>
      <c r="GZ384">
        <v>0</v>
      </c>
      <c r="HA384" t="s">
        <v>253</v>
      </c>
      <c r="HB384" t="s">
        <v>894</v>
      </c>
      <c r="HC384" t="s">
        <v>895</v>
      </c>
      <c r="HD384" t="s">
        <v>845</v>
      </c>
      <c r="HE384" t="s">
        <v>836</v>
      </c>
      <c r="HF384" t="s">
        <v>873</v>
      </c>
      <c r="HG384" t="s">
        <v>894</v>
      </c>
      <c r="HH384" t="s">
        <v>895</v>
      </c>
      <c r="HI384" t="s">
        <v>845</v>
      </c>
      <c r="HJ384" t="s">
        <v>836</v>
      </c>
      <c r="HK384" t="s">
        <v>873</v>
      </c>
      <c r="HL384" t="s">
        <v>165</v>
      </c>
      <c r="HM384" t="s">
        <v>854</v>
      </c>
      <c r="HN384">
        <v>36805</v>
      </c>
      <c r="HP384" t="s">
        <v>159</v>
      </c>
      <c r="HQ384" t="s">
        <v>896</v>
      </c>
      <c r="HR384" t="s">
        <v>896</v>
      </c>
      <c r="HS384" t="s">
        <v>896</v>
      </c>
    </row>
    <row r="385" spans="1:227" x14ac:dyDescent="0.2">
      <c r="A385">
        <v>8702</v>
      </c>
      <c r="B385">
        <v>7530704976</v>
      </c>
      <c r="C385" t="s">
        <v>829</v>
      </c>
      <c r="D385" t="s">
        <v>830</v>
      </c>
      <c r="E385" t="s">
        <v>831</v>
      </c>
      <c r="F385">
        <v>2</v>
      </c>
      <c r="G385" t="s">
        <v>8240</v>
      </c>
      <c r="H385" t="s">
        <v>8240</v>
      </c>
      <c r="I385">
        <v>0</v>
      </c>
      <c r="J385" t="s">
        <v>833</v>
      </c>
      <c r="K385" t="s">
        <v>834</v>
      </c>
      <c r="L385">
        <v>156586328</v>
      </c>
      <c r="M385" t="s">
        <v>4059</v>
      </c>
      <c r="N385" t="s">
        <v>836</v>
      </c>
      <c r="O385" t="s">
        <v>837</v>
      </c>
      <c r="P385" t="s">
        <v>838</v>
      </c>
      <c r="Q385" t="s">
        <v>1251</v>
      </c>
      <c r="R385" t="s">
        <v>8241</v>
      </c>
      <c r="S385" t="s">
        <v>8242</v>
      </c>
      <c r="T385">
        <v>30300105488</v>
      </c>
      <c r="V385" t="s">
        <v>4062</v>
      </c>
      <c r="W385" s="41">
        <v>45964</v>
      </c>
      <c r="X385" t="s">
        <v>8243</v>
      </c>
      <c r="Y385" t="s">
        <v>8244</v>
      </c>
      <c r="AA385">
        <v>0</v>
      </c>
      <c r="AB385" t="s">
        <v>845</v>
      </c>
      <c r="AC385" t="s">
        <v>846</v>
      </c>
      <c r="AD385" t="s">
        <v>847</v>
      </c>
      <c r="AE385" t="s">
        <v>848</v>
      </c>
      <c r="AF385">
        <v>1</v>
      </c>
      <c r="AG385">
        <v>452210</v>
      </c>
      <c r="AH385" t="s">
        <v>849</v>
      </c>
      <c r="AI385" t="s">
        <v>850</v>
      </c>
      <c r="AJ385" t="s">
        <v>851</v>
      </c>
      <c r="AK385" t="s">
        <v>273</v>
      </c>
      <c r="AL385" t="s">
        <v>2846</v>
      </c>
      <c r="AM385" t="s">
        <v>4065</v>
      </c>
      <c r="AN385" t="s">
        <v>854</v>
      </c>
      <c r="AO385">
        <v>36805</v>
      </c>
      <c r="AP385">
        <v>491</v>
      </c>
      <c r="AQ385" t="s">
        <v>855</v>
      </c>
      <c r="AR385">
        <v>66185917</v>
      </c>
      <c r="AS385" t="s">
        <v>856</v>
      </c>
      <c r="AU385" t="s">
        <v>8245</v>
      </c>
      <c r="AV385" t="s">
        <v>8246</v>
      </c>
      <c r="AW385" t="s">
        <v>1261</v>
      </c>
      <c r="AX385" t="s">
        <v>1262</v>
      </c>
      <c r="AY385" t="s">
        <v>861</v>
      </c>
      <c r="AZ385" t="s">
        <v>273</v>
      </c>
      <c r="BA385" t="s">
        <v>274</v>
      </c>
      <c r="BB385">
        <v>0</v>
      </c>
      <c r="BC385">
        <v>0</v>
      </c>
      <c r="BD385">
        <v>0</v>
      </c>
      <c r="BE385" t="s">
        <v>4059</v>
      </c>
      <c r="BF385">
        <v>0</v>
      </c>
      <c r="BG385">
        <v>0</v>
      </c>
      <c r="BH385" t="s">
        <v>862</v>
      </c>
      <c r="BI385">
        <v>0</v>
      </c>
      <c r="BJ385" t="s">
        <v>862</v>
      </c>
      <c r="BK385">
        <v>1</v>
      </c>
      <c r="BL385">
        <v>0</v>
      </c>
      <c r="BM385">
        <v>0</v>
      </c>
      <c r="BN385" t="s">
        <v>596</v>
      </c>
      <c r="BO385">
        <v>156586328</v>
      </c>
      <c r="BP385" t="s">
        <v>8240</v>
      </c>
      <c r="BR385">
        <v>42789012</v>
      </c>
      <c r="BT385">
        <v>0</v>
      </c>
      <c r="CM385">
        <v>4010</v>
      </c>
      <c r="CO385">
        <v>7360</v>
      </c>
      <c r="CP385">
        <v>2.25</v>
      </c>
      <c r="CQ385">
        <v>2.25</v>
      </c>
      <c r="CR385">
        <v>0.3</v>
      </c>
      <c r="CS385">
        <v>1</v>
      </c>
      <c r="CT385" t="s">
        <v>8246</v>
      </c>
      <c r="CU385" t="s">
        <v>8245</v>
      </c>
      <c r="CV385" t="s">
        <v>833</v>
      </c>
      <c r="CW385" t="s">
        <v>834</v>
      </c>
      <c r="CX385" t="s">
        <v>4059</v>
      </c>
      <c r="CY385">
        <v>0</v>
      </c>
      <c r="CZ385">
        <v>0</v>
      </c>
      <c r="DA385" t="s">
        <v>833</v>
      </c>
      <c r="DB385" t="s">
        <v>865</v>
      </c>
      <c r="DC385">
        <v>63122</v>
      </c>
      <c r="DD385">
        <v>3.95</v>
      </c>
      <c r="DE385" t="s">
        <v>866</v>
      </c>
      <c r="DG385" t="s">
        <v>867</v>
      </c>
      <c r="DH385" t="s">
        <v>851</v>
      </c>
      <c r="DL385" t="s">
        <v>869</v>
      </c>
      <c r="DM385">
        <v>0</v>
      </c>
      <c r="DN385">
        <v>0</v>
      </c>
      <c r="DO385">
        <v>3</v>
      </c>
      <c r="DP385" t="s">
        <v>919</v>
      </c>
      <c r="DQ385">
        <v>16</v>
      </c>
      <c r="DR385">
        <v>237</v>
      </c>
      <c r="DS385">
        <v>237</v>
      </c>
      <c r="DT385">
        <v>1.7</v>
      </c>
      <c r="DU385">
        <v>4</v>
      </c>
      <c r="DW385">
        <v>2</v>
      </c>
      <c r="DX385" t="s">
        <v>594</v>
      </c>
      <c r="DY385" t="s">
        <v>4059</v>
      </c>
      <c r="DZ385">
        <v>0</v>
      </c>
      <c r="EA385">
        <v>0</v>
      </c>
      <c r="EB385">
        <v>0</v>
      </c>
      <c r="EC385">
        <v>0</v>
      </c>
      <c r="ED385">
        <v>0</v>
      </c>
      <c r="EE385">
        <v>0</v>
      </c>
      <c r="EF385" t="s">
        <v>920</v>
      </c>
      <c r="EG385" t="s">
        <v>595</v>
      </c>
      <c r="EH385" t="s">
        <v>872</v>
      </c>
      <c r="EI385" t="s">
        <v>872</v>
      </c>
      <c r="EJ385" t="s">
        <v>111</v>
      </c>
      <c r="EK385">
        <v>9090</v>
      </c>
      <c r="EL385">
        <v>0</v>
      </c>
      <c r="EM385" t="s">
        <v>1037</v>
      </c>
      <c r="EN385">
        <v>0.3</v>
      </c>
      <c r="EO385">
        <v>3.95</v>
      </c>
      <c r="EP385">
        <v>99991120</v>
      </c>
      <c r="EQ385" t="s">
        <v>874</v>
      </c>
      <c r="ER385" t="s">
        <v>875</v>
      </c>
      <c r="ES385" t="s">
        <v>876</v>
      </c>
      <c r="ET385" t="s">
        <v>877</v>
      </c>
      <c r="EU385" t="s">
        <v>877</v>
      </c>
      <c r="EV385" t="s">
        <v>920</v>
      </c>
      <c r="EX385" t="s">
        <v>900</v>
      </c>
      <c r="EY385" t="s">
        <v>923</v>
      </c>
      <c r="EZ385" t="s">
        <v>1038</v>
      </c>
      <c r="FA385" t="s">
        <v>925</v>
      </c>
      <c r="FB385">
        <v>1</v>
      </c>
      <c r="FC385">
        <v>1</v>
      </c>
      <c r="FD385" s="41">
        <v>45969</v>
      </c>
      <c r="FE385" t="s">
        <v>1438</v>
      </c>
      <c r="FF385">
        <v>6</v>
      </c>
      <c r="FG385" t="s">
        <v>8247</v>
      </c>
      <c r="FH385" t="s">
        <v>8248</v>
      </c>
      <c r="FI385">
        <v>1</v>
      </c>
      <c r="FJ385" t="s">
        <v>8249</v>
      </c>
      <c r="FK385" t="s">
        <v>8248</v>
      </c>
      <c r="FL385">
        <v>1</v>
      </c>
      <c r="FM385" t="s">
        <v>4714</v>
      </c>
      <c r="FN385" t="s">
        <v>8250</v>
      </c>
      <c r="FO385">
        <v>1</v>
      </c>
      <c r="FP385" t="s">
        <v>8251</v>
      </c>
      <c r="FQ385" t="s">
        <v>8245</v>
      </c>
      <c r="FR385">
        <v>1</v>
      </c>
      <c r="FS385" t="s">
        <v>4075</v>
      </c>
      <c r="FT385" t="s">
        <v>8252</v>
      </c>
      <c r="FU385">
        <v>1</v>
      </c>
      <c r="FV385" t="s">
        <v>8253</v>
      </c>
      <c r="FW385" t="s">
        <v>8254</v>
      </c>
      <c r="FX385">
        <v>1</v>
      </c>
      <c r="FY385" t="s">
        <v>890</v>
      </c>
      <c r="FZ385" t="s">
        <v>8255</v>
      </c>
      <c r="GA385" t="s">
        <v>8249</v>
      </c>
      <c r="GB385">
        <v>1</v>
      </c>
      <c r="GD385">
        <v>0</v>
      </c>
      <c r="GF385">
        <v>0</v>
      </c>
      <c r="GG385">
        <v>1</v>
      </c>
      <c r="GH385" t="s">
        <v>892</v>
      </c>
      <c r="GI385" t="s">
        <v>893</v>
      </c>
      <c r="GJ385" t="s">
        <v>8248</v>
      </c>
      <c r="GM385">
        <v>1</v>
      </c>
      <c r="GN385">
        <v>1</v>
      </c>
      <c r="GO385">
        <v>0</v>
      </c>
      <c r="GP385">
        <v>1</v>
      </c>
      <c r="GQ385">
        <v>1</v>
      </c>
      <c r="GR385">
        <v>0</v>
      </c>
      <c r="GS385">
        <v>1</v>
      </c>
      <c r="GT385">
        <v>0</v>
      </c>
      <c r="GU385">
        <v>1</v>
      </c>
      <c r="GV385">
        <v>0</v>
      </c>
      <c r="GW385">
        <v>1</v>
      </c>
      <c r="GX385">
        <v>0</v>
      </c>
      <c r="GY385">
        <v>1</v>
      </c>
      <c r="GZ385">
        <v>0</v>
      </c>
      <c r="HA385" t="s">
        <v>273</v>
      </c>
      <c r="HB385" t="s">
        <v>894</v>
      </c>
      <c r="HC385" t="s">
        <v>895</v>
      </c>
      <c r="HD385" t="s">
        <v>845</v>
      </c>
      <c r="HE385" t="s">
        <v>836</v>
      </c>
      <c r="HF385" t="s">
        <v>1051</v>
      </c>
      <c r="HG385" t="s">
        <v>894</v>
      </c>
      <c r="HH385" t="s">
        <v>895</v>
      </c>
      <c r="HI385" t="s">
        <v>845</v>
      </c>
      <c r="HJ385" t="s">
        <v>836</v>
      </c>
      <c r="HK385" t="s">
        <v>1037</v>
      </c>
      <c r="HL385" t="s">
        <v>4062</v>
      </c>
      <c r="HM385" t="s">
        <v>854</v>
      </c>
      <c r="HN385">
        <v>36805</v>
      </c>
      <c r="HP385" t="s">
        <v>111</v>
      </c>
      <c r="HQ385" t="s">
        <v>896</v>
      </c>
      <c r="HR385" t="s">
        <v>896</v>
      </c>
      <c r="HS385" t="s">
        <v>896</v>
      </c>
    </row>
    <row r="386" spans="1:227" x14ac:dyDescent="0.2">
      <c r="A386">
        <v>8702</v>
      </c>
      <c r="B386">
        <v>7609800373</v>
      </c>
      <c r="C386">
        <v>34</v>
      </c>
      <c r="D386" t="s">
        <v>996</v>
      </c>
      <c r="E386" t="s">
        <v>897</v>
      </c>
      <c r="F386">
        <v>0</v>
      </c>
      <c r="G386" t="s">
        <v>8256</v>
      </c>
      <c r="H386" t="s">
        <v>8256</v>
      </c>
      <c r="I386">
        <v>0</v>
      </c>
      <c r="J386" t="s">
        <v>833</v>
      </c>
      <c r="K386" t="s">
        <v>834</v>
      </c>
      <c r="L386">
        <v>156046184</v>
      </c>
      <c r="M386" t="s">
        <v>8257</v>
      </c>
      <c r="N386" t="s">
        <v>900</v>
      </c>
      <c r="O386" t="s">
        <v>837</v>
      </c>
      <c r="P386" t="s">
        <v>999</v>
      </c>
      <c r="Q386" t="s">
        <v>2459</v>
      </c>
      <c r="R386" t="s">
        <v>8258</v>
      </c>
      <c r="S386" t="s">
        <v>8259</v>
      </c>
      <c r="T386">
        <v>30300117806</v>
      </c>
      <c r="V386" t="s">
        <v>1332</v>
      </c>
      <c r="W386" s="41">
        <v>46121</v>
      </c>
      <c r="X386" t="s">
        <v>8260</v>
      </c>
      <c r="Y386" t="s">
        <v>8261</v>
      </c>
      <c r="Z386" t="s">
        <v>3582</v>
      </c>
      <c r="AA386">
        <v>0</v>
      </c>
      <c r="AB386" t="s">
        <v>845</v>
      </c>
      <c r="AC386" t="s">
        <v>846</v>
      </c>
      <c r="AD386" t="s">
        <v>1113</v>
      </c>
      <c r="AE386" t="s">
        <v>1114</v>
      </c>
      <c r="AF386">
        <v>1</v>
      </c>
      <c r="AG386">
        <v>452210</v>
      </c>
      <c r="AH386" t="s">
        <v>849</v>
      </c>
      <c r="AI386" t="s">
        <v>850</v>
      </c>
      <c r="AJ386" t="s">
        <v>851</v>
      </c>
      <c r="AK386" t="s">
        <v>287</v>
      </c>
      <c r="AL386" t="s">
        <v>2767</v>
      </c>
      <c r="AM386" t="s">
        <v>1338</v>
      </c>
      <c r="AN386" t="s">
        <v>854</v>
      </c>
      <c r="AO386">
        <v>36805</v>
      </c>
      <c r="AP386">
        <v>929</v>
      </c>
      <c r="AQ386" t="s">
        <v>855</v>
      </c>
      <c r="AR386">
        <v>66412139</v>
      </c>
      <c r="AS386" t="s">
        <v>856</v>
      </c>
      <c r="AU386" t="s">
        <v>8262</v>
      </c>
      <c r="AV386" t="s">
        <v>8263</v>
      </c>
      <c r="AW386" t="s">
        <v>950</v>
      </c>
      <c r="AX386" t="s">
        <v>951</v>
      </c>
      <c r="AY386" t="s">
        <v>861</v>
      </c>
      <c r="AZ386" t="s">
        <v>287</v>
      </c>
      <c r="BA386" t="s">
        <v>288</v>
      </c>
      <c r="BB386">
        <v>0</v>
      </c>
      <c r="BC386">
        <v>0</v>
      </c>
      <c r="BD386">
        <v>0</v>
      </c>
      <c r="BE386" t="s">
        <v>8257</v>
      </c>
      <c r="BF386">
        <v>0</v>
      </c>
      <c r="BG386">
        <v>0</v>
      </c>
      <c r="BH386" t="s">
        <v>862</v>
      </c>
      <c r="BI386">
        <v>0</v>
      </c>
      <c r="BJ386" t="s">
        <v>862</v>
      </c>
      <c r="BK386">
        <v>1</v>
      </c>
      <c r="BL386">
        <v>0</v>
      </c>
      <c r="BM386">
        <v>0</v>
      </c>
      <c r="BN386" t="s">
        <v>596</v>
      </c>
      <c r="BO386">
        <v>156046184</v>
      </c>
      <c r="BP386" t="s">
        <v>8256</v>
      </c>
      <c r="BQ386">
        <v>41.699203900000001</v>
      </c>
      <c r="BR386">
        <v>42793654</v>
      </c>
      <c r="BS386">
        <v>-83.647737800000002</v>
      </c>
      <c r="BT386">
        <v>1</v>
      </c>
      <c r="BU386" t="s">
        <v>1119</v>
      </c>
      <c r="CI386">
        <v>11</v>
      </c>
      <c r="CJ386" t="s">
        <v>94</v>
      </c>
      <c r="CM386">
        <v>4010</v>
      </c>
      <c r="CO386">
        <v>7360</v>
      </c>
      <c r="CP386">
        <v>0.51670000000000005</v>
      </c>
      <c r="CQ386">
        <v>0.51670000000000005</v>
      </c>
      <c r="CR386">
        <v>0</v>
      </c>
      <c r="CS386">
        <v>9</v>
      </c>
      <c r="CT386" t="s">
        <v>8263</v>
      </c>
      <c r="CU386" t="s">
        <v>8262</v>
      </c>
      <c r="CV386" t="s">
        <v>833</v>
      </c>
      <c r="CW386" t="s">
        <v>834</v>
      </c>
      <c r="CX386" t="s">
        <v>8257</v>
      </c>
      <c r="CY386">
        <v>0</v>
      </c>
      <c r="CZ386">
        <v>0</v>
      </c>
      <c r="DA386" t="s">
        <v>833</v>
      </c>
      <c r="DB386" t="s">
        <v>865</v>
      </c>
      <c r="DC386">
        <v>43623</v>
      </c>
      <c r="DD386">
        <v>8.25</v>
      </c>
      <c r="DE386" t="s">
        <v>866</v>
      </c>
      <c r="DG386" t="s">
        <v>867</v>
      </c>
      <c r="DH386" t="s">
        <v>851</v>
      </c>
      <c r="DI386" t="s">
        <v>984</v>
      </c>
      <c r="DK386" t="s">
        <v>918</v>
      </c>
      <c r="DL386" t="s">
        <v>869</v>
      </c>
      <c r="DM386">
        <v>0</v>
      </c>
      <c r="DN386">
        <v>0</v>
      </c>
      <c r="DO386">
        <v>1</v>
      </c>
      <c r="DP386" t="s">
        <v>985</v>
      </c>
      <c r="DQ386">
        <v>0</v>
      </c>
      <c r="DR386">
        <v>495</v>
      </c>
      <c r="DS386">
        <v>1215</v>
      </c>
      <c r="DT386">
        <v>7.7332999999999998</v>
      </c>
      <c r="DU386">
        <v>0</v>
      </c>
      <c r="DV386">
        <v>1</v>
      </c>
      <c r="DW386">
        <v>2</v>
      </c>
      <c r="DX386" t="s">
        <v>599</v>
      </c>
      <c r="DY386" t="s">
        <v>8257</v>
      </c>
      <c r="DZ386">
        <v>1</v>
      </c>
      <c r="EA386">
        <v>1</v>
      </c>
      <c r="EB386">
        <v>1</v>
      </c>
      <c r="EC386">
        <v>1</v>
      </c>
      <c r="ED386">
        <v>1</v>
      </c>
      <c r="EE386">
        <v>1</v>
      </c>
      <c r="EF386" t="s">
        <v>920</v>
      </c>
      <c r="EG386" t="s">
        <v>595</v>
      </c>
      <c r="EH386" t="s">
        <v>3582</v>
      </c>
      <c r="EI386" t="s">
        <v>3582</v>
      </c>
      <c r="EJ386" t="s">
        <v>226</v>
      </c>
      <c r="EK386">
        <v>9090</v>
      </c>
      <c r="EL386">
        <v>0</v>
      </c>
      <c r="EM386" t="s">
        <v>952</v>
      </c>
      <c r="EN386">
        <v>0</v>
      </c>
      <c r="EO386">
        <v>20.25</v>
      </c>
      <c r="EP386">
        <v>99991120</v>
      </c>
      <c r="EQ386" t="s">
        <v>874</v>
      </c>
      <c r="ER386" t="s">
        <v>875</v>
      </c>
      <c r="ES386" t="s">
        <v>876</v>
      </c>
      <c r="ET386" t="s">
        <v>877</v>
      </c>
      <c r="EU386" t="s">
        <v>877</v>
      </c>
      <c r="EV386" t="s">
        <v>920</v>
      </c>
      <c r="EX386" t="s">
        <v>953</v>
      </c>
      <c r="EY386" t="s">
        <v>986</v>
      </c>
      <c r="EZ386" t="s">
        <v>1342</v>
      </c>
      <c r="FA386" t="s">
        <v>879</v>
      </c>
      <c r="FB386">
        <v>1</v>
      </c>
      <c r="FC386">
        <v>1</v>
      </c>
      <c r="FD386" s="41">
        <v>46123</v>
      </c>
      <c r="FE386" t="s">
        <v>1123</v>
      </c>
      <c r="FF386">
        <v>7</v>
      </c>
      <c r="FG386" t="s">
        <v>8264</v>
      </c>
      <c r="FH386" t="s">
        <v>8265</v>
      </c>
      <c r="FI386">
        <v>1</v>
      </c>
      <c r="FJ386" t="s">
        <v>8266</v>
      </c>
      <c r="FK386" t="s">
        <v>8265</v>
      </c>
      <c r="FL386">
        <v>1</v>
      </c>
      <c r="FM386" t="s">
        <v>8267</v>
      </c>
      <c r="FN386" t="s">
        <v>8268</v>
      </c>
      <c r="FO386">
        <v>1</v>
      </c>
      <c r="FP386" t="s">
        <v>8269</v>
      </c>
      <c r="FQ386" t="s">
        <v>8262</v>
      </c>
      <c r="FR386">
        <v>1</v>
      </c>
      <c r="FS386" t="s">
        <v>1350</v>
      </c>
      <c r="FT386" t="s">
        <v>8270</v>
      </c>
      <c r="FU386">
        <v>1</v>
      </c>
      <c r="FV386" t="s">
        <v>3594</v>
      </c>
      <c r="FW386" t="s">
        <v>8271</v>
      </c>
      <c r="FX386">
        <v>1</v>
      </c>
      <c r="FY386" t="s">
        <v>890</v>
      </c>
      <c r="FZ386" t="s">
        <v>8272</v>
      </c>
      <c r="GA386" t="s">
        <v>8266</v>
      </c>
      <c r="GB386">
        <v>1</v>
      </c>
      <c r="GD386">
        <v>0</v>
      </c>
      <c r="GF386">
        <v>0</v>
      </c>
      <c r="GG386">
        <v>1</v>
      </c>
      <c r="GH386" t="s">
        <v>892</v>
      </c>
      <c r="GI386" t="s">
        <v>893</v>
      </c>
      <c r="GJ386" t="s">
        <v>8265</v>
      </c>
      <c r="GM386">
        <v>1</v>
      </c>
      <c r="GN386">
        <v>1</v>
      </c>
      <c r="GO386">
        <v>0</v>
      </c>
      <c r="GP386">
        <v>1</v>
      </c>
      <c r="GQ386">
        <v>1</v>
      </c>
      <c r="GR386">
        <v>0</v>
      </c>
      <c r="GS386">
        <v>1</v>
      </c>
      <c r="GT386">
        <v>0</v>
      </c>
      <c r="GU386">
        <v>1</v>
      </c>
      <c r="GV386">
        <v>0</v>
      </c>
      <c r="GW386">
        <v>1</v>
      </c>
      <c r="GX386">
        <v>0</v>
      </c>
      <c r="GY386">
        <v>1</v>
      </c>
      <c r="GZ386">
        <v>0</v>
      </c>
      <c r="HA386" t="s">
        <v>287</v>
      </c>
      <c r="HB386" t="s">
        <v>894</v>
      </c>
      <c r="HC386" t="s">
        <v>935</v>
      </c>
      <c r="HD386" t="s">
        <v>845</v>
      </c>
      <c r="HE386" t="s">
        <v>900</v>
      </c>
      <c r="HF386" t="s">
        <v>923</v>
      </c>
      <c r="HG386" t="s">
        <v>894</v>
      </c>
      <c r="HH386" t="s">
        <v>935</v>
      </c>
      <c r="HI386" t="s">
        <v>845</v>
      </c>
      <c r="HJ386" t="s">
        <v>900</v>
      </c>
      <c r="HK386" t="s">
        <v>952</v>
      </c>
      <c r="HL386" t="s">
        <v>1332</v>
      </c>
      <c r="HM386" t="s">
        <v>854</v>
      </c>
      <c r="HN386">
        <v>36805</v>
      </c>
      <c r="HO386">
        <v>1</v>
      </c>
      <c r="HP386" t="s">
        <v>226</v>
      </c>
      <c r="HQ386" t="s">
        <v>896</v>
      </c>
      <c r="HR386" t="s">
        <v>896</v>
      </c>
      <c r="HS386" t="s">
        <v>896</v>
      </c>
    </row>
    <row r="387" spans="1:227" x14ac:dyDescent="0.2">
      <c r="A387">
        <v>8702</v>
      </c>
      <c r="B387">
        <v>7610903625</v>
      </c>
      <c r="C387" t="s">
        <v>829</v>
      </c>
      <c r="D387" t="s">
        <v>830</v>
      </c>
      <c r="E387" t="s">
        <v>897</v>
      </c>
      <c r="F387">
        <v>1</v>
      </c>
      <c r="G387" t="s">
        <v>8273</v>
      </c>
      <c r="H387" t="s">
        <v>8273</v>
      </c>
      <c r="I387">
        <v>0</v>
      </c>
      <c r="J387" t="s">
        <v>833</v>
      </c>
      <c r="K387" t="s">
        <v>834</v>
      </c>
      <c r="L387">
        <v>153195490</v>
      </c>
      <c r="M387" t="s">
        <v>7919</v>
      </c>
      <c r="N387" t="s">
        <v>900</v>
      </c>
      <c r="O387" t="s">
        <v>837</v>
      </c>
      <c r="P387" t="s">
        <v>838</v>
      </c>
      <c r="Q387" t="s">
        <v>1593</v>
      </c>
      <c r="R387" t="s">
        <v>8274</v>
      </c>
      <c r="S387" t="s">
        <v>8275</v>
      </c>
      <c r="T387">
        <v>41477122362</v>
      </c>
      <c r="V387" t="s">
        <v>1543</v>
      </c>
      <c r="W387" s="41">
        <v>46131</v>
      </c>
      <c r="X387" t="s">
        <v>8276</v>
      </c>
      <c r="Y387" t="s">
        <v>8277</v>
      </c>
      <c r="AA387">
        <v>0</v>
      </c>
      <c r="AB387" t="s">
        <v>845</v>
      </c>
      <c r="AC387" t="s">
        <v>846</v>
      </c>
      <c r="AD387" t="s">
        <v>1113</v>
      </c>
      <c r="AE387" t="s">
        <v>1114</v>
      </c>
      <c r="AF387">
        <v>1</v>
      </c>
      <c r="AG387">
        <v>452210</v>
      </c>
      <c r="AH387" t="s">
        <v>849</v>
      </c>
      <c r="AI387" t="s">
        <v>850</v>
      </c>
      <c r="AJ387" t="s">
        <v>851</v>
      </c>
      <c r="AK387" t="s">
        <v>317</v>
      </c>
      <c r="AL387" t="s">
        <v>3381</v>
      </c>
      <c r="AM387" t="s">
        <v>1548</v>
      </c>
      <c r="AN387" t="s">
        <v>854</v>
      </c>
      <c r="AO387">
        <v>36805</v>
      </c>
      <c r="AP387">
        <v>522</v>
      </c>
      <c r="AQ387" t="s">
        <v>855</v>
      </c>
      <c r="AR387">
        <v>66426845</v>
      </c>
      <c r="AS387" t="s">
        <v>856</v>
      </c>
      <c r="AU387" t="s">
        <v>8278</v>
      </c>
      <c r="AV387" t="s">
        <v>8279</v>
      </c>
      <c r="AX387" t="s">
        <v>913</v>
      </c>
      <c r="AY387" t="s">
        <v>861</v>
      </c>
      <c r="AZ387" t="s">
        <v>317</v>
      </c>
      <c r="BA387" t="s">
        <v>318</v>
      </c>
      <c r="BB387">
        <v>0</v>
      </c>
      <c r="BC387">
        <v>0</v>
      </c>
      <c r="BD387">
        <v>1</v>
      </c>
      <c r="BE387" t="s">
        <v>7919</v>
      </c>
      <c r="BF387">
        <v>0</v>
      </c>
      <c r="BG387">
        <v>0</v>
      </c>
      <c r="BH387" t="s">
        <v>862</v>
      </c>
      <c r="BI387">
        <v>0</v>
      </c>
      <c r="BJ387" t="s">
        <v>862</v>
      </c>
      <c r="BK387">
        <v>1</v>
      </c>
      <c r="BL387">
        <v>1</v>
      </c>
      <c r="BM387">
        <v>0</v>
      </c>
      <c r="BN387" t="s">
        <v>596</v>
      </c>
      <c r="BO387">
        <v>153195490</v>
      </c>
      <c r="BP387" t="s">
        <v>8273</v>
      </c>
      <c r="BQ387">
        <v>39.638555699999998</v>
      </c>
      <c r="BR387">
        <v>42791431</v>
      </c>
      <c r="BS387">
        <v>-86.130613999999994</v>
      </c>
      <c r="BT387">
        <v>2</v>
      </c>
      <c r="BU387" t="s">
        <v>1119</v>
      </c>
      <c r="BY387">
        <v>16</v>
      </c>
      <c r="CA387">
        <v>2</v>
      </c>
      <c r="CE387">
        <v>1</v>
      </c>
      <c r="CI387">
        <v>11</v>
      </c>
      <c r="CJ387" t="s">
        <v>94</v>
      </c>
      <c r="CM387">
        <v>4010</v>
      </c>
      <c r="CO387">
        <v>7360</v>
      </c>
      <c r="CP387">
        <v>1.4167000000000001</v>
      </c>
      <c r="CQ387">
        <v>1.4167000000000001</v>
      </c>
      <c r="CR387">
        <v>0.76670000000000005</v>
      </c>
      <c r="CS387">
        <v>6</v>
      </c>
      <c r="CT387" t="s">
        <v>8279</v>
      </c>
      <c r="CU387" t="s">
        <v>8278</v>
      </c>
      <c r="CV387" t="s">
        <v>833</v>
      </c>
      <c r="CW387" t="s">
        <v>834</v>
      </c>
      <c r="CX387" t="s">
        <v>7919</v>
      </c>
      <c r="CY387">
        <v>1</v>
      </c>
      <c r="CZ387">
        <v>1</v>
      </c>
      <c r="DA387" t="s">
        <v>833</v>
      </c>
      <c r="DB387" t="s">
        <v>865</v>
      </c>
      <c r="DC387">
        <v>46227</v>
      </c>
      <c r="DD387">
        <v>2.4500000000000002</v>
      </c>
      <c r="DE387" t="s">
        <v>866</v>
      </c>
      <c r="DG387" t="s">
        <v>867</v>
      </c>
      <c r="DH387" t="s">
        <v>851</v>
      </c>
      <c r="DI387" t="s">
        <v>7928</v>
      </c>
      <c r="DK387" t="s">
        <v>918</v>
      </c>
      <c r="DL387" t="s">
        <v>869</v>
      </c>
      <c r="DM387">
        <v>0</v>
      </c>
      <c r="DN387">
        <v>0</v>
      </c>
      <c r="DO387">
        <v>11</v>
      </c>
      <c r="DP387" t="s">
        <v>1010</v>
      </c>
      <c r="DQ387">
        <v>0</v>
      </c>
      <c r="DR387">
        <v>147</v>
      </c>
      <c r="DS387">
        <v>147</v>
      </c>
      <c r="DT387">
        <v>1.0333000000000001</v>
      </c>
      <c r="DU387">
        <v>0</v>
      </c>
      <c r="DV387">
        <v>1</v>
      </c>
      <c r="DW387">
        <v>2</v>
      </c>
      <c r="DX387" t="s">
        <v>596</v>
      </c>
      <c r="DY387" t="s">
        <v>7919</v>
      </c>
      <c r="DZ387">
        <v>1</v>
      </c>
      <c r="EA387">
        <v>1</v>
      </c>
      <c r="EB387">
        <v>1</v>
      </c>
      <c r="EC387">
        <v>1</v>
      </c>
      <c r="ED387">
        <v>1</v>
      </c>
      <c r="EE387">
        <v>1</v>
      </c>
      <c r="EF387" t="s">
        <v>920</v>
      </c>
      <c r="EG387" t="s">
        <v>595</v>
      </c>
      <c r="EH387" t="s">
        <v>921</v>
      </c>
      <c r="EI387" t="s">
        <v>921</v>
      </c>
      <c r="EJ387" t="s">
        <v>134</v>
      </c>
      <c r="EK387">
        <v>9090</v>
      </c>
      <c r="EL387">
        <v>0</v>
      </c>
      <c r="EM387" t="s">
        <v>1011</v>
      </c>
      <c r="EN387">
        <v>0.76670000000000005</v>
      </c>
      <c r="EO387">
        <v>2.4500000000000002</v>
      </c>
      <c r="EP387">
        <v>99991120</v>
      </c>
      <c r="EQ387" t="s">
        <v>874</v>
      </c>
      <c r="ER387" t="s">
        <v>875</v>
      </c>
      <c r="ES387" t="s">
        <v>876</v>
      </c>
      <c r="ET387" t="s">
        <v>877</v>
      </c>
      <c r="EU387" t="s">
        <v>877</v>
      </c>
      <c r="EV387" t="s">
        <v>920</v>
      </c>
      <c r="EX387" t="s">
        <v>953</v>
      </c>
      <c r="EY387" t="s">
        <v>1555</v>
      </c>
      <c r="EZ387" t="s">
        <v>1013</v>
      </c>
      <c r="FA387" t="s">
        <v>925</v>
      </c>
      <c r="FB387">
        <v>1</v>
      </c>
      <c r="FC387">
        <v>1</v>
      </c>
      <c r="FD387" s="41">
        <v>46137</v>
      </c>
      <c r="FE387" t="s">
        <v>1123</v>
      </c>
      <c r="FF387">
        <v>5</v>
      </c>
      <c r="FI387">
        <v>0</v>
      </c>
      <c r="FJ387" t="s">
        <v>8280</v>
      </c>
      <c r="FK387" t="s">
        <v>8281</v>
      </c>
      <c r="FL387">
        <v>1</v>
      </c>
      <c r="FM387" t="s">
        <v>8282</v>
      </c>
      <c r="FN387" t="s">
        <v>8283</v>
      </c>
      <c r="FO387">
        <v>1</v>
      </c>
      <c r="FP387" t="s">
        <v>8284</v>
      </c>
      <c r="FQ387" t="s">
        <v>8278</v>
      </c>
      <c r="FR387">
        <v>1</v>
      </c>
      <c r="FS387" t="s">
        <v>1984</v>
      </c>
      <c r="FT387" t="s">
        <v>8285</v>
      </c>
      <c r="FU387">
        <v>1</v>
      </c>
      <c r="FV387" t="s">
        <v>8286</v>
      </c>
      <c r="FW387" t="s">
        <v>8281</v>
      </c>
      <c r="FX387">
        <v>1</v>
      </c>
      <c r="FY387" t="s">
        <v>890</v>
      </c>
      <c r="FZ387" t="s">
        <v>8287</v>
      </c>
      <c r="GA387" t="s">
        <v>8280</v>
      </c>
      <c r="GB387">
        <v>1</v>
      </c>
      <c r="GD387">
        <v>0</v>
      </c>
      <c r="GF387">
        <v>0</v>
      </c>
      <c r="GG387">
        <v>1</v>
      </c>
      <c r="GH387" t="s">
        <v>892</v>
      </c>
      <c r="GI387" t="s">
        <v>893</v>
      </c>
      <c r="GJ387" t="s">
        <v>8281</v>
      </c>
      <c r="GM387">
        <v>1</v>
      </c>
      <c r="GN387">
        <v>1</v>
      </c>
      <c r="GO387">
        <v>0</v>
      </c>
      <c r="GP387">
        <v>1</v>
      </c>
      <c r="GQ387">
        <v>1</v>
      </c>
      <c r="GR387">
        <v>0</v>
      </c>
      <c r="GS387">
        <v>1</v>
      </c>
      <c r="GT387">
        <v>0</v>
      </c>
      <c r="GU387">
        <v>1</v>
      </c>
      <c r="GV387">
        <v>0</v>
      </c>
      <c r="GW387">
        <v>1</v>
      </c>
      <c r="GX387">
        <v>0</v>
      </c>
      <c r="GY387">
        <v>1</v>
      </c>
      <c r="GZ387">
        <v>0</v>
      </c>
      <c r="HA387" t="s">
        <v>317</v>
      </c>
      <c r="HB387" t="s">
        <v>894</v>
      </c>
      <c r="HC387" t="s">
        <v>935</v>
      </c>
      <c r="HD387" t="s">
        <v>845</v>
      </c>
      <c r="HE387" t="s">
        <v>900</v>
      </c>
      <c r="HF387" t="s">
        <v>1012</v>
      </c>
      <c r="HG387" t="s">
        <v>894</v>
      </c>
      <c r="HH387" t="s">
        <v>935</v>
      </c>
      <c r="HI387" t="s">
        <v>845</v>
      </c>
      <c r="HJ387" t="s">
        <v>900</v>
      </c>
      <c r="HK387" t="s">
        <v>1011</v>
      </c>
      <c r="HL387" t="s">
        <v>1543</v>
      </c>
      <c r="HM387" t="s">
        <v>854</v>
      </c>
      <c r="HN387">
        <v>36805</v>
      </c>
      <c r="HP387" t="s">
        <v>134</v>
      </c>
      <c r="HQ387" t="s">
        <v>896</v>
      </c>
      <c r="HR387" t="s">
        <v>896</v>
      </c>
      <c r="HS387" t="s">
        <v>896</v>
      </c>
    </row>
    <row r="388" spans="1:227" x14ac:dyDescent="0.2">
      <c r="A388">
        <v>8702</v>
      </c>
      <c r="B388">
        <v>7527901328</v>
      </c>
      <c r="C388" t="s">
        <v>829</v>
      </c>
      <c r="D388" t="s">
        <v>830</v>
      </c>
      <c r="E388" t="s">
        <v>831</v>
      </c>
      <c r="F388">
        <v>0</v>
      </c>
      <c r="G388" t="s">
        <v>8288</v>
      </c>
      <c r="H388" t="s">
        <v>8288</v>
      </c>
      <c r="I388">
        <v>0</v>
      </c>
      <c r="J388" t="s">
        <v>833</v>
      </c>
      <c r="K388" t="s">
        <v>834</v>
      </c>
      <c r="L388">
        <v>156586355</v>
      </c>
      <c r="M388" t="s">
        <v>8289</v>
      </c>
      <c r="N388" t="s">
        <v>836</v>
      </c>
      <c r="O388" t="s">
        <v>837</v>
      </c>
      <c r="P388" t="s">
        <v>838</v>
      </c>
      <c r="Q388" t="s">
        <v>1279</v>
      </c>
      <c r="R388" t="s">
        <v>8290</v>
      </c>
      <c r="S388" t="s">
        <v>8291</v>
      </c>
      <c r="T388">
        <v>41477047363</v>
      </c>
      <c r="V388" t="s">
        <v>115</v>
      </c>
      <c r="W388" s="41">
        <v>45936</v>
      </c>
      <c r="X388" t="s">
        <v>8292</v>
      </c>
      <c r="Y388" t="s">
        <v>8293</v>
      </c>
      <c r="AA388">
        <v>0</v>
      </c>
      <c r="AB388" t="s">
        <v>845</v>
      </c>
      <c r="AC388" t="s">
        <v>846</v>
      </c>
      <c r="AD388" t="s">
        <v>847</v>
      </c>
      <c r="AE388" t="s">
        <v>848</v>
      </c>
      <c r="AF388">
        <v>1</v>
      </c>
      <c r="AG388">
        <v>452210</v>
      </c>
      <c r="AH388" t="s">
        <v>849</v>
      </c>
      <c r="AI388" t="s">
        <v>850</v>
      </c>
      <c r="AJ388" t="s">
        <v>851</v>
      </c>
      <c r="AK388" t="s">
        <v>261</v>
      </c>
      <c r="AL388" t="s">
        <v>1363</v>
      </c>
      <c r="AM388" t="s">
        <v>8294</v>
      </c>
      <c r="AN388" t="s">
        <v>854</v>
      </c>
      <c r="AO388">
        <v>36805</v>
      </c>
      <c r="AP388">
        <v>492</v>
      </c>
      <c r="AQ388" t="s">
        <v>855</v>
      </c>
      <c r="AR388">
        <v>66146188</v>
      </c>
      <c r="AS388" t="s">
        <v>856</v>
      </c>
      <c r="AU388" t="s">
        <v>8295</v>
      </c>
      <c r="AV388" t="s">
        <v>8296</v>
      </c>
      <c r="AW388" t="s">
        <v>1261</v>
      </c>
      <c r="AX388" t="s">
        <v>1262</v>
      </c>
      <c r="AY388" t="s">
        <v>861</v>
      </c>
      <c r="AZ388" t="s">
        <v>261</v>
      </c>
      <c r="BA388" t="s">
        <v>262</v>
      </c>
      <c r="BB388">
        <v>0</v>
      </c>
      <c r="BC388">
        <v>0</v>
      </c>
      <c r="BD388">
        <v>0</v>
      </c>
      <c r="BE388" t="s">
        <v>8289</v>
      </c>
      <c r="BF388">
        <v>0</v>
      </c>
      <c r="BG388">
        <v>0</v>
      </c>
      <c r="BH388" t="s">
        <v>862</v>
      </c>
      <c r="BI388">
        <v>0</v>
      </c>
      <c r="BJ388" t="s">
        <v>862</v>
      </c>
      <c r="BK388">
        <v>1</v>
      </c>
      <c r="BL388">
        <v>0</v>
      </c>
      <c r="BM388">
        <v>0</v>
      </c>
      <c r="BN388" t="s">
        <v>596</v>
      </c>
      <c r="BO388">
        <v>156586355</v>
      </c>
      <c r="BP388" t="s">
        <v>8288</v>
      </c>
      <c r="BR388">
        <v>42789020</v>
      </c>
      <c r="BT388">
        <v>0</v>
      </c>
      <c r="CM388">
        <v>4010</v>
      </c>
      <c r="CO388">
        <v>7360</v>
      </c>
      <c r="CP388">
        <v>0.26669999999999999</v>
      </c>
      <c r="CQ388">
        <v>0.26669999999999999</v>
      </c>
      <c r="CR388">
        <v>0.55000000000000004</v>
      </c>
      <c r="CS388">
        <v>5</v>
      </c>
      <c r="CT388" t="s">
        <v>8297</v>
      </c>
      <c r="CU388" t="s">
        <v>8298</v>
      </c>
      <c r="CV388" t="s">
        <v>8299</v>
      </c>
      <c r="CW388" t="s">
        <v>8300</v>
      </c>
      <c r="CX388" t="s">
        <v>8289</v>
      </c>
      <c r="CY388">
        <v>0</v>
      </c>
      <c r="CZ388">
        <v>0</v>
      </c>
      <c r="DA388" t="s">
        <v>833</v>
      </c>
      <c r="DB388" t="s">
        <v>865</v>
      </c>
      <c r="DC388">
        <v>63011</v>
      </c>
      <c r="DD388">
        <v>3.7332999999999998</v>
      </c>
      <c r="DE388" t="s">
        <v>866</v>
      </c>
      <c r="DG388" t="s">
        <v>867</v>
      </c>
      <c r="DH388" t="s">
        <v>851</v>
      </c>
      <c r="DL388" t="s">
        <v>869</v>
      </c>
      <c r="DM388">
        <v>0</v>
      </c>
      <c r="DN388">
        <v>0</v>
      </c>
      <c r="DO388">
        <v>3</v>
      </c>
      <c r="DP388" t="s">
        <v>919</v>
      </c>
      <c r="DQ388">
        <v>16</v>
      </c>
      <c r="DR388">
        <v>224</v>
      </c>
      <c r="DS388">
        <v>269</v>
      </c>
      <c r="DT388">
        <v>3.7332999999999998</v>
      </c>
      <c r="DU388">
        <v>4</v>
      </c>
      <c r="DW388">
        <v>2</v>
      </c>
      <c r="DX388" t="s">
        <v>594</v>
      </c>
      <c r="DY388" t="s">
        <v>8289</v>
      </c>
      <c r="DZ388">
        <v>0</v>
      </c>
      <c r="EA388">
        <v>0</v>
      </c>
      <c r="EB388">
        <v>0</v>
      </c>
      <c r="EC388">
        <v>0</v>
      </c>
      <c r="ED388">
        <v>0</v>
      </c>
      <c r="EE388">
        <v>0</v>
      </c>
      <c r="EF388" t="s">
        <v>920</v>
      </c>
      <c r="EG388" t="s">
        <v>595</v>
      </c>
      <c r="EH388" t="s">
        <v>872</v>
      </c>
      <c r="EI388" t="s">
        <v>872</v>
      </c>
      <c r="EJ388" t="s">
        <v>111</v>
      </c>
      <c r="EK388">
        <v>9090</v>
      </c>
      <c r="EL388">
        <v>0</v>
      </c>
      <c r="EM388" t="s">
        <v>1037</v>
      </c>
      <c r="EN388">
        <v>0.55000000000000004</v>
      </c>
      <c r="EO388">
        <v>4.4833333</v>
      </c>
      <c r="EP388">
        <v>99991120</v>
      </c>
      <c r="EQ388" t="s">
        <v>874</v>
      </c>
      <c r="ER388" t="s">
        <v>875</v>
      </c>
      <c r="ES388" t="s">
        <v>876</v>
      </c>
      <c r="ET388" t="s">
        <v>877</v>
      </c>
      <c r="EU388" t="s">
        <v>877</v>
      </c>
      <c r="EV388" t="s">
        <v>920</v>
      </c>
      <c r="EX388" t="s">
        <v>900</v>
      </c>
      <c r="EY388" t="s">
        <v>923</v>
      </c>
      <c r="EZ388" t="s">
        <v>1038</v>
      </c>
      <c r="FA388" t="s">
        <v>925</v>
      </c>
      <c r="FB388">
        <v>1</v>
      </c>
      <c r="FC388">
        <v>1</v>
      </c>
      <c r="FD388" s="41">
        <v>45941</v>
      </c>
      <c r="FE388" t="s">
        <v>1039</v>
      </c>
      <c r="FF388">
        <v>7</v>
      </c>
      <c r="FG388" t="s">
        <v>8301</v>
      </c>
      <c r="FH388" t="s">
        <v>8302</v>
      </c>
      <c r="FI388">
        <v>1</v>
      </c>
      <c r="FJ388" t="s">
        <v>8303</v>
      </c>
      <c r="FK388" t="s">
        <v>8302</v>
      </c>
      <c r="FL388">
        <v>1</v>
      </c>
      <c r="FM388" t="s">
        <v>8304</v>
      </c>
      <c r="FN388" t="s">
        <v>8305</v>
      </c>
      <c r="FO388">
        <v>1</v>
      </c>
      <c r="FP388" t="s">
        <v>8306</v>
      </c>
      <c r="FQ388" t="s">
        <v>8298</v>
      </c>
      <c r="FR388">
        <v>1</v>
      </c>
      <c r="FS388" t="s">
        <v>4075</v>
      </c>
      <c r="FT388" t="s">
        <v>8307</v>
      </c>
      <c r="FU388">
        <v>1</v>
      </c>
      <c r="FV388" t="s">
        <v>4077</v>
      </c>
      <c r="FW388" t="s">
        <v>8308</v>
      </c>
      <c r="FX388">
        <v>1</v>
      </c>
      <c r="FY388" t="s">
        <v>890</v>
      </c>
      <c r="FZ388" t="s">
        <v>8309</v>
      </c>
      <c r="GA388" t="s">
        <v>8303</v>
      </c>
      <c r="GB388">
        <v>1</v>
      </c>
      <c r="GD388">
        <v>0</v>
      </c>
      <c r="GF388">
        <v>0</v>
      </c>
      <c r="GG388">
        <v>1</v>
      </c>
      <c r="GH388" t="s">
        <v>892</v>
      </c>
      <c r="GI388" t="s">
        <v>893</v>
      </c>
      <c r="GJ388" t="s">
        <v>8302</v>
      </c>
      <c r="GM388">
        <v>1</v>
      </c>
      <c r="GN388">
        <v>1</v>
      </c>
      <c r="GO388">
        <v>0</v>
      </c>
      <c r="GP388">
        <v>1</v>
      </c>
      <c r="GQ388">
        <v>1</v>
      </c>
      <c r="GR388">
        <v>0</v>
      </c>
      <c r="GS388">
        <v>1</v>
      </c>
      <c r="GT388">
        <v>0</v>
      </c>
      <c r="GU388">
        <v>1</v>
      </c>
      <c r="GV388">
        <v>0</v>
      </c>
      <c r="GW388">
        <v>1</v>
      </c>
      <c r="GX388">
        <v>0</v>
      </c>
      <c r="GY388">
        <v>1</v>
      </c>
      <c r="GZ388">
        <v>0</v>
      </c>
      <c r="HA388" t="s">
        <v>261</v>
      </c>
      <c r="HB388" t="s">
        <v>894</v>
      </c>
      <c r="HC388" t="s">
        <v>895</v>
      </c>
      <c r="HD388" t="s">
        <v>845</v>
      </c>
      <c r="HE388" t="s">
        <v>836</v>
      </c>
      <c r="HF388" t="s">
        <v>1051</v>
      </c>
      <c r="HG388" t="s">
        <v>894</v>
      </c>
      <c r="HH388" t="s">
        <v>895</v>
      </c>
      <c r="HI388" t="s">
        <v>845</v>
      </c>
      <c r="HJ388" t="s">
        <v>836</v>
      </c>
      <c r="HK388" t="s">
        <v>1037</v>
      </c>
      <c r="HL388" t="s">
        <v>115</v>
      </c>
      <c r="HM388" t="s">
        <v>854</v>
      </c>
      <c r="HN388">
        <v>36805</v>
      </c>
      <c r="HP388" t="s">
        <v>111</v>
      </c>
      <c r="HQ388" t="s">
        <v>896</v>
      </c>
      <c r="HR388" t="s">
        <v>896</v>
      </c>
      <c r="HS388" t="s">
        <v>896</v>
      </c>
    </row>
    <row r="389" spans="1:227" x14ac:dyDescent="0.2">
      <c r="A389">
        <v>8702</v>
      </c>
      <c r="B389">
        <v>7530401007</v>
      </c>
      <c r="C389" t="s">
        <v>829</v>
      </c>
      <c r="D389" t="s">
        <v>830</v>
      </c>
      <c r="E389" t="s">
        <v>831</v>
      </c>
      <c r="F389">
        <v>1</v>
      </c>
      <c r="G389" t="s">
        <v>8310</v>
      </c>
      <c r="H389" t="s">
        <v>8310</v>
      </c>
      <c r="I389">
        <v>0</v>
      </c>
      <c r="J389" t="s">
        <v>833</v>
      </c>
      <c r="K389" t="s">
        <v>834</v>
      </c>
      <c r="L389">
        <v>156586328</v>
      </c>
      <c r="M389" t="s">
        <v>4059</v>
      </c>
      <c r="N389" t="s">
        <v>836</v>
      </c>
      <c r="O389" t="s">
        <v>837</v>
      </c>
      <c r="P389" t="s">
        <v>838</v>
      </c>
      <c r="Q389" t="s">
        <v>839</v>
      </c>
      <c r="R389" t="s">
        <v>8311</v>
      </c>
      <c r="S389" t="s">
        <v>8312</v>
      </c>
      <c r="T389">
        <v>41477047363</v>
      </c>
      <c r="V389" t="s">
        <v>4062</v>
      </c>
      <c r="W389" s="41">
        <v>45961</v>
      </c>
      <c r="X389" t="s">
        <v>8313</v>
      </c>
      <c r="Y389" t="s">
        <v>8314</v>
      </c>
      <c r="AA389">
        <v>0</v>
      </c>
      <c r="AB389" t="s">
        <v>845</v>
      </c>
      <c r="AC389" t="s">
        <v>846</v>
      </c>
      <c r="AD389" t="s">
        <v>847</v>
      </c>
      <c r="AE389" t="s">
        <v>848</v>
      </c>
      <c r="AF389">
        <v>1</v>
      </c>
      <c r="AG389">
        <v>452210</v>
      </c>
      <c r="AH389" t="s">
        <v>849</v>
      </c>
      <c r="AI389" t="s">
        <v>850</v>
      </c>
      <c r="AJ389" t="s">
        <v>851</v>
      </c>
      <c r="AK389" t="s">
        <v>261</v>
      </c>
      <c r="AL389" t="s">
        <v>1363</v>
      </c>
      <c r="AM389" t="s">
        <v>4065</v>
      </c>
      <c r="AN389" t="s">
        <v>854</v>
      </c>
      <c r="AO389">
        <v>36805</v>
      </c>
      <c r="AP389">
        <v>491</v>
      </c>
      <c r="AQ389" t="s">
        <v>855</v>
      </c>
      <c r="AR389">
        <v>66181953</v>
      </c>
      <c r="AS389" t="s">
        <v>856</v>
      </c>
      <c r="AU389" t="s">
        <v>8315</v>
      </c>
      <c r="AV389" t="s">
        <v>8316</v>
      </c>
      <c r="AW389" t="s">
        <v>859</v>
      </c>
      <c r="AX389" t="s">
        <v>860</v>
      </c>
      <c r="AY389" t="s">
        <v>861</v>
      </c>
      <c r="AZ389" t="s">
        <v>261</v>
      </c>
      <c r="BA389" t="s">
        <v>262</v>
      </c>
      <c r="BB389">
        <v>0</v>
      </c>
      <c r="BC389">
        <v>0</v>
      </c>
      <c r="BD389">
        <v>0</v>
      </c>
      <c r="BE389" t="s">
        <v>4059</v>
      </c>
      <c r="BF389">
        <v>0</v>
      </c>
      <c r="BG389">
        <v>0</v>
      </c>
      <c r="BH389" t="s">
        <v>862</v>
      </c>
      <c r="BI389">
        <v>0</v>
      </c>
      <c r="BJ389" t="s">
        <v>862</v>
      </c>
      <c r="BK389">
        <v>1</v>
      </c>
      <c r="BL389">
        <v>0</v>
      </c>
      <c r="BM389">
        <v>0</v>
      </c>
      <c r="BN389" t="s">
        <v>596</v>
      </c>
      <c r="BO389">
        <v>156586328</v>
      </c>
      <c r="BP389" t="s">
        <v>8310</v>
      </c>
      <c r="BR389">
        <v>42789012</v>
      </c>
      <c r="BT389">
        <v>0</v>
      </c>
      <c r="CM389">
        <v>4010</v>
      </c>
      <c r="CO389">
        <v>7360</v>
      </c>
      <c r="CP389">
        <v>0.95</v>
      </c>
      <c r="CQ389">
        <v>0.95</v>
      </c>
      <c r="CR389">
        <v>0.51670000000000005</v>
      </c>
      <c r="CS389">
        <v>1</v>
      </c>
      <c r="CT389" t="s">
        <v>8316</v>
      </c>
      <c r="CU389" t="s">
        <v>8315</v>
      </c>
      <c r="CV389" t="s">
        <v>833</v>
      </c>
      <c r="CW389" t="s">
        <v>834</v>
      </c>
      <c r="CX389" t="s">
        <v>4059</v>
      </c>
      <c r="CY389">
        <v>0</v>
      </c>
      <c r="CZ389">
        <v>0</v>
      </c>
      <c r="DA389" t="s">
        <v>833</v>
      </c>
      <c r="DB389" t="s">
        <v>865</v>
      </c>
      <c r="DC389">
        <v>63122</v>
      </c>
      <c r="DD389">
        <v>3.4666999999999999</v>
      </c>
      <c r="DE389" t="s">
        <v>866</v>
      </c>
      <c r="DG389" t="s">
        <v>867</v>
      </c>
      <c r="DH389" t="s">
        <v>851</v>
      </c>
      <c r="DL389" t="s">
        <v>869</v>
      </c>
      <c r="DM389">
        <v>0</v>
      </c>
      <c r="DN389">
        <v>0</v>
      </c>
      <c r="DO389">
        <v>53</v>
      </c>
      <c r="DP389" t="s">
        <v>1156</v>
      </c>
      <c r="DQ389">
        <v>16</v>
      </c>
      <c r="DR389">
        <v>208</v>
      </c>
      <c r="DS389">
        <v>208</v>
      </c>
      <c r="DT389">
        <v>2.5167000000000002</v>
      </c>
      <c r="DU389">
        <v>4</v>
      </c>
      <c r="DW389">
        <v>2</v>
      </c>
      <c r="DX389" t="s">
        <v>594</v>
      </c>
      <c r="DY389" t="s">
        <v>4059</v>
      </c>
      <c r="DZ389">
        <v>0</v>
      </c>
      <c r="EA389">
        <v>0</v>
      </c>
      <c r="EB389">
        <v>0</v>
      </c>
      <c r="EC389">
        <v>0</v>
      </c>
      <c r="ED389">
        <v>0</v>
      </c>
      <c r="EE389">
        <v>0</v>
      </c>
      <c r="EF389" t="s">
        <v>920</v>
      </c>
      <c r="EG389" t="s">
        <v>595</v>
      </c>
      <c r="EH389" t="s">
        <v>872</v>
      </c>
      <c r="EI389" t="s">
        <v>872</v>
      </c>
      <c r="EJ389" t="s">
        <v>111</v>
      </c>
      <c r="EK389">
        <v>9090</v>
      </c>
      <c r="EL389">
        <v>0</v>
      </c>
      <c r="EM389" t="s">
        <v>1037</v>
      </c>
      <c r="EN389">
        <v>0.51670000000000005</v>
      </c>
      <c r="EO389">
        <v>3.4666665999999999</v>
      </c>
      <c r="EP389">
        <v>99991120</v>
      </c>
      <c r="EQ389" t="s">
        <v>874</v>
      </c>
      <c r="ER389" t="s">
        <v>875</v>
      </c>
      <c r="ES389" t="s">
        <v>876</v>
      </c>
      <c r="ET389" t="s">
        <v>877</v>
      </c>
      <c r="EU389" t="s">
        <v>877</v>
      </c>
      <c r="EV389" t="s">
        <v>920</v>
      </c>
      <c r="EX389" t="s">
        <v>900</v>
      </c>
      <c r="EY389" t="s">
        <v>923</v>
      </c>
      <c r="EZ389" t="s">
        <v>1038</v>
      </c>
      <c r="FA389" t="s">
        <v>925</v>
      </c>
      <c r="FB389">
        <v>1</v>
      </c>
      <c r="FC389">
        <v>1</v>
      </c>
      <c r="FD389" s="41">
        <v>45962</v>
      </c>
      <c r="FE389" t="s">
        <v>1039</v>
      </c>
      <c r="FF389">
        <v>6</v>
      </c>
      <c r="FG389" t="s">
        <v>8317</v>
      </c>
      <c r="FH389" t="s">
        <v>8318</v>
      </c>
      <c r="FI389">
        <v>1</v>
      </c>
      <c r="FJ389" t="s">
        <v>6169</v>
      </c>
      <c r="FK389" t="s">
        <v>8319</v>
      </c>
      <c r="FL389">
        <v>1</v>
      </c>
      <c r="FM389" t="s">
        <v>4071</v>
      </c>
      <c r="FN389" t="s">
        <v>8319</v>
      </c>
      <c r="FO389">
        <v>1</v>
      </c>
      <c r="FP389" t="s">
        <v>8320</v>
      </c>
      <c r="FQ389" t="s">
        <v>8315</v>
      </c>
      <c r="FR389">
        <v>1</v>
      </c>
      <c r="FS389" t="s">
        <v>1376</v>
      </c>
      <c r="FT389" t="s">
        <v>8321</v>
      </c>
      <c r="FU389">
        <v>1</v>
      </c>
      <c r="FV389" t="s">
        <v>7657</v>
      </c>
      <c r="FW389" t="s">
        <v>8318</v>
      </c>
      <c r="FX389">
        <v>1</v>
      </c>
      <c r="FY389" t="s">
        <v>890</v>
      </c>
      <c r="FZ389" t="s">
        <v>8322</v>
      </c>
      <c r="GA389" t="s">
        <v>8317</v>
      </c>
      <c r="GB389">
        <v>1</v>
      </c>
      <c r="GD389">
        <v>0</v>
      </c>
      <c r="GF389">
        <v>0</v>
      </c>
      <c r="GG389">
        <v>1</v>
      </c>
      <c r="GH389" t="s">
        <v>892</v>
      </c>
      <c r="GI389" t="s">
        <v>893</v>
      </c>
      <c r="GJ389" t="s">
        <v>8318</v>
      </c>
      <c r="GM389">
        <v>1</v>
      </c>
      <c r="GN389">
        <v>1</v>
      </c>
      <c r="GO389">
        <v>0</v>
      </c>
      <c r="GP389">
        <v>1</v>
      </c>
      <c r="GQ389">
        <v>1</v>
      </c>
      <c r="GR389">
        <v>0</v>
      </c>
      <c r="GS389">
        <v>1</v>
      </c>
      <c r="GT389">
        <v>0</v>
      </c>
      <c r="GU389">
        <v>1</v>
      </c>
      <c r="GV389">
        <v>0</v>
      </c>
      <c r="GW389">
        <v>1</v>
      </c>
      <c r="GX389">
        <v>0</v>
      </c>
      <c r="GY389">
        <v>1</v>
      </c>
      <c r="GZ389">
        <v>0</v>
      </c>
      <c r="HA389" t="s">
        <v>261</v>
      </c>
      <c r="HB389" t="s">
        <v>894</v>
      </c>
      <c r="HC389" t="s">
        <v>895</v>
      </c>
      <c r="HD389" t="s">
        <v>845</v>
      </c>
      <c r="HE389" t="s">
        <v>836</v>
      </c>
      <c r="HF389" t="s">
        <v>1051</v>
      </c>
      <c r="HG389" t="s">
        <v>894</v>
      </c>
      <c r="HH389" t="s">
        <v>895</v>
      </c>
      <c r="HI389" t="s">
        <v>845</v>
      </c>
      <c r="HJ389" t="s">
        <v>836</v>
      </c>
      <c r="HK389" t="s">
        <v>1037</v>
      </c>
      <c r="HL389" t="s">
        <v>4062</v>
      </c>
      <c r="HM389" t="s">
        <v>854</v>
      </c>
      <c r="HN389">
        <v>36805</v>
      </c>
      <c r="HP389" t="s">
        <v>111</v>
      </c>
      <c r="HQ389" t="s">
        <v>896</v>
      </c>
      <c r="HR389" t="s">
        <v>896</v>
      </c>
      <c r="HS389" t="s">
        <v>896</v>
      </c>
    </row>
    <row r="390" spans="1:227" x14ac:dyDescent="0.2">
      <c r="A390">
        <v>8702</v>
      </c>
      <c r="B390">
        <v>7525104194</v>
      </c>
      <c r="C390" t="s">
        <v>829</v>
      </c>
      <c r="D390" t="s">
        <v>830</v>
      </c>
      <c r="E390" t="s">
        <v>831</v>
      </c>
      <c r="F390">
        <v>1</v>
      </c>
      <c r="G390" t="s">
        <v>8323</v>
      </c>
      <c r="H390" t="s">
        <v>8323</v>
      </c>
      <c r="I390">
        <v>0</v>
      </c>
      <c r="J390" t="s">
        <v>833</v>
      </c>
      <c r="K390" t="s">
        <v>834</v>
      </c>
      <c r="L390">
        <v>153294194</v>
      </c>
      <c r="M390" t="s">
        <v>2134</v>
      </c>
      <c r="N390" t="s">
        <v>836</v>
      </c>
      <c r="O390" t="s">
        <v>837</v>
      </c>
      <c r="P390" t="s">
        <v>838</v>
      </c>
      <c r="Q390" t="s">
        <v>1251</v>
      </c>
      <c r="R390" t="s">
        <v>8324</v>
      </c>
      <c r="S390" t="s">
        <v>8325</v>
      </c>
      <c r="T390">
        <v>41477094066</v>
      </c>
      <c r="V390" t="s">
        <v>214</v>
      </c>
      <c r="W390" s="41">
        <v>45908</v>
      </c>
      <c r="X390" t="s">
        <v>5540</v>
      </c>
      <c r="Y390" t="s">
        <v>8326</v>
      </c>
      <c r="AA390">
        <v>0</v>
      </c>
      <c r="AB390" t="s">
        <v>845</v>
      </c>
      <c r="AC390" t="s">
        <v>846</v>
      </c>
      <c r="AD390" t="s">
        <v>847</v>
      </c>
      <c r="AE390" t="s">
        <v>848</v>
      </c>
      <c r="AF390">
        <v>1</v>
      </c>
      <c r="AG390">
        <v>452210</v>
      </c>
      <c r="AH390" t="s">
        <v>849</v>
      </c>
      <c r="AI390" t="s">
        <v>850</v>
      </c>
      <c r="AJ390" t="s">
        <v>851</v>
      </c>
      <c r="AK390" t="s">
        <v>445</v>
      </c>
      <c r="AL390" t="s">
        <v>2139</v>
      </c>
      <c r="AM390" t="s">
        <v>1902</v>
      </c>
      <c r="AN390" t="s">
        <v>854</v>
      </c>
      <c r="AO390">
        <v>36805</v>
      </c>
      <c r="AP390">
        <v>701</v>
      </c>
      <c r="AQ390" t="s">
        <v>855</v>
      </c>
      <c r="AR390">
        <v>66105482</v>
      </c>
      <c r="AS390" t="s">
        <v>856</v>
      </c>
      <c r="AU390" t="s">
        <v>8327</v>
      </c>
      <c r="AV390" t="s">
        <v>8328</v>
      </c>
      <c r="AX390" t="s">
        <v>913</v>
      </c>
      <c r="AY390" t="s">
        <v>861</v>
      </c>
      <c r="AZ390" t="s">
        <v>445</v>
      </c>
      <c r="BA390" t="s">
        <v>446</v>
      </c>
      <c r="BB390">
        <v>0</v>
      </c>
      <c r="BC390">
        <v>0</v>
      </c>
      <c r="BD390">
        <v>0</v>
      </c>
      <c r="BE390" t="s">
        <v>2134</v>
      </c>
      <c r="BF390">
        <v>0</v>
      </c>
      <c r="BG390">
        <v>0</v>
      </c>
      <c r="BH390" t="s">
        <v>862</v>
      </c>
      <c r="BI390">
        <v>0</v>
      </c>
      <c r="BJ390" t="s">
        <v>862</v>
      </c>
      <c r="BK390">
        <v>1</v>
      </c>
      <c r="BL390">
        <v>1</v>
      </c>
      <c r="BM390">
        <v>0</v>
      </c>
      <c r="BN390" t="s">
        <v>596</v>
      </c>
      <c r="BO390">
        <v>153294194</v>
      </c>
      <c r="BP390" t="s">
        <v>8323</v>
      </c>
      <c r="BR390">
        <v>42791783</v>
      </c>
      <c r="BT390">
        <v>0</v>
      </c>
      <c r="CM390">
        <v>4010</v>
      </c>
      <c r="CO390">
        <v>7360</v>
      </c>
      <c r="CP390">
        <v>1.2166999999999999</v>
      </c>
      <c r="CQ390">
        <v>1.2166999999999999</v>
      </c>
      <c r="CR390">
        <v>0.76670000000000005</v>
      </c>
      <c r="CS390">
        <v>5</v>
      </c>
      <c r="CT390" t="s">
        <v>8329</v>
      </c>
      <c r="CU390" t="s">
        <v>8330</v>
      </c>
      <c r="CV390" t="s">
        <v>833</v>
      </c>
      <c r="CW390" t="s">
        <v>834</v>
      </c>
      <c r="CX390" t="s">
        <v>2134</v>
      </c>
      <c r="CY390">
        <v>0</v>
      </c>
      <c r="CZ390">
        <v>0</v>
      </c>
      <c r="DA390" t="s">
        <v>833</v>
      </c>
      <c r="DB390" t="s">
        <v>865</v>
      </c>
      <c r="DC390">
        <v>53202</v>
      </c>
      <c r="DD390">
        <v>2.0832999999999999</v>
      </c>
      <c r="DE390" t="s">
        <v>866</v>
      </c>
      <c r="DG390" t="s">
        <v>867</v>
      </c>
      <c r="DH390" t="s">
        <v>851</v>
      </c>
      <c r="DI390" t="s">
        <v>2142</v>
      </c>
      <c r="DJ390" t="s">
        <v>2143</v>
      </c>
      <c r="DL390" t="s">
        <v>869</v>
      </c>
      <c r="DM390">
        <v>0</v>
      </c>
      <c r="DN390">
        <v>0</v>
      </c>
      <c r="DO390">
        <v>3</v>
      </c>
      <c r="DP390" t="s">
        <v>919</v>
      </c>
      <c r="DQ390">
        <v>16</v>
      </c>
      <c r="DR390">
        <v>125</v>
      </c>
      <c r="DS390">
        <v>125</v>
      </c>
      <c r="DT390">
        <v>0.86670000000000003</v>
      </c>
      <c r="DU390">
        <v>4</v>
      </c>
      <c r="DW390">
        <v>2</v>
      </c>
      <c r="DX390" t="s">
        <v>596</v>
      </c>
      <c r="DY390" t="s">
        <v>2134</v>
      </c>
      <c r="DZ390">
        <v>1</v>
      </c>
      <c r="EA390">
        <v>1</v>
      </c>
      <c r="EB390">
        <v>1</v>
      </c>
      <c r="EC390">
        <v>1</v>
      </c>
      <c r="ED390">
        <v>1</v>
      </c>
      <c r="EE390">
        <v>1</v>
      </c>
      <c r="EF390" t="s">
        <v>871</v>
      </c>
      <c r="EG390" t="s">
        <v>595</v>
      </c>
      <c r="EH390" t="s">
        <v>921</v>
      </c>
      <c r="EI390" t="s">
        <v>921</v>
      </c>
      <c r="EJ390" t="s">
        <v>215</v>
      </c>
      <c r="EK390">
        <v>9090</v>
      </c>
      <c r="EL390">
        <v>0</v>
      </c>
      <c r="EM390" t="s">
        <v>873</v>
      </c>
      <c r="EN390">
        <v>0.76670000000000005</v>
      </c>
      <c r="EO390">
        <v>2.0833333000000001</v>
      </c>
      <c r="EP390">
        <v>99991120</v>
      </c>
      <c r="EQ390" t="s">
        <v>874</v>
      </c>
      <c r="ER390" t="s">
        <v>875</v>
      </c>
      <c r="ES390" t="s">
        <v>876</v>
      </c>
      <c r="ET390" t="s">
        <v>877</v>
      </c>
      <c r="EU390" t="s">
        <v>877</v>
      </c>
      <c r="EV390" t="s">
        <v>871</v>
      </c>
      <c r="EX390" t="s">
        <v>836</v>
      </c>
      <c r="EY390" t="s">
        <v>873</v>
      </c>
      <c r="EZ390" t="s">
        <v>1807</v>
      </c>
      <c r="FA390" t="s">
        <v>925</v>
      </c>
      <c r="FB390">
        <v>1</v>
      </c>
      <c r="FC390">
        <v>1</v>
      </c>
      <c r="FD390" s="41">
        <v>45913</v>
      </c>
      <c r="FE390" t="s">
        <v>880</v>
      </c>
      <c r="FF390">
        <v>4</v>
      </c>
      <c r="FI390">
        <v>0</v>
      </c>
      <c r="FL390">
        <v>0</v>
      </c>
      <c r="FM390" t="s">
        <v>2148</v>
      </c>
      <c r="FN390" t="s">
        <v>8331</v>
      </c>
      <c r="FO390">
        <v>1</v>
      </c>
      <c r="FP390" t="s">
        <v>8332</v>
      </c>
      <c r="FQ390" t="s">
        <v>8330</v>
      </c>
      <c r="FR390">
        <v>1</v>
      </c>
      <c r="FS390" t="s">
        <v>2151</v>
      </c>
      <c r="FT390" t="s">
        <v>8333</v>
      </c>
      <c r="FU390">
        <v>1</v>
      </c>
      <c r="FV390" t="s">
        <v>8334</v>
      </c>
      <c r="FW390" t="s">
        <v>8335</v>
      </c>
      <c r="FX390">
        <v>1</v>
      </c>
      <c r="FY390" t="s">
        <v>890</v>
      </c>
      <c r="FZ390" t="s">
        <v>8336</v>
      </c>
      <c r="GA390" t="s">
        <v>8334</v>
      </c>
      <c r="GB390">
        <v>1</v>
      </c>
      <c r="GD390">
        <v>0</v>
      </c>
      <c r="GF390">
        <v>0</v>
      </c>
      <c r="GG390">
        <v>1</v>
      </c>
      <c r="GH390" t="s">
        <v>892</v>
      </c>
      <c r="GI390" t="s">
        <v>893</v>
      </c>
      <c r="GJ390" t="s">
        <v>8335</v>
      </c>
      <c r="GM390">
        <v>1</v>
      </c>
      <c r="GN390">
        <v>1</v>
      </c>
      <c r="GO390">
        <v>0</v>
      </c>
      <c r="GP390">
        <v>1</v>
      </c>
      <c r="GQ390">
        <v>1</v>
      </c>
      <c r="GR390">
        <v>0</v>
      </c>
      <c r="GS390">
        <v>1</v>
      </c>
      <c r="GT390">
        <v>0</v>
      </c>
      <c r="GU390">
        <v>1</v>
      </c>
      <c r="GV390">
        <v>0</v>
      </c>
      <c r="GW390">
        <v>1</v>
      </c>
      <c r="GX390">
        <v>0</v>
      </c>
      <c r="GY390">
        <v>1</v>
      </c>
      <c r="GZ390">
        <v>0</v>
      </c>
      <c r="HA390" t="s">
        <v>445</v>
      </c>
      <c r="HB390" t="s">
        <v>894</v>
      </c>
      <c r="HC390" t="s">
        <v>895</v>
      </c>
      <c r="HD390" t="s">
        <v>845</v>
      </c>
      <c r="HE390" t="s">
        <v>836</v>
      </c>
      <c r="HF390" t="s">
        <v>873</v>
      </c>
      <c r="HG390" t="s">
        <v>894</v>
      </c>
      <c r="HH390" t="s">
        <v>895</v>
      </c>
      <c r="HI390" t="s">
        <v>845</v>
      </c>
      <c r="HJ390" t="s">
        <v>836</v>
      </c>
      <c r="HK390" t="s">
        <v>873</v>
      </c>
      <c r="HL390" t="s">
        <v>214</v>
      </c>
      <c r="HM390" t="s">
        <v>854</v>
      </c>
      <c r="HN390">
        <v>36805</v>
      </c>
      <c r="HP390" t="s">
        <v>215</v>
      </c>
      <c r="HQ390" t="s">
        <v>896</v>
      </c>
      <c r="HR390" t="s">
        <v>896</v>
      </c>
      <c r="HS390" t="s">
        <v>896</v>
      </c>
    </row>
    <row r="391" spans="1:227" x14ac:dyDescent="0.2">
      <c r="A391">
        <v>8702</v>
      </c>
      <c r="B391">
        <v>7523702277</v>
      </c>
      <c r="C391" t="s">
        <v>829</v>
      </c>
      <c r="D391" t="s">
        <v>830</v>
      </c>
      <c r="E391" t="s">
        <v>897</v>
      </c>
      <c r="F391">
        <v>1</v>
      </c>
      <c r="G391" t="s">
        <v>8337</v>
      </c>
      <c r="H391" t="s">
        <v>8337</v>
      </c>
      <c r="I391">
        <v>0</v>
      </c>
      <c r="J391" t="s">
        <v>833</v>
      </c>
      <c r="K391" t="s">
        <v>834</v>
      </c>
      <c r="L391">
        <v>153008214</v>
      </c>
      <c r="M391" t="s">
        <v>8338</v>
      </c>
      <c r="N391" t="s">
        <v>900</v>
      </c>
      <c r="O391" t="s">
        <v>837</v>
      </c>
      <c r="P391" t="s">
        <v>838</v>
      </c>
      <c r="Q391" t="s">
        <v>839</v>
      </c>
      <c r="R391" t="s">
        <v>8339</v>
      </c>
      <c r="S391" t="s">
        <v>8340</v>
      </c>
      <c r="T391">
        <v>41477122910</v>
      </c>
      <c r="V391" t="s">
        <v>133</v>
      </c>
      <c r="W391" s="41">
        <v>45894</v>
      </c>
      <c r="X391" t="s">
        <v>8341</v>
      </c>
      <c r="Y391" t="s">
        <v>8342</v>
      </c>
      <c r="AA391">
        <v>0</v>
      </c>
      <c r="AB391" t="s">
        <v>845</v>
      </c>
      <c r="AC391" t="s">
        <v>846</v>
      </c>
      <c r="AD391" t="s">
        <v>847</v>
      </c>
      <c r="AE391" t="s">
        <v>848</v>
      </c>
      <c r="AF391">
        <v>1</v>
      </c>
      <c r="AG391">
        <v>452210</v>
      </c>
      <c r="AH391" t="s">
        <v>849</v>
      </c>
      <c r="AI391" t="s">
        <v>850</v>
      </c>
      <c r="AJ391" t="s">
        <v>851</v>
      </c>
      <c r="AK391" t="s">
        <v>259</v>
      </c>
      <c r="AL391" t="s">
        <v>1547</v>
      </c>
      <c r="AM391" t="s">
        <v>2208</v>
      </c>
      <c r="AN391" t="s">
        <v>854</v>
      </c>
      <c r="AO391">
        <v>36805</v>
      </c>
      <c r="AP391">
        <v>525</v>
      </c>
      <c r="AQ391" t="s">
        <v>855</v>
      </c>
      <c r="AR391">
        <v>66085597</v>
      </c>
      <c r="AS391" t="s">
        <v>856</v>
      </c>
      <c r="AU391" t="s">
        <v>8343</v>
      </c>
      <c r="AV391" t="s">
        <v>8344</v>
      </c>
      <c r="AX391" t="s">
        <v>913</v>
      </c>
      <c r="AY391" t="s">
        <v>861</v>
      </c>
      <c r="AZ391" t="s">
        <v>259</v>
      </c>
      <c r="BA391" t="s">
        <v>260</v>
      </c>
      <c r="BB391">
        <v>0</v>
      </c>
      <c r="BC391">
        <v>0</v>
      </c>
      <c r="BD391">
        <v>1</v>
      </c>
      <c r="BE391" t="s">
        <v>8338</v>
      </c>
      <c r="BF391">
        <v>0</v>
      </c>
      <c r="BG391">
        <v>0</v>
      </c>
      <c r="BH391" t="s">
        <v>862</v>
      </c>
      <c r="BI391">
        <v>0</v>
      </c>
      <c r="BJ391" t="s">
        <v>862</v>
      </c>
      <c r="BK391">
        <v>1</v>
      </c>
      <c r="BL391">
        <v>0</v>
      </c>
      <c r="BM391">
        <v>0</v>
      </c>
      <c r="BN391" t="s">
        <v>596</v>
      </c>
      <c r="BO391">
        <v>153008214</v>
      </c>
      <c r="BP391" t="s">
        <v>8337</v>
      </c>
      <c r="BQ391">
        <v>39.906397900000002</v>
      </c>
      <c r="BR391">
        <v>42791436</v>
      </c>
      <c r="BS391">
        <v>-86.094919300000001</v>
      </c>
      <c r="BT391">
        <v>0</v>
      </c>
      <c r="CM391">
        <v>4010</v>
      </c>
      <c r="CO391">
        <v>7360</v>
      </c>
      <c r="CP391">
        <v>0.7167</v>
      </c>
      <c r="CQ391">
        <v>0.7167</v>
      </c>
      <c r="CR391">
        <v>0.7</v>
      </c>
      <c r="CS391">
        <v>2</v>
      </c>
      <c r="CT391" t="s">
        <v>8345</v>
      </c>
      <c r="CU391" t="s">
        <v>8346</v>
      </c>
      <c r="CV391" t="s">
        <v>833</v>
      </c>
      <c r="CW391" t="s">
        <v>834</v>
      </c>
      <c r="CX391" t="s">
        <v>8338</v>
      </c>
      <c r="CY391">
        <v>1</v>
      </c>
      <c r="CZ391">
        <v>1</v>
      </c>
      <c r="DA391" t="s">
        <v>833</v>
      </c>
      <c r="DB391" t="s">
        <v>865</v>
      </c>
      <c r="DC391">
        <v>46250</v>
      </c>
      <c r="DD391">
        <v>3.5333000000000001</v>
      </c>
      <c r="DE391" t="s">
        <v>866</v>
      </c>
      <c r="DG391" t="s">
        <v>867</v>
      </c>
      <c r="DH391" t="s">
        <v>851</v>
      </c>
      <c r="DL391" t="s">
        <v>869</v>
      </c>
      <c r="DM391">
        <v>0</v>
      </c>
      <c r="DN391">
        <v>0</v>
      </c>
      <c r="DO391">
        <v>11</v>
      </c>
      <c r="DP391" t="s">
        <v>1010</v>
      </c>
      <c r="DQ391">
        <v>16</v>
      </c>
      <c r="DR391">
        <v>212</v>
      </c>
      <c r="DS391">
        <v>212</v>
      </c>
      <c r="DT391">
        <v>2.8167</v>
      </c>
      <c r="DU391">
        <v>4</v>
      </c>
      <c r="DW391">
        <v>2</v>
      </c>
      <c r="DX391" t="s">
        <v>596</v>
      </c>
      <c r="DY391" t="s">
        <v>8338</v>
      </c>
      <c r="DZ391">
        <v>0</v>
      </c>
      <c r="EA391">
        <v>0</v>
      </c>
      <c r="EB391">
        <v>0</v>
      </c>
      <c r="EC391">
        <v>0</v>
      </c>
      <c r="ED391">
        <v>0</v>
      </c>
      <c r="EE391">
        <v>0</v>
      </c>
      <c r="EF391" t="s">
        <v>920</v>
      </c>
      <c r="EG391" t="s">
        <v>595</v>
      </c>
      <c r="EH391" t="s">
        <v>921</v>
      </c>
      <c r="EI391" t="s">
        <v>921</v>
      </c>
      <c r="EJ391" t="s">
        <v>134</v>
      </c>
      <c r="EK391">
        <v>9090</v>
      </c>
      <c r="EL391">
        <v>0</v>
      </c>
      <c r="EM391" t="s">
        <v>1011</v>
      </c>
      <c r="EN391">
        <v>0.7</v>
      </c>
      <c r="EO391">
        <v>3.5333332999999998</v>
      </c>
      <c r="EP391">
        <v>99991120</v>
      </c>
      <c r="EQ391" t="s">
        <v>874</v>
      </c>
      <c r="ER391" t="s">
        <v>875</v>
      </c>
      <c r="ES391" t="s">
        <v>876</v>
      </c>
      <c r="ET391" t="s">
        <v>877</v>
      </c>
      <c r="EU391" t="s">
        <v>877</v>
      </c>
      <c r="EV391" t="s">
        <v>920</v>
      </c>
      <c r="EX391" t="s">
        <v>953</v>
      </c>
      <c r="EY391" t="s">
        <v>1555</v>
      </c>
      <c r="EZ391" t="s">
        <v>1013</v>
      </c>
      <c r="FA391" t="s">
        <v>925</v>
      </c>
      <c r="FB391">
        <v>1</v>
      </c>
      <c r="FC391">
        <v>1</v>
      </c>
      <c r="FD391" s="41">
        <v>45899</v>
      </c>
      <c r="FE391" t="s">
        <v>987</v>
      </c>
      <c r="FF391">
        <v>6</v>
      </c>
      <c r="FG391" t="s">
        <v>8347</v>
      </c>
      <c r="FH391" t="s">
        <v>8348</v>
      </c>
      <c r="FI391">
        <v>1</v>
      </c>
      <c r="FJ391" t="s">
        <v>8349</v>
      </c>
      <c r="FK391" t="s">
        <v>8350</v>
      </c>
      <c r="FL391">
        <v>1</v>
      </c>
      <c r="FM391" t="s">
        <v>8351</v>
      </c>
      <c r="FN391" t="s">
        <v>8352</v>
      </c>
      <c r="FO391">
        <v>1</v>
      </c>
      <c r="FP391" t="s">
        <v>8353</v>
      </c>
      <c r="FQ391" t="s">
        <v>8346</v>
      </c>
      <c r="FR391">
        <v>1</v>
      </c>
      <c r="FS391" t="s">
        <v>1934</v>
      </c>
      <c r="FT391" t="s">
        <v>8354</v>
      </c>
      <c r="FU391">
        <v>1</v>
      </c>
      <c r="FV391" t="s">
        <v>8355</v>
      </c>
      <c r="FW391" t="s">
        <v>8348</v>
      </c>
      <c r="FX391">
        <v>1</v>
      </c>
      <c r="FY391" t="s">
        <v>890</v>
      </c>
      <c r="FZ391" t="s">
        <v>8356</v>
      </c>
      <c r="GA391" t="s">
        <v>8347</v>
      </c>
      <c r="GB391">
        <v>1</v>
      </c>
      <c r="GD391">
        <v>0</v>
      </c>
      <c r="GF391">
        <v>0</v>
      </c>
      <c r="GG391">
        <v>1</v>
      </c>
      <c r="GH391" t="s">
        <v>892</v>
      </c>
      <c r="GI391" t="s">
        <v>893</v>
      </c>
      <c r="GJ391" t="s">
        <v>8348</v>
      </c>
      <c r="GM391">
        <v>1</v>
      </c>
      <c r="GN391">
        <v>1</v>
      </c>
      <c r="GO391">
        <v>0</v>
      </c>
      <c r="GP391">
        <v>1</v>
      </c>
      <c r="GQ391">
        <v>1</v>
      </c>
      <c r="GR391">
        <v>0</v>
      </c>
      <c r="GS391">
        <v>1</v>
      </c>
      <c r="GT391">
        <v>0</v>
      </c>
      <c r="GU391">
        <v>1</v>
      </c>
      <c r="GV391">
        <v>0</v>
      </c>
      <c r="GW391">
        <v>1</v>
      </c>
      <c r="GX391">
        <v>0</v>
      </c>
      <c r="GY391">
        <v>1</v>
      </c>
      <c r="GZ391">
        <v>0</v>
      </c>
      <c r="HA391" t="s">
        <v>259</v>
      </c>
      <c r="HB391" t="s">
        <v>894</v>
      </c>
      <c r="HC391" t="s">
        <v>935</v>
      </c>
      <c r="HD391" t="s">
        <v>845</v>
      </c>
      <c r="HE391" t="s">
        <v>900</v>
      </c>
      <c r="HF391" t="s">
        <v>1012</v>
      </c>
      <c r="HG391" t="s">
        <v>894</v>
      </c>
      <c r="HH391" t="s">
        <v>935</v>
      </c>
      <c r="HI391" t="s">
        <v>845</v>
      </c>
      <c r="HJ391" t="s">
        <v>900</v>
      </c>
      <c r="HK391" t="s">
        <v>1011</v>
      </c>
      <c r="HL391" t="s">
        <v>133</v>
      </c>
      <c r="HM391" t="s">
        <v>854</v>
      </c>
      <c r="HN391">
        <v>36805</v>
      </c>
      <c r="HP391" t="s">
        <v>134</v>
      </c>
      <c r="HQ391" t="s">
        <v>896</v>
      </c>
      <c r="HR391" t="s">
        <v>896</v>
      </c>
      <c r="HS391" t="s">
        <v>896</v>
      </c>
    </row>
    <row r="392" spans="1:227" x14ac:dyDescent="0.2">
      <c r="A392">
        <v>8702</v>
      </c>
      <c r="B392">
        <v>7531705269</v>
      </c>
      <c r="C392" t="s">
        <v>936</v>
      </c>
      <c r="D392" t="s">
        <v>937</v>
      </c>
      <c r="E392" t="s">
        <v>897</v>
      </c>
      <c r="F392">
        <v>0</v>
      </c>
      <c r="G392" t="s">
        <v>8357</v>
      </c>
      <c r="H392" t="s">
        <v>8357</v>
      </c>
      <c r="I392">
        <v>0</v>
      </c>
      <c r="J392" t="s">
        <v>833</v>
      </c>
      <c r="K392" t="s">
        <v>834</v>
      </c>
      <c r="L392">
        <v>153406601</v>
      </c>
      <c r="M392" t="s">
        <v>8358</v>
      </c>
      <c r="N392" t="s">
        <v>900</v>
      </c>
      <c r="O392" t="s">
        <v>837</v>
      </c>
      <c r="P392" t="s">
        <v>940</v>
      </c>
      <c r="Q392" t="s">
        <v>2404</v>
      </c>
      <c r="R392" t="s">
        <v>8359</v>
      </c>
      <c r="S392" t="s">
        <v>8360</v>
      </c>
      <c r="T392">
        <v>41477056288</v>
      </c>
      <c r="V392" t="s">
        <v>133</v>
      </c>
      <c r="W392" s="41">
        <v>45976</v>
      </c>
      <c r="X392" t="s">
        <v>8361</v>
      </c>
      <c r="Y392" t="s">
        <v>8362</v>
      </c>
      <c r="AA392">
        <v>0</v>
      </c>
      <c r="AB392" t="s">
        <v>845</v>
      </c>
      <c r="AC392" t="s">
        <v>846</v>
      </c>
      <c r="AD392" t="s">
        <v>847</v>
      </c>
      <c r="AE392" t="s">
        <v>848</v>
      </c>
      <c r="AF392">
        <v>1</v>
      </c>
      <c r="AG392">
        <v>452210</v>
      </c>
      <c r="AH392" t="s">
        <v>849</v>
      </c>
      <c r="AI392" t="s">
        <v>850</v>
      </c>
      <c r="AJ392" t="s">
        <v>851</v>
      </c>
      <c r="AK392" t="s">
        <v>279</v>
      </c>
      <c r="AL392" t="s">
        <v>1181</v>
      </c>
      <c r="AM392" t="s">
        <v>1970</v>
      </c>
      <c r="AN392" t="s">
        <v>854</v>
      </c>
      <c r="AO392">
        <v>36805</v>
      </c>
      <c r="AP392">
        <v>532</v>
      </c>
      <c r="AQ392" t="s">
        <v>855</v>
      </c>
      <c r="AR392">
        <v>66203430</v>
      </c>
      <c r="AS392" t="s">
        <v>856</v>
      </c>
      <c r="AU392" t="s">
        <v>8363</v>
      </c>
      <c r="AV392" t="s">
        <v>8364</v>
      </c>
      <c r="AX392" t="s">
        <v>913</v>
      </c>
      <c r="AY392" t="s">
        <v>861</v>
      </c>
      <c r="AZ392" t="s">
        <v>279</v>
      </c>
      <c r="BA392" t="s">
        <v>280</v>
      </c>
      <c r="BB392">
        <v>0</v>
      </c>
      <c r="BC392">
        <v>1</v>
      </c>
      <c r="BD392">
        <v>0</v>
      </c>
      <c r="BE392" t="s">
        <v>8358</v>
      </c>
      <c r="BF392">
        <v>0</v>
      </c>
      <c r="BG392">
        <v>0</v>
      </c>
      <c r="BH392" t="s">
        <v>862</v>
      </c>
      <c r="BI392">
        <v>0</v>
      </c>
      <c r="BJ392" t="s">
        <v>862</v>
      </c>
      <c r="BK392">
        <v>1</v>
      </c>
      <c r="BL392">
        <v>1</v>
      </c>
      <c r="BM392">
        <v>0</v>
      </c>
      <c r="BN392" t="s">
        <v>596</v>
      </c>
      <c r="BO392">
        <v>153406601</v>
      </c>
      <c r="BP392" t="s">
        <v>8357</v>
      </c>
      <c r="BQ392">
        <v>39.765494699999998</v>
      </c>
      <c r="BR392">
        <v>42791447</v>
      </c>
      <c r="BS392">
        <v>-86.322858100000005</v>
      </c>
      <c r="BT392">
        <v>0</v>
      </c>
      <c r="CM392">
        <v>4010</v>
      </c>
      <c r="CO392">
        <v>7360</v>
      </c>
      <c r="CP392">
        <v>1.4167000000000001</v>
      </c>
      <c r="CQ392">
        <v>1.4167000000000001</v>
      </c>
      <c r="CR392">
        <v>2.1667000000000001</v>
      </c>
      <c r="CS392">
        <v>0</v>
      </c>
      <c r="CT392" t="s">
        <v>8364</v>
      </c>
      <c r="CU392" t="s">
        <v>8363</v>
      </c>
      <c r="CV392" t="s">
        <v>833</v>
      </c>
      <c r="CW392" t="s">
        <v>834</v>
      </c>
      <c r="CX392" t="s">
        <v>8358</v>
      </c>
      <c r="CY392">
        <v>1</v>
      </c>
      <c r="CZ392">
        <v>1</v>
      </c>
      <c r="DA392" t="s">
        <v>833</v>
      </c>
      <c r="DB392" t="s">
        <v>865</v>
      </c>
      <c r="DC392">
        <v>46234</v>
      </c>
      <c r="DD392">
        <v>22.416699999999999</v>
      </c>
      <c r="DE392" t="s">
        <v>866</v>
      </c>
      <c r="DG392" t="s">
        <v>867</v>
      </c>
      <c r="DH392" t="s">
        <v>851</v>
      </c>
      <c r="DL392" t="s">
        <v>869</v>
      </c>
      <c r="DM392">
        <v>0</v>
      </c>
      <c r="DN392">
        <v>0</v>
      </c>
      <c r="DO392">
        <v>11</v>
      </c>
      <c r="DP392" t="s">
        <v>1010</v>
      </c>
      <c r="DQ392">
        <v>16</v>
      </c>
      <c r="DR392">
        <v>1345</v>
      </c>
      <c r="DS392">
        <v>2785</v>
      </c>
      <c r="DT392">
        <v>5.7</v>
      </c>
      <c r="DU392">
        <v>4</v>
      </c>
      <c r="DW392">
        <v>2</v>
      </c>
      <c r="DX392" t="s">
        <v>596</v>
      </c>
      <c r="DY392" t="s">
        <v>8358</v>
      </c>
      <c r="DZ392">
        <v>0</v>
      </c>
      <c r="EA392">
        <v>0</v>
      </c>
      <c r="EB392">
        <v>1</v>
      </c>
      <c r="EC392">
        <v>0</v>
      </c>
      <c r="ED392">
        <v>0</v>
      </c>
      <c r="EE392">
        <v>1</v>
      </c>
      <c r="EF392" t="s">
        <v>920</v>
      </c>
      <c r="EG392" t="s">
        <v>595</v>
      </c>
      <c r="EH392" t="s">
        <v>921</v>
      </c>
      <c r="EI392" t="s">
        <v>921</v>
      </c>
      <c r="EJ392" t="s">
        <v>134</v>
      </c>
      <c r="EK392">
        <v>9090</v>
      </c>
      <c r="EL392">
        <v>1</v>
      </c>
      <c r="EM392" t="s">
        <v>1011</v>
      </c>
      <c r="EN392">
        <v>2.1667000000000001</v>
      </c>
      <c r="EO392">
        <v>46.416666599999999</v>
      </c>
      <c r="EP392">
        <v>99991120</v>
      </c>
      <c r="EQ392" t="s">
        <v>874</v>
      </c>
      <c r="ER392" t="s">
        <v>875</v>
      </c>
      <c r="ES392" t="s">
        <v>876</v>
      </c>
      <c r="ET392" t="s">
        <v>877</v>
      </c>
      <c r="EU392" t="s">
        <v>877</v>
      </c>
      <c r="EV392" t="s">
        <v>920</v>
      </c>
      <c r="EX392" t="s">
        <v>953</v>
      </c>
      <c r="EY392" t="s">
        <v>1555</v>
      </c>
      <c r="EZ392" t="s">
        <v>1013</v>
      </c>
      <c r="FA392" t="s">
        <v>925</v>
      </c>
      <c r="FB392">
        <v>1</v>
      </c>
      <c r="FC392">
        <v>2</v>
      </c>
      <c r="FD392" s="41">
        <v>45976</v>
      </c>
      <c r="FE392" t="s">
        <v>1438</v>
      </c>
      <c r="FF392">
        <v>13</v>
      </c>
      <c r="FG392" t="s">
        <v>8365</v>
      </c>
      <c r="FH392" t="s">
        <v>8366</v>
      </c>
      <c r="FI392">
        <v>1</v>
      </c>
      <c r="FJ392" t="s">
        <v>8367</v>
      </c>
      <c r="FK392" t="s">
        <v>8368</v>
      </c>
      <c r="FL392">
        <v>1</v>
      </c>
      <c r="FM392" t="s">
        <v>8369</v>
      </c>
      <c r="FN392" t="s">
        <v>8370</v>
      </c>
      <c r="FO392">
        <v>1</v>
      </c>
      <c r="FP392" t="s">
        <v>8371</v>
      </c>
      <c r="FQ392" t="s">
        <v>8363</v>
      </c>
      <c r="FR392">
        <v>1</v>
      </c>
      <c r="FS392" t="s">
        <v>1984</v>
      </c>
      <c r="FT392" t="s">
        <v>8372</v>
      </c>
      <c r="FU392">
        <v>1</v>
      </c>
      <c r="FV392" t="s">
        <v>1986</v>
      </c>
      <c r="FW392" t="s">
        <v>8373</v>
      </c>
      <c r="FX392">
        <v>1</v>
      </c>
      <c r="FY392" t="s">
        <v>890</v>
      </c>
      <c r="FZ392" t="s">
        <v>8374</v>
      </c>
      <c r="GA392" t="s">
        <v>8365</v>
      </c>
      <c r="GB392">
        <v>1</v>
      </c>
      <c r="GD392">
        <v>0</v>
      </c>
      <c r="GF392">
        <v>0</v>
      </c>
      <c r="GG392">
        <v>1</v>
      </c>
      <c r="GH392" t="s">
        <v>892</v>
      </c>
      <c r="GI392" t="s">
        <v>893</v>
      </c>
      <c r="GJ392" t="s">
        <v>8366</v>
      </c>
      <c r="GM392">
        <v>1</v>
      </c>
      <c r="GN392">
        <v>0</v>
      </c>
      <c r="GO392">
        <v>0</v>
      </c>
      <c r="GP392">
        <v>1</v>
      </c>
      <c r="GQ392">
        <v>1</v>
      </c>
      <c r="GR392">
        <v>0</v>
      </c>
      <c r="GS392">
        <v>1</v>
      </c>
      <c r="GT392">
        <v>0</v>
      </c>
      <c r="GU392">
        <v>1</v>
      </c>
      <c r="GV392">
        <v>0</v>
      </c>
      <c r="GW392">
        <v>1</v>
      </c>
      <c r="GX392">
        <v>0</v>
      </c>
      <c r="GY392">
        <v>1</v>
      </c>
      <c r="GZ392">
        <v>0</v>
      </c>
      <c r="HA392" t="s">
        <v>279</v>
      </c>
      <c r="HB392" t="s">
        <v>894</v>
      </c>
      <c r="HC392" t="s">
        <v>935</v>
      </c>
      <c r="HD392" t="s">
        <v>845</v>
      </c>
      <c r="HE392" t="s">
        <v>900</v>
      </c>
      <c r="HF392" t="s">
        <v>1012</v>
      </c>
      <c r="HG392" t="s">
        <v>894</v>
      </c>
      <c r="HH392" t="s">
        <v>935</v>
      </c>
      <c r="HI392" t="s">
        <v>845</v>
      </c>
      <c r="HJ392" t="s">
        <v>900</v>
      </c>
      <c r="HK392" t="s">
        <v>1011</v>
      </c>
      <c r="HL392" t="s">
        <v>133</v>
      </c>
      <c r="HM392" t="s">
        <v>854</v>
      </c>
      <c r="HN392">
        <v>36805</v>
      </c>
      <c r="HP392" t="s">
        <v>134</v>
      </c>
      <c r="HQ392" t="s">
        <v>896</v>
      </c>
      <c r="HR392" t="s">
        <v>896</v>
      </c>
      <c r="HS392" t="s">
        <v>896</v>
      </c>
    </row>
    <row r="393" spans="1:227" x14ac:dyDescent="0.2">
      <c r="A393">
        <v>8702</v>
      </c>
      <c r="B393">
        <v>7525502674</v>
      </c>
      <c r="C393">
        <v>34</v>
      </c>
      <c r="D393" t="s">
        <v>996</v>
      </c>
      <c r="E393" t="s">
        <v>831</v>
      </c>
      <c r="F393">
        <v>0</v>
      </c>
      <c r="G393" t="s">
        <v>8375</v>
      </c>
      <c r="H393" t="s">
        <v>8375</v>
      </c>
      <c r="I393">
        <v>0</v>
      </c>
      <c r="J393" t="s">
        <v>833</v>
      </c>
      <c r="K393" t="s">
        <v>834</v>
      </c>
      <c r="L393">
        <v>153406558</v>
      </c>
      <c r="M393" t="s">
        <v>1662</v>
      </c>
      <c r="N393" t="s">
        <v>836</v>
      </c>
      <c r="O393" t="s">
        <v>837</v>
      </c>
      <c r="P393" t="s">
        <v>999</v>
      </c>
      <c r="Q393" t="s">
        <v>1857</v>
      </c>
      <c r="R393" t="s">
        <v>8376</v>
      </c>
      <c r="S393" t="s">
        <v>8377</v>
      </c>
      <c r="T393">
        <v>41477092613</v>
      </c>
      <c r="V393" t="s">
        <v>165</v>
      </c>
      <c r="W393" s="41">
        <v>45912</v>
      </c>
      <c r="X393" t="s">
        <v>8378</v>
      </c>
      <c r="Y393" t="s">
        <v>8379</v>
      </c>
      <c r="AA393">
        <v>0</v>
      </c>
      <c r="AB393" t="s">
        <v>845</v>
      </c>
      <c r="AC393" t="s">
        <v>846</v>
      </c>
      <c r="AD393" t="s">
        <v>847</v>
      </c>
      <c r="AE393" t="s">
        <v>848</v>
      </c>
      <c r="AF393">
        <v>1</v>
      </c>
      <c r="AG393">
        <v>452210</v>
      </c>
      <c r="AH393" t="s">
        <v>849</v>
      </c>
      <c r="AI393" t="s">
        <v>850</v>
      </c>
      <c r="AJ393" t="s">
        <v>851</v>
      </c>
      <c r="AK393" t="s">
        <v>253</v>
      </c>
      <c r="AL393" t="s">
        <v>1257</v>
      </c>
      <c r="AM393" t="s">
        <v>1499</v>
      </c>
      <c r="AN393" t="s">
        <v>854</v>
      </c>
      <c r="AO393">
        <v>36805</v>
      </c>
      <c r="AP393">
        <v>544</v>
      </c>
      <c r="AQ393" t="s">
        <v>855</v>
      </c>
      <c r="AR393">
        <v>66111260</v>
      </c>
      <c r="AS393" t="s">
        <v>856</v>
      </c>
      <c r="AU393" t="s">
        <v>8380</v>
      </c>
      <c r="AV393" t="s">
        <v>8381</v>
      </c>
      <c r="AX393" t="s">
        <v>913</v>
      </c>
      <c r="AY393" t="s">
        <v>861</v>
      </c>
      <c r="AZ393" t="s">
        <v>253</v>
      </c>
      <c r="BA393" t="s">
        <v>254</v>
      </c>
      <c r="BB393">
        <v>0</v>
      </c>
      <c r="BC393">
        <v>0</v>
      </c>
      <c r="BD393">
        <v>0</v>
      </c>
      <c r="BE393" t="s">
        <v>1662</v>
      </c>
      <c r="BF393">
        <v>0</v>
      </c>
      <c r="BG393">
        <v>0</v>
      </c>
      <c r="BH393" t="s">
        <v>862</v>
      </c>
      <c r="BI393">
        <v>0</v>
      </c>
      <c r="BJ393" t="s">
        <v>862</v>
      </c>
      <c r="BK393">
        <v>1</v>
      </c>
      <c r="BL393">
        <v>1</v>
      </c>
      <c r="BM393">
        <v>0</v>
      </c>
      <c r="BN393" t="s">
        <v>596</v>
      </c>
      <c r="BO393">
        <v>153406558</v>
      </c>
      <c r="BP393" t="s">
        <v>8375</v>
      </c>
      <c r="BQ393">
        <v>44.7482118</v>
      </c>
      <c r="BR393">
        <v>42791459</v>
      </c>
      <c r="BS393">
        <v>-93.382472199999995</v>
      </c>
      <c r="BT393">
        <v>0</v>
      </c>
      <c r="CM393">
        <v>4010</v>
      </c>
      <c r="CO393">
        <v>7360</v>
      </c>
      <c r="CP393">
        <v>0.2167</v>
      </c>
      <c r="CQ393">
        <v>0.2167</v>
      </c>
      <c r="CR393">
        <v>0</v>
      </c>
      <c r="CS393">
        <v>0</v>
      </c>
      <c r="CT393" t="s">
        <v>8381</v>
      </c>
      <c r="CU393" t="s">
        <v>8380</v>
      </c>
      <c r="CV393" t="s">
        <v>833</v>
      </c>
      <c r="CW393" t="s">
        <v>834</v>
      </c>
      <c r="CX393" t="s">
        <v>1662</v>
      </c>
      <c r="CY393">
        <v>0</v>
      </c>
      <c r="CZ393">
        <v>0</v>
      </c>
      <c r="DA393" t="s">
        <v>833</v>
      </c>
      <c r="DB393" t="s">
        <v>865</v>
      </c>
      <c r="DC393">
        <v>55378</v>
      </c>
      <c r="DD393">
        <v>6.5167000000000002</v>
      </c>
      <c r="DE393" t="s">
        <v>866</v>
      </c>
      <c r="DG393" t="s">
        <v>867</v>
      </c>
      <c r="DH393" t="s">
        <v>851</v>
      </c>
      <c r="DL393" t="s">
        <v>869</v>
      </c>
      <c r="DM393">
        <v>0</v>
      </c>
      <c r="DN393">
        <v>0</v>
      </c>
      <c r="DO393">
        <v>14</v>
      </c>
      <c r="DP393" t="s">
        <v>3564</v>
      </c>
      <c r="DQ393">
        <v>12</v>
      </c>
      <c r="DR393">
        <v>391</v>
      </c>
      <c r="DS393">
        <v>391</v>
      </c>
      <c r="DT393">
        <v>6.3</v>
      </c>
      <c r="DU393">
        <v>4</v>
      </c>
      <c r="DW393">
        <v>1</v>
      </c>
      <c r="DX393" t="s">
        <v>596</v>
      </c>
      <c r="DY393" t="s">
        <v>1662</v>
      </c>
      <c r="DZ393">
        <v>1</v>
      </c>
      <c r="EA393">
        <v>1</v>
      </c>
      <c r="EB393">
        <v>1</v>
      </c>
      <c r="EC393">
        <v>0</v>
      </c>
      <c r="ED393">
        <v>0</v>
      </c>
      <c r="EE393">
        <v>1</v>
      </c>
      <c r="EF393" t="s">
        <v>920</v>
      </c>
      <c r="EG393" t="s">
        <v>595</v>
      </c>
      <c r="EH393" t="s">
        <v>1036</v>
      </c>
      <c r="EI393" t="s">
        <v>1036</v>
      </c>
      <c r="EJ393" t="s">
        <v>159</v>
      </c>
      <c r="EK393">
        <v>9090</v>
      </c>
      <c r="EL393">
        <v>0</v>
      </c>
      <c r="EM393" t="s">
        <v>873</v>
      </c>
      <c r="EN393">
        <v>0</v>
      </c>
      <c r="EO393">
        <v>6.5166665999999998</v>
      </c>
      <c r="EP393">
        <v>99991120</v>
      </c>
      <c r="EQ393" t="s">
        <v>874</v>
      </c>
      <c r="ER393" t="s">
        <v>875</v>
      </c>
      <c r="ES393" t="s">
        <v>876</v>
      </c>
      <c r="ET393" t="s">
        <v>877</v>
      </c>
      <c r="EU393" t="s">
        <v>877</v>
      </c>
      <c r="EV393" t="s">
        <v>920</v>
      </c>
      <c r="EX393" t="s">
        <v>836</v>
      </c>
      <c r="EY393" t="s">
        <v>1121</v>
      </c>
      <c r="EZ393" t="s">
        <v>1122</v>
      </c>
      <c r="FA393" t="s">
        <v>956</v>
      </c>
      <c r="FB393">
        <v>1</v>
      </c>
      <c r="FC393">
        <v>1</v>
      </c>
      <c r="FD393" s="41">
        <v>45913</v>
      </c>
      <c r="FE393" t="s">
        <v>880</v>
      </c>
      <c r="FF393">
        <v>4</v>
      </c>
      <c r="FI393">
        <v>0</v>
      </c>
      <c r="FL393">
        <v>0</v>
      </c>
      <c r="FM393" t="s">
        <v>8382</v>
      </c>
      <c r="FN393" t="s">
        <v>8383</v>
      </c>
      <c r="FO393">
        <v>1</v>
      </c>
      <c r="FP393" t="s">
        <v>8384</v>
      </c>
      <c r="FQ393" t="s">
        <v>8380</v>
      </c>
      <c r="FR393">
        <v>1</v>
      </c>
      <c r="FS393" t="s">
        <v>1273</v>
      </c>
      <c r="FT393" t="s">
        <v>8385</v>
      </c>
      <c r="FU393">
        <v>1</v>
      </c>
      <c r="FV393" t="s">
        <v>8386</v>
      </c>
      <c r="FW393" t="s">
        <v>8387</v>
      </c>
      <c r="FX393">
        <v>1</v>
      </c>
      <c r="FY393" t="s">
        <v>890</v>
      </c>
      <c r="FZ393" t="s">
        <v>8388</v>
      </c>
      <c r="GA393" t="s">
        <v>8386</v>
      </c>
      <c r="GB393">
        <v>1</v>
      </c>
      <c r="GD393">
        <v>0</v>
      </c>
      <c r="GF393">
        <v>0</v>
      </c>
      <c r="GG393">
        <v>1</v>
      </c>
      <c r="GH393" t="s">
        <v>892</v>
      </c>
      <c r="GI393" t="s">
        <v>893</v>
      </c>
      <c r="GJ393" t="s">
        <v>8387</v>
      </c>
      <c r="GM393">
        <v>1</v>
      </c>
      <c r="GN393">
        <v>1</v>
      </c>
      <c r="GO393">
        <v>0</v>
      </c>
      <c r="GP393">
        <v>1</v>
      </c>
      <c r="GQ393">
        <v>1</v>
      </c>
      <c r="GR393">
        <v>0</v>
      </c>
      <c r="GS393">
        <v>1</v>
      </c>
      <c r="GT393">
        <v>0</v>
      </c>
      <c r="GU393">
        <v>1</v>
      </c>
      <c r="GV393">
        <v>0</v>
      </c>
      <c r="GW393">
        <v>1</v>
      </c>
      <c r="GX393">
        <v>0</v>
      </c>
      <c r="GY393">
        <v>1</v>
      </c>
      <c r="GZ393">
        <v>0</v>
      </c>
      <c r="HA393" t="s">
        <v>253</v>
      </c>
      <c r="HB393" t="s">
        <v>894</v>
      </c>
      <c r="HC393" t="s">
        <v>895</v>
      </c>
      <c r="HD393" t="s">
        <v>845</v>
      </c>
      <c r="HE393" t="s">
        <v>836</v>
      </c>
      <c r="HF393" t="s">
        <v>873</v>
      </c>
      <c r="HG393" t="s">
        <v>894</v>
      </c>
      <c r="HH393" t="s">
        <v>895</v>
      </c>
      <c r="HI393" t="s">
        <v>845</v>
      </c>
      <c r="HJ393" t="s">
        <v>836</v>
      </c>
      <c r="HK393" t="s">
        <v>873</v>
      </c>
      <c r="HL393" t="s">
        <v>165</v>
      </c>
      <c r="HM393" t="s">
        <v>854</v>
      </c>
      <c r="HN393">
        <v>36805</v>
      </c>
      <c r="HP393" t="s">
        <v>159</v>
      </c>
      <c r="HQ393" t="s">
        <v>896</v>
      </c>
      <c r="HR393" t="s">
        <v>896</v>
      </c>
      <c r="HS393" t="s">
        <v>896</v>
      </c>
    </row>
    <row r="394" spans="1:227" x14ac:dyDescent="0.2">
      <c r="A394">
        <v>8702</v>
      </c>
      <c r="B394">
        <v>7605600007</v>
      </c>
      <c r="C394" t="s">
        <v>829</v>
      </c>
      <c r="D394" t="s">
        <v>830</v>
      </c>
      <c r="E394" t="s">
        <v>831</v>
      </c>
      <c r="F394">
        <v>0</v>
      </c>
      <c r="G394" t="s">
        <v>8389</v>
      </c>
      <c r="H394" t="s">
        <v>8389</v>
      </c>
      <c r="I394">
        <v>0</v>
      </c>
      <c r="J394" t="s">
        <v>833</v>
      </c>
      <c r="K394" t="s">
        <v>834</v>
      </c>
      <c r="L394">
        <v>152949102</v>
      </c>
      <c r="M394" t="s">
        <v>8390</v>
      </c>
      <c r="N394" t="s">
        <v>836</v>
      </c>
      <c r="O394" t="s">
        <v>837</v>
      </c>
      <c r="P394" t="s">
        <v>838</v>
      </c>
      <c r="Q394" t="s">
        <v>839</v>
      </c>
      <c r="R394" t="s">
        <v>8391</v>
      </c>
      <c r="S394" t="s">
        <v>8392</v>
      </c>
      <c r="T394">
        <v>41477011864</v>
      </c>
      <c r="V394" t="s">
        <v>183</v>
      </c>
      <c r="W394" s="41">
        <v>46078</v>
      </c>
      <c r="X394" t="s">
        <v>8393</v>
      </c>
      <c r="Y394" t="s">
        <v>8394</v>
      </c>
      <c r="AA394">
        <v>0</v>
      </c>
      <c r="AB394" t="s">
        <v>845</v>
      </c>
      <c r="AC394" t="s">
        <v>846</v>
      </c>
      <c r="AD394" t="s">
        <v>1113</v>
      </c>
      <c r="AE394" t="s">
        <v>1114</v>
      </c>
      <c r="AF394">
        <v>1</v>
      </c>
      <c r="AG394">
        <v>452210</v>
      </c>
      <c r="AH394" t="s">
        <v>849</v>
      </c>
      <c r="AI394" t="s">
        <v>850</v>
      </c>
      <c r="AJ394" t="s">
        <v>851</v>
      </c>
      <c r="AK394" t="s">
        <v>321</v>
      </c>
      <c r="AL394" t="s">
        <v>3326</v>
      </c>
      <c r="AM394" t="s">
        <v>1429</v>
      </c>
      <c r="AN394" t="s">
        <v>854</v>
      </c>
      <c r="AO394">
        <v>36805</v>
      </c>
      <c r="AP394">
        <v>632</v>
      </c>
      <c r="AQ394" t="s">
        <v>855</v>
      </c>
      <c r="AR394">
        <v>66350320</v>
      </c>
      <c r="AS394" t="s">
        <v>856</v>
      </c>
      <c r="AU394" t="s">
        <v>8395</v>
      </c>
      <c r="AV394" t="s">
        <v>8396</v>
      </c>
      <c r="AW394" t="s">
        <v>1261</v>
      </c>
      <c r="AX394" t="s">
        <v>1262</v>
      </c>
      <c r="AY394" t="s">
        <v>861</v>
      </c>
      <c r="AZ394" t="s">
        <v>321</v>
      </c>
      <c r="BA394" t="s">
        <v>322</v>
      </c>
      <c r="BB394">
        <v>0</v>
      </c>
      <c r="BC394">
        <v>0</v>
      </c>
      <c r="BD394">
        <v>1</v>
      </c>
      <c r="BE394" t="s">
        <v>8390</v>
      </c>
      <c r="BF394">
        <v>0</v>
      </c>
      <c r="BG394">
        <v>0</v>
      </c>
      <c r="BH394" t="s">
        <v>862</v>
      </c>
      <c r="BI394">
        <v>0</v>
      </c>
      <c r="BJ394" t="s">
        <v>862</v>
      </c>
      <c r="BK394">
        <v>1</v>
      </c>
      <c r="BL394">
        <v>0</v>
      </c>
      <c r="BM394">
        <v>0</v>
      </c>
      <c r="BN394" t="s">
        <v>596</v>
      </c>
      <c r="BO394">
        <v>152949102</v>
      </c>
      <c r="BP394" t="s">
        <v>8389</v>
      </c>
      <c r="BQ394">
        <v>41.808992699999997</v>
      </c>
      <c r="BR394">
        <v>42791748</v>
      </c>
      <c r="BS394">
        <v>-87.994062999999997</v>
      </c>
      <c r="BT394">
        <v>2</v>
      </c>
      <c r="BU394" t="s">
        <v>1780</v>
      </c>
      <c r="CE394">
        <v>1</v>
      </c>
      <c r="CI394">
        <v>11</v>
      </c>
      <c r="CJ394" t="s">
        <v>94</v>
      </c>
      <c r="CM394">
        <v>4010</v>
      </c>
      <c r="CO394">
        <v>7360</v>
      </c>
      <c r="CP394">
        <v>0.41670000000000001</v>
      </c>
      <c r="CQ394">
        <v>0.41670000000000001</v>
      </c>
      <c r="CR394">
        <v>1.1667000000000001</v>
      </c>
      <c r="CS394">
        <v>1</v>
      </c>
      <c r="CT394" t="s">
        <v>8396</v>
      </c>
      <c r="CU394" t="s">
        <v>8395</v>
      </c>
      <c r="CV394" t="s">
        <v>833</v>
      </c>
      <c r="CW394" t="s">
        <v>834</v>
      </c>
      <c r="CX394" t="s">
        <v>8390</v>
      </c>
      <c r="CY394">
        <v>1</v>
      </c>
      <c r="CZ394">
        <v>1</v>
      </c>
      <c r="DA394" t="s">
        <v>833</v>
      </c>
      <c r="DB394" t="s">
        <v>865</v>
      </c>
      <c r="DC394">
        <v>60515</v>
      </c>
      <c r="DD394">
        <v>2.0333000000000001</v>
      </c>
      <c r="DE394" t="s">
        <v>866</v>
      </c>
      <c r="DG394" t="s">
        <v>867</v>
      </c>
      <c r="DH394" t="s">
        <v>851</v>
      </c>
      <c r="DI394" t="s">
        <v>8397</v>
      </c>
      <c r="DK394" t="s">
        <v>918</v>
      </c>
      <c r="DL394" t="s">
        <v>869</v>
      </c>
      <c r="DM394">
        <v>0</v>
      </c>
      <c r="DN394">
        <v>0</v>
      </c>
      <c r="DO394">
        <v>48</v>
      </c>
      <c r="DP394" t="s">
        <v>3651</v>
      </c>
      <c r="DQ394">
        <v>0</v>
      </c>
      <c r="DR394">
        <v>122</v>
      </c>
      <c r="DS394">
        <v>122</v>
      </c>
      <c r="DT394">
        <v>1.6167</v>
      </c>
      <c r="DU394">
        <v>0</v>
      </c>
      <c r="DV394">
        <v>1</v>
      </c>
      <c r="DW394">
        <v>2</v>
      </c>
      <c r="DX394" t="s">
        <v>594</v>
      </c>
      <c r="DY394" t="s">
        <v>8390</v>
      </c>
      <c r="DZ394">
        <v>1</v>
      </c>
      <c r="EA394">
        <v>1</v>
      </c>
      <c r="EB394">
        <v>1</v>
      </c>
      <c r="EC394">
        <v>1</v>
      </c>
      <c r="ED394">
        <v>1</v>
      </c>
      <c r="EE394">
        <v>1</v>
      </c>
      <c r="EF394" t="s">
        <v>920</v>
      </c>
      <c r="EG394" t="s">
        <v>595</v>
      </c>
      <c r="EH394" t="s">
        <v>872</v>
      </c>
      <c r="EI394" t="s">
        <v>872</v>
      </c>
      <c r="EJ394" t="s">
        <v>181</v>
      </c>
      <c r="EK394">
        <v>9090</v>
      </c>
      <c r="EL394">
        <v>0</v>
      </c>
      <c r="EM394" t="s">
        <v>1436</v>
      </c>
      <c r="EN394">
        <v>1.1667000000000001</v>
      </c>
      <c r="EO394">
        <v>2.0333332999999998</v>
      </c>
      <c r="EP394">
        <v>99991120</v>
      </c>
      <c r="EQ394" t="s">
        <v>874</v>
      </c>
      <c r="ER394" t="s">
        <v>875</v>
      </c>
      <c r="ES394" t="s">
        <v>876</v>
      </c>
      <c r="ET394" t="s">
        <v>877</v>
      </c>
      <c r="EU394" t="s">
        <v>877</v>
      </c>
      <c r="EV394" t="s">
        <v>920</v>
      </c>
      <c r="EX394" t="s">
        <v>836</v>
      </c>
      <c r="EY394" t="s">
        <v>873</v>
      </c>
      <c r="EZ394" t="s">
        <v>1437</v>
      </c>
      <c r="FA394" t="s">
        <v>956</v>
      </c>
      <c r="FB394">
        <v>1</v>
      </c>
      <c r="FC394">
        <v>1</v>
      </c>
      <c r="FD394" s="41">
        <v>46081</v>
      </c>
      <c r="FE394" t="s">
        <v>1267</v>
      </c>
      <c r="FF394">
        <v>10</v>
      </c>
      <c r="FG394" t="s">
        <v>8398</v>
      </c>
      <c r="FH394" t="s">
        <v>8399</v>
      </c>
      <c r="FI394">
        <v>1</v>
      </c>
      <c r="FJ394" t="s">
        <v>8400</v>
      </c>
      <c r="FK394" t="s">
        <v>8399</v>
      </c>
      <c r="FL394">
        <v>1</v>
      </c>
      <c r="FM394" t="s">
        <v>8401</v>
      </c>
      <c r="FN394" t="s">
        <v>8402</v>
      </c>
      <c r="FO394">
        <v>1</v>
      </c>
      <c r="FP394" t="s">
        <v>8403</v>
      </c>
      <c r="FQ394" t="s">
        <v>8404</v>
      </c>
      <c r="FR394">
        <v>1</v>
      </c>
      <c r="FS394" t="s">
        <v>2655</v>
      </c>
      <c r="FT394" t="s">
        <v>8405</v>
      </c>
      <c r="FU394">
        <v>1</v>
      </c>
      <c r="FV394" t="s">
        <v>2657</v>
      </c>
      <c r="FW394" t="s">
        <v>8406</v>
      </c>
      <c r="FX394">
        <v>1</v>
      </c>
      <c r="FY394" t="s">
        <v>890</v>
      </c>
      <c r="FZ394" t="s">
        <v>8407</v>
      </c>
      <c r="GA394" t="s">
        <v>8400</v>
      </c>
      <c r="GB394">
        <v>1</v>
      </c>
      <c r="GD394">
        <v>0</v>
      </c>
      <c r="GF394">
        <v>0</v>
      </c>
      <c r="GG394">
        <v>1</v>
      </c>
      <c r="GH394" t="s">
        <v>892</v>
      </c>
      <c r="GI394" t="s">
        <v>893</v>
      </c>
      <c r="GJ394" t="s">
        <v>8399</v>
      </c>
      <c r="GM394">
        <v>1</v>
      </c>
      <c r="GN394">
        <v>1</v>
      </c>
      <c r="GO394">
        <v>0</v>
      </c>
      <c r="GP394">
        <v>1</v>
      </c>
      <c r="GQ394">
        <v>1</v>
      </c>
      <c r="GR394">
        <v>0</v>
      </c>
      <c r="GS394">
        <v>1</v>
      </c>
      <c r="GT394">
        <v>0</v>
      </c>
      <c r="GU394">
        <v>1</v>
      </c>
      <c r="GV394">
        <v>0</v>
      </c>
      <c r="GW394">
        <v>1</v>
      </c>
      <c r="GX394">
        <v>0</v>
      </c>
      <c r="GY394">
        <v>1</v>
      </c>
      <c r="GZ394">
        <v>0</v>
      </c>
      <c r="HA394" t="s">
        <v>321</v>
      </c>
      <c r="HB394" t="s">
        <v>894</v>
      </c>
      <c r="HC394" t="s">
        <v>895</v>
      </c>
      <c r="HD394" t="s">
        <v>845</v>
      </c>
      <c r="HE394" t="s">
        <v>836</v>
      </c>
      <c r="HF394" t="s">
        <v>873</v>
      </c>
      <c r="HG394" t="s">
        <v>894</v>
      </c>
      <c r="HH394" t="s">
        <v>895</v>
      </c>
      <c r="HI394" t="s">
        <v>845</v>
      </c>
      <c r="HJ394" t="s">
        <v>836</v>
      </c>
      <c r="HK394" t="s">
        <v>1436</v>
      </c>
      <c r="HL394" t="s">
        <v>183</v>
      </c>
      <c r="HM394" t="s">
        <v>854</v>
      </c>
      <c r="HN394">
        <v>36805</v>
      </c>
      <c r="HP394" t="s">
        <v>181</v>
      </c>
      <c r="HQ394" t="s">
        <v>896</v>
      </c>
      <c r="HR394" t="s">
        <v>896</v>
      </c>
      <c r="HS394" t="s">
        <v>896</v>
      </c>
    </row>
    <row r="395" spans="1:227" x14ac:dyDescent="0.2">
      <c r="A395">
        <v>8702</v>
      </c>
      <c r="B395">
        <v>7536102469</v>
      </c>
      <c r="C395" t="s">
        <v>829</v>
      </c>
      <c r="D395" t="s">
        <v>830</v>
      </c>
      <c r="E395" t="s">
        <v>897</v>
      </c>
      <c r="F395">
        <v>0</v>
      </c>
      <c r="G395" t="s">
        <v>8408</v>
      </c>
      <c r="H395" t="s">
        <v>8408</v>
      </c>
      <c r="I395">
        <v>0</v>
      </c>
      <c r="J395" t="s">
        <v>833</v>
      </c>
      <c r="K395" t="s">
        <v>834</v>
      </c>
      <c r="L395">
        <v>152858781</v>
      </c>
      <c r="M395" t="s">
        <v>1223</v>
      </c>
      <c r="N395" t="s">
        <v>900</v>
      </c>
      <c r="O395" t="s">
        <v>837</v>
      </c>
      <c r="P395" t="s">
        <v>838</v>
      </c>
      <c r="Q395" t="s">
        <v>901</v>
      </c>
      <c r="R395" t="s">
        <v>8409</v>
      </c>
      <c r="S395" t="s">
        <v>8410</v>
      </c>
      <c r="T395">
        <v>41477095626</v>
      </c>
      <c r="V395" t="s">
        <v>1226</v>
      </c>
      <c r="W395" s="41">
        <v>46018</v>
      </c>
      <c r="X395" t="s">
        <v>8411</v>
      </c>
      <c r="Y395" t="s">
        <v>8412</v>
      </c>
      <c r="AA395">
        <v>0</v>
      </c>
      <c r="AB395" t="s">
        <v>845</v>
      </c>
      <c r="AC395" t="s">
        <v>846</v>
      </c>
      <c r="AD395" t="s">
        <v>847</v>
      </c>
      <c r="AE395" t="s">
        <v>848</v>
      </c>
      <c r="AF395">
        <v>1</v>
      </c>
      <c r="AG395">
        <v>452210</v>
      </c>
      <c r="AH395" t="s">
        <v>849</v>
      </c>
      <c r="AI395" t="s">
        <v>850</v>
      </c>
      <c r="AJ395" t="s">
        <v>851</v>
      </c>
      <c r="AK395" t="s">
        <v>277</v>
      </c>
      <c r="AL395" t="s">
        <v>1229</v>
      </c>
      <c r="AM395" t="s">
        <v>1230</v>
      </c>
      <c r="AN395" t="s">
        <v>854</v>
      </c>
      <c r="AO395">
        <v>36805</v>
      </c>
      <c r="AP395">
        <v>925</v>
      </c>
      <c r="AQ395" t="s">
        <v>855</v>
      </c>
      <c r="AR395">
        <v>66264123</v>
      </c>
      <c r="AS395" t="s">
        <v>856</v>
      </c>
      <c r="AU395" t="s">
        <v>8413</v>
      </c>
      <c r="AV395" t="s">
        <v>8414</v>
      </c>
      <c r="AX395" t="s">
        <v>913</v>
      </c>
      <c r="AY395" t="s">
        <v>861</v>
      </c>
      <c r="AZ395" t="s">
        <v>277</v>
      </c>
      <c r="BA395" t="s">
        <v>278</v>
      </c>
      <c r="BB395">
        <v>0</v>
      </c>
      <c r="BC395">
        <v>0</v>
      </c>
      <c r="BD395">
        <v>1</v>
      </c>
      <c r="BE395" t="s">
        <v>1223</v>
      </c>
      <c r="BF395">
        <v>0</v>
      </c>
      <c r="BG395">
        <v>0</v>
      </c>
      <c r="BH395" t="s">
        <v>862</v>
      </c>
      <c r="BI395">
        <v>0</v>
      </c>
      <c r="BJ395" t="s">
        <v>862</v>
      </c>
      <c r="BK395">
        <v>1</v>
      </c>
      <c r="BL395">
        <v>1</v>
      </c>
      <c r="BM395">
        <v>0</v>
      </c>
      <c r="BN395" t="s">
        <v>596</v>
      </c>
      <c r="BO395">
        <v>152858781</v>
      </c>
      <c r="BP395" t="s">
        <v>8408</v>
      </c>
      <c r="BQ395">
        <v>41.518141</v>
      </c>
      <c r="BR395">
        <v>42793649</v>
      </c>
      <c r="BS395">
        <v>-81.449014199999993</v>
      </c>
      <c r="BT395">
        <v>0</v>
      </c>
      <c r="CM395">
        <v>4010</v>
      </c>
      <c r="CO395">
        <v>7360</v>
      </c>
      <c r="CP395">
        <v>0.4667</v>
      </c>
      <c r="CQ395">
        <v>0.4667</v>
      </c>
      <c r="CR395">
        <v>0.75</v>
      </c>
      <c r="CS395">
        <v>1</v>
      </c>
      <c r="CT395" t="s">
        <v>8414</v>
      </c>
      <c r="CU395" t="s">
        <v>8413</v>
      </c>
      <c r="CV395" t="s">
        <v>833</v>
      </c>
      <c r="CW395" t="s">
        <v>834</v>
      </c>
      <c r="CX395" t="s">
        <v>1223</v>
      </c>
      <c r="CY395">
        <v>1</v>
      </c>
      <c r="CZ395">
        <v>1</v>
      </c>
      <c r="DA395" t="s">
        <v>833</v>
      </c>
      <c r="DB395" t="s">
        <v>865</v>
      </c>
      <c r="DC395">
        <v>44124</v>
      </c>
      <c r="DD395">
        <v>2.3332999999999999</v>
      </c>
      <c r="DE395" t="s">
        <v>866</v>
      </c>
      <c r="DG395" t="s">
        <v>867</v>
      </c>
      <c r="DH395" t="s">
        <v>851</v>
      </c>
      <c r="DI395" t="s">
        <v>1235</v>
      </c>
      <c r="DL395" t="s">
        <v>869</v>
      </c>
      <c r="DM395">
        <v>0</v>
      </c>
      <c r="DN395">
        <v>0</v>
      </c>
      <c r="DO395">
        <v>11</v>
      </c>
      <c r="DP395" t="s">
        <v>1010</v>
      </c>
      <c r="DQ395">
        <v>16</v>
      </c>
      <c r="DR395">
        <v>140</v>
      </c>
      <c r="DS395">
        <v>140</v>
      </c>
      <c r="DT395">
        <v>1.8667</v>
      </c>
      <c r="DU395">
        <v>4</v>
      </c>
      <c r="DW395">
        <v>2</v>
      </c>
      <c r="DX395" t="s">
        <v>596</v>
      </c>
      <c r="DY395" t="s">
        <v>1223</v>
      </c>
      <c r="DZ395">
        <v>1</v>
      </c>
      <c r="EA395">
        <v>1</v>
      </c>
      <c r="EB395">
        <v>1</v>
      </c>
      <c r="EC395">
        <v>1</v>
      </c>
      <c r="ED395">
        <v>1</v>
      </c>
      <c r="EE395">
        <v>1</v>
      </c>
      <c r="EF395" t="s">
        <v>920</v>
      </c>
      <c r="EG395" t="s">
        <v>595</v>
      </c>
      <c r="EH395" t="s">
        <v>921</v>
      </c>
      <c r="EI395" t="s">
        <v>921</v>
      </c>
      <c r="EJ395" t="s">
        <v>226</v>
      </c>
      <c r="EK395">
        <v>9090</v>
      </c>
      <c r="EL395">
        <v>0</v>
      </c>
      <c r="EM395" t="s">
        <v>1157</v>
      </c>
      <c r="EN395">
        <v>0.75</v>
      </c>
      <c r="EO395">
        <v>2.3333333000000001</v>
      </c>
      <c r="EP395">
        <v>99991120</v>
      </c>
      <c r="EQ395" t="s">
        <v>874</v>
      </c>
      <c r="ER395" t="s">
        <v>875</v>
      </c>
      <c r="ES395" t="s">
        <v>876</v>
      </c>
      <c r="ET395" t="s">
        <v>877</v>
      </c>
      <c r="EU395" t="s">
        <v>877</v>
      </c>
      <c r="EV395" t="s">
        <v>920</v>
      </c>
      <c r="EX395" t="s">
        <v>953</v>
      </c>
      <c r="EY395" t="s">
        <v>986</v>
      </c>
      <c r="EZ395" t="s">
        <v>1236</v>
      </c>
      <c r="FA395" t="s">
        <v>956</v>
      </c>
      <c r="FB395">
        <v>1</v>
      </c>
      <c r="FC395">
        <v>1</v>
      </c>
      <c r="FD395" s="41">
        <v>46018</v>
      </c>
      <c r="FE395" t="s">
        <v>957</v>
      </c>
      <c r="FF395">
        <v>5</v>
      </c>
      <c r="FI395">
        <v>0</v>
      </c>
      <c r="FJ395" t="s">
        <v>8415</v>
      </c>
      <c r="FK395" t="s">
        <v>8416</v>
      </c>
      <c r="FL395">
        <v>1</v>
      </c>
      <c r="FM395" t="s">
        <v>8417</v>
      </c>
      <c r="FN395" t="s">
        <v>8418</v>
      </c>
      <c r="FO395">
        <v>1</v>
      </c>
      <c r="FP395" t="s">
        <v>8419</v>
      </c>
      <c r="FQ395" t="s">
        <v>8413</v>
      </c>
      <c r="FR395">
        <v>1</v>
      </c>
      <c r="FS395" t="s">
        <v>1244</v>
      </c>
      <c r="FT395" t="s">
        <v>8420</v>
      </c>
      <c r="FU395">
        <v>1</v>
      </c>
      <c r="FV395" t="s">
        <v>8421</v>
      </c>
      <c r="FW395" t="s">
        <v>8416</v>
      </c>
      <c r="FX395">
        <v>1</v>
      </c>
      <c r="FY395" t="s">
        <v>890</v>
      </c>
      <c r="FZ395" t="s">
        <v>8422</v>
      </c>
      <c r="GA395" t="s">
        <v>8415</v>
      </c>
      <c r="GB395">
        <v>1</v>
      </c>
      <c r="GD395">
        <v>0</v>
      </c>
      <c r="GF395">
        <v>0</v>
      </c>
      <c r="GG395">
        <v>1</v>
      </c>
      <c r="GH395" t="s">
        <v>892</v>
      </c>
      <c r="GI395" t="s">
        <v>893</v>
      </c>
      <c r="GJ395" t="s">
        <v>8416</v>
      </c>
      <c r="GM395">
        <v>1</v>
      </c>
      <c r="GN395">
        <v>1</v>
      </c>
      <c r="GO395">
        <v>0</v>
      </c>
      <c r="GP395">
        <v>1</v>
      </c>
      <c r="GQ395">
        <v>1</v>
      </c>
      <c r="GR395">
        <v>0</v>
      </c>
      <c r="GS395">
        <v>1</v>
      </c>
      <c r="GT395">
        <v>0</v>
      </c>
      <c r="GU395">
        <v>1</v>
      </c>
      <c r="GV395">
        <v>0</v>
      </c>
      <c r="GW395">
        <v>1</v>
      </c>
      <c r="GX395">
        <v>0</v>
      </c>
      <c r="GY395">
        <v>1</v>
      </c>
      <c r="GZ395">
        <v>0</v>
      </c>
      <c r="HA395" t="s">
        <v>277</v>
      </c>
      <c r="HB395" t="s">
        <v>894</v>
      </c>
      <c r="HC395" t="s">
        <v>935</v>
      </c>
      <c r="HD395" t="s">
        <v>845</v>
      </c>
      <c r="HE395" t="s">
        <v>900</v>
      </c>
      <c r="HF395" t="s">
        <v>923</v>
      </c>
      <c r="HG395" t="s">
        <v>894</v>
      </c>
      <c r="HH395" t="s">
        <v>935</v>
      </c>
      <c r="HI395" t="s">
        <v>845</v>
      </c>
      <c r="HJ395" t="s">
        <v>900</v>
      </c>
      <c r="HK395" t="s">
        <v>922</v>
      </c>
      <c r="HL395" t="s">
        <v>1226</v>
      </c>
      <c r="HM395" t="s">
        <v>854</v>
      </c>
      <c r="HN395">
        <v>36805</v>
      </c>
      <c r="HP395" t="s">
        <v>226</v>
      </c>
      <c r="HQ395" t="s">
        <v>896</v>
      </c>
      <c r="HR395" t="s">
        <v>896</v>
      </c>
      <c r="HS395" t="s">
        <v>896</v>
      </c>
    </row>
    <row r="396" spans="1:227" x14ac:dyDescent="0.2">
      <c r="A396">
        <v>8702</v>
      </c>
      <c r="B396">
        <v>7528604328</v>
      </c>
      <c r="C396" t="s">
        <v>829</v>
      </c>
      <c r="D396" t="s">
        <v>830</v>
      </c>
      <c r="E396" t="s">
        <v>831</v>
      </c>
      <c r="F396">
        <v>0</v>
      </c>
      <c r="G396" t="s">
        <v>8423</v>
      </c>
      <c r="H396" t="s">
        <v>8423</v>
      </c>
      <c r="I396">
        <v>0</v>
      </c>
      <c r="J396" t="s">
        <v>833</v>
      </c>
      <c r="K396" t="s">
        <v>834</v>
      </c>
      <c r="L396">
        <v>153406482</v>
      </c>
      <c r="M396" t="s">
        <v>8141</v>
      </c>
      <c r="N396" t="s">
        <v>836</v>
      </c>
      <c r="O396" t="s">
        <v>837</v>
      </c>
      <c r="P396" t="s">
        <v>838</v>
      </c>
      <c r="Q396" t="s">
        <v>901</v>
      </c>
      <c r="R396" t="s">
        <v>8424</v>
      </c>
      <c r="S396" t="s">
        <v>8425</v>
      </c>
      <c r="T396">
        <v>30300098479</v>
      </c>
      <c r="V396" t="s">
        <v>214</v>
      </c>
      <c r="W396" s="41">
        <v>45943</v>
      </c>
      <c r="X396" t="s">
        <v>8426</v>
      </c>
      <c r="Y396" t="s">
        <v>8427</v>
      </c>
      <c r="AA396">
        <v>0</v>
      </c>
      <c r="AB396" t="s">
        <v>845</v>
      </c>
      <c r="AC396" t="s">
        <v>846</v>
      </c>
      <c r="AD396" t="s">
        <v>847</v>
      </c>
      <c r="AE396" t="s">
        <v>848</v>
      </c>
      <c r="AF396">
        <v>1</v>
      </c>
      <c r="AG396">
        <v>452210</v>
      </c>
      <c r="AH396" t="s">
        <v>849</v>
      </c>
      <c r="AI396" t="s">
        <v>850</v>
      </c>
      <c r="AJ396" t="s">
        <v>851</v>
      </c>
      <c r="AK396" t="s">
        <v>391</v>
      </c>
      <c r="AL396" t="s">
        <v>7687</v>
      </c>
      <c r="AM396" t="s">
        <v>1902</v>
      </c>
      <c r="AN396" t="s">
        <v>854</v>
      </c>
      <c r="AO396">
        <v>36805</v>
      </c>
      <c r="AP396">
        <v>701</v>
      </c>
      <c r="AQ396" t="s">
        <v>855</v>
      </c>
      <c r="AR396">
        <v>66155753</v>
      </c>
      <c r="AS396" t="s">
        <v>856</v>
      </c>
      <c r="AU396" t="s">
        <v>8428</v>
      </c>
      <c r="AV396" t="s">
        <v>8429</v>
      </c>
      <c r="AX396" t="s">
        <v>913</v>
      </c>
      <c r="AY396" t="s">
        <v>861</v>
      </c>
      <c r="AZ396" t="s">
        <v>391</v>
      </c>
      <c r="BA396" t="s">
        <v>392</v>
      </c>
      <c r="BB396">
        <v>0</v>
      </c>
      <c r="BC396">
        <v>0</v>
      </c>
      <c r="BD396">
        <v>0</v>
      </c>
      <c r="BE396" t="s">
        <v>8141</v>
      </c>
      <c r="BF396">
        <v>0</v>
      </c>
      <c r="BG396">
        <v>0</v>
      </c>
      <c r="BH396" t="s">
        <v>862</v>
      </c>
      <c r="BI396">
        <v>0</v>
      </c>
      <c r="BJ396" t="s">
        <v>862</v>
      </c>
      <c r="BK396">
        <v>1</v>
      </c>
      <c r="BL396">
        <v>1</v>
      </c>
      <c r="BM396">
        <v>0</v>
      </c>
      <c r="BN396" t="s">
        <v>596</v>
      </c>
      <c r="BO396">
        <v>153406482</v>
      </c>
      <c r="BP396" t="s">
        <v>8423</v>
      </c>
      <c r="BR396">
        <v>42791783</v>
      </c>
      <c r="BT396">
        <v>0</v>
      </c>
      <c r="CM396">
        <v>4010</v>
      </c>
      <c r="CO396">
        <v>7360</v>
      </c>
      <c r="CP396">
        <v>0.61670000000000003</v>
      </c>
      <c r="CQ396">
        <v>0.61670000000000003</v>
      </c>
      <c r="CR396">
        <v>0.4667</v>
      </c>
      <c r="CS396">
        <v>3</v>
      </c>
      <c r="CT396" t="s">
        <v>8429</v>
      </c>
      <c r="CU396" t="s">
        <v>8428</v>
      </c>
      <c r="CV396" t="s">
        <v>833</v>
      </c>
      <c r="CW396" t="s">
        <v>834</v>
      </c>
      <c r="CX396" t="s">
        <v>8141</v>
      </c>
      <c r="CY396">
        <v>0</v>
      </c>
      <c r="CZ396">
        <v>0</v>
      </c>
      <c r="DA396" t="s">
        <v>833</v>
      </c>
      <c r="DB396" t="s">
        <v>865</v>
      </c>
      <c r="DC396">
        <v>53202</v>
      </c>
      <c r="DD396">
        <v>1.5667</v>
      </c>
      <c r="DE396" t="s">
        <v>866</v>
      </c>
      <c r="DG396" t="s">
        <v>867</v>
      </c>
      <c r="DH396" t="s">
        <v>851</v>
      </c>
      <c r="DL396" t="s">
        <v>869</v>
      </c>
      <c r="DM396">
        <v>0</v>
      </c>
      <c r="DN396">
        <v>0</v>
      </c>
      <c r="DO396">
        <v>3</v>
      </c>
      <c r="DP396" t="s">
        <v>919</v>
      </c>
      <c r="DQ396">
        <v>12</v>
      </c>
      <c r="DR396">
        <v>94</v>
      </c>
      <c r="DS396">
        <v>94</v>
      </c>
      <c r="DT396">
        <v>0.95</v>
      </c>
      <c r="DU396">
        <v>4</v>
      </c>
      <c r="DW396">
        <v>1</v>
      </c>
      <c r="DX396" t="s">
        <v>596</v>
      </c>
      <c r="DY396" t="s">
        <v>8141</v>
      </c>
      <c r="DZ396">
        <v>1</v>
      </c>
      <c r="EA396">
        <v>1</v>
      </c>
      <c r="EB396">
        <v>1</v>
      </c>
      <c r="EC396">
        <v>1</v>
      </c>
      <c r="ED396">
        <v>1</v>
      </c>
      <c r="EE396">
        <v>1</v>
      </c>
      <c r="EF396" t="s">
        <v>920</v>
      </c>
      <c r="EG396" t="s">
        <v>595</v>
      </c>
      <c r="EH396" t="s">
        <v>1036</v>
      </c>
      <c r="EI396" t="s">
        <v>1036</v>
      </c>
      <c r="EJ396" t="s">
        <v>215</v>
      </c>
      <c r="EK396">
        <v>9090</v>
      </c>
      <c r="EL396">
        <v>0</v>
      </c>
      <c r="EM396" t="s">
        <v>873</v>
      </c>
      <c r="EN396">
        <v>0.4667</v>
      </c>
      <c r="EO396">
        <v>1.5666666</v>
      </c>
      <c r="EP396">
        <v>99991120</v>
      </c>
      <c r="EQ396" t="s">
        <v>874</v>
      </c>
      <c r="ER396" t="s">
        <v>875</v>
      </c>
      <c r="ES396" t="s">
        <v>876</v>
      </c>
      <c r="ET396" t="s">
        <v>877</v>
      </c>
      <c r="EU396" t="s">
        <v>877</v>
      </c>
      <c r="EV396" t="s">
        <v>920</v>
      </c>
      <c r="EX396" t="s">
        <v>836</v>
      </c>
      <c r="EY396" t="s">
        <v>873</v>
      </c>
      <c r="EZ396" t="s">
        <v>1807</v>
      </c>
      <c r="FA396" t="s">
        <v>925</v>
      </c>
      <c r="FB396">
        <v>1</v>
      </c>
      <c r="FC396">
        <v>1</v>
      </c>
      <c r="FD396" s="41">
        <v>45948</v>
      </c>
      <c r="FE396" t="s">
        <v>1039</v>
      </c>
      <c r="FF396">
        <v>5</v>
      </c>
      <c r="FI396">
        <v>0</v>
      </c>
      <c r="FJ396" t="s">
        <v>8430</v>
      </c>
      <c r="FK396" t="s">
        <v>8431</v>
      </c>
      <c r="FL396">
        <v>1</v>
      </c>
      <c r="FM396" t="s">
        <v>8151</v>
      </c>
      <c r="FN396" t="s">
        <v>8432</v>
      </c>
      <c r="FO396">
        <v>1</v>
      </c>
      <c r="FP396" t="s">
        <v>8433</v>
      </c>
      <c r="FQ396" t="s">
        <v>8428</v>
      </c>
      <c r="FR396">
        <v>1</v>
      </c>
      <c r="FS396" t="s">
        <v>8155</v>
      </c>
      <c r="FT396" t="s">
        <v>8434</v>
      </c>
      <c r="FU396">
        <v>1</v>
      </c>
      <c r="FV396" t="s">
        <v>8435</v>
      </c>
      <c r="FW396" t="s">
        <v>8436</v>
      </c>
      <c r="FX396">
        <v>1</v>
      </c>
      <c r="FY396" t="s">
        <v>890</v>
      </c>
      <c r="FZ396" t="s">
        <v>8437</v>
      </c>
      <c r="GA396" t="s">
        <v>8430</v>
      </c>
      <c r="GB396">
        <v>1</v>
      </c>
      <c r="GD396">
        <v>0</v>
      </c>
      <c r="GF396">
        <v>0</v>
      </c>
      <c r="GG396">
        <v>1</v>
      </c>
      <c r="GH396" t="s">
        <v>892</v>
      </c>
      <c r="GI396" t="s">
        <v>893</v>
      </c>
      <c r="GJ396" t="s">
        <v>8431</v>
      </c>
      <c r="GM396">
        <v>1</v>
      </c>
      <c r="GN396">
        <v>1</v>
      </c>
      <c r="GO396">
        <v>0</v>
      </c>
      <c r="GP396">
        <v>1</v>
      </c>
      <c r="GQ396">
        <v>1</v>
      </c>
      <c r="GR396">
        <v>0</v>
      </c>
      <c r="GS396">
        <v>1</v>
      </c>
      <c r="GT396">
        <v>0</v>
      </c>
      <c r="GU396">
        <v>1</v>
      </c>
      <c r="GV396">
        <v>0</v>
      </c>
      <c r="GW396">
        <v>1</v>
      </c>
      <c r="GX396">
        <v>0</v>
      </c>
      <c r="GY396">
        <v>1</v>
      </c>
      <c r="GZ396">
        <v>0</v>
      </c>
      <c r="HA396" t="s">
        <v>391</v>
      </c>
      <c r="HB396" t="s">
        <v>894</v>
      </c>
      <c r="HC396" t="s">
        <v>895</v>
      </c>
      <c r="HD396" t="s">
        <v>845</v>
      </c>
      <c r="HE396" t="s">
        <v>836</v>
      </c>
      <c r="HF396" t="s">
        <v>873</v>
      </c>
      <c r="HG396" t="s">
        <v>894</v>
      </c>
      <c r="HH396" t="s">
        <v>895</v>
      </c>
      <c r="HI396" t="s">
        <v>845</v>
      </c>
      <c r="HJ396" t="s">
        <v>836</v>
      </c>
      <c r="HK396" t="s">
        <v>873</v>
      </c>
      <c r="HL396" t="s">
        <v>214</v>
      </c>
      <c r="HM396" t="s">
        <v>854</v>
      </c>
      <c r="HN396">
        <v>36805</v>
      </c>
      <c r="HP396" t="s">
        <v>215</v>
      </c>
      <c r="HQ396" t="s">
        <v>896</v>
      </c>
      <c r="HR396" t="s">
        <v>896</v>
      </c>
      <c r="HS396" t="s">
        <v>896</v>
      </c>
    </row>
    <row r="397" spans="1:227" ht="409.6" x14ac:dyDescent="0.2">
      <c r="A397">
        <v>8702</v>
      </c>
      <c r="B397">
        <v>7527511111</v>
      </c>
      <c r="C397" t="s">
        <v>829</v>
      </c>
      <c r="D397" t="s">
        <v>830</v>
      </c>
      <c r="E397" t="s">
        <v>897</v>
      </c>
      <c r="F397">
        <v>0</v>
      </c>
      <c r="G397" t="s">
        <v>8438</v>
      </c>
      <c r="H397" t="s">
        <v>8438</v>
      </c>
      <c r="I397">
        <v>0</v>
      </c>
      <c r="J397" t="s">
        <v>833</v>
      </c>
      <c r="K397" t="s">
        <v>834</v>
      </c>
      <c r="L397">
        <v>152832690</v>
      </c>
      <c r="M397" t="s">
        <v>8439</v>
      </c>
      <c r="N397" t="s">
        <v>900</v>
      </c>
      <c r="O397" t="s">
        <v>837</v>
      </c>
      <c r="P397" t="s">
        <v>838</v>
      </c>
      <c r="Q397" t="s">
        <v>1251</v>
      </c>
      <c r="R397" t="s">
        <v>8440</v>
      </c>
      <c r="S397" t="s">
        <v>8441</v>
      </c>
      <c r="T397">
        <v>41477059287</v>
      </c>
      <c r="V397" t="s">
        <v>239</v>
      </c>
      <c r="W397" s="41">
        <v>45932</v>
      </c>
      <c r="X397" t="s">
        <v>8442</v>
      </c>
      <c r="Y397" t="s">
        <v>8443</v>
      </c>
      <c r="AA397">
        <v>0</v>
      </c>
      <c r="AB397" t="s">
        <v>845</v>
      </c>
      <c r="AC397" t="s">
        <v>846</v>
      </c>
      <c r="AD397" t="s">
        <v>847</v>
      </c>
      <c r="AE397" t="s">
        <v>848</v>
      </c>
      <c r="AF397">
        <v>1</v>
      </c>
      <c r="AG397">
        <v>452210</v>
      </c>
      <c r="AH397" t="s">
        <v>849</v>
      </c>
      <c r="AI397" t="s">
        <v>850</v>
      </c>
      <c r="AJ397" t="s">
        <v>851</v>
      </c>
      <c r="AK397" t="s">
        <v>313</v>
      </c>
      <c r="AL397" t="s">
        <v>3524</v>
      </c>
      <c r="AM397" t="s">
        <v>1645</v>
      </c>
      <c r="AN397" t="s">
        <v>854</v>
      </c>
      <c r="AO397">
        <v>36805</v>
      </c>
      <c r="AP397">
        <v>928</v>
      </c>
      <c r="AQ397" t="s">
        <v>855</v>
      </c>
      <c r="AR397">
        <v>66139850</v>
      </c>
      <c r="AS397" t="s">
        <v>856</v>
      </c>
      <c r="AT397" t="s">
        <v>8444</v>
      </c>
      <c r="AU397" t="s">
        <v>8445</v>
      </c>
      <c r="AV397" t="s">
        <v>8446</v>
      </c>
      <c r="AW397" t="s">
        <v>1261</v>
      </c>
      <c r="AX397" t="s">
        <v>1262</v>
      </c>
      <c r="AY397" t="s">
        <v>861</v>
      </c>
      <c r="AZ397" t="s">
        <v>313</v>
      </c>
      <c r="BA397" t="s">
        <v>314</v>
      </c>
      <c r="BB397">
        <v>0</v>
      </c>
      <c r="BC397">
        <v>0</v>
      </c>
      <c r="BD397">
        <v>0</v>
      </c>
      <c r="BE397" t="s">
        <v>8439</v>
      </c>
      <c r="BF397">
        <v>0</v>
      </c>
      <c r="BG397">
        <v>0</v>
      </c>
      <c r="BH397" t="s">
        <v>862</v>
      </c>
      <c r="BI397">
        <v>0</v>
      </c>
      <c r="BJ397" t="s">
        <v>862</v>
      </c>
      <c r="BK397">
        <v>1</v>
      </c>
      <c r="BL397">
        <v>0</v>
      </c>
      <c r="BM397">
        <v>0</v>
      </c>
      <c r="BN397" t="s">
        <v>596</v>
      </c>
      <c r="BO397">
        <v>152832690</v>
      </c>
      <c r="BP397" t="s">
        <v>8438</v>
      </c>
      <c r="BR397">
        <v>42793653</v>
      </c>
      <c r="BT397">
        <v>0</v>
      </c>
      <c r="CM397">
        <v>4010</v>
      </c>
      <c r="CO397">
        <v>7360</v>
      </c>
      <c r="CP397">
        <v>0.45</v>
      </c>
      <c r="CQ397">
        <v>0.45</v>
      </c>
      <c r="CR397">
        <v>0</v>
      </c>
      <c r="CS397">
        <v>3</v>
      </c>
      <c r="CT397" t="s">
        <v>8446</v>
      </c>
      <c r="CU397" t="s">
        <v>8445</v>
      </c>
      <c r="CV397" t="s">
        <v>833</v>
      </c>
      <c r="CW397" t="s">
        <v>834</v>
      </c>
      <c r="CX397" t="s">
        <v>8439</v>
      </c>
      <c r="CY397">
        <v>0</v>
      </c>
      <c r="CZ397">
        <v>0</v>
      </c>
      <c r="DA397" t="s">
        <v>833</v>
      </c>
      <c r="DB397" t="s">
        <v>865</v>
      </c>
      <c r="DC397">
        <v>44145</v>
      </c>
      <c r="DD397">
        <v>0.76670000000000005</v>
      </c>
      <c r="DE397" t="s">
        <v>866</v>
      </c>
      <c r="DG397" t="s">
        <v>867</v>
      </c>
      <c r="DH397" t="s">
        <v>851</v>
      </c>
      <c r="DI397" t="s">
        <v>7713</v>
      </c>
      <c r="DL397" t="s">
        <v>869</v>
      </c>
      <c r="DM397">
        <v>0</v>
      </c>
      <c r="DN397">
        <v>0</v>
      </c>
      <c r="DO397">
        <v>3</v>
      </c>
      <c r="DP397" t="s">
        <v>919</v>
      </c>
      <c r="DQ397">
        <v>16</v>
      </c>
      <c r="DR397">
        <v>46</v>
      </c>
      <c r="DS397">
        <v>46</v>
      </c>
      <c r="DT397">
        <v>0.31669999999999998</v>
      </c>
      <c r="DU397">
        <v>4</v>
      </c>
      <c r="DW397">
        <v>2</v>
      </c>
      <c r="DX397" t="s">
        <v>594</v>
      </c>
      <c r="DY397" t="s">
        <v>8439</v>
      </c>
      <c r="DZ397">
        <v>0</v>
      </c>
      <c r="EA397">
        <v>0</v>
      </c>
      <c r="EB397">
        <v>0</v>
      </c>
      <c r="EC397">
        <v>0</v>
      </c>
      <c r="ED397">
        <v>0</v>
      </c>
      <c r="EE397">
        <v>0</v>
      </c>
      <c r="EF397" t="s">
        <v>920</v>
      </c>
      <c r="EG397" t="s">
        <v>595</v>
      </c>
      <c r="EH397" t="s">
        <v>872</v>
      </c>
      <c r="EI397" t="s">
        <v>872</v>
      </c>
      <c r="EJ397" t="s">
        <v>226</v>
      </c>
      <c r="EK397">
        <v>9090</v>
      </c>
      <c r="EL397">
        <v>0</v>
      </c>
      <c r="EM397" t="s">
        <v>1157</v>
      </c>
      <c r="EN397">
        <v>0</v>
      </c>
      <c r="EO397">
        <v>0.76666659999999998</v>
      </c>
      <c r="EP397">
        <v>99991120</v>
      </c>
      <c r="EQ397" t="s">
        <v>874</v>
      </c>
      <c r="ER397" t="s">
        <v>875</v>
      </c>
      <c r="ES397" t="s">
        <v>876</v>
      </c>
      <c r="ET397" t="s">
        <v>877</v>
      </c>
      <c r="EU397" t="s">
        <v>877</v>
      </c>
      <c r="EV397" t="s">
        <v>920</v>
      </c>
      <c r="EX397" t="s">
        <v>953</v>
      </c>
      <c r="EY397" t="s">
        <v>986</v>
      </c>
      <c r="EZ397" t="s">
        <v>1236</v>
      </c>
      <c r="FA397" t="s">
        <v>956</v>
      </c>
      <c r="FB397">
        <v>1</v>
      </c>
      <c r="FC397">
        <v>1</v>
      </c>
      <c r="FD397" s="41">
        <v>45934</v>
      </c>
      <c r="FE397" t="s">
        <v>1039</v>
      </c>
      <c r="FF397">
        <v>6</v>
      </c>
      <c r="FG397" t="s">
        <v>8447</v>
      </c>
      <c r="FH397" t="s">
        <v>8448</v>
      </c>
      <c r="FI397">
        <v>1</v>
      </c>
      <c r="FJ397" t="s">
        <v>8449</v>
      </c>
      <c r="FK397" t="s">
        <v>8448</v>
      </c>
      <c r="FL397">
        <v>1</v>
      </c>
      <c r="FM397" t="s">
        <v>8450</v>
      </c>
      <c r="FN397" t="s">
        <v>8448</v>
      </c>
      <c r="FO397">
        <v>1</v>
      </c>
      <c r="FP397" t="s">
        <v>8451</v>
      </c>
      <c r="FQ397" t="s">
        <v>8452</v>
      </c>
      <c r="FR397">
        <v>1</v>
      </c>
      <c r="FS397" s="42" t="s">
        <v>8453</v>
      </c>
      <c r="FT397" t="s">
        <v>8452</v>
      </c>
      <c r="FU397">
        <v>1</v>
      </c>
      <c r="FV397" t="s">
        <v>1656</v>
      </c>
      <c r="FW397" t="s">
        <v>8454</v>
      </c>
      <c r="FX397">
        <v>1</v>
      </c>
      <c r="FY397" t="s">
        <v>890</v>
      </c>
      <c r="FZ397" s="42" t="s">
        <v>8455</v>
      </c>
      <c r="GA397" t="s">
        <v>8449</v>
      </c>
      <c r="GB397">
        <v>1</v>
      </c>
      <c r="GD397">
        <v>0</v>
      </c>
      <c r="GF397">
        <v>0</v>
      </c>
      <c r="GG397">
        <v>1</v>
      </c>
      <c r="GH397" t="s">
        <v>892</v>
      </c>
      <c r="GI397" t="s">
        <v>893</v>
      </c>
      <c r="GJ397" t="s">
        <v>8448</v>
      </c>
      <c r="GM397">
        <v>1</v>
      </c>
      <c r="GN397">
        <v>1</v>
      </c>
      <c r="GO397">
        <v>0</v>
      </c>
      <c r="GP397">
        <v>1</v>
      </c>
      <c r="GQ397">
        <v>1</v>
      </c>
      <c r="GR397">
        <v>0</v>
      </c>
      <c r="GS397">
        <v>1</v>
      </c>
      <c r="GT397">
        <v>0</v>
      </c>
      <c r="GU397">
        <v>1</v>
      </c>
      <c r="GV397">
        <v>0</v>
      </c>
      <c r="GW397">
        <v>1</v>
      </c>
      <c r="GX397">
        <v>0</v>
      </c>
      <c r="GY397">
        <v>1</v>
      </c>
      <c r="GZ397">
        <v>0</v>
      </c>
      <c r="HA397" t="s">
        <v>313</v>
      </c>
      <c r="HB397" t="s">
        <v>894</v>
      </c>
      <c r="HC397" t="s">
        <v>935</v>
      </c>
      <c r="HD397" t="s">
        <v>845</v>
      </c>
      <c r="HE397" t="s">
        <v>900</v>
      </c>
      <c r="HF397" t="s">
        <v>923</v>
      </c>
      <c r="HG397" t="s">
        <v>894</v>
      </c>
      <c r="HH397" t="s">
        <v>935</v>
      </c>
      <c r="HI397" t="s">
        <v>845</v>
      </c>
      <c r="HJ397" t="s">
        <v>900</v>
      </c>
      <c r="HK397" t="s">
        <v>922</v>
      </c>
      <c r="HL397" t="s">
        <v>239</v>
      </c>
      <c r="HM397" t="s">
        <v>854</v>
      </c>
      <c r="HN397">
        <v>36805</v>
      </c>
      <c r="HP397" t="s">
        <v>226</v>
      </c>
      <c r="HQ397" t="s">
        <v>896</v>
      </c>
      <c r="HR397" t="s">
        <v>896</v>
      </c>
      <c r="HS397" t="s">
        <v>896</v>
      </c>
    </row>
    <row r="398" spans="1:227" x14ac:dyDescent="0.2">
      <c r="A398">
        <v>8702</v>
      </c>
      <c r="B398">
        <v>7523800148</v>
      </c>
      <c r="C398" t="s">
        <v>1171</v>
      </c>
      <c r="D398" t="s">
        <v>1172</v>
      </c>
      <c r="E398" t="s">
        <v>897</v>
      </c>
      <c r="F398">
        <v>1</v>
      </c>
      <c r="G398" t="s">
        <v>8456</v>
      </c>
      <c r="H398" t="s">
        <v>8456</v>
      </c>
      <c r="I398">
        <v>0</v>
      </c>
      <c r="J398" t="s">
        <v>833</v>
      </c>
      <c r="K398" t="s">
        <v>834</v>
      </c>
      <c r="L398">
        <v>156057615</v>
      </c>
      <c r="M398" t="s">
        <v>3104</v>
      </c>
      <c r="N398" t="s">
        <v>900</v>
      </c>
      <c r="O398" t="s">
        <v>837</v>
      </c>
      <c r="P398" t="s">
        <v>1175</v>
      </c>
      <c r="Q398" t="s">
        <v>1176</v>
      </c>
      <c r="R398" t="s">
        <v>8457</v>
      </c>
      <c r="S398" t="s">
        <v>8458</v>
      </c>
      <c r="T398">
        <v>41477056615</v>
      </c>
      <c r="V398" t="s">
        <v>3107</v>
      </c>
      <c r="W398" s="41">
        <v>45896</v>
      </c>
      <c r="X398" t="s">
        <v>8459</v>
      </c>
      <c r="Y398" t="s">
        <v>8460</v>
      </c>
      <c r="AA398">
        <v>0</v>
      </c>
      <c r="AB398" t="s">
        <v>845</v>
      </c>
      <c r="AC398" t="s">
        <v>846</v>
      </c>
      <c r="AD398" t="s">
        <v>847</v>
      </c>
      <c r="AE398" t="s">
        <v>848</v>
      </c>
      <c r="AF398">
        <v>1</v>
      </c>
      <c r="AG398">
        <v>452210</v>
      </c>
      <c r="AH398" t="s">
        <v>849</v>
      </c>
      <c r="AI398" t="s">
        <v>850</v>
      </c>
      <c r="AJ398" t="s">
        <v>851</v>
      </c>
      <c r="AK398" t="s">
        <v>275</v>
      </c>
      <c r="AL398" t="s">
        <v>3110</v>
      </c>
      <c r="AM398" t="s">
        <v>3111</v>
      </c>
      <c r="AN398" t="s">
        <v>854</v>
      </c>
      <c r="AO398">
        <v>36805</v>
      </c>
      <c r="AP398">
        <v>921</v>
      </c>
      <c r="AQ398" t="s">
        <v>855</v>
      </c>
      <c r="AR398">
        <v>66088238</v>
      </c>
      <c r="AS398" t="s">
        <v>856</v>
      </c>
      <c r="AU398" t="s">
        <v>8461</v>
      </c>
      <c r="AV398" t="s">
        <v>8462</v>
      </c>
      <c r="AX398" t="s">
        <v>913</v>
      </c>
      <c r="AY398" t="s">
        <v>861</v>
      </c>
      <c r="AZ398" t="s">
        <v>275</v>
      </c>
      <c r="BA398" t="s">
        <v>276</v>
      </c>
      <c r="BB398">
        <v>0</v>
      </c>
      <c r="BC398">
        <v>0</v>
      </c>
      <c r="BD398">
        <v>0</v>
      </c>
      <c r="BE398" t="s">
        <v>3104</v>
      </c>
      <c r="BF398">
        <v>0</v>
      </c>
      <c r="BG398">
        <v>0</v>
      </c>
      <c r="BH398" t="s">
        <v>862</v>
      </c>
      <c r="BI398">
        <v>0</v>
      </c>
      <c r="BJ398" t="s">
        <v>862</v>
      </c>
      <c r="BK398">
        <v>1</v>
      </c>
      <c r="BL398">
        <v>1</v>
      </c>
      <c r="BM398">
        <v>0</v>
      </c>
      <c r="BN398" t="s">
        <v>596</v>
      </c>
      <c r="BO398">
        <v>156057615</v>
      </c>
      <c r="BP398" t="s">
        <v>8456</v>
      </c>
      <c r="BR398">
        <v>42793646</v>
      </c>
      <c r="BT398">
        <v>0</v>
      </c>
      <c r="CM398">
        <v>4010</v>
      </c>
      <c r="CO398">
        <v>7360</v>
      </c>
      <c r="CP398">
        <v>1.7</v>
      </c>
      <c r="CQ398">
        <v>1.7</v>
      </c>
      <c r="CR398">
        <v>0.2167</v>
      </c>
      <c r="CS398">
        <v>10</v>
      </c>
      <c r="CT398" t="s">
        <v>8462</v>
      </c>
      <c r="CU398" t="s">
        <v>8461</v>
      </c>
      <c r="CV398" t="s">
        <v>833</v>
      </c>
      <c r="CW398" t="s">
        <v>834</v>
      </c>
      <c r="CX398" t="s">
        <v>3104</v>
      </c>
      <c r="CY398">
        <v>0</v>
      </c>
      <c r="CZ398">
        <v>0</v>
      </c>
      <c r="DA398" t="s">
        <v>833</v>
      </c>
      <c r="DB398" t="s">
        <v>865</v>
      </c>
      <c r="DC398">
        <v>45249</v>
      </c>
      <c r="DD398">
        <v>12.566700000000001</v>
      </c>
      <c r="DE398" t="s">
        <v>866</v>
      </c>
      <c r="DG398" t="s">
        <v>867</v>
      </c>
      <c r="DH398" t="s">
        <v>851</v>
      </c>
      <c r="DJ398">
        <v>921</v>
      </c>
      <c r="DL398" t="s">
        <v>869</v>
      </c>
      <c r="DM398">
        <v>0</v>
      </c>
      <c r="DN398">
        <v>0</v>
      </c>
      <c r="DO398">
        <v>3</v>
      </c>
      <c r="DP398" t="s">
        <v>919</v>
      </c>
      <c r="DQ398">
        <v>16</v>
      </c>
      <c r="DR398">
        <v>754</v>
      </c>
      <c r="DS398">
        <v>1474</v>
      </c>
      <c r="DT398">
        <v>10.8667</v>
      </c>
      <c r="DU398">
        <v>4</v>
      </c>
      <c r="DW398">
        <v>2</v>
      </c>
      <c r="DX398" t="s">
        <v>596</v>
      </c>
      <c r="DY398" t="s">
        <v>3104</v>
      </c>
      <c r="DZ398">
        <v>1</v>
      </c>
      <c r="EA398">
        <v>1</v>
      </c>
      <c r="EB398">
        <v>1</v>
      </c>
      <c r="EC398">
        <v>0</v>
      </c>
      <c r="ED398">
        <v>0</v>
      </c>
      <c r="EE398">
        <v>1</v>
      </c>
      <c r="EF398" t="s">
        <v>871</v>
      </c>
      <c r="EG398" t="s">
        <v>595</v>
      </c>
      <c r="EH398" t="s">
        <v>921</v>
      </c>
      <c r="EI398" t="s">
        <v>921</v>
      </c>
      <c r="EJ398" t="s">
        <v>226</v>
      </c>
      <c r="EK398">
        <v>9090</v>
      </c>
      <c r="EL398">
        <v>0</v>
      </c>
      <c r="EM398" t="s">
        <v>1157</v>
      </c>
      <c r="EN398">
        <v>0.2167</v>
      </c>
      <c r="EO398">
        <v>24.566666600000001</v>
      </c>
      <c r="EP398">
        <v>99991120</v>
      </c>
      <c r="EQ398" t="s">
        <v>874</v>
      </c>
      <c r="ER398" t="s">
        <v>875</v>
      </c>
      <c r="ES398" t="s">
        <v>876</v>
      </c>
      <c r="ET398" t="s">
        <v>877</v>
      </c>
      <c r="EU398" t="s">
        <v>877</v>
      </c>
      <c r="EV398" t="s">
        <v>871</v>
      </c>
      <c r="EX398" t="s">
        <v>953</v>
      </c>
      <c r="EY398" t="s">
        <v>1555</v>
      </c>
      <c r="EZ398" t="s">
        <v>3116</v>
      </c>
      <c r="FA398" t="s">
        <v>925</v>
      </c>
      <c r="FB398">
        <v>1</v>
      </c>
      <c r="FC398">
        <v>1</v>
      </c>
      <c r="FD398" s="41">
        <v>45899</v>
      </c>
      <c r="FE398" t="s">
        <v>987</v>
      </c>
      <c r="FF398">
        <v>4</v>
      </c>
      <c r="FI398">
        <v>0</v>
      </c>
      <c r="FL398">
        <v>0</v>
      </c>
      <c r="FM398" t="s">
        <v>3117</v>
      </c>
      <c r="FN398" t="s">
        <v>8463</v>
      </c>
      <c r="FO398">
        <v>1</v>
      </c>
      <c r="FP398" t="s">
        <v>8464</v>
      </c>
      <c r="FQ398" t="s">
        <v>8461</v>
      </c>
      <c r="FR398">
        <v>1</v>
      </c>
      <c r="FS398" t="s">
        <v>3120</v>
      </c>
      <c r="FT398" t="s">
        <v>8465</v>
      </c>
      <c r="FU398">
        <v>1</v>
      </c>
      <c r="FV398" t="s">
        <v>8466</v>
      </c>
      <c r="FW398" t="s">
        <v>8467</v>
      </c>
      <c r="FX398">
        <v>1</v>
      </c>
      <c r="FY398" t="s">
        <v>890</v>
      </c>
      <c r="FZ398" t="s">
        <v>8468</v>
      </c>
      <c r="GA398" t="s">
        <v>8466</v>
      </c>
      <c r="GB398">
        <v>1</v>
      </c>
      <c r="GD398">
        <v>0</v>
      </c>
      <c r="GF398">
        <v>0</v>
      </c>
      <c r="GG398">
        <v>1</v>
      </c>
      <c r="GH398" t="s">
        <v>892</v>
      </c>
      <c r="GI398" t="s">
        <v>893</v>
      </c>
      <c r="GJ398" t="s">
        <v>8467</v>
      </c>
      <c r="GM398">
        <v>1</v>
      </c>
      <c r="GN398">
        <v>1</v>
      </c>
      <c r="GO398">
        <v>0</v>
      </c>
      <c r="GP398">
        <v>1</v>
      </c>
      <c r="GQ398">
        <v>1</v>
      </c>
      <c r="GR398">
        <v>0</v>
      </c>
      <c r="GS398">
        <v>1</v>
      </c>
      <c r="GT398">
        <v>0</v>
      </c>
      <c r="GU398">
        <v>1</v>
      </c>
      <c r="GV398">
        <v>0</v>
      </c>
      <c r="GW398">
        <v>1</v>
      </c>
      <c r="GX398">
        <v>0</v>
      </c>
      <c r="GY398">
        <v>1</v>
      </c>
      <c r="GZ398">
        <v>0</v>
      </c>
      <c r="HA398" t="s">
        <v>275</v>
      </c>
      <c r="HB398" t="s">
        <v>894</v>
      </c>
      <c r="HC398" t="s">
        <v>935</v>
      </c>
      <c r="HD398" t="s">
        <v>845</v>
      </c>
      <c r="HE398" t="s">
        <v>900</v>
      </c>
      <c r="HF398" t="s">
        <v>923</v>
      </c>
      <c r="HG398" t="s">
        <v>894</v>
      </c>
      <c r="HH398" t="s">
        <v>935</v>
      </c>
      <c r="HI398" t="s">
        <v>845</v>
      </c>
      <c r="HJ398" t="s">
        <v>900</v>
      </c>
      <c r="HK398" t="s">
        <v>922</v>
      </c>
      <c r="HL398" t="s">
        <v>3107</v>
      </c>
      <c r="HM398" t="s">
        <v>854</v>
      </c>
      <c r="HN398">
        <v>36805</v>
      </c>
      <c r="HP398" t="s">
        <v>226</v>
      </c>
      <c r="HQ398" t="s">
        <v>896</v>
      </c>
      <c r="HR398" t="s">
        <v>896</v>
      </c>
      <c r="HS398" t="s">
        <v>896</v>
      </c>
    </row>
    <row r="399" spans="1:227" x14ac:dyDescent="0.2">
      <c r="A399">
        <v>8702</v>
      </c>
      <c r="B399">
        <v>7531903471</v>
      </c>
      <c r="C399" t="s">
        <v>829</v>
      </c>
      <c r="D399" t="s">
        <v>830</v>
      </c>
      <c r="E399" t="s">
        <v>897</v>
      </c>
      <c r="F399">
        <v>1</v>
      </c>
      <c r="G399" t="s">
        <v>8469</v>
      </c>
      <c r="H399" t="s">
        <v>8469</v>
      </c>
      <c r="I399">
        <v>0</v>
      </c>
      <c r="J399" t="s">
        <v>833</v>
      </c>
      <c r="K399" t="s">
        <v>834</v>
      </c>
      <c r="L399">
        <v>153524553</v>
      </c>
      <c r="M399" t="s">
        <v>2054</v>
      </c>
      <c r="N399" t="s">
        <v>900</v>
      </c>
      <c r="O399" t="s">
        <v>837</v>
      </c>
      <c r="P399" t="s">
        <v>838</v>
      </c>
      <c r="Q399" t="s">
        <v>901</v>
      </c>
      <c r="R399" t="s">
        <v>8470</v>
      </c>
      <c r="S399" t="s">
        <v>8471</v>
      </c>
      <c r="T399">
        <v>41477011711</v>
      </c>
      <c r="V399" t="s">
        <v>150</v>
      </c>
      <c r="W399" s="41">
        <v>45976</v>
      </c>
      <c r="X399" t="s">
        <v>8472</v>
      </c>
      <c r="Y399" t="s">
        <v>8473</v>
      </c>
      <c r="AA399">
        <v>0</v>
      </c>
      <c r="AB399" t="s">
        <v>845</v>
      </c>
      <c r="AC399" t="s">
        <v>846</v>
      </c>
      <c r="AD399" t="s">
        <v>847</v>
      </c>
      <c r="AE399" t="s">
        <v>848</v>
      </c>
      <c r="AF399">
        <v>1</v>
      </c>
      <c r="AG399">
        <v>452210</v>
      </c>
      <c r="AH399" t="s">
        <v>849</v>
      </c>
      <c r="AI399" t="s">
        <v>850</v>
      </c>
      <c r="AJ399" t="s">
        <v>851</v>
      </c>
      <c r="AK399" t="s">
        <v>375</v>
      </c>
      <c r="AL399" t="s">
        <v>2060</v>
      </c>
      <c r="AM399" t="s">
        <v>2061</v>
      </c>
      <c r="AN399" t="s">
        <v>854</v>
      </c>
      <c r="AO399">
        <v>36805</v>
      </c>
      <c r="AP399">
        <v>533</v>
      </c>
      <c r="AQ399" t="s">
        <v>855</v>
      </c>
      <c r="AR399">
        <v>66203514</v>
      </c>
      <c r="AS399" t="s">
        <v>856</v>
      </c>
      <c r="AU399" t="s">
        <v>8474</v>
      </c>
      <c r="AV399" t="s">
        <v>8475</v>
      </c>
      <c r="AX399" t="s">
        <v>913</v>
      </c>
      <c r="AY399" t="s">
        <v>861</v>
      </c>
      <c r="AZ399" t="s">
        <v>375</v>
      </c>
      <c r="BA399" t="s">
        <v>376</v>
      </c>
      <c r="BB399">
        <v>0</v>
      </c>
      <c r="BC399">
        <v>0</v>
      </c>
      <c r="BD399">
        <v>0</v>
      </c>
      <c r="BE399" t="s">
        <v>2054</v>
      </c>
      <c r="BF399">
        <v>0</v>
      </c>
      <c r="BG399">
        <v>0</v>
      </c>
      <c r="BH399" t="s">
        <v>862</v>
      </c>
      <c r="BI399">
        <v>0</v>
      </c>
      <c r="BJ399" t="s">
        <v>862</v>
      </c>
      <c r="BK399">
        <v>1</v>
      </c>
      <c r="BL399">
        <v>1</v>
      </c>
      <c r="BM399">
        <v>0</v>
      </c>
      <c r="BN399" t="s">
        <v>596</v>
      </c>
      <c r="BO399">
        <v>153524553</v>
      </c>
      <c r="BP399" t="s">
        <v>8469</v>
      </c>
      <c r="BQ399">
        <v>39.4140972</v>
      </c>
      <c r="BR399">
        <v>42791448</v>
      </c>
      <c r="BS399">
        <v>-87.412543900000003</v>
      </c>
      <c r="BT399">
        <v>0</v>
      </c>
      <c r="CM399">
        <v>4010</v>
      </c>
      <c r="CO399">
        <v>7360</v>
      </c>
      <c r="CP399">
        <v>0.9</v>
      </c>
      <c r="CQ399">
        <v>0.9</v>
      </c>
      <c r="CR399">
        <v>1.1167</v>
      </c>
      <c r="CS399">
        <v>151</v>
      </c>
      <c r="CT399" t="s">
        <v>8475</v>
      </c>
      <c r="CU399" t="s">
        <v>8474</v>
      </c>
      <c r="CV399" t="s">
        <v>833</v>
      </c>
      <c r="CW399" t="s">
        <v>834</v>
      </c>
      <c r="CX399" t="s">
        <v>2054</v>
      </c>
      <c r="CY399">
        <v>0</v>
      </c>
      <c r="CZ399">
        <v>0</v>
      </c>
      <c r="DA399" t="s">
        <v>833</v>
      </c>
      <c r="DB399" t="s">
        <v>865</v>
      </c>
      <c r="DC399">
        <v>47802</v>
      </c>
      <c r="DD399">
        <v>6.35</v>
      </c>
      <c r="DE399" t="s">
        <v>866</v>
      </c>
      <c r="DG399" t="s">
        <v>867</v>
      </c>
      <c r="DH399" t="s">
        <v>851</v>
      </c>
      <c r="DI399" t="s">
        <v>1291</v>
      </c>
      <c r="DL399" t="s">
        <v>869</v>
      </c>
      <c r="DM399">
        <v>0</v>
      </c>
      <c r="DN399">
        <v>0</v>
      </c>
      <c r="DO399">
        <v>3</v>
      </c>
      <c r="DP399" t="s">
        <v>919</v>
      </c>
      <c r="DQ399">
        <v>16</v>
      </c>
      <c r="DR399">
        <v>381</v>
      </c>
      <c r="DS399">
        <v>381</v>
      </c>
      <c r="DT399">
        <v>5.45</v>
      </c>
      <c r="DU399">
        <v>4</v>
      </c>
      <c r="DW399">
        <v>2</v>
      </c>
      <c r="DX399" t="s">
        <v>596</v>
      </c>
      <c r="DY399" t="s">
        <v>2054</v>
      </c>
      <c r="DZ399">
        <v>1</v>
      </c>
      <c r="EA399">
        <v>1</v>
      </c>
      <c r="EB399">
        <v>1</v>
      </c>
      <c r="EC399">
        <v>0</v>
      </c>
      <c r="ED399">
        <v>0</v>
      </c>
      <c r="EE399">
        <v>1</v>
      </c>
      <c r="EF399" t="s">
        <v>920</v>
      </c>
      <c r="EG399" t="s">
        <v>595</v>
      </c>
      <c r="EH399" t="s">
        <v>921</v>
      </c>
      <c r="EI399" t="s">
        <v>921</v>
      </c>
      <c r="EJ399" t="s">
        <v>134</v>
      </c>
      <c r="EK399">
        <v>9090</v>
      </c>
      <c r="EL399">
        <v>0</v>
      </c>
      <c r="EM399" t="s">
        <v>1011</v>
      </c>
      <c r="EN399">
        <v>1.1167</v>
      </c>
      <c r="EO399">
        <v>6.35</v>
      </c>
      <c r="EP399">
        <v>99991120</v>
      </c>
      <c r="EQ399" t="s">
        <v>874</v>
      </c>
      <c r="ER399" t="s">
        <v>875</v>
      </c>
      <c r="ES399" t="s">
        <v>876</v>
      </c>
      <c r="ET399" t="s">
        <v>877</v>
      </c>
      <c r="EU399" t="s">
        <v>877</v>
      </c>
      <c r="EV399" t="s">
        <v>920</v>
      </c>
      <c r="EX399" t="s">
        <v>953</v>
      </c>
      <c r="EY399" t="s">
        <v>1555</v>
      </c>
      <c r="EZ399" t="s">
        <v>2065</v>
      </c>
      <c r="FA399" t="s">
        <v>1212</v>
      </c>
      <c r="FB399">
        <v>1</v>
      </c>
      <c r="FC399">
        <v>1</v>
      </c>
      <c r="FD399" s="41">
        <v>45976</v>
      </c>
      <c r="FE399" t="s">
        <v>1438</v>
      </c>
      <c r="FF399">
        <v>4</v>
      </c>
      <c r="FI399">
        <v>0</v>
      </c>
      <c r="FL399">
        <v>0</v>
      </c>
      <c r="FM399" t="s">
        <v>8476</v>
      </c>
      <c r="FN399" t="s">
        <v>8477</v>
      </c>
      <c r="FO399">
        <v>1</v>
      </c>
      <c r="FP399" t="s">
        <v>8478</v>
      </c>
      <c r="FQ399" t="s">
        <v>8479</v>
      </c>
      <c r="FR399">
        <v>1</v>
      </c>
      <c r="FS399" t="s">
        <v>2070</v>
      </c>
      <c r="FT399" t="s">
        <v>8480</v>
      </c>
      <c r="FU399">
        <v>1</v>
      </c>
      <c r="FV399" t="s">
        <v>8481</v>
      </c>
      <c r="FW399" t="s">
        <v>8482</v>
      </c>
      <c r="FX399">
        <v>1</v>
      </c>
      <c r="FY399" t="s">
        <v>890</v>
      </c>
      <c r="FZ399" t="s">
        <v>8483</v>
      </c>
      <c r="GA399" t="s">
        <v>8481</v>
      </c>
      <c r="GB399">
        <v>1</v>
      </c>
      <c r="GD399">
        <v>0</v>
      </c>
      <c r="GF399">
        <v>0</v>
      </c>
      <c r="GG399">
        <v>1</v>
      </c>
      <c r="GH399" t="s">
        <v>892</v>
      </c>
      <c r="GI399" t="s">
        <v>893</v>
      </c>
      <c r="GJ399" t="s">
        <v>8482</v>
      </c>
      <c r="GM399">
        <v>1</v>
      </c>
      <c r="GN399">
        <v>1</v>
      </c>
      <c r="GO399">
        <v>0</v>
      </c>
      <c r="GP399">
        <v>1</v>
      </c>
      <c r="GQ399">
        <v>1</v>
      </c>
      <c r="GR399">
        <v>0</v>
      </c>
      <c r="GS399">
        <v>1</v>
      </c>
      <c r="GT399">
        <v>0</v>
      </c>
      <c r="GU399">
        <v>1</v>
      </c>
      <c r="GV399">
        <v>0</v>
      </c>
      <c r="GW399">
        <v>1</v>
      </c>
      <c r="GX399">
        <v>0</v>
      </c>
      <c r="GY399">
        <v>1</v>
      </c>
      <c r="GZ399">
        <v>0</v>
      </c>
      <c r="HA399" t="s">
        <v>375</v>
      </c>
      <c r="HB399" t="s">
        <v>894</v>
      </c>
      <c r="HC399" t="s">
        <v>935</v>
      </c>
      <c r="HD399" t="s">
        <v>845</v>
      </c>
      <c r="HE399" t="s">
        <v>900</v>
      </c>
      <c r="HF399" t="s">
        <v>1012</v>
      </c>
      <c r="HG399" t="s">
        <v>894</v>
      </c>
      <c r="HH399" t="s">
        <v>935</v>
      </c>
      <c r="HI399" t="s">
        <v>845</v>
      </c>
      <c r="HJ399" t="s">
        <v>900</v>
      </c>
      <c r="HK399" t="s">
        <v>1011</v>
      </c>
      <c r="HL399" t="s">
        <v>150</v>
      </c>
      <c r="HM399" t="s">
        <v>854</v>
      </c>
      <c r="HN399">
        <v>36805</v>
      </c>
      <c r="HP399" t="s">
        <v>134</v>
      </c>
      <c r="HQ399" t="s">
        <v>896</v>
      </c>
      <c r="HR399" t="s">
        <v>896</v>
      </c>
      <c r="HS399" t="s">
        <v>896</v>
      </c>
    </row>
    <row r="400" spans="1:227" x14ac:dyDescent="0.2">
      <c r="A400">
        <v>8702</v>
      </c>
      <c r="B400">
        <v>7534713604</v>
      </c>
      <c r="C400" t="s">
        <v>829</v>
      </c>
      <c r="D400" t="s">
        <v>830</v>
      </c>
      <c r="E400" t="s">
        <v>831</v>
      </c>
      <c r="F400">
        <v>5</v>
      </c>
      <c r="G400" t="s">
        <v>8484</v>
      </c>
      <c r="H400" t="s">
        <v>8484</v>
      </c>
      <c r="I400">
        <v>0</v>
      </c>
      <c r="J400" t="s">
        <v>833</v>
      </c>
      <c r="K400" t="s">
        <v>834</v>
      </c>
      <c r="L400">
        <v>153406585</v>
      </c>
      <c r="M400" t="s">
        <v>5143</v>
      </c>
      <c r="N400" t="s">
        <v>836</v>
      </c>
      <c r="O400" t="s">
        <v>837</v>
      </c>
      <c r="P400" t="s">
        <v>838</v>
      </c>
      <c r="Q400" t="s">
        <v>839</v>
      </c>
      <c r="R400" t="s">
        <v>8485</v>
      </c>
      <c r="S400" t="s">
        <v>8486</v>
      </c>
      <c r="T400">
        <v>41477092613</v>
      </c>
      <c r="V400" t="s">
        <v>1384</v>
      </c>
      <c r="W400" s="41">
        <v>46004</v>
      </c>
      <c r="X400" t="s">
        <v>8487</v>
      </c>
      <c r="Y400" t="s">
        <v>8488</v>
      </c>
      <c r="AA400">
        <v>0</v>
      </c>
      <c r="AB400" t="s">
        <v>845</v>
      </c>
      <c r="AC400" t="s">
        <v>846</v>
      </c>
      <c r="AD400" t="s">
        <v>847</v>
      </c>
      <c r="AE400" t="s">
        <v>848</v>
      </c>
      <c r="AF400">
        <v>1</v>
      </c>
      <c r="AG400">
        <v>452210</v>
      </c>
      <c r="AH400" t="s">
        <v>849</v>
      </c>
      <c r="AI400" t="s">
        <v>850</v>
      </c>
      <c r="AJ400" t="s">
        <v>851</v>
      </c>
      <c r="AK400" t="s">
        <v>253</v>
      </c>
      <c r="AL400" t="s">
        <v>1257</v>
      </c>
      <c r="AM400" t="s">
        <v>1387</v>
      </c>
      <c r="AN400" t="s">
        <v>854</v>
      </c>
      <c r="AO400">
        <v>36805</v>
      </c>
      <c r="AP400">
        <v>542</v>
      </c>
      <c r="AQ400" t="s">
        <v>855</v>
      </c>
      <c r="AR400">
        <v>66243366</v>
      </c>
      <c r="AS400" t="s">
        <v>856</v>
      </c>
      <c r="AU400" t="s">
        <v>8489</v>
      </c>
      <c r="AV400" t="s">
        <v>8490</v>
      </c>
      <c r="AX400" t="s">
        <v>913</v>
      </c>
      <c r="AY400" t="s">
        <v>861</v>
      </c>
      <c r="AZ400" t="s">
        <v>253</v>
      </c>
      <c r="BA400" t="s">
        <v>254</v>
      </c>
      <c r="BB400">
        <v>0</v>
      </c>
      <c r="BC400">
        <v>0</v>
      </c>
      <c r="BD400">
        <v>1</v>
      </c>
      <c r="BE400" t="s">
        <v>5143</v>
      </c>
      <c r="BF400">
        <v>0</v>
      </c>
      <c r="BG400">
        <v>0</v>
      </c>
      <c r="BH400" t="s">
        <v>862</v>
      </c>
      <c r="BI400">
        <v>0</v>
      </c>
      <c r="BJ400" t="s">
        <v>862</v>
      </c>
      <c r="BK400">
        <v>1</v>
      </c>
      <c r="BL400">
        <v>1</v>
      </c>
      <c r="BM400">
        <v>0</v>
      </c>
      <c r="BN400" t="s">
        <v>596</v>
      </c>
      <c r="BO400">
        <v>153406585</v>
      </c>
      <c r="BP400" t="s">
        <v>8484</v>
      </c>
      <c r="BR400">
        <v>42791456</v>
      </c>
      <c r="BT400">
        <v>0</v>
      </c>
      <c r="CM400">
        <v>4010</v>
      </c>
      <c r="CO400">
        <v>7360</v>
      </c>
      <c r="CP400">
        <v>0.9</v>
      </c>
      <c r="CQ400">
        <v>0.9</v>
      </c>
      <c r="CR400">
        <v>0.3</v>
      </c>
      <c r="CS400">
        <v>3</v>
      </c>
      <c r="CT400" t="s">
        <v>8491</v>
      </c>
      <c r="CU400" t="s">
        <v>8492</v>
      </c>
      <c r="CV400" t="s">
        <v>833</v>
      </c>
      <c r="CW400" t="s">
        <v>834</v>
      </c>
      <c r="CX400" t="s">
        <v>5143</v>
      </c>
      <c r="CY400">
        <v>1</v>
      </c>
      <c r="CZ400">
        <v>1</v>
      </c>
      <c r="DA400" t="s">
        <v>833</v>
      </c>
      <c r="DB400" t="s">
        <v>865</v>
      </c>
      <c r="DC400">
        <v>55124</v>
      </c>
      <c r="DD400">
        <v>5.6</v>
      </c>
      <c r="DE400" t="s">
        <v>866</v>
      </c>
      <c r="DG400" t="s">
        <v>867</v>
      </c>
      <c r="DH400" t="s">
        <v>851</v>
      </c>
      <c r="DJ400">
        <v>542</v>
      </c>
      <c r="DL400" t="s">
        <v>869</v>
      </c>
      <c r="DM400">
        <v>0</v>
      </c>
      <c r="DN400">
        <v>0</v>
      </c>
      <c r="DO400">
        <v>11</v>
      </c>
      <c r="DP400" t="s">
        <v>1010</v>
      </c>
      <c r="DQ400">
        <v>16</v>
      </c>
      <c r="DR400">
        <v>336</v>
      </c>
      <c r="DS400">
        <v>908</v>
      </c>
      <c r="DT400">
        <v>4.7</v>
      </c>
      <c r="DU400">
        <v>4</v>
      </c>
      <c r="DW400">
        <v>2</v>
      </c>
      <c r="DX400" t="s">
        <v>596</v>
      </c>
      <c r="DY400" t="s">
        <v>5143</v>
      </c>
      <c r="DZ400">
        <v>1</v>
      </c>
      <c r="EA400">
        <v>1</v>
      </c>
      <c r="EB400">
        <v>1</v>
      </c>
      <c r="EC400">
        <v>0</v>
      </c>
      <c r="ED400">
        <v>0</v>
      </c>
      <c r="EE400">
        <v>1</v>
      </c>
      <c r="EF400" t="s">
        <v>871</v>
      </c>
      <c r="EG400" t="s">
        <v>595</v>
      </c>
      <c r="EH400" t="s">
        <v>921</v>
      </c>
      <c r="EI400" t="s">
        <v>921</v>
      </c>
      <c r="EJ400" t="s">
        <v>159</v>
      </c>
      <c r="EK400">
        <v>9090</v>
      </c>
      <c r="EL400">
        <v>0</v>
      </c>
      <c r="EM400" t="s">
        <v>873</v>
      </c>
      <c r="EN400">
        <v>0.3</v>
      </c>
      <c r="EO400">
        <v>15.1333333</v>
      </c>
      <c r="EP400">
        <v>99991120</v>
      </c>
      <c r="EQ400" t="s">
        <v>874</v>
      </c>
      <c r="ER400" t="s">
        <v>875</v>
      </c>
      <c r="ES400" t="s">
        <v>876</v>
      </c>
      <c r="ET400" t="s">
        <v>877</v>
      </c>
      <c r="EU400" t="s">
        <v>877</v>
      </c>
      <c r="EV400" t="s">
        <v>871</v>
      </c>
      <c r="EX400" t="s">
        <v>836</v>
      </c>
      <c r="EY400" t="s">
        <v>1121</v>
      </c>
      <c r="EZ400" t="s">
        <v>1122</v>
      </c>
      <c r="FA400" t="s">
        <v>956</v>
      </c>
      <c r="FB400">
        <v>1</v>
      </c>
      <c r="FC400">
        <v>1</v>
      </c>
      <c r="FD400" s="41">
        <v>46004</v>
      </c>
      <c r="FE400" t="s">
        <v>957</v>
      </c>
      <c r="FF400">
        <v>5</v>
      </c>
      <c r="FI400">
        <v>0</v>
      </c>
      <c r="FJ400" t="s">
        <v>8493</v>
      </c>
      <c r="FK400" t="s">
        <v>8494</v>
      </c>
      <c r="FL400">
        <v>1</v>
      </c>
      <c r="FM400" t="s">
        <v>5155</v>
      </c>
      <c r="FN400" t="s">
        <v>8495</v>
      </c>
      <c r="FO400">
        <v>1</v>
      </c>
      <c r="FP400" t="s">
        <v>8496</v>
      </c>
      <c r="FQ400" t="s">
        <v>8497</v>
      </c>
      <c r="FR400">
        <v>1</v>
      </c>
      <c r="FS400" t="s">
        <v>1273</v>
      </c>
      <c r="FT400" t="s">
        <v>8498</v>
      </c>
      <c r="FU400">
        <v>1</v>
      </c>
      <c r="FV400" t="s">
        <v>8499</v>
      </c>
      <c r="FW400" t="s">
        <v>8494</v>
      </c>
      <c r="FX400">
        <v>1</v>
      </c>
      <c r="FY400" t="s">
        <v>890</v>
      </c>
      <c r="FZ400" t="s">
        <v>8500</v>
      </c>
      <c r="GA400" t="s">
        <v>8493</v>
      </c>
      <c r="GB400">
        <v>1</v>
      </c>
      <c r="GD400">
        <v>0</v>
      </c>
      <c r="GF400">
        <v>0</v>
      </c>
      <c r="GG400">
        <v>1</v>
      </c>
      <c r="GH400" t="s">
        <v>892</v>
      </c>
      <c r="GI400" t="s">
        <v>893</v>
      </c>
      <c r="GJ400" t="s">
        <v>8494</v>
      </c>
      <c r="GM400">
        <v>1</v>
      </c>
      <c r="GN400">
        <v>1</v>
      </c>
      <c r="GO400">
        <v>0</v>
      </c>
      <c r="GP400">
        <v>1</v>
      </c>
      <c r="GQ400">
        <v>1</v>
      </c>
      <c r="GR400">
        <v>0</v>
      </c>
      <c r="GS400">
        <v>1</v>
      </c>
      <c r="GT400">
        <v>0</v>
      </c>
      <c r="GU400">
        <v>1</v>
      </c>
      <c r="GV400">
        <v>0</v>
      </c>
      <c r="GW400">
        <v>1</v>
      </c>
      <c r="GX400">
        <v>0</v>
      </c>
      <c r="GY400">
        <v>1</v>
      </c>
      <c r="GZ400">
        <v>0</v>
      </c>
      <c r="HA400" t="s">
        <v>253</v>
      </c>
      <c r="HB400" t="s">
        <v>894</v>
      </c>
      <c r="HC400" t="s">
        <v>895</v>
      </c>
      <c r="HD400" t="s">
        <v>845</v>
      </c>
      <c r="HE400" t="s">
        <v>836</v>
      </c>
      <c r="HF400" t="s">
        <v>873</v>
      </c>
      <c r="HG400" t="s">
        <v>894</v>
      </c>
      <c r="HH400" t="s">
        <v>895</v>
      </c>
      <c r="HI400" t="s">
        <v>845</v>
      </c>
      <c r="HJ400" t="s">
        <v>836</v>
      </c>
      <c r="HK400" t="s">
        <v>873</v>
      </c>
      <c r="HL400" t="s">
        <v>1384</v>
      </c>
      <c r="HM400" t="s">
        <v>854</v>
      </c>
      <c r="HN400">
        <v>36805</v>
      </c>
      <c r="HP400" t="s">
        <v>159</v>
      </c>
      <c r="HQ400" t="s">
        <v>896</v>
      </c>
      <c r="HR400" t="s">
        <v>896</v>
      </c>
      <c r="HS400" t="s">
        <v>896</v>
      </c>
    </row>
    <row r="401" spans="1:227" x14ac:dyDescent="0.2">
      <c r="A401">
        <v>8702</v>
      </c>
      <c r="B401">
        <v>7605405427</v>
      </c>
      <c r="C401">
        <v>36</v>
      </c>
      <c r="D401" t="s">
        <v>1302</v>
      </c>
      <c r="E401" t="s">
        <v>831</v>
      </c>
      <c r="F401">
        <v>0</v>
      </c>
      <c r="G401" t="s">
        <v>8501</v>
      </c>
      <c r="H401" t="s">
        <v>8501</v>
      </c>
      <c r="I401">
        <v>0</v>
      </c>
      <c r="J401" t="s">
        <v>833</v>
      </c>
      <c r="K401" t="s">
        <v>834</v>
      </c>
      <c r="L401">
        <v>0</v>
      </c>
      <c r="M401" t="s">
        <v>5561</v>
      </c>
      <c r="N401" t="s">
        <v>836</v>
      </c>
      <c r="O401" t="s">
        <v>837</v>
      </c>
      <c r="P401" t="s">
        <v>1302</v>
      </c>
      <c r="Q401" t="s">
        <v>1517</v>
      </c>
      <c r="R401" t="s">
        <v>8502</v>
      </c>
      <c r="S401" t="s">
        <v>8503</v>
      </c>
      <c r="T401">
        <v>41477010629</v>
      </c>
      <c r="V401" t="s">
        <v>165</v>
      </c>
      <c r="W401" s="41">
        <v>46076</v>
      </c>
      <c r="X401" t="s">
        <v>8504</v>
      </c>
      <c r="Y401" t="s">
        <v>8505</v>
      </c>
      <c r="AA401">
        <v>0</v>
      </c>
      <c r="AB401" t="s">
        <v>845</v>
      </c>
      <c r="AC401" t="s">
        <v>846</v>
      </c>
      <c r="AD401" t="s">
        <v>1335</v>
      </c>
      <c r="AE401" t="s">
        <v>1336</v>
      </c>
      <c r="AF401">
        <v>1</v>
      </c>
      <c r="AG401">
        <v>452210</v>
      </c>
      <c r="AH401" t="s">
        <v>849</v>
      </c>
      <c r="AI401" t="s">
        <v>850</v>
      </c>
      <c r="AJ401" t="s">
        <v>851</v>
      </c>
      <c r="AK401" t="s">
        <v>326</v>
      </c>
      <c r="AL401" t="s">
        <v>4004</v>
      </c>
      <c r="AM401" t="s">
        <v>1499</v>
      </c>
      <c r="AN401" t="s">
        <v>854</v>
      </c>
      <c r="AO401">
        <v>36805</v>
      </c>
      <c r="AP401">
        <v>544</v>
      </c>
      <c r="AQ401" t="s">
        <v>855</v>
      </c>
      <c r="AR401">
        <v>66347201</v>
      </c>
      <c r="AS401" t="s">
        <v>856</v>
      </c>
      <c r="AU401" t="s">
        <v>8506</v>
      </c>
      <c r="AV401" t="s">
        <v>8507</v>
      </c>
      <c r="AW401" t="s">
        <v>859</v>
      </c>
      <c r="AX401" t="s">
        <v>860</v>
      </c>
      <c r="AY401" t="s">
        <v>861</v>
      </c>
      <c r="AZ401" t="s">
        <v>326</v>
      </c>
      <c r="BA401" t="s">
        <v>327</v>
      </c>
      <c r="BB401">
        <v>0</v>
      </c>
      <c r="BC401">
        <v>0</v>
      </c>
      <c r="BD401">
        <v>0</v>
      </c>
      <c r="BE401" t="s">
        <v>5561</v>
      </c>
      <c r="BF401">
        <v>0</v>
      </c>
      <c r="BG401">
        <v>0</v>
      </c>
      <c r="BH401" t="s">
        <v>862</v>
      </c>
      <c r="BI401">
        <v>0</v>
      </c>
      <c r="BJ401" t="s">
        <v>862</v>
      </c>
      <c r="BK401">
        <v>1</v>
      </c>
      <c r="BL401">
        <v>0</v>
      </c>
      <c r="BM401">
        <v>0</v>
      </c>
      <c r="BN401" t="s">
        <v>596</v>
      </c>
      <c r="BP401" t="s">
        <v>8501</v>
      </c>
      <c r="BR401">
        <v>42791459</v>
      </c>
      <c r="BT401">
        <v>2</v>
      </c>
      <c r="BU401" t="s">
        <v>1780</v>
      </c>
      <c r="CE401">
        <v>1</v>
      </c>
      <c r="CI401">
        <v>11</v>
      </c>
      <c r="CJ401" t="s">
        <v>94</v>
      </c>
      <c r="CM401">
        <v>4010</v>
      </c>
      <c r="CO401">
        <v>7360</v>
      </c>
      <c r="CP401">
        <v>0.16669999999999999</v>
      </c>
      <c r="CQ401">
        <v>0.16669999999999999</v>
      </c>
      <c r="CR401">
        <v>0.36670000000000003</v>
      </c>
      <c r="CS401">
        <v>9</v>
      </c>
      <c r="CT401" t="s">
        <v>8508</v>
      </c>
      <c r="CU401" t="s">
        <v>8509</v>
      </c>
      <c r="CV401" t="s">
        <v>833</v>
      </c>
      <c r="CW401" t="s">
        <v>834</v>
      </c>
      <c r="CX401" t="s">
        <v>8510</v>
      </c>
      <c r="CY401">
        <v>0</v>
      </c>
      <c r="CZ401">
        <v>0</v>
      </c>
      <c r="DA401" t="s">
        <v>833</v>
      </c>
      <c r="DB401" t="s">
        <v>865</v>
      </c>
      <c r="DC401">
        <v>55378</v>
      </c>
      <c r="DD401">
        <v>2.4167000000000001</v>
      </c>
      <c r="DE401" t="s">
        <v>866</v>
      </c>
      <c r="DG401" t="s">
        <v>867</v>
      </c>
      <c r="DH401" t="s">
        <v>851</v>
      </c>
      <c r="DK401" t="s">
        <v>918</v>
      </c>
      <c r="DL401" t="s">
        <v>869</v>
      </c>
      <c r="DM401">
        <v>0</v>
      </c>
      <c r="DN401">
        <v>0</v>
      </c>
      <c r="DO401">
        <v>53</v>
      </c>
      <c r="DP401" t="s">
        <v>1156</v>
      </c>
      <c r="DQ401">
        <v>12</v>
      </c>
      <c r="DR401">
        <v>145</v>
      </c>
      <c r="DS401">
        <v>145</v>
      </c>
      <c r="DT401">
        <v>2.25</v>
      </c>
      <c r="DU401">
        <v>4</v>
      </c>
      <c r="DV401">
        <v>1</v>
      </c>
      <c r="DW401">
        <v>1</v>
      </c>
      <c r="DX401" t="s">
        <v>594</v>
      </c>
      <c r="DY401" t="s">
        <v>5561</v>
      </c>
      <c r="DZ401">
        <v>0</v>
      </c>
      <c r="EA401">
        <v>0</v>
      </c>
      <c r="EB401">
        <v>0</v>
      </c>
      <c r="EC401">
        <v>0</v>
      </c>
      <c r="ED401">
        <v>0</v>
      </c>
      <c r="EE401">
        <v>0</v>
      </c>
      <c r="EF401" t="s">
        <v>920</v>
      </c>
      <c r="EG401" t="s">
        <v>595</v>
      </c>
      <c r="EH401" t="s">
        <v>1695</v>
      </c>
      <c r="EI401" t="s">
        <v>1695</v>
      </c>
      <c r="EJ401" t="s">
        <v>159</v>
      </c>
      <c r="EK401">
        <v>9090</v>
      </c>
      <c r="EL401">
        <v>0</v>
      </c>
      <c r="EM401" t="s">
        <v>873</v>
      </c>
      <c r="EN401">
        <v>0.36670000000000003</v>
      </c>
      <c r="EO401">
        <v>2.4166666999999999</v>
      </c>
      <c r="EP401">
        <v>99991120</v>
      </c>
      <c r="EQ401" t="s">
        <v>874</v>
      </c>
      <c r="ER401" t="s">
        <v>875</v>
      </c>
      <c r="ES401" t="s">
        <v>876</v>
      </c>
      <c r="ET401" t="s">
        <v>877</v>
      </c>
      <c r="EU401" t="s">
        <v>877</v>
      </c>
      <c r="EV401" t="s">
        <v>920</v>
      </c>
      <c r="EX401" t="s">
        <v>836</v>
      </c>
      <c r="EY401" t="s">
        <v>1121</v>
      </c>
      <c r="EZ401" t="s">
        <v>1122</v>
      </c>
      <c r="FA401" t="s">
        <v>956</v>
      </c>
      <c r="FB401">
        <v>1</v>
      </c>
      <c r="FC401">
        <v>1</v>
      </c>
      <c r="FD401" s="41">
        <v>46081</v>
      </c>
      <c r="FE401" t="s">
        <v>1267</v>
      </c>
      <c r="FF401">
        <v>5</v>
      </c>
      <c r="FI401">
        <v>0</v>
      </c>
      <c r="FJ401" t="s">
        <v>8511</v>
      </c>
      <c r="FK401" t="s">
        <v>8512</v>
      </c>
      <c r="FL401">
        <v>1</v>
      </c>
      <c r="FM401" t="s">
        <v>8513</v>
      </c>
      <c r="FN401" t="s">
        <v>8514</v>
      </c>
      <c r="FO401">
        <v>1</v>
      </c>
      <c r="FP401" t="s">
        <v>8515</v>
      </c>
      <c r="FQ401" t="s">
        <v>8509</v>
      </c>
      <c r="FR401">
        <v>1</v>
      </c>
      <c r="FS401" t="s">
        <v>1679</v>
      </c>
      <c r="FT401" t="s">
        <v>8516</v>
      </c>
      <c r="FU401">
        <v>1</v>
      </c>
      <c r="FV401" t="s">
        <v>8517</v>
      </c>
      <c r="FW401" t="s">
        <v>8512</v>
      </c>
      <c r="FX401">
        <v>1</v>
      </c>
      <c r="FY401" t="s">
        <v>890</v>
      </c>
      <c r="FZ401" t="s">
        <v>8518</v>
      </c>
      <c r="GA401" t="s">
        <v>8511</v>
      </c>
      <c r="GB401">
        <v>1</v>
      </c>
      <c r="GD401">
        <v>0</v>
      </c>
      <c r="GF401">
        <v>0</v>
      </c>
      <c r="GG401">
        <v>1</v>
      </c>
      <c r="GH401" t="s">
        <v>892</v>
      </c>
      <c r="GI401" t="s">
        <v>893</v>
      </c>
      <c r="GJ401" t="s">
        <v>8512</v>
      </c>
      <c r="GM401">
        <v>1</v>
      </c>
      <c r="GN401">
        <v>1</v>
      </c>
      <c r="GO401">
        <v>0</v>
      </c>
      <c r="GP401">
        <v>1</v>
      </c>
      <c r="GQ401">
        <v>1</v>
      </c>
      <c r="GR401">
        <v>0</v>
      </c>
      <c r="GS401">
        <v>1</v>
      </c>
      <c r="GT401">
        <v>0</v>
      </c>
      <c r="GU401">
        <v>1</v>
      </c>
      <c r="GV401">
        <v>0</v>
      </c>
      <c r="GW401">
        <v>1</v>
      </c>
      <c r="GX401">
        <v>0</v>
      </c>
      <c r="GY401">
        <v>1</v>
      </c>
      <c r="GZ401">
        <v>0</v>
      </c>
      <c r="HA401" t="s">
        <v>326</v>
      </c>
      <c r="HB401" t="s">
        <v>894</v>
      </c>
      <c r="HC401" t="s">
        <v>895</v>
      </c>
      <c r="HD401" t="s">
        <v>845</v>
      </c>
      <c r="HE401" t="s">
        <v>836</v>
      </c>
      <c r="HF401" t="s">
        <v>873</v>
      </c>
      <c r="HG401" t="s">
        <v>894</v>
      </c>
      <c r="HH401" t="s">
        <v>895</v>
      </c>
      <c r="HI401" t="s">
        <v>845</v>
      </c>
      <c r="HJ401" t="s">
        <v>836</v>
      </c>
      <c r="HK401" t="s">
        <v>873</v>
      </c>
      <c r="HL401" t="s">
        <v>165</v>
      </c>
      <c r="HM401" t="s">
        <v>854</v>
      </c>
      <c r="HN401">
        <v>36805</v>
      </c>
      <c r="HP401" t="s">
        <v>159</v>
      </c>
      <c r="HQ401" t="s">
        <v>896</v>
      </c>
      <c r="HR401" t="s">
        <v>896</v>
      </c>
      <c r="HS401" t="s">
        <v>896</v>
      </c>
    </row>
    <row r="402" spans="1:227" x14ac:dyDescent="0.2">
      <c r="A402">
        <v>8702</v>
      </c>
      <c r="B402">
        <v>7608506068</v>
      </c>
      <c r="C402" t="s">
        <v>829</v>
      </c>
      <c r="D402" t="s">
        <v>830</v>
      </c>
      <c r="E402" t="s">
        <v>831</v>
      </c>
      <c r="F402">
        <v>4</v>
      </c>
      <c r="G402" t="s">
        <v>8519</v>
      </c>
      <c r="H402" t="s">
        <v>8519</v>
      </c>
      <c r="I402">
        <v>0</v>
      </c>
      <c r="J402" t="s">
        <v>833</v>
      </c>
      <c r="K402" t="s">
        <v>834</v>
      </c>
      <c r="L402">
        <v>153294166</v>
      </c>
      <c r="M402" t="s">
        <v>5633</v>
      </c>
      <c r="N402" t="s">
        <v>836</v>
      </c>
      <c r="O402" t="s">
        <v>837</v>
      </c>
      <c r="P402" t="s">
        <v>838</v>
      </c>
      <c r="Q402" t="s">
        <v>3835</v>
      </c>
      <c r="R402" t="s">
        <v>8520</v>
      </c>
      <c r="S402" t="s">
        <v>8521</v>
      </c>
      <c r="T402">
        <v>41477124844</v>
      </c>
      <c r="V402" t="s">
        <v>3701</v>
      </c>
      <c r="W402" s="41">
        <v>46107</v>
      </c>
      <c r="X402" t="s">
        <v>8522</v>
      </c>
      <c r="Y402" t="s">
        <v>8523</v>
      </c>
      <c r="AA402">
        <v>0</v>
      </c>
      <c r="AB402" t="s">
        <v>845</v>
      </c>
      <c r="AC402" t="s">
        <v>846</v>
      </c>
      <c r="AD402" t="s">
        <v>1113</v>
      </c>
      <c r="AE402" t="s">
        <v>1114</v>
      </c>
      <c r="AF402">
        <v>1</v>
      </c>
      <c r="AG402">
        <v>452210</v>
      </c>
      <c r="AH402" t="s">
        <v>849</v>
      </c>
      <c r="AI402" t="s">
        <v>850</v>
      </c>
      <c r="AJ402" t="s">
        <v>851</v>
      </c>
      <c r="AK402" t="s">
        <v>454</v>
      </c>
      <c r="AL402" t="s">
        <v>3704</v>
      </c>
      <c r="AM402" t="s">
        <v>3705</v>
      </c>
      <c r="AN402" t="s">
        <v>854</v>
      </c>
      <c r="AO402">
        <v>36805</v>
      </c>
      <c r="AP402">
        <v>968</v>
      </c>
      <c r="AQ402" t="s">
        <v>855</v>
      </c>
      <c r="AR402">
        <v>66392022</v>
      </c>
      <c r="AS402" t="s">
        <v>856</v>
      </c>
      <c r="AU402" t="s">
        <v>8524</v>
      </c>
      <c r="AV402" t="s">
        <v>8525</v>
      </c>
      <c r="AX402" t="s">
        <v>913</v>
      </c>
      <c r="AY402" t="s">
        <v>861</v>
      </c>
      <c r="AZ402" t="s">
        <v>454</v>
      </c>
      <c r="BA402" t="s">
        <v>455</v>
      </c>
      <c r="BB402">
        <v>0</v>
      </c>
      <c r="BC402">
        <v>0</v>
      </c>
      <c r="BD402">
        <v>0</v>
      </c>
      <c r="BE402" t="s">
        <v>5633</v>
      </c>
      <c r="BF402">
        <v>0</v>
      </c>
      <c r="BG402">
        <v>0</v>
      </c>
      <c r="BH402" t="s">
        <v>862</v>
      </c>
      <c r="BI402">
        <v>0</v>
      </c>
      <c r="BJ402" t="s">
        <v>862</v>
      </c>
      <c r="BK402">
        <v>1</v>
      </c>
      <c r="BL402">
        <v>1</v>
      </c>
      <c r="BM402">
        <v>0</v>
      </c>
      <c r="BN402" t="s">
        <v>596</v>
      </c>
      <c r="BO402">
        <v>153294166</v>
      </c>
      <c r="BP402" t="s">
        <v>8519</v>
      </c>
      <c r="BR402">
        <v>42793658</v>
      </c>
      <c r="BT402">
        <v>2</v>
      </c>
      <c r="BU402" t="s">
        <v>1715</v>
      </c>
      <c r="BY402">
        <v>16</v>
      </c>
      <c r="CA402">
        <v>5</v>
      </c>
      <c r="CE402">
        <v>1</v>
      </c>
      <c r="CI402">
        <v>11</v>
      </c>
      <c r="CJ402" t="s">
        <v>94</v>
      </c>
      <c r="CM402">
        <v>4010</v>
      </c>
      <c r="CO402">
        <v>7360</v>
      </c>
      <c r="CP402">
        <v>0.4667</v>
      </c>
      <c r="CQ402">
        <v>0.4667</v>
      </c>
      <c r="CR402">
        <v>2.9167000000000001</v>
      </c>
      <c r="CS402">
        <v>1</v>
      </c>
      <c r="CT402" t="s">
        <v>8526</v>
      </c>
      <c r="CU402" t="s">
        <v>8527</v>
      </c>
      <c r="CV402" t="s">
        <v>833</v>
      </c>
      <c r="CW402" t="s">
        <v>834</v>
      </c>
      <c r="CX402" t="s">
        <v>5633</v>
      </c>
      <c r="CY402">
        <v>0</v>
      </c>
      <c r="CZ402">
        <v>0</v>
      </c>
      <c r="DA402" t="s">
        <v>833</v>
      </c>
      <c r="DB402" t="s">
        <v>865</v>
      </c>
      <c r="DC402">
        <v>52807</v>
      </c>
      <c r="DD402">
        <v>4.6833</v>
      </c>
      <c r="DE402" t="s">
        <v>866</v>
      </c>
      <c r="DG402" t="s">
        <v>867</v>
      </c>
      <c r="DH402" t="s">
        <v>851</v>
      </c>
      <c r="DI402" t="s">
        <v>5642</v>
      </c>
      <c r="DK402" t="s">
        <v>918</v>
      </c>
      <c r="DL402" t="s">
        <v>869</v>
      </c>
      <c r="DM402">
        <v>0</v>
      </c>
      <c r="DN402">
        <v>0</v>
      </c>
      <c r="DO402">
        <v>2</v>
      </c>
      <c r="DP402" t="s">
        <v>870</v>
      </c>
      <c r="DQ402">
        <v>0</v>
      </c>
      <c r="DR402">
        <v>281</v>
      </c>
      <c r="DS402">
        <v>281</v>
      </c>
      <c r="DT402">
        <v>4.2167000000000003</v>
      </c>
      <c r="DU402">
        <v>0</v>
      </c>
      <c r="DV402">
        <v>1</v>
      </c>
      <c r="DW402">
        <v>2</v>
      </c>
      <c r="DX402" t="s">
        <v>596</v>
      </c>
      <c r="DY402" t="s">
        <v>5633</v>
      </c>
      <c r="DZ402">
        <v>1</v>
      </c>
      <c r="EA402">
        <v>1</v>
      </c>
      <c r="EB402">
        <v>1</v>
      </c>
      <c r="EC402">
        <v>1</v>
      </c>
      <c r="ED402">
        <v>1</v>
      </c>
      <c r="EE402">
        <v>1</v>
      </c>
      <c r="EF402" t="s">
        <v>871</v>
      </c>
      <c r="EG402" t="s">
        <v>595</v>
      </c>
      <c r="EH402" t="s">
        <v>921</v>
      </c>
      <c r="EI402" t="s">
        <v>921</v>
      </c>
      <c r="EJ402" t="s">
        <v>246</v>
      </c>
      <c r="EK402">
        <v>9090</v>
      </c>
      <c r="EL402">
        <v>0</v>
      </c>
      <c r="EM402" t="s">
        <v>873</v>
      </c>
      <c r="EN402">
        <v>2.9167000000000001</v>
      </c>
      <c r="EO402">
        <v>4.6833333000000001</v>
      </c>
      <c r="EP402">
        <v>99991120</v>
      </c>
      <c r="EQ402" t="s">
        <v>874</v>
      </c>
      <c r="ER402" t="s">
        <v>875</v>
      </c>
      <c r="ES402" t="s">
        <v>876</v>
      </c>
      <c r="ET402" t="s">
        <v>877</v>
      </c>
      <c r="EU402" t="s">
        <v>877</v>
      </c>
      <c r="EV402" t="s">
        <v>871</v>
      </c>
      <c r="EX402" t="s">
        <v>836</v>
      </c>
      <c r="EY402" t="s">
        <v>873</v>
      </c>
      <c r="EZ402" t="s">
        <v>3709</v>
      </c>
      <c r="FA402" t="s">
        <v>879</v>
      </c>
      <c r="FB402">
        <v>1</v>
      </c>
      <c r="FC402">
        <v>1</v>
      </c>
      <c r="FD402" s="41">
        <v>46109</v>
      </c>
      <c r="FE402" t="s">
        <v>1719</v>
      </c>
      <c r="FF402">
        <v>7</v>
      </c>
      <c r="FG402" t="s">
        <v>3710</v>
      </c>
      <c r="FH402" t="s">
        <v>8528</v>
      </c>
      <c r="FI402">
        <v>1</v>
      </c>
      <c r="FJ402" t="s">
        <v>8529</v>
      </c>
      <c r="FK402" t="s">
        <v>8530</v>
      </c>
      <c r="FL402">
        <v>1</v>
      </c>
      <c r="FM402" t="s">
        <v>8531</v>
      </c>
      <c r="FN402" t="s">
        <v>8532</v>
      </c>
      <c r="FO402">
        <v>1</v>
      </c>
      <c r="FP402" t="s">
        <v>8533</v>
      </c>
      <c r="FQ402" t="s">
        <v>8534</v>
      </c>
      <c r="FR402">
        <v>1</v>
      </c>
      <c r="FS402" t="s">
        <v>8535</v>
      </c>
      <c r="FT402" t="s">
        <v>8536</v>
      </c>
      <c r="FU402">
        <v>1</v>
      </c>
      <c r="FV402" t="s">
        <v>8537</v>
      </c>
      <c r="FW402" t="s">
        <v>8538</v>
      </c>
      <c r="FX402">
        <v>1</v>
      </c>
      <c r="FY402" t="s">
        <v>890</v>
      </c>
      <c r="FZ402" t="s">
        <v>8539</v>
      </c>
      <c r="GA402" t="s">
        <v>8529</v>
      </c>
      <c r="GB402">
        <v>1</v>
      </c>
      <c r="GD402">
        <v>0</v>
      </c>
      <c r="GF402">
        <v>0</v>
      </c>
      <c r="GG402">
        <v>1</v>
      </c>
      <c r="GH402" t="s">
        <v>892</v>
      </c>
      <c r="GI402" t="s">
        <v>893</v>
      </c>
      <c r="GJ402" t="s">
        <v>8530</v>
      </c>
      <c r="GM402">
        <v>1</v>
      </c>
      <c r="GN402">
        <v>1</v>
      </c>
      <c r="GO402">
        <v>0</v>
      </c>
      <c r="GP402">
        <v>1</v>
      </c>
      <c r="GQ402">
        <v>1</v>
      </c>
      <c r="GR402">
        <v>0</v>
      </c>
      <c r="GS402">
        <v>1</v>
      </c>
      <c r="GT402">
        <v>0</v>
      </c>
      <c r="GU402">
        <v>1</v>
      </c>
      <c r="GV402">
        <v>0</v>
      </c>
      <c r="GW402">
        <v>1</v>
      </c>
      <c r="GX402">
        <v>0</v>
      </c>
      <c r="GY402">
        <v>1</v>
      </c>
      <c r="GZ402">
        <v>0</v>
      </c>
      <c r="HA402" t="s">
        <v>454</v>
      </c>
      <c r="HB402" t="s">
        <v>894</v>
      </c>
      <c r="HC402" t="s">
        <v>895</v>
      </c>
      <c r="HD402" t="s">
        <v>845</v>
      </c>
      <c r="HE402" t="s">
        <v>836</v>
      </c>
      <c r="HF402" t="s">
        <v>873</v>
      </c>
      <c r="HG402" t="s">
        <v>894</v>
      </c>
      <c r="HH402" t="s">
        <v>895</v>
      </c>
      <c r="HI402" t="s">
        <v>845</v>
      </c>
      <c r="HJ402" t="s">
        <v>836</v>
      </c>
      <c r="HK402" t="s">
        <v>873</v>
      </c>
      <c r="HL402" t="s">
        <v>3701</v>
      </c>
      <c r="HM402" t="s">
        <v>854</v>
      </c>
      <c r="HN402">
        <v>36805</v>
      </c>
      <c r="HP402" t="s">
        <v>246</v>
      </c>
      <c r="HQ402" t="s">
        <v>896</v>
      </c>
      <c r="HR402" t="s">
        <v>896</v>
      </c>
      <c r="HS402" t="s">
        <v>896</v>
      </c>
    </row>
    <row r="403" spans="1:227" x14ac:dyDescent="0.2">
      <c r="A403">
        <v>8702</v>
      </c>
      <c r="B403">
        <v>7606303431</v>
      </c>
      <c r="C403">
        <v>36</v>
      </c>
      <c r="D403" t="s">
        <v>1302</v>
      </c>
      <c r="E403" t="s">
        <v>897</v>
      </c>
      <c r="F403">
        <v>2</v>
      </c>
      <c r="G403" t="s">
        <v>8540</v>
      </c>
      <c r="H403" t="s">
        <v>8540</v>
      </c>
      <c r="I403">
        <v>0</v>
      </c>
      <c r="J403" t="s">
        <v>833</v>
      </c>
      <c r="K403" t="s">
        <v>834</v>
      </c>
      <c r="L403">
        <v>153524586</v>
      </c>
      <c r="M403" t="s">
        <v>6999</v>
      </c>
      <c r="N403" t="s">
        <v>900</v>
      </c>
      <c r="O403" t="s">
        <v>837</v>
      </c>
      <c r="P403" t="s">
        <v>1302</v>
      </c>
      <c r="Q403" t="s">
        <v>1305</v>
      </c>
      <c r="R403" t="s">
        <v>8541</v>
      </c>
      <c r="S403" t="s">
        <v>8542</v>
      </c>
      <c r="T403">
        <v>41477124629</v>
      </c>
      <c r="V403" t="s">
        <v>1282</v>
      </c>
      <c r="W403" s="41">
        <v>46086</v>
      </c>
      <c r="X403" t="s">
        <v>8543</v>
      </c>
      <c r="Y403" t="s">
        <v>8544</v>
      </c>
      <c r="Z403" t="s">
        <v>8545</v>
      </c>
      <c r="AA403">
        <v>0</v>
      </c>
      <c r="AB403" t="s">
        <v>845</v>
      </c>
      <c r="AC403" t="s">
        <v>846</v>
      </c>
      <c r="AD403" t="s">
        <v>1113</v>
      </c>
      <c r="AE403" t="s">
        <v>1114</v>
      </c>
      <c r="AF403">
        <v>1</v>
      </c>
      <c r="AG403">
        <v>452210</v>
      </c>
      <c r="AH403" t="s">
        <v>849</v>
      </c>
      <c r="AI403" t="s">
        <v>850</v>
      </c>
      <c r="AJ403" t="s">
        <v>851</v>
      </c>
      <c r="AK403" t="s">
        <v>269</v>
      </c>
      <c r="AL403" t="s">
        <v>2928</v>
      </c>
      <c r="AM403" t="s">
        <v>1286</v>
      </c>
      <c r="AN403" t="s">
        <v>854</v>
      </c>
      <c r="AO403">
        <v>36805</v>
      </c>
      <c r="AP403">
        <v>497</v>
      </c>
      <c r="AQ403" t="s">
        <v>855</v>
      </c>
      <c r="AR403">
        <v>66361638</v>
      </c>
      <c r="AS403" t="s">
        <v>856</v>
      </c>
      <c r="AU403" t="s">
        <v>8546</v>
      </c>
      <c r="AV403" t="s">
        <v>8547</v>
      </c>
      <c r="AX403" t="s">
        <v>913</v>
      </c>
      <c r="AY403" t="s">
        <v>861</v>
      </c>
      <c r="AZ403" t="s">
        <v>269</v>
      </c>
      <c r="BA403" t="s">
        <v>270</v>
      </c>
      <c r="BB403">
        <v>1</v>
      </c>
      <c r="BC403">
        <v>0</v>
      </c>
      <c r="BD403">
        <v>0</v>
      </c>
      <c r="BE403" t="s">
        <v>6999</v>
      </c>
      <c r="BF403">
        <v>0</v>
      </c>
      <c r="BG403">
        <v>0</v>
      </c>
      <c r="BH403" t="s">
        <v>862</v>
      </c>
      <c r="BI403">
        <v>0</v>
      </c>
      <c r="BJ403" t="s">
        <v>862</v>
      </c>
      <c r="BK403">
        <v>1</v>
      </c>
      <c r="BL403">
        <v>1</v>
      </c>
      <c r="BM403">
        <v>0</v>
      </c>
      <c r="BN403" t="s">
        <v>596</v>
      </c>
      <c r="BO403">
        <v>153524586</v>
      </c>
      <c r="BP403" t="s">
        <v>8540</v>
      </c>
      <c r="BR403">
        <v>42791323</v>
      </c>
      <c r="BT403">
        <v>1</v>
      </c>
      <c r="BU403" t="s">
        <v>1715</v>
      </c>
      <c r="CI403">
        <v>11</v>
      </c>
      <c r="CJ403" t="s">
        <v>94</v>
      </c>
      <c r="CM403">
        <v>4010</v>
      </c>
      <c r="CO403">
        <v>7360</v>
      </c>
      <c r="CP403">
        <v>2.7332999999999998</v>
      </c>
      <c r="CQ403">
        <v>2.7332999999999998</v>
      </c>
      <c r="CR403">
        <v>3.1667000000000001</v>
      </c>
      <c r="CS403">
        <v>0</v>
      </c>
      <c r="CT403" t="s">
        <v>8548</v>
      </c>
      <c r="CU403" t="s">
        <v>8549</v>
      </c>
      <c r="CV403" t="s">
        <v>833</v>
      </c>
      <c r="CW403" t="s">
        <v>834</v>
      </c>
      <c r="CX403" t="s">
        <v>6999</v>
      </c>
      <c r="CY403">
        <v>1</v>
      </c>
      <c r="CZ403">
        <v>1</v>
      </c>
      <c r="DA403" t="s">
        <v>833</v>
      </c>
      <c r="DB403" t="s">
        <v>865</v>
      </c>
      <c r="DC403">
        <v>15236</v>
      </c>
      <c r="DD403">
        <v>17.133299999999998</v>
      </c>
      <c r="DE403" t="s">
        <v>866</v>
      </c>
      <c r="DG403" t="s">
        <v>867</v>
      </c>
      <c r="DH403" t="s">
        <v>851</v>
      </c>
      <c r="DI403" t="s">
        <v>1266</v>
      </c>
      <c r="DK403" t="s">
        <v>918</v>
      </c>
      <c r="DL403" t="s">
        <v>869</v>
      </c>
      <c r="DM403">
        <v>0</v>
      </c>
      <c r="DN403">
        <v>0</v>
      </c>
      <c r="DO403">
        <v>11</v>
      </c>
      <c r="DP403" t="s">
        <v>1010</v>
      </c>
      <c r="DQ403">
        <v>0</v>
      </c>
      <c r="DR403">
        <v>1028</v>
      </c>
      <c r="DS403">
        <v>1748</v>
      </c>
      <c r="DT403">
        <v>4.3666999999999998</v>
      </c>
      <c r="DU403">
        <v>0</v>
      </c>
      <c r="DV403">
        <v>1</v>
      </c>
      <c r="DW403">
        <v>2</v>
      </c>
      <c r="DX403" t="s">
        <v>596</v>
      </c>
      <c r="DY403" t="s">
        <v>6999</v>
      </c>
      <c r="DZ403">
        <v>1</v>
      </c>
      <c r="EA403">
        <v>1</v>
      </c>
      <c r="EB403">
        <v>1</v>
      </c>
      <c r="EC403">
        <v>1</v>
      </c>
      <c r="ED403">
        <v>1</v>
      </c>
      <c r="EE403">
        <v>1</v>
      </c>
      <c r="EF403" t="s">
        <v>920</v>
      </c>
      <c r="EG403" t="s">
        <v>595</v>
      </c>
      <c r="EH403" t="s">
        <v>921</v>
      </c>
      <c r="EI403" t="s">
        <v>921</v>
      </c>
      <c r="EJ403" t="s">
        <v>124</v>
      </c>
      <c r="EK403">
        <v>9090</v>
      </c>
      <c r="EL403">
        <v>1</v>
      </c>
      <c r="EM403" t="s">
        <v>923</v>
      </c>
      <c r="EN403">
        <v>3.1667000000000001</v>
      </c>
      <c r="EO403">
        <v>29.1333333</v>
      </c>
      <c r="EP403">
        <v>99991120</v>
      </c>
      <c r="EQ403" t="s">
        <v>874</v>
      </c>
      <c r="ER403" t="s">
        <v>875</v>
      </c>
      <c r="ES403" t="s">
        <v>876</v>
      </c>
      <c r="ET403" t="s">
        <v>877</v>
      </c>
      <c r="EU403" t="s">
        <v>877</v>
      </c>
      <c r="EV403" t="s">
        <v>920</v>
      </c>
      <c r="EX403" t="s">
        <v>953</v>
      </c>
      <c r="EY403" t="s">
        <v>1292</v>
      </c>
      <c r="EZ403" t="s">
        <v>1293</v>
      </c>
      <c r="FA403" t="s">
        <v>925</v>
      </c>
      <c r="FB403">
        <v>1</v>
      </c>
      <c r="FC403">
        <v>2</v>
      </c>
      <c r="FD403" s="41">
        <v>46088</v>
      </c>
      <c r="FE403" t="s">
        <v>1719</v>
      </c>
      <c r="FF403">
        <v>7</v>
      </c>
      <c r="FG403" t="s">
        <v>8550</v>
      </c>
      <c r="FH403" t="s">
        <v>8551</v>
      </c>
      <c r="FI403">
        <v>1</v>
      </c>
      <c r="FJ403" t="s">
        <v>8552</v>
      </c>
      <c r="FK403" t="s">
        <v>8553</v>
      </c>
      <c r="FL403">
        <v>1</v>
      </c>
      <c r="FM403" t="s">
        <v>8554</v>
      </c>
      <c r="FN403" t="s">
        <v>8555</v>
      </c>
      <c r="FO403">
        <v>1</v>
      </c>
      <c r="FP403" t="s">
        <v>8556</v>
      </c>
      <c r="FQ403" t="s">
        <v>8549</v>
      </c>
      <c r="FR403">
        <v>1</v>
      </c>
      <c r="FS403" t="s">
        <v>2938</v>
      </c>
      <c r="FT403" t="s">
        <v>8557</v>
      </c>
      <c r="FU403">
        <v>1</v>
      </c>
      <c r="FV403" t="s">
        <v>8558</v>
      </c>
      <c r="FW403" t="s">
        <v>8559</v>
      </c>
      <c r="FX403">
        <v>1</v>
      </c>
      <c r="FY403" t="s">
        <v>890</v>
      </c>
      <c r="FZ403" t="s">
        <v>8560</v>
      </c>
      <c r="GA403" t="s">
        <v>8552</v>
      </c>
      <c r="GB403">
        <v>1</v>
      </c>
      <c r="GD403">
        <v>0</v>
      </c>
      <c r="GF403">
        <v>0</v>
      </c>
      <c r="GG403">
        <v>1</v>
      </c>
      <c r="GH403" t="s">
        <v>892</v>
      </c>
      <c r="GI403" t="s">
        <v>893</v>
      </c>
      <c r="GJ403" t="s">
        <v>8553</v>
      </c>
      <c r="GM403">
        <v>1</v>
      </c>
      <c r="GN403">
        <v>0</v>
      </c>
      <c r="GO403">
        <v>0</v>
      </c>
      <c r="GP403">
        <v>1</v>
      </c>
      <c r="GQ403">
        <v>1</v>
      </c>
      <c r="GR403">
        <v>0</v>
      </c>
      <c r="GS403">
        <v>1</v>
      </c>
      <c r="GT403">
        <v>0</v>
      </c>
      <c r="GU403">
        <v>1</v>
      </c>
      <c r="GV403">
        <v>0</v>
      </c>
      <c r="GW403">
        <v>1</v>
      </c>
      <c r="GX403">
        <v>0</v>
      </c>
      <c r="GY403">
        <v>1</v>
      </c>
      <c r="GZ403">
        <v>0</v>
      </c>
      <c r="HA403" t="s">
        <v>269</v>
      </c>
      <c r="HB403" t="s">
        <v>894</v>
      </c>
      <c r="HC403" t="s">
        <v>935</v>
      </c>
      <c r="HD403" t="s">
        <v>845</v>
      </c>
      <c r="HE403" t="s">
        <v>900</v>
      </c>
      <c r="HF403" t="s">
        <v>923</v>
      </c>
      <c r="HG403" t="s">
        <v>894</v>
      </c>
      <c r="HH403" t="s">
        <v>935</v>
      </c>
      <c r="HI403" t="s">
        <v>845</v>
      </c>
      <c r="HJ403" t="s">
        <v>900</v>
      </c>
      <c r="HK403" t="s">
        <v>923</v>
      </c>
      <c r="HL403" t="s">
        <v>1282</v>
      </c>
      <c r="HM403" t="s">
        <v>854</v>
      </c>
      <c r="HN403">
        <v>36805</v>
      </c>
      <c r="HO403">
        <v>1</v>
      </c>
      <c r="HP403" t="s">
        <v>124</v>
      </c>
      <c r="HQ403" t="s">
        <v>896</v>
      </c>
      <c r="HR403" t="s">
        <v>896</v>
      </c>
      <c r="HS403" t="s">
        <v>896</v>
      </c>
    </row>
    <row r="404" spans="1:227" x14ac:dyDescent="0.2">
      <c r="A404">
        <v>8702</v>
      </c>
      <c r="B404">
        <v>7604201135</v>
      </c>
      <c r="C404" t="s">
        <v>829</v>
      </c>
      <c r="D404" t="s">
        <v>830</v>
      </c>
      <c r="E404" t="s">
        <v>897</v>
      </c>
      <c r="F404">
        <v>1</v>
      </c>
      <c r="G404" t="s">
        <v>8561</v>
      </c>
      <c r="H404" t="s">
        <v>8561</v>
      </c>
      <c r="I404">
        <v>0</v>
      </c>
      <c r="J404" t="s">
        <v>833</v>
      </c>
      <c r="K404" t="s">
        <v>834</v>
      </c>
      <c r="L404">
        <v>153517098</v>
      </c>
      <c r="M404" t="s">
        <v>8562</v>
      </c>
      <c r="N404" t="s">
        <v>900</v>
      </c>
      <c r="O404" t="s">
        <v>837</v>
      </c>
      <c r="P404" t="s">
        <v>838</v>
      </c>
      <c r="Q404" t="s">
        <v>901</v>
      </c>
      <c r="R404" t="s">
        <v>8563</v>
      </c>
      <c r="S404" t="s">
        <v>8564</v>
      </c>
      <c r="T404">
        <v>41477061773</v>
      </c>
      <c r="V404" t="s">
        <v>138</v>
      </c>
      <c r="W404" s="41">
        <v>46064</v>
      </c>
      <c r="X404" t="s">
        <v>8565</v>
      </c>
      <c r="Y404" t="s">
        <v>8566</v>
      </c>
      <c r="AA404">
        <v>0</v>
      </c>
      <c r="AB404" t="s">
        <v>845</v>
      </c>
      <c r="AC404" t="s">
        <v>846</v>
      </c>
      <c r="AD404" t="s">
        <v>1113</v>
      </c>
      <c r="AE404" t="s">
        <v>1114</v>
      </c>
      <c r="AF404">
        <v>1</v>
      </c>
      <c r="AG404">
        <v>452210</v>
      </c>
      <c r="AH404" t="s">
        <v>849</v>
      </c>
      <c r="AI404" t="s">
        <v>850</v>
      </c>
      <c r="AJ404" t="s">
        <v>851</v>
      </c>
      <c r="AK404" t="s">
        <v>293</v>
      </c>
      <c r="AL404" t="s">
        <v>1574</v>
      </c>
      <c r="AM404" t="s">
        <v>1575</v>
      </c>
      <c r="AN404" t="s">
        <v>854</v>
      </c>
      <c r="AO404">
        <v>36805</v>
      </c>
      <c r="AP404">
        <v>524</v>
      </c>
      <c r="AQ404" t="s">
        <v>855</v>
      </c>
      <c r="AR404">
        <v>66330215</v>
      </c>
      <c r="AS404" t="s">
        <v>856</v>
      </c>
      <c r="AU404" t="s">
        <v>8567</v>
      </c>
      <c r="AV404" t="s">
        <v>8568</v>
      </c>
      <c r="AX404" t="s">
        <v>913</v>
      </c>
      <c r="AY404" t="s">
        <v>861</v>
      </c>
      <c r="AZ404" t="s">
        <v>293</v>
      </c>
      <c r="BA404" t="s">
        <v>294</v>
      </c>
      <c r="BB404">
        <v>0</v>
      </c>
      <c r="BC404">
        <v>0</v>
      </c>
      <c r="BD404">
        <v>0</v>
      </c>
      <c r="BE404" t="s">
        <v>8562</v>
      </c>
      <c r="BF404">
        <v>0</v>
      </c>
      <c r="BG404">
        <v>0</v>
      </c>
      <c r="BH404" t="s">
        <v>862</v>
      </c>
      <c r="BI404">
        <v>0</v>
      </c>
      <c r="BJ404" t="s">
        <v>862</v>
      </c>
      <c r="BK404">
        <v>1</v>
      </c>
      <c r="BL404">
        <v>1</v>
      </c>
      <c r="BM404">
        <v>0</v>
      </c>
      <c r="BN404" t="s">
        <v>596</v>
      </c>
      <c r="BO404">
        <v>153517098</v>
      </c>
      <c r="BP404" t="s">
        <v>8561</v>
      </c>
      <c r="BQ404">
        <v>41.116832700000003</v>
      </c>
      <c r="BR404">
        <v>42791434</v>
      </c>
      <c r="BS404">
        <v>-85.134630299999998</v>
      </c>
      <c r="BT404">
        <v>2</v>
      </c>
      <c r="BU404" t="s">
        <v>1780</v>
      </c>
      <c r="CE404">
        <v>1</v>
      </c>
      <c r="CI404">
        <v>11</v>
      </c>
      <c r="CJ404" t="s">
        <v>94</v>
      </c>
      <c r="CM404">
        <v>4010</v>
      </c>
      <c r="CO404">
        <v>7360</v>
      </c>
      <c r="CP404">
        <v>1.0667</v>
      </c>
      <c r="CQ404">
        <v>1.0667</v>
      </c>
      <c r="CR404">
        <v>0.76670000000000005</v>
      </c>
      <c r="CS404">
        <v>3</v>
      </c>
      <c r="CT404" t="s">
        <v>8569</v>
      </c>
      <c r="CU404" t="s">
        <v>8570</v>
      </c>
      <c r="CV404" t="s">
        <v>833</v>
      </c>
      <c r="CW404" t="s">
        <v>834</v>
      </c>
      <c r="CX404" t="s">
        <v>8562</v>
      </c>
      <c r="CY404">
        <v>0</v>
      </c>
      <c r="CZ404">
        <v>0</v>
      </c>
      <c r="DA404" t="s">
        <v>833</v>
      </c>
      <c r="DB404" t="s">
        <v>865</v>
      </c>
      <c r="DC404">
        <v>46805</v>
      </c>
      <c r="DD404">
        <v>2.0832999999999999</v>
      </c>
      <c r="DE404" t="s">
        <v>866</v>
      </c>
      <c r="DG404" t="s">
        <v>867</v>
      </c>
      <c r="DH404" t="s">
        <v>851</v>
      </c>
      <c r="DI404" t="s">
        <v>3967</v>
      </c>
      <c r="DK404" t="s">
        <v>918</v>
      </c>
      <c r="DL404" t="s">
        <v>869</v>
      </c>
      <c r="DM404">
        <v>0</v>
      </c>
      <c r="DN404">
        <v>0</v>
      </c>
      <c r="DO404">
        <v>3</v>
      </c>
      <c r="DP404" t="s">
        <v>919</v>
      </c>
      <c r="DQ404">
        <v>0</v>
      </c>
      <c r="DR404">
        <v>125</v>
      </c>
      <c r="DS404">
        <v>125</v>
      </c>
      <c r="DT404">
        <v>1.0166999999999999</v>
      </c>
      <c r="DU404">
        <v>0</v>
      </c>
      <c r="DV404">
        <v>1</v>
      </c>
      <c r="DW404">
        <v>2</v>
      </c>
      <c r="DX404" t="s">
        <v>596</v>
      </c>
      <c r="DY404" t="s">
        <v>8562</v>
      </c>
      <c r="DZ404">
        <v>1</v>
      </c>
      <c r="EA404">
        <v>1</v>
      </c>
      <c r="EB404">
        <v>1</v>
      </c>
      <c r="EC404">
        <v>1</v>
      </c>
      <c r="ED404">
        <v>1</v>
      </c>
      <c r="EE404">
        <v>1</v>
      </c>
      <c r="EF404" t="s">
        <v>920</v>
      </c>
      <c r="EG404" t="s">
        <v>595</v>
      </c>
      <c r="EH404" t="s">
        <v>921</v>
      </c>
      <c r="EI404" t="s">
        <v>921</v>
      </c>
      <c r="EJ404" t="s">
        <v>134</v>
      </c>
      <c r="EK404">
        <v>9090</v>
      </c>
      <c r="EL404">
        <v>0</v>
      </c>
      <c r="EM404" t="s">
        <v>1011</v>
      </c>
      <c r="EN404">
        <v>0.76670000000000005</v>
      </c>
      <c r="EO404">
        <v>2.0833333000000001</v>
      </c>
      <c r="EP404">
        <v>99991120</v>
      </c>
      <c r="EQ404" t="s">
        <v>874</v>
      </c>
      <c r="ER404" t="s">
        <v>875</v>
      </c>
      <c r="ES404" t="s">
        <v>876</v>
      </c>
      <c r="ET404" t="s">
        <v>877</v>
      </c>
      <c r="EU404" t="s">
        <v>877</v>
      </c>
      <c r="EV404" t="s">
        <v>920</v>
      </c>
      <c r="EX404" t="s">
        <v>953</v>
      </c>
      <c r="EY404" t="s">
        <v>1555</v>
      </c>
      <c r="EZ404" t="s">
        <v>1578</v>
      </c>
      <c r="FA404" t="s">
        <v>879</v>
      </c>
      <c r="FB404">
        <v>1</v>
      </c>
      <c r="FC404">
        <v>1</v>
      </c>
      <c r="FD404" s="41">
        <v>46067</v>
      </c>
      <c r="FE404" t="s">
        <v>1267</v>
      </c>
      <c r="FF404">
        <v>4</v>
      </c>
      <c r="FI404">
        <v>0</v>
      </c>
      <c r="FL404">
        <v>0</v>
      </c>
      <c r="FM404" t="s">
        <v>8571</v>
      </c>
      <c r="FN404" t="s">
        <v>8572</v>
      </c>
      <c r="FO404">
        <v>1</v>
      </c>
      <c r="FP404" t="s">
        <v>1632</v>
      </c>
      <c r="FQ404" t="s">
        <v>8570</v>
      </c>
      <c r="FR404">
        <v>1</v>
      </c>
      <c r="FS404" t="s">
        <v>2171</v>
      </c>
      <c r="FT404" t="s">
        <v>8573</v>
      </c>
      <c r="FU404">
        <v>1</v>
      </c>
      <c r="FV404" t="s">
        <v>8574</v>
      </c>
      <c r="FW404" t="s">
        <v>8575</v>
      </c>
      <c r="FX404">
        <v>1</v>
      </c>
      <c r="FY404" t="s">
        <v>890</v>
      </c>
      <c r="FZ404" t="s">
        <v>8576</v>
      </c>
      <c r="GA404" t="s">
        <v>8574</v>
      </c>
      <c r="GB404">
        <v>1</v>
      </c>
      <c r="GD404">
        <v>0</v>
      </c>
      <c r="GF404">
        <v>0</v>
      </c>
      <c r="GG404">
        <v>1</v>
      </c>
      <c r="GH404" t="s">
        <v>892</v>
      </c>
      <c r="GI404" t="s">
        <v>893</v>
      </c>
      <c r="GJ404" t="s">
        <v>8575</v>
      </c>
      <c r="GM404">
        <v>1</v>
      </c>
      <c r="GN404">
        <v>1</v>
      </c>
      <c r="GO404">
        <v>0</v>
      </c>
      <c r="GP404">
        <v>1</v>
      </c>
      <c r="GQ404">
        <v>1</v>
      </c>
      <c r="GR404">
        <v>0</v>
      </c>
      <c r="GS404">
        <v>1</v>
      </c>
      <c r="GT404">
        <v>0</v>
      </c>
      <c r="GU404">
        <v>1</v>
      </c>
      <c r="GV404">
        <v>0</v>
      </c>
      <c r="GW404">
        <v>1</v>
      </c>
      <c r="GX404">
        <v>0</v>
      </c>
      <c r="GY404">
        <v>1</v>
      </c>
      <c r="GZ404">
        <v>0</v>
      </c>
      <c r="HA404" t="s">
        <v>293</v>
      </c>
      <c r="HB404" t="s">
        <v>894</v>
      </c>
      <c r="HC404" t="s">
        <v>935</v>
      </c>
      <c r="HD404" t="s">
        <v>845</v>
      </c>
      <c r="HE404" t="s">
        <v>900</v>
      </c>
      <c r="HF404" t="s">
        <v>1012</v>
      </c>
      <c r="HG404" t="s">
        <v>894</v>
      </c>
      <c r="HH404" t="s">
        <v>935</v>
      </c>
      <c r="HI404" t="s">
        <v>845</v>
      </c>
      <c r="HJ404" t="s">
        <v>900</v>
      </c>
      <c r="HK404" t="s">
        <v>1011</v>
      </c>
      <c r="HL404" t="s">
        <v>138</v>
      </c>
      <c r="HM404" t="s">
        <v>854</v>
      </c>
      <c r="HN404">
        <v>36805</v>
      </c>
      <c r="HP404" t="s">
        <v>134</v>
      </c>
      <c r="HQ404" t="s">
        <v>896</v>
      </c>
      <c r="HR404" t="s">
        <v>896</v>
      </c>
      <c r="HS404" t="s">
        <v>896</v>
      </c>
    </row>
    <row r="405" spans="1:227" x14ac:dyDescent="0.2">
      <c r="A405">
        <v>8702</v>
      </c>
      <c r="B405">
        <v>7615412985</v>
      </c>
      <c r="C405" t="s">
        <v>936</v>
      </c>
      <c r="D405" t="s">
        <v>937</v>
      </c>
      <c r="E405" t="s">
        <v>897</v>
      </c>
      <c r="F405">
        <v>0</v>
      </c>
      <c r="G405" t="s">
        <v>8577</v>
      </c>
      <c r="H405" t="s">
        <v>8577</v>
      </c>
      <c r="I405">
        <v>0</v>
      </c>
      <c r="J405" t="s">
        <v>833</v>
      </c>
      <c r="K405" t="s">
        <v>834</v>
      </c>
      <c r="L405">
        <v>152949062</v>
      </c>
      <c r="M405" t="s">
        <v>1613</v>
      </c>
      <c r="N405" t="s">
        <v>900</v>
      </c>
      <c r="O405" t="s">
        <v>837</v>
      </c>
      <c r="P405" t="s">
        <v>940</v>
      </c>
      <c r="Q405" t="s">
        <v>2404</v>
      </c>
      <c r="R405" t="s">
        <v>8578</v>
      </c>
      <c r="S405" t="s">
        <v>8579</v>
      </c>
      <c r="T405">
        <v>41477109811</v>
      </c>
      <c r="V405" t="s">
        <v>198</v>
      </c>
      <c r="W405" s="41">
        <v>46176</v>
      </c>
      <c r="X405" t="s">
        <v>8580</v>
      </c>
      <c r="Y405" t="s">
        <v>8581</v>
      </c>
      <c r="AA405">
        <v>0</v>
      </c>
      <c r="AB405" t="s">
        <v>845</v>
      </c>
      <c r="AC405" t="s">
        <v>846</v>
      </c>
      <c r="AD405" t="s">
        <v>907</v>
      </c>
      <c r="AE405" t="s">
        <v>908</v>
      </c>
      <c r="AF405">
        <v>1</v>
      </c>
      <c r="AG405">
        <v>452210</v>
      </c>
      <c r="AH405" t="s">
        <v>849</v>
      </c>
      <c r="AI405" t="s">
        <v>850</v>
      </c>
      <c r="AJ405" t="s">
        <v>851</v>
      </c>
      <c r="AK405" t="s">
        <v>328</v>
      </c>
      <c r="AL405" t="s">
        <v>4788</v>
      </c>
      <c r="AM405" t="s">
        <v>1619</v>
      </c>
      <c r="AN405" t="s">
        <v>854</v>
      </c>
      <c r="AO405">
        <v>36805</v>
      </c>
      <c r="AP405">
        <v>640</v>
      </c>
      <c r="AQ405" t="s">
        <v>855</v>
      </c>
      <c r="AR405">
        <v>66491492</v>
      </c>
      <c r="AS405" t="s">
        <v>856</v>
      </c>
      <c r="AU405" t="s">
        <v>8582</v>
      </c>
      <c r="AV405" t="s">
        <v>8583</v>
      </c>
      <c r="AX405" t="s">
        <v>913</v>
      </c>
      <c r="AY405" t="s">
        <v>861</v>
      </c>
      <c r="AZ405" t="s">
        <v>328</v>
      </c>
      <c r="BA405" t="s">
        <v>329</v>
      </c>
      <c r="BB405">
        <v>0</v>
      </c>
      <c r="BC405">
        <v>0</v>
      </c>
      <c r="BD405">
        <v>0</v>
      </c>
      <c r="BE405" t="s">
        <v>1613</v>
      </c>
      <c r="BF405">
        <v>0</v>
      </c>
      <c r="BG405">
        <v>0</v>
      </c>
      <c r="BH405" t="s">
        <v>862</v>
      </c>
      <c r="BI405">
        <v>0</v>
      </c>
      <c r="BJ405" t="s">
        <v>862</v>
      </c>
      <c r="BK405">
        <v>1</v>
      </c>
      <c r="BL405">
        <v>1</v>
      </c>
      <c r="BM405">
        <v>0</v>
      </c>
      <c r="BN405" t="s">
        <v>596</v>
      </c>
      <c r="BO405">
        <v>152949062</v>
      </c>
      <c r="BP405" t="s">
        <v>8577</v>
      </c>
      <c r="BR405">
        <v>42791772</v>
      </c>
      <c r="BT405">
        <v>2</v>
      </c>
      <c r="BU405" t="s">
        <v>1314</v>
      </c>
      <c r="BY405">
        <v>16</v>
      </c>
      <c r="CA405">
        <v>3</v>
      </c>
      <c r="CE405">
        <v>1</v>
      </c>
      <c r="CI405">
        <v>11</v>
      </c>
      <c r="CJ405" t="s">
        <v>94</v>
      </c>
      <c r="CM405">
        <v>4010</v>
      </c>
      <c r="CO405">
        <v>7360</v>
      </c>
      <c r="CP405">
        <v>0.61670000000000003</v>
      </c>
      <c r="CQ405">
        <v>0.61670000000000003</v>
      </c>
      <c r="CR405">
        <v>0.51670000000000005</v>
      </c>
      <c r="CS405">
        <v>1</v>
      </c>
      <c r="CT405" t="s">
        <v>8584</v>
      </c>
      <c r="CU405" t="s">
        <v>8585</v>
      </c>
      <c r="CV405" t="s">
        <v>833</v>
      </c>
      <c r="CW405" t="s">
        <v>834</v>
      </c>
      <c r="CX405" t="s">
        <v>1613</v>
      </c>
      <c r="CY405">
        <v>0</v>
      </c>
      <c r="CZ405">
        <v>0</v>
      </c>
      <c r="DA405" t="s">
        <v>833</v>
      </c>
      <c r="DB405" t="s">
        <v>865</v>
      </c>
      <c r="DC405">
        <v>48823</v>
      </c>
      <c r="DD405">
        <v>2.5667</v>
      </c>
      <c r="DE405" t="s">
        <v>866</v>
      </c>
      <c r="DG405" t="s">
        <v>867</v>
      </c>
      <c r="DH405" t="s">
        <v>851</v>
      </c>
      <c r="DI405" t="s">
        <v>1624</v>
      </c>
      <c r="DK405" t="s">
        <v>918</v>
      </c>
      <c r="DL405" t="s">
        <v>869</v>
      </c>
      <c r="DM405">
        <v>0</v>
      </c>
      <c r="DN405">
        <v>0</v>
      </c>
      <c r="DO405">
        <v>2</v>
      </c>
      <c r="DP405" t="s">
        <v>870</v>
      </c>
      <c r="DQ405">
        <v>16</v>
      </c>
      <c r="DR405">
        <v>154</v>
      </c>
      <c r="DS405">
        <v>154</v>
      </c>
      <c r="DT405">
        <v>1.95</v>
      </c>
      <c r="DU405">
        <v>4</v>
      </c>
      <c r="DV405">
        <v>1</v>
      </c>
      <c r="DW405">
        <v>2</v>
      </c>
      <c r="DX405" t="s">
        <v>596</v>
      </c>
      <c r="DY405" t="s">
        <v>1613</v>
      </c>
      <c r="DZ405">
        <v>1</v>
      </c>
      <c r="EA405">
        <v>1</v>
      </c>
      <c r="EB405">
        <v>1</v>
      </c>
      <c r="EC405">
        <v>1</v>
      </c>
      <c r="ED405">
        <v>1</v>
      </c>
      <c r="EE405">
        <v>1</v>
      </c>
      <c r="EF405" t="s">
        <v>920</v>
      </c>
      <c r="EG405" t="s">
        <v>595</v>
      </c>
      <c r="EH405" t="s">
        <v>921</v>
      </c>
      <c r="EI405" t="s">
        <v>921</v>
      </c>
      <c r="EJ405" t="s">
        <v>178</v>
      </c>
      <c r="EK405">
        <v>9090</v>
      </c>
      <c r="EL405">
        <v>0</v>
      </c>
      <c r="EM405" t="s">
        <v>922</v>
      </c>
      <c r="EN405">
        <v>0.51670000000000005</v>
      </c>
      <c r="EO405">
        <v>2.5666666999999999</v>
      </c>
      <c r="EP405">
        <v>99991120</v>
      </c>
      <c r="EQ405" t="s">
        <v>874</v>
      </c>
      <c r="ER405" t="s">
        <v>875</v>
      </c>
      <c r="ES405" t="s">
        <v>876</v>
      </c>
      <c r="ET405" t="s">
        <v>877</v>
      </c>
      <c r="EU405" t="s">
        <v>877</v>
      </c>
      <c r="EV405" t="s">
        <v>920</v>
      </c>
      <c r="EX405" t="s">
        <v>900</v>
      </c>
      <c r="EY405" t="s">
        <v>923</v>
      </c>
      <c r="EZ405" t="s">
        <v>1625</v>
      </c>
      <c r="FA405" t="s">
        <v>879</v>
      </c>
      <c r="FB405">
        <v>1</v>
      </c>
      <c r="FC405">
        <v>1</v>
      </c>
      <c r="FD405" s="41">
        <v>46179</v>
      </c>
      <c r="FE405" t="s">
        <v>1315</v>
      </c>
      <c r="FF405">
        <v>4</v>
      </c>
      <c r="FI405">
        <v>0</v>
      </c>
      <c r="FL405">
        <v>0</v>
      </c>
      <c r="FM405" t="s">
        <v>8586</v>
      </c>
      <c r="FN405" t="s">
        <v>8587</v>
      </c>
      <c r="FO405">
        <v>1</v>
      </c>
      <c r="FP405" t="s">
        <v>8588</v>
      </c>
      <c r="FQ405" t="s">
        <v>8585</v>
      </c>
      <c r="FR405">
        <v>1</v>
      </c>
      <c r="FS405" t="s">
        <v>1633</v>
      </c>
      <c r="FT405" t="s">
        <v>8589</v>
      </c>
      <c r="FU405">
        <v>1</v>
      </c>
      <c r="FV405" t="s">
        <v>8590</v>
      </c>
      <c r="FW405" t="s">
        <v>8591</v>
      </c>
      <c r="FX405">
        <v>1</v>
      </c>
      <c r="FY405" t="s">
        <v>890</v>
      </c>
      <c r="FZ405" t="s">
        <v>8592</v>
      </c>
      <c r="GA405" t="s">
        <v>8590</v>
      </c>
      <c r="GB405">
        <v>1</v>
      </c>
      <c r="GD405">
        <v>0</v>
      </c>
      <c r="GF405">
        <v>0</v>
      </c>
      <c r="GG405">
        <v>1</v>
      </c>
      <c r="GH405" t="s">
        <v>892</v>
      </c>
      <c r="GI405" t="s">
        <v>893</v>
      </c>
      <c r="GJ405" t="s">
        <v>8591</v>
      </c>
      <c r="GM405">
        <v>1</v>
      </c>
      <c r="GN405">
        <v>1</v>
      </c>
      <c r="GO405">
        <v>0</v>
      </c>
      <c r="GP405">
        <v>1</v>
      </c>
      <c r="GQ405">
        <v>1</v>
      </c>
      <c r="GR405">
        <v>0</v>
      </c>
      <c r="GS405">
        <v>1</v>
      </c>
      <c r="GT405">
        <v>0</v>
      </c>
      <c r="GU405">
        <v>1</v>
      </c>
      <c r="GV405">
        <v>0</v>
      </c>
      <c r="GW405">
        <v>1</v>
      </c>
      <c r="GX405">
        <v>0</v>
      </c>
      <c r="GY405">
        <v>1</v>
      </c>
      <c r="GZ405">
        <v>0</v>
      </c>
      <c r="HA405" t="s">
        <v>328</v>
      </c>
      <c r="HB405" t="s">
        <v>894</v>
      </c>
      <c r="HC405" t="s">
        <v>935</v>
      </c>
      <c r="HD405" t="s">
        <v>845</v>
      </c>
      <c r="HE405" t="s">
        <v>900</v>
      </c>
      <c r="HF405" t="s">
        <v>923</v>
      </c>
      <c r="HG405" t="s">
        <v>894</v>
      </c>
      <c r="HH405" t="s">
        <v>935</v>
      </c>
      <c r="HI405" t="s">
        <v>845</v>
      </c>
      <c r="HJ405" t="s">
        <v>900</v>
      </c>
      <c r="HK405" t="s">
        <v>922</v>
      </c>
      <c r="HL405" t="s">
        <v>198</v>
      </c>
      <c r="HM405" t="s">
        <v>854</v>
      </c>
      <c r="HN405">
        <v>36805</v>
      </c>
      <c r="HP405" t="s">
        <v>178</v>
      </c>
      <c r="HQ405" t="s">
        <v>896</v>
      </c>
      <c r="HR405" t="s">
        <v>896</v>
      </c>
      <c r="HS405" t="s">
        <v>896</v>
      </c>
    </row>
    <row r="406" spans="1:227" x14ac:dyDescent="0.2">
      <c r="A406">
        <v>8702</v>
      </c>
      <c r="B406">
        <v>7608200898</v>
      </c>
      <c r="C406" t="s">
        <v>936</v>
      </c>
      <c r="D406" t="s">
        <v>937</v>
      </c>
      <c r="E406" t="s">
        <v>897</v>
      </c>
      <c r="F406">
        <v>0</v>
      </c>
      <c r="G406" t="s">
        <v>8593</v>
      </c>
      <c r="H406" t="s">
        <v>8593</v>
      </c>
      <c r="I406">
        <v>0</v>
      </c>
      <c r="J406" t="s">
        <v>833</v>
      </c>
      <c r="K406" t="s">
        <v>834</v>
      </c>
      <c r="L406">
        <v>153195488</v>
      </c>
      <c r="M406" t="s">
        <v>3503</v>
      </c>
      <c r="N406" t="s">
        <v>900</v>
      </c>
      <c r="O406" t="s">
        <v>837</v>
      </c>
      <c r="P406" t="s">
        <v>940</v>
      </c>
      <c r="Q406" t="s">
        <v>941</v>
      </c>
      <c r="R406" t="s">
        <v>8594</v>
      </c>
      <c r="S406" t="s">
        <v>8595</v>
      </c>
      <c r="T406">
        <v>41477122128</v>
      </c>
      <c r="V406" t="s">
        <v>142</v>
      </c>
      <c r="W406" s="41">
        <v>46106</v>
      </c>
      <c r="X406" t="s">
        <v>8596</v>
      </c>
      <c r="Y406" t="s">
        <v>8597</v>
      </c>
      <c r="AA406">
        <v>0</v>
      </c>
      <c r="AB406" t="s">
        <v>845</v>
      </c>
      <c r="AC406" t="s">
        <v>846</v>
      </c>
      <c r="AD406" t="s">
        <v>1113</v>
      </c>
      <c r="AE406" t="s">
        <v>1114</v>
      </c>
      <c r="AF406">
        <v>1</v>
      </c>
      <c r="AG406">
        <v>452210</v>
      </c>
      <c r="AH406" t="s">
        <v>849</v>
      </c>
      <c r="AI406" t="s">
        <v>850</v>
      </c>
      <c r="AJ406" t="s">
        <v>851</v>
      </c>
      <c r="AK406" t="s">
        <v>263</v>
      </c>
      <c r="AL406" t="s">
        <v>2230</v>
      </c>
      <c r="AM406" t="s">
        <v>3288</v>
      </c>
      <c r="AN406" t="s">
        <v>854</v>
      </c>
      <c r="AO406">
        <v>36805</v>
      </c>
      <c r="AP406">
        <v>527</v>
      </c>
      <c r="AQ406" t="s">
        <v>855</v>
      </c>
      <c r="AR406">
        <v>66390484</v>
      </c>
      <c r="AS406" t="s">
        <v>856</v>
      </c>
      <c r="AU406" t="s">
        <v>8598</v>
      </c>
      <c r="AV406" t="s">
        <v>8599</v>
      </c>
      <c r="AX406" t="s">
        <v>913</v>
      </c>
      <c r="AY406" t="s">
        <v>861</v>
      </c>
      <c r="AZ406" t="s">
        <v>263</v>
      </c>
      <c r="BA406" t="s">
        <v>264</v>
      </c>
      <c r="BB406">
        <v>0</v>
      </c>
      <c r="BC406">
        <v>1</v>
      </c>
      <c r="BD406">
        <v>0</v>
      </c>
      <c r="BE406" t="s">
        <v>3503</v>
      </c>
      <c r="BF406">
        <v>0</v>
      </c>
      <c r="BG406">
        <v>0</v>
      </c>
      <c r="BH406" t="s">
        <v>862</v>
      </c>
      <c r="BI406">
        <v>0</v>
      </c>
      <c r="BJ406" t="s">
        <v>862</v>
      </c>
      <c r="BK406">
        <v>1</v>
      </c>
      <c r="BL406">
        <v>1</v>
      </c>
      <c r="BM406">
        <v>0</v>
      </c>
      <c r="BN406" t="s">
        <v>596</v>
      </c>
      <c r="BO406">
        <v>153195488</v>
      </c>
      <c r="BP406" t="s">
        <v>8593</v>
      </c>
      <c r="BQ406">
        <v>39.9568206</v>
      </c>
      <c r="BR406">
        <v>42791440</v>
      </c>
      <c r="BS406">
        <v>-85.960814999999997</v>
      </c>
      <c r="BT406">
        <v>0</v>
      </c>
      <c r="BU406" t="s">
        <v>1715</v>
      </c>
      <c r="BY406">
        <v>16</v>
      </c>
      <c r="CA406">
        <v>26</v>
      </c>
      <c r="CE406">
        <v>0</v>
      </c>
      <c r="CI406">
        <v>11</v>
      </c>
      <c r="CJ406" t="s">
        <v>94</v>
      </c>
      <c r="CM406">
        <v>4010</v>
      </c>
      <c r="CO406">
        <v>7360</v>
      </c>
      <c r="CP406">
        <v>0.48330000000000001</v>
      </c>
      <c r="CQ406">
        <v>0.48330000000000001</v>
      </c>
      <c r="CR406">
        <v>0.43330000000000002</v>
      </c>
      <c r="CS406">
        <v>0</v>
      </c>
      <c r="CT406" t="s">
        <v>8599</v>
      </c>
      <c r="CU406" t="s">
        <v>8598</v>
      </c>
      <c r="CV406" t="s">
        <v>833</v>
      </c>
      <c r="CW406" t="s">
        <v>834</v>
      </c>
      <c r="CX406" t="s">
        <v>3503</v>
      </c>
      <c r="CY406">
        <v>1</v>
      </c>
      <c r="CZ406">
        <v>1</v>
      </c>
      <c r="DA406" t="s">
        <v>833</v>
      </c>
      <c r="DB406" t="s">
        <v>865</v>
      </c>
      <c r="DC406">
        <v>46037</v>
      </c>
      <c r="DD406">
        <v>25.633299999999998</v>
      </c>
      <c r="DE406" t="s">
        <v>866</v>
      </c>
      <c r="DG406" t="s">
        <v>867</v>
      </c>
      <c r="DH406" t="s">
        <v>851</v>
      </c>
      <c r="DI406" t="s">
        <v>1189</v>
      </c>
      <c r="DK406" t="s">
        <v>918</v>
      </c>
      <c r="DL406" t="s">
        <v>869</v>
      </c>
      <c r="DM406">
        <v>0</v>
      </c>
      <c r="DN406">
        <v>0</v>
      </c>
      <c r="DO406">
        <v>11</v>
      </c>
      <c r="DP406" t="s">
        <v>1010</v>
      </c>
      <c r="DQ406">
        <v>0</v>
      </c>
      <c r="DR406">
        <v>1538</v>
      </c>
      <c r="DS406">
        <v>2978</v>
      </c>
      <c r="DT406">
        <v>23.2667</v>
      </c>
      <c r="DU406">
        <v>0</v>
      </c>
      <c r="DV406">
        <v>1</v>
      </c>
      <c r="DW406">
        <v>2</v>
      </c>
      <c r="DX406" t="s">
        <v>596</v>
      </c>
      <c r="DY406" t="s">
        <v>3503</v>
      </c>
      <c r="DZ406">
        <v>1</v>
      </c>
      <c r="EA406">
        <v>1</v>
      </c>
      <c r="EB406">
        <v>1</v>
      </c>
      <c r="EC406">
        <v>1</v>
      </c>
      <c r="ED406">
        <v>1</v>
      </c>
      <c r="EE406">
        <v>1</v>
      </c>
      <c r="EF406" t="s">
        <v>920</v>
      </c>
      <c r="EG406" t="s">
        <v>595</v>
      </c>
      <c r="EH406" t="s">
        <v>921</v>
      </c>
      <c r="EI406" t="s">
        <v>921</v>
      </c>
      <c r="EJ406" t="s">
        <v>134</v>
      </c>
      <c r="EK406">
        <v>9090</v>
      </c>
      <c r="EL406">
        <v>1</v>
      </c>
      <c r="EM406" t="s">
        <v>1011</v>
      </c>
      <c r="EN406">
        <v>0.43330000000000002</v>
      </c>
      <c r="EO406">
        <v>49.633333299999997</v>
      </c>
      <c r="EP406">
        <v>99991120</v>
      </c>
      <c r="EQ406" t="s">
        <v>874</v>
      </c>
      <c r="ER406" t="s">
        <v>875</v>
      </c>
      <c r="ES406" t="s">
        <v>876</v>
      </c>
      <c r="ET406" t="s">
        <v>877</v>
      </c>
      <c r="EU406" t="s">
        <v>877</v>
      </c>
      <c r="EV406" t="s">
        <v>920</v>
      </c>
      <c r="EX406" t="s">
        <v>953</v>
      </c>
      <c r="EY406" t="s">
        <v>1555</v>
      </c>
      <c r="EZ406" t="s">
        <v>1013</v>
      </c>
      <c r="FA406" t="s">
        <v>925</v>
      </c>
      <c r="FB406">
        <v>1</v>
      </c>
      <c r="FC406">
        <v>2</v>
      </c>
      <c r="FD406" s="41">
        <v>46109</v>
      </c>
      <c r="FE406" t="s">
        <v>1719</v>
      </c>
      <c r="FF406">
        <v>12</v>
      </c>
      <c r="FG406" t="s">
        <v>8600</v>
      </c>
      <c r="FH406" t="s">
        <v>8601</v>
      </c>
      <c r="FI406">
        <v>1</v>
      </c>
      <c r="FJ406" t="s">
        <v>8602</v>
      </c>
      <c r="FK406" t="s">
        <v>8601</v>
      </c>
      <c r="FL406">
        <v>1</v>
      </c>
      <c r="FM406" t="s">
        <v>3513</v>
      </c>
      <c r="FN406" t="s">
        <v>8603</v>
      </c>
      <c r="FO406">
        <v>1</v>
      </c>
      <c r="FP406" t="s">
        <v>8604</v>
      </c>
      <c r="FQ406" t="s">
        <v>8598</v>
      </c>
      <c r="FR406">
        <v>1</v>
      </c>
      <c r="FS406" t="s">
        <v>1984</v>
      </c>
      <c r="FT406" t="s">
        <v>8605</v>
      </c>
      <c r="FU406">
        <v>1</v>
      </c>
      <c r="FV406" t="s">
        <v>1986</v>
      </c>
      <c r="FW406" t="s">
        <v>8606</v>
      </c>
      <c r="FX406">
        <v>1</v>
      </c>
      <c r="FY406" t="s">
        <v>890</v>
      </c>
      <c r="FZ406" t="s">
        <v>8607</v>
      </c>
      <c r="GA406" t="s">
        <v>8602</v>
      </c>
      <c r="GB406">
        <v>1</v>
      </c>
      <c r="GD406">
        <v>0</v>
      </c>
      <c r="GF406">
        <v>0</v>
      </c>
      <c r="GG406">
        <v>1</v>
      </c>
      <c r="GH406" t="s">
        <v>892</v>
      </c>
      <c r="GI406" t="s">
        <v>893</v>
      </c>
      <c r="GJ406" t="s">
        <v>8601</v>
      </c>
      <c r="GM406">
        <v>1</v>
      </c>
      <c r="GN406">
        <v>0</v>
      </c>
      <c r="GO406">
        <v>0</v>
      </c>
      <c r="GP406">
        <v>1</v>
      </c>
      <c r="GQ406">
        <v>1</v>
      </c>
      <c r="GR406">
        <v>0</v>
      </c>
      <c r="GS406">
        <v>1</v>
      </c>
      <c r="GT406">
        <v>0</v>
      </c>
      <c r="GU406">
        <v>1</v>
      </c>
      <c r="GV406">
        <v>0</v>
      </c>
      <c r="GW406">
        <v>1</v>
      </c>
      <c r="GX406">
        <v>0</v>
      </c>
      <c r="GY406">
        <v>1</v>
      </c>
      <c r="GZ406">
        <v>0</v>
      </c>
      <c r="HA406" t="s">
        <v>263</v>
      </c>
      <c r="HB406" t="s">
        <v>894</v>
      </c>
      <c r="HC406" t="s">
        <v>935</v>
      </c>
      <c r="HD406" t="s">
        <v>845</v>
      </c>
      <c r="HE406" t="s">
        <v>900</v>
      </c>
      <c r="HF406" t="s">
        <v>1012</v>
      </c>
      <c r="HG406" t="s">
        <v>894</v>
      </c>
      <c r="HH406" t="s">
        <v>935</v>
      </c>
      <c r="HI406" t="s">
        <v>845</v>
      </c>
      <c r="HJ406" t="s">
        <v>900</v>
      </c>
      <c r="HK406" t="s">
        <v>1011</v>
      </c>
      <c r="HL406" t="s">
        <v>142</v>
      </c>
      <c r="HM406" t="s">
        <v>854</v>
      </c>
      <c r="HN406">
        <v>36805</v>
      </c>
      <c r="HP406" t="s">
        <v>134</v>
      </c>
      <c r="HQ406" t="s">
        <v>896</v>
      </c>
      <c r="HR406" t="s">
        <v>896</v>
      </c>
      <c r="HS406" t="s">
        <v>896</v>
      </c>
    </row>
    <row r="407" spans="1:227" x14ac:dyDescent="0.2">
      <c r="A407">
        <v>8702</v>
      </c>
      <c r="B407">
        <v>7607202157</v>
      </c>
      <c r="C407" t="s">
        <v>829</v>
      </c>
      <c r="D407" t="s">
        <v>830</v>
      </c>
      <c r="E407" t="s">
        <v>897</v>
      </c>
      <c r="F407">
        <v>0</v>
      </c>
      <c r="G407" t="s">
        <v>8608</v>
      </c>
      <c r="H407" t="s">
        <v>8608</v>
      </c>
      <c r="I407">
        <v>0</v>
      </c>
      <c r="J407" t="s">
        <v>833</v>
      </c>
      <c r="K407" t="s">
        <v>834</v>
      </c>
      <c r="L407">
        <v>152832692</v>
      </c>
      <c r="M407" t="s">
        <v>2097</v>
      </c>
      <c r="N407" t="s">
        <v>900</v>
      </c>
      <c r="O407" t="s">
        <v>837</v>
      </c>
      <c r="P407" t="s">
        <v>838</v>
      </c>
      <c r="Q407" t="s">
        <v>1279</v>
      </c>
      <c r="R407" t="s">
        <v>8609</v>
      </c>
      <c r="S407" t="s">
        <v>8610</v>
      </c>
      <c r="T407">
        <v>41477095626</v>
      </c>
      <c r="V407" t="s">
        <v>239</v>
      </c>
      <c r="W407" s="41">
        <v>46095</v>
      </c>
      <c r="X407" t="s">
        <v>8611</v>
      </c>
      <c r="Y407" t="s">
        <v>8612</v>
      </c>
      <c r="AA407">
        <v>0</v>
      </c>
      <c r="AB407" t="s">
        <v>845</v>
      </c>
      <c r="AC407" t="s">
        <v>846</v>
      </c>
      <c r="AD407" t="s">
        <v>1113</v>
      </c>
      <c r="AE407" t="s">
        <v>1114</v>
      </c>
      <c r="AF407">
        <v>1</v>
      </c>
      <c r="AG407">
        <v>452210</v>
      </c>
      <c r="AH407" t="s">
        <v>849</v>
      </c>
      <c r="AI407" t="s">
        <v>850</v>
      </c>
      <c r="AJ407" t="s">
        <v>851</v>
      </c>
      <c r="AK407" t="s">
        <v>277</v>
      </c>
      <c r="AL407" t="s">
        <v>1229</v>
      </c>
      <c r="AM407" t="s">
        <v>1645</v>
      </c>
      <c r="AN407" t="s">
        <v>854</v>
      </c>
      <c r="AO407">
        <v>36805</v>
      </c>
      <c r="AP407">
        <v>928</v>
      </c>
      <c r="AQ407" t="s">
        <v>855</v>
      </c>
      <c r="AR407">
        <v>66374548</v>
      </c>
      <c r="AS407" t="s">
        <v>856</v>
      </c>
      <c r="AU407" t="s">
        <v>8613</v>
      </c>
      <c r="AV407" t="s">
        <v>8614</v>
      </c>
      <c r="AX407" t="s">
        <v>913</v>
      </c>
      <c r="AY407" t="s">
        <v>861</v>
      </c>
      <c r="AZ407" t="s">
        <v>277</v>
      </c>
      <c r="BA407" t="s">
        <v>278</v>
      </c>
      <c r="BB407">
        <v>0</v>
      </c>
      <c r="BC407">
        <v>0</v>
      </c>
      <c r="BD407">
        <v>0</v>
      </c>
      <c r="BE407" t="s">
        <v>2097</v>
      </c>
      <c r="BF407">
        <v>0</v>
      </c>
      <c r="BG407">
        <v>0</v>
      </c>
      <c r="BH407" t="s">
        <v>862</v>
      </c>
      <c r="BI407">
        <v>0</v>
      </c>
      <c r="BJ407" t="s">
        <v>862</v>
      </c>
      <c r="BK407">
        <v>1</v>
      </c>
      <c r="BL407">
        <v>1</v>
      </c>
      <c r="BM407">
        <v>0</v>
      </c>
      <c r="BN407" t="s">
        <v>596</v>
      </c>
      <c r="BO407">
        <v>152832692</v>
      </c>
      <c r="BP407" t="s">
        <v>8608</v>
      </c>
      <c r="BR407">
        <v>42793653</v>
      </c>
      <c r="BT407">
        <v>0</v>
      </c>
      <c r="BU407" t="s">
        <v>1715</v>
      </c>
      <c r="BY407">
        <v>12</v>
      </c>
      <c r="CA407">
        <v>14</v>
      </c>
      <c r="CE407">
        <v>0</v>
      </c>
      <c r="CI407">
        <v>11</v>
      </c>
      <c r="CJ407" t="s">
        <v>94</v>
      </c>
      <c r="CM407">
        <v>4010</v>
      </c>
      <c r="CO407">
        <v>7360</v>
      </c>
      <c r="CP407">
        <v>0.45</v>
      </c>
      <c r="CQ407">
        <v>0.45</v>
      </c>
      <c r="CR407">
        <v>0.86670000000000003</v>
      </c>
      <c r="CS407">
        <v>17</v>
      </c>
      <c r="CT407" t="s">
        <v>8614</v>
      </c>
      <c r="CU407" t="s">
        <v>8613</v>
      </c>
      <c r="CV407" t="s">
        <v>833</v>
      </c>
      <c r="CW407" t="s">
        <v>834</v>
      </c>
      <c r="CX407" t="s">
        <v>2097</v>
      </c>
      <c r="CY407">
        <v>0</v>
      </c>
      <c r="CZ407">
        <v>0</v>
      </c>
      <c r="DA407" t="s">
        <v>833</v>
      </c>
      <c r="DB407" t="s">
        <v>865</v>
      </c>
      <c r="DC407">
        <v>44145</v>
      </c>
      <c r="DD407">
        <v>13.7</v>
      </c>
      <c r="DE407" t="s">
        <v>866</v>
      </c>
      <c r="DG407" t="s">
        <v>867</v>
      </c>
      <c r="DH407" t="s">
        <v>851</v>
      </c>
      <c r="DI407" t="s">
        <v>2105</v>
      </c>
      <c r="DK407" t="s">
        <v>918</v>
      </c>
      <c r="DL407" t="s">
        <v>869</v>
      </c>
      <c r="DM407">
        <v>0</v>
      </c>
      <c r="DN407">
        <v>0</v>
      </c>
      <c r="DO407">
        <v>2</v>
      </c>
      <c r="DP407" t="s">
        <v>870</v>
      </c>
      <c r="DQ407">
        <v>0</v>
      </c>
      <c r="DR407">
        <v>822</v>
      </c>
      <c r="DS407">
        <v>1542</v>
      </c>
      <c r="DT407">
        <v>13.25</v>
      </c>
      <c r="DU407">
        <v>0</v>
      </c>
      <c r="DV407">
        <v>1</v>
      </c>
      <c r="DW407">
        <v>1</v>
      </c>
      <c r="DX407" t="s">
        <v>596</v>
      </c>
      <c r="DY407" t="s">
        <v>2097</v>
      </c>
      <c r="DZ407">
        <v>1</v>
      </c>
      <c r="EA407">
        <v>1</v>
      </c>
      <c r="EB407">
        <v>1</v>
      </c>
      <c r="EC407">
        <v>1</v>
      </c>
      <c r="ED407">
        <v>1</v>
      </c>
      <c r="EE407">
        <v>1</v>
      </c>
      <c r="EF407" t="s">
        <v>871</v>
      </c>
      <c r="EG407" t="s">
        <v>595</v>
      </c>
      <c r="EH407" t="s">
        <v>1036</v>
      </c>
      <c r="EI407" t="s">
        <v>1036</v>
      </c>
      <c r="EJ407" t="s">
        <v>226</v>
      </c>
      <c r="EK407">
        <v>9090</v>
      </c>
      <c r="EL407">
        <v>0</v>
      </c>
      <c r="EM407" t="s">
        <v>1157</v>
      </c>
      <c r="EN407">
        <v>0.86670000000000003</v>
      </c>
      <c r="EO407">
        <v>25.7</v>
      </c>
      <c r="EP407">
        <v>99991120</v>
      </c>
      <c r="EQ407" t="s">
        <v>874</v>
      </c>
      <c r="ER407" t="s">
        <v>875</v>
      </c>
      <c r="ES407" t="s">
        <v>876</v>
      </c>
      <c r="ET407" t="s">
        <v>877</v>
      </c>
      <c r="EU407" t="s">
        <v>877</v>
      </c>
      <c r="EV407" t="s">
        <v>871</v>
      </c>
      <c r="EX407" t="s">
        <v>953</v>
      </c>
      <c r="EY407" t="s">
        <v>986</v>
      </c>
      <c r="EZ407" t="s">
        <v>1236</v>
      </c>
      <c r="FA407" t="s">
        <v>956</v>
      </c>
      <c r="FB407">
        <v>1</v>
      </c>
      <c r="FC407">
        <v>1</v>
      </c>
      <c r="FD407" s="41">
        <v>46095</v>
      </c>
      <c r="FE407" t="s">
        <v>1719</v>
      </c>
      <c r="FF407">
        <v>4</v>
      </c>
      <c r="FI407">
        <v>0</v>
      </c>
      <c r="FL407">
        <v>0</v>
      </c>
      <c r="FM407" t="s">
        <v>2109</v>
      </c>
      <c r="FN407" t="s">
        <v>8615</v>
      </c>
      <c r="FO407">
        <v>1</v>
      </c>
      <c r="FP407" t="s">
        <v>8616</v>
      </c>
      <c r="FQ407" t="s">
        <v>8613</v>
      </c>
      <c r="FR407">
        <v>1</v>
      </c>
      <c r="FS407" t="s">
        <v>1244</v>
      </c>
      <c r="FT407" t="s">
        <v>8617</v>
      </c>
      <c r="FU407">
        <v>1</v>
      </c>
      <c r="FV407" t="s">
        <v>8618</v>
      </c>
      <c r="FW407" t="s">
        <v>8619</v>
      </c>
      <c r="FX407">
        <v>1</v>
      </c>
      <c r="FY407" t="s">
        <v>890</v>
      </c>
      <c r="FZ407" t="s">
        <v>8620</v>
      </c>
      <c r="GA407" t="s">
        <v>8618</v>
      </c>
      <c r="GB407">
        <v>1</v>
      </c>
      <c r="GD407">
        <v>0</v>
      </c>
      <c r="GF407">
        <v>0</v>
      </c>
      <c r="GG407">
        <v>1</v>
      </c>
      <c r="GH407" t="s">
        <v>892</v>
      </c>
      <c r="GI407" t="s">
        <v>893</v>
      </c>
      <c r="GJ407" t="s">
        <v>8619</v>
      </c>
      <c r="GM407">
        <v>1</v>
      </c>
      <c r="GN407">
        <v>1</v>
      </c>
      <c r="GO407">
        <v>0</v>
      </c>
      <c r="GP407">
        <v>1</v>
      </c>
      <c r="GQ407">
        <v>1</v>
      </c>
      <c r="GR407">
        <v>0</v>
      </c>
      <c r="GS407">
        <v>1</v>
      </c>
      <c r="GT407">
        <v>0</v>
      </c>
      <c r="GU407">
        <v>1</v>
      </c>
      <c r="GV407">
        <v>0</v>
      </c>
      <c r="GW407">
        <v>1</v>
      </c>
      <c r="GX407">
        <v>0</v>
      </c>
      <c r="GY407">
        <v>1</v>
      </c>
      <c r="GZ407">
        <v>0</v>
      </c>
      <c r="HA407" t="s">
        <v>277</v>
      </c>
      <c r="HB407" t="s">
        <v>894</v>
      </c>
      <c r="HC407" t="s">
        <v>935</v>
      </c>
      <c r="HD407" t="s">
        <v>845</v>
      </c>
      <c r="HE407" t="s">
        <v>900</v>
      </c>
      <c r="HF407" t="s">
        <v>923</v>
      </c>
      <c r="HG407" t="s">
        <v>894</v>
      </c>
      <c r="HH407" t="s">
        <v>935</v>
      </c>
      <c r="HI407" t="s">
        <v>845</v>
      </c>
      <c r="HJ407" t="s">
        <v>900</v>
      </c>
      <c r="HK407" t="s">
        <v>922</v>
      </c>
      <c r="HL407" t="s">
        <v>239</v>
      </c>
      <c r="HM407" t="s">
        <v>854</v>
      </c>
      <c r="HN407">
        <v>36805</v>
      </c>
      <c r="HP407" t="s">
        <v>226</v>
      </c>
      <c r="HQ407" t="s">
        <v>896</v>
      </c>
      <c r="HR407" t="s">
        <v>896</v>
      </c>
      <c r="HS407" t="s">
        <v>896</v>
      </c>
    </row>
    <row r="408" spans="1:227" x14ac:dyDescent="0.2">
      <c r="A408">
        <v>8702</v>
      </c>
      <c r="B408">
        <v>7600505580</v>
      </c>
      <c r="C408" t="s">
        <v>829</v>
      </c>
      <c r="D408" t="s">
        <v>830</v>
      </c>
      <c r="E408" t="s">
        <v>897</v>
      </c>
      <c r="F408">
        <v>0</v>
      </c>
      <c r="G408" t="s">
        <v>8621</v>
      </c>
      <c r="H408" t="s">
        <v>8621</v>
      </c>
      <c r="I408">
        <v>0</v>
      </c>
      <c r="J408" t="s">
        <v>833</v>
      </c>
      <c r="K408" t="s">
        <v>834</v>
      </c>
      <c r="L408">
        <v>148723036</v>
      </c>
      <c r="M408" t="s">
        <v>8622</v>
      </c>
      <c r="N408" t="s">
        <v>900</v>
      </c>
      <c r="O408" t="s">
        <v>837</v>
      </c>
      <c r="P408" t="s">
        <v>838</v>
      </c>
      <c r="Q408" t="s">
        <v>3835</v>
      </c>
      <c r="R408" t="s">
        <v>8623</v>
      </c>
      <c r="S408" t="s">
        <v>8624</v>
      </c>
      <c r="T408">
        <v>41477130640</v>
      </c>
      <c r="V408" t="s">
        <v>239</v>
      </c>
      <c r="W408" s="41">
        <v>46027</v>
      </c>
      <c r="X408" t="s">
        <v>8625</v>
      </c>
      <c r="Y408" t="s">
        <v>8626</v>
      </c>
      <c r="Z408">
        <v>1</v>
      </c>
      <c r="AA408">
        <v>0</v>
      </c>
      <c r="AB408" t="s">
        <v>845</v>
      </c>
      <c r="AC408" t="s">
        <v>846</v>
      </c>
      <c r="AD408" t="s">
        <v>1335</v>
      </c>
      <c r="AE408" t="s">
        <v>1336</v>
      </c>
      <c r="AF408">
        <v>1</v>
      </c>
      <c r="AG408">
        <v>452210</v>
      </c>
      <c r="AH408" t="s">
        <v>849</v>
      </c>
      <c r="AI408" t="s">
        <v>850</v>
      </c>
      <c r="AJ408" t="s">
        <v>851</v>
      </c>
      <c r="AK408" t="s">
        <v>265</v>
      </c>
      <c r="AL408" t="s">
        <v>1644</v>
      </c>
      <c r="AM408" t="s">
        <v>1645</v>
      </c>
      <c r="AN408" t="s">
        <v>854</v>
      </c>
      <c r="AO408">
        <v>36805</v>
      </c>
      <c r="AP408">
        <v>928</v>
      </c>
      <c r="AQ408" t="s">
        <v>855</v>
      </c>
      <c r="AR408">
        <v>66276777</v>
      </c>
      <c r="AS408" t="s">
        <v>856</v>
      </c>
      <c r="AU408" t="s">
        <v>8627</v>
      </c>
      <c r="AV408" t="s">
        <v>8628</v>
      </c>
      <c r="AX408" t="s">
        <v>913</v>
      </c>
      <c r="AY408" t="s">
        <v>861</v>
      </c>
      <c r="AZ408" t="s">
        <v>265</v>
      </c>
      <c r="BA408" t="s">
        <v>266</v>
      </c>
      <c r="BB408">
        <v>0</v>
      </c>
      <c r="BC408">
        <v>0</v>
      </c>
      <c r="BD408">
        <v>0</v>
      </c>
      <c r="BE408" t="s">
        <v>8622</v>
      </c>
      <c r="BF408">
        <v>0</v>
      </c>
      <c r="BG408">
        <v>0</v>
      </c>
      <c r="BH408" t="s">
        <v>862</v>
      </c>
      <c r="BI408">
        <v>0</v>
      </c>
      <c r="BJ408" t="s">
        <v>862</v>
      </c>
      <c r="BK408">
        <v>1</v>
      </c>
      <c r="BL408">
        <v>1</v>
      </c>
      <c r="BM408">
        <v>0</v>
      </c>
      <c r="BN408" t="s">
        <v>596</v>
      </c>
      <c r="BP408" t="s">
        <v>8621</v>
      </c>
      <c r="BQ408">
        <v>41.465681799999999</v>
      </c>
      <c r="BR408">
        <v>42793653</v>
      </c>
      <c r="BS408">
        <v>-81.952530600000003</v>
      </c>
      <c r="BT408">
        <v>2</v>
      </c>
      <c r="BU408" t="s">
        <v>1367</v>
      </c>
      <c r="CE408">
        <v>1</v>
      </c>
      <c r="CI408">
        <v>11</v>
      </c>
      <c r="CJ408" t="s">
        <v>94</v>
      </c>
      <c r="CM408">
        <v>4010</v>
      </c>
      <c r="CO408">
        <v>7360</v>
      </c>
      <c r="CP408">
        <v>0.15</v>
      </c>
      <c r="CQ408">
        <v>0.15</v>
      </c>
      <c r="CR408">
        <v>1.67E-2</v>
      </c>
      <c r="CS408">
        <v>0</v>
      </c>
      <c r="CT408" t="s">
        <v>8628</v>
      </c>
      <c r="CU408" t="s">
        <v>8627</v>
      </c>
      <c r="CV408" t="s">
        <v>833</v>
      </c>
      <c r="CW408" t="s">
        <v>834</v>
      </c>
      <c r="CX408" t="s">
        <v>1648</v>
      </c>
      <c r="CY408">
        <v>0</v>
      </c>
      <c r="CZ408">
        <v>0</v>
      </c>
      <c r="DA408" t="s">
        <v>833</v>
      </c>
      <c r="DB408" t="s">
        <v>865</v>
      </c>
      <c r="DC408">
        <v>44145</v>
      </c>
      <c r="DD408">
        <v>3.5</v>
      </c>
      <c r="DE408" t="s">
        <v>866</v>
      </c>
      <c r="DG408" t="s">
        <v>867</v>
      </c>
      <c r="DH408" t="s">
        <v>851</v>
      </c>
      <c r="DK408" t="s">
        <v>918</v>
      </c>
      <c r="DL408" t="s">
        <v>869</v>
      </c>
      <c r="DM408">
        <v>0</v>
      </c>
      <c r="DN408">
        <v>0</v>
      </c>
      <c r="DO408">
        <v>1</v>
      </c>
      <c r="DP408" t="s">
        <v>985</v>
      </c>
      <c r="DQ408">
        <v>16</v>
      </c>
      <c r="DR408">
        <v>210</v>
      </c>
      <c r="DS408">
        <v>210</v>
      </c>
      <c r="DT408">
        <v>3.35</v>
      </c>
      <c r="DU408">
        <v>4</v>
      </c>
      <c r="DV408">
        <v>1</v>
      </c>
      <c r="DW408">
        <v>2</v>
      </c>
      <c r="DX408" t="s">
        <v>596</v>
      </c>
      <c r="DY408" t="s">
        <v>8622</v>
      </c>
      <c r="DZ408">
        <v>1</v>
      </c>
      <c r="EA408">
        <v>1</v>
      </c>
      <c r="EB408">
        <v>1</v>
      </c>
      <c r="EC408">
        <v>1</v>
      </c>
      <c r="ED408">
        <v>1</v>
      </c>
      <c r="EE408">
        <v>1</v>
      </c>
      <c r="EF408" t="s">
        <v>920</v>
      </c>
      <c r="EG408" t="s">
        <v>595</v>
      </c>
      <c r="EH408" t="s">
        <v>921</v>
      </c>
      <c r="EI408" t="s">
        <v>921</v>
      </c>
      <c r="EJ408" t="s">
        <v>226</v>
      </c>
      <c r="EK408">
        <v>9090</v>
      </c>
      <c r="EL408">
        <v>0</v>
      </c>
      <c r="EM408" t="s">
        <v>1157</v>
      </c>
      <c r="EN408">
        <v>1.67E-2</v>
      </c>
      <c r="EO408">
        <v>3.5</v>
      </c>
      <c r="EP408">
        <v>99991120</v>
      </c>
      <c r="EQ408" t="s">
        <v>874</v>
      </c>
      <c r="ER408" t="s">
        <v>875</v>
      </c>
      <c r="ES408" t="s">
        <v>876</v>
      </c>
      <c r="ET408" t="s">
        <v>877</v>
      </c>
      <c r="EU408" t="s">
        <v>877</v>
      </c>
      <c r="EV408" t="s">
        <v>920</v>
      </c>
      <c r="EX408" t="s">
        <v>953</v>
      </c>
      <c r="EY408" t="s">
        <v>986</v>
      </c>
      <c r="EZ408" t="s">
        <v>1236</v>
      </c>
      <c r="FA408" t="s">
        <v>956</v>
      </c>
      <c r="FB408">
        <v>1</v>
      </c>
      <c r="FC408">
        <v>1</v>
      </c>
      <c r="FD408" s="41">
        <v>46032</v>
      </c>
      <c r="FE408" t="s">
        <v>1370</v>
      </c>
      <c r="FF408">
        <v>6</v>
      </c>
      <c r="FG408" t="s">
        <v>1649</v>
      </c>
      <c r="FH408" t="s">
        <v>8629</v>
      </c>
      <c r="FI408">
        <v>1</v>
      </c>
      <c r="FJ408" t="s">
        <v>1651</v>
      </c>
      <c r="FK408" t="s">
        <v>8630</v>
      </c>
      <c r="FL408">
        <v>1</v>
      </c>
      <c r="FM408" t="s">
        <v>8631</v>
      </c>
      <c r="FN408" t="s">
        <v>8632</v>
      </c>
      <c r="FO408">
        <v>1</v>
      </c>
      <c r="FP408" t="s">
        <v>8633</v>
      </c>
      <c r="FQ408" t="s">
        <v>8627</v>
      </c>
      <c r="FR408">
        <v>1</v>
      </c>
      <c r="FS408" t="s">
        <v>1656</v>
      </c>
      <c r="FT408" t="s">
        <v>8634</v>
      </c>
      <c r="FU408">
        <v>1</v>
      </c>
      <c r="FV408" t="s">
        <v>1658</v>
      </c>
      <c r="FW408" t="s">
        <v>8635</v>
      </c>
      <c r="FX408">
        <v>1</v>
      </c>
      <c r="FY408" t="s">
        <v>890</v>
      </c>
      <c r="FZ408" t="s">
        <v>8636</v>
      </c>
      <c r="GA408" t="s">
        <v>1651</v>
      </c>
      <c r="GB408">
        <v>1</v>
      </c>
      <c r="GD408">
        <v>0</v>
      </c>
      <c r="GF408">
        <v>0</v>
      </c>
      <c r="GG408">
        <v>1</v>
      </c>
      <c r="GH408" t="s">
        <v>892</v>
      </c>
      <c r="GI408" t="s">
        <v>893</v>
      </c>
      <c r="GJ408" t="s">
        <v>8630</v>
      </c>
      <c r="GM408">
        <v>1</v>
      </c>
      <c r="GN408">
        <v>1</v>
      </c>
      <c r="GO408">
        <v>0</v>
      </c>
      <c r="GP408">
        <v>1</v>
      </c>
      <c r="GQ408">
        <v>1</v>
      </c>
      <c r="GR408">
        <v>0</v>
      </c>
      <c r="GS408">
        <v>1</v>
      </c>
      <c r="GT408">
        <v>0</v>
      </c>
      <c r="GU408">
        <v>1</v>
      </c>
      <c r="GV408">
        <v>0</v>
      </c>
      <c r="GW408">
        <v>1</v>
      </c>
      <c r="GX408">
        <v>0</v>
      </c>
      <c r="GY408">
        <v>1</v>
      </c>
      <c r="GZ408">
        <v>0</v>
      </c>
      <c r="HA408" t="s">
        <v>265</v>
      </c>
      <c r="HB408" t="s">
        <v>894</v>
      </c>
      <c r="HC408" t="s">
        <v>935</v>
      </c>
      <c r="HD408" t="s">
        <v>845</v>
      </c>
      <c r="HE408" t="s">
        <v>900</v>
      </c>
      <c r="HF408" t="s">
        <v>923</v>
      </c>
      <c r="HG408" t="s">
        <v>894</v>
      </c>
      <c r="HH408" t="s">
        <v>935</v>
      </c>
      <c r="HI408" t="s">
        <v>845</v>
      </c>
      <c r="HJ408" t="s">
        <v>900</v>
      </c>
      <c r="HK408" t="s">
        <v>922</v>
      </c>
      <c r="HL408" t="s">
        <v>239</v>
      </c>
      <c r="HM408" t="s">
        <v>854</v>
      </c>
      <c r="HN408">
        <v>36805</v>
      </c>
      <c r="HP408" t="s">
        <v>226</v>
      </c>
      <c r="HQ408" t="s">
        <v>896</v>
      </c>
      <c r="HR408" t="s">
        <v>896</v>
      </c>
      <c r="HS408" t="s">
        <v>896</v>
      </c>
    </row>
    <row r="409" spans="1:227" x14ac:dyDescent="0.2">
      <c r="A409">
        <v>8702</v>
      </c>
      <c r="B409">
        <v>7531102747</v>
      </c>
      <c r="C409">
        <v>36</v>
      </c>
      <c r="D409" t="s">
        <v>1302</v>
      </c>
      <c r="E409" t="s">
        <v>897</v>
      </c>
      <c r="F409">
        <v>2</v>
      </c>
      <c r="G409" t="s">
        <v>8637</v>
      </c>
      <c r="H409" t="s">
        <v>8637</v>
      </c>
      <c r="I409">
        <v>0</v>
      </c>
      <c r="J409" t="s">
        <v>833</v>
      </c>
      <c r="K409" t="s">
        <v>834</v>
      </c>
      <c r="L409">
        <v>153406467</v>
      </c>
      <c r="M409" t="s">
        <v>1964</v>
      </c>
      <c r="N409" t="s">
        <v>900</v>
      </c>
      <c r="O409" t="s">
        <v>837</v>
      </c>
      <c r="P409" t="s">
        <v>1302</v>
      </c>
      <c r="Q409" t="s">
        <v>1305</v>
      </c>
      <c r="R409" t="s">
        <v>8638</v>
      </c>
      <c r="S409" t="s">
        <v>8639</v>
      </c>
      <c r="T409">
        <v>41477122910</v>
      </c>
      <c r="V409" t="s">
        <v>133</v>
      </c>
      <c r="W409" s="41">
        <v>45968</v>
      </c>
      <c r="X409" t="s">
        <v>8640</v>
      </c>
      <c r="Y409" t="s">
        <v>8641</v>
      </c>
      <c r="AA409">
        <v>0</v>
      </c>
      <c r="AB409" t="s">
        <v>845</v>
      </c>
      <c r="AC409" t="s">
        <v>846</v>
      </c>
      <c r="AD409" t="s">
        <v>847</v>
      </c>
      <c r="AE409" t="s">
        <v>848</v>
      </c>
      <c r="AF409">
        <v>1</v>
      </c>
      <c r="AG409">
        <v>452210</v>
      </c>
      <c r="AH409" t="s">
        <v>849</v>
      </c>
      <c r="AI409" t="s">
        <v>850</v>
      </c>
      <c r="AJ409" t="s">
        <v>851</v>
      </c>
      <c r="AK409" t="s">
        <v>259</v>
      </c>
      <c r="AL409" t="s">
        <v>1547</v>
      </c>
      <c r="AM409" t="s">
        <v>1970</v>
      </c>
      <c r="AN409" t="s">
        <v>854</v>
      </c>
      <c r="AO409">
        <v>36805</v>
      </c>
      <c r="AP409">
        <v>532</v>
      </c>
      <c r="AQ409" t="s">
        <v>855</v>
      </c>
      <c r="AR409">
        <v>66191891</v>
      </c>
      <c r="AS409" t="s">
        <v>856</v>
      </c>
      <c r="AU409" t="s">
        <v>8642</v>
      </c>
      <c r="AV409" t="s">
        <v>8643</v>
      </c>
      <c r="AX409" t="s">
        <v>913</v>
      </c>
      <c r="AY409" t="s">
        <v>861</v>
      </c>
      <c r="AZ409" t="s">
        <v>259</v>
      </c>
      <c r="BA409" t="s">
        <v>260</v>
      </c>
      <c r="BB409">
        <v>1</v>
      </c>
      <c r="BC409">
        <v>0</v>
      </c>
      <c r="BD409">
        <v>0</v>
      </c>
      <c r="BE409" t="s">
        <v>1964</v>
      </c>
      <c r="BF409">
        <v>0</v>
      </c>
      <c r="BG409">
        <v>0</v>
      </c>
      <c r="BH409" t="s">
        <v>862</v>
      </c>
      <c r="BI409">
        <v>0</v>
      </c>
      <c r="BJ409" t="s">
        <v>862</v>
      </c>
      <c r="BK409">
        <v>1</v>
      </c>
      <c r="BL409">
        <v>0</v>
      </c>
      <c r="BM409">
        <v>0</v>
      </c>
      <c r="BN409" t="s">
        <v>596</v>
      </c>
      <c r="BO409">
        <v>153406467</v>
      </c>
      <c r="BP409" t="s">
        <v>8637</v>
      </c>
      <c r="BR409">
        <v>42791447</v>
      </c>
      <c r="BT409">
        <v>0</v>
      </c>
      <c r="CM409">
        <v>4010</v>
      </c>
      <c r="CO409">
        <v>7360</v>
      </c>
      <c r="CP409">
        <v>2.1166999999999998</v>
      </c>
      <c r="CQ409">
        <v>2.1166999999999998</v>
      </c>
      <c r="CR409">
        <v>1.2333000000000001</v>
      </c>
      <c r="CS409">
        <v>0</v>
      </c>
      <c r="CT409" t="s">
        <v>8643</v>
      </c>
      <c r="CU409" t="s">
        <v>8642</v>
      </c>
      <c r="CV409" t="s">
        <v>833</v>
      </c>
      <c r="CW409" t="s">
        <v>834</v>
      </c>
      <c r="CX409" t="s">
        <v>1964</v>
      </c>
      <c r="CY409">
        <v>1</v>
      </c>
      <c r="CZ409">
        <v>1</v>
      </c>
      <c r="DA409" t="s">
        <v>833</v>
      </c>
      <c r="DB409" t="s">
        <v>865</v>
      </c>
      <c r="DC409">
        <v>46234</v>
      </c>
      <c r="DD409">
        <v>6.2667000000000002</v>
      </c>
      <c r="DE409" t="s">
        <v>866</v>
      </c>
      <c r="DG409" t="s">
        <v>867</v>
      </c>
      <c r="DH409" t="s">
        <v>851</v>
      </c>
      <c r="DJ409">
        <v>532</v>
      </c>
      <c r="DL409" t="s">
        <v>869</v>
      </c>
      <c r="DM409">
        <v>0</v>
      </c>
      <c r="DN409">
        <v>0</v>
      </c>
      <c r="DO409">
        <v>11</v>
      </c>
      <c r="DP409" t="s">
        <v>1010</v>
      </c>
      <c r="DQ409">
        <v>12</v>
      </c>
      <c r="DR409">
        <v>376</v>
      </c>
      <c r="DS409">
        <v>376</v>
      </c>
      <c r="DT409">
        <v>1.1333</v>
      </c>
      <c r="DU409">
        <v>4</v>
      </c>
      <c r="DW409">
        <v>1</v>
      </c>
      <c r="DX409" t="s">
        <v>596</v>
      </c>
      <c r="DY409" t="s">
        <v>1964</v>
      </c>
      <c r="DZ409">
        <v>0</v>
      </c>
      <c r="EA409">
        <v>0</v>
      </c>
      <c r="EB409">
        <v>0</v>
      </c>
      <c r="EC409">
        <v>0</v>
      </c>
      <c r="ED409">
        <v>0</v>
      </c>
      <c r="EE409">
        <v>0</v>
      </c>
      <c r="EF409" t="s">
        <v>871</v>
      </c>
      <c r="EG409" t="s">
        <v>595</v>
      </c>
      <c r="EH409" t="s">
        <v>1036</v>
      </c>
      <c r="EI409" t="s">
        <v>1036</v>
      </c>
      <c r="EJ409" t="s">
        <v>134</v>
      </c>
      <c r="EK409">
        <v>9090</v>
      </c>
      <c r="EL409">
        <v>1</v>
      </c>
      <c r="EM409" t="s">
        <v>1011</v>
      </c>
      <c r="EN409">
        <v>1.2333000000000001</v>
      </c>
      <c r="EO409">
        <v>6.2666665999999998</v>
      </c>
      <c r="EP409">
        <v>99991120</v>
      </c>
      <c r="EQ409" t="s">
        <v>874</v>
      </c>
      <c r="ER409" t="s">
        <v>875</v>
      </c>
      <c r="ES409" t="s">
        <v>876</v>
      </c>
      <c r="ET409" t="s">
        <v>877</v>
      </c>
      <c r="EU409" t="s">
        <v>877</v>
      </c>
      <c r="EV409" t="s">
        <v>871</v>
      </c>
      <c r="EX409" t="s">
        <v>953</v>
      </c>
      <c r="EY409" t="s">
        <v>1555</v>
      </c>
      <c r="EZ409" t="s">
        <v>1013</v>
      </c>
      <c r="FA409" t="s">
        <v>925</v>
      </c>
      <c r="FB409">
        <v>1</v>
      </c>
      <c r="FC409">
        <v>2</v>
      </c>
      <c r="FD409" s="41">
        <v>45969</v>
      </c>
      <c r="FE409" t="s">
        <v>1438</v>
      </c>
      <c r="FF409">
        <v>9</v>
      </c>
      <c r="FG409" t="s">
        <v>8644</v>
      </c>
      <c r="FH409" t="s">
        <v>8645</v>
      </c>
      <c r="FI409">
        <v>1</v>
      </c>
      <c r="FJ409" t="s">
        <v>8646</v>
      </c>
      <c r="FK409" t="s">
        <v>8647</v>
      </c>
      <c r="FL409">
        <v>1</v>
      </c>
      <c r="FM409" t="s">
        <v>1980</v>
      </c>
      <c r="FN409" t="s">
        <v>8648</v>
      </c>
      <c r="FO409">
        <v>1</v>
      </c>
      <c r="FP409" t="s">
        <v>8649</v>
      </c>
      <c r="FQ409" t="s">
        <v>8650</v>
      </c>
      <c r="FR409">
        <v>1</v>
      </c>
      <c r="FS409" t="s">
        <v>1934</v>
      </c>
      <c r="FT409" t="s">
        <v>8651</v>
      </c>
      <c r="FU409">
        <v>1</v>
      </c>
      <c r="FV409" t="s">
        <v>8652</v>
      </c>
      <c r="FW409" t="s">
        <v>8653</v>
      </c>
      <c r="FX409">
        <v>1</v>
      </c>
      <c r="FY409" t="s">
        <v>890</v>
      </c>
      <c r="FZ409" t="s">
        <v>8654</v>
      </c>
      <c r="GA409" t="s">
        <v>8644</v>
      </c>
      <c r="GB409">
        <v>1</v>
      </c>
      <c r="GD409">
        <v>0</v>
      </c>
      <c r="GF409">
        <v>0</v>
      </c>
      <c r="GG409">
        <v>1</v>
      </c>
      <c r="GH409" t="s">
        <v>892</v>
      </c>
      <c r="GI409" t="s">
        <v>893</v>
      </c>
      <c r="GJ409" t="s">
        <v>8645</v>
      </c>
      <c r="GM409">
        <v>1</v>
      </c>
      <c r="GN409">
        <v>0</v>
      </c>
      <c r="GO409">
        <v>0</v>
      </c>
      <c r="GP409">
        <v>1</v>
      </c>
      <c r="GQ409">
        <v>1</v>
      </c>
      <c r="GR409">
        <v>0</v>
      </c>
      <c r="GS409">
        <v>1</v>
      </c>
      <c r="GT409">
        <v>0</v>
      </c>
      <c r="GU409">
        <v>1</v>
      </c>
      <c r="GV409">
        <v>0</v>
      </c>
      <c r="GW409">
        <v>1</v>
      </c>
      <c r="GX409">
        <v>0</v>
      </c>
      <c r="GY409">
        <v>1</v>
      </c>
      <c r="GZ409">
        <v>0</v>
      </c>
      <c r="HA409" t="s">
        <v>259</v>
      </c>
      <c r="HB409" t="s">
        <v>894</v>
      </c>
      <c r="HC409" t="s">
        <v>935</v>
      </c>
      <c r="HD409" t="s">
        <v>845</v>
      </c>
      <c r="HE409" t="s">
        <v>900</v>
      </c>
      <c r="HF409" t="s">
        <v>1012</v>
      </c>
      <c r="HG409" t="s">
        <v>894</v>
      </c>
      <c r="HH409" t="s">
        <v>935</v>
      </c>
      <c r="HI409" t="s">
        <v>845</v>
      </c>
      <c r="HJ409" t="s">
        <v>900</v>
      </c>
      <c r="HK409" t="s">
        <v>1011</v>
      </c>
      <c r="HL409" t="s">
        <v>133</v>
      </c>
      <c r="HM409" t="s">
        <v>854</v>
      </c>
      <c r="HN409">
        <v>36805</v>
      </c>
      <c r="HP409" t="s">
        <v>134</v>
      </c>
      <c r="HQ409" t="s">
        <v>896</v>
      </c>
      <c r="HR409" t="s">
        <v>896</v>
      </c>
      <c r="HS409" t="s">
        <v>896</v>
      </c>
    </row>
    <row r="410" spans="1:227" x14ac:dyDescent="0.2">
      <c r="A410">
        <v>8702</v>
      </c>
      <c r="B410">
        <v>7533004777</v>
      </c>
      <c r="C410">
        <v>34</v>
      </c>
      <c r="D410" t="s">
        <v>996</v>
      </c>
      <c r="E410" t="s">
        <v>897</v>
      </c>
      <c r="F410">
        <v>0</v>
      </c>
      <c r="G410" t="s">
        <v>8655</v>
      </c>
      <c r="H410" t="s">
        <v>8655</v>
      </c>
      <c r="I410">
        <v>0</v>
      </c>
      <c r="J410" t="s">
        <v>833</v>
      </c>
      <c r="K410" t="s">
        <v>834</v>
      </c>
      <c r="L410">
        <v>155403185</v>
      </c>
      <c r="M410" t="s">
        <v>8656</v>
      </c>
      <c r="N410" t="s">
        <v>900</v>
      </c>
      <c r="O410" t="s">
        <v>837</v>
      </c>
      <c r="P410" t="s">
        <v>999</v>
      </c>
      <c r="Q410" t="s">
        <v>1027</v>
      </c>
      <c r="R410" t="s">
        <v>8657</v>
      </c>
      <c r="S410" t="s">
        <v>8658</v>
      </c>
      <c r="T410">
        <v>41477123263</v>
      </c>
      <c r="V410" t="s">
        <v>904</v>
      </c>
      <c r="W410" s="41">
        <v>45987</v>
      </c>
      <c r="X410" t="s">
        <v>8659</v>
      </c>
      <c r="Y410" t="s">
        <v>8660</v>
      </c>
      <c r="AA410">
        <v>0</v>
      </c>
      <c r="AB410" t="s">
        <v>845</v>
      </c>
      <c r="AC410" t="s">
        <v>846</v>
      </c>
      <c r="AD410" t="s">
        <v>847</v>
      </c>
      <c r="AE410" t="s">
        <v>848</v>
      </c>
      <c r="AF410">
        <v>1</v>
      </c>
      <c r="AG410">
        <v>452210</v>
      </c>
      <c r="AH410" t="s">
        <v>849</v>
      </c>
      <c r="AI410" t="s">
        <v>850</v>
      </c>
      <c r="AJ410" t="s">
        <v>851</v>
      </c>
      <c r="AK410" t="s">
        <v>332</v>
      </c>
      <c r="AL410" t="s">
        <v>7819</v>
      </c>
      <c r="AM410" t="s">
        <v>910</v>
      </c>
      <c r="AN410" t="s">
        <v>854</v>
      </c>
      <c r="AO410">
        <v>36805</v>
      </c>
      <c r="AP410">
        <v>606</v>
      </c>
      <c r="AQ410" t="s">
        <v>855</v>
      </c>
      <c r="AR410">
        <v>66219351</v>
      </c>
      <c r="AS410" t="s">
        <v>856</v>
      </c>
      <c r="AU410" t="s">
        <v>8661</v>
      </c>
      <c r="AV410" t="s">
        <v>8662</v>
      </c>
      <c r="AW410" t="s">
        <v>8663</v>
      </c>
      <c r="AX410" t="s">
        <v>8664</v>
      </c>
      <c r="AY410" t="s">
        <v>861</v>
      </c>
      <c r="AZ410" t="s">
        <v>332</v>
      </c>
      <c r="BA410" t="s">
        <v>333</v>
      </c>
      <c r="BB410">
        <v>0</v>
      </c>
      <c r="BC410">
        <v>0</v>
      </c>
      <c r="BD410">
        <v>0</v>
      </c>
      <c r="BE410" t="s">
        <v>8656</v>
      </c>
      <c r="BF410">
        <v>0</v>
      </c>
      <c r="BG410">
        <v>0</v>
      </c>
      <c r="BH410" t="s">
        <v>862</v>
      </c>
      <c r="BI410">
        <v>0</v>
      </c>
      <c r="BJ410" t="s">
        <v>862</v>
      </c>
      <c r="BK410">
        <v>1</v>
      </c>
      <c r="BL410">
        <v>0</v>
      </c>
      <c r="BM410">
        <v>0</v>
      </c>
      <c r="BN410" t="s">
        <v>596</v>
      </c>
      <c r="BO410">
        <v>155403185</v>
      </c>
      <c r="BP410" t="s">
        <v>8655</v>
      </c>
      <c r="BQ410">
        <v>42.925951300000001</v>
      </c>
      <c r="BR410">
        <v>42810759</v>
      </c>
      <c r="BS410">
        <v>-85.605981799999995</v>
      </c>
      <c r="BT410">
        <v>0</v>
      </c>
      <c r="CM410">
        <v>4010</v>
      </c>
      <c r="CO410">
        <v>7360</v>
      </c>
      <c r="CP410">
        <v>0.15</v>
      </c>
      <c r="CQ410">
        <v>0.15</v>
      </c>
      <c r="CR410">
        <v>0.95</v>
      </c>
      <c r="CS410">
        <v>2</v>
      </c>
      <c r="CT410" t="s">
        <v>8665</v>
      </c>
      <c r="CU410" t="s">
        <v>8666</v>
      </c>
      <c r="CV410" t="s">
        <v>833</v>
      </c>
      <c r="CW410" t="s">
        <v>834</v>
      </c>
      <c r="CX410" t="s">
        <v>8656</v>
      </c>
      <c r="CY410">
        <v>0</v>
      </c>
      <c r="CZ410">
        <v>0</v>
      </c>
      <c r="DA410" t="s">
        <v>833</v>
      </c>
      <c r="DB410" t="s">
        <v>865</v>
      </c>
      <c r="DC410">
        <v>49546</v>
      </c>
      <c r="DD410">
        <v>2</v>
      </c>
      <c r="DE410" t="s">
        <v>866</v>
      </c>
      <c r="DG410" t="s">
        <v>867</v>
      </c>
      <c r="DH410" t="s">
        <v>851</v>
      </c>
      <c r="DI410" t="s">
        <v>3733</v>
      </c>
      <c r="DL410" t="s">
        <v>869</v>
      </c>
      <c r="DM410">
        <v>0</v>
      </c>
      <c r="DN410">
        <v>0</v>
      </c>
      <c r="DO410">
        <v>53</v>
      </c>
      <c r="DP410" t="s">
        <v>1156</v>
      </c>
      <c r="DQ410">
        <v>16</v>
      </c>
      <c r="DR410">
        <v>120</v>
      </c>
      <c r="DS410">
        <v>120</v>
      </c>
      <c r="DT410">
        <v>1.85</v>
      </c>
      <c r="DU410">
        <v>4</v>
      </c>
      <c r="DW410">
        <v>2</v>
      </c>
      <c r="DX410" t="s">
        <v>594</v>
      </c>
      <c r="DY410" t="s">
        <v>8656</v>
      </c>
      <c r="DZ410">
        <v>0</v>
      </c>
      <c r="EA410">
        <v>0</v>
      </c>
      <c r="EB410">
        <v>0</v>
      </c>
      <c r="EC410">
        <v>0</v>
      </c>
      <c r="ED410">
        <v>0</v>
      </c>
      <c r="EE410">
        <v>0</v>
      </c>
      <c r="EF410" t="s">
        <v>920</v>
      </c>
      <c r="EG410" t="s">
        <v>595</v>
      </c>
      <c r="EH410" t="s">
        <v>872</v>
      </c>
      <c r="EI410" t="s">
        <v>872</v>
      </c>
      <c r="EJ410" t="s">
        <v>178</v>
      </c>
      <c r="EK410">
        <v>9090</v>
      </c>
      <c r="EL410">
        <v>0</v>
      </c>
      <c r="EM410" t="s">
        <v>922</v>
      </c>
      <c r="EN410">
        <v>0.95</v>
      </c>
      <c r="EO410">
        <v>2</v>
      </c>
      <c r="EP410">
        <v>99991120</v>
      </c>
      <c r="EQ410" t="s">
        <v>874</v>
      </c>
      <c r="ER410" t="s">
        <v>875</v>
      </c>
      <c r="ES410" t="s">
        <v>876</v>
      </c>
      <c r="ET410" t="s">
        <v>877</v>
      </c>
      <c r="EU410" t="s">
        <v>877</v>
      </c>
      <c r="EV410" t="s">
        <v>920</v>
      </c>
      <c r="EX410" t="s">
        <v>953</v>
      </c>
      <c r="EY410" t="s">
        <v>986</v>
      </c>
      <c r="EZ410" t="s">
        <v>924</v>
      </c>
      <c r="FA410" t="s">
        <v>925</v>
      </c>
      <c r="FB410">
        <v>1</v>
      </c>
      <c r="FC410">
        <v>1</v>
      </c>
      <c r="FD410" s="41">
        <v>45990</v>
      </c>
      <c r="FE410" t="s">
        <v>1438</v>
      </c>
      <c r="FF410">
        <v>8</v>
      </c>
      <c r="FG410" t="s">
        <v>8667</v>
      </c>
      <c r="FH410" t="s">
        <v>8668</v>
      </c>
      <c r="FI410">
        <v>1</v>
      </c>
      <c r="FJ410" t="s">
        <v>8667</v>
      </c>
      <c r="FK410" t="s">
        <v>8668</v>
      </c>
      <c r="FL410">
        <v>1</v>
      </c>
      <c r="FM410" t="s">
        <v>8669</v>
      </c>
      <c r="FN410" t="s">
        <v>8670</v>
      </c>
      <c r="FO410">
        <v>1</v>
      </c>
      <c r="FP410" t="s">
        <v>8671</v>
      </c>
      <c r="FQ410" t="s">
        <v>8672</v>
      </c>
      <c r="FR410">
        <v>1</v>
      </c>
      <c r="FS410" t="s">
        <v>3740</v>
      </c>
      <c r="FT410" t="s">
        <v>8673</v>
      </c>
      <c r="FU410">
        <v>1</v>
      </c>
      <c r="FV410" t="s">
        <v>3742</v>
      </c>
      <c r="FW410" t="s">
        <v>8674</v>
      </c>
      <c r="FX410">
        <v>1</v>
      </c>
      <c r="FY410" t="s">
        <v>890</v>
      </c>
      <c r="FZ410" t="s">
        <v>8675</v>
      </c>
      <c r="GA410" t="s">
        <v>8667</v>
      </c>
      <c r="GB410">
        <v>1</v>
      </c>
      <c r="GD410">
        <v>0</v>
      </c>
      <c r="GF410">
        <v>0</v>
      </c>
      <c r="GG410">
        <v>1</v>
      </c>
      <c r="GH410" t="s">
        <v>892</v>
      </c>
      <c r="GI410" t="s">
        <v>893</v>
      </c>
      <c r="GJ410" t="s">
        <v>8668</v>
      </c>
      <c r="GM410">
        <v>1</v>
      </c>
      <c r="GN410">
        <v>1</v>
      </c>
      <c r="GO410">
        <v>0</v>
      </c>
      <c r="GP410">
        <v>1</v>
      </c>
      <c r="GQ410">
        <v>1</v>
      </c>
      <c r="GR410">
        <v>0</v>
      </c>
      <c r="GS410">
        <v>1</v>
      </c>
      <c r="GT410">
        <v>0</v>
      </c>
      <c r="GU410">
        <v>1</v>
      </c>
      <c r="GV410">
        <v>0</v>
      </c>
      <c r="GW410">
        <v>1</v>
      </c>
      <c r="GX410">
        <v>0</v>
      </c>
      <c r="GY410">
        <v>1</v>
      </c>
      <c r="GZ410">
        <v>0</v>
      </c>
      <c r="HA410" t="s">
        <v>332</v>
      </c>
      <c r="HB410" t="s">
        <v>894</v>
      </c>
      <c r="HC410" t="s">
        <v>935</v>
      </c>
      <c r="HD410" t="s">
        <v>845</v>
      </c>
      <c r="HE410" t="s">
        <v>900</v>
      </c>
      <c r="HF410" t="s">
        <v>923</v>
      </c>
      <c r="HG410" t="s">
        <v>894</v>
      </c>
      <c r="HH410" t="s">
        <v>935</v>
      </c>
      <c r="HI410" t="s">
        <v>845</v>
      </c>
      <c r="HJ410" t="s">
        <v>900</v>
      </c>
      <c r="HK410" t="s">
        <v>922</v>
      </c>
      <c r="HL410" t="s">
        <v>904</v>
      </c>
      <c r="HM410" t="s">
        <v>854</v>
      </c>
      <c r="HN410">
        <v>36805</v>
      </c>
      <c r="HP410" t="s">
        <v>178</v>
      </c>
      <c r="HQ410" t="s">
        <v>896</v>
      </c>
      <c r="HR410" t="s">
        <v>896</v>
      </c>
      <c r="HS410" t="s">
        <v>896</v>
      </c>
    </row>
    <row r="411" spans="1:227" x14ac:dyDescent="0.2">
      <c r="A411">
        <v>8702</v>
      </c>
      <c r="B411">
        <v>7522902171</v>
      </c>
      <c r="C411">
        <v>36</v>
      </c>
      <c r="D411" t="s">
        <v>1302</v>
      </c>
      <c r="E411" t="s">
        <v>831</v>
      </c>
      <c r="F411">
        <v>1</v>
      </c>
      <c r="G411" t="s">
        <v>8676</v>
      </c>
      <c r="H411" t="s">
        <v>8676</v>
      </c>
      <c r="I411">
        <v>0</v>
      </c>
      <c r="J411" t="s">
        <v>833</v>
      </c>
      <c r="K411" t="s">
        <v>834</v>
      </c>
      <c r="L411">
        <v>156586357</v>
      </c>
      <c r="M411" t="s">
        <v>8677</v>
      </c>
      <c r="N411" t="s">
        <v>836</v>
      </c>
      <c r="O411" t="s">
        <v>837</v>
      </c>
      <c r="P411" t="s">
        <v>1302</v>
      </c>
      <c r="Q411" t="s">
        <v>1517</v>
      </c>
      <c r="R411" t="s">
        <v>8678</v>
      </c>
      <c r="S411" t="s">
        <v>8679</v>
      </c>
      <c r="T411">
        <v>41477049179</v>
      </c>
      <c r="V411" t="s">
        <v>196</v>
      </c>
      <c r="W411" s="41">
        <v>45886</v>
      </c>
      <c r="X411" t="s">
        <v>8680</v>
      </c>
      <c r="Y411" t="s">
        <v>8681</v>
      </c>
      <c r="AA411">
        <v>0</v>
      </c>
      <c r="AB411" t="s">
        <v>845</v>
      </c>
      <c r="AC411" t="s">
        <v>846</v>
      </c>
      <c r="AD411" t="s">
        <v>847</v>
      </c>
      <c r="AE411" t="s">
        <v>848</v>
      </c>
      <c r="AF411">
        <v>1</v>
      </c>
      <c r="AG411">
        <v>452210</v>
      </c>
      <c r="AH411" t="s">
        <v>849</v>
      </c>
      <c r="AI411" t="s">
        <v>850</v>
      </c>
      <c r="AJ411" t="s">
        <v>851</v>
      </c>
      <c r="AK411" t="s">
        <v>506</v>
      </c>
      <c r="AL411" t="s">
        <v>8682</v>
      </c>
      <c r="AM411" t="s">
        <v>1712</v>
      </c>
      <c r="AN411" t="s">
        <v>854</v>
      </c>
      <c r="AO411">
        <v>36805</v>
      </c>
      <c r="AP411">
        <v>639</v>
      </c>
      <c r="AQ411" t="s">
        <v>855</v>
      </c>
      <c r="AR411">
        <v>66073804</v>
      </c>
      <c r="AS411" t="s">
        <v>856</v>
      </c>
      <c r="AU411" t="s">
        <v>8683</v>
      </c>
      <c r="AV411" t="s">
        <v>8684</v>
      </c>
      <c r="AX411" t="s">
        <v>913</v>
      </c>
      <c r="AY411" t="s">
        <v>861</v>
      </c>
      <c r="AZ411" t="s">
        <v>506</v>
      </c>
      <c r="BA411" t="s">
        <v>507</v>
      </c>
      <c r="BB411">
        <v>0</v>
      </c>
      <c r="BC411">
        <v>0</v>
      </c>
      <c r="BD411">
        <v>0</v>
      </c>
      <c r="BE411" t="s">
        <v>8677</v>
      </c>
      <c r="BF411">
        <v>0</v>
      </c>
      <c r="BG411">
        <v>0</v>
      </c>
      <c r="BH411" t="s">
        <v>862</v>
      </c>
      <c r="BI411">
        <v>0</v>
      </c>
      <c r="BJ411" t="s">
        <v>862</v>
      </c>
      <c r="BK411">
        <v>1</v>
      </c>
      <c r="BL411">
        <v>1</v>
      </c>
      <c r="BM411">
        <v>0</v>
      </c>
      <c r="BN411" t="s">
        <v>596</v>
      </c>
      <c r="BO411">
        <v>156586357</v>
      </c>
      <c r="BP411" t="s">
        <v>8676</v>
      </c>
      <c r="BQ411">
        <v>41.867105299999999</v>
      </c>
      <c r="BR411">
        <v>42791771</v>
      </c>
      <c r="BS411">
        <v>-88.341967999999994</v>
      </c>
      <c r="BT411">
        <v>0</v>
      </c>
      <c r="CM411">
        <v>4010</v>
      </c>
      <c r="CO411">
        <v>7360</v>
      </c>
      <c r="CP411">
        <v>0.75</v>
      </c>
      <c r="CQ411">
        <v>0.75</v>
      </c>
      <c r="CR411">
        <v>0</v>
      </c>
      <c r="CS411">
        <v>16</v>
      </c>
      <c r="CT411" t="s">
        <v>8685</v>
      </c>
      <c r="CU411" t="s">
        <v>8686</v>
      </c>
      <c r="CV411" t="s">
        <v>833</v>
      </c>
      <c r="CW411" t="s">
        <v>834</v>
      </c>
      <c r="CX411" t="s">
        <v>8677</v>
      </c>
      <c r="CY411">
        <v>0</v>
      </c>
      <c r="CZ411">
        <v>0</v>
      </c>
      <c r="DA411" t="s">
        <v>833</v>
      </c>
      <c r="DB411" t="s">
        <v>865</v>
      </c>
      <c r="DC411">
        <v>60134</v>
      </c>
      <c r="DD411">
        <v>6.7667000000000002</v>
      </c>
      <c r="DE411" t="s">
        <v>866</v>
      </c>
      <c r="DG411" t="s">
        <v>867</v>
      </c>
      <c r="DH411" t="s">
        <v>851</v>
      </c>
      <c r="DL411" t="s">
        <v>869</v>
      </c>
      <c r="DM411">
        <v>0</v>
      </c>
      <c r="DN411">
        <v>0</v>
      </c>
      <c r="DO411">
        <v>2</v>
      </c>
      <c r="DP411" t="s">
        <v>870</v>
      </c>
      <c r="DQ411">
        <v>16</v>
      </c>
      <c r="DR411">
        <v>406</v>
      </c>
      <c r="DS411">
        <v>406</v>
      </c>
      <c r="DT411">
        <v>6.0167000000000002</v>
      </c>
      <c r="DU411">
        <v>4</v>
      </c>
      <c r="DW411">
        <v>2</v>
      </c>
      <c r="DX411" t="s">
        <v>596</v>
      </c>
      <c r="DY411" t="s">
        <v>8677</v>
      </c>
      <c r="DZ411">
        <v>1</v>
      </c>
      <c r="EA411">
        <v>1</v>
      </c>
      <c r="EB411">
        <v>1</v>
      </c>
      <c r="EC411">
        <v>0</v>
      </c>
      <c r="ED411">
        <v>0</v>
      </c>
      <c r="EE411">
        <v>1</v>
      </c>
      <c r="EF411" t="s">
        <v>920</v>
      </c>
      <c r="EG411" t="s">
        <v>595</v>
      </c>
      <c r="EH411" t="s">
        <v>921</v>
      </c>
      <c r="EI411" t="s">
        <v>921</v>
      </c>
      <c r="EJ411" t="s">
        <v>181</v>
      </c>
      <c r="EK411">
        <v>9090</v>
      </c>
      <c r="EL411">
        <v>0</v>
      </c>
      <c r="EM411" t="s">
        <v>1436</v>
      </c>
      <c r="EN411">
        <v>0</v>
      </c>
      <c r="EO411">
        <v>6.75</v>
      </c>
      <c r="EP411">
        <v>99991120</v>
      </c>
      <c r="EQ411" t="s">
        <v>874</v>
      </c>
      <c r="ER411" t="s">
        <v>875</v>
      </c>
      <c r="ES411" t="s">
        <v>876</v>
      </c>
      <c r="ET411" t="s">
        <v>877</v>
      </c>
      <c r="EU411" t="s">
        <v>877</v>
      </c>
      <c r="EV411" t="s">
        <v>920</v>
      </c>
      <c r="EX411" t="s">
        <v>836</v>
      </c>
      <c r="EY411" t="s">
        <v>873</v>
      </c>
      <c r="EZ411" t="s">
        <v>1437</v>
      </c>
      <c r="FA411" t="s">
        <v>956</v>
      </c>
      <c r="FB411">
        <v>1</v>
      </c>
      <c r="FC411">
        <v>1</v>
      </c>
      <c r="FD411" s="41">
        <v>45892</v>
      </c>
      <c r="FE411" t="s">
        <v>987</v>
      </c>
      <c r="FF411">
        <v>4</v>
      </c>
      <c r="FI411">
        <v>0</v>
      </c>
      <c r="FL411">
        <v>0</v>
      </c>
      <c r="FM411" t="s">
        <v>8687</v>
      </c>
      <c r="FN411" t="s">
        <v>8688</v>
      </c>
      <c r="FO411">
        <v>1</v>
      </c>
      <c r="FP411" t="s">
        <v>8689</v>
      </c>
      <c r="FQ411" t="s">
        <v>8686</v>
      </c>
      <c r="FR411">
        <v>1</v>
      </c>
      <c r="FS411" t="s">
        <v>8033</v>
      </c>
      <c r="FT411" t="s">
        <v>8690</v>
      </c>
      <c r="FU411">
        <v>1</v>
      </c>
      <c r="FV411" t="s">
        <v>8691</v>
      </c>
      <c r="FW411" t="s">
        <v>8692</v>
      </c>
      <c r="FX411">
        <v>1</v>
      </c>
      <c r="FY411" t="s">
        <v>890</v>
      </c>
      <c r="FZ411" t="s">
        <v>8693</v>
      </c>
      <c r="GA411" t="s">
        <v>8691</v>
      </c>
      <c r="GB411">
        <v>1</v>
      </c>
      <c r="GD411">
        <v>0</v>
      </c>
      <c r="GF411">
        <v>0</v>
      </c>
      <c r="GG411">
        <v>1</v>
      </c>
      <c r="GH411" t="s">
        <v>892</v>
      </c>
      <c r="GI411" t="s">
        <v>893</v>
      </c>
      <c r="GJ411" t="s">
        <v>8692</v>
      </c>
      <c r="GM411">
        <v>1</v>
      </c>
      <c r="GN411">
        <v>1</v>
      </c>
      <c r="GO411">
        <v>0</v>
      </c>
      <c r="GP411">
        <v>1</v>
      </c>
      <c r="GQ411">
        <v>1</v>
      </c>
      <c r="GR411">
        <v>0</v>
      </c>
      <c r="GS411">
        <v>1</v>
      </c>
      <c r="GT411">
        <v>0</v>
      </c>
      <c r="GU411">
        <v>1</v>
      </c>
      <c r="GV411">
        <v>0</v>
      </c>
      <c r="GW411">
        <v>1</v>
      </c>
      <c r="GX411">
        <v>0</v>
      </c>
      <c r="GY411">
        <v>1</v>
      </c>
      <c r="GZ411">
        <v>0</v>
      </c>
      <c r="HA411" t="s">
        <v>506</v>
      </c>
      <c r="HB411" t="s">
        <v>894</v>
      </c>
      <c r="HC411" t="s">
        <v>895</v>
      </c>
      <c r="HD411" t="s">
        <v>845</v>
      </c>
      <c r="HE411" t="s">
        <v>836</v>
      </c>
      <c r="HF411" t="s">
        <v>873</v>
      </c>
      <c r="HG411" t="s">
        <v>894</v>
      </c>
      <c r="HH411" t="s">
        <v>895</v>
      </c>
      <c r="HI411" t="s">
        <v>845</v>
      </c>
      <c r="HJ411" t="s">
        <v>836</v>
      </c>
      <c r="HK411" t="s">
        <v>1436</v>
      </c>
      <c r="HL411" t="s">
        <v>196</v>
      </c>
      <c r="HM411" t="s">
        <v>854</v>
      </c>
      <c r="HN411">
        <v>36805</v>
      </c>
      <c r="HP411" t="s">
        <v>181</v>
      </c>
      <c r="HQ411" t="s">
        <v>896</v>
      </c>
      <c r="HR411" t="s">
        <v>896</v>
      </c>
      <c r="HS411" t="s">
        <v>896</v>
      </c>
    </row>
    <row r="412" spans="1:227" x14ac:dyDescent="0.2">
      <c r="A412">
        <v>8702</v>
      </c>
      <c r="B412">
        <v>7531012847</v>
      </c>
      <c r="C412" t="s">
        <v>936</v>
      </c>
      <c r="D412" t="s">
        <v>937</v>
      </c>
      <c r="E412" t="s">
        <v>897</v>
      </c>
      <c r="F412">
        <v>1</v>
      </c>
      <c r="G412" t="s">
        <v>8694</v>
      </c>
      <c r="H412" t="s">
        <v>8694</v>
      </c>
      <c r="I412">
        <v>0</v>
      </c>
      <c r="J412" t="s">
        <v>833</v>
      </c>
      <c r="K412" t="s">
        <v>834</v>
      </c>
      <c r="L412">
        <v>153406473</v>
      </c>
      <c r="M412" t="s">
        <v>4466</v>
      </c>
      <c r="N412" t="s">
        <v>900</v>
      </c>
      <c r="O412" t="s">
        <v>837</v>
      </c>
      <c r="P412" t="s">
        <v>940</v>
      </c>
      <c r="Q412" t="s">
        <v>1080</v>
      </c>
      <c r="R412" t="s">
        <v>8695</v>
      </c>
      <c r="S412" t="s">
        <v>8696</v>
      </c>
      <c r="T412">
        <v>30300098918</v>
      </c>
      <c r="V412" t="s">
        <v>204</v>
      </c>
      <c r="W412" s="41">
        <v>45967</v>
      </c>
      <c r="X412" t="s">
        <v>8697</v>
      </c>
      <c r="Y412" t="s">
        <v>8698</v>
      </c>
      <c r="AA412">
        <v>0</v>
      </c>
      <c r="AB412" t="s">
        <v>845</v>
      </c>
      <c r="AC412" t="s">
        <v>846</v>
      </c>
      <c r="AD412" t="s">
        <v>847</v>
      </c>
      <c r="AE412" t="s">
        <v>848</v>
      </c>
      <c r="AF412">
        <v>1</v>
      </c>
      <c r="AG412">
        <v>452210</v>
      </c>
      <c r="AH412" t="s">
        <v>849</v>
      </c>
      <c r="AI412" t="s">
        <v>850</v>
      </c>
      <c r="AJ412" t="s">
        <v>851</v>
      </c>
      <c r="AK412" t="s">
        <v>348</v>
      </c>
      <c r="AL412" t="s">
        <v>5043</v>
      </c>
      <c r="AM412" t="s">
        <v>4472</v>
      </c>
      <c r="AN412" t="s">
        <v>854</v>
      </c>
      <c r="AO412">
        <v>36805</v>
      </c>
      <c r="AP412">
        <v>644</v>
      </c>
      <c r="AQ412" t="s">
        <v>855</v>
      </c>
      <c r="AR412">
        <v>66190371</v>
      </c>
      <c r="AS412" t="s">
        <v>856</v>
      </c>
      <c r="AU412" t="s">
        <v>8699</v>
      </c>
      <c r="AV412" t="s">
        <v>8700</v>
      </c>
      <c r="AX412" t="s">
        <v>913</v>
      </c>
      <c r="AY412" t="s">
        <v>861</v>
      </c>
      <c r="AZ412" t="s">
        <v>348</v>
      </c>
      <c r="BA412" t="s">
        <v>349</v>
      </c>
      <c r="BB412">
        <v>0</v>
      </c>
      <c r="BC412">
        <v>0</v>
      </c>
      <c r="BD412">
        <v>0</v>
      </c>
      <c r="BE412" t="s">
        <v>4466</v>
      </c>
      <c r="BF412">
        <v>0</v>
      </c>
      <c r="BG412">
        <v>0</v>
      </c>
      <c r="BH412" t="s">
        <v>862</v>
      </c>
      <c r="BI412">
        <v>0</v>
      </c>
      <c r="BJ412" t="s">
        <v>862</v>
      </c>
      <c r="BK412">
        <v>1</v>
      </c>
      <c r="BL412">
        <v>1</v>
      </c>
      <c r="BM412">
        <v>0</v>
      </c>
      <c r="BN412" t="s">
        <v>596</v>
      </c>
      <c r="BO412">
        <v>153406473</v>
      </c>
      <c r="BP412" t="s">
        <v>8694</v>
      </c>
      <c r="BR412">
        <v>42791775</v>
      </c>
      <c r="BT412">
        <v>0</v>
      </c>
      <c r="CM412">
        <v>4010</v>
      </c>
      <c r="CO412">
        <v>7360</v>
      </c>
      <c r="CP412">
        <v>0.9</v>
      </c>
      <c r="CQ412">
        <v>0.9</v>
      </c>
      <c r="CR412">
        <v>0.76670000000000005</v>
      </c>
      <c r="CS412">
        <v>1</v>
      </c>
      <c r="CT412" t="s">
        <v>8700</v>
      </c>
      <c r="CU412" t="s">
        <v>8699</v>
      </c>
      <c r="CV412" t="s">
        <v>833</v>
      </c>
      <c r="CW412" t="s">
        <v>834</v>
      </c>
      <c r="CX412" t="s">
        <v>4466</v>
      </c>
      <c r="CY412">
        <v>0</v>
      </c>
      <c r="CZ412">
        <v>0</v>
      </c>
      <c r="DA412" t="s">
        <v>833</v>
      </c>
      <c r="DB412" t="s">
        <v>865</v>
      </c>
      <c r="DC412">
        <v>48307</v>
      </c>
      <c r="DD412">
        <v>1.6833</v>
      </c>
      <c r="DE412" t="s">
        <v>866</v>
      </c>
      <c r="DG412" t="s">
        <v>867</v>
      </c>
      <c r="DH412" t="s">
        <v>851</v>
      </c>
      <c r="DJ412" t="s">
        <v>4475</v>
      </c>
      <c r="DL412" t="s">
        <v>869</v>
      </c>
      <c r="DM412">
        <v>0</v>
      </c>
      <c r="DN412">
        <v>0</v>
      </c>
      <c r="DO412">
        <v>2</v>
      </c>
      <c r="DP412" t="s">
        <v>870</v>
      </c>
      <c r="DQ412">
        <v>12</v>
      </c>
      <c r="DR412">
        <v>101</v>
      </c>
      <c r="DS412">
        <v>101</v>
      </c>
      <c r="DT412">
        <v>0.7833</v>
      </c>
      <c r="DU412">
        <v>4</v>
      </c>
      <c r="DW412">
        <v>1</v>
      </c>
      <c r="DX412" t="s">
        <v>596</v>
      </c>
      <c r="DY412" t="s">
        <v>4466</v>
      </c>
      <c r="DZ412">
        <v>1</v>
      </c>
      <c r="EA412">
        <v>1</v>
      </c>
      <c r="EB412">
        <v>1</v>
      </c>
      <c r="EC412">
        <v>1</v>
      </c>
      <c r="ED412">
        <v>1</v>
      </c>
      <c r="EE412">
        <v>1</v>
      </c>
      <c r="EF412" t="s">
        <v>871</v>
      </c>
      <c r="EG412" t="s">
        <v>595</v>
      </c>
      <c r="EH412" t="s">
        <v>1036</v>
      </c>
      <c r="EI412" t="s">
        <v>1036</v>
      </c>
      <c r="EJ412" t="s">
        <v>178</v>
      </c>
      <c r="EK412">
        <v>9090</v>
      </c>
      <c r="EL412">
        <v>0</v>
      </c>
      <c r="EM412" t="s">
        <v>952</v>
      </c>
      <c r="EN412">
        <v>0.76670000000000005</v>
      </c>
      <c r="EO412">
        <v>1.6833332999999999</v>
      </c>
      <c r="EP412">
        <v>99991120</v>
      </c>
      <c r="EQ412" t="s">
        <v>874</v>
      </c>
      <c r="ER412" t="s">
        <v>875</v>
      </c>
      <c r="ES412" t="s">
        <v>876</v>
      </c>
      <c r="ET412" t="s">
        <v>877</v>
      </c>
      <c r="EU412" t="s">
        <v>877</v>
      </c>
      <c r="EV412" t="s">
        <v>871</v>
      </c>
      <c r="EX412" t="s">
        <v>953</v>
      </c>
      <c r="EY412" t="s">
        <v>954</v>
      </c>
      <c r="EZ412" t="s">
        <v>955</v>
      </c>
      <c r="FA412" t="s">
        <v>956</v>
      </c>
      <c r="FB412">
        <v>1</v>
      </c>
      <c r="FC412">
        <v>1</v>
      </c>
      <c r="FD412" s="41">
        <v>45969</v>
      </c>
      <c r="FE412" t="s">
        <v>1438</v>
      </c>
      <c r="FF412">
        <v>4</v>
      </c>
      <c r="FI412">
        <v>0</v>
      </c>
      <c r="FL412">
        <v>0</v>
      </c>
      <c r="FM412" t="s">
        <v>4476</v>
      </c>
      <c r="FN412" t="s">
        <v>8701</v>
      </c>
      <c r="FO412">
        <v>1</v>
      </c>
      <c r="FP412" t="s">
        <v>8702</v>
      </c>
      <c r="FQ412" t="s">
        <v>8699</v>
      </c>
      <c r="FR412">
        <v>1</v>
      </c>
      <c r="FS412" t="s">
        <v>5046</v>
      </c>
      <c r="FT412" t="s">
        <v>8703</v>
      </c>
      <c r="FU412">
        <v>1</v>
      </c>
      <c r="FV412" t="s">
        <v>8704</v>
      </c>
      <c r="FW412" t="s">
        <v>8705</v>
      </c>
      <c r="FX412">
        <v>1</v>
      </c>
      <c r="FY412" t="s">
        <v>890</v>
      </c>
      <c r="FZ412" t="s">
        <v>8706</v>
      </c>
      <c r="GA412" t="s">
        <v>8704</v>
      </c>
      <c r="GB412">
        <v>1</v>
      </c>
      <c r="GD412">
        <v>0</v>
      </c>
      <c r="GF412">
        <v>0</v>
      </c>
      <c r="GG412">
        <v>1</v>
      </c>
      <c r="GH412" t="s">
        <v>892</v>
      </c>
      <c r="GI412" t="s">
        <v>893</v>
      </c>
      <c r="GJ412" t="s">
        <v>8705</v>
      </c>
      <c r="GM412">
        <v>1</v>
      </c>
      <c r="GN412">
        <v>1</v>
      </c>
      <c r="GO412">
        <v>0</v>
      </c>
      <c r="GP412">
        <v>1</v>
      </c>
      <c r="GQ412">
        <v>1</v>
      </c>
      <c r="GR412">
        <v>0</v>
      </c>
      <c r="GS412">
        <v>1</v>
      </c>
      <c r="GT412">
        <v>0</v>
      </c>
      <c r="GU412">
        <v>1</v>
      </c>
      <c r="GV412">
        <v>0</v>
      </c>
      <c r="GW412">
        <v>1</v>
      </c>
      <c r="GX412">
        <v>0</v>
      </c>
      <c r="GY412">
        <v>1</v>
      </c>
      <c r="GZ412">
        <v>0</v>
      </c>
      <c r="HA412" t="s">
        <v>348</v>
      </c>
      <c r="HB412" t="s">
        <v>894</v>
      </c>
      <c r="HC412" t="s">
        <v>935</v>
      </c>
      <c r="HD412" t="s">
        <v>845</v>
      </c>
      <c r="HE412" t="s">
        <v>900</v>
      </c>
      <c r="HF412" t="s">
        <v>923</v>
      </c>
      <c r="HG412" t="s">
        <v>894</v>
      </c>
      <c r="HH412" t="s">
        <v>935</v>
      </c>
      <c r="HI412" t="s">
        <v>845</v>
      </c>
      <c r="HJ412" t="s">
        <v>900</v>
      </c>
      <c r="HK412" t="s">
        <v>952</v>
      </c>
      <c r="HL412" t="s">
        <v>204</v>
      </c>
      <c r="HM412" t="s">
        <v>854</v>
      </c>
      <c r="HN412">
        <v>36805</v>
      </c>
      <c r="HP412" t="s">
        <v>178</v>
      </c>
      <c r="HQ412" t="s">
        <v>896</v>
      </c>
      <c r="HR412" t="s">
        <v>896</v>
      </c>
      <c r="HS412" t="s">
        <v>896</v>
      </c>
    </row>
    <row r="413" spans="1:227" x14ac:dyDescent="0.2">
      <c r="A413">
        <v>8702</v>
      </c>
      <c r="B413">
        <v>7604702671</v>
      </c>
      <c r="C413">
        <v>34</v>
      </c>
      <c r="D413" t="s">
        <v>996</v>
      </c>
      <c r="E413" t="s">
        <v>831</v>
      </c>
      <c r="F413">
        <v>0</v>
      </c>
      <c r="G413" t="s">
        <v>8707</v>
      </c>
      <c r="H413" t="s">
        <v>8707</v>
      </c>
      <c r="I413">
        <v>0</v>
      </c>
      <c r="J413" t="s">
        <v>833</v>
      </c>
      <c r="K413" t="s">
        <v>834</v>
      </c>
      <c r="L413">
        <v>152949066</v>
      </c>
      <c r="M413" t="s">
        <v>8708</v>
      </c>
      <c r="N413" t="s">
        <v>836</v>
      </c>
      <c r="O413" t="s">
        <v>837</v>
      </c>
      <c r="P413" t="s">
        <v>999</v>
      </c>
      <c r="Q413" t="s">
        <v>3998</v>
      </c>
      <c r="R413" t="s">
        <v>8709</v>
      </c>
      <c r="S413" t="s">
        <v>8710</v>
      </c>
      <c r="T413">
        <v>41477087304</v>
      </c>
      <c r="V413" t="s">
        <v>183</v>
      </c>
      <c r="W413" s="41">
        <v>46069</v>
      </c>
      <c r="X413" t="s">
        <v>8711</v>
      </c>
      <c r="Y413" t="s">
        <v>8712</v>
      </c>
      <c r="AA413">
        <v>0</v>
      </c>
      <c r="AB413" t="s">
        <v>845</v>
      </c>
      <c r="AC413" t="s">
        <v>846</v>
      </c>
      <c r="AD413" t="s">
        <v>1113</v>
      </c>
      <c r="AE413" t="s">
        <v>1114</v>
      </c>
      <c r="AF413">
        <v>1</v>
      </c>
      <c r="AG413">
        <v>452210</v>
      </c>
      <c r="AH413" t="s">
        <v>849</v>
      </c>
      <c r="AI413" t="s">
        <v>850</v>
      </c>
      <c r="AJ413" t="s">
        <v>851</v>
      </c>
      <c r="AK413" t="s">
        <v>352</v>
      </c>
      <c r="AL413" t="s">
        <v>3223</v>
      </c>
      <c r="AM413" t="s">
        <v>1429</v>
      </c>
      <c r="AN413" t="s">
        <v>854</v>
      </c>
      <c r="AO413">
        <v>36805</v>
      </c>
      <c r="AP413">
        <v>632</v>
      </c>
      <c r="AQ413" t="s">
        <v>855</v>
      </c>
      <c r="AR413">
        <v>66337218</v>
      </c>
      <c r="AS413" t="s">
        <v>856</v>
      </c>
      <c r="AU413" t="s">
        <v>8713</v>
      </c>
      <c r="AV413" t="s">
        <v>8714</v>
      </c>
      <c r="AW413" t="s">
        <v>859</v>
      </c>
      <c r="AX413" t="s">
        <v>860</v>
      </c>
      <c r="AY413" t="s">
        <v>861</v>
      </c>
      <c r="AZ413" t="s">
        <v>352</v>
      </c>
      <c r="BA413" t="s">
        <v>353</v>
      </c>
      <c r="BB413">
        <v>0</v>
      </c>
      <c r="BC413">
        <v>0</v>
      </c>
      <c r="BD413">
        <v>0</v>
      </c>
      <c r="BE413" t="s">
        <v>8708</v>
      </c>
      <c r="BF413">
        <v>0</v>
      </c>
      <c r="BG413">
        <v>0</v>
      </c>
      <c r="BH413" t="s">
        <v>862</v>
      </c>
      <c r="BI413">
        <v>0</v>
      </c>
      <c r="BJ413" t="s">
        <v>862</v>
      </c>
      <c r="BK413">
        <v>1</v>
      </c>
      <c r="BL413">
        <v>0</v>
      </c>
      <c r="BM413">
        <v>0</v>
      </c>
      <c r="BN413" t="s">
        <v>596</v>
      </c>
      <c r="BO413">
        <v>152949066</v>
      </c>
      <c r="BP413" t="s">
        <v>8707</v>
      </c>
      <c r="BR413">
        <v>42791748</v>
      </c>
      <c r="BT413">
        <v>2</v>
      </c>
      <c r="BU413" t="s">
        <v>1780</v>
      </c>
      <c r="CE413">
        <v>1</v>
      </c>
      <c r="CI413">
        <v>11</v>
      </c>
      <c r="CJ413" t="s">
        <v>94</v>
      </c>
      <c r="CM413">
        <v>4010</v>
      </c>
      <c r="CO413">
        <v>7360</v>
      </c>
      <c r="CP413">
        <v>0.1167</v>
      </c>
      <c r="CQ413">
        <v>0.1167</v>
      </c>
      <c r="CR413">
        <v>0.1</v>
      </c>
      <c r="CS413">
        <v>3</v>
      </c>
      <c r="CT413" t="s">
        <v>8715</v>
      </c>
      <c r="CU413" t="s">
        <v>8716</v>
      </c>
      <c r="CV413" t="s">
        <v>833</v>
      </c>
      <c r="CW413" t="s">
        <v>834</v>
      </c>
      <c r="CX413" t="s">
        <v>8708</v>
      </c>
      <c r="CY413">
        <v>0</v>
      </c>
      <c r="CZ413">
        <v>0</v>
      </c>
      <c r="DA413" t="s">
        <v>833</v>
      </c>
      <c r="DB413" t="s">
        <v>865</v>
      </c>
      <c r="DC413">
        <v>60515</v>
      </c>
      <c r="DD413">
        <v>1.45</v>
      </c>
      <c r="DE413" t="s">
        <v>866</v>
      </c>
      <c r="DG413" t="s">
        <v>867</v>
      </c>
      <c r="DH413" t="s">
        <v>851</v>
      </c>
      <c r="DI413" t="s">
        <v>7026</v>
      </c>
      <c r="DK413" t="s">
        <v>918</v>
      </c>
      <c r="DL413" t="s">
        <v>869</v>
      </c>
      <c r="DM413">
        <v>0</v>
      </c>
      <c r="DN413">
        <v>0</v>
      </c>
      <c r="DO413">
        <v>53</v>
      </c>
      <c r="DP413" t="s">
        <v>1156</v>
      </c>
      <c r="DQ413">
        <v>0</v>
      </c>
      <c r="DR413">
        <v>87</v>
      </c>
      <c r="DS413">
        <v>87</v>
      </c>
      <c r="DT413">
        <v>1.3332999999999999</v>
      </c>
      <c r="DU413">
        <v>0</v>
      </c>
      <c r="DV413">
        <v>1</v>
      </c>
      <c r="DW413">
        <v>1</v>
      </c>
      <c r="DX413" t="s">
        <v>594</v>
      </c>
      <c r="DY413" t="s">
        <v>8708</v>
      </c>
      <c r="DZ413">
        <v>1</v>
      </c>
      <c r="EA413">
        <v>1</v>
      </c>
      <c r="EB413">
        <v>1</v>
      </c>
      <c r="EC413">
        <v>1</v>
      </c>
      <c r="ED413">
        <v>1</v>
      </c>
      <c r="EE413">
        <v>1</v>
      </c>
      <c r="EF413" t="s">
        <v>871</v>
      </c>
      <c r="EG413" t="s">
        <v>595</v>
      </c>
      <c r="EH413" t="s">
        <v>1695</v>
      </c>
      <c r="EI413" t="s">
        <v>1695</v>
      </c>
      <c r="EJ413" t="s">
        <v>181</v>
      </c>
      <c r="EK413">
        <v>9090</v>
      </c>
      <c r="EL413">
        <v>0</v>
      </c>
      <c r="EM413" t="s">
        <v>1436</v>
      </c>
      <c r="EN413">
        <v>0.1</v>
      </c>
      <c r="EO413">
        <v>1.45</v>
      </c>
      <c r="EP413">
        <v>99991120</v>
      </c>
      <c r="EQ413" t="s">
        <v>874</v>
      </c>
      <c r="ER413" t="s">
        <v>875</v>
      </c>
      <c r="ES413" t="s">
        <v>876</v>
      </c>
      <c r="ET413" t="s">
        <v>877</v>
      </c>
      <c r="EU413" t="s">
        <v>877</v>
      </c>
      <c r="EV413" t="s">
        <v>871</v>
      </c>
      <c r="EX413" t="s">
        <v>836</v>
      </c>
      <c r="EY413" t="s">
        <v>873</v>
      </c>
      <c r="EZ413" t="s">
        <v>1437</v>
      </c>
      <c r="FA413" t="s">
        <v>956</v>
      </c>
      <c r="FB413">
        <v>1</v>
      </c>
      <c r="FC413">
        <v>1</v>
      </c>
      <c r="FD413" s="41">
        <v>46074</v>
      </c>
      <c r="FE413" t="s">
        <v>1267</v>
      </c>
      <c r="FF413">
        <v>5</v>
      </c>
      <c r="FI413">
        <v>0</v>
      </c>
      <c r="FJ413" t="s">
        <v>8717</v>
      </c>
      <c r="FK413" t="s">
        <v>8718</v>
      </c>
      <c r="FL413">
        <v>1</v>
      </c>
      <c r="FM413" t="s">
        <v>8719</v>
      </c>
      <c r="FN413" t="s">
        <v>8720</v>
      </c>
      <c r="FO413">
        <v>1</v>
      </c>
      <c r="FP413" t="s">
        <v>8721</v>
      </c>
      <c r="FQ413" t="s">
        <v>8716</v>
      </c>
      <c r="FR413">
        <v>1</v>
      </c>
      <c r="FS413" t="s">
        <v>2260</v>
      </c>
      <c r="FT413" t="s">
        <v>8722</v>
      </c>
      <c r="FU413">
        <v>1</v>
      </c>
      <c r="FV413" t="s">
        <v>7657</v>
      </c>
      <c r="FW413" t="s">
        <v>8718</v>
      </c>
      <c r="FX413">
        <v>1</v>
      </c>
      <c r="FY413" t="s">
        <v>890</v>
      </c>
      <c r="FZ413" t="s">
        <v>8723</v>
      </c>
      <c r="GA413" t="s">
        <v>8717</v>
      </c>
      <c r="GB413">
        <v>1</v>
      </c>
      <c r="GD413">
        <v>0</v>
      </c>
      <c r="GF413">
        <v>0</v>
      </c>
      <c r="GG413">
        <v>1</v>
      </c>
      <c r="GH413" t="s">
        <v>892</v>
      </c>
      <c r="GI413" t="s">
        <v>893</v>
      </c>
      <c r="GJ413" t="s">
        <v>8718</v>
      </c>
      <c r="GM413">
        <v>1</v>
      </c>
      <c r="GN413">
        <v>1</v>
      </c>
      <c r="GO413">
        <v>0</v>
      </c>
      <c r="GP413">
        <v>1</v>
      </c>
      <c r="GQ413">
        <v>1</v>
      </c>
      <c r="GR413">
        <v>0</v>
      </c>
      <c r="GS413">
        <v>1</v>
      </c>
      <c r="GT413">
        <v>0</v>
      </c>
      <c r="GU413">
        <v>1</v>
      </c>
      <c r="GV413">
        <v>0</v>
      </c>
      <c r="GW413">
        <v>1</v>
      </c>
      <c r="GX413">
        <v>0</v>
      </c>
      <c r="GY413">
        <v>1</v>
      </c>
      <c r="GZ413">
        <v>0</v>
      </c>
      <c r="HA413" t="s">
        <v>352</v>
      </c>
      <c r="HB413" t="s">
        <v>894</v>
      </c>
      <c r="HC413" t="s">
        <v>895</v>
      </c>
      <c r="HD413" t="s">
        <v>845</v>
      </c>
      <c r="HE413" t="s">
        <v>836</v>
      </c>
      <c r="HF413" t="s">
        <v>873</v>
      </c>
      <c r="HG413" t="s">
        <v>894</v>
      </c>
      <c r="HH413" t="s">
        <v>895</v>
      </c>
      <c r="HI413" t="s">
        <v>845</v>
      </c>
      <c r="HJ413" t="s">
        <v>836</v>
      </c>
      <c r="HK413" t="s">
        <v>1436</v>
      </c>
      <c r="HL413" t="s">
        <v>183</v>
      </c>
      <c r="HM413" t="s">
        <v>854</v>
      </c>
      <c r="HN413">
        <v>36805</v>
      </c>
      <c r="HP413" t="s">
        <v>181</v>
      </c>
      <c r="HQ413" t="s">
        <v>896</v>
      </c>
      <c r="HR413" t="s">
        <v>896</v>
      </c>
      <c r="HS413" t="s">
        <v>896</v>
      </c>
    </row>
    <row r="414" spans="1:227" x14ac:dyDescent="0.2">
      <c r="A414">
        <v>8702</v>
      </c>
      <c r="B414">
        <v>7621705492</v>
      </c>
      <c r="C414">
        <v>34</v>
      </c>
      <c r="D414" t="s">
        <v>996</v>
      </c>
      <c r="E414" t="s">
        <v>897</v>
      </c>
      <c r="F414">
        <v>1</v>
      </c>
      <c r="G414" t="s">
        <v>8724</v>
      </c>
      <c r="H414" t="s">
        <v>8724</v>
      </c>
      <c r="I414">
        <v>0</v>
      </c>
      <c r="J414" t="s">
        <v>833</v>
      </c>
      <c r="K414" t="s">
        <v>834</v>
      </c>
      <c r="L414">
        <v>152946637</v>
      </c>
      <c r="M414" t="s">
        <v>8725</v>
      </c>
      <c r="N414" t="s">
        <v>900</v>
      </c>
      <c r="O414" t="s">
        <v>837</v>
      </c>
      <c r="P414" t="s">
        <v>999</v>
      </c>
      <c r="Q414" t="s">
        <v>1027</v>
      </c>
      <c r="R414" t="s">
        <v>8726</v>
      </c>
      <c r="S414" t="s">
        <v>8727</v>
      </c>
      <c r="T414">
        <v>41477124127</v>
      </c>
      <c r="V414" t="s">
        <v>142</v>
      </c>
      <c r="W414" s="41">
        <v>46239</v>
      </c>
      <c r="X414" t="s">
        <v>8728</v>
      </c>
      <c r="Y414" t="s">
        <v>8729</v>
      </c>
      <c r="AA414">
        <v>0</v>
      </c>
      <c r="AB414" t="s">
        <v>845</v>
      </c>
      <c r="AC414" t="s">
        <v>846</v>
      </c>
      <c r="AD414" t="s">
        <v>907</v>
      </c>
      <c r="AE414" t="s">
        <v>908</v>
      </c>
      <c r="AF414">
        <v>1</v>
      </c>
      <c r="AG414">
        <v>452210</v>
      </c>
      <c r="AH414" t="s">
        <v>849</v>
      </c>
      <c r="AI414" t="s">
        <v>850</v>
      </c>
      <c r="AJ414" t="s">
        <v>851</v>
      </c>
      <c r="AK414" t="s">
        <v>309</v>
      </c>
      <c r="AL414" t="s">
        <v>8730</v>
      </c>
      <c r="AM414" t="s">
        <v>3288</v>
      </c>
      <c r="AN414" t="s">
        <v>854</v>
      </c>
      <c r="AO414">
        <v>36805</v>
      </c>
      <c r="AP414">
        <v>527</v>
      </c>
      <c r="AQ414" t="s">
        <v>855</v>
      </c>
      <c r="AR414">
        <v>66582080</v>
      </c>
      <c r="AS414" t="s">
        <v>856</v>
      </c>
      <c r="AU414" t="s">
        <v>8731</v>
      </c>
      <c r="AV414" t="s">
        <v>8732</v>
      </c>
      <c r="AX414" t="s">
        <v>913</v>
      </c>
      <c r="AY414" t="s">
        <v>861</v>
      </c>
      <c r="AZ414" t="s">
        <v>309</v>
      </c>
      <c r="BA414" t="s">
        <v>8733</v>
      </c>
      <c r="BB414">
        <v>0</v>
      </c>
      <c r="BC414">
        <v>0</v>
      </c>
      <c r="BD414">
        <v>0</v>
      </c>
      <c r="BE414" t="s">
        <v>8725</v>
      </c>
      <c r="BF414">
        <v>0</v>
      </c>
      <c r="BG414">
        <v>0</v>
      </c>
      <c r="BH414" t="s">
        <v>862</v>
      </c>
      <c r="BI414">
        <v>0</v>
      </c>
      <c r="BJ414" t="s">
        <v>862</v>
      </c>
      <c r="BK414">
        <v>1</v>
      </c>
      <c r="BL414">
        <v>1</v>
      </c>
      <c r="BM414">
        <v>0</v>
      </c>
      <c r="BN414" t="s">
        <v>596</v>
      </c>
      <c r="BO414">
        <v>152946637</v>
      </c>
      <c r="BP414" t="s">
        <v>8724</v>
      </c>
      <c r="BR414">
        <v>42791440</v>
      </c>
      <c r="BT414">
        <v>2</v>
      </c>
      <c r="BU414" t="s">
        <v>914</v>
      </c>
      <c r="BY414">
        <v>16</v>
      </c>
      <c r="CA414">
        <v>4</v>
      </c>
      <c r="CE414">
        <v>1</v>
      </c>
      <c r="CI414">
        <v>11</v>
      </c>
      <c r="CJ414" t="s">
        <v>94</v>
      </c>
      <c r="CM414">
        <v>4010</v>
      </c>
      <c r="CO414">
        <v>7360</v>
      </c>
      <c r="CP414">
        <v>1.0166999999999999</v>
      </c>
      <c r="CQ414">
        <v>1.0166999999999999</v>
      </c>
      <c r="CR414">
        <v>1.2166999999999999</v>
      </c>
      <c r="CS414">
        <v>4</v>
      </c>
      <c r="CT414" t="s">
        <v>8732</v>
      </c>
      <c r="CU414" t="s">
        <v>8731</v>
      </c>
      <c r="CV414" t="s">
        <v>833</v>
      </c>
      <c r="CW414" t="s">
        <v>834</v>
      </c>
      <c r="CX414" t="s">
        <v>8725</v>
      </c>
      <c r="CY414">
        <v>0</v>
      </c>
      <c r="CZ414">
        <v>0</v>
      </c>
      <c r="DA414" t="s">
        <v>833</v>
      </c>
      <c r="DB414" t="s">
        <v>865</v>
      </c>
      <c r="DC414">
        <v>46037</v>
      </c>
      <c r="DD414">
        <v>4.3499999999999996</v>
      </c>
      <c r="DE414" t="s">
        <v>866</v>
      </c>
      <c r="DG414" t="s">
        <v>867</v>
      </c>
      <c r="DH414" t="s">
        <v>851</v>
      </c>
      <c r="DI414" t="s">
        <v>3384</v>
      </c>
      <c r="DK414" t="s">
        <v>918</v>
      </c>
      <c r="DL414" t="s">
        <v>869</v>
      </c>
      <c r="DM414">
        <v>0</v>
      </c>
      <c r="DN414">
        <v>0</v>
      </c>
      <c r="DO414">
        <v>2</v>
      </c>
      <c r="DP414" t="s">
        <v>870</v>
      </c>
      <c r="DQ414">
        <v>16</v>
      </c>
      <c r="DR414">
        <v>261</v>
      </c>
      <c r="DS414">
        <v>261</v>
      </c>
      <c r="DT414">
        <v>3.3332999999999999</v>
      </c>
      <c r="DU414">
        <v>4</v>
      </c>
      <c r="DV414">
        <v>1</v>
      </c>
      <c r="DW414">
        <v>2</v>
      </c>
      <c r="DX414" t="s">
        <v>596</v>
      </c>
      <c r="DY414" t="s">
        <v>8725</v>
      </c>
      <c r="DZ414">
        <v>1</v>
      </c>
      <c r="EA414">
        <v>1</v>
      </c>
      <c r="EB414">
        <v>1</v>
      </c>
      <c r="EC414">
        <v>1</v>
      </c>
      <c r="ED414">
        <v>1</v>
      </c>
      <c r="EE414">
        <v>1</v>
      </c>
      <c r="EF414" t="s">
        <v>871</v>
      </c>
      <c r="EG414" t="s">
        <v>595</v>
      </c>
      <c r="EH414" t="s">
        <v>921</v>
      </c>
      <c r="EI414" t="s">
        <v>921</v>
      </c>
      <c r="EJ414" t="s">
        <v>134</v>
      </c>
      <c r="EK414">
        <v>9090</v>
      </c>
      <c r="EL414">
        <v>0</v>
      </c>
      <c r="EM414" t="s">
        <v>1011</v>
      </c>
      <c r="EN414">
        <v>1.2166999999999999</v>
      </c>
      <c r="EO414">
        <v>4.3499999999999996</v>
      </c>
      <c r="EP414">
        <v>99991120</v>
      </c>
      <c r="EQ414" t="s">
        <v>874</v>
      </c>
      <c r="ER414" t="s">
        <v>875</v>
      </c>
      <c r="ES414" t="s">
        <v>876</v>
      </c>
      <c r="ET414" t="s">
        <v>877</v>
      </c>
      <c r="EU414" t="s">
        <v>877</v>
      </c>
      <c r="EV414" t="s">
        <v>871</v>
      </c>
      <c r="EX414" t="s">
        <v>900</v>
      </c>
      <c r="EY414" t="s">
        <v>1012</v>
      </c>
      <c r="EZ414" t="s">
        <v>1013</v>
      </c>
      <c r="FA414" t="s">
        <v>925</v>
      </c>
      <c r="FB414">
        <v>1</v>
      </c>
      <c r="FC414">
        <v>1</v>
      </c>
      <c r="FD414" s="41">
        <v>46242</v>
      </c>
      <c r="FE414" t="s">
        <v>926</v>
      </c>
      <c r="FF414">
        <v>6</v>
      </c>
      <c r="FG414" t="s">
        <v>1563</v>
      </c>
      <c r="FH414" t="s">
        <v>8734</v>
      </c>
      <c r="FI414">
        <v>1</v>
      </c>
      <c r="FJ414" t="s">
        <v>8735</v>
      </c>
      <c r="FK414" t="s">
        <v>8736</v>
      </c>
      <c r="FL414">
        <v>1</v>
      </c>
      <c r="FM414" t="s">
        <v>8737</v>
      </c>
      <c r="FN414" t="s">
        <v>8738</v>
      </c>
      <c r="FO414">
        <v>1</v>
      </c>
      <c r="FP414" t="s">
        <v>8739</v>
      </c>
      <c r="FQ414" t="s">
        <v>8731</v>
      </c>
      <c r="FR414">
        <v>1</v>
      </c>
      <c r="FS414" t="s">
        <v>2417</v>
      </c>
      <c r="FT414" t="s">
        <v>8740</v>
      </c>
      <c r="FU414">
        <v>1</v>
      </c>
      <c r="FV414" t="s">
        <v>3457</v>
      </c>
      <c r="FW414" t="s">
        <v>8741</v>
      </c>
      <c r="FX414">
        <v>1</v>
      </c>
      <c r="FY414" t="s">
        <v>890</v>
      </c>
      <c r="FZ414" t="s">
        <v>8742</v>
      </c>
      <c r="GA414" t="s">
        <v>8735</v>
      </c>
      <c r="GB414">
        <v>1</v>
      </c>
      <c r="GD414">
        <v>0</v>
      </c>
      <c r="GF414">
        <v>0</v>
      </c>
      <c r="GG414">
        <v>1</v>
      </c>
      <c r="GH414" t="s">
        <v>892</v>
      </c>
      <c r="GI414" t="s">
        <v>893</v>
      </c>
      <c r="GJ414" t="s">
        <v>8736</v>
      </c>
      <c r="GM414">
        <v>1</v>
      </c>
      <c r="GN414">
        <v>1</v>
      </c>
      <c r="GO414">
        <v>0</v>
      </c>
      <c r="GP414">
        <v>1</v>
      </c>
      <c r="GQ414">
        <v>1</v>
      </c>
      <c r="GR414">
        <v>0</v>
      </c>
      <c r="GS414">
        <v>1</v>
      </c>
      <c r="GT414">
        <v>0</v>
      </c>
      <c r="GU414">
        <v>1</v>
      </c>
      <c r="GV414">
        <v>0</v>
      </c>
      <c r="GW414">
        <v>1</v>
      </c>
      <c r="GX414">
        <v>0</v>
      </c>
      <c r="GY414">
        <v>1</v>
      </c>
      <c r="GZ414">
        <v>0</v>
      </c>
      <c r="HA414" t="s">
        <v>309</v>
      </c>
      <c r="HB414" t="s">
        <v>894</v>
      </c>
      <c r="HC414" t="s">
        <v>935</v>
      </c>
      <c r="HD414" t="s">
        <v>845</v>
      </c>
      <c r="HE414" t="s">
        <v>900</v>
      </c>
      <c r="HF414" t="s">
        <v>1012</v>
      </c>
      <c r="HG414" t="s">
        <v>894</v>
      </c>
      <c r="HH414" t="s">
        <v>935</v>
      </c>
      <c r="HI414" t="s">
        <v>845</v>
      </c>
      <c r="HJ414" t="s">
        <v>900</v>
      </c>
      <c r="HK414" t="s">
        <v>1011</v>
      </c>
      <c r="HL414" t="s">
        <v>142</v>
      </c>
      <c r="HM414" t="s">
        <v>854</v>
      </c>
      <c r="HN414">
        <v>36805</v>
      </c>
      <c r="HP414" t="s">
        <v>134</v>
      </c>
      <c r="HQ414" t="s">
        <v>896</v>
      </c>
      <c r="HR414" t="s">
        <v>896</v>
      </c>
      <c r="HS414" t="s">
        <v>896</v>
      </c>
    </row>
    <row r="415" spans="1:227" x14ac:dyDescent="0.2">
      <c r="A415">
        <v>8702</v>
      </c>
      <c r="B415">
        <v>7535000784</v>
      </c>
      <c r="C415" t="s">
        <v>829</v>
      </c>
      <c r="D415" t="s">
        <v>830</v>
      </c>
      <c r="E415" t="s">
        <v>831</v>
      </c>
      <c r="F415">
        <v>0</v>
      </c>
      <c r="G415" t="s">
        <v>8743</v>
      </c>
      <c r="H415" t="s">
        <v>8743</v>
      </c>
      <c r="I415">
        <v>0</v>
      </c>
      <c r="J415" t="s">
        <v>833</v>
      </c>
      <c r="K415" t="s">
        <v>834</v>
      </c>
      <c r="L415">
        <v>156586315</v>
      </c>
      <c r="M415" t="s">
        <v>8744</v>
      </c>
      <c r="N415" t="s">
        <v>836</v>
      </c>
      <c r="O415" t="s">
        <v>837</v>
      </c>
      <c r="P415" t="s">
        <v>838</v>
      </c>
      <c r="Q415" t="s">
        <v>901</v>
      </c>
      <c r="R415" t="s">
        <v>8745</v>
      </c>
      <c r="S415" t="s">
        <v>8746</v>
      </c>
      <c r="T415">
        <v>41477093528</v>
      </c>
      <c r="V415" t="s">
        <v>196</v>
      </c>
      <c r="W415" s="41">
        <v>46008</v>
      </c>
      <c r="X415" t="s">
        <v>8747</v>
      </c>
      <c r="Y415" t="s">
        <v>8748</v>
      </c>
      <c r="AA415">
        <v>0</v>
      </c>
      <c r="AB415" t="s">
        <v>845</v>
      </c>
      <c r="AC415" t="s">
        <v>846</v>
      </c>
      <c r="AD415" t="s">
        <v>847</v>
      </c>
      <c r="AE415" t="s">
        <v>848</v>
      </c>
      <c r="AF415">
        <v>1</v>
      </c>
      <c r="AG415">
        <v>452210</v>
      </c>
      <c r="AH415" t="s">
        <v>849</v>
      </c>
      <c r="AI415" t="s">
        <v>850</v>
      </c>
      <c r="AJ415" t="s">
        <v>851</v>
      </c>
      <c r="AK415" t="s">
        <v>429</v>
      </c>
      <c r="AL415" t="s">
        <v>1711</v>
      </c>
      <c r="AM415" t="s">
        <v>1712</v>
      </c>
      <c r="AN415" t="s">
        <v>854</v>
      </c>
      <c r="AO415">
        <v>36805</v>
      </c>
      <c r="AP415">
        <v>639</v>
      </c>
      <c r="AQ415" t="s">
        <v>855</v>
      </c>
      <c r="AR415">
        <v>66249372</v>
      </c>
      <c r="AS415" t="s">
        <v>856</v>
      </c>
      <c r="AU415" t="s">
        <v>8749</v>
      </c>
      <c r="AV415" t="s">
        <v>8750</v>
      </c>
      <c r="AX415" t="s">
        <v>913</v>
      </c>
      <c r="AY415" t="s">
        <v>861</v>
      </c>
      <c r="AZ415" t="s">
        <v>429</v>
      </c>
      <c r="BA415" t="s">
        <v>430</v>
      </c>
      <c r="BB415">
        <v>0</v>
      </c>
      <c r="BC415">
        <v>0</v>
      </c>
      <c r="BD415">
        <v>0</v>
      </c>
      <c r="BE415" t="s">
        <v>8744</v>
      </c>
      <c r="BF415">
        <v>0</v>
      </c>
      <c r="BG415">
        <v>0</v>
      </c>
      <c r="BH415" t="s">
        <v>862</v>
      </c>
      <c r="BI415">
        <v>0</v>
      </c>
      <c r="BJ415" t="s">
        <v>862</v>
      </c>
      <c r="BK415">
        <v>1</v>
      </c>
      <c r="BL415">
        <v>1</v>
      </c>
      <c r="BM415">
        <v>0</v>
      </c>
      <c r="BN415" t="s">
        <v>596</v>
      </c>
      <c r="BO415">
        <v>156586315</v>
      </c>
      <c r="BP415" t="s">
        <v>8743</v>
      </c>
      <c r="BQ415">
        <v>41.8669607</v>
      </c>
      <c r="BR415">
        <v>42791771</v>
      </c>
      <c r="BS415">
        <v>-88.342214100000007</v>
      </c>
      <c r="BT415">
        <v>0</v>
      </c>
      <c r="CM415">
        <v>4010</v>
      </c>
      <c r="CO415">
        <v>7360</v>
      </c>
      <c r="CP415">
        <v>0.45</v>
      </c>
      <c r="CQ415">
        <v>0.45</v>
      </c>
      <c r="CR415">
        <v>0.85</v>
      </c>
      <c r="CS415">
        <v>3</v>
      </c>
      <c r="CT415" t="s">
        <v>8750</v>
      </c>
      <c r="CU415" t="s">
        <v>8749</v>
      </c>
      <c r="CV415" t="s">
        <v>833</v>
      </c>
      <c r="CW415" t="s">
        <v>834</v>
      </c>
      <c r="CX415" t="s">
        <v>8744</v>
      </c>
      <c r="CY415">
        <v>0</v>
      </c>
      <c r="CZ415">
        <v>0</v>
      </c>
      <c r="DA415" t="s">
        <v>833</v>
      </c>
      <c r="DB415" t="s">
        <v>865</v>
      </c>
      <c r="DC415">
        <v>60134</v>
      </c>
      <c r="DD415">
        <v>7.3333000000000004</v>
      </c>
      <c r="DE415" t="s">
        <v>866</v>
      </c>
      <c r="DG415" t="s">
        <v>867</v>
      </c>
      <c r="DH415" t="s">
        <v>851</v>
      </c>
      <c r="DL415" t="s">
        <v>869</v>
      </c>
      <c r="DM415">
        <v>0</v>
      </c>
      <c r="DN415">
        <v>0</v>
      </c>
      <c r="DO415">
        <v>3</v>
      </c>
      <c r="DP415" t="s">
        <v>919</v>
      </c>
      <c r="DQ415">
        <v>16</v>
      </c>
      <c r="DR415">
        <v>440</v>
      </c>
      <c r="DS415">
        <v>1160</v>
      </c>
      <c r="DT415">
        <v>6.8833000000000002</v>
      </c>
      <c r="DU415">
        <v>4</v>
      </c>
      <c r="DW415">
        <v>2</v>
      </c>
      <c r="DX415" t="s">
        <v>596</v>
      </c>
      <c r="DY415" t="s">
        <v>8744</v>
      </c>
      <c r="DZ415">
        <v>1</v>
      </c>
      <c r="EA415">
        <v>1</v>
      </c>
      <c r="EB415">
        <v>1</v>
      </c>
      <c r="EC415">
        <v>0</v>
      </c>
      <c r="ED415">
        <v>0</v>
      </c>
      <c r="EE415">
        <v>1</v>
      </c>
      <c r="EF415" t="s">
        <v>920</v>
      </c>
      <c r="EG415" t="s">
        <v>595</v>
      </c>
      <c r="EH415" t="s">
        <v>921</v>
      </c>
      <c r="EI415" t="s">
        <v>921</v>
      </c>
      <c r="EJ415" t="s">
        <v>181</v>
      </c>
      <c r="EK415">
        <v>9090</v>
      </c>
      <c r="EL415">
        <v>0</v>
      </c>
      <c r="EM415" t="s">
        <v>1436</v>
      </c>
      <c r="EN415">
        <v>0.85</v>
      </c>
      <c r="EO415">
        <v>19.3333333</v>
      </c>
      <c r="EP415">
        <v>99991120</v>
      </c>
      <c r="EQ415" t="s">
        <v>874</v>
      </c>
      <c r="ER415" t="s">
        <v>875</v>
      </c>
      <c r="ES415" t="s">
        <v>876</v>
      </c>
      <c r="ET415" t="s">
        <v>877</v>
      </c>
      <c r="EU415" t="s">
        <v>877</v>
      </c>
      <c r="EV415" t="s">
        <v>920</v>
      </c>
      <c r="EX415" t="s">
        <v>836</v>
      </c>
      <c r="EY415" t="s">
        <v>873</v>
      </c>
      <c r="EZ415" t="s">
        <v>1437</v>
      </c>
      <c r="FA415" t="s">
        <v>956</v>
      </c>
      <c r="FB415">
        <v>1</v>
      </c>
      <c r="FC415">
        <v>1</v>
      </c>
      <c r="FD415" s="41">
        <v>46011</v>
      </c>
      <c r="FE415" t="s">
        <v>957</v>
      </c>
      <c r="FF415">
        <v>11</v>
      </c>
      <c r="FG415" t="s">
        <v>1723</v>
      </c>
      <c r="FH415" t="s">
        <v>8751</v>
      </c>
      <c r="FI415">
        <v>1</v>
      </c>
      <c r="FJ415" t="s">
        <v>8752</v>
      </c>
      <c r="FK415" t="s">
        <v>8753</v>
      </c>
      <c r="FL415">
        <v>1</v>
      </c>
      <c r="FM415" t="s">
        <v>8754</v>
      </c>
      <c r="FN415" t="s">
        <v>8755</v>
      </c>
      <c r="FO415">
        <v>1</v>
      </c>
      <c r="FP415" t="s">
        <v>8756</v>
      </c>
      <c r="FQ415" t="s">
        <v>8757</v>
      </c>
      <c r="FR415">
        <v>1</v>
      </c>
      <c r="FS415" t="s">
        <v>3638</v>
      </c>
      <c r="FT415" t="s">
        <v>8758</v>
      </c>
      <c r="FU415">
        <v>1</v>
      </c>
      <c r="FV415" t="s">
        <v>8759</v>
      </c>
      <c r="FW415" t="s">
        <v>8760</v>
      </c>
      <c r="FX415">
        <v>1</v>
      </c>
      <c r="FY415" t="s">
        <v>890</v>
      </c>
      <c r="FZ415" t="s">
        <v>8761</v>
      </c>
      <c r="GA415" t="s">
        <v>8752</v>
      </c>
      <c r="GB415">
        <v>1</v>
      </c>
      <c r="GD415">
        <v>0</v>
      </c>
      <c r="GF415">
        <v>0</v>
      </c>
      <c r="GG415">
        <v>1</v>
      </c>
      <c r="GH415" t="s">
        <v>892</v>
      </c>
      <c r="GI415" t="s">
        <v>893</v>
      </c>
      <c r="GJ415" t="s">
        <v>8753</v>
      </c>
      <c r="GM415">
        <v>1</v>
      </c>
      <c r="GN415">
        <v>1</v>
      </c>
      <c r="GO415">
        <v>0</v>
      </c>
      <c r="GP415">
        <v>1</v>
      </c>
      <c r="GQ415">
        <v>1</v>
      </c>
      <c r="GR415">
        <v>0</v>
      </c>
      <c r="GS415">
        <v>1</v>
      </c>
      <c r="GT415">
        <v>0</v>
      </c>
      <c r="GU415">
        <v>1</v>
      </c>
      <c r="GV415">
        <v>0</v>
      </c>
      <c r="GW415">
        <v>1</v>
      </c>
      <c r="GX415">
        <v>0</v>
      </c>
      <c r="GY415">
        <v>1</v>
      </c>
      <c r="GZ415">
        <v>0</v>
      </c>
      <c r="HA415" t="s">
        <v>429</v>
      </c>
      <c r="HB415" t="s">
        <v>894</v>
      </c>
      <c r="HC415" t="s">
        <v>895</v>
      </c>
      <c r="HD415" t="s">
        <v>845</v>
      </c>
      <c r="HE415" t="s">
        <v>836</v>
      </c>
      <c r="HF415" t="s">
        <v>873</v>
      </c>
      <c r="HG415" t="s">
        <v>894</v>
      </c>
      <c r="HH415" t="s">
        <v>895</v>
      </c>
      <c r="HI415" t="s">
        <v>845</v>
      </c>
      <c r="HJ415" t="s">
        <v>836</v>
      </c>
      <c r="HK415" t="s">
        <v>1436</v>
      </c>
      <c r="HL415" t="s">
        <v>196</v>
      </c>
      <c r="HM415" t="s">
        <v>854</v>
      </c>
      <c r="HN415">
        <v>36805</v>
      </c>
      <c r="HP415" t="s">
        <v>181</v>
      </c>
      <c r="HQ415" t="s">
        <v>896</v>
      </c>
      <c r="HR415" t="s">
        <v>896</v>
      </c>
      <c r="HS415" t="s">
        <v>896</v>
      </c>
    </row>
    <row r="416" spans="1:227" x14ac:dyDescent="0.2">
      <c r="A416">
        <v>8702</v>
      </c>
      <c r="B416">
        <v>7621705497</v>
      </c>
      <c r="C416">
        <v>34</v>
      </c>
      <c r="D416" t="s">
        <v>996</v>
      </c>
      <c r="E416" t="s">
        <v>897</v>
      </c>
      <c r="F416">
        <v>0</v>
      </c>
      <c r="G416" t="s">
        <v>8762</v>
      </c>
      <c r="H416" t="s">
        <v>8762</v>
      </c>
      <c r="I416">
        <v>0</v>
      </c>
      <c r="J416" t="s">
        <v>833</v>
      </c>
      <c r="K416" t="s">
        <v>834</v>
      </c>
      <c r="L416">
        <v>152946637</v>
      </c>
      <c r="M416" t="s">
        <v>8725</v>
      </c>
      <c r="N416" t="s">
        <v>900</v>
      </c>
      <c r="O416" t="s">
        <v>837</v>
      </c>
      <c r="P416" t="s">
        <v>999</v>
      </c>
      <c r="Q416" t="s">
        <v>1027</v>
      </c>
      <c r="R416" t="s">
        <v>8763</v>
      </c>
      <c r="S416" t="s">
        <v>8764</v>
      </c>
      <c r="T416">
        <v>41477124127</v>
      </c>
      <c r="V416" t="s">
        <v>142</v>
      </c>
      <c r="W416" s="41">
        <v>46239</v>
      </c>
      <c r="X416" t="s">
        <v>8765</v>
      </c>
      <c r="Y416" t="s">
        <v>8766</v>
      </c>
      <c r="AA416">
        <v>0</v>
      </c>
      <c r="AB416" t="s">
        <v>845</v>
      </c>
      <c r="AC416" t="s">
        <v>846</v>
      </c>
      <c r="AD416" t="s">
        <v>907</v>
      </c>
      <c r="AE416" t="s">
        <v>908</v>
      </c>
      <c r="AF416">
        <v>1</v>
      </c>
      <c r="AG416">
        <v>452210</v>
      </c>
      <c r="AH416" t="s">
        <v>849</v>
      </c>
      <c r="AI416" t="s">
        <v>850</v>
      </c>
      <c r="AJ416" t="s">
        <v>851</v>
      </c>
      <c r="AK416" t="s">
        <v>309</v>
      </c>
      <c r="AL416" t="s">
        <v>8730</v>
      </c>
      <c r="AM416" t="s">
        <v>3288</v>
      </c>
      <c r="AN416" t="s">
        <v>854</v>
      </c>
      <c r="AO416">
        <v>36805</v>
      </c>
      <c r="AP416">
        <v>527</v>
      </c>
      <c r="AQ416" t="s">
        <v>855</v>
      </c>
      <c r="AR416">
        <v>66582143</v>
      </c>
      <c r="AS416" t="s">
        <v>856</v>
      </c>
      <c r="AU416" t="s">
        <v>8767</v>
      </c>
      <c r="AV416" t="s">
        <v>8768</v>
      </c>
      <c r="AX416" t="s">
        <v>913</v>
      </c>
      <c r="AY416" t="s">
        <v>861</v>
      </c>
      <c r="AZ416" t="s">
        <v>309</v>
      </c>
      <c r="BA416" t="s">
        <v>8733</v>
      </c>
      <c r="BB416">
        <v>0</v>
      </c>
      <c r="BC416">
        <v>0</v>
      </c>
      <c r="BD416">
        <v>0</v>
      </c>
      <c r="BE416" t="s">
        <v>8725</v>
      </c>
      <c r="BF416">
        <v>0</v>
      </c>
      <c r="BG416">
        <v>0</v>
      </c>
      <c r="BH416" t="s">
        <v>862</v>
      </c>
      <c r="BI416">
        <v>0</v>
      </c>
      <c r="BJ416" t="s">
        <v>862</v>
      </c>
      <c r="BK416">
        <v>1</v>
      </c>
      <c r="BL416">
        <v>1</v>
      </c>
      <c r="BM416">
        <v>0</v>
      </c>
      <c r="BN416" t="s">
        <v>596</v>
      </c>
      <c r="BO416">
        <v>152946637</v>
      </c>
      <c r="BP416" t="s">
        <v>8762</v>
      </c>
      <c r="BR416">
        <v>42791440</v>
      </c>
      <c r="BT416">
        <v>2</v>
      </c>
      <c r="BU416" t="s">
        <v>914</v>
      </c>
      <c r="BY416">
        <v>16</v>
      </c>
      <c r="CA416">
        <v>4</v>
      </c>
      <c r="CE416">
        <v>1</v>
      </c>
      <c r="CI416">
        <v>11</v>
      </c>
      <c r="CJ416" t="s">
        <v>94</v>
      </c>
      <c r="CM416">
        <v>4010</v>
      </c>
      <c r="CO416">
        <v>7360</v>
      </c>
      <c r="CP416">
        <v>0.1167</v>
      </c>
      <c r="CQ416">
        <v>0.1167</v>
      </c>
      <c r="CR416">
        <v>0</v>
      </c>
      <c r="CS416">
        <v>1</v>
      </c>
      <c r="CT416" t="s">
        <v>8768</v>
      </c>
      <c r="CU416" t="s">
        <v>8767</v>
      </c>
      <c r="CV416" t="s">
        <v>833</v>
      </c>
      <c r="CW416" t="s">
        <v>834</v>
      </c>
      <c r="CX416" t="s">
        <v>8725</v>
      </c>
      <c r="CY416">
        <v>0</v>
      </c>
      <c r="CZ416">
        <v>0</v>
      </c>
      <c r="DA416" t="s">
        <v>833</v>
      </c>
      <c r="DB416" t="s">
        <v>865</v>
      </c>
      <c r="DC416">
        <v>46037</v>
      </c>
      <c r="DD416">
        <v>4.45</v>
      </c>
      <c r="DE416" t="s">
        <v>866</v>
      </c>
      <c r="DG416" t="s">
        <v>867</v>
      </c>
      <c r="DH416" t="s">
        <v>851</v>
      </c>
      <c r="DI416" t="s">
        <v>3384</v>
      </c>
      <c r="DK416" t="s">
        <v>918</v>
      </c>
      <c r="DL416" t="s">
        <v>869</v>
      </c>
      <c r="DM416">
        <v>0</v>
      </c>
      <c r="DN416">
        <v>0</v>
      </c>
      <c r="DO416">
        <v>2</v>
      </c>
      <c r="DP416" t="s">
        <v>870</v>
      </c>
      <c r="DQ416">
        <v>16</v>
      </c>
      <c r="DR416">
        <v>267</v>
      </c>
      <c r="DS416">
        <v>267</v>
      </c>
      <c r="DT416">
        <v>4.3333000000000004</v>
      </c>
      <c r="DU416">
        <v>4</v>
      </c>
      <c r="DV416">
        <v>1</v>
      </c>
      <c r="DW416">
        <v>2</v>
      </c>
      <c r="DX416" t="s">
        <v>596</v>
      </c>
      <c r="DY416" t="s">
        <v>8725</v>
      </c>
      <c r="DZ416">
        <v>1</v>
      </c>
      <c r="EA416">
        <v>1</v>
      </c>
      <c r="EB416">
        <v>1</v>
      </c>
      <c r="EC416">
        <v>0</v>
      </c>
      <c r="ED416">
        <v>0</v>
      </c>
      <c r="EE416">
        <v>1</v>
      </c>
      <c r="EF416" t="s">
        <v>871</v>
      </c>
      <c r="EG416" t="s">
        <v>595</v>
      </c>
      <c r="EH416" t="s">
        <v>921</v>
      </c>
      <c r="EI416" t="s">
        <v>921</v>
      </c>
      <c r="EJ416" t="s">
        <v>134</v>
      </c>
      <c r="EK416">
        <v>9090</v>
      </c>
      <c r="EL416">
        <v>0</v>
      </c>
      <c r="EM416" t="s">
        <v>1011</v>
      </c>
      <c r="EN416">
        <v>0</v>
      </c>
      <c r="EO416">
        <v>4.45</v>
      </c>
      <c r="EP416">
        <v>99991120</v>
      </c>
      <c r="EQ416" t="s">
        <v>874</v>
      </c>
      <c r="ER416" t="s">
        <v>875</v>
      </c>
      <c r="ES416" t="s">
        <v>876</v>
      </c>
      <c r="ET416" t="s">
        <v>877</v>
      </c>
      <c r="EU416" t="s">
        <v>877</v>
      </c>
      <c r="EV416" t="s">
        <v>871</v>
      </c>
      <c r="EX416" t="s">
        <v>900</v>
      </c>
      <c r="EY416" t="s">
        <v>1012</v>
      </c>
      <c r="EZ416" t="s">
        <v>1013</v>
      </c>
      <c r="FA416" t="s">
        <v>925</v>
      </c>
      <c r="FB416">
        <v>1</v>
      </c>
      <c r="FC416">
        <v>1</v>
      </c>
      <c r="FD416" s="41">
        <v>46242</v>
      </c>
      <c r="FE416" t="s">
        <v>926</v>
      </c>
      <c r="FF416">
        <v>6</v>
      </c>
      <c r="FG416" t="s">
        <v>1563</v>
      </c>
      <c r="FH416" t="s">
        <v>8769</v>
      </c>
      <c r="FI416">
        <v>1</v>
      </c>
      <c r="FJ416" t="s">
        <v>8735</v>
      </c>
      <c r="FK416" t="s">
        <v>8770</v>
      </c>
      <c r="FL416">
        <v>1</v>
      </c>
      <c r="FM416" t="s">
        <v>8737</v>
      </c>
      <c r="FN416" t="s">
        <v>8771</v>
      </c>
      <c r="FO416">
        <v>1</v>
      </c>
      <c r="FP416" t="s">
        <v>8772</v>
      </c>
      <c r="FQ416" t="s">
        <v>8767</v>
      </c>
      <c r="FR416">
        <v>1</v>
      </c>
      <c r="FS416" t="s">
        <v>2417</v>
      </c>
      <c r="FT416" t="s">
        <v>8773</v>
      </c>
      <c r="FU416">
        <v>1</v>
      </c>
      <c r="FV416" t="s">
        <v>3457</v>
      </c>
      <c r="FW416" t="s">
        <v>8774</v>
      </c>
      <c r="FX416">
        <v>1</v>
      </c>
      <c r="FY416" t="s">
        <v>890</v>
      </c>
      <c r="FZ416" t="s">
        <v>8775</v>
      </c>
      <c r="GA416" t="s">
        <v>8735</v>
      </c>
      <c r="GB416">
        <v>1</v>
      </c>
      <c r="GD416">
        <v>0</v>
      </c>
      <c r="GF416">
        <v>0</v>
      </c>
      <c r="GG416">
        <v>1</v>
      </c>
      <c r="GH416" t="s">
        <v>892</v>
      </c>
      <c r="GI416" t="s">
        <v>893</v>
      </c>
      <c r="GJ416" t="s">
        <v>8770</v>
      </c>
      <c r="GM416">
        <v>1</v>
      </c>
      <c r="GN416">
        <v>1</v>
      </c>
      <c r="GO416">
        <v>0</v>
      </c>
      <c r="GP416">
        <v>1</v>
      </c>
      <c r="GQ416">
        <v>1</v>
      </c>
      <c r="GR416">
        <v>0</v>
      </c>
      <c r="GS416">
        <v>1</v>
      </c>
      <c r="GT416">
        <v>0</v>
      </c>
      <c r="GU416">
        <v>1</v>
      </c>
      <c r="GV416">
        <v>0</v>
      </c>
      <c r="GW416">
        <v>1</v>
      </c>
      <c r="GX416">
        <v>0</v>
      </c>
      <c r="GY416">
        <v>1</v>
      </c>
      <c r="GZ416">
        <v>0</v>
      </c>
      <c r="HA416" t="s">
        <v>309</v>
      </c>
      <c r="HB416" t="s">
        <v>894</v>
      </c>
      <c r="HC416" t="s">
        <v>935</v>
      </c>
      <c r="HD416" t="s">
        <v>845</v>
      </c>
      <c r="HE416" t="s">
        <v>900</v>
      </c>
      <c r="HF416" t="s">
        <v>1012</v>
      </c>
      <c r="HG416" t="s">
        <v>894</v>
      </c>
      <c r="HH416" t="s">
        <v>935</v>
      </c>
      <c r="HI416" t="s">
        <v>845</v>
      </c>
      <c r="HJ416" t="s">
        <v>900</v>
      </c>
      <c r="HK416" t="s">
        <v>1011</v>
      </c>
      <c r="HL416" t="s">
        <v>142</v>
      </c>
      <c r="HM416" t="s">
        <v>854</v>
      </c>
      <c r="HN416">
        <v>36805</v>
      </c>
      <c r="HP416" t="s">
        <v>134</v>
      </c>
      <c r="HQ416" t="s">
        <v>896</v>
      </c>
      <c r="HR416" t="s">
        <v>896</v>
      </c>
      <c r="HS416" t="s">
        <v>896</v>
      </c>
    </row>
    <row r="417" spans="1:227" ht="409.6" x14ac:dyDescent="0.2">
      <c r="A417">
        <v>8702</v>
      </c>
      <c r="B417">
        <v>7532608746</v>
      </c>
      <c r="C417" t="s">
        <v>1171</v>
      </c>
      <c r="D417" t="s">
        <v>1172</v>
      </c>
      <c r="E417" t="s">
        <v>897</v>
      </c>
      <c r="F417">
        <v>0</v>
      </c>
      <c r="G417" t="s">
        <v>8776</v>
      </c>
      <c r="H417" t="s">
        <v>8776</v>
      </c>
      <c r="I417">
        <v>0</v>
      </c>
      <c r="J417" t="s">
        <v>833</v>
      </c>
      <c r="K417" t="s">
        <v>834</v>
      </c>
      <c r="L417">
        <v>156046193</v>
      </c>
      <c r="M417" t="s">
        <v>8777</v>
      </c>
      <c r="N417" t="s">
        <v>900</v>
      </c>
      <c r="O417" t="s">
        <v>837</v>
      </c>
      <c r="P417" t="s">
        <v>1172</v>
      </c>
      <c r="Q417" t="s">
        <v>8778</v>
      </c>
      <c r="R417" t="s">
        <v>8779</v>
      </c>
      <c r="S417" t="s">
        <v>8780</v>
      </c>
      <c r="T417">
        <v>41477093182</v>
      </c>
      <c r="V417" t="s">
        <v>206</v>
      </c>
      <c r="W417" s="41">
        <v>45983</v>
      </c>
      <c r="X417" t="s">
        <v>8781</v>
      </c>
      <c r="Y417" t="s">
        <v>8782</v>
      </c>
      <c r="AA417">
        <v>0</v>
      </c>
      <c r="AB417" t="s">
        <v>845</v>
      </c>
      <c r="AC417" t="s">
        <v>846</v>
      </c>
      <c r="AD417" t="s">
        <v>847</v>
      </c>
      <c r="AE417" t="s">
        <v>848</v>
      </c>
      <c r="AF417">
        <v>1</v>
      </c>
      <c r="AG417">
        <v>452210</v>
      </c>
      <c r="AH417" t="s">
        <v>849</v>
      </c>
      <c r="AI417" t="s">
        <v>850</v>
      </c>
      <c r="AJ417" t="s">
        <v>851</v>
      </c>
      <c r="AK417" t="s">
        <v>283</v>
      </c>
      <c r="AL417" t="s">
        <v>2802</v>
      </c>
      <c r="AM417" t="s">
        <v>4162</v>
      </c>
      <c r="AN417" t="s">
        <v>854</v>
      </c>
      <c r="AO417">
        <v>36805</v>
      </c>
      <c r="AP417">
        <v>645</v>
      </c>
      <c r="AQ417" t="s">
        <v>855</v>
      </c>
      <c r="AR417">
        <v>66213594</v>
      </c>
      <c r="AS417" t="s">
        <v>856</v>
      </c>
      <c r="AU417" t="s">
        <v>8783</v>
      </c>
      <c r="AV417" t="s">
        <v>8784</v>
      </c>
      <c r="AW417" t="s">
        <v>950</v>
      </c>
      <c r="AX417" t="s">
        <v>951</v>
      </c>
      <c r="AY417" t="s">
        <v>861</v>
      </c>
      <c r="AZ417" t="s">
        <v>283</v>
      </c>
      <c r="BA417" t="s">
        <v>284</v>
      </c>
      <c r="BB417">
        <v>0</v>
      </c>
      <c r="BC417">
        <v>0</v>
      </c>
      <c r="BD417">
        <v>0</v>
      </c>
      <c r="BE417" t="s">
        <v>8777</v>
      </c>
      <c r="BF417">
        <v>0</v>
      </c>
      <c r="BG417">
        <v>0</v>
      </c>
      <c r="BH417" t="s">
        <v>862</v>
      </c>
      <c r="BI417">
        <v>0</v>
      </c>
      <c r="BJ417" t="s">
        <v>862</v>
      </c>
      <c r="BK417">
        <v>1</v>
      </c>
      <c r="BL417">
        <v>0</v>
      </c>
      <c r="BM417">
        <v>0</v>
      </c>
      <c r="BN417" t="s">
        <v>596</v>
      </c>
      <c r="BO417">
        <v>156046193</v>
      </c>
      <c r="BP417" t="s">
        <v>8776</v>
      </c>
      <c r="BQ417">
        <v>42.462806700000002</v>
      </c>
      <c r="BR417">
        <v>42791778</v>
      </c>
      <c r="BS417">
        <v>-83.375522599999996</v>
      </c>
      <c r="BT417">
        <v>0</v>
      </c>
      <c r="CM417">
        <v>4010</v>
      </c>
      <c r="CO417">
        <v>7360</v>
      </c>
      <c r="CP417">
        <v>0.45</v>
      </c>
      <c r="CQ417">
        <v>0.45</v>
      </c>
      <c r="CR417">
        <v>0.3</v>
      </c>
      <c r="CS417">
        <v>1</v>
      </c>
      <c r="CT417" t="s">
        <v>8784</v>
      </c>
      <c r="CU417" t="s">
        <v>8783</v>
      </c>
      <c r="CV417" t="s">
        <v>833</v>
      </c>
      <c r="CW417" t="s">
        <v>834</v>
      </c>
      <c r="CX417" t="s">
        <v>8777</v>
      </c>
      <c r="CY417">
        <v>0</v>
      </c>
      <c r="CZ417">
        <v>0</v>
      </c>
      <c r="DA417" t="s">
        <v>833</v>
      </c>
      <c r="DB417" t="s">
        <v>865</v>
      </c>
      <c r="DC417">
        <v>48336</v>
      </c>
      <c r="DD417">
        <v>1.9833000000000001</v>
      </c>
      <c r="DE417" t="s">
        <v>866</v>
      </c>
      <c r="DG417" t="s">
        <v>867</v>
      </c>
      <c r="DH417" t="s">
        <v>851</v>
      </c>
      <c r="DI417" t="s">
        <v>984</v>
      </c>
      <c r="DL417" t="s">
        <v>869</v>
      </c>
      <c r="DM417">
        <v>0</v>
      </c>
      <c r="DN417">
        <v>0</v>
      </c>
      <c r="DO417">
        <v>53</v>
      </c>
      <c r="DP417" t="s">
        <v>1156</v>
      </c>
      <c r="DQ417">
        <v>12</v>
      </c>
      <c r="DR417">
        <v>119</v>
      </c>
      <c r="DS417">
        <v>119</v>
      </c>
      <c r="DT417">
        <v>1.5333000000000001</v>
      </c>
      <c r="DU417">
        <v>4</v>
      </c>
      <c r="DW417">
        <v>1</v>
      </c>
      <c r="DX417" t="s">
        <v>594</v>
      </c>
      <c r="DY417" t="s">
        <v>8777</v>
      </c>
      <c r="DZ417">
        <v>0</v>
      </c>
      <c r="EA417">
        <v>0</v>
      </c>
      <c r="EB417">
        <v>0</v>
      </c>
      <c r="EC417">
        <v>0</v>
      </c>
      <c r="ED417">
        <v>0</v>
      </c>
      <c r="EE417">
        <v>0</v>
      </c>
      <c r="EF417" t="s">
        <v>920</v>
      </c>
      <c r="EG417" t="s">
        <v>595</v>
      </c>
      <c r="EH417" t="s">
        <v>1695</v>
      </c>
      <c r="EI417" t="s">
        <v>1695</v>
      </c>
      <c r="EJ417" t="s">
        <v>178</v>
      </c>
      <c r="EK417">
        <v>9090</v>
      </c>
      <c r="EL417">
        <v>0</v>
      </c>
      <c r="EM417" t="s">
        <v>952</v>
      </c>
      <c r="EN417">
        <v>0.3</v>
      </c>
      <c r="EO417">
        <v>1.9833333</v>
      </c>
      <c r="EP417">
        <v>99991120</v>
      </c>
      <c r="EQ417" t="s">
        <v>874</v>
      </c>
      <c r="ER417" t="s">
        <v>875</v>
      </c>
      <c r="ES417" t="s">
        <v>876</v>
      </c>
      <c r="ET417" t="s">
        <v>877</v>
      </c>
      <c r="EU417" t="s">
        <v>877</v>
      </c>
      <c r="EV417" t="s">
        <v>920</v>
      </c>
      <c r="EX417" t="s">
        <v>953</v>
      </c>
      <c r="EY417" t="s">
        <v>954</v>
      </c>
      <c r="EZ417" t="s">
        <v>955</v>
      </c>
      <c r="FA417" t="s">
        <v>956</v>
      </c>
      <c r="FB417">
        <v>1</v>
      </c>
      <c r="FC417">
        <v>1</v>
      </c>
      <c r="FD417" s="41">
        <v>45983</v>
      </c>
      <c r="FE417" t="s">
        <v>1438</v>
      </c>
      <c r="FF417">
        <v>5</v>
      </c>
      <c r="FI417">
        <v>0</v>
      </c>
      <c r="FJ417" t="s">
        <v>8785</v>
      </c>
      <c r="FK417" t="s">
        <v>8786</v>
      </c>
      <c r="FL417">
        <v>1</v>
      </c>
      <c r="FM417" t="s">
        <v>8787</v>
      </c>
      <c r="FN417" t="s">
        <v>8788</v>
      </c>
      <c r="FO417">
        <v>1</v>
      </c>
      <c r="FP417" s="42" t="s">
        <v>8789</v>
      </c>
      <c r="FQ417" t="s">
        <v>8783</v>
      </c>
      <c r="FR417">
        <v>1</v>
      </c>
      <c r="FS417" t="s">
        <v>964</v>
      </c>
      <c r="FT417" t="s">
        <v>8790</v>
      </c>
      <c r="FU417">
        <v>1</v>
      </c>
      <c r="FV417" t="s">
        <v>8791</v>
      </c>
      <c r="FW417" t="s">
        <v>8786</v>
      </c>
      <c r="FX417">
        <v>1</v>
      </c>
      <c r="FY417" t="s">
        <v>890</v>
      </c>
      <c r="FZ417" s="42" t="s">
        <v>8792</v>
      </c>
      <c r="GA417" t="s">
        <v>8785</v>
      </c>
      <c r="GB417">
        <v>1</v>
      </c>
      <c r="GD417">
        <v>0</v>
      </c>
      <c r="GF417">
        <v>0</v>
      </c>
      <c r="GG417">
        <v>1</v>
      </c>
      <c r="GH417" t="s">
        <v>892</v>
      </c>
      <c r="GI417" t="s">
        <v>893</v>
      </c>
      <c r="GJ417" t="s">
        <v>8786</v>
      </c>
      <c r="GM417">
        <v>1</v>
      </c>
      <c r="GN417">
        <v>1</v>
      </c>
      <c r="GO417">
        <v>0</v>
      </c>
      <c r="GP417">
        <v>1</v>
      </c>
      <c r="GQ417">
        <v>1</v>
      </c>
      <c r="GR417">
        <v>0</v>
      </c>
      <c r="GS417">
        <v>1</v>
      </c>
      <c r="GT417">
        <v>0</v>
      </c>
      <c r="GU417">
        <v>1</v>
      </c>
      <c r="GV417">
        <v>0</v>
      </c>
      <c r="GW417">
        <v>1</v>
      </c>
      <c r="GX417">
        <v>0</v>
      </c>
      <c r="GY417">
        <v>1</v>
      </c>
      <c r="GZ417">
        <v>0</v>
      </c>
      <c r="HA417" t="s">
        <v>283</v>
      </c>
      <c r="HB417" t="s">
        <v>894</v>
      </c>
      <c r="HC417" t="s">
        <v>935</v>
      </c>
      <c r="HD417" t="s">
        <v>845</v>
      </c>
      <c r="HE417" t="s">
        <v>900</v>
      </c>
      <c r="HF417" t="s">
        <v>923</v>
      </c>
      <c r="HG417" t="s">
        <v>894</v>
      </c>
      <c r="HH417" t="s">
        <v>935</v>
      </c>
      <c r="HI417" t="s">
        <v>845</v>
      </c>
      <c r="HJ417" t="s">
        <v>900</v>
      </c>
      <c r="HK417" t="s">
        <v>952</v>
      </c>
      <c r="HL417" t="s">
        <v>206</v>
      </c>
      <c r="HM417" t="s">
        <v>854</v>
      </c>
      <c r="HN417">
        <v>36805</v>
      </c>
      <c r="HP417" t="s">
        <v>178</v>
      </c>
      <c r="HQ417" t="s">
        <v>896</v>
      </c>
      <c r="HR417" t="s">
        <v>896</v>
      </c>
      <c r="HS417" t="s">
        <v>896</v>
      </c>
    </row>
    <row r="418" spans="1:227" x14ac:dyDescent="0.2">
      <c r="A418">
        <v>8702</v>
      </c>
      <c r="B418">
        <v>7528102256</v>
      </c>
      <c r="C418" t="s">
        <v>936</v>
      </c>
      <c r="D418" t="s">
        <v>937</v>
      </c>
      <c r="E418" t="s">
        <v>831</v>
      </c>
      <c r="F418">
        <v>7</v>
      </c>
      <c r="G418" t="s">
        <v>8793</v>
      </c>
      <c r="H418" t="s">
        <v>8793</v>
      </c>
      <c r="I418">
        <v>0</v>
      </c>
      <c r="J418" t="s">
        <v>833</v>
      </c>
      <c r="K418" t="s">
        <v>834</v>
      </c>
      <c r="L418">
        <v>152832713</v>
      </c>
      <c r="M418" t="s">
        <v>8794</v>
      </c>
      <c r="N418" t="s">
        <v>836</v>
      </c>
      <c r="O418" t="s">
        <v>837</v>
      </c>
      <c r="P418" t="s">
        <v>940</v>
      </c>
      <c r="Q418" t="s">
        <v>1080</v>
      </c>
      <c r="R418" t="s">
        <v>8795</v>
      </c>
      <c r="S418" t="s">
        <v>8796</v>
      </c>
      <c r="T418">
        <v>30300111330</v>
      </c>
      <c r="V418" t="s">
        <v>193</v>
      </c>
      <c r="W418" s="41">
        <v>45940</v>
      </c>
      <c r="X418" t="s">
        <v>8797</v>
      </c>
      <c r="Y418" t="s">
        <v>8798</v>
      </c>
      <c r="AA418">
        <v>0</v>
      </c>
      <c r="AB418" t="s">
        <v>845</v>
      </c>
      <c r="AC418" t="s">
        <v>846</v>
      </c>
      <c r="AD418" t="s">
        <v>847</v>
      </c>
      <c r="AE418" t="s">
        <v>848</v>
      </c>
      <c r="AF418">
        <v>1</v>
      </c>
      <c r="AG418">
        <v>452210</v>
      </c>
      <c r="AH418" t="s">
        <v>849</v>
      </c>
      <c r="AI418" t="s">
        <v>850</v>
      </c>
      <c r="AJ418" t="s">
        <v>851</v>
      </c>
      <c r="AK418" t="s">
        <v>271</v>
      </c>
      <c r="AL418" t="s">
        <v>2363</v>
      </c>
      <c r="AM418" t="s">
        <v>2364</v>
      </c>
      <c r="AN418" t="s">
        <v>854</v>
      </c>
      <c r="AO418">
        <v>36805</v>
      </c>
      <c r="AP418">
        <v>637</v>
      </c>
      <c r="AQ418" t="s">
        <v>855</v>
      </c>
      <c r="AR418">
        <v>66151205</v>
      </c>
      <c r="AS418" t="s">
        <v>856</v>
      </c>
      <c r="AU418" t="s">
        <v>8799</v>
      </c>
      <c r="AV418" t="s">
        <v>8800</v>
      </c>
      <c r="AX418" t="s">
        <v>913</v>
      </c>
      <c r="AY418" t="s">
        <v>861</v>
      </c>
      <c r="AZ418" t="s">
        <v>271</v>
      </c>
      <c r="BA418" t="s">
        <v>272</v>
      </c>
      <c r="BB418">
        <v>0</v>
      </c>
      <c r="BC418">
        <v>0</v>
      </c>
      <c r="BD418">
        <v>0</v>
      </c>
      <c r="BE418" t="s">
        <v>8794</v>
      </c>
      <c r="BF418">
        <v>0</v>
      </c>
      <c r="BG418">
        <v>0</v>
      </c>
      <c r="BH418" t="s">
        <v>862</v>
      </c>
      <c r="BI418">
        <v>0</v>
      </c>
      <c r="BJ418" t="s">
        <v>862</v>
      </c>
      <c r="BK418">
        <v>1</v>
      </c>
      <c r="BL418">
        <v>1</v>
      </c>
      <c r="BM418">
        <v>0</v>
      </c>
      <c r="BN418" t="s">
        <v>596</v>
      </c>
      <c r="BO418">
        <v>152832713</v>
      </c>
      <c r="BP418" t="s">
        <v>8793</v>
      </c>
      <c r="BR418">
        <v>42791765</v>
      </c>
      <c r="BT418">
        <v>0</v>
      </c>
      <c r="CM418">
        <v>4010</v>
      </c>
      <c r="CO418">
        <v>7360</v>
      </c>
      <c r="CP418">
        <v>0.61670000000000003</v>
      </c>
      <c r="CQ418">
        <v>0.61670000000000003</v>
      </c>
      <c r="CR418">
        <v>0.16669999999999999</v>
      </c>
      <c r="CS418">
        <v>3</v>
      </c>
      <c r="CT418" t="s">
        <v>8800</v>
      </c>
      <c r="CU418" t="s">
        <v>8799</v>
      </c>
      <c r="CV418" t="s">
        <v>833</v>
      </c>
      <c r="CW418" t="s">
        <v>834</v>
      </c>
      <c r="CX418" t="s">
        <v>8794</v>
      </c>
      <c r="CY418">
        <v>0</v>
      </c>
      <c r="CZ418">
        <v>0</v>
      </c>
      <c r="DA418" t="s">
        <v>833</v>
      </c>
      <c r="DB418" t="s">
        <v>865</v>
      </c>
      <c r="DC418">
        <v>60014</v>
      </c>
      <c r="DD418">
        <v>31.416699999999999</v>
      </c>
      <c r="DE418" t="s">
        <v>866</v>
      </c>
      <c r="DG418" t="s">
        <v>867</v>
      </c>
      <c r="DH418" t="s">
        <v>851</v>
      </c>
      <c r="DI418" t="s">
        <v>2105</v>
      </c>
      <c r="DL418" t="s">
        <v>869</v>
      </c>
      <c r="DM418">
        <v>0</v>
      </c>
      <c r="DN418">
        <v>0</v>
      </c>
      <c r="DO418">
        <v>1</v>
      </c>
      <c r="DP418" t="s">
        <v>985</v>
      </c>
      <c r="DQ418">
        <v>16</v>
      </c>
      <c r="DR418">
        <v>1885</v>
      </c>
      <c r="DS418">
        <v>4045</v>
      </c>
      <c r="DT418">
        <v>30.8</v>
      </c>
      <c r="DU418">
        <v>4</v>
      </c>
      <c r="DW418">
        <v>2</v>
      </c>
      <c r="DX418" t="s">
        <v>596</v>
      </c>
      <c r="DY418" t="s">
        <v>8794</v>
      </c>
      <c r="DZ418">
        <v>0</v>
      </c>
      <c r="EA418">
        <v>0</v>
      </c>
      <c r="EB418">
        <v>1</v>
      </c>
      <c r="EC418">
        <v>0</v>
      </c>
      <c r="ED418">
        <v>0</v>
      </c>
      <c r="EE418">
        <v>1</v>
      </c>
      <c r="EF418" t="s">
        <v>920</v>
      </c>
      <c r="EG418" t="s">
        <v>595</v>
      </c>
      <c r="EH418" t="s">
        <v>921</v>
      </c>
      <c r="EI418" t="s">
        <v>921</v>
      </c>
      <c r="EJ418" t="s">
        <v>181</v>
      </c>
      <c r="EK418">
        <v>9090</v>
      </c>
      <c r="EL418">
        <v>0</v>
      </c>
      <c r="EM418" t="s">
        <v>1436</v>
      </c>
      <c r="EN418">
        <v>0.16669999999999999</v>
      </c>
      <c r="EO418">
        <v>67.416666599999999</v>
      </c>
      <c r="EP418">
        <v>99991120</v>
      </c>
      <c r="EQ418" t="s">
        <v>874</v>
      </c>
      <c r="ER418" t="s">
        <v>875</v>
      </c>
      <c r="ES418" t="s">
        <v>876</v>
      </c>
      <c r="ET418" t="s">
        <v>877</v>
      </c>
      <c r="EU418" t="s">
        <v>877</v>
      </c>
      <c r="EV418" t="s">
        <v>920</v>
      </c>
      <c r="EX418" t="s">
        <v>836</v>
      </c>
      <c r="EY418" t="s">
        <v>873</v>
      </c>
      <c r="EZ418" t="s">
        <v>1437</v>
      </c>
      <c r="FA418" t="s">
        <v>956</v>
      </c>
      <c r="FB418">
        <v>1</v>
      </c>
      <c r="FC418">
        <v>1</v>
      </c>
      <c r="FD418" s="41">
        <v>45941</v>
      </c>
      <c r="FE418" t="s">
        <v>1039</v>
      </c>
      <c r="FF418">
        <v>14</v>
      </c>
      <c r="FG418" t="s">
        <v>2375</v>
      </c>
      <c r="FH418" t="s">
        <v>8801</v>
      </c>
      <c r="FI418">
        <v>1</v>
      </c>
      <c r="FJ418" t="s">
        <v>8802</v>
      </c>
      <c r="FK418" t="s">
        <v>8803</v>
      </c>
      <c r="FL418">
        <v>1</v>
      </c>
      <c r="FM418" t="s">
        <v>8804</v>
      </c>
      <c r="FN418" t="s">
        <v>8805</v>
      </c>
      <c r="FO418">
        <v>1</v>
      </c>
      <c r="FP418" t="s">
        <v>8806</v>
      </c>
      <c r="FQ418" t="s">
        <v>8807</v>
      </c>
      <c r="FR418">
        <v>1</v>
      </c>
      <c r="FS418" t="s">
        <v>8808</v>
      </c>
      <c r="FT418" t="s">
        <v>8809</v>
      </c>
      <c r="FU418">
        <v>1</v>
      </c>
      <c r="FV418" t="s">
        <v>8810</v>
      </c>
      <c r="FW418" t="s">
        <v>8811</v>
      </c>
      <c r="FX418">
        <v>1</v>
      </c>
      <c r="FY418" t="s">
        <v>890</v>
      </c>
      <c r="FZ418" t="s">
        <v>8812</v>
      </c>
      <c r="GA418" t="s">
        <v>8802</v>
      </c>
      <c r="GB418">
        <v>1</v>
      </c>
      <c r="GD418">
        <v>0</v>
      </c>
      <c r="GF418">
        <v>0</v>
      </c>
      <c r="GG418">
        <v>1</v>
      </c>
      <c r="GH418" t="s">
        <v>892</v>
      </c>
      <c r="GI418" t="s">
        <v>893</v>
      </c>
      <c r="GJ418" t="s">
        <v>8803</v>
      </c>
      <c r="GM418">
        <v>1</v>
      </c>
      <c r="GN418">
        <v>1</v>
      </c>
      <c r="GO418">
        <v>0</v>
      </c>
      <c r="GP418">
        <v>1</v>
      </c>
      <c r="GQ418">
        <v>1</v>
      </c>
      <c r="GR418">
        <v>0</v>
      </c>
      <c r="GS418">
        <v>1</v>
      </c>
      <c r="GT418">
        <v>0</v>
      </c>
      <c r="GU418">
        <v>1</v>
      </c>
      <c r="GV418">
        <v>0</v>
      </c>
      <c r="GW418">
        <v>1</v>
      </c>
      <c r="GX418">
        <v>0</v>
      </c>
      <c r="GY418">
        <v>1</v>
      </c>
      <c r="GZ418">
        <v>0</v>
      </c>
      <c r="HA418" t="s">
        <v>271</v>
      </c>
      <c r="HB418" t="s">
        <v>894</v>
      </c>
      <c r="HC418" t="s">
        <v>895</v>
      </c>
      <c r="HD418" t="s">
        <v>845</v>
      </c>
      <c r="HE418" t="s">
        <v>836</v>
      </c>
      <c r="HF418" t="s">
        <v>873</v>
      </c>
      <c r="HG418" t="s">
        <v>894</v>
      </c>
      <c r="HH418" t="s">
        <v>895</v>
      </c>
      <c r="HI418" t="s">
        <v>845</v>
      </c>
      <c r="HJ418" t="s">
        <v>836</v>
      </c>
      <c r="HK418" t="s">
        <v>1436</v>
      </c>
      <c r="HL418" t="s">
        <v>193</v>
      </c>
      <c r="HM418" t="s">
        <v>854</v>
      </c>
      <c r="HN418">
        <v>36805</v>
      </c>
      <c r="HP418" t="s">
        <v>181</v>
      </c>
      <c r="HQ418" t="s">
        <v>896</v>
      </c>
      <c r="HR418" t="s">
        <v>896</v>
      </c>
      <c r="HS418" t="s">
        <v>896</v>
      </c>
    </row>
    <row r="419" spans="1:227" x14ac:dyDescent="0.2">
      <c r="A419">
        <v>8702</v>
      </c>
      <c r="B419">
        <v>7600504710</v>
      </c>
      <c r="C419" t="s">
        <v>829</v>
      </c>
      <c r="D419" t="s">
        <v>830</v>
      </c>
      <c r="E419" t="s">
        <v>897</v>
      </c>
      <c r="F419">
        <v>0</v>
      </c>
      <c r="G419" t="s">
        <v>8813</v>
      </c>
      <c r="H419" t="s">
        <v>8813</v>
      </c>
      <c r="I419">
        <v>0</v>
      </c>
      <c r="J419" t="s">
        <v>833</v>
      </c>
      <c r="K419" t="s">
        <v>834</v>
      </c>
      <c r="L419">
        <v>148722482</v>
      </c>
      <c r="M419" t="s">
        <v>8814</v>
      </c>
      <c r="N419" t="s">
        <v>900</v>
      </c>
      <c r="O419" t="s">
        <v>837</v>
      </c>
      <c r="P419" t="s">
        <v>838</v>
      </c>
      <c r="Q419" t="s">
        <v>1279</v>
      </c>
      <c r="R419" t="s">
        <v>8815</v>
      </c>
      <c r="S419" t="s">
        <v>8816</v>
      </c>
      <c r="T419">
        <v>41477130640</v>
      </c>
      <c r="V419" t="s">
        <v>239</v>
      </c>
      <c r="W419" s="41">
        <v>46027</v>
      </c>
      <c r="X419" t="s">
        <v>8817</v>
      </c>
      <c r="Y419" t="s">
        <v>8818</v>
      </c>
      <c r="Z419">
        <v>1</v>
      </c>
      <c r="AA419">
        <v>0</v>
      </c>
      <c r="AB419" t="s">
        <v>845</v>
      </c>
      <c r="AC419" t="s">
        <v>846</v>
      </c>
      <c r="AD419" t="s">
        <v>1335</v>
      </c>
      <c r="AE419" t="s">
        <v>1336</v>
      </c>
      <c r="AF419">
        <v>1</v>
      </c>
      <c r="AG419">
        <v>452210</v>
      </c>
      <c r="AH419" t="s">
        <v>849</v>
      </c>
      <c r="AI419" t="s">
        <v>850</v>
      </c>
      <c r="AJ419" t="s">
        <v>851</v>
      </c>
      <c r="AK419" t="s">
        <v>265</v>
      </c>
      <c r="AL419" t="s">
        <v>1644</v>
      </c>
      <c r="AM419" t="s">
        <v>1645</v>
      </c>
      <c r="AN419" t="s">
        <v>854</v>
      </c>
      <c r="AO419">
        <v>36805</v>
      </c>
      <c r="AP419">
        <v>928</v>
      </c>
      <c r="AQ419" t="s">
        <v>855</v>
      </c>
      <c r="AR419">
        <v>66276765</v>
      </c>
      <c r="AS419" t="s">
        <v>856</v>
      </c>
      <c r="AU419" t="s">
        <v>8819</v>
      </c>
      <c r="AV419" t="s">
        <v>8820</v>
      </c>
      <c r="AX419" t="s">
        <v>913</v>
      </c>
      <c r="AY419" t="s">
        <v>861</v>
      </c>
      <c r="AZ419" t="s">
        <v>265</v>
      </c>
      <c r="BA419" t="s">
        <v>266</v>
      </c>
      <c r="BB419">
        <v>0</v>
      </c>
      <c r="BC419">
        <v>0</v>
      </c>
      <c r="BD419">
        <v>0</v>
      </c>
      <c r="BE419" t="s">
        <v>8814</v>
      </c>
      <c r="BF419">
        <v>0</v>
      </c>
      <c r="BG419">
        <v>0</v>
      </c>
      <c r="BH419" t="s">
        <v>862</v>
      </c>
      <c r="BI419">
        <v>0</v>
      </c>
      <c r="BJ419" t="s">
        <v>862</v>
      </c>
      <c r="BK419">
        <v>1</v>
      </c>
      <c r="BL419">
        <v>1</v>
      </c>
      <c r="BM419">
        <v>0</v>
      </c>
      <c r="BN419" t="s">
        <v>596</v>
      </c>
      <c r="BP419" t="s">
        <v>8813</v>
      </c>
      <c r="BQ419">
        <v>41.465739999999997</v>
      </c>
      <c r="BR419">
        <v>42793653</v>
      </c>
      <c r="BS419">
        <v>-81.952540799999994</v>
      </c>
      <c r="BT419">
        <v>2</v>
      </c>
      <c r="BU419" t="s">
        <v>1367</v>
      </c>
      <c r="CE419">
        <v>1</v>
      </c>
      <c r="CI419">
        <v>11</v>
      </c>
      <c r="CJ419" t="s">
        <v>94</v>
      </c>
      <c r="CM419">
        <v>4010</v>
      </c>
      <c r="CO419">
        <v>7360</v>
      </c>
      <c r="CP419">
        <v>0.55000000000000004</v>
      </c>
      <c r="CQ419">
        <v>0.55000000000000004</v>
      </c>
      <c r="CR419">
        <v>1.67E-2</v>
      </c>
      <c r="CS419">
        <v>0</v>
      </c>
      <c r="CT419" t="s">
        <v>8821</v>
      </c>
      <c r="CU419" t="s">
        <v>8822</v>
      </c>
      <c r="CV419" t="s">
        <v>833</v>
      </c>
      <c r="CW419" t="s">
        <v>834</v>
      </c>
      <c r="CX419" t="s">
        <v>2097</v>
      </c>
      <c r="CY419">
        <v>0</v>
      </c>
      <c r="CZ419">
        <v>0</v>
      </c>
      <c r="DA419" t="s">
        <v>833</v>
      </c>
      <c r="DB419" t="s">
        <v>865</v>
      </c>
      <c r="DC419">
        <v>44145</v>
      </c>
      <c r="DD419">
        <v>3.3666999999999998</v>
      </c>
      <c r="DE419" t="s">
        <v>866</v>
      </c>
      <c r="DG419" t="s">
        <v>867</v>
      </c>
      <c r="DH419" t="s">
        <v>851</v>
      </c>
      <c r="DK419" t="s">
        <v>918</v>
      </c>
      <c r="DL419" t="s">
        <v>869</v>
      </c>
      <c r="DM419">
        <v>0</v>
      </c>
      <c r="DN419">
        <v>0</v>
      </c>
      <c r="DO419">
        <v>3</v>
      </c>
      <c r="DP419" t="s">
        <v>919</v>
      </c>
      <c r="DQ419">
        <v>16</v>
      </c>
      <c r="DR419">
        <v>202</v>
      </c>
      <c r="DS419">
        <v>202</v>
      </c>
      <c r="DT419">
        <v>2.8167</v>
      </c>
      <c r="DU419">
        <v>4</v>
      </c>
      <c r="DV419">
        <v>1</v>
      </c>
      <c r="DW419">
        <v>2</v>
      </c>
      <c r="DX419" t="s">
        <v>596</v>
      </c>
      <c r="DY419" t="s">
        <v>8814</v>
      </c>
      <c r="DZ419">
        <v>1</v>
      </c>
      <c r="EA419">
        <v>1</v>
      </c>
      <c r="EB419">
        <v>1</v>
      </c>
      <c r="EC419">
        <v>1</v>
      </c>
      <c r="ED419">
        <v>1</v>
      </c>
      <c r="EE419">
        <v>1</v>
      </c>
      <c r="EF419" t="s">
        <v>920</v>
      </c>
      <c r="EG419" t="s">
        <v>595</v>
      </c>
      <c r="EH419" t="s">
        <v>921</v>
      </c>
      <c r="EI419" t="s">
        <v>921</v>
      </c>
      <c r="EJ419" t="s">
        <v>226</v>
      </c>
      <c r="EK419">
        <v>9090</v>
      </c>
      <c r="EL419">
        <v>0</v>
      </c>
      <c r="EM419" t="s">
        <v>1157</v>
      </c>
      <c r="EN419">
        <v>1.67E-2</v>
      </c>
      <c r="EO419">
        <v>3.3666665999999998</v>
      </c>
      <c r="EP419">
        <v>99991120</v>
      </c>
      <c r="EQ419" t="s">
        <v>874</v>
      </c>
      <c r="ER419" t="s">
        <v>875</v>
      </c>
      <c r="ES419" t="s">
        <v>876</v>
      </c>
      <c r="ET419" t="s">
        <v>877</v>
      </c>
      <c r="EU419" t="s">
        <v>877</v>
      </c>
      <c r="EV419" t="s">
        <v>920</v>
      </c>
      <c r="EX419" t="s">
        <v>953</v>
      </c>
      <c r="EY419" t="s">
        <v>986</v>
      </c>
      <c r="EZ419" t="s">
        <v>1236</v>
      </c>
      <c r="FA419" t="s">
        <v>956</v>
      </c>
      <c r="FB419">
        <v>1</v>
      </c>
      <c r="FC419">
        <v>1</v>
      </c>
      <c r="FD419" s="41">
        <v>46032</v>
      </c>
      <c r="FE419" t="s">
        <v>1370</v>
      </c>
      <c r="FF419">
        <v>6</v>
      </c>
      <c r="FG419" t="s">
        <v>1649</v>
      </c>
      <c r="FH419" t="s">
        <v>8823</v>
      </c>
      <c r="FI419">
        <v>1</v>
      </c>
      <c r="FJ419" t="s">
        <v>8824</v>
      </c>
      <c r="FK419" t="s">
        <v>8825</v>
      </c>
      <c r="FL419">
        <v>1</v>
      </c>
      <c r="FM419" t="s">
        <v>8826</v>
      </c>
      <c r="FN419" t="s">
        <v>8827</v>
      </c>
      <c r="FO419">
        <v>1</v>
      </c>
      <c r="FP419" t="s">
        <v>8828</v>
      </c>
      <c r="FQ419" t="s">
        <v>8822</v>
      </c>
      <c r="FR419">
        <v>1</v>
      </c>
      <c r="FS419" t="s">
        <v>1656</v>
      </c>
      <c r="FT419" t="s">
        <v>8829</v>
      </c>
      <c r="FU419">
        <v>1</v>
      </c>
      <c r="FV419" t="s">
        <v>1658</v>
      </c>
      <c r="FW419" t="s">
        <v>8830</v>
      </c>
      <c r="FX419">
        <v>1</v>
      </c>
      <c r="FY419" t="s">
        <v>890</v>
      </c>
      <c r="FZ419" t="s">
        <v>8831</v>
      </c>
      <c r="GA419" t="s">
        <v>8824</v>
      </c>
      <c r="GB419">
        <v>1</v>
      </c>
      <c r="GD419">
        <v>0</v>
      </c>
      <c r="GF419">
        <v>0</v>
      </c>
      <c r="GG419">
        <v>1</v>
      </c>
      <c r="GH419" t="s">
        <v>892</v>
      </c>
      <c r="GI419" t="s">
        <v>893</v>
      </c>
      <c r="GJ419" t="s">
        <v>8825</v>
      </c>
      <c r="GM419">
        <v>1</v>
      </c>
      <c r="GN419">
        <v>1</v>
      </c>
      <c r="GO419">
        <v>0</v>
      </c>
      <c r="GP419">
        <v>1</v>
      </c>
      <c r="GQ419">
        <v>1</v>
      </c>
      <c r="GR419">
        <v>0</v>
      </c>
      <c r="GS419">
        <v>1</v>
      </c>
      <c r="GT419">
        <v>0</v>
      </c>
      <c r="GU419">
        <v>1</v>
      </c>
      <c r="GV419">
        <v>0</v>
      </c>
      <c r="GW419">
        <v>1</v>
      </c>
      <c r="GX419">
        <v>0</v>
      </c>
      <c r="GY419">
        <v>1</v>
      </c>
      <c r="GZ419">
        <v>0</v>
      </c>
      <c r="HA419" t="s">
        <v>265</v>
      </c>
      <c r="HB419" t="s">
        <v>894</v>
      </c>
      <c r="HC419" t="s">
        <v>935</v>
      </c>
      <c r="HD419" t="s">
        <v>845</v>
      </c>
      <c r="HE419" t="s">
        <v>900</v>
      </c>
      <c r="HF419" t="s">
        <v>923</v>
      </c>
      <c r="HG419" t="s">
        <v>894</v>
      </c>
      <c r="HH419" t="s">
        <v>935</v>
      </c>
      <c r="HI419" t="s">
        <v>845</v>
      </c>
      <c r="HJ419" t="s">
        <v>900</v>
      </c>
      <c r="HK419" t="s">
        <v>922</v>
      </c>
      <c r="HL419" t="s">
        <v>239</v>
      </c>
      <c r="HM419" t="s">
        <v>854</v>
      </c>
      <c r="HN419">
        <v>36805</v>
      </c>
      <c r="HP419" t="s">
        <v>226</v>
      </c>
      <c r="HQ419" t="s">
        <v>896</v>
      </c>
      <c r="HR419" t="s">
        <v>896</v>
      </c>
      <c r="HS419" t="s">
        <v>896</v>
      </c>
    </row>
    <row r="420" spans="1:227" x14ac:dyDescent="0.2">
      <c r="A420">
        <v>8702</v>
      </c>
      <c r="B420">
        <v>7602703454</v>
      </c>
      <c r="C420" t="s">
        <v>829</v>
      </c>
      <c r="D420" t="s">
        <v>830</v>
      </c>
      <c r="E420" t="s">
        <v>897</v>
      </c>
      <c r="F420">
        <v>1</v>
      </c>
      <c r="G420" t="s">
        <v>8832</v>
      </c>
      <c r="H420" t="s">
        <v>8832</v>
      </c>
      <c r="I420">
        <v>0</v>
      </c>
      <c r="J420" t="s">
        <v>833</v>
      </c>
      <c r="K420" t="s">
        <v>834</v>
      </c>
      <c r="L420">
        <v>153517102</v>
      </c>
      <c r="M420" t="s">
        <v>8833</v>
      </c>
      <c r="N420" t="s">
        <v>900</v>
      </c>
      <c r="O420" t="s">
        <v>837</v>
      </c>
      <c r="P420" t="s">
        <v>838</v>
      </c>
      <c r="Q420" t="s">
        <v>901</v>
      </c>
      <c r="R420" t="s">
        <v>8834</v>
      </c>
      <c r="S420" t="s">
        <v>8835</v>
      </c>
      <c r="T420">
        <v>41477124629</v>
      </c>
      <c r="V420" t="s">
        <v>123</v>
      </c>
      <c r="W420" s="41">
        <v>46049</v>
      </c>
      <c r="X420" t="s">
        <v>8836</v>
      </c>
      <c r="Y420" t="s">
        <v>8837</v>
      </c>
      <c r="Z420">
        <v>1</v>
      </c>
      <c r="AA420">
        <v>0</v>
      </c>
      <c r="AB420" t="s">
        <v>845</v>
      </c>
      <c r="AC420" t="s">
        <v>846</v>
      </c>
      <c r="AD420" t="s">
        <v>847</v>
      </c>
      <c r="AE420" t="s">
        <v>848</v>
      </c>
      <c r="AF420">
        <v>1</v>
      </c>
      <c r="AG420">
        <v>452210</v>
      </c>
      <c r="AH420" t="s">
        <v>849</v>
      </c>
      <c r="AI420" t="s">
        <v>850</v>
      </c>
      <c r="AJ420" t="s">
        <v>851</v>
      </c>
      <c r="AK420" t="s">
        <v>269</v>
      </c>
      <c r="AL420" t="s">
        <v>2928</v>
      </c>
      <c r="AM420" t="s">
        <v>3964</v>
      </c>
      <c r="AN420" t="s">
        <v>854</v>
      </c>
      <c r="AO420">
        <v>36805</v>
      </c>
      <c r="AP420">
        <v>496</v>
      </c>
      <c r="AQ420" t="s">
        <v>855</v>
      </c>
      <c r="AR420">
        <v>66308288</v>
      </c>
      <c r="AS420" t="s">
        <v>856</v>
      </c>
      <c r="AU420" t="s">
        <v>8838</v>
      </c>
      <c r="AV420" t="s">
        <v>8839</v>
      </c>
      <c r="AX420" t="s">
        <v>913</v>
      </c>
      <c r="AY420" t="s">
        <v>861</v>
      </c>
      <c r="AZ420" t="s">
        <v>269</v>
      </c>
      <c r="BA420" t="s">
        <v>270</v>
      </c>
      <c r="BB420">
        <v>0</v>
      </c>
      <c r="BC420">
        <v>0</v>
      </c>
      <c r="BD420">
        <v>0</v>
      </c>
      <c r="BE420" t="s">
        <v>8833</v>
      </c>
      <c r="BF420">
        <v>0</v>
      </c>
      <c r="BG420">
        <v>0</v>
      </c>
      <c r="BH420" t="s">
        <v>862</v>
      </c>
      <c r="BI420">
        <v>0</v>
      </c>
      <c r="BJ420" t="s">
        <v>862</v>
      </c>
      <c r="BK420">
        <v>1</v>
      </c>
      <c r="BL420">
        <v>1</v>
      </c>
      <c r="BM420">
        <v>0</v>
      </c>
      <c r="BN420" t="s">
        <v>596</v>
      </c>
      <c r="BO420">
        <v>153517102</v>
      </c>
      <c r="BP420" t="s">
        <v>8832</v>
      </c>
      <c r="BQ420">
        <v>40.3695612</v>
      </c>
      <c r="BR420">
        <v>42789074</v>
      </c>
      <c r="BS420">
        <v>-80.104338400000003</v>
      </c>
      <c r="BT420">
        <v>2</v>
      </c>
      <c r="BU420" t="s">
        <v>1367</v>
      </c>
      <c r="CE420">
        <v>1</v>
      </c>
      <c r="CI420">
        <v>11</v>
      </c>
      <c r="CJ420" t="s">
        <v>94</v>
      </c>
      <c r="CM420">
        <v>4010</v>
      </c>
      <c r="CO420">
        <v>7360</v>
      </c>
      <c r="CP420">
        <v>1</v>
      </c>
      <c r="CQ420">
        <v>1</v>
      </c>
      <c r="CR420">
        <v>0.4667</v>
      </c>
      <c r="CS420">
        <v>4</v>
      </c>
      <c r="CT420" t="s">
        <v>8840</v>
      </c>
      <c r="CU420" t="s">
        <v>8841</v>
      </c>
      <c r="CV420" t="s">
        <v>833</v>
      </c>
      <c r="CW420" t="s">
        <v>834</v>
      </c>
      <c r="CX420" t="s">
        <v>8833</v>
      </c>
      <c r="CY420">
        <v>0</v>
      </c>
      <c r="CZ420">
        <v>0</v>
      </c>
      <c r="DA420" t="s">
        <v>833</v>
      </c>
      <c r="DB420" t="s">
        <v>865</v>
      </c>
      <c r="DC420">
        <v>15017</v>
      </c>
      <c r="DD420">
        <v>3</v>
      </c>
      <c r="DE420" t="s">
        <v>866</v>
      </c>
      <c r="DG420" t="s">
        <v>867</v>
      </c>
      <c r="DH420" t="s">
        <v>851</v>
      </c>
      <c r="DI420" t="s">
        <v>1154</v>
      </c>
      <c r="DK420" t="s">
        <v>918</v>
      </c>
      <c r="DL420" t="s">
        <v>869</v>
      </c>
      <c r="DM420">
        <v>0</v>
      </c>
      <c r="DN420">
        <v>0</v>
      </c>
      <c r="DO420">
        <v>3</v>
      </c>
      <c r="DP420" t="s">
        <v>919</v>
      </c>
      <c r="DQ420">
        <v>16</v>
      </c>
      <c r="DR420">
        <v>180</v>
      </c>
      <c r="DS420">
        <v>180</v>
      </c>
      <c r="DT420">
        <v>2</v>
      </c>
      <c r="DU420">
        <v>4</v>
      </c>
      <c r="DV420">
        <v>1</v>
      </c>
      <c r="DW420">
        <v>2</v>
      </c>
      <c r="DX420" t="s">
        <v>596</v>
      </c>
      <c r="DY420" t="s">
        <v>8833</v>
      </c>
      <c r="DZ420">
        <v>1</v>
      </c>
      <c r="EA420">
        <v>1</v>
      </c>
      <c r="EB420">
        <v>1</v>
      </c>
      <c r="EC420">
        <v>1</v>
      </c>
      <c r="ED420">
        <v>1</v>
      </c>
      <c r="EE420">
        <v>1</v>
      </c>
      <c r="EF420" t="s">
        <v>920</v>
      </c>
      <c r="EG420" t="s">
        <v>595</v>
      </c>
      <c r="EH420" t="s">
        <v>921</v>
      </c>
      <c r="EI420" t="s">
        <v>921</v>
      </c>
      <c r="EJ420" t="s">
        <v>124</v>
      </c>
      <c r="EK420">
        <v>9090</v>
      </c>
      <c r="EL420">
        <v>0</v>
      </c>
      <c r="EM420" t="s">
        <v>923</v>
      </c>
      <c r="EN420">
        <v>0.4667</v>
      </c>
      <c r="EO420">
        <v>3</v>
      </c>
      <c r="EP420">
        <v>99991120</v>
      </c>
      <c r="EQ420" t="s">
        <v>874</v>
      </c>
      <c r="ER420" t="s">
        <v>875</v>
      </c>
      <c r="ES420" t="s">
        <v>876</v>
      </c>
      <c r="ET420" t="s">
        <v>877</v>
      </c>
      <c r="EU420" t="s">
        <v>877</v>
      </c>
      <c r="EV420" t="s">
        <v>920</v>
      </c>
      <c r="EX420" t="s">
        <v>953</v>
      </c>
      <c r="EY420" t="s">
        <v>1292</v>
      </c>
      <c r="EZ420" t="s">
        <v>1293</v>
      </c>
      <c r="FA420" t="s">
        <v>925</v>
      </c>
      <c r="FB420">
        <v>1</v>
      </c>
      <c r="FC420">
        <v>1</v>
      </c>
      <c r="FD420" s="41">
        <v>46053</v>
      </c>
      <c r="FE420" t="s">
        <v>1370</v>
      </c>
      <c r="FF420">
        <v>4</v>
      </c>
      <c r="FI420">
        <v>0</v>
      </c>
      <c r="FL420">
        <v>0</v>
      </c>
      <c r="FM420" t="s">
        <v>8842</v>
      </c>
      <c r="FN420" t="s">
        <v>8843</v>
      </c>
      <c r="FO420">
        <v>1</v>
      </c>
      <c r="FP420" t="s">
        <v>8844</v>
      </c>
      <c r="FQ420" t="s">
        <v>8841</v>
      </c>
      <c r="FR420">
        <v>1</v>
      </c>
      <c r="FS420" t="s">
        <v>2938</v>
      </c>
      <c r="FT420" t="s">
        <v>8845</v>
      </c>
      <c r="FU420">
        <v>1</v>
      </c>
      <c r="FV420" t="s">
        <v>8846</v>
      </c>
      <c r="FW420" t="s">
        <v>8847</v>
      </c>
      <c r="FX420">
        <v>1</v>
      </c>
      <c r="FY420" t="s">
        <v>890</v>
      </c>
      <c r="FZ420" t="s">
        <v>8848</v>
      </c>
      <c r="GA420" t="s">
        <v>8846</v>
      </c>
      <c r="GB420">
        <v>1</v>
      </c>
      <c r="GD420">
        <v>0</v>
      </c>
      <c r="GF420">
        <v>0</v>
      </c>
      <c r="GG420">
        <v>1</v>
      </c>
      <c r="GH420" t="s">
        <v>892</v>
      </c>
      <c r="GI420" t="s">
        <v>893</v>
      </c>
      <c r="GJ420" t="s">
        <v>8847</v>
      </c>
      <c r="GM420">
        <v>1</v>
      </c>
      <c r="GN420">
        <v>1</v>
      </c>
      <c r="GO420">
        <v>0</v>
      </c>
      <c r="GP420">
        <v>1</v>
      </c>
      <c r="GQ420">
        <v>1</v>
      </c>
      <c r="GR420">
        <v>0</v>
      </c>
      <c r="GS420">
        <v>1</v>
      </c>
      <c r="GT420">
        <v>0</v>
      </c>
      <c r="GU420">
        <v>1</v>
      </c>
      <c r="GV420">
        <v>0</v>
      </c>
      <c r="GW420">
        <v>1</v>
      </c>
      <c r="GX420">
        <v>0</v>
      </c>
      <c r="GY420">
        <v>1</v>
      </c>
      <c r="GZ420">
        <v>0</v>
      </c>
      <c r="HA420" t="s">
        <v>269</v>
      </c>
      <c r="HB420" t="s">
        <v>894</v>
      </c>
      <c r="HC420" t="s">
        <v>935</v>
      </c>
      <c r="HD420" t="s">
        <v>845</v>
      </c>
      <c r="HE420" t="s">
        <v>900</v>
      </c>
      <c r="HF420" t="s">
        <v>923</v>
      </c>
      <c r="HG420" t="s">
        <v>894</v>
      </c>
      <c r="HH420" t="s">
        <v>935</v>
      </c>
      <c r="HI420" t="s">
        <v>845</v>
      </c>
      <c r="HJ420" t="s">
        <v>900</v>
      </c>
      <c r="HK420" t="s">
        <v>923</v>
      </c>
      <c r="HL420" t="s">
        <v>123</v>
      </c>
      <c r="HM420" t="s">
        <v>854</v>
      </c>
      <c r="HN420">
        <v>36805</v>
      </c>
      <c r="HP420" t="s">
        <v>124</v>
      </c>
      <c r="HQ420" t="s">
        <v>896</v>
      </c>
      <c r="HR420" t="s">
        <v>896</v>
      </c>
      <c r="HS420" t="s">
        <v>896</v>
      </c>
    </row>
    <row r="421" spans="1:227" x14ac:dyDescent="0.2">
      <c r="A421">
        <v>8702</v>
      </c>
      <c r="B421">
        <v>7601714430</v>
      </c>
      <c r="C421" t="s">
        <v>829</v>
      </c>
      <c r="D421" t="s">
        <v>830</v>
      </c>
      <c r="E421" t="s">
        <v>831</v>
      </c>
      <c r="F421">
        <v>2</v>
      </c>
      <c r="G421" t="s">
        <v>8849</v>
      </c>
      <c r="H421" t="s">
        <v>8849</v>
      </c>
      <c r="I421">
        <v>0</v>
      </c>
      <c r="J421" t="s">
        <v>833</v>
      </c>
      <c r="K421" t="s">
        <v>834</v>
      </c>
      <c r="L421">
        <v>153524529</v>
      </c>
      <c r="M421" t="s">
        <v>1304</v>
      </c>
      <c r="N421" t="s">
        <v>836</v>
      </c>
      <c r="O421" t="s">
        <v>837</v>
      </c>
      <c r="P421" t="s">
        <v>838</v>
      </c>
      <c r="Q421" t="s">
        <v>1251</v>
      </c>
      <c r="R421" t="s">
        <v>8850</v>
      </c>
      <c r="S421" t="s">
        <v>8851</v>
      </c>
      <c r="T421">
        <v>41477092613</v>
      </c>
      <c r="V421" t="s">
        <v>1003</v>
      </c>
      <c r="W421" s="41">
        <v>46039</v>
      </c>
      <c r="X421" t="s">
        <v>8852</v>
      </c>
      <c r="Y421" t="s">
        <v>8853</v>
      </c>
      <c r="Z421">
        <v>1</v>
      </c>
      <c r="AA421">
        <v>0</v>
      </c>
      <c r="AB421" t="s">
        <v>845</v>
      </c>
      <c r="AC421" t="s">
        <v>846</v>
      </c>
      <c r="AD421" t="s">
        <v>847</v>
      </c>
      <c r="AE421" t="s">
        <v>848</v>
      </c>
      <c r="AF421">
        <v>1</v>
      </c>
      <c r="AG421">
        <v>452210</v>
      </c>
      <c r="AH421" t="s">
        <v>849</v>
      </c>
      <c r="AI421" t="s">
        <v>850</v>
      </c>
      <c r="AJ421" t="s">
        <v>851</v>
      </c>
      <c r="AK421" t="s">
        <v>253</v>
      </c>
      <c r="AL421" t="s">
        <v>1257</v>
      </c>
      <c r="AM421" t="s">
        <v>1311</v>
      </c>
      <c r="AN421" t="s">
        <v>854</v>
      </c>
      <c r="AO421">
        <v>36805</v>
      </c>
      <c r="AP421">
        <v>541</v>
      </c>
      <c r="AQ421" t="s">
        <v>855</v>
      </c>
      <c r="AR421">
        <v>66293999</v>
      </c>
      <c r="AS421" t="s">
        <v>856</v>
      </c>
      <c r="AU421" t="s">
        <v>8854</v>
      </c>
      <c r="AV421" t="s">
        <v>8855</v>
      </c>
      <c r="AW421" t="s">
        <v>1261</v>
      </c>
      <c r="AX421" t="s">
        <v>1262</v>
      </c>
      <c r="AY421" t="s">
        <v>861</v>
      </c>
      <c r="AZ421" t="s">
        <v>253</v>
      </c>
      <c r="BA421" t="s">
        <v>254</v>
      </c>
      <c r="BB421">
        <v>0</v>
      </c>
      <c r="BC421">
        <v>0</v>
      </c>
      <c r="BD421">
        <v>0</v>
      </c>
      <c r="BE421" t="s">
        <v>1304</v>
      </c>
      <c r="BF421">
        <v>0</v>
      </c>
      <c r="BG421">
        <v>0</v>
      </c>
      <c r="BH421" t="s">
        <v>862</v>
      </c>
      <c r="BI421">
        <v>0</v>
      </c>
      <c r="BJ421" t="s">
        <v>862</v>
      </c>
      <c r="BK421">
        <v>1</v>
      </c>
      <c r="BL421">
        <v>0</v>
      </c>
      <c r="BM421">
        <v>0</v>
      </c>
      <c r="BN421" t="s">
        <v>596</v>
      </c>
      <c r="BO421">
        <v>153524529</v>
      </c>
      <c r="BP421" t="s">
        <v>8849</v>
      </c>
      <c r="BR421">
        <v>42791455</v>
      </c>
      <c r="BT421">
        <v>2</v>
      </c>
      <c r="BU421" t="s">
        <v>1367</v>
      </c>
      <c r="CE421">
        <v>1</v>
      </c>
      <c r="CI421">
        <v>11</v>
      </c>
      <c r="CJ421" t="s">
        <v>94</v>
      </c>
      <c r="CM421">
        <v>4010</v>
      </c>
      <c r="CO421">
        <v>7360</v>
      </c>
      <c r="CP421">
        <v>1.9666999999999999</v>
      </c>
      <c r="CQ421">
        <v>1.9666999999999999</v>
      </c>
      <c r="CR421">
        <v>0.2167</v>
      </c>
      <c r="CS421">
        <v>1</v>
      </c>
      <c r="CT421" t="s">
        <v>8856</v>
      </c>
      <c r="CU421" t="s">
        <v>8857</v>
      </c>
      <c r="CV421" t="s">
        <v>833</v>
      </c>
      <c r="CW421" t="s">
        <v>834</v>
      </c>
      <c r="CX421" t="s">
        <v>1304</v>
      </c>
      <c r="CY421">
        <v>0</v>
      </c>
      <c r="CZ421">
        <v>0</v>
      </c>
      <c r="DA421" t="s">
        <v>833</v>
      </c>
      <c r="DB421" t="s">
        <v>865</v>
      </c>
      <c r="DC421">
        <v>55431</v>
      </c>
      <c r="DD421">
        <v>2.2999999999999998</v>
      </c>
      <c r="DE421" t="s">
        <v>866</v>
      </c>
      <c r="DG421" t="s">
        <v>867</v>
      </c>
      <c r="DH421" t="s">
        <v>851</v>
      </c>
      <c r="DI421" t="s">
        <v>1291</v>
      </c>
      <c r="DK421" t="s">
        <v>918</v>
      </c>
      <c r="DL421" t="s">
        <v>869</v>
      </c>
      <c r="DM421">
        <v>0</v>
      </c>
      <c r="DN421">
        <v>0</v>
      </c>
      <c r="DO421">
        <v>3</v>
      </c>
      <c r="DP421" t="s">
        <v>919</v>
      </c>
      <c r="DQ421">
        <v>16</v>
      </c>
      <c r="DR421">
        <v>138</v>
      </c>
      <c r="DS421">
        <v>138</v>
      </c>
      <c r="DT421">
        <v>0.33329999999999999</v>
      </c>
      <c r="DU421">
        <v>4</v>
      </c>
      <c r="DV421">
        <v>1</v>
      </c>
      <c r="DW421">
        <v>2</v>
      </c>
      <c r="DX421" t="s">
        <v>594</v>
      </c>
      <c r="DY421" t="s">
        <v>1304</v>
      </c>
      <c r="DZ421">
        <v>0</v>
      </c>
      <c r="EA421">
        <v>0</v>
      </c>
      <c r="EB421">
        <v>0</v>
      </c>
      <c r="EC421">
        <v>0</v>
      </c>
      <c r="ED421">
        <v>0</v>
      </c>
      <c r="EE421">
        <v>0</v>
      </c>
      <c r="EF421" t="s">
        <v>871</v>
      </c>
      <c r="EG421" t="s">
        <v>595</v>
      </c>
      <c r="EH421" t="s">
        <v>872</v>
      </c>
      <c r="EI421" t="s">
        <v>872</v>
      </c>
      <c r="EJ421" t="s">
        <v>159</v>
      </c>
      <c r="EK421">
        <v>9090</v>
      </c>
      <c r="EL421">
        <v>0</v>
      </c>
      <c r="EM421" t="s">
        <v>873</v>
      </c>
      <c r="EN421">
        <v>0.2167</v>
      </c>
      <c r="EO421">
        <v>2.2999999999999998</v>
      </c>
      <c r="EP421">
        <v>99991120</v>
      </c>
      <c r="EQ421" t="s">
        <v>874</v>
      </c>
      <c r="ER421" t="s">
        <v>875</v>
      </c>
      <c r="ES421" t="s">
        <v>876</v>
      </c>
      <c r="ET421" t="s">
        <v>877</v>
      </c>
      <c r="EU421" t="s">
        <v>877</v>
      </c>
      <c r="EV421" t="s">
        <v>871</v>
      </c>
      <c r="EX421" t="s">
        <v>836</v>
      </c>
      <c r="EY421" t="s">
        <v>1121</v>
      </c>
      <c r="EZ421" t="s">
        <v>1122</v>
      </c>
      <c r="FA421" t="s">
        <v>956</v>
      </c>
      <c r="FB421">
        <v>1</v>
      </c>
      <c r="FC421">
        <v>1</v>
      </c>
      <c r="FD421" s="41">
        <v>46039</v>
      </c>
      <c r="FE421" t="s">
        <v>1370</v>
      </c>
      <c r="FF421">
        <v>5</v>
      </c>
      <c r="FI421">
        <v>0</v>
      </c>
      <c r="FJ421" t="s">
        <v>8858</v>
      </c>
      <c r="FK421" t="s">
        <v>8859</v>
      </c>
      <c r="FL421">
        <v>1</v>
      </c>
      <c r="FM421" t="s">
        <v>1320</v>
      </c>
      <c r="FN421" t="s">
        <v>8860</v>
      </c>
      <c r="FO421">
        <v>1</v>
      </c>
      <c r="FP421" t="s">
        <v>8861</v>
      </c>
      <c r="FQ421" t="s">
        <v>8857</v>
      </c>
      <c r="FR421">
        <v>1</v>
      </c>
      <c r="FS421" t="s">
        <v>1273</v>
      </c>
      <c r="FT421" t="s">
        <v>8862</v>
      </c>
      <c r="FU421">
        <v>1</v>
      </c>
      <c r="FV421" t="s">
        <v>8863</v>
      </c>
      <c r="FW421" t="s">
        <v>8859</v>
      </c>
      <c r="FX421">
        <v>1</v>
      </c>
      <c r="FY421" t="s">
        <v>890</v>
      </c>
      <c r="FZ421" t="s">
        <v>8864</v>
      </c>
      <c r="GA421" t="s">
        <v>8858</v>
      </c>
      <c r="GB421">
        <v>1</v>
      </c>
      <c r="GD421">
        <v>0</v>
      </c>
      <c r="GF421">
        <v>0</v>
      </c>
      <c r="GG421">
        <v>1</v>
      </c>
      <c r="GH421" t="s">
        <v>892</v>
      </c>
      <c r="GI421" t="s">
        <v>893</v>
      </c>
      <c r="GJ421" t="s">
        <v>8859</v>
      </c>
      <c r="GM421">
        <v>1</v>
      </c>
      <c r="GN421">
        <v>1</v>
      </c>
      <c r="GO421">
        <v>0</v>
      </c>
      <c r="GP421">
        <v>1</v>
      </c>
      <c r="GQ421">
        <v>1</v>
      </c>
      <c r="GR421">
        <v>0</v>
      </c>
      <c r="GS421">
        <v>1</v>
      </c>
      <c r="GT421">
        <v>0</v>
      </c>
      <c r="GU421">
        <v>1</v>
      </c>
      <c r="GV421">
        <v>0</v>
      </c>
      <c r="GW421">
        <v>1</v>
      </c>
      <c r="GX421">
        <v>0</v>
      </c>
      <c r="GY421">
        <v>1</v>
      </c>
      <c r="GZ421">
        <v>0</v>
      </c>
      <c r="HA421" t="s">
        <v>253</v>
      </c>
      <c r="HB421" t="s">
        <v>894</v>
      </c>
      <c r="HC421" t="s">
        <v>895</v>
      </c>
      <c r="HD421" t="s">
        <v>845</v>
      </c>
      <c r="HE421" t="s">
        <v>836</v>
      </c>
      <c r="HF421" t="s">
        <v>873</v>
      </c>
      <c r="HG421" t="s">
        <v>894</v>
      </c>
      <c r="HH421" t="s">
        <v>895</v>
      </c>
      <c r="HI421" t="s">
        <v>845</v>
      </c>
      <c r="HJ421" t="s">
        <v>836</v>
      </c>
      <c r="HK421" t="s">
        <v>873</v>
      </c>
      <c r="HL421" t="s">
        <v>1003</v>
      </c>
      <c r="HM421" t="s">
        <v>854</v>
      </c>
      <c r="HN421">
        <v>36805</v>
      </c>
      <c r="HP421" t="s">
        <v>159</v>
      </c>
      <c r="HQ421" t="s">
        <v>896</v>
      </c>
      <c r="HR421" t="s">
        <v>896</v>
      </c>
      <c r="HS421" t="s">
        <v>896</v>
      </c>
    </row>
    <row r="422" spans="1:227" x14ac:dyDescent="0.2">
      <c r="A422">
        <v>8702</v>
      </c>
      <c r="B422">
        <v>7616005133</v>
      </c>
      <c r="C422">
        <v>36</v>
      </c>
      <c r="D422" t="s">
        <v>1302</v>
      </c>
      <c r="E422" t="s">
        <v>897</v>
      </c>
      <c r="F422">
        <v>2</v>
      </c>
      <c r="G422" t="s">
        <v>8865</v>
      </c>
      <c r="H422" t="s">
        <v>8865</v>
      </c>
      <c r="I422">
        <v>0</v>
      </c>
      <c r="J422" t="s">
        <v>833</v>
      </c>
      <c r="K422" t="s">
        <v>834</v>
      </c>
      <c r="L422">
        <v>153517121</v>
      </c>
      <c r="M422" t="s">
        <v>8866</v>
      </c>
      <c r="N422" t="s">
        <v>900</v>
      </c>
      <c r="O422" t="s">
        <v>837</v>
      </c>
      <c r="P422" t="s">
        <v>1302</v>
      </c>
      <c r="Q422" t="s">
        <v>1305</v>
      </c>
      <c r="R422" t="s">
        <v>8867</v>
      </c>
      <c r="S422" t="s">
        <v>8868</v>
      </c>
      <c r="T422">
        <v>41477124210</v>
      </c>
      <c r="V422" t="s">
        <v>1003</v>
      </c>
      <c r="W422" s="41">
        <v>46183</v>
      </c>
      <c r="X422" t="s">
        <v>8869</v>
      </c>
      <c r="Y422" t="s">
        <v>8870</v>
      </c>
      <c r="Z422" t="s">
        <v>8871</v>
      </c>
      <c r="AA422">
        <v>0</v>
      </c>
      <c r="AB422" t="s">
        <v>845</v>
      </c>
      <c r="AC422" t="s">
        <v>846</v>
      </c>
      <c r="AD422" t="s">
        <v>907</v>
      </c>
      <c r="AE422" t="s">
        <v>908</v>
      </c>
      <c r="AF422">
        <v>1</v>
      </c>
      <c r="AG422">
        <v>452210</v>
      </c>
      <c r="AH422" t="s">
        <v>849</v>
      </c>
      <c r="AI422" t="s">
        <v>850</v>
      </c>
      <c r="AJ422" t="s">
        <v>851</v>
      </c>
      <c r="AK422" t="s">
        <v>344</v>
      </c>
      <c r="AL422" t="s">
        <v>3985</v>
      </c>
      <c r="AM422" t="s">
        <v>1007</v>
      </c>
      <c r="AN422" t="s">
        <v>854</v>
      </c>
      <c r="AO422">
        <v>36805</v>
      </c>
      <c r="AP422">
        <v>536</v>
      </c>
      <c r="AQ422" t="s">
        <v>855</v>
      </c>
      <c r="AR422">
        <v>66501622</v>
      </c>
      <c r="AS422" t="s">
        <v>856</v>
      </c>
      <c r="AU422" t="s">
        <v>8872</v>
      </c>
      <c r="AV422" t="s">
        <v>8873</v>
      </c>
      <c r="AW422" t="s">
        <v>1185</v>
      </c>
      <c r="AX422" t="s">
        <v>1186</v>
      </c>
      <c r="AY422" t="s">
        <v>861</v>
      </c>
      <c r="AZ422" t="s">
        <v>344</v>
      </c>
      <c r="BA422" t="s">
        <v>345</v>
      </c>
      <c r="BB422">
        <v>0</v>
      </c>
      <c r="BC422">
        <v>1</v>
      </c>
      <c r="BD422">
        <v>0</v>
      </c>
      <c r="BE422" t="s">
        <v>8866</v>
      </c>
      <c r="BF422">
        <v>0</v>
      </c>
      <c r="BG422">
        <v>0</v>
      </c>
      <c r="BH422" t="s">
        <v>862</v>
      </c>
      <c r="BI422">
        <v>0</v>
      </c>
      <c r="BJ422" t="s">
        <v>862</v>
      </c>
      <c r="BK422">
        <v>1</v>
      </c>
      <c r="BL422">
        <v>0</v>
      </c>
      <c r="BM422">
        <v>0</v>
      </c>
      <c r="BN422" t="s">
        <v>596</v>
      </c>
      <c r="BO422">
        <v>153517121</v>
      </c>
      <c r="BP422" t="s">
        <v>8865</v>
      </c>
      <c r="BR422">
        <v>42791478</v>
      </c>
      <c r="BT422">
        <v>1</v>
      </c>
      <c r="BU422" t="s">
        <v>1314</v>
      </c>
      <c r="BY422">
        <v>16</v>
      </c>
      <c r="CA422">
        <v>21</v>
      </c>
      <c r="CI422">
        <v>11</v>
      </c>
      <c r="CJ422" t="s">
        <v>94</v>
      </c>
      <c r="CM422">
        <v>4010</v>
      </c>
      <c r="CO422">
        <v>7360</v>
      </c>
      <c r="CP422">
        <v>2.4666999999999999</v>
      </c>
      <c r="CQ422">
        <v>2.4666999999999999</v>
      </c>
      <c r="CR422">
        <v>1.8833</v>
      </c>
      <c r="CS422">
        <v>0</v>
      </c>
      <c r="CT422" t="s">
        <v>8874</v>
      </c>
      <c r="CU422" t="s">
        <v>8875</v>
      </c>
      <c r="CV422" t="s">
        <v>833</v>
      </c>
      <c r="CW422" t="s">
        <v>834</v>
      </c>
      <c r="CX422" t="s">
        <v>8866</v>
      </c>
      <c r="CY422">
        <v>1</v>
      </c>
      <c r="CZ422">
        <v>1</v>
      </c>
      <c r="DA422" t="s">
        <v>833</v>
      </c>
      <c r="DB422" t="s">
        <v>865</v>
      </c>
      <c r="DC422">
        <v>47401</v>
      </c>
      <c r="DD422">
        <v>21.383299999999998</v>
      </c>
      <c r="DE422" t="s">
        <v>866</v>
      </c>
      <c r="DG422" t="s">
        <v>867</v>
      </c>
      <c r="DH422" t="s">
        <v>851</v>
      </c>
      <c r="DI422" t="s">
        <v>3967</v>
      </c>
      <c r="DK422" t="s">
        <v>918</v>
      </c>
      <c r="DL422" t="s">
        <v>869</v>
      </c>
      <c r="DM422">
        <v>0</v>
      </c>
      <c r="DN422">
        <v>0</v>
      </c>
      <c r="DO422">
        <v>11</v>
      </c>
      <c r="DP422" t="s">
        <v>1010</v>
      </c>
      <c r="DQ422">
        <v>16</v>
      </c>
      <c r="DR422">
        <v>1283</v>
      </c>
      <c r="DS422">
        <v>2003</v>
      </c>
      <c r="DT422">
        <v>4.7</v>
      </c>
      <c r="DU422">
        <v>4</v>
      </c>
      <c r="DV422">
        <v>1</v>
      </c>
      <c r="DW422">
        <v>2</v>
      </c>
      <c r="DX422" t="s">
        <v>594</v>
      </c>
      <c r="DY422" t="s">
        <v>8866</v>
      </c>
      <c r="DZ422">
        <v>0</v>
      </c>
      <c r="EA422">
        <v>0</v>
      </c>
      <c r="EB422">
        <v>0</v>
      </c>
      <c r="EC422">
        <v>0</v>
      </c>
      <c r="ED422">
        <v>0</v>
      </c>
      <c r="EE422">
        <v>0</v>
      </c>
      <c r="EF422" t="s">
        <v>920</v>
      </c>
      <c r="EG422" t="s">
        <v>595</v>
      </c>
      <c r="EH422" t="s">
        <v>872</v>
      </c>
      <c r="EI422" t="s">
        <v>872</v>
      </c>
      <c r="EJ422" t="s">
        <v>134</v>
      </c>
      <c r="EK422">
        <v>9090</v>
      </c>
      <c r="EL422">
        <v>1</v>
      </c>
      <c r="EM422" t="s">
        <v>1011</v>
      </c>
      <c r="EN422">
        <v>1.8833</v>
      </c>
      <c r="EO422">
        <v>33.383333299999997</v>
      </c>
      <c r="EP422">
        <v>99991120</v>
      </c>
      <c r="EQ422" t="s">
        <v>874</v>
      </c>
      <c r="ER422" t="s">
        <v>875</v>
      </c>
      <c r="ES422" t="s">
        <v>876</v>
      </c>
      <c r="ET422" t="s">
        <v>877</v>
      </c>
      <c r="EU422" t="s">
        <v>877</v>
      </c>
      <c r="EV422" t="s">
        <v>920</v>
      </c>
      <c r="EX422" t="s">
        <v>900</v>
      </c>
      <c r="EY422" t="s">
        <v>1012</v>
      </c>
      <c r="EZ422" t="s">
        <v>1013</v>
      </c>
      <c r="FA422" t="s">
        <v>925</v>
      </c>
      <c r="FB422">
        <v>1</v>
      </c>
      <c r="FC422">
        <v>2</v>
      </c>
      <c r="FD422" s="41">
        <v>46186</v>
      </c>
      <c r="FE422" t="s">
        <v>1315</v>
      </c>
      <c r="FF422">
        <v>9</v>
      </c>
      <c r="FG422" t="s">
        <v>8876</v>
      </c>
      <c r="FH422" t="s">
        <v>8877</v>
      </c>
      <c r="FI422">
        <v>1</v>
      </c>
      <c r="FJ422" t="s">
        <v>8878</v>
      </c>
      <c r="FK422" t="s">
        <v>8877</v>
      </c>
      <c r="FL422">
        <v>1</v>
      </c>
      <c r="FM422" t="s">
        <v>8879</v>
      </c>
      <c r="FN422" t="s">
        <v>8880</v>
      </c>
      <c r="FO422">
        <v>1</v>
      </c>
      <c r="FP422" t="s">
        <v>8881</v>
      </c>
      <c r="FQ422" t="s">
        <v>8875</v>
      </c>
      <c r="FR422">
        <v>1</v>
      </c>
      <c r="FS422" t="s">
        <v>1020</v>
      </c>
      <c r="FT422" t="s">
        <v>8882</v>
      </c>
      <c r="FU422">
        <v>1</v>
      </c>
      <c r="FV422" t="s">
        <v>8883</v>
      </c>
      <c r="FW422" t="s">
        <v>8884</v>
      </c>
      <c r="FX422">
        <v>1</v>
      </c>
      <c r="FY422" t="s">
        <v>890</v>
      </c>
      <c r="FZ422" t="s">
        <v>8885</v>
      </c>
      <c r="GA422" t="s">
        <v>8878</v>
      </c>
      <c r="GB422">
        <v>1</v>
      </c>
      <c r="GD422">
        <v>0</v>
      </c>
      <c r="GF422">
        <v>0</v>
      </c>
      <c r="GG422">
        <v>1</v>
      </c>
      <c r="GH422" t="s">
        <v>892</v>
      </c>
      <c r="GI422" t="s">
        <v>893</v>
      </c>
      <c r="GJ422" t="s">
        <v>8877</v>
      </c>
      <c r="GM422">
        <v>1</v>
      </c>
      <c r="GN422">
        <v>0</v>
      </c>
      <c r="GO422">
        <v>0</v>
      </c>
      <c r="GP422">
        <v>1</v>
      </c>
      <c r="GQ422">
        <v>1</v>
      </c>
      <c r="GR422">
        <v>0</v>
      </c>
      <c r="GS422">
        <v>1</v>
      </c>
      <c r="GT422">
        <v>0</v>
      </c>
      <c r="GU422">
        <v>1</v>
      </c>
      <c r="GV422">
        <v>0</v>
      </c>
      <c r="GW422">
        <v>1</v>
      </c>
      <c r="GX422">
        <v>0</v>
      </c>
      <c r="GY422">
        <v>1</v>
      </c>
      <c r="GZ422">
        <v>0</v>
      </c>
      <c r="HA422" t="s">
        <v>344</v>
      </c>
      <c r="HB422" t="s">
        <v>894</v>
      </c>
      <c r="HC422" t="s">
        <v>935</v>
      </c>
      <c r="HD422" t="s">
        <v>845</v>
      </c>
      <c r="HE422" t="s">
        <v>900</v>
      </c>
      <c r="HF422" t="s">
        <v>1012</v>
      </c>
      <c r="HG422" t="s">
        <v>894</v>
      </c>
      <c r="HH422" t="s">
        <v>935</v>
      </c>
      <c r="HI422" t="s">
        <v>845</v>
      </c>
      <c r="HJ422" t="s">
        <v>900</v>
      </c>
      <c r="HK422" t="s">
        <v>1011</v>
      </c>
      <c r="HL422" t="s">
        <v>1003</v>
      </c>
      <c r="HM422" t="s">
        <v>854</v>
      </c>
      <c r="HN422">
        <v>36805</v>
      </c>
      <c r="HO422">
        <v>1</v>
      </c>
      <c r="HP422" t="s">
        <v>134</v>
      </c>
      <c r="HQ422" t="s">
        <v>896</v>
      </c>
      <c r="HR422" t="s">
        <v>896</v>
      </c>
      <c r="HS422" t="s">
        <v>896</v>
      </c>
    </row>
    <row r="423" spans="1:227" x14ac:dyDescent="0.2">
      <c r="A423">
        <v>8702</v>
      </c>
      <c r="B423">
        <v>7602703644</v>
      </c>
      <c r="C423">
        <v>34</v>
      </c>
      <c r="D423" t="s">
        <v>996</v>
      </c>
      <c r="E423" t="s">
        <v>831</v>
      </c>
      <c r="F423">
        <v>1</v>
      </c>
      <c r="G423" t="s">
        <v>8886</v>
      </c>
      <c r="H423" t="s">
        <v>8886</v>
      </c>
      <c r="I423">
        <v>0</v>
      </c>
      <c r="J423" t="s">
        <v>833</v>
      </c>
      <c r="K423" t="s">
        <v>834</v>
      </c>
      <c r="L423">
        <v>153294174</v>
      </c>
      <c r="M423" t="s">
        <v>2959</v>
      </c>
      <c r="N423" t="s">
        <v>836</v>
      </c>
      <c r="O423" t="s">
        <v>837</v>
      </c>
      <c r="P423" t="s">
        <v>999</v>
      </c>
      <c r="Q423" t="s">
        <v>2459</v>
      </c>
      <c r="R423" t="s">
        <v>8887</v>
      </c>
      <c r="S423" t="s">
        <v>8888</v>
      </c>
      <c r="T423">
        <v>30300127006</v>
      </c>
      <c r="V423" t="s">
        <v>2962</v>
      </c>
      <c r="W423" s="41">
        <v>46051</v>
      </c>
      <c r="X423" t="s">
        <v>8889</v>
      </c>
      <c r="Y423" t="s">
        <v>8890</v>
      </c>
      <c r="Z423" t="s">
        <v>2965</v>
      </c>
      <c r="AA423">
        <v>0</v>
      </c>
      <c r="AB423" t="s">
        <v>845</v>
      </c>
      <c r="AC423" t="s">
        <v>846</v>
      </c>
      <c r="AD423" t="s">
        <v>847</v>
      </c>
      <c r="AE423" t="s">
        <v>848</v>
      </c>
      <c r="AF423">
        <v>1</v>
      </c>
      <c r="AG423">
        <v>452210</v>
      </c>
      <c r="AH423" t="s">
        <v>849</v>
      </c>
      <c r="AI423" t="s">
        <v>850</v>
      </c>
      <c r="AJ423" t="s">
        <v>851</v>
      </c>
      <c r="AK423" t="s">
        <v>255</v>
      </c>
      <c r="AL423" t="s">
        <v>2605</v>
      </c>
      <c r="AM423" t="s">
        <v>2966</v>
      </c>
      <c r="AN423" t="s">
        <v>854</v>
      </c>
      <c r="AO423">
        <v>36805</v>
      </c>
      <c r="AP423">
        <v>715</v>
      </c>
      <c r="AQ423" t="s">
        <v>855</v>
      </c>
      <c r="AR423">
        <v>66311320</v>
      </c>
      <c r="AS423" t="s">
        <v>856</v>
      </c>
      <c r="AU423" t="s">
        <v>8891</v>
      </c>
      <c r="AV423" t="s">
        <v>8892</v>
      </c>
      <c r="AX423" t="s">
        <v>913</v>
      </c>
      <c r="AY423" t="s">
        <v>861</v>
      </c>
      <c r="AZ423" t="s">
        <v>255</v>
      </c>
      <c r="BA423" t="s">
        <v>256</v>
      </c>
      <c r="BB423">
        <v>0</v>
      </c>
      <c r="BC423">
        <v>1</v>
      </c>
      <c r="BD423">
        <v>0</v>
      </c>
      <c r="BE423" t="s">
        <v>2959</v>
      </c>
      <c r="BF423">
        <v>0</v>
      </c>
      <c r="BG423">
        <v>0</v>
      </c>
      <c r="BH423" t="s">
        <v>862</v>
      </c>
      <c r="BI423">
        <v>0</v>
      </c>
      <c r="BJ423" t="s">
        <v>862</v>
      </c>
      <c r="BK423">
        <v>1</v>
      </c>
      <c r="BL423">
        <v>1</v>
      </c>
      <c r="BM423">
        <v>0</v>
      </c>
      <c r="BN423" t="s">
        <v>596</v>
      </c>
      <c r="BO423">
        <v>153294174</v>
      </c>
      <c r="BP423" t="s">
        <v>8886</v>
      </c>
      <c r="BR423">
        <v>42793503</v>
      </c>
      <c r="BT423">
        <v>1</v>
      </c>
      <c r="BU423" t="s">
        <v>1367</v>
      </c>
      <c r="CI423">
        <v>11</v>
      </c>
      <c r="CJ423" t="s">
        <v>94</v>
      </c>
      <c r="CM423">
        <v>4010</v>
      </c>
      <c r="CO423">
        <v>7360</v>
      </c>
      <c r="CP423">
        <v>0.81669999999999998</v>
      </c>
      <c r="CQ423">
        <v>0.81669999999999998</v>
      </c>
      <c r="CR423">
        <v>2.0499999999999998</v>
      </c>
      <c r="CS423">
        <v>4</v>
      </c>
      <c r="CT423" t="s">
        <v>8892</v>
      </c>
      <c r="CU423" t="s">
        <v>8891</v>
      </c>
      <c r="CV423" t="s">
        <v>833</v>
      </c>
      <c r="CW423" t="s">
        <v>834</v>
      </c>
      <c r="CX423" t="s">
        <v>2959</v>
      </c>
      <c r="CY423">
        <v>1</v>
      </c>
      <c r="CZ423">
        <v>1</v>
      </c>
      <c r="DA423" t="s">
        <v>833</v>
      </c>
      <c r="DB423" t="s">
        <v>865</v>
      </c>
      <c r="DC423">
        <v>54304</v>
      </c>
      <c r="DD423">
        <v>29.1</v>
      </c>
      <c r="DE423" t="s">
        <v>866</v>
      </c>
      <c r="DG423" t="s">
        <v>867</v>
      </c>
      <c r="DH423" t="s">
        <v>851</v>
      </c>
      <c r="DI423" t="s">
        <v>2971</v>
      </c>
      <c r="DK423" t="s">
        <v>918</v>
      </c>
      <c r="DL423" t="s">
        <v>869</v>
      </c>
      <c r="DM423">
        <v>0</v>
      </c>
      <c r="DN423">
        <v>0</v>
      </c>
      <c r="DO423">
        <v>11</v>
      </c>
      <c r="DP423" t="s">
        <v>1010</v>
      </c>
      <c r="DQ423">
        <v>16</v>
      </c>
      <c r="DR423">
        <v>1746</v>
      </c>
      <c r="DS423">
        <v>3186</v>
      </c>
      <c r="DT423">
        <v>28.283300000000001</v>
      </c>
      <c r="DU423">
        <v>4</v>
      </c>
      <c r="DV423">
        <v>1</v>
      </c>
      <c r="DW423">
        <v>2</v>
      </c>
      <c r="DX423" t="s">
        <v>596</v>
      </c>
      <c r="DY423" t="s">
        <v>2959</v>
      </c>
      <c r="DZ423">
        <v>0</v>
      </c>
      <c r="EA423">
        <v>0</v>
      </c>
      <c r="EB423">
        <v>1</v>
      </c>
      <c r="EC423">
        <v>0</v>
      </c>
      <c r="ED423">
        <v>0</v>
      </c>
      <c r="EE423">
        <v>1</v>
      </c>
      <c r="EF423" t="s">
        <v>871</v>
      </c>
      <c r="EG423" t="s">
        <v>595</v>
      </c>
      <c r="EH423" t="s">
        <v>921</v>
      </c>
      <c r="EI423" t="s">
        <v>921</v>
      </c>
      <c r="EJ423" t="s">
        <v>215</v>
      </c>
      <c r="EK423">
        <v>9090</v>
      </c>
      <c r="EL423">
        <v>0</v>
      </c>
      <c r="EM423" t="s">
        <v>1436</v>
      </c>
      <c r="EN423">
        <v>2.0499999999999998</v>
      </c>
      <c r="EO423">
        <v>53.1</v>
      </c>
      <c r="EP423">
        <v>99991120</v>
      </c>
      <c r="EQ423" t="s">
        <v>874</v>
      </c>
      <c r="ER423" t="s">
        <v>875</v>
      </c>
      <c r="ES423" t="s">
        <v>876</v>
      </c>
      <c r="ET423" t="s">
        <v>877</v>
      </c>
      <c r="EU423" t="s">
        <v>877</v>
      </c>
      <c r="EV423" t="s">
        <v>871</v>
      </c>
      <c r="EX423" t="s">
        <v>836</v>
      </c>
      <c r="EY423" t="s">
        <v>873</v>
      </c>
      <c r="EZ423" t="s">
        <v>2972</v>
      </c>
      <c r="FA423" t="s">
        <v>879</v>
      </c>
      <c r="FB423">
        <v>1</v>
      </c>
      <c r="FC423">
        <v>1</v>
      </c>
      <c r="FD423" s="41">
        <v>46053</v>
      </c>
      <c r="FE423" t="s">
        <v>1370</v>
      </c>
      <c r="FF423">
        <v>7</v>
      </c>
      <c r="FG423" t="s">
        <v>8893</v>
      </c>
      <c r="FH423" t="s">
        <v>8894</v>
      </c>
      <c r="FI423">
        <v>1</v>
      </c>
      <c r="FJ423" t="s">
        <v>2975</v>
      </c>
      <c r="FK423" t="s">
        <v>8894</v>
      </c>
      <c r="FL423">
        <v>1</v>
      </c>
      <c r="FM423" t="s">
        <v>2976</v>
      </c>
      <c r="FN423" t="s">
        <v>8895</v>
      </c>
      <c r="FO423">
        <v>1</v>
      </c>
      <c r="FP423" t="s">
        <v>8896</v>
      </c>
      <c r="FQ423" t="s">
        <v>8891</v>
      </c>
      <c r="FR423">
        <v>1</v>
      </c>
      <c r="FS423" t="s">
        <v>2610</v>
      </c>
      <c r="FT423" t="s">
        <v>8897</v>
      </c>
      <c r="FU423">
        <v>1</v>
      </c>
      <c r="FV423" t="s">
        <v>8898</v>
      </c>
      <c r="FW423" t="s">
        <v>8899</v>
      </c>
      <c r="FX423">
        <v>1</v>
      </c>
      <c r="FY423" t="s">
        <v>890</v>
      </c>
      <c r="FZ423" t="s">
        <v>8900</v>
      </c>
      <c r="GA423" t="s">
        <v>2975</v>
      </c>
      <c r="GB423">
        <v>1</v>
      </c>
      <c r="GD423">
        <v>0</v>
      </c>
      <c r="GF423">
        <v>0</v>
      </c>
      <c r="GG423">
        <v>1</v>
      </c>
      <c r="GH423" t="s">
        <v>892</v>
      </c>
      <c r="GI423" t="s">
        <v>893</v>
      </c>
      <c r="GJ423" t="s">
        <v>8894</v>
      </c>
      <c r="GM423">
        <v>1</v>
      </c>
      <c r="GN423">
        <v>1</v>
      </c>
      <c r="GO423">
        <v>0</v>
      </c>
      <c r="GP423">
        <v>1</v>
      </c>
      <c r="GQ423">
        <v>1</v>
      </c>
      <c r="GR423">
        <v>0</v>
      </c>
      <c r="GS423">
        <v>1</v>
      </c>
      <c r="GT423">
        <v>0</v>
      </c>
      <c r="GU423">
        <v>1</v>
      </c>
      <c r="GV423">
        <v>0</v>
      </c>
      <c r="GW423">
        <v>1</v>
      </c>
      <c r="GX423">
        <v>0</v>
      </c>
      <c r="GY423">
        <v>1</v>
      </c>
      <c r="GZ423">
        <v>0</v>
      </c>
      <c r="HA423" t="s">
        <v>255</v>
      </c>
      <c r="HB423" t="s">
        <v>894</v>
      </c>
      <c r="HC423" t="s">
        <v>895</v>
      </c>
      <c r="HD423" t="s">
        <v>845</v>
      </c>
      <c r="HE423" t="s">
        <v>836</v>
      </c>
      <c r="HF423" t="s">
        <v>873</v>
      </c>
      <c r="HG423" t="s">
        <v>894</v>
      </c>
      <c r="HH423" t="s">
        <v>895</v>
      </c>
      <c r="HI423" t="s">
        <v>845</v>
      </c>
      <c r="HJ423" t="s">
        <v>836</v>
      </c>
      <c r="HK423" t="s">
        <v>1436</v>
      </c>
      <c r="HL423" t="s">
        <v>2962</v>
      </c>
      <c r="HM423" t="s">
        <v>854</v>
      </c>
      <c r="HN423">
        <v>36805</v>
      </c>
      <c r="HO423">
        <v>1</v>
      </c>
      <c r="HP423" t="s">
        <v>215</v>
      </c>
      <c r="HQ423" t="s">
        <v>896</v>
      </c>
      <c r="HR423" t="s">
        <v>896</v>
      </c>
      <c r="HS423" t="s">
        <v>896</v>
      </c>
    </row>
    <row r="424" spans="1:227" x14ac:dyDescent="0.2">
      <c r="A424">
        <v>8702</v>
      </c>
      <c r="B424">
        <v>7618706707</v>
      </c>
      <c r="C424" t="s">
        <v>829</v>
      </c>
      <c r="D424" t="s">
        <v>830</v>
      </c>
      <c r="E424" t="s">
        <v>831</v>
      </c>
      <c r="F424">
        <v>0</v>
      </c>
      <c r="G424" t="s">
        <v>8901</v>
      </c>
      <c r="H424" t="s">
        <v>8901</v>
      </c>
      <c r="I424">
        <v>0</v>
      </c>
      <c r="J424" t="s">
        <v>833</v>
      </c>
      <c r="K424" t="s">
        <v>834</v>
      </c>
      <c r="L424">
        <v>153406515</v>
      </c>
      <c r="M424" t="s">
        <v>8902</v>
      </c>
      <c r="N424" t="s">
        <v>836</v>
      </c>
      <c r="O424" t="s">
        <v>837</v>
      </c>
      <c r="P424" t="s">
        <v>838</v>
      </c>
      <c r="Q424" t="s">
        <v>1279</v>
      </c>
      <c r="R424" t="s">
        <v>8903</v>
      </c>
      <c r="S424" t="s">
        <v>8904</v>
      </c>
      <c r="T424">
        <v>41477047363</v>
      </c>
      <c r="V424" t="s">
        <v>180</v>
      </c>
      <c r="W424" s="41">
        <v>46213</v>
      </c>
      <c r="X424" t="s">
        <v>8905</v>
      </c>
      <c r="Y424" t="s">
        <v>8906</v>
      </c>
      <c r="AA424">
        <v>0</v>
      </c>
      <c r="AB424" t="s">
        <v>845</v>
      </c>
      <c r="AC424" t="s">
        <v>846</v>
      </c>
      <c r="AD424" t="s">
        <v>907</v>
      </c>
      <c r="AE424" t="s">
        <v>908</v>
      </c>
      <c r="AF424">
        <v>1</v>
      </c>
      <c r="AG424">
        <v>452210</v>
      </c>
      <c r="AH424" t="s">
        <v>849</v>
      </c>
      <c r="AI424" t="s">
        <v>850</v>
      </c>
      <c r="AJ424" t="s">
        <v>851</v>
      </c>
      <c r="AK424" t="s">
        <v>261</v>
      </c>
      <c r="AL424" t="s">
        <v>1363</v>
      </c>
      <c r="AM424" t="s">
        <v>1033</v>
      </c>
      <c r="AN424" t="s">
        <v>854</v>
      </c>
      <c r="AO424">
        <v>36805</v>
      </c>
      <c r="AP424">
        <v>631</v>
      </c>
      <c r="AQ424" t="s">
        <v>855</v>
      </c>
      <c r="AR424">
        <v>66544592</v>
      </c>
      <c r="AS424" t="s">
        <v>856</v>
      </c>
      <c r="AU424" t="s">
        <v>8907</v>
      </c>
      <c r="AV424" t="s">
        <v>8908</v>
      </c>
      <c r="AX424" t="s">
        <v>913</v>
      </c>
      <c r="AY424" t="s">
        <v>861</v>
      </c>
      <c r="AZ424" t="s">
        <v>261</v>
      </c>
      <c r="BA424" t="s">
        <v>262</v>
      </c>
      <c r="BB424">
        <v>0</v>
      </c>
      <c r="BC424">
        <v>1</v>
      </c>
      <c r="BD424">
        <v>0</v>
      </c>
      <c r="BE424" t="s">
        <v>8902</v>
      </c>
      <c r="BF424">
        <v>0</v>
      </c>
      <c r="BG424">
        <v>0</v>
      </c>
      <c r="BH424" t="s">
        <v>862</v>
      </c>
      <c r="BI424">
        <v>0</v>
      </c>
      <c r="BJ424" t="s">
        <v>862</v>
      </c>
      <c r="BK424">
        <v>1</v>
      </c>
      <c r="BL424">
        <v>1</v>
      </c>
      <c r="BM424">
        <v>0</v>
      </c>
      <c r="BN424" t="s">
        <v>596</v>
      </c>
      <c r="BO424">
        <v>153406515</v>
      </c>
      <c r="BP424" t="s">
        <v>8901</v>
      </c>
      <c r="BR424">
        <v>42791743</v>
      </c>
      <c r="BT424">
        <v>0</v>
      </c>
      <c r="BU424" t="s">
        <v>1062</v>
      </c>
      <c r="BY424">
        <v>16</v>
      </c>
      <c r="CA424">
        <v>47</v>
      </c>
      <c r="CE424">
        <v>0</v>
      </c>
      <c r="CI424">
        <v>11</v>
      </c>
      <c r="CJ424" t="s">
        <v>94</v>
      </c>
      <c r="CM424">
        <v>4010</v>
      </c>
      <c r="CO424">
        <v>7360</v>
      </c>
      <c r="CP424">
        <v>2.3833000000000002</v>
      </c>
      <c r="CQ424">
        <v>2.3833000000000002</v>
      </c>
      <c r="CR424">
        <v>0.33329999999999999</v>
      </c>
      <c r="CS424">
        <v>0</v>
      </c>
      <c r="CT424" t="s">
        <v>8908</v>
      </c>
      <c r="CU424" t="s">
        <v>8907</v>
      </c>
      <c r="CV424" t="s">
        <v>833</v>
      </c>
      <c r="CW424" t="s">
        <v>834</v>
      </c>
      <c r="CX424" t="s">
        <v>8902</v>
      </c>
      <c r="CY424">
        <v>1</v>
      </c>
      <c r="CZ424">
        <v>1</v>
      </c>
      <c r="DA424" t="s">
        <v>833</v>
      </c>
      <c r="DB424" t="s">
        <v>865</v>
      </c>
      <c r="DC424">
        <v>62208</v>
      </c>
      <c r="DD424">
        <v>47.15</v>
      </c>
      <c r="DE424" t="s">
        <v>866</v>
      </c>
      <c r="DG424" t="s">
        <v>867</v>
      </c>
      <c r="DH424" t="s">
        <v>851</v>
      </c>
      <c r="DK424" t="s">
        <v>918</v>
      </c>
      <c r="DL424" t="s">
        <v>869</v>
      </c>
      <c r="DM424">
        <v>0</v>
      </c>
      <c r="DN424">
        <v>0</v>
      </c>
      <c r="DO424">
        <v>11</v>
      </c>
      <c r="DP424" t="s">
        <v>1010</v>
      </c>
      <c r="DQ424">
        <v>16</v>
      </c>
      <c r="DR424">
        <v>2829</v>
      </c>
      <c r="DS424">
        <v>5709</v>
      </c>
      <c r="DT424">
        <v>1.45</v>
      </c>
      <c r="DU424">
        <v>4</v>
      </c>
      <c r="DV424">
        <v>1</v>
      </c>
      <c r="DW424">
        <v>2</v>
      </c>
      <c r="DX424" t="s">
        <v>596</v>
      </c>
      <c r="DY424" t="s">
        <v>8902</v>
      </c>
      <c r="DZ424">
        <v>0</v>
      </c>
      <c r="EA424">
        <v>0</v>
      </c>
      <c r="EB424">
        <v>1</v>
      </c>
      <c r="EC424">
        <v>1</v>
      </c>
      <c r="ED424">
        <v>1</v>
      </c>
      <c r="EE424">
        <v>1</v>
      </c>
      <c r="EF424" t="s">
        <v>920</v>
      </c>
      <c r="EG424" t="s">
        <v>595</v>
      </c>
      <c r="EH424" t="s">
        <v>921</v>
      </c>
      <c r="EI424" t="s">
        <v>921</v>
      </c>
      <c r="EJ424" t="s">
        <v>181</v>
      </c>
      <c r="EK424">
        <v>9090</v>
      </c>
      <c r="EL424">
        <v>1</v>
      </c>
      <c r="EM424" t="s">
        <v>1037</v>
      </c>
      <c r="EN424">
        <v>0.33329999999999999</v>
      </c>
      <c r="EO424">
        <v>95.15</v>
      </c>
      <c r="EP424">
        <v>99991120</v>
      </c>
      <c r="EQ424" t="s">
        <v>874</v>
      </c>
      <c r="ER424" t="s">
        <v>875</v>
      </c>
      <c r="ES424" t="s">
        <v>876</v>
      </c>
      <c r="ET424" t="s">
        <v>877</v>
      </c>
      <c r="EU424" t="s">
        <v>877</v>
      </c>
      <c r="EV424" t="s">
        <v>920</v>
      </c>
      <c r="EX424" t="s">
        <v>836</v>
      </c>
      <c r="EY424" t="s">
        <v>1051</v>
      </c>
      <c r="EZ424" t="s">
        <v>1038</v>
      </c>
      <c r="FA424" t="s">
        <v>925</v>
      </c>
      <c r="FB424">
        <v>1</v>
      </c>
      <c r="FC424">
        <v>2</v>
      </c>
      <c r="FD424" s="41">
        <v>46214</v>
      </c>
      <c r="FE424" t="s">
        <v>1066</v>
      </c>
      <c r="FF424">
        <v>19</v>
      </c>
      <c r="FG424" t="s">
        <v>8909</v>
      </c>
      <c r="FH424" t="s">
        <v>8910</v>
      </c>
      <c r="FI424">
        <v>1</v>
      </c>
      <c r="FJ424" t="s">
        <v>8911</v>
      </c>
      <c r="FK424" t="s">
        <v>8912</v>
      </c>
      <c r="FL424">
        <v>1</v>
      </c>
      <c r="FM424" t="s">
        <v>8913</v>
      </c>
      <c r="FN424" t="s">
        <v>8914</v>
      </c>
      <c r="FO424">
        <v>1</v>
      </c>
      <c r="FP424" t="s">
        <v>8915</v>
      </c>
      <c r="FQ424" t="s">
        <v>8907</v>
      </c>
      <c r="FR424">
        <v>1</v>
      </c>
      <c r="FS424" t="s">
        <v>1046</v>
      </c>
      <c r="FT424" t="s">
        <v>8916</v>
      </c>
      <c r="FU424">
        <v>1</v>
      </c>
      <c r="FV424" t="s">
        <v>8917</v>
      </c>
      <c r="FW424" t="s">
        <v>8918</v>
      </c>
      <c r="FX424">
        <v>1</v>
      </c>
      <c r="FY424" t="s">
        <v>890</v>
      </c>
      <c r="FZ424" t="s">
        <v>8919</v>
      </c>
      <c r="GA424" t="s">
        <v>8909</v>
      </c>
      <c r="GB424">
        <v>1</v>
      </c>
      <c r="GD424">
        <v>0</v>
      </c>
      <c r="GF424">
        <v>0</v>
      </c>
      <c r="GG424">
        <v>1</v>
      </c>
      <c r="GH424" t="s">
        <v>892</v>
      </c>
      <c r="GI424" t="s">
        <v>893</v>
      </c>
      <c r="GJ424" t="s">
        <v>8910</v>
      </c>
      <c r="GM424">
        <v>1</v>
      </c>
      <c r="GN424">
        <v>0</v>
      </c>
      <c r="GO424">
        <v>0</v>
      </c>
      <c r="GP424">
        <v>1</v>
      </c>
      <c r="GQ424">
        <v>1</v>
      </c>
      <c r="GR424">
        <v>0</v>
      </c>
      <c r="GS424">
        <v>1</v>
      </c>
      <c r="GT424">
        <v>0</v>
      </c>
      <c r="GU424">
        <v>1</v>
      </c>
      <c r="GV424">
        <v>0</v>
      </c>
      <c r="GW424">
        <v>1</v>
      </c>
      <c r="GX424">
        <v>0</v>
      </c>
      <c r="GY424">
        <v>1</v>
      </c>
      <c r="GZ424">
        <v>0</v>
      </c>
      <c r="HA424" t="s">
        <v>261</v>
      </c>
      <c r="HB424" t="s">
        <v>894</v>
      </c>
      <c r="HC424" t="s">
        <v>895</v>
      </c>
      <c r="HD424" t="s">
        <v>845</v>
      </c>
      <c r="HE424" t="s">
        <v>836</v>
      </c>
      <c r="HF424" t="s">
        <v>1051</v>
      </c>
      <c r="HG424" t="s">
        <v>894</v>
      </c>
      <c r="HH424" t="s">
        <v>895</v>
      </c>
      <c r="HI424" t="s">
        <v>845</v>
      </c>
      <c r="HJ424" t="s">
        <v>836</v>
      </c>
      <c r="HK424" t="s">
        <v>1037</v>
      </c>
      <c r="HL424" t="s">
        <v>180</v>
      </c>
      <c r="HM424" t="s">
        <v>854</v>
      </c>
      <c r="HN424">
        <v>36805</v>
      </c>
      <c r="HP424" t="s">
        <v>181</v>
      </c>
      <c r="HQ424" t="s">
        <v>896</v>
      </c>
      <c r="HR424" t="s">
        <v>896</v>
      </c>
      <c r="HS424" t="s">
        <v>896</v>
      </c>
    </row>
    <row r="425" spans="1:227" x14ac:dyDescent="0.2">
      <c r="A425">
        <v>8702</v>
      </c>
      <c r="B425">
        <v>7612805451</v>
      </c>
      <c r="C425">
        <v>34</v>
      </c>
      <c r="D425" t="s">
        <v>996</v>
      </c>
      <c r="E425" t="s">
        <v>897</v>
      </c>
      <c r="F425">
        <v>0</v>
      </c>
      <c r="G425" t="s">
        <v>8920</v>
      </c>
      <c r="H425" t="s">
        <v>8920</v>
      </c>
      <c r="I425">
        <v>0</v>
      </c>
      <c r="J425" t="s">
        <v>833</v>
      </c>
      <c r="K425" t="s">
        <v>834</v>
      </c>
      <c r="L425">
        <v>152946699</v>
      </c>
      <c r="M425" t="s">
        <v>8921</v>
      </c>
      <c r="N425" t="s">
        <v>900</v>
      </c>
      <c r="O425" t="s">
        <v>837</v>
      </c>
      <c r="P425" t="s">
        <v>999</v>
      </c>
      <c r="Q425" t="s">
        <v>1027</v>
      </c>
      <c r="R425" t="s">
        <v>8922</v>
      </c>
      <c r="S425" t="s">
        <v>8923</v>
      </c>
      <c r="T425">
        <v>30300136758</v>
      </c>
      <c r="V425" t="s">
        <v>200</v>
      </c>
      <c r="W425" s="41">
        <v>46151</v>
      </c>
      <c r="X425" t="s">
        <v>8924</v>
      </c>
      <c r="Y425" t="s">
        <v>8925</v>
      </c>
      <c r="AA425">
        <v>0</v>
      </c>
      <c r="AB425" t="s">
        <v>845</v>
      </c>
      <c r="AC425" t="s">
        <v>846</v>
      </c>
      <c r="AD425" t="s">
        <v>1113</v>
      </c>
      <c r="AE425" t="s">
        <v>1114</v>
      </c>
      <c r="AF425">
        <v>1</v>
      </c>
      <c r="AG425">
        <v>452210</v>
      </c>
      <c r="AH425" t="s">
        <v>849</v>
      </c>
      <c r="AI425" t="s">
        <v>850</v>
      </c>
      <c r="AJ425" t="s">
        <v>851</v>
      </c>
      <c r="AK425" t="s">
        <v>267</v>
      </c>
      <c r="AL425" t="s">
        <v>3244</v>
      </c>
      <c r="AM425" t="s">
        <v>3245</v>
      </c>
      <c r="AN425" t="s">
        <v>854</v>
      </c>
      <c r="AO425">
        <v>36805</v>
      </c>
      <c r="AP425">
        <v>642</v>
      </c>
      <c r="AQ425" t="s">
        <v>855</v>
      </c>
      <c r="AR425">
        <v>66455065</v>
      </c>
      <c r="AS425" t="s">
        <v>856</v>
      </c>
      <c r="AU425" t="s">
        <v>8926</v>
      </c>
      <c r="AV425" t="s">
        <v>8927</v>
      </c>
      <c r="AX425" t="s">
        <v>913</v>
      </c>
      <c r="AY425" t="s">
        <v>861</v>
      </c>
      <c r="AZ425" t="s">
        <v>267</v>
      </c>
      <c r="BA425" t="s">
        <v>268</v>
      </c>
      <c r="BB425">
        <v>0</v>
      </c>
      <c r="BC425">
        <v>0</v>
      </c>
      <c r="BD425">
        <v>1</v>
      </c>
      <c r="BE425" t="s">
        <v>8921</v>
      </c>
      <c r="BF425">
        <v>0</v>
      </c>
      <c r="BG425">
        <v>0</v>
      </c>
      <c r="BH425" t="s">
        <v>862</v>
      </c>
      <c r="BI425">
        <v>0</v>
      </c>
      <c r="BJ425" t="s">
        <v>862</v>
      </c>
      <c r="BK425">
        <v>1</v>
      </c>
      <c r="BL425">
        <v>1</v>
      </c>
      <c r="BM425">
        <v>0</v>
      </c>
      <c r="BN425" t="s">
        <v>596</v>
      </c>
      <c r="BO425">
        <v>152946699</v>
      </c>
      <c r="BP425" t="s">
        <v>8920</v>
      </c>
      <c r="BR425">
        <v>42791773</v>
      </c>
      <c r="BT425">
        <v>2</v>
      </c>
      <c r="BU425" t="s">
        <v>1803</v>
      </c>
      <c r="BY425">
        <v>16</v>
      </c>
      <c r="CA425">
        <v>3</v>
      </c>
      <c r="CE425">
        <v>1</v>
      </c>
      <c r="CI425">
        <v>11</v>
      </c>
      <c r="CJ425" t="s">
        <v>94</v>
      </c>
      <c r="CM425">
        <v>4010</v>
      </c>
      <c r="CO425">
        <v>7360</v>
      </c>
      <c r="CP425">
        <v>0.05</v>
      </c>
      <c r="CQ425">
        <v>0.05</v>
      </c>
      <c r="CR425">
        <v>0</v>
      </c>
      <c r="CS425">
        <v>0</v>
      </c>
      <c r="CT425" t="s">
        <v>8927</v>
      </c>
      <c r="CU425" t="s">
        <v>8926</v>
      </c>
      <c r="CV425" t="s">
        <v>833</v>
      </c>
      <c r="CW425" t="s">
        <v>834</v>
      </c>
      <c r="CX425" t="s">
        <v>8921</v>
      </c>
      <c r="CY425">
        <v>1</v>
      </c>
      <c r="CZ425">
        <v>1</v>
      </c>
      <c r="DA425" t="s">
        <v>833</v>
      </c>
      <c r="DB425" t="s">
        <v>865</v>
      </c>
      <c r="DC425">
        <v>48168</v>
      </c>
      <c r="DD425">
        <v>2.7667000000000002</v>
      </c>
      <c r="DE425" t="s">
        <v>866</v>
      </c>
      <c r="DG425" t="s">
        <v>867</v>
      </c>
      <c r="DH425" t="s">
        <v>851</v>
      </c>
      <c r="DI425" t="s">
        <v>5117</v>
      </c>
      <c r="DK425" t="s">
        <v>918</v>
      </c>
      <c r="DL425" t="s">
        <v>869</v>
      </c>
      <c r="DM425">
        <v>0</v>
      </c>
      <c r="DN425">
        <v>0</v>
      </c>
      <c r="DO425">
        <v>11</v>
      </c>
      <c r="DP425" t="s">
        <v>1010</v>
      </c>
      <c r="DQ425">
        <v>0</v>
      </c>
      <c r="DR425">
        <v>166</v>
      </c>
      <c r="DS425">
        <v>886</v>
      </c>
      <c r="DT425">
        <v>2.7166999999999999</v>
      </c>
      <c r="DU425">
        <v>0</v>
      </c>
      <c r="DV425">
        <v>1</v>
      </c>
      <c r="DW425">
        <v>2</v>
      </c>
      <c r="DX425" t="s">
        <v>596</v>
      </c>
      <c r="DY425" t="s">
        <v>8921</v>
      </c>
      <c r="DZ425">
        <v>1</v>
      </c>
      <c r="EA425">
        <v>1</v>
      </c>
      <c r="EB425">
        <v>1</v>
      </c>
      <c r="EC425">
        <v>1</v>
      </c>
      <c r="ED425">
        <v>1</v>
      </c>
      <c r="EE425">
        <v>1</v>
      </c>
      <c r="EF425" t="s">
        <v>920</v>
      </c>
      <c r="EG425" t="s">
        <v>595</v>
      </c>
      <c r="EH425" t="s">
        <v>921</v>
      </c>
      <c r="EI425" t="s">
        <v>921</v>
      </c>
      <c r="EJ425" t="s">
        <v>178</v>
      </c>
      <c r="EK425">
        <v>9090</v>
      </c>
      <c r="EL425">
        <v>0</v>
      </c>
      <c r="EM425" t="s">
        <v>952</v>
      </c>
      <c r="EN425">
        <v>0</v>
      </c>
      <c r="EO425">
        <v>14.7666667</v>
      </c>
      <c r="EP425">
        <v>99991120</v>
      </c>
      <c r="EQ425" t="s">
        <v>874</v>
      </c>
      <c r="ER425" t="s">
        <v>875</v>
      </c>
      <c r="ES425" t="s">
        <v>876</v>
      </c>
      <c r="ET425" t="s">
        <v>877</v>
      </c>
      <c r="EU425" t="s">
        <v>877</v>
      </c>
      <c r="EV425" t="s">
        <v>920</v>
      </c>
      <c r="EX425" t="s">
        <v>953</v>
      </c>
      <c r="EY425" t="s">
        <v>954</v>
      </c>
      <c r="EZ425" t="s">
        <v>955</v>
      </c>
      <c r="FA425" t="s">
        <v>956</v>
      </c>
      <c r="FB425">
        <v>1</v>
      </c>
      <c r="FC425">
        <v>1</v>
      </c>
      <c r="FD425" s="41">
        <v>46151</v>
      </c>
      <c r="FE425" t="s">
        <v>1808</v>
      </c>
      <c r="FF425">
        <v>10</v>
      </c>
      <c r="FG425" t="s">
        <v>8928</v>
      </c>
      <c r="FH425" t="s">
        <v>8929</v>
      </c>
      <c r="FI425">
        <v>1</v>
      </c>
      <c r="FJ425" t="s">
        <v>3249</v>
      </c>
      <c r="FK425" t="s">
        <v>8930</v>
      </c>
      <c r="FL425">
        <v>1</v>
      </c>
      <c r="FM425" t="s">
        <v>8931</v>
      </c>
      <c r="FN425" t="s">
        <v>8932</v>
      </c>
      <c r="FO425">
        <v>1</v>
      </c>
      <c r="FP425" t="s">
        <v>8933</v>
      </c>
      <c r="FQ425" t="s">
        <v>8926</v>
      </c>
      <c r="FR425">
        <v>1</v>
      </c>
      <c r="FS425" t="s">
        <v>2196</v>
      </c>
      <c r="FT425" t="s">
        <v>8934</v>
      </c>
      <c r="FU425">
        <v>1</v>
      </c>
      <c r="FV425" t="s">
        <v>2701</v>
      </c>
      <c r="FW425" t="s">
        <v>8935</v>
      </c>
      <c r="FX425">
        <v>1</v>
      </c>
      <c r="FY425" t="s">
        <v>890</v>
      </c>
      <c r="FZ425" t="s">
        <v>8936</v>
      </c>
      <c r="GA425" t="s">
        <v>8937</v>
      </c>
      <c r="GB425">
        <v>1</v>
      </c>
      <c r="GD425">
        <v>0</v>
      </c>
      <c r="GF425">
        <v>0</v>
      </c>
      <c r="GG425">
        <v>1</v>
      </c>
      <c r="GH425" t="s">
        <v>892</v>
      </c>
      <c r="GI425" t="s">
        <v>893</v>
      </c>
      <c r="GJ425" t="s">
        <v>3252</v>
      </c>
      <c r="GM425">
        <v>1</v>
      </c>
      <c r="GN425">
        <v>1</v>
      </c>
      <c r="GO425">
        <v>0</v>
      </c>
      <c r="GP425">
        <v>1</v>
      </c>
      <c r="GQ425">
        <v>1</v>
      </c>
      <c r="GR425">
        <v>0</v>
      </c>
      <c r="GS425">
        <v>1</v>
      </c>
      <c r="GT425">
        <v>0</v>
      </c>
      <c r="GU425">
        <v>1</v>
      </c>
      <c r="GV425">
        <v>0</v>
      </c>
      <c r="GW425">
        <v>1</v>
      </c>
      <c r="GX425">
        <v>0</v>
      </c>
      <c r="GY425">
        <v>1</v>
      </c>
      <c r="GZ425">
        <v>0</v>
      </c>
      <c r="HA425" t="s">
        <v>267</v>
      </c>
      <c r="HB425" t="s">
        <v>894</v>
      </c>
      <c r="HC425" t="s">
        <v>935</v>
      </c>
      <c r="HD425" t="s">
        <v>845</v>
      </c>
      <c r="HE425" t="s">
        <v>900</v>
      </c>
      <c r="HF425" t="s">
        <v>923</v>
      </c>
      <c r="HG425" t="s">
        <v>894</v>
      </c>
      <c r="HH425" t="s">
        <v>935</v>
      </c>
      <c r="HI425" t="s">
        <v>845</v>
      </c>
      <c r="HJ425" t="s">
        <v>900</v>
      </c>
      <c r="HK425" t="s">
        <v>952</v>
      </c>
      <c r="HL425" t="s">
        <v>200</v>
      </c>
      <c r="HM425" t="s">
        <v>854</v>
      </c>
      <c r="HN425">
        <v>36805</v>
      </c>
      <c r="HP425" t="s">
        <v>178</v>
      </c>
      <c r="HQ425" t="s">
        <v>896</v>
      </c>
      <c r="HR425" t="s">
        <v>896</v>
      </c>
      <c r="HS425" t="s">
        <v>896</v>
      </c>
    </row>
    <row r="426" spans="1:227" x14ac:dyDescent="0.2">
      <c r="A426">
        <v>8702</v>
      </c>
      <c r="B426">
        <v>7602701547</v>
      </c>
      <c r="C426">
        <v>82</v>
      </c>
      <c r="D426" t="s">
        <v>969</v>
      </c>
      <c r="E426" t="s">
        <v>897</v>
      </c>
      <c r="F426">
        <v>5</v>
      </c>
      <c r="G426" t="s">
        <v>8938</v>
      </c>
      <c r="H426" t="s">
        <v>8938</v>
      </c>
      <c r="I426">
        <v>0</v>
      </c>
      <c r="J426" t="s">
        <v>833</v>
      </c>
      <c r="K426" t="s">
        <v>834</v>
      </c>
      <c r="L426">
        <v>152858779</v>
      </c>
      <c r="M426" t="s">
        <v>4593</v>
      </c>
      <c r="N426" t="s">
        <v>900</v>
      </c>
      <c r="O426" t="s">
        <v>837</v>
      </c>
      <c r="P426" t="s">
        <v>972</v>
      </c>
      <c r="Q426" t="s">
        <v>973</v>
      </c>
      <c r="R426" t="s">
        <v>8939</v>
      </c>
      <c r="S426" t="s">
        <v>8940</v>
      </c>
      <c r="T426">
        <v>41477059287</v>
      </c>
      <c r="V426" t="s">
        <v>1226</v>
      </c>
      <c r="W426" s="41">
        <v>46050</v>
      </c>
      <c r="X426" t="s">
        <v>8941</v>
      </c>
      <c r="Y426" t="s">
        <v>8942</v>
      </c>
      <c r="Z426">
        <v>1</v>
      </c>
      <c r="AA426">
        <v>0</v>
      </c>
      <c r="AB426" t="s">
        <v>845</v>
      </c>
      <c r="AC426" t="s">
        <v>846</v>
      </c>
      <c r="AD426" t="s">
        <v>847</v>
      </c>
      <c r="AE426" t="s">
        <v>848</v>
      </c>
      <c r="AF426">
        <v>1</v>
      </c>
      <c r="AG426">
        <v>452210</v>
      </c>
      <c r="AH426" t="s">
        <v>849</v>
      </c>
      <c r="AI426" t="s">
        <v>850</v>
      </c>
      <c r="AJ426" t="s">
        <v>851</v>
      </c>
      <c r="AK426" t="s">
        <v>313</v>
      </c>
      <c r="AL426" t="s">
        <v>3524</v>
      </c>
      <c r="AM426" t="s">
        <v>1230</v>
      </c>
      <c r="AN426" t="s">
        <v>854</v>
      </c>
      <c r="AO426">
        <v>36805</v>
      </c>
      <c r="AP426">
        <v>925</v>
      </c>
      <c r="AQ426" t="s">
        <v>855</v>
      </c>
      <c r="AR426">
        <v>66310002</v>
      </c>
      <c r="AS426" t="s">
        <v>856</v>
      </c>
      <c r="AU426" t="s">
        <v>8943</v>
      </c>
      <c r="AV426" t="s">
        <v>8944</v>
      </c>
      <c r="AX426" t="s">
        <v>913</v>
      </c>
      <c r="AY426" t="s">
        <v>861</v>
      </c>
      <c r="AZ426" t="s">
        <v>313</v>
      </c>
      <c r="BA426" t="s">
        <v>314</v>
      </c>
      <c r="BB426">
        <v>0</v>
      </c>
      <c r="BC426">
        <v>0</v>
      </c>
      <c r="BD426">
        <v>0</v>
      </c>
      <c r="BE426" t="s">
        <v>4593</v>
      </c>
      <c r="BF426">
        <v>0</v>
      </c>
      <c r="BG426">
        <v>0</v>
      </c>
      <c r="BH426" t="s">
        <v>862</v>
      </c>
      <c r="BI426">
        <v>0</v>
      </c>
      <c r="BJ426" t="s">
        <v>862</v>
      </c>
      <c r="BK426">
        <v>1</v>
      </c>
      <c r="BL426">
        <v>1</v>
      </c>
      <c r="BM426">
        <v>0</v>
      </c>
      <c r="BN426" t="s">
        <v>596</v>
      </c>
      <c r="BO426">
        <v>152858779</v>
      </c>
      <c r="BP426" t="s">
        <v>8938</v>
      </c>
      <c r="BR426">
        <v>42793649</v>
      </c>
      <c r="BT426">
        <v>2</v>
      </c>
      <c r="BU426" t="s">
        <v>1367</v>
      </c>
      <c r="CE426">
        <v>1</v>
      </c>
      <c r="CI426">
        <v>11</v>
      </c>
      <c r="CJ426" t="s">
        <v>94</v>
      </c>
      <c r="CM426">
        <v>4010</v>
      </c>
      <c r="CO426">
        <v>7360</v>
      </c>
      <c r="CP426">
        <v>0.31669999999999998</v>
      </c>
      <c r="CQ426">
        <v>0.31669999999999998</v>
      </c>
      <c r="CR426">
        <v>1.2666999999999999</v>
      </c>
      <c r="CS426">
        <v>332</v>
      </c>
      <c r="CT426" t="s">
        <v>8945</v>
      </c>
      <c r="CU426" t="s">
        <v>8946</v>
      </c>
      <c r="CV426" t="s">
        <v>833</v>
      </c>
      <c r="CW426" t="s">
        <v>834</v>
      </c>
      <c r="CX426" t="s">
        <v>4593</v>
      </c>
      <c r="CY426">
        <v>0</v>
      </c>
      <c r="CZ426">
        <v>0</v>
      </c>
      <c r="DA426" t="s">
        <v>833</v>
      </c>
      <c r="DB426" t="s">
        <v>865</v>
      </c>
      <c r="DC426">
        <v>44124</v>
      </c>
      <c r="DD426">
        <v>9.8000000000000007</v>
      </c>
      <c r="DE426" t="s">
        <v>866</v>
      </c>
      <c r="DG426" t="s">
        <v>867</v>
      </c>
      <c r="DH426" t="s">
        <v>851</v>
      </c>
      <c r="DI426" t="s">
        <v>4601</v>
      </c>
      <c r="DK426" t="s">
        <v>918</v>
      </c>
      <c r="DL426" t="s">
        <v>869</v>
      </c>
      <c r="DM426">
        <v>0</v>
      </c>
      <c r="DN426">
        <v>0</v>
      </c>
      <c r="DO426">
        <v>12</v>
      </c>
      <c r="DP426" t="s">
        <v>1190</v>
      </c>
      <c r="DQ426">
        <v>16</v>
      </c>
      <c r="DR426">
        <v>588</v>
      </c>
      <c r="DS426">
        <v>1308</v>
      </c>
      <c r="DT426">
        <v>9.4832999999999998</v>
      </c>
      <c r="DU426">
        <v>4</v>
      </c>
      <c r="DV426">
        <v>1</v>
      </c>
      <c r="DW426">
        <v>2</v>
      </c>
      <c r="DX426" t="s">
        <v>596</v>
      </c>
      <c r="DY426" t="s">
        <v>4593</v>
      </c>
      <c r="DZ426">
        <v>1</v>
      </c>
      <c r="EA426">
        <v>1</v>
      </c>
      <c r="EB426">
        <v>1</v>
      </c>
      <c r="EC426">
        <v>0</v>
      </c>
      <c r="ED426">
        <v>0</v>
      </c>
      <c r="EE426">
        <v>1</v>
      </c>
      <c r="EF426" t="s">
        <v>871</v>
      </c>
      <c r="EG426" t="s">
        <v>595</v>
      </c>
      <c r="EH426" t="s">
        <v>921</v>
      </c>
      <c r="EI426" t="s">
        <v>921</v>
      </c>
      <c r="EJ426" t="s">
        <v>226</v>
      </c>
      <c r="EK426">
        <v>9090</v>
      </c>
      <c r="EL426">
        <v>0</v>
      </c>
      <c r="EM426" t="s">
        <v>1157</v>
      </c>
      <c r="EN426">
        <v>1.2666999999999999</v>
      </c>
      <c r="EO426">
        <v>21.8</v>
      </c>
      <c r="EP426">
        <v>99991120</v>
      </c>
      <c r="EQ426" t="s">
        <v>874</v>
      </c>
      <c r="ER426" t="s">
        <v>875</v>
      </c>
      <c r="ES426" t="s">
        <v>876</v>
      </c>
      <c r="ET426" t="s">
        <v>877</v>
      </c>
      <c r="EU426" t="s">
        <v>877</v>
      </c>
      <c r="EV426" t="s">
        <v>871</v>
      </c>
      <c r="EX426" t="s">
        <v>953</v>
      </c>
      <c r="EY426" t="s">
        <v>986</v>
      </c>
      <c r="EZ426" t="s">
        <v>1236</v>
      </c>
      <c r="FA426" t="s">
        <v>956</v>
      </c>
      <c r="FB426">
        <v>1</v>
      </c>
      <c r="FC426">
        <v>1</v>
      </c>
      <c r="FD426" s="41">
        <v>46053</v>
      </c>
      <c r="FE426" t="s">
        <v>1370</v>
      </c>
      <c r="FF426">
        <v>4</v>
      </c>
      <c r="FI426">
        <v>0</v>
      </c>
      <c r="FL426">
        <v>0</v>
      </c>
      <c r="FM426" t="s">
        <v>7179</v>
      </c>
      <c r="FN426" t="s">
        <v>8947</v>
      </c>
      <c r="FO426">
        <v>1</v>
      </c>
      <c r="FP426" t="s">
        <v>8948</v>
      </c>
      <c r="FQ426" t="s">
        <v>8946</v>
      </c>
      <c r="FR426">
        <v>1</v>
      </c>
      <c r="FS426" t="s">
        <v>1656</v>
      </c>
      <c r="FT426" t="s">
        <v>8949</v>
      </c>
      <c r="FU426">
        <v>1</v>
      </c>
      <c r="FV426" t="s">
        <v>8950</v>
      </c>
      <c r="FW426" t="s">
        <v>8951</v>
      </c>
      <c r="FX426">
        <v>1</v>
      </c>
      <c r="FY426" t="s">
        <v>890</v>
      </c>
      <c r="FZ426" t="s">
        <v>8952</v>
      </c>
      <c r="GA426" t="s">
        <v>8950</v>
      </c>
      <c r="GB426">
        <v>1</v>
      </c>
      <c r="GD426">
        <v>0</v>
      </c>
      <c r="GF426">
        <v>0</v>
      </c>
      <c r="GG426">
        <v>1</v>
      </c>
      <c r="GH426" t="s">
        <v>892</v>
      </c>
      <c r="GI426" t="s">
        <v>893</v>
      </c>
      <c r="GJ426" t="s">
        <v>8951</v>
      </c>
      <c r="GM426">
        <v>1</v>
      </c>
      <c r="GN426">
        <v>1</v>
      </c>
      <c r="GO426">
        <v>0</v>
      </c>
      <c r="GP426">
        <v>1</v>
      </c>
      <c r="GQ426">
        <v>1</v>
      </c>
      <c r="GR426">
        <v>0</v>
      </c>
      <c r="GS426">
        <v>1</v>
      </c>
      <c r="GT426">
        <v>0</v>
      </c>
      <c r="GU426">
        <v>1</v>
      </c>
      <c r="GV426">
        <v>0</v>
      </c>
      <c r="GW426">
        <v>1</v>
      </c>
      <c r="GX426">
        <v>0</v>
      </c>
      <c r="GY426">
        <v>1</v>
      </c>
      <c r="GZ426">
        <v>0</v>
      </c>
      <c r="HA426" t="s">
        <v>313</v>
      </c>
      <c r="HB426" t="s">
        <v>894</v>
      </c>
      <c r="HC426" t="s">
        <v>935</v>
      </c>
      <c r="HD426" t="s">
        <v>845</v>
      </c>
      <c r="HE426" t="s">
        <v>900</v>
      </c>
      <c r="HF426" t="s">
        <v>923</v>
      </c>
      <c r="HG426" t="s">
        <v>894</v>
      </c>
      <c r="HH426" t="s">
        <v>935</v>
      </c>
      <c r="HI426" t="s">
        <v>845</v>
      </c>
      <c r="HJ426" t="s">
        <v>900</v>
      </c>
      <c r="HK426" t="s">
        <v>922</v>
      </c>
      <c r="HL426" t="s">
        <v>1226</v>
      </c>
      <c r="HM426" t="s">
        <v>854</v>
      </c>
      <c r="HN426">
        <v>36805</v>
      </c>
      <c r="HP426" t="s">
        <v>226</v>
      </c>
      <c r="HQ426" t="s">
        <v>896</v>
      </c>
      <c r="HR426" t="s">
        <v>896</v>
      </c>
      <c r="HS426" t="s">
        <v>896</v>
      </c>
    </row>
    <row r="427" spans="1:227" x14ac:dyDescent="0.2">
      <c r="A427">
        <v>8702</v>
      </c>
      <c r="B427">
        <v>7526603218</v>
      </c>
      <c r="C427" t="s">
        <v>829</v>
      </c>
      <c r="D427" t="s">
        <v>830</v>
      </c>
      <c r="E427" t="s">
        <v>831</v>
      </c>
      <c r="F427">
        <v>1</v>
      </c>
      <c r="G427" t="s">
        <v>8953</v>
      </c>
      <c r="H427" t="s">
        <v>8953</v>
      </c>
      <c r="I427">
        <v>0</v>
      </c>
      <c r="J427" t="s">
        <v>833</v>
      </c>
      <c r="K427" t="s">
        <v>834</v>
      </c>
      <c r="L427">
        <v>156586323</v>
      </c>
      <c r="M427" t="s">
        <v>8954</v>
      </c>
      <c r="N427" t="s">
        <v>836</v>
      </c>
      <c r="O427" t="s">
        <v>837</v>
      </c>
      <c r="P427" t="s">
        <v>838</v>
      </c>
      <c r="Q427" t="s">
        <v>901</v>
      </c>
      <c r="R427" t="s">
        <v>8955</v>
      </c>
      <c r="S427" t="s">
        <v>8956</v>
      </c>
      <c r="T427">
        <v>30300122802</v>
      </c>
      <c r="V427" t="s">
        <v>191</v>
      </c>
      <c r="W427" s="41">
        <v>45923</v>
      </c>
      <c r="X427" t="s">
        <v>8957</v>
      </c>
      <c r="Y427" t="s">
        <v>8958</v>
      </c>
      <c r="AA427">
        <v>0</v>
      </c>
      <c r="AB427" t="s">
        <v>845</v>
      </c>
      <c r="AC427" t="s">
        <v>846</v>
      </c>
      <c r="AD427" t="s">
        <v>847</v>
      </c>
      <c r="AE427" t="s">
        <v>848</v>
      </c>
      <c r="AF427">
        <v>1</v>
      </c>
      <c r="AG427">
        <v>452210</v>
      </c>
      <c r="AH427" t="s">
        <v>849</v>
      </c>
      <c r="AI427" t="s">
        <v>850</v>
      </c>
      <c r="AJ427" t="s">
        <v>851</v>
      </c>
      <c r="AK427" t="s">
        <v>385</v>
      </c>
      <c r="AL427" t="s">
        <v>2251</v>
      </c>
      <c r="AM427" t="s">
        <v>2252</v>
      </c>
      <c r="AN427" t="s">
        <v>854</v>
      </c>
      <c r="AO427">
        <v>36805</v>
      </c>
      <c r="AP427">
        <v>636</v>
      </c>
      <c r="AQ427" t="s">
        <v>855</v>
      </c>
      <c r="AR427">
        <v>66126798</v>
      </c>
      <c r="AS427" t="s">
        <v>856</v>
      </c>
      <c r="AU427" t="s">
        <v>8959</v>
      </c>
      <c r="AV427" t="s">
        <v>8960</v>
      </c>
      <c r="AX427" t="s">
        <v>913</v>
      </c>
      <c r="AY427" t="s">
        <v>861</v>
      </c>
      <c r="AZ427" t="s">
        <v>385</v>
      </c>
      <c r="BA427" t="s">
        <v>386</v>
      </c>
      <c r="BB427">
        <v>0</v>
      </c>
      <c r="BC427">
        <v>0</v>
      </c>
      <c r="BD427">
        <v>0</v>
      </c>
      <c r="BE427" t="s">
        <v>8954</v>
      </c>
      <c r="BF427">
        <v>0</v>
      </c>
      <c r="BG427">
        <v>0</v>
      </c>
      <c r="BH427" t="s">
        <v>862</v>
      </c>
      <c r="BI427">
        <v>0</v>
      </c>
      <c r="BJ427" t="s">
        <v>862</v>
      </c>
      <c r="BK427">
        <v>1</v>
      </c>
      <c r="BL427">
        <v>1</v>
      </c>
      <c r="BM427">
        <v>0</v>
      </c>
      <c r="BN427" t="s">
        <v>596</v>
      </c>
      <c r="BO427">
        <v>156586323</v>
      </c>
      <c r="BP427" t="s">
        <v>8953</v>
      </c>
      <c r="BR427">
        <v>42791762</v>
      </c>
      <c r="BT427">
        <v>0</v>
      </c>
      <c r="CM427">
        <v>4010</v>
      </c>
      <c r="CO427">
        <v>7360</v>
      </c>
      <c r="CP427">
        <v>1.2166999999999999</v>
      </c>
      <c r="CQ427">
        <v>1.2166999999999999</v>
      </c>
      <c r="CR427">
        <v>0.76670000000000005</v>
      </c>
      <c r="CS427">
        <v>1</v>
      </c>
      <c r="CT427" t="s">
        <v>8961</v>
      </c>
      <c r="CU427" t="s">
        <v>8962</v>
      </c>
      <c r="CV427" t="s">
        <v>833</v>
      </c>
      <c r="CW427" t="s">
        <v>834</v>
      </c>
      <c r="CX427" t="s">
        <v>8954</v>
      </c>
      <c r="CY427">
        <v>0</v>
      </c>
      <c r="CZ427">
        <v>0</v>
      </c>
      <c r="DA427" t="s">
        <v>833</v>
      </c>
      <c r="DB427" t="s">
        <v>865</v>
      </c>
      <c r="DC427">
        <v>60305</v>
      </c>
      <c r="DD427">
        <v>2.5333000000000001</v>
      </c>
      <c r="DE427" t="s">
        <v>866</v>
      </c>
      <c r="DG427" t="s">
        <v>867</v>
      </c>
      <c r="DH427" t="s">
        <v>851</v>
      </c>
      <c r="DL427" t="s">
        <v>869</v>
      </c>
      <c r="DM427">
        <v>0</v>
      </c>
      <c r="DN427">
        <v>0</v>
      </c>
      <c r="DO427">
        <v>2</v>
      </c>
      <c r="DP427" t="s">
        <v>870</v>
      </c>
      <c r="DQ427">
        <v>16</v>
      </c>
      <c r="DR427">
        <v>152</v>
      </c>
      <c r="DS427">
        <v>194</v>
      </c>
      <c r="DT427">
        <v>1.3167</v>
      </c>
      <c r="DU427">
        <v>4</v>
      </c>
      <c r="DW427">
        <v>2</v>
      </c>
      <c r="DX427" t="s">
        <v>596</v>
      </c>
      <c r="DY427" t="s">
        <v>8954</v>
      </c>
      <c r="DZ427">
        <v>1</v>
      </c>
      <c r="EA427">
        <v>1</v>
      </c>
      <c r="EB427">
        <v>1</v>
      </c>
      <c r="EC427">
        <v>1</v>
      </c>
      <c r="ED427">
        <v>1</v>
      </c>
      <c r="EE427">
        <v>1</v>
      </c>
      <c r="EF427" t="s">
        <v>871</v>
      </c>
      <c r="EG427" t="s">
        <v>595</v>
      </c>
      <c r="EH427" t="s">
        <v>921</v>
      </c>
      <c r="EI427" t="s">
        <v>921</v>
      </c>
      <c r="EJ427" t="s">
        <v>181</v>
      </c>
      <c r="EK427">
        <v>9090</v>
      </c>
      <c r="EL427">
        <v>0</v>
      </c>
      <c r="EM427" t="s">
        <v>1436</v>
      </c>
      <c r="EN427">
        <v>0.76670000000000005</v>
      </c>
      <c r="EO427">
        <v>3.2333333</v>
      </c>
      <c r="EP427">
        <v>99991120</v>
      </c>
      <c r="EQ427" t="s">
        <v>874</v>
      </c>
      <c r="ER427" t="s">
        <v>875</v>
      </c>
      <c r="ES427" t="s">
        <v>876</v>
      </c>
      <c r="ET427" t="s">
        <v>877</v>
      </c>
      <c r="EU427" t="s">
        <v>877</v>
      </c>
      <c r="EV427" t="s">
        <v>871</v>
      </c>
      <c r="EX427" t="s">
        <v>836</v>
      </c>
      <c r="EY427" t="s">
        <v>873</v>
      </c>
      <c r="EZ427" t="s">
        <v>1437</v>
      </c>
      <c r="FA427" t="s">
        <v>956</v>
      </c>
      <c r="FB427">
        <v>1</v>
      </c>
      <c r="FC427">
        <v>1</v>
      </c>
      <c r="FD427" s="41">
        <v>45927</v>
      </c>
      <c r="FE427" t="s">
        <v>880</v>
      </c>
      <c r="FF427">
        <v>4</v>
      </c>
      <c r="FI427">
        <v>0</v>
      </c>
      <c r="FL427">
        <v>0</v>
      </c>
      <c r="FM427" t="s">
        <v>8963</v>
      </c>
      <c r="FN427" t="s">
        <v>8964</v>
      </c>
      <c r="FO427">
        <v>1</v>
      </c>
      <c r="FP427" t="s">
        <v>8965</v>
      </c>
      <c r="FQ427" t="s">
        <v>8966</v>
      </c>
      <c r="FR427">
        <v>1</v>
      </c>
      <c r="FS427" t="s">
        <v>8967</v>
      </c>
      <c r="FT427" t="s">
        <v>8968</v>
      </c>
      <c r="FU427">
        <v>1</v>
      </c>
      <c r="FV427" t="s">
        <v>8969</v>
      </c>
      <c r="FW427" t="s">
        <v>8970</v>
      </c>
      <c r="FX427">
        <v>1</v>
      </c>
      <c r="FY427" t="s">
        <v>890</v>
      </c>
      <c r="FZ427" t="s">
        <v>8971</v>
      </c>
      <c r="GA427" t="s">
        <v>8969</v>
      </c>
      <c r="GB427">
        <v>1</v>
      </c>
      <c r="GD427">
        <v>0</v>
      </c>
      <c r="GF427">
        <v>0</v>
      </c>
      <c r="GG427">
        <v>1</v>
      </c>
      <c r="GH427" t="s">
        <v>892</v>
      </c>
      <c r="GI427" t="s">
        <v>893</v>
      </c>
      <c r="GJ427" t="s">
        <v>8970</v>
      </c>
      <c r="GM427">
        <v>1</v>
      </c>
      <c r="GN427">
        <v>1</v>
      </c>
      <c r="GO427">
        <v>0</v>
      </c>
      <c r="GP427">
        <v>1</v>
      </c>
      <c r="GQ427">
        <v>1</v>
      </c>
      <c r="GR427">
        <v>0</v>
      </c>
      <c r="GS427">
        <v>1</v>
      </c>
      <c r="GT427">
        <v>0</v>
      </c>
      <c r="GU427">
        <v>1</v>
      </c>
      <c r="GV427">
        <v>0</v>
      </c>
      <c r="GW427">
        <v>1</v>
      </c>
      <c r="GX427">
        <v>0</v>
      </c>
      <c r="GY427">
        <v>1</v>
      </c>
      <c r="GZ427">
        <v>0</v>
      </c>
      <c r="HA427" t="s">
        <v>385</v>
      </c>
      <c r="HB427" t="s">
        <v>894</v>
      </c>
      <c r="HC427" t="s">
        <v>895</v>
      </c>
      <c r="HD427" t="s">
        <v>845</v>
      </c>
      <c r="HE427" t="s">
        <v>836</v>
      </c>
      <c r="HF427" t="s">
        <v>873</v>
      </c>
      <c r="HG427" t="s">
        <v>894</v>
      </c>
      <c r="HH427" t="s">
        <v>895</v>
      </c>
      <c r="HI427" t="s">
        <v>845</v>
      </c>
      <c r="HJ427" t="s">
        <v>836</v>
      </c>
      <c r="HK427" t="s">
        <v>1436</v>
      </c>
      <c r="HL427" t="s">
        <v>191</v>
      </c>
      <c r="HM427" t="s">
        <v>854</v>
      </c>
      <c r="HN427">
        <v>36805</v>
      </c>
      <c r="HP427" t="s">
        <v>181</v>
      </c>
      <c r="HQ427" t="s">
        <v>896</v>
      </c>
      <c r="HR427" t="s">
        <v>896</v>
      </c>
      <c r="HS427" t="s">
        <v>896</v>
      </c>
    </row>
    <row r="428" spans="1:227" x14ac:dyDescent="0.2">
      <c r="A428">
        <v>8702</v>
      </c>
      <c r="B428">
        <v>7603003615</v>
      </c>
      <c r="C428" t="s">
        <v>936</v>
      </c>
      <c r="D428" t="s">
        <v>937</v>
      </c>
      <c r="E428" t="s">
        <v>897</v>
      </c>
      <c r="F428">
        <v>1</v>
      </c>
      <c r="G428" t="s">
        <v>8972</v>
      </c>
      <c r="H428" t="s">
        <v>8972</v>
      </c>
      <c r="I428">
        <v>0</v>
      </c>
      <c r="J428" t="s">
        <v>833</v>
      </c>
      <c r="K428" t="s">
        <v>834</v>
      </c>
      <c r="L428">
        <v>153406439</v>
      </c>
      <c r="M428" t="s">
        <v>939</v>
      </c>
      <c r="N428" t="s">
        <v>900</v>
      </c>
      <c r="O428" t="s">
        <v>837</v>
      </c>
      <c r="P428" t="s">
        <v>940</v>
      </c>
      <c r="Q428" t="s">
        <v>941</v>
      </c>
      <c r="R428" t="s">
        <v>8973</v>
      </c>
      <c r="S428" t="s">
        <v>8974</v>
      </c>
      <c r="T428">
        <v>41477093182</v>
      </c>
      <c r="V428" t="s">
        <v>202</v>
      </c>
      <c r="W428" s="41">
        <v>46052</v>
      </c>
      <c r="X428" t="s">
        <v>8975</v>
      </c>
      <c r="Y428" t="s">
        <v>8976</v>
      </c>
      <c r="Z428" t="s">
        <v>8977</v>
      </c>
      <c r="AA428">
        <v>0</v>
      </c>
      <c r="AB428" t="s">
        <v>845</v>
      </c>
      <c r="AC428" t="s">
        <v>846</v>
      </c>
      <c r="AD428" t="s">
        <v>847</v>
      </c>
      <c r="AE428" t="s">
        <v>848</v>
      </c>
      <c r="AF428">
        <v>1</v>
      </c>
      <c r="AG428">
        <v>452210</v>
      </c>
      <c r="AH428" t="s">
        <v>849</v>
      </c>
      <c r="AI428" t="s">
        <v>850</v>
      </c>
      <c r="AJ428" t="s">
        <v>851</v>
      </c>
      <c r="AK428" t="s">
        <v>283</v>
      </c>
      <c r="AL428" t="s">
        <v>2802</v>
      </c>
      <c r="AM428" t="s">
        <v>947</v>
      </c>
      <c r="AN428" t="s">
        <v>854</v>
      </c>
      <c r="AO428">
        <v>36805</v>
      </c>
      <c r="AP428">
        <v>643</v>
      </c>
      <c r="AQ428" t="s">
        <v>855</v>
      </c>
      <c r="AR428">
        <v>66312890</v>
      </c>
      <c r="AS428" t="s">
        <v>856</v>
      </c>
      <c r="AU428" t="s">
        <v>8978</v>
      </c>
      <c r="AV428" t="s">
        <v>8979</v>
      </c>
      <c r="AW428" t="s">
        <v>950</v>
      </c>
      <c r="AX428" t="s">
        <v>951</v>
      </c>
      <c r="AY428" t="s">
        <v>861</v>
      </c>
      <c r="AZ428" t="s">
        <v>283</v>
      </c>
      <c r="BA428" t="s">
        <v>284</v>
      </c>
      <c r="BB428">
        <v>0</v>
      </c>
      <c r="BC428">
        <v>0</v>
      </c>
      <c r="BD428">
        <v>0</v>
      </c>
      <c r="BE428" t="s">
        <v>939</v>
      </c>
      <c r="BF428">
        <v>0</v>
      </c>
      <c r="BG428">
        <v>0</v>
      </c>
      <c r="BH428" t="s">
        <v>862</v>
      </c>
      <c r="BI428">
        <v>0</v>
      </c>
      <c r="BJ428" t="s">
        <v>862</v>
      </c>
      <c r="BK428">
        <v>1</v>
      </c>
      <c r="BL428">
        <v>0</v>
      </c>
      <c r="BM428">
        <v>0</v>
      </c>
      <c r="BN428" t="s">
        <v>596</v>
      </c>
      <c r="BO428">
        <v>153406439</v>
      </c>
      <c r="BP428" t="s">
        <v>8972</v>
      </c>
      <c r="BQ428">
        <v>42.5639848</v>
      </c>
      <c r="BR428">
        <v>42791774</v>
      </c>
      <c r="BS428">
        <v>-83.130388699999997</v>
      </c>
      <c r="BT428">
        <v>1</v>
      </c>
      <c r="BU428" t="s">
        <v>1367</v>
      </c>
      <c r="CI428">
        <v>11</v>
      </c>
      <c r="CJ428" t="s">
        <v>94</v>
      </c>
      <c r="CM428">
        <v>4010</v>
      </c>
      <c r="CO428">
        <v>7360</v>
      </c>
      <c r="CP428">
        <v>1.1667000000000001</v>
      </c>
      <c r="CQ428">
        <v>1.1667000000000001</v>
      </c>
      <c r="CR428">
        <v>0.26669999999999999</v>
      </c>
      <c r="CS428">
        <v>22</v>
      </c>
      <c r="CT428" t="s">
        <v>8979</v>
      </c>
      <c r="CU428" t="s">
        <v>8978</v>
      </c>
      <c r="CV428" t="s">
        <v>833</v>
      </c>
      <c r="CW428" t="s">
        <v>834</v>
      </c>
      <c r="CX428" t="s">
        <v>939</v>
      </c>
      <c r="CY428">
        <v>0</v>
      </c>
      <c r="CZ428">
        <v>0</v>
      </c>
      <c r="DA428" t="s">
        <v>833</v>
      </c>
      <c r="DB428" t="s">
        <v>865</v>
      </c>
      <c r="DC428">
        <v>48083</v>
      </c>
      <c r="DD428">
        <v>4.05</v>
      </c>
      <c r="DE428" t="s">
        <v>866</v>
      </c>
      <c r="DG428" t="s">
        <v>867</v>
      </c>
      <c r="DH428" t="s">
        <v>851</v>
      </c>
      <c r="DK428" t="s">
        <v>918</v>
      </c>
      <c r="DL428" t="s">
        <v>869</v>
      </c>
      <c r="DM428">
        <v>0</v>
      </c>
      <c r="DN428">
        <v>0</v>
      </c>
      <c r="DO428">
        <v>3</v>
      </c>
      <c r="DP428" t="s">
        <v>919</v>
      </c>
      <c r="DQ428">
        <v>16</v>
      </c>
      <c r="DR428">
        <v>243</v>
      </c>
      <c r="DS428">
        <v>243</v>
      </c>
      <c r="DT428">
        <v>2.8833000000000002</v>
      </c>
      <c r="DU428">
        <v>4</v>
      </c>
      <c r="DV428">
        <v>1</v>
      </c>
      <c r="DW428">
        <v>2</v>
      </c>
      <c r="DX428" t="s">
        <v>594</v>
      </c>
      <c r="DY428" t="s">
        <v>939</v>
      </c>
      <c r="DZ428">
        <v>0</v>
      </c>
      <c r="EA428">
        <v>0</v>
      </c>
      <c r="EB428">
        <v>0</v>
      </c>
      <c r="EC428">
        <v>0</v>
      </c>
      <c r="ED428">
        <v>0</v>
      </c>
      <c r="EE428">
        <v>0</v>
      </c>
      <c r="EF428" t="s">
        <v>920</v>
      </c>
      <c r="EG428" t="s">
        <v>595</v>
      </c>
      <c r="EH428" t="s">
        <v>872</v>
      </c>
      <c r="EI428" t="s">
        <v>872</v>
      </c>
      <c r="EJ428" t="s">
        <v>178</v>
      </c>
      <c r="EK428">
        <v>9090</v>
      </c>
      <c r="EL428">
        <v>0</v>
      </c>
      <c r="EM428" t="s">
        <v>952</v>
      </c>
      <c r="EN428">
        <v>0.26669999999999999</v>
      </c>
      <c r="EO428">
        <v>4.05</v>
      </c>
      <c r="EP428">
        <v>99991120</v>
      </c>
      <c r="EQ428" t="s">
        <v>874</v>
      </c>
      <c r="ER428" t="s">
        <v>875</v>
      </c>
      <c r="ES428" t="s">
        <v>876</v>
      </c>
      <c r="ET428" t="s">
        <v>877</v>
      </c>
      <c r="EU428" t="s">
        <v>877</v>
      </c>
      <c r="EV428" t="s">
        <v>920</v>
      </c>
      <c r="EX428" t="s">
        <v>953</v>
      </c>
      <c r="EY428" t="s">
        <v>954</v>
      </c>
      <c r="EZ428" t="s">
        <v>955</v>
      </c>
      <c r="FA428" t="s">
        <v>956</v>
      </c>
      <c r="FB428">
        <v>1</v>
      </c>
      <c r="FC428">
        <v>1</v>
      </c>
      <c r="FD428" s="41">
        <v>46053</v>
      </c>
      <c r="FE428" t="s">
        <v>1370</v>
      </c>
      <c r="FF428">
        <v>5</v>
      </c>
      <c r="FI428">
        <v>0</v>
      </c>
      <c r="FJ428" t="s">
        <v>8980</v>
      </c>
      <c r="FK428" t="s">
        <v>8981</v>
      </c>
      <c r="FL428">
        <v>1</v>
      </c>
      <c r="FM428" t="s">
        <v>8982</v>
      </c>
      <c r="FN428" t="s">
        <v>8983</v>
      </c>
      <c r="FO428">
        <v>1</v>
      </c>
      <c r="FP428" t="s">
        <v>8984</v>
      </c>
      <c r="FQ428" t="s">
        <v>8978</v>
      </c>
      <c r="FR428">
        <v>1</v>
      </c>
      <c r="FS428" t="s">
        <v>964</v>
      </c>
      <c r="FT428" t="s">
        <v>8985</v>
      </c>
      <c r="FU428">
        <v>1</v>
      </c>
      <c r="FV428" t="s">
        <v>8980</v>
      </c>
      <c r="FW428" t="s">
        <v>8981</v>
      </c>
      <c r="FX428">
        <v>1</v>
      </c>
      <c r="FY428" t="s">
        <v>890</v>
      </c>
      <c r="FZ428" t="s">
        <v>8986</v>
      </c>
      <c r="GA428" t="s">
        <v>8980</v>
      </c>
      <c r="GB428">
        <v>1</v>
      </c>
      <c r="GD428">
        <v>0</v>
      </c>
      <c r="GF428">
        <v>0</v>
      </c>
      <c r="GG428">
        <v>1</v>
      </c>
      <c r="GH428" t="s">
        <v>892</v>
      </c>
      <c r="GI428" t="s">
        <v>893</v>
      </c>
      <c r="GJ428" t="s">
        <v>8981</v>
      </c>
      <c r="GM428">
        <v>1</v>
      </c>
      <c r="GN428">
        <v>1</v>
      </c>
      <c r="GO428">
        <v>0</v>
      </c>
      <c r="GP428">
        <v>1</v>
      </c>
      <c r="GQ428">
        <v>1</v>
      </c>
      <c r="GR428">
        <v>0</v>
      </c>
      <c r="GS428">
        <v>1</v>
      </c>
      <c r="GT428">
        <v>0</v>
      </c>
      <c r="GU428">
        <v>1</v>
      </c>
      <c r="GV428">
        <v>0</v>
      </c>
      <c r="GW428">
        <v>1</v>
      </c>
      <c r="GX428">
        <v>0</v>
      </c>
      <c r="GY428">
        <v>1</v>
      </c>
      <c r="GZ428">
        <v>0</v>
      </c>
      <c r="HA428" t="s">
        <v>283</v>
      </c>
      <c r="HB428" t="s">
        <v>894</v>
      </c>
      <c r="HC428" t="s">
        <v>935</v>
      </c>
      <c r="HD428" t="s">
        <v>845</v>
      </c>
      <c r="HE428" t="s">
        <v>900</v>
      </c>
      <c r="HF428" t="s">
        <v>923</v>
      </c>
      <c r="HG428" t="s">
        <v>894</v>
      </c>
      <c r="HH428" t="s">
        <v>935</v>
      </c>
      <c r="HI428" t="s">
        <v>845</v>
      </c>
      <c r="HJ428" t="s">
        <v>900</v>
      </c>
      <c r="HK428" t="s">
        <v>952</v>
      </c>
      <c r="HL428" t="s">
        <v>202</v>
      </c>
      <c r="HM428" t="s">
        <v>854</v>
      </c>
      <c r="HN428">
        <v>36805</v>
      </c>
      <c r="HO428">
        <v>1</v>
      </c>
      <c r="HP428" t="s">
        <v>178</v>
      </c>
      <c r="HQ428" t="s">
        <v>896</v>
      </c>
      <c r="HR428" t="s">
        <v>896</v>
      </c>
      <c r="HS428" t="s">
        <v>896</v>
      </c>
    </row>
    <row r="429" spans="1:227" x14ac:dyDescent="0.2">
      <c r="A429">
        <v>8702</v>
      </c>
      <c r="B429">
        <v>7605404745</v>
      </c>
      <c r="C429">
        <v>34</v>
      </c>
      <c r="D429" t="s">
        <v>996</v>
      </c>
      <c r="E429" t="s">
        <v>831</v>
      </c>
      <c r="F429">
        <v>0</v>
      </c>
      <c r="G429" t="s">
        <v>7474</v>
      </c>
      <c r="H429" t="s">
        <v>7474</v>
      </c>
      <c r="I429">
        <v>0</v>
      </c>
      <c r="J429" t="s">
        <v>833</v>
      </c>
      <c r="K429" t="s">
        <v>834</v>
      </c>
      <c r="L429">
        <v>156586319</v>
      </c>
      <c r="M429" t="s">
        <v>1706</v>
      </c>
      <c r="N429" t="s">
        <v>836</v>
      </c>
      <c r="O429" t="s">
        <v>837</v>
      </c>
      <c r="P429" t="s">
        <v>999</v>
      </c>
      <c r="Q429" t="s">
        <v>1027</v>
      </c>
      <c r="R429" t="s">
        <v>8987</v>
      </c>
      <c r="S429" t="s">
        <v>8988</v>
      </c>
      <c r="T429">
        <v>30300127006</v>
      </c>
      <c r="V429" t="s">
        <v>196</v>
      </c>
      <c r="W429" s="41">
        <v>46076</v>
      </c>
      <c r="X429" t="s">
        <v>8989</v>
      </c>
      <c r="Y429" t="s">
        <v>8990</v>
      </c>
      <c r="AA429">
        <v>0</v>
      </c>
      <c r="AB429" t="s">
        <v>845</v>
      </c>
      <c r="AC429" t="s">
        <v>846</v>
      </c>
      <c r="AD429" t="s">
        <v>1113</v>
      </c>
      <c r="AE429" t="s">
        <v>1114</v>
      </c>
      <c r="AF429">
        <v>1</v>
      </c>
      <c r="AG429">
        <v>452210</v>
      </c>
      <c r="AH429" t="s">
        <v>849</v>
      </c>
      <c r="AI429" t="s">
        <v>850</v>
      </c>
      <c r="AJ429" t="s">
        <v>851</v>
      </c>
      <c r="AK429" t="s">
        <v>255</v>
      </c>
      <c r="AL429" t="s">
        <v>2605</v>
      </c>
      <c r="AM429" t="s">
        <v>1712</v>
      </c>
      <c r="AN429" t="s">
        <v>854</v>
      </c>
      <c r="AO429">
        <v>36805</v>
      </c>
      <c r="AP429">
        <v>639</v>
      </c>
      <c r="AQ429" t="s">
        <v>855</v>
      </c>
      <c r="AR429">
        <v>66347334</v>
      </c>
      <c r="AS429" t="s">
        <v>856</v>
      </c>
      <c r="AU429" t="s">
        <v>8991</v>
      </c>
      <c r="AV429" t="s">
        <v>8992</v>
      </c>
      <c r="AX429" t="s">
        <v>913</v>
      </c>
      <c r="AY429" t="s">
        <v>861</v>
      </c>
      <c r="AZ429" t="s">
        <v>255</v>
      </c>
      <c r="BA429" t="s">
        <v>256</v>
      </c>
      <c r="BB429">
        <v>0</v>
      </c>
      <c r="BC429">
        <v>0</v>
      </c>
      <c r="BD429">
        <v>1</v>
      </c>
      <c r="BE429" t="s">
        <v>1706</v>
      </c>
      <c r="BF429">
        <v>0</v>
      </c>
      <c r="BG429">
        <v>0</v>
      </c>
      <c r="BH429" t="s">
        <v>862</v>
      </c>
      <c r="BI429">
        <v>0</v>
      </c>
      <c r="BJ429" t="s">
        <v>862</v>
      </c>
      <c r="BK429">
        <v>1</v>
      </c>
      <c r="BL429">
        <v>1</v>
      </c>
      <c r="BM429">
        <v>0</v>
      </c>
      <c r="BN429" t="s">
        <v>596</v>
      </c>
      <c r="BO429">
        <v>156586319</v>
      </c>
      <c r="BP429" t="s">
        <v>7474</v>
      </c>
      <c r="BR429">
        <v>42791771</v>
      </c>
      <c r="BT429">
        <v>2</v>
      </c>
      <c r="BU429" t="s">
        <v>1780</v>
      </c>
      <c r="CE429">
        <v>1</v>
      </c>
      <c r="CI429">
        <v>11</v>
      </c>
      <c r="CJ429" t="s">
        <v>94</v>
      </c>
      <c r="CM429">
        <v>4010</v>
      </c>
      <c r="CO429">
        <v>7360</v>
      </c>
      <c r="CP429">
        <v>0.2</v>
      </c>
      <c r="CQ429">
        <v>0.2</v>
      </c>
      <c r="CR429">
        <v>1.67E-2</v>
      </c>
      <c r="CS429">
        <v>11</v>
      </c>
      <c r="CT429" t="s">
        <v>8992</v>
      </c>
      <c r="CU429" t="s">
        <v>8991</v>
      </c>
      <c r="CV429" t="s">
        <v>833</v>
      </c>
      <c r="CW429" t="s">
        <v>834</v>
      </c>
      <c r="CX429" t="s">
        <v>1706</v>
      </c>
      <c r="CY429">
        <v>1</v>
      </c>
      <c r="CZ429">
        <v>1</v>
      </c>
      <c r="DA429" t="s">
        <v>833</v>
      </c>
      <c r="DB429" t="s">
        <v>865</v>
      </c>
      <c r="DC429">
        <v>60134</v>
      </c>
      <c r="DD429">
        <v>4.25</v>
      </c>
      <c r="DE429" t="s">
        <v>866</v>
      </c>
      <c r="DG429" t="s">
        <v>867</v>
      </c>
      <c r="DH429" t="s">
        <v>851</v>
      </c>
      <c r="DJ429" t="s">
        <v>1718</v>
      </c>
      <c r="DK429" t="s">
        <v>918</v>
      </c>
      <c r="DL429" t="s">
        <v>869</v>
      </c>
      <c r="DM429">
        <v>0</v>
      </c>
      <c r="DN429">
        <v>0</v>
      </c>
      <c r="DO429">
        <v>11</v>
      </c>
      <c r="DP429" t="s">
        <v>1010</v>
      </c>
      <c r="DQ429">
        <v>0</v>
      </c>
      <c r="DR429">
        <v>255</v>
      </c>
      <c r="DS429">
        <v>255</v>
      </c>
      <c r="DT429">
        <v>4.05</v>
      </c>
      <c r="DU429">
        <v>0</v>
      </c>
      <c r="DV429">
        <v>1</v>
      </c>
      <c r="DW429">
        <v>1</v>
      </c>
      <c r="DX429" t="s">
        <v>596</v>
      </c>
      <c r="DY429" t="s">
        <v>1706</v>
      </c>
      <c r="DZ429">
        <v>1</v>
      </c>
      <c r="EA429">
        <v>1</v>
      </c>
      <c r="EB429">
        <v>1</v>
      </c>
      <c r="EC429">
        <v>1</v>
      </c>
      <c r="ED429">
        <v>1</v>
      </c>
      <c r="EE429">
        <v>1</v>
      </c>
      <c r="EF429" t="s">
        <v>871</v>
      </c>
      <c r="EG429" t="s">
        <v>595</v>
      </c>
      <c r="EH429" t="s">
        <v>1036</v>
      </c>
      <c r="EI429" t="s">
        <v>1036</v>
      </c>
      <c r="EJ429" t="s">
        <v>181</v>
      </c>
      <c r="EK429">
        <v>9090</v>
      </c>
      <c r="EL429">
        <v>0</v>
      </c>
      <c r="EM429" t="s">
        <v>1436</v>
      </c>
      <c r="EN429">
        <v>1.67E-2</v>
      </c>
      <c r="EO429">
        <v>4.25</v>
      </c>
      <c r="EP429">
        <v>99991120</v>
      </c>
      <c r="EQ429" t="s">
        <v>874</v>
      </c>
      <c r="ER429" t="s">
        <v>875</v>
      </c>
      <c r="ES429" t="s">
        <v>876</v>
      </c>
      <c r="ET429" t="s">
        <v>877</v>
      </c>
      <c r="EU429" t="s">
        <v>877</v>
      </c>
      <c r="EV429" t="s">
        <v>871</v>
      </c>
      <c r="EX429" t="s">
        <v>836</v>
      </c>
      <c r="EY429" t="s">
        <v>873</v>
      </c>
      <c r="EZ429" t="s">
        <v>1437</v>
      </c>
      <c r="FA429" t="s">
        <v>956</v>
      </c>
      <c r="FB429">
        <v>1</v>
      </c>
      <c r="FC429">
        <v>1</v>
      </c>
      <c r="FD429" s="41">
        <v>46081</v>
      </c>
      <c r="FE429" t="s">
        <v>1267</v>
      </c>
      <c r="FF429">
        <v>6</v>
      </c>
      <c r="FG429" t="s">
        <v>2610</v>
      </c>
      <c r="FH429" t="s">
        <v>8993</v>
      </c>
      <c r="FI429">
        <v>1</v>
      </c>
      <c r="FJ429" t="s">
        <v>8994</v>
      </c>
      <c r="FK429" t="s">
        <v>8995</v>
      </c>
      <c r="FL429">
        <v>1</v>
      </c>
      <c r="FM429" t="s">
        <v>1720</v>
      </c>
      <c r="FN429" t="s">
        <v>8996</v>
      </c>
      <c r="FO429">
        <v>1</v>
      </c>
      <c r="FP429" t="s">
        <v>8997</v>
      </c>
      <c r="FQ429" t="s">
        <v>8998</v>
      </c>
      <c r="FR429">
        <v>1</v>
      </c>
      <c r="FS429" t="s">
        <v>2736</v>
      </c>
      <c r="FT429" t="s">
        <v>8999</v>
      </c>
      <c r="FU429">
        <v>1</v>
      </c>
      <c r="FV429" t="s">
        <v>2738</v>
      </c>
      <c r="FW429" t="s">
        <v>9000</v>
      </c>
      <c r="FX429">
        <v>1</v>
      </c>
      <c r="FY429" t="s">
        <v>890</v>
      </c>
      <c r="FZ429" t="s">
        <v>9001</v>
      </c>
      <c r="GA429" t="s">
        <v>8994</v>
      </c>
      <c r="GB429">
        <v>1</v>
      </c>
      <c r="GD429">
        <v>0</v>
      </c>
      <c r="GF429">
        <v>0</v>
      </c>
      <c r="GG429">
        <v>1</v>
      </c>
      <c r="GH429" t="s">
        <v>892</v>
      </c>
      <c r="GI429" t="s">
        <v>893</v>
      </c>
      <c r="GJ429" t="s">
        <v>8995</v>
      </c>
      <c r="GM429">
        <v>1</v>
      </c>
      <c r="GN429">
        <v>1</v>
      </c>
      <c r="GO429">
        <v>0</v>
      </c>
      <c r="GP429">
        <v>1</v>
      </c>
      <c r="GQ429">
        <v>1</v>
      </c>
      <c r="GR429">
        <v>0</v>
      </c>
      <c r="GS429">
        <v>1</v>
      </c>
      <c r="GT429">
        <v>0</v>
      </c>
      <c r="GU429">
        <v>1</v>
      </c>
      <c r="GV429">
        <v>0</v>
      </c>
      <c r="GW429">
        <v>1</v>
      </c>
      <c r="GX429">
        <v>0</v>
      </c>
      <c r="GY429">
        <v>1</v>
      </c>
      <c r="GZ429">
        <v>0</v>
      </c>
      <c r="HA429" t="s">
        <v>255</v>
      </c>
      <c r="HB429" t="s">
        <v>894</v>
      </c>
      <c r="HC429" t="s">
        <v>895</v>
      </c>
      <c r="HD429" t="s">
        <v>845</v>
      </c>
      <c r="HE429" t="s">
        <v>836</v>
      </c>
      <c r="HF429" t="s">
        <v>873</v>
      </c>
      <c r="HG429" t="s">
        <v>894</v>
      </c>
      <c r="HH429" t="s">
        <v>895</v>
      </c>
      <c r="HI429" t="s">
        <v>845</v>
      </c>
      <c r="HJ429" t="s">
        <v>836</v>
      </c>
      <c r="HK429" t="s">
        <v>1436</v>
      </c>
      <c r="HL429" t="s">
        <v>196</v>
      </c>
      <c r="HM429" t="s">
        <v>854</v>
      </c>
      <c r="HN429">
        <v>36805</v>
      </c>
      <c r="HP429" t="s">
        <v>181</v>
      </c>
      <c r="HQ429" t="s">
        <v>896</v>
      </c>
      <c r="HR429" t="s">
        <v>896</v>
      </c>
      <c r="HS429" t="s">
        <v>896</v>
      </c>
    </row>
    <row r="430" spans="1:227" x14ac:dyDescent="0.2">
      <c r="A430">
        <v>8702</v>
      </c>
      <c r="B430">
        <v>7619303051</v>
      </c>
      <c r="C430" t="s">
        <v>936</v>
      </c>
      <c r="D430" t="s">
        <v>937</v>
      </c>
      <c r="E430" t="s">
        <v>897</v>
      </c>
      <c r="F430">
        <v>0</v>
      </c>
      <c r="G430" t="s">
        <v>9002</v>
      </c>
      <c r="H430" t="s">
        <v>9002</v>
      </c>
      <c r="I430">
        <v>0</v>
      </c>
      <c r="J430" t="s">
        <v>833</v>
      </c>
      <c r="K430" t="s">
        <v>834</v>
      </c>
      <c r="L430">
        <v>153524526</v>
      </c>
      <c r="M430" t="s">
        <v>9003</v>
      </c>
      <c r="N430" t="s">
        <v>900</v>
      </c>
      <c r="O430" t="s">
        <v>837</v>
      </c>
      <c r="P430" t="s">
        <v>940</v>
      </c>
      <c r="Q430" t="s">
        <v>1473</v>
      </c>
      <c r="R430" t="s">
        <v>9004</v>
      </c>
      <c r="S430" t="s">
        <v>9005</v>
      </c>
      <c r="T430">
        <v>41477061773</v>
      </c>
      <c r="V430" t="s">
        <v>138</v>
      </c>
      <c r="W430" s="41">
        <v>46216</v>
      </c>
      <c r="X430" t="s">
        <v>9006</v>
      </c>
      <c r="Y430" t="s">
        <v>9007</v>
      </c>
      <c r="Z430" t="s">
        <v>9008</v>
      </c>
      <c r="AA430">
        <v>0</v>
      </c>
      <c r="AB430" t="s">
        <v>845</v>
      </c>
      <c r="AC430" t="s">
        <v>846</v>
      </c>
      <c r="AD430" t="s">
        <v>907</v>
      </c>
      <c r="AE430" t="s">
        <v>908</v>
      </c>
      <c r="AF430">
        <v>1</v>
      </c>
      <c r="AG430">
        <v>452210</v>
      </c>
      <c r="AH430" t="s">
        <v>849</v>
      </c>
      <c r="AI430" t="s">
        <v>850</v>
      </c>
      <c r="AJ430" t="s">
        <v>851</v>
      </c>
      <c r="AK430" t="s">
        <v>293</v>
      </c>
      <c r="AL430" t="s">
        <v>1574</v>
      </c>
      <c r="AM430" t="s">
        <v>1575</v>
      </c>
      <c r="AN430" t="s">
        <v>854</v>
      </c>
      <c r="AO430">
        <v>36805</v>
      </c>
      <c r="AP430">
        <v>524</v>
      </c>
      <c r="AQ430" t="s">
        <v>855</v>
      </c>
      <c r="AR430">
        <v>66549284</v>
      </c>
      <c r="AS430" t="s">
        <v>856</v>
      </c>
      <c r="AU430" t="s">
        <v>9009</v>
      </c>
      <c r="AV430" t="s">
        <v>9010</v>
      </c>
      <c r="AX430" t="s">
        <v>913</v>
      </c>
      <c r="AY430" t="s">
        <v>861</v>
      </c>
      <c r="AZ430" t="s">
        <v>293</v>
      </c>
      <c r="BA430" t="s">
        <v>294</v>
      </c>
      <c r="BB430">
        <v>0</v>
      </c>
      <c r="BC430">
        <v>1</v>
      </c>
      <c r="BD430">
        <v>0</v>
      </c>
      <c r="BE430" t="s">
        <v>9003</v>
      </c>
      <c r="BF430">
        <v>0</v>
      </c>
      <c r="BG430">
        <v>0</v>
      </c>
      <c r="BH430" t="s">
        <v>862</v>
      </c>
      <c r="BI430">
        <v>0</v>
      </c>
      <c r="BJ430" t="s">
        <v>862</v>
      </c>
      <c r="BK430">
        <v>1</v>
      </c>
      <c r="BL430">
        <v>1</v>
      </c>
      <c r="BM430">
        <v>0</v>
      </c>
      <c r="BN430" t="s">
        <v>596</v>
      </c>
      <c r="BO430">
        <v>153524526</v>
      </c>
      <c r="BP430" t="s">
        <v>9002</v>
      </c>
      <c r="BR430">
        <v>42791434</v>
      </c>
      <c r="BT430">
        <v>1</v>
      </c>
      <c r="BU430" t="s">
        <v>1062</v>
      </c>
      <c r="BY430">
        <v>16</v>
      </c>
      <c r="CA430">
        <v>17</v>
      </c>
      <c r="CI430">
        <v>11</v>
      </c>
      <c r="CJ430" t="s">
        <v>94</v>
      </c>
      <c r="CM430">
        <v>4010</v>
      </c>
      <c r="CO430">
        <v>7360</v>
      </c>
      <c r="CP430">
        <v>0.1167</v>
      </c>
      <c r="CQ430">
        <v>0.1167</v>
      </c>
      <c r="CR430">
        <v>1.6333</v>
      </c>
      <c r="CS430">
        <v>0</v>
      </c>
      <c r="CT430" t="s">
        <v>9010</v>
      </c>
      <c r="CU430" t="s">
        <v>9009</v>
      </c>
      <c r="CV430" t="s">
        <v>833</v>
      </c>
      <c r="CW430" t="s">
        <v>834</v>
      </c>
      <c r="CX430" t="s">
        <v>9003</v>
      </c>
      <c r="CY430">
        <v>1</v>
      </c>
      <c r="CZ430">
        <v>1</v>
      </c>
      <c r="DA430" t="s">
        <v>833</v>
      </c>
      <c r="DB430" t="s">
        <v>865</v>
      </c>
      <c r="DC430">
        <v>46805</v>
      </c>
      <c r="DD430">
        <v>17.433299999999999</v>
      </c>
      <c r="DE430" t="s">
        <v>866</v>
      </c>
      <c r="DG430" t="s">
        <v>867</v>
      </c>
      <c r="DH430" t="s">
        <v>851</v>
      </c>
      <c r="DI430" t="s">
        <v>1291</v>
      </c>
      <c r="DK430" t="s">
        <v>918</v>
      </c>
      <c r="DL430" t="s">
        <v>869</v>
      </c>
      <c r="DM430">
        <v>0</v>
      </c>
      <c r="DN430">
        <v>0.05</v>
      </c>
      <c r="DO430">
        <v>11</v>
      </c>
      <c r="DP430" t="s">
        <v>1010</v>
      </c>
      <c r="DQ430">
        <v>16</v>
      </c>
      <c r="DR430">
        <v>1046</v>
      </c>
      <c r="DS430">
        <v>1766</v>
      </c>
      <c r="DT430">
        <v>2.5333000000000001</v>
      </c>
      <c r="DU430">
        <v>4</v>
      </c>
      <c r="DV430">
        <v>1</v>
      </c>
      <c r="DW430">
        <v>2</v>
      </c>
      <c r="DX430" t="s">
        <v>596</v>
      </c>
      <c r="DY430" t="s">
        <v>9003</v>
      </c>
      <c r="DZ430">
        <v>0</v>
      </c>
      <c r="EA430">
        <v>0</v>
      </c>
      <c r="EB430">
        <v>1</v>
      </c>
      <c r="EC430">
        <v>1</v>
      </c>
      <c r="ED430">
        <v>1</v>
      </c>
      <c r="EE430">
        <v>1</v>
      </c>
      <c r="EF430" t="s">
        <v>920</v>
      </c>
      <c r="EG430" t="s">
        <v>595</v>
      </c>
      <c r="EH430" t="s">
        <v>921</v>
      </c>
      <c r="EI430" t="s">
        <v>921</v>
      </c>
      <c r="EJ430" t="s">
        <v>134</v>
      </c>
      <c r="EK430">
        <v>9090</v>
      </c>
      <c r="EL430">
        <v>1</v>
      </c>
      <c r="EM430" t="s">
        <v>1011</v>
      </c>
      <c r="EN430">
        <v>1.6333</v>
      </c>
      <c r="EO430">
        <v>29.433333300000001</v>
      </c>
      <c r="EP430">
        <v>99991120</v>
      </c>
      <c r="EQ430" t="s">
        <v>874</v>
      </c>
      <c r="ER430" t="s">
        <v>875</v>
      </c>
      <c r="ES430" t="s">
        <v>876</v>
      </c>
      <c r="ET430" t="s">
        <v>877</v>
      </c>
      <c r="EU430" t="s">
        <v>877</v>
      </c>
      <c r="EV430" t="s">
        <v>920</v>
      </c>
      <c r="EX430" t="s">
        <v>900</v>
      </c>
      <c r="EY430" t="s">
        <v>1012</v>
      </c>
      <c r="EZ430" t="s">
        <v>1578</v>
      </c>
      <c r="FA430" t="s">
        <v>879</v>
      </c>
      <c r="FB430">
        <v>1</v>
      </c>
      <c r="FC430">
        <v>1</v>
      </c>
      <c r="FD430" s="41">
        <v>46221</v>
      </c>
      <c r="FE430" t="s">
        <v>1066</v>
      </c>
      <c r="FF430">
        <v>9</v>
      </c>
      <c r="FG430" t="s">
        <v>9011</v>
      </c>
      <c r="FH430" t="s">
        <v>9012</v>
      </c>
      <c r="FI430">
        <v>1</v>
      </c>
      <c r="FJ430" t="s">
        <v>9013</v>
      </c>
      <c r="FK430" t="s">
        <v>9014</v>
      </c>
      <c r="FL430">
        <v>1</v>
      </c>
      <c r="FM430" t="s">
        <v>9015</v>
      </c>
      <c r="FN430" t="s">
        <v>9016</v>
      </c>
      <c r="FO430">
        <v>1</v>
      </c>
      <c r="FP430" t="s">
        <v>9017</v>
      </c>
      <c r="FQ430" t="s">
        <v>9009</v>
      </c>
      <c r="FR430">
        <v>1</v>
      </c>
      <c r="FS430" t="s">
        <v>2171</v>
      </c>
      <c r="FT430" t="s">
        <v>9018</v>
      </c>
      <c r="FU430">
        <v>1</v>
      </c>
      <c r="FV430" t="s">
        <v>9019</v>
      </c>
      <c r="FW430" t="s">
        <v>9020</v>
      </c>
      <c r="FX430">
        <v>1</v>
      </c>
      <c r="FY430" t="s">
        <v>890</v>
      </c>
      <c r="FZ430" t="s">
        <v>9021</v>
      </c>
      <c r="GA430" t="s">
        <v>9013</v>
      </c>
      <c r="GB430">
        <v>1</v>
      </c>
      <c r="GD430">
        <v>0</v>
      </c>
      <c r="GF430">
        <v>0</v>
      </c>
      <c r="GG430">
        <v>1</v>
      </c>
      <c r="GH430" t="s">
        <v>892</v>
      </c>
      <c r="GI430" t="s">
        <v>893</v>
      </c>
      <c r="GJ430" t="s">
        <v>9014</v>
      </c>
      <c r="GM430">
        <v>1</v>
      </c>
      <c r="GN430">
        <v>1</v>
      </c>
      <c r="GO430">
        <v>0</v>
      </c>
      <c r="GP430">
        <v>1</v>
      </c>
      <c r="GQ430">
        <v>1</v>
      </c>
      <c r="GR430">
        <v>0</v>
      </c>
      <c r="GS430">
        <v>1</v>
      </c>
      <c r="GT430">
        <v>0</v>
      </c>
      <c r="GU430">
        <v>1</v>
      </c>
      <c r="GV430">
        <v>0</v>
      </c>
      <c r="GW430">
        <v>1</v>
      </c>
      <c r="GX430">
        <v>0</v>
      </c>
      <c r="GY430">
        <v>1</v>
      </c>
      <c r="GZ430">
        <v>0</v>
      </c>
      <c r="HA430" t="s">
        <v>293</v>
      </c>
      <c r="HB430" t="s">
        <v>894</v>
      </c>
      <c r="HC430" t="s">
        <v>935</v>
      </c>
      <c r="HD430" t="s">
        <v>845</v>
      </c>
      <c r="HE430" t="s">
        <v>900</v>
      </c>
      <c r="HF430" t="s">
        <v>1012</v>
      </c>
      <c r="HG430" t="s">
        <v>894</v>
      </c>
      <c r="HH430" t="s">
        <v>935</v>
      </c>
      <c r="HI430" t="s">
        <v>845</v>
      </c>
      <c r="HJ430" t="s">
        <v>900</v>
      </c>
      <c r="HK430" t="s">
        <v>1011</v>
      </c>
      <c r="HL430" t="s">
        <v>138</v>
      </c>
      <c r="HM430" t="s">
        <v>854</v>
      </c>
      <c r="HN430">
        <v>36805</v>
      </c>
      <c r="HO430">
        <v>1</v>
      </c>
      <c r="HP430" t="s">
        <v>134</v>
      </c>
      <c r="HQ430" t="s">
        <v>896</v>
      </c>
      <c r="HR430" t="s">
        <v>896</v>
      </c>
      <c r="HS430" t="s">
        <v>896</v>
      </c>
    </row>
    <row r="431" spans="1:227" x14ac:dyDescent="0.2">
      <c r="A431">
        <v>8702</v>
      </c>
      <c r="B431">
        <v>7532102334</v>
      </c>
      <c r="C431" t="s">
        <v>1171</v>
      </c>
      <c r="D431" t="s">
        <v>1172</v>
      </c>
      <c r="E431" t="s">
        <v>897</v>
      </c>
      <c r="F431">
        <v>4</v>
      </c>
      <c r="G431" t="s">
        <v>9022</v>
      </c>
      <c r="H431" t="s">
        <v>9022</v>
      </c>
      <c r="I431">
        <v>0</v>
      </c>
      <c r="J431" t="s">
        <v>833</v>
      </c>
      <c r="K431" t="s">
        <v>834</v>
      </c>
      <c r="L431">
        <v>156046185</v>
      </c>
      <c r="M431" t="s">
        <v>6140</v>
      </c>
      <c r="N431" t="s">
        <v>900</v>
      </c>
      <c r="O431" t="s">
        <v>837</v>
      </c>
      <c r="P431" t="s">
        <v>1175</v>
      </c>
      <c r="Q431" t="s">
        <v>1176</v>
      </c>
      <c r="R431" t="s">
        <v>9023</v>
      </c>
      <c r="S431" t="s">
        <v>9024</v>
      </c>
      <c r="T431">
        <v>41477124647</v>
      </c>
      <c r="V431" t="s">
        <v>208</v>
      </c>
      <c r="W431" s="41">
        <v>45982</v>
      </c>
      <c r="X431" t="s">
        <v>9025</v>
      </c>
      <c r="Y431" t="s">
        <v>9026</v>
      </c>
      <c r="AA431">
        <v>0</v>
      </c>
      <c r="AB431" t="s">
        <v>845</v>
      </c>
      <c r="AC431" t="s">
        <v>846</v>
      </c>
      <c r="AD431" t="s">
        <v>847</v>
      </c>
      <c r="AE431" t="s">
        <v>848</v>
      </c>
      <c r="AF431">
        <v>1</v>
      </c>
      <c r="AG431">
        <v>452210</v>
      </c>
      <c r="AH431" t="s">
        <v>849</v>
      </c>
      <c r="AI431" t="s">
        <v>850</v>
      </c>
      <c r="AJ431" t="s">
        <v>851</v>
      </c>
      <c r="AK431" t="s">
        <v>405</v>
      </c>
      <c r="AL431" t="s">
        <v>6895</v>
      </c>
      <c r="AM431" t="s">
        <v>979</v>
      </c>
      <c r="AN431" t="s">
        <v>854</v>
      </c>
      <c r="AO431">
        <v>36805</v>
      </c>
      <c r="AP431">
        <v>647</v>
      </c>
      <c r="AQ431" t="s">
        <v>855</v>
      </c>
      <c r="AR431">
        <v>66211759</v>
      </c>
      <c r="AS431" t="s">
        <v>856</v>
      </c>
      <c r="AU431" t="s">
        <v>9027</v>
      </c>
      <c r="AV431" t="s">
        <v>9028</v>
      </c>
      <c r="AX431" t="s">
        <v>913</v>
      </c>
      <c r="AY431" t="s">
        <v>861</v>
      </c>
      <c r="AZ431" t="s">
        <v>405</v>
      </c>
      <c r="BA431" t="s">
        <v>406</v>
      </c>
      <c r="BB431">
        <v>0</v>
      </c>
      <c r="BC431">
        <v>0</v>
      </c>
      <c r="BD431">
        <v>1</v>
      </c>
      <c r="BE431" t="s">
        <v>6140</v>
      </c>
      <c r="BF431">
        <v>0</v>
      </c>
      <c r="BG431">
        <v>0</v>
      </c>
      <c r="BH431" t="s">
        <v>862</v>
      </c>
      <c r="BI431">
        <v>0</v>
      </c>
      <c r="BJ431" t="s">
        <v>862</v>
      </c>
      <c r="BK431">
        <v>1</v>
      </c>
      <c r="BL431">
        <v>1</v>
      </c>
      <c r="BM431">
        <v>0</v>
      </c>
      <c r="BN431" t="s">
        <v>596</v>
      </c>
      <c r="BO431">
        <v>156046185</v>
      </c>
      <c r="BP431" t="s">
        <v>9022</v>
      </c>
      <c r="BR431">
        <v>42791779</v>
      </c>
      <c r="BT431">
        <v>0</v>
      </c>
      <c r="CM431">
        <v>4010</v>
      </c>
      <c r="CO431">
        <v>7360</v>
      </c>
      <c r="CP431">
        <v>0.61670000000000003</v>
      </c>
      <c r="CQ431">
        <v>0.61670000000000003</v>
      </c>
      <c r="CR431">
        <v>4</v>
      </c>
      <c r="CS431">
        <v>5608</v>
      </c>
      <c r="CT431" t="s">
        <v>9028</v>
      </c>
      <c r="CU431" t="s">
        <v>9027</v>
      </c>
      <c r="CV431" t="s">
        <v>833</v>
      </c>
      <c r="CW431" t="s">
        <v>834</v>
      </c>
      <c r="CX431" t="s">
        <v>6140</v>
      </c>
      <c r="CY431">
        <v>1</v>
      </c>
      <c r="CZ431">
        <v>1</v>
      </c>
      <c r="DA431" t="s">
        <v>833</v>
      </c>
      <c r="DB431" t="s">
        <v>865</v>
      </c>
      <c r="DC431">
        <v>49002</v>
      </c>
      <c r="DD431">
        <v>54.166699999999999</v>
      </c>
      <c r="DE431" t="s">
        <v>866</v>
      </c>
      <c r="DG431" t="s">
        <v>867</v>
      </c>
      <c r="DH431" t="s">
        <v>851</v>
      </c>
      <c r="DI431" t="s">
        <v>984</v>
      </c>
      <c r="DL431" t="s">
        <v>869</v>
      </c>
      <c r="DM431">
        <v>0</v>
      </c>
      <c r="DN431">
        <v>1.67E-2</v>
      </c>
      <c r="DO431">
        <v>11</v>
      </c>
      <c r="DP431" t="s">
        <v>1010</v>
      </c>
      <c r="DQ431">
        <v>16</v>
      </c>
      <c r="DR431">
        <v>3250</v>
      </c>
      <c r="DS431">
        <v>6850</v>
      </c>
      <c r="DT431">
        <v>19.3</v>
      </c>
      <c r="DU431">
        <v>4</v>
      </c>
      <c r="DW431">
        <v>2</v>
      </c>
      <c r="DX431" t="s">
        <v>596</v>
      </c>
      <c r="DY431" t="s">
        <v>6140</v>
      </c>
      <c r="DZ431">
        <v>0</v>
      </c>
      <c r="EA431">
        <v>0</v>
      </c>
      <c r="EB431">
        <v>1</v>
      </c>
      <c r="EC431">
        <v>0</v>
      </c>
      <c r="ED431">
        <v>0</v>
      </c>
      <c r="EE431">
        <v>1</v>
      </c>
      <c r="EF431" t="s">
        <v>871</v>
      </c>
      <c r="EG431" t="s">
        <v>595</v>
      </c>
      <c r="EH431" t="s">
        <v>921</v>
      </c>
      <c r="EI431" t="s">
        <v>921</v>
      </c>
      <c r="EJ431" t="s">
        <v>178</v>
      </c>
      <c r="EK431">
        <v>9090</v>
      </c>
      <c r="EL431">
        <v>1</v>
      </c>
      <c r="EM431" t="s">
        <v>922</v>
      </c>
      <c r="EN431">
        <v>4</v>
      </c>
      <c r="EO431">
        <v>114.1666666</v>
      </c>
      <c r="EP431">
        <v>99991120</v>
      </c>
      <c r="EQ431" t="s">
        <v>874</v>
      </c>
      <c r="ER431" t="s">
        <v>875</v>
      </c>
      <c r="ES431" t="s">
        <v>876</v>
      </c>
      <c r="ET431" t="s">
        <v>877</v>
      </c>
      <c r="EU431" t="s">
        <v>877</v>
      </c>
      <c r="EV431" t="s">
        <v>871</v>
      </c>
      <c r="EX431" t="s">
        <v>953</v>
      </c>
      <c r="EY431" t="s">
        <v>986</v>
      </c>
      <c r="EZ431" t="s">
        <v>924</v>
      </c>
      <c r="FA431" t="s">
        <v>925</v>
      </c>
      <c r="FB431">
        <v>1</v>
      </c>
      <c r="FC431">
        <v>1</v>
      </c>
      <c r="FD431" s="41">
        <v>45983</v>
      </c>
      <c r="FE431" t="s">
        <v>1438</v>
      </c>
      <c r="FF431">
        <v>15</v>
      </c>
      <c r="FG431" t="s">
        <v>9029</v>
      </c>
      <c r="FH431" t="s">
        <v>9030</v>
      </c>
      <c r="FI431">
        <v>1</v>
      </c>
      <c r="FJ431" t="s">
        <v>9031</v>
      </c>
      <c r="FK431" t="s">
        <v>9030</v>
      </c>
      <c r="FL431">
        <v>1</v>
      </c>
      <c r="FM431" t="s">
        <v>9032</v>
      </c>
      <c r="FN431" t="s">
        <v>9033</v>
      </c>
      <c r="FO431">
        <v>1</v>
      </c>
      <c r="FP431" t="s">
        <v>9034</v>
      </c>
      <c r="FQ431" t="s">
        <v>9035</v>
      </c>
      <c r="FR431">
        <v>1</v>
      </c>
      <c r="FS431" t="s">
        <v>1464</v>
      </c>
      <c r="FT431" t="s">
        <v>9036</v>
      </c>
      <c r="FU431">
        <v>1</v>
      </c>
      <c r="FV431" t="s">
        <v>1466</v>
      </c>
      <c r="FW431" t="s">
        <v>9037</v>
      </c>
      <c r="FX431">
        <v>1</v>
      </c>
      <c r="FY431" t="s">
        <v>890</v>
      </c>
      <c r="FZ431" t="s">
        <v>9038</v>
      </c>
      <c r="GA431" t="s">
        <v>9031</v>
      </c>
      <c r="GB431">
        <v>1</v>
      </c>
      <c r="GD431">
        <v>0</v>
      </c>
      <c r="GF431">
        <v>0</v>
      </c>
      <c r="GG431">
        <v>1</v>
      </c>
      <c r="GH431" t="s">
        <v>892</v>
      </c>
      <c r="GI431" t="s">
        <v>893</v>
      </c>
      <c r="GJ431" t="s">
        <v>9030</v>
      </c>
      <c r="GM431">
        <v>1</v>
      </c>
      <c r="GN431">
        <v>1</v>
      </c>
      <c r="GO431">
        <v>0</v>
      </c>
      <c r="GP431">
        <v>1</v>
      </c>
      <c r="GQ431">
        <v>1</v>
      </c>
      <c r="GR431">
        <v>0</v>
      </c>
      <c r="GS431">
        <v>1</v>
      </c>
      <c r="GT431">
        <v>0</v>
      </c>
      <c r="GU431">
        <v>1</v>
      </c>
      <c r="GV431">
        <v>0</v>
      </c>
      <c r="GW431">
        <v>1</v>
      </c>
      <c r="GX431">
        <v>0</v>
      </c>
      <c r="GY431">
        <v>1</v>
      </c>
      <c r="GZ431">
        <v>0</v>
      </c>
      <c r="HA431" t="s">
        <v>405</v>
      </c>
      <c r="HB431" t="s">
        <v>894</v>
      </c>
      <c r="HC431" t="s">
        <v>935</v>
      </c>
      <c r="HD431" t="s">
        <v>845</v>
      </c>
      <c r="HE431" t="s">
        <v>900</v>
      </c>
      <c r="HF431" t="s">
        <v>923</v>
      </c>
      <c r="HG431" t="s">
        <v>894</v>
      </c>
      <c r="HH431" t="s">
        <v>935</v>
      </c>
      <c r="HI431" t="s">
        <v>845</v>
      </c>
      <c r="HJ431" t="s">
        <v>900</v>
      </c>
      <c r="HK431" t="s">
        <v>922</v>
      </c>
      <c r="HL431" t="s">
        <v>208</v>
      </c>
      <c r="HM431" t="s">
        <v>854</v>
      </c>
      <c r="HN431">
        <v>36805</v>
      </c>
      <c r="HP431" t="s">
        <v>178</v>
      </c>
      <c r="HQ431" t="s">
        <v>896</v>
      </c>
      <c r="HR431" t="s">
        <v>896</v>
      </c>
      <c r="HS431" t="s">
        <v>896</v>
      </c>
    </row>
    <row r="432" spans="1:227" x14ac:dyDescent="0.2">
      <c r="A432">
        <v>8702</v>
      </c>
      <c r="B432">
        <v>7529302451</v>
      </c>
      <c r="C432">
        <v>82</v>
      </c>
      <c r="D432" t="s">
        <v>969</v>
      </c>
      <c r="E432" t="s">
        <v>831</v>
      </c>
      <c r="F432">
        <v>22</v>
      </c>
      <c r="G432" t="s">
        <v>9039</v>
      </c>
      <c r="H432" t="s">
        <v>9039</v>
      </c>
      <c r="I432">
        <v>0</v>
      </c>
      <c r="J432" t="s">
        <v>833</v>
      </c>
      <c r="K432" t="s">
        <v>834</v>
      </c>
      <c r="L432">
        <v>153524610</v>
      </c>
      <c r="M432" t="s">
        <v>1493</v>
      </c>
      <c r="N432" t="s">
        <v>836</v>
      </c>
      <c r="O432" t="s">
        <v>837</v>
      </c>
      <c r="P432" t="s">
        <v>972</v>
      </c>
      <c r="Q432" t="s">
        <v>973</v>
      </c>
      <c r="R432" t="s">
        <v>9040</v>
      </c>
      <c r="S432" t="s">
        <v>9041</v>
      </c>
      <c r="T432">
        <v>41477092613</v>
      </c>
      <c r="V432" t="s">
        <v>165</v>
      </c>
      <c r="W432" s="41">
        <v>45953</v>
      </c>
      <c r="X432" t="s">
        <v>9042</v>
      </c>
      <c r="Y432" t="s">
        <v>9043</v>
      </c>
      <c r="AA432">
        <v>0</v>
      </c>
      <c r="AB432" t="s">
        <v>845</v>
      </c>
      <c r="AC432" t="s">
        <v>846</v>
      </c>
      <c r="AD432" t="s">
        <v>847</v>
      </c>
      <c r="AE432" t="s">
        <v>848</v>
      </c>
      <c r="AF432">
        <v>1</v>
      </c>
      <c r="AG432">
        <v>452210</v>
      </c>
      <c r="AH432" t="s">
        <v>849</v>
      </c>
      <c r="AI432" t="s">
        <v>850</v>
      </c>
      <c r="AJ432" t="s">
        <v>851</v>
      </c>
      <c r="AK432" t="s">
        <v>253</v>
      </c>
      <c r="AL432" t="s">
        <v>1257</v>
      </c>
      <c r="AM432" t="s">
        <v>1499</v>
      </c>
      <c r="AN432" t="s">
        <v>854</v>
      </c>
      <c r="AO432">
        <v>36805</v>
      </c>
      <c r="AP432">
        <v>544</v>
      </c>
      <c r="AQ432" t="s">
        <v>855</v>
      </c>
      <c r="AR432">
        <v>66169030</v>
      </c>
      <c r="AS432" t="s">
        <v>856</v>
      </c>
      <c r="AU432" t="s">
        <v>9044</v>
      </c>
      <c r="AV432" t="s">
        <v>9045</v>
      </c>
      <c r="AW432" t="s">
        <v>1149</v>
      </c>
      <c r="AX432" t="s">
        <v>1150</v>
      </c>
      <c r="AY432" t="s">
        <v>861</v>
      </c>
      <c r="AZ432" t="s">
        <v>253</v>
      </c>
      <c r="BA432" t="s">
        <v>254</v>
      </c>
      <c r="BB432">
        <v>0</v>
      </c>
      <c r="BC432">
        <v>0</v>
      </c>
      <c r="BD432">
        <v>0</v>
      </c>
      <c r="BE432" t="s">
        <v>1493</v>
      </c>
      <c r="BF432">
        <v>0</v>
      </c>
      <c r="BG432">
        <v>0</v>
      </c>
      <c r="BH432" t="s">
        <v>862</v>
      </c>
      <c r="BI432">
        <v>0</v>
      </c>
      <c r="BJ432" t="s">
        <v>862</v>
      </c>
      <c r="BK432">
        <v>1</v>
      </c>
      <c r="BL432">
        <v>0</v>
      </c>
      <c r="BM432">
        <v>0</v>
      </c>
      <c r="BN432" t="s">
        <v>596</v>
      </c>
      <c r="BO432">
        <v>153524610</v>
      </c>
      <c r="BP432" t="s">
        <v>9039</v>
      </c>
      <c r="BR432">
        <v>42791459</v>
      </c>
      <c r="BT432">
        <v>0</v>
      </c>
      <c r="CM432">
        <v>4010</v>
      </c>
      <c r="CO432">
        <v>7360</v>
      </c>
      <c r="CP432">
        <v>0.55000000000000004</v>
      </c>
      <c r="CQ432">
        <v>0.55000000000000004</v>
      </c>
      <c r="CR432">
        <v>0.31669999999999998</v>
      </c>
      <c r="CS432">
        <v>3</v>
      </c>
      <c r="CT432" t="s">
        <v>9046</v>
      </c>
      <c r="CU432" t="s">
        <v>9047</v>
      </c>
      <c r="CV432" t="s">
        <v>833</v>
      </c>
      <c r="CW432" t="s">
        <v>834</v>
      </c>
      <c r="CX432" t="s">
        <v>1493</v>
      </c>
      <c r="CY432">
        <v>0</v>
      </c>
      <c r="CZ432">
        <v>0</v>
      </c>
      <c r="DA432" t="s">
        <v>833</v>
      </c>
      <c r="DB432" t="s">
        <v>865</v>
      </c>
      <c r="DC432">
        <v>55378</v>
      </c>
      <c r="DD432">
        <v>36</v>
      </c>
      <c r="DE432" t="s">
        <v>866</v>
      </c>
      <c r="DG432" t="s">
        <v>867</v>
      </c>
      <c r="DH432" t="s">
        <v>851</v>
      </c>
      <c r="DI432" t="s">
        <v>1266</v>
      </c>
      <c r="DL432" t="s">
        <v>869</v>
      </c>
      <c r="DM432">
        <v>0</v>
      </c>
      <c r="DN432">
        <v>0</v>
      </c>
      <c r="DO432">
        <v>12</v>
      </c>
      <c r="DP432" t="s">
        <v>1190</v>
      </c>
      <c r="DQ432">
        <v>16</v>
      </c>
      <c r="DR432">
        <v>2160</v>
      </c>
      <c r="DS432">
        <v>4320</v>
      </c>
      <c r="DT432">
        <v>35.450000000000003</v>
      </c>
      <c r="DU432">
        <v>4</v>
      </c>
      <c r="DW432">
        <v>2</v>
      </c>
      <c r="DX432" t="s">
        <v>594</v>
      </c>
      <c r="DY432" t="s">
        <v>1493</v>
      </c>
      <c r="DZ432">
        <v>0</v>
      </c>
      <c r="EA432">
        <v>0</v>
      </c>
      <c r="EB432">
        <v>0</v>
      </c>
      <c r="EC432">
        <v>0</v>
      </c>
      <c r="ED432">
        <v>0</v>
      </c>
      <c r="EE432">
        <v>0</v>
      </c>
      <c r="EF432" t="s">
        <v>871</v>
      </c>
      <c r="EG432" t="s">
        <v>595</v>
      </c>
      <c r="EH432" t="s">
        <v>872</v>
      </c>
      <c r="EI432" t="s">
        <v>872</v>
      </c>
      <c r="EJ432" t="s">
        <v>159</v>
      </c>
      <c r="EK432">
        <v>9090</v>
      </c>
      <c r="EL432">
        <v>0</v>
      </c>
      <c r="EM432" t="s">
        <v>873</v>
      </c>
      <c r="EN432">
        <v>0.31669999999999998</v>
      </c>
      <c r="EO432">
        <v>72</v>
      </c>
      <c r="EP432">
        <v>99991120</v>
      </c>
      <c r="EQ432" t="s">
        <v>874</v>
      </c>
      <c r="ER432" t="s">
        <v>875</v>
      </c>
      <c r="ES432" t="s">
        <v>876</v>
      </c>
      <c r="ET432" t="s">
        <v>877</v>
      </c>
      <c r="EU432" t="s">
        <v>877</v>
      </c>
      <c r="EV432" t="s">
        <v>871</v>
      </c>
      <c r="EX432" t="s">
        <v>836</v>
      </c>
      <c r="EY432" t="s">
        <v>1121</v>
      </c>
      <c r="EZ432" t="s">
        <v>1122</v>
      </c>
      <c r="FA432" t="s">
        <v>956</v>
      </c>
      <c r="FB432">
        <v>1</v>
      </c>
      <c r="FC432">
        <v>1</v>
      </c>
      <c r="FD432" s="41">
        <v>45955</v>
      </c>
      <c r="FE432" t="s">
        <v>1039</v>
      </c>
      <c r="FF432">
        <v>9</v>
      </c>
      <c r="FG432" t="s">
        <v>9048</v>
      </c>
      <c r="FH432" t="s">
        <v>9049</v>
      </c>
      <c r="FI432">
        <v>1</v>
      </c>
      <c r="FJ432" t="s">
        <v>9050</v>
      </c>
      <c r="FK432" t="s">
        <v>9049</v>
      </c>
      <c r="FL432">
        <v>1</v>
      </c>
      <c r="FM432" t="s">
        <v>9051</v>
      </c>
      <c r="FN432" t="s">
        <v>9052</v>
      </c>
      <c r="FO432">
        <v>1</v>
      </c>
      <c r="FP432" t="s">
        <v>9053</v>
      </c>
      <c r="FQ432" t="s">
        <v>9047</v>
      </c>
      <c r="FR432">
        <v>1</v>
      </c>
      <c r="FS432" t="s">
        <v>1679</v>
      </c>
      <c r="FT432" t="s">
        <v>9054</v>
      </c>
      <c r="FU432">
        <v>1</v>
      </c>
      <c r="FV432" t="s">
        <v>1681</v>
      </c>
      <c r="FW432" t="s">
        <v>9055</v>
      </c>
      <c r="FX432">
        <v>1</v>
      </c>
      <c r="FY432" t="s">
        <v>890</v>
      </c>
      <c r="FZ432" t="s">
        <v>9056</v>
      </c>
      <c r="GA432" t="s">
        <v>9050</v>
      </c>
      <c r="GB432">
        <v>1</v>
      </c>
      <c r="GD432">
        <v>0</v>
      </c>
      <c r="GF432">
        <v>0</v>
      </c>
      <c r="GG432">
        <v>1</v>
      </c>
      <c r="GH432" t="s">
        <v>892</v>
      </c>
      <c r="GI432" t="s">
        <v>893</v>
      </c>
      <c r="GJ432" t="s">
        <v>9049</v>
      </c>
      <c r="GM432">
        <v>1</v>
      </c>
      <c r="GN432">
        <v>1</v>
      </c>
      <c r="GO432">
        <v>0</v>
      </c>
      <c r="GP432">
        <v>1</v>
      </c>
      <c r="GQ432">
        <v>1</v>
      </c>
      <c r="GR432">
        <v>0</v>
      </c>
      <c r="GS432">
        <v>1</v>
      </c>
      <c r="GT432">
        <v>0</v>
      </c>
      <c r="GU432">
        <v>1</v>
      </c>
      <c r="GV432">
        <v>0</v>
      </c>
      <c r="GW432">
        <v>1</v>
      </c>
      <c r="GX432">
        <v>0</v>
      </c>
      <c r="GY432">
        <v>1</v>
      </c>
      <c r="GZ432">
        <v>0</v>
      </c>
      <c r="HA432" t="s">
        <v>253</v>
      </c>
      <c r="HB432" t="s">
        <v>894</v>
      </c>
      <c r="HC432" t="s">
        <v>895</v>
      </c>
      <c r="HD432" t="s">
        <v>845</v>
      </c>
      <c r="HE432" t="s">
        <v>836</v>
      </c>
      <c r="HF432" t="s">
        <v>873</v>
      </c>
      <c r="HG432" t="s">
        <v>894</v>
      </c>
      <c r="HH432" t="s">
        <v>895</v>
      </c>
      <c r="HI432" t="s">
        <v>845</v>
      </c>
      <c r="HJ432" t="s">
        <v>836</v>
      </c>
      <c r="HK432" t="s">
        <v>873</v>
      </c>
      <c r="HL432" t="s">
        <v>165</v>
      </c>
      <c r="HM432" t="s">
        <v>854</v>
      </c>
      <c r="HN432">
        <v>36805</v>
      </c>
      <c r="HP432" t="s">
        <v>159</v>
      </c>
      <c r="HQ432" t="s">
        <v>896</v>
      </c>
      <c r="HR432" t="s">
        <v>896</v>
      </c>
      <c r="HS432" t="s">
        <v>896</v>
      </c>
    </row>
    <row r="433" spans="1:227" x14ac:dyDescent="0.2">
      <c r="A433">
        <v>8702</v>
      </c>
      <c r="B433">
        <v>7528104550</v>
      </c>
      <c r="C433">
        <v>34</v>
      </c>
      <c r="D433" t="s">
        <v>996</v>
      </c>
      <c r="E433" t="s">
        <v>897</v>
      </c>
      <c r="F433">
        <v>2</v>
      </c>
      <c r="G433" t="s">
        <v>9057</v>
      </c>
      <c r="H433" t="s">
        <v>9057</v>
      </c>
      <c r="I433">
        <v>0</v>
      </c>
      <c r="J433" t="s">
        <v>833</v>
      </c>
      <c r="K433" t="s">
        <v>834</v>
      </c>
      <c r="L433">
        <v>152946701</v>
      </c>
      <c r="M433" t="s">
        <v>3609</v>
      </c>
      <c r="N433" t="s">
        <v>900</v>
      </c>
      <c r="O433" t="s">
        <v>837</v>
      </c>
      <c r="P433" t="s">
        <v>999</v>
      </c>
      <c r="Q433" t="s">
        <v>2661</v>
      </c>
      <c r="R433" t="s">
        <v>9058</v>
      </c>
      <c r="S433" t="s">
        <v>9059</v>
      </c>
      <c r="T433">
        <v>41477115259</v>
      </c>
      <c r="V433" t="s">
        <v>200</v>
      </c>
      <c r="W433" s="41">
        <v>45938</v>
      </c>
      <c r="X433" t="s">
        <v>9060</v>
      </c>
      <c r="Y433" t="s">
        <v>9061</v>
      </c>
      <c r="AA433">
        <v>0</v>
      </c>
      <c r="AB433" t="s">
        <v>845</v>
      </c>
      <c r="AC433" t="s">
        <v>846</v>
      </c>
      <c r="AD433" t="s">
        <v>847</v>
      </c>
      <c r="AE433" t="s">
        <v>848</v>
      </c>
      <c r="AF433">
        <v>1</v>
      </c>
      <c r="AG433">
        <v>452210</v>
      </c>
      <c r="AH433" t="s">
        <v>849</v>
      </c>
      <c r="AI433" t="s">
        <v>850</v>
      </c>
      <c r="AJ433" t="s">
        <v>851</v>
      </c>
      <c r="AK433" t="s">
        <v>297</v>
      </c>
      <c r="AL433" t="s">
        <v>2184</v>
      </c>
      <c r="AM433" t="s">
        <v>3245</v>
      </c>
      <c r="AN433" t="s">
        <v>854</v>
      </c>
      <c r="AO433">
        <v>36805</v>
      </c>
      <c r="AP433">
        <v>642</v>
      </c>
      <c r="AQ433" t="s">
        <v>855</v>
      </c>
      <c r="AR433">
        <v>66148765</v>
      </c>
      <c r="AS433" t="s">
        <v>856</v>
      </c>
      <c r="AU433" t="s">
        <v>9062</v>
      </c>
      <c r="AV433" t="s">
        <v>9063</v>
      </c>
      <c r="AX433" t="s">
        <v>913</v>
      </c>
      <c r="AY433" t="s">
        <v>861</v>
      </c>
      <c r="AZ433" t="s">
        <v>297</v>
      </c>
      <c r="BA433" t="s">
        <v>298</v>
      </c>
      <c r="BB433">
        <v>1</v>
      </c>
      <c r="BC433">
        <v>0</v>
      </c>
      <c r="BD433">
        <v>0</v>
      </c>
      <c r="BE433" t="s">
        <v>3609</v>
      </c>
      <c r="BF433">
        <v>0</v>
      </c>
      <c r="BG433">
        <v>0</v>
      </c>
      <c r="BH433" t="s">
        <v>862</v>
      </c>
      <c r="BI433">
        <v>0</v>
      </c>
      <c r="BJ433" t="s">
        <v>862</v>
      </c>
      <c r="BK433">
        <v>1</v>
      </c>
      <c r="BL433">
        <v>1</v>
      </c>
      <c r="BM433">
        <v>0</v>
      </c>
      <c r="BN433" t="s">
        <v>596</v>
      </c>
      <c r="BO433">
        <v>152946701</v>
      </c>
      <c r="BP433" t="s">
        <v>9057</v>
      </c>
      <c r="BR433">
        <v>42791773</v>
      </c>
      <c r="BT433">
        <v>0</v>
      </c>
      <c r="CM433">
        <v>4010</v>
      </c>
      <c r="CO433">
        <v>7360</v>
      </c>
      <c r="CP433">
        <v>1.9666999999999999</v>
      </c>
      <c r="CQ433">
        <v>1.9666999999999999</v>
      </c>
      <c r="CR433">
        <v>0.1</v>
      </c>
      <c r="CS433">
        <v>8</v>
      </c>
      <c r="CT433" t="s">
        <v>9063</v>
      </c>
      <c r="CU433" t="s">
        <v>9062</v>
      </c>
      <c r="CV433" t="s">
        <v>833</v>
      </c>
      <c r="CW433" t="s">
        <v>834</v>
      </c>
      <c r="CX433" t="s">
        <v>3609</v>
      </c>
      <c r="CY433">
        <v>1</v>
      </c>
      <c r="CZ433">
        <v>1</v>
      </c>
      <c r="DA433" t="s">
        <v>833</v>
      </c>
      <c r="DB433" t="s">
        <v>865</v>
      </c>
      <c r="DC433">
        <v>48168</v>
      </c>
      <c r="DD433">
        <v>2.4167000000000001</v>
      </c>
      <c r="DE433" t="s">
        <v>866</v>
      </c>
      <c r="DG433" t="s">
        <v>867</v>
      </c>
      <c r="DH433" t="s">
        <v>851</v>
      </c>
      <c r="DI433" t="s">
        <v>3616</v>
      </c>
      <c r="DL433" t="s">
        <v>869</v>
      </c>
      <c r="DM433">
        <v>0</v>
      </c>
      <c r="DN433">
        <v>0</v>
      </c>
      <c r="DO433">
        <v>11</v>
      </c>
      <c r="DP433" t="s">
        <v>1010</v>
      </c>
      <c r="DQ433">
        <v>16</v>
      </c>
      <c r="DR433">
        <v>145</v>
      </c>
      <c r="DS433">
        <v>145</v>
      </c>
      <c r="DT433">
        <v>0.45</v>
      </c>
      <c r="DU433">
        <v>4</v>
      </c>
      <c r="DW433">
        <v>2</v>
      </c>
      <c r="DX433" t="s">
        <v>596</v>
      </c>
      <c r="DY433" t="s">
        <v>3609</v>
      </c>
      <c r="DZ433">
        <v>1</v>
      </c>
      <c r="EA433">
        <v>1</v>
      </c>
      <c r="EB433">
        <v>1</v>
      </c>
      <c r="EC433">
        <v>1</v>
      </c>
      <c r="ED433">
        <v>1</v>
      </c>
      <c r="EE433">
        <v>1</v>
      </c>
      <c r="EF433" t="s">
        <v>871</v>
      </c>
      <c r="EG433" t="s">
        <v>595</v>
      </c>
      <c r="EH433" t="s">
        <v>921</v>
      </c>
      <c r="EI433" t="s">
        <v>921</v>
      </c>
      <c r="EJ433" t="s">
        <v>178</v>
      </c>
      <c r="EK433">
        <v>9090</v>
      </c>
      <c r="EL433">
        <v>0</v>
      </c>
      <c r="EM433" t="s">
        <v>952</v>
      </c>
      <c r="EN433">
        <v>0.1</v>
      </c>
      <c r="EO433">
        <v>2.4166666000000001</v>
      </c>
      <c r="EP433">
        <v>99991120</v>
      </c>
      <c r="EQ433" t="s">
        <v>874</v>
      </c>
      <c r="ER433" t="s">
        <v>875</v>
      </c>
      <c r="ES433" t="s">
        <v>876</v>
      </c>
      <c r="ET433" t="s">
        <v>877</v>
      </c>
      <c r="EU433" t="s">
        <v>877</v>
      </c>
      <c r="EV433" t="s">
        <v>871</v>
      </c>
      <c r="EX433" t="s">
        <v>953</v>
      </c>
      <c r="EY433" t="s">
        <v>954</v>
      </c>
      <c r="EZ433" t="s">
        <v>955</v>
      </c>
      <c r="FA433" t="s">
        <v>956</v>
      </c>
      <c r="FB433">
        <v>1</v>
      </c>
      <c r="FC433">
        <v>1</v>
      </c>
      <c r="FD433" s="41">
        <v>45941</v>
      </c>
      <c r="FE433" t="s">
        <v>1039</v>
      </c>
      <c r="FF433">
        <v>7</v>
      </c>
      <c r="FG433" t="s">
        <v>9064</v>
      </c>
      <c r="FH433" t="s">
        <v>9065</v>
      </c>
      <c r="FI433">
        <v>1</v>
      </c>
      <c r="FJ433" t="s">
        <v>9066</v>
      </c>
      <c r="FK433" t="s">
        <v>9067</v>
      </c>
      <c r="FL433">
        <v>1</v>
      </c>
      <c r="FM433" t="s">
        <v>9068</v>
      </c>
      <c r="FN433" t="s">
        <v>9069</v>
      </c>
      <c r="FO433">
        <v>1</v>
      </c>
      <c r="FP433" t="s">
        <v>9070</v>
      </c>
      <c r="FQ433" t="s">
        <v>9071</v>
      </c>
      <c r="FR433">
        <v>1</v>
      </c>
      <c r="FS433" t="s">
        <v>2196</v>
      </c>
      <c r="FT433" t="s">
        <v>9072</v>
      </c>
      <c r="FU433">
        <v>1</v>
      </c>
      <c r="FV433" t="s">
        <v>9073</v>
      </c>
      <c r="FW433" t="s">
        <v>9074</v>
      </c>
      <c r="FX433">
        <v>1</v>
      </c>
      <c r="FY433" t="s">
        <v>890</v>
      </c>
      <c r="FZ433" t="s">
        <v>9075</v>
      </c>
      <c r="GA433" t="s">
        <v>9066</v>
      </c>
      <c r="GB433">
        <v>1</v>
      </c>
      <c r="GD433">
        <v>0</v>
      </c>
      <c r="GF433">
        <v>0</v>
      </c>
      <c r="GG433">
        <v>1</v>
      </c>
      <c r="GH433" t="s">
        <v>892</v>
      </c>
      <c r="GI433" t="s">
        <v>893</v>
      </c>
      <c r="GJ433" t="s">
        <v>9067</v>
      </c>
      <c r="GM433">
        <v>1</v>
      </c>
      <c r="GN433">
        <v>1</v>
      </c>
      <c r="GO433">
        <v>0</v>
      </c>
      <c r="GP433">
        <v>1</v>
      </c>
      <c r="GQ433">
        <v>1</v>
      </c>
      <c r="GR433">
        <v>0</v>
      </c>
      <c r="GS433">
        <v>1</v>
      </c>
      <c r="GT433">
        <v>0</v>
      </c>
      <c r="GU433">
        <v>1</v>
      </c>
      <c r="GV433">
        <v>0</v>
      </c>
      <c r="GW433">
        <v>1</v>
      </c>
      <c r="GX433">
        <v>0</v>
      </c>
      <c r="GY433">
        <v>1</v>
      </c>
      <c r="GZ433">
        <v>0</v>
      </c>
      <c r="HA433" t="s">
        <v>297</v>
      </c>
      <c r="HB433" t="s">
        <v>894</v>
      </c>
      <c r="HC433" t="s">
        <v>935</v>
      </c>
      <c r="HD433" t="s">
        <v>845</v>
      </c>
      <c r="HE433" t="s">
        <v>900</v>
      </c>
      <c r="HF433" t="s">
        <v>923</v>
      </c>
      <c r="HG433" t="s">
        <v>894</v>
      </c>
      <c r="HH433" t="s">
        <v>935</v>
      </c>
      <c r="HI433" t="s">
        <v>845</v>
      </c>
      <c r="HJ433" t="s">
        <v>900</v>
      </c>
      <c r="HK433" t="s">
        <v>952</v>
      </c>
      <c r="HL433" t="s">
        <v>200</v>
      </c>
      <c r="HM433" t="s">
        <v>854</v>
      </c>
      <c r="HN433">
        <v>36805</v>
      </c>
      <c r="HP433" t="s">
        <v>178</v>
      </c>
      <c r="HQ433" t="s">
        <v>896</v>
      </c>
      <c r="HR433" t="s">
        <v>896</v>
      </c>
      <c r="HS433" t="s">
        <v>896</v>
      </c>
    </row>
    <row r="434" spans="1:227" x14ac:dyDescent="0.2">
      <c r="A434">
        <v>8702</v>
      </c>
      <c r="B434">
        <v>7621704608</v>
      </c>
      <c r="C434">
        <v>34</v>
      </c>
      <c r="D434" t="s">
        <v>996</v>
      </c>
      <c r="E434" t="s">
        <v>897</v>
      </c>
      <c r="F434">
        <v>5</v>
      </c>
      <c r="G434" t="s">
        <v>9076</v>
      </c>
      <c r="H434" t="s">
        <v>9076</v>
      </c>
      <c r="I434">
        <v>0</v>
      </c>
      <c r="J434" t="s">
        <v>833</v>
      </c>
      <c r="K434" t="s">
        <v>834</v>
      </c>
      <c r="L434">
        <v>153195480</v>
      </c>
      <c r="M434" t="s">
        <v>9077</v>
      </c>
      <c r="N434" t="s">
        <v>900</v>
      </c>
      <c r="O434" t="s">
        <v>837</v>
      </c>
      <c r="P434" t="s">
        <v>999</v>
      </c>
      <c r="Q434" t="s">
        <v>1027</v>
      </c>
      <c r="R434" t="s">
        <v>9078</v>
      </c>
      <c r="S434" t="s">
        <v>9079</v>
      </c>
      <c r="T434">
        <v>41477127063</v>
      </c>
      <c r="V434" t="s">
        <v>232</v>
      </c>
      <c r="W434" s="41">
        <v>46240</v>
      </c>
      <c r="X434" t="s">
        <v>9080</v>
      </c>
      <c r="Y434" t="s">
        <v>9081</v>
      </c>
      <c r="AA434">
        <v>0</v>
      </c>
      <c r="AB434" t="s">
        <v>845</v>
      </c>
      <c r="AC434" t="s">
        <v>846</v>
      </c>
      <c r="AD434" t="s">
        <v>907</v>
      </c>
      <c r="AE434" t="s">
        <v>908</v>
      </c>
      <c r="AF434">
        <v>1</v>
      </c>
      <c r="AG434">
        <v>452210</v>
      </c>
      <c r="AH434" t="s">
        <v>849</v>
      </c>
      <c r="AI434" t="s">
        <v>850</v>
      </c>
      <c r="AJ434" t="s">
        <v>851</v>
      </c>
      <c r="AK434" t="s">
        <v>336</v>
      </c>
      <c r="AL434" t="s">
        <v>4317</v>
      </c>
      <c r="AM434" t="s">
        <v>3403</v>
      </c>
      <c r="AN434" t="s">
        <v>854</v>
      </c>
      <c r="AO434">
        <v>36805</v>
      </c>
      <c r="AP434">
        <v>923</v>
      </c>
      <c r="AQ434" t="s">
        <v>855</v>
      </c>
      <c r="AR434">
        <v>66583231</v>
      </c>
      <c r="AS434" t="s">
        <v>856</v>
      </c>
      <c r="AU434" t="s">
        <v>9082</v>
      </c>
      <c r="AV434" t="s">
        <v>9083</v>
      </c>
      <c r="AW434" t="s">
        <v>8663</v>
      </c>
      <c r="AX434" t="s">
        <v>8664</v>
      </c>
      <c r="AY434" t="s">
        <v>861</v>
      </c>
      <c r="AZ434" t="s">
        <v>336</v>
      </c>
      <c r="BA434" t="s">
        <v>337</v>
      </c>
      <c r="BB434">
        <v>0</v>
      </c>
      <c r="BC434">
        <v>0</v>
      </c>
      <c r="BD434">
        <v>1</v>
      </c>
      <c r="BE434" t="s">
        <v>9077</v>
      </c>
      <c r="BF434">
        <v>0</v>
      </c>
      <c r="BG434">
        <v>0</v>
      </c>
      <c r="BH434" t="s">
        <v>862</v>
      </c>
      <c r="BI434">
        <v>0</v>
      </c>
      <c r="BJ434" t="s">
        <v>862</v>
      </c>
      <c r="BK434">
        <v>1</v>
      </c>
      <c r="BL434">
        <v>0</v>
      </c>
      <c r="BM434">
        <v>0</v>
      </c>
      <c r="BN434" t="s">
        <v>596</v>
      </c>
      <c r="BO434">
        <v>153195480</v>
      </c>
      <c r="BP434" t="s">
        <v>9076</v>
      </c>
      <c r="BQ434">
        <v>40.093846399999997</v>
      </c>
      <c r="BR434">
        <v>42793647</v>
      </c>
      <c r="BS434">
        <v>-83.018530200000001</v>
      </c>
      <c r="BT434">
        <v>2</v>
      </c>
      <c r="BU434" t="s">
        <v>914</v>
      </c>
      <c r="BY434">
        <v>16</v>
      </c>
      <c r="CA434">
        <v>7</v>
      </c>
      <c r="CE434">
        <v>1</v>
      </c>
      <c r="CI434">
        <v>11</v>
      </c>
      <c r="CJ434" t="s">
        <v>94</v>
      </c>
      <c r="CM434">
        <v>4010</v>
      </c>
      <c r="CO434">
        <v>7360</v>
      </c>
      <c r="CP434">
        <v>1.0667</v>
      </c>
      <c r="CQ434">
        <v>1.0667</v>
      </c>
      <c r="CR434">
        <v>0.26669999999999999</v>
      </c>
      <c r="CS434">
        <v>38</v>
      </c>
      <c r="CT434" t="s">
        <v>9083</v>
      </c>
      <c r="CU434" t="s">
        <v>9082</v>
      </c>
      <c r="CV434" t="s">
        <v>833</v>
      </c>
      <c r="CW434" t="s">
        <v>834</v>
      </c>
      <c r="CX434" t="s">
        <v>9077</v>
      </c>
      <c r="CY434">
        <v>1</v>
      </c>
      <c r="CZ434">
        <v>1</v>
      </c>
      <c r="DA434" t="s">
        <v>833</v>
      </c>
      <c r="DB434" t="s">
        <v>865</v>
      </c>
      <c r="DC434">
        <v>43085</v>
      </c>
      <c r="DD434">
        <v>7.35</v>
      </c>
      <c r="DE434" t="s">
        <v>866</v>
      </c>
      <c r="DG434" t="s">
        <v>867</v>
      </c>
      <c r="DH434" t="s">
        <v>851</v>
      </c>
      <c r="DI434" t="s">
        <v>1189</v>
      </c>
      <c r="DJ434" t="s">
        <v>9084</v>
      </c>
      <c r="DK434" t="s">
        <v>918</v>
      </c>
      <c r="DL434" t="s">
        <v>869</v>
      </c>
      <c r="DM434">
        <v>0</v>
      </c>
      <c r="DN434">
        <v>0</v>
      </c>
      <c r="DO434">
        <v>11</v>
      </c>
      <c r="DP434" t="s">
        <v>1010</v>
      </c>
      <c r="DQ434">
        <v>16</v>
      </c>
      <c r="DR434">
        <v>441</v>
      </c>
      <c r="DS434">
        <v>1161</v>
      </c>
      <c r="DT434">
        <v>6.2832999999999997</v>
      </c>
      <c r="DU434">
        <v>4</v>
      </c>
      <c r="DV434">
        <v>1</v>
      </c>
      <c r="DW434">
        <v>2</v>
      </c>
      <c r="DX434" t="s">
        <v>594</v>
      </c>
      <c r="DY434" t="s">
        <v>9077</v>
      </c>
      <c r="DZ434">
        <v>0</v>
      </c>
      <c r="EA434">
        <v>0</v>
      </c>
      <c r="EB434">
        <v>0</v>
      </c>
      <c r="EC434">
        <v>0</v>
      </c>
      <c r="ED434">
        <v>0</v>
      </c>
      <c r="EE434">
        <v>0</v>
      </c>
      <c r="EF434" t="s">
        <v>920</v>
      </c>
      <c r="EG434" t="s">
        <v>595</v>
      </c>
      <c r="EH434" t="s">
        <v>872</v>
      </c>
      <c r="EI434" t="s">
        <v>872</v>
      </c>
      <c r="EJ434" t="s">
        <v>226</v>
      </c>
      <c r="EK434">
        <v>9090</v>
      </c>
      <c r="EL434">
        <v>0</v>
      </c>
      <c r="EM434" t="s">
        <v>1157</v>
      </c>
      <c r="EN434">
        <v>0.26669999999999999</v>
      </c>
      <c r="EO434">
        <v>19.350000000000001</v>
      </c>
      <c r="EP434">
        <v>99991120</v>
      </c>
      <c r="EQ434" t="s">
        <v>874</v>
      </c>
      <c r="ER434" t="s">
        <v>875</v>
      </c>
      <c r="ES434" t="s">
        <v>876</v>
      </c>
      <c r="ET434" t="s">
        <v>877</v>
      </c>
      <c r="EU434" t="s">
        <v>877</v>
      </c>
      <c r="EV434" t="s">
        <v>920</v>
      </c>
      <c r="EX434" t="s">
        <v>900</v>
      </c>
      <c r="EY434" t="s">
        <v>923</v>
      </c>
      <c r="EZ434" t="s">
        <v>1158</v>
      </c>
      <c r="FA434" t="s">
        <v>925</v>
      </c>
      <c r="FB434">
        <v>1</v>
      </c>
      <c r="FC434">
        <v>1</v>
      </c>
      <c r="FD434" s="41">
        <v>46242</v>
      </c>
      <c r="FE434" t="s">
        <v>926</v>
      </c>
      <c r="FF434">
        <v>9</v>
      </c>
      <c r="FG434" t="s">
        <v>9085</v>
      </c>
      <c r="FH434" t="s">
        <v>9086</v>
      </c>
      <c r="FI434">
        <v>1</v>
      </c>
      <c r="FJ434" t="s">
        <v>9087</v>
      </c>
      <c r="FK434" t="s">
        <v>9086</v>
      </c>
      <c r="FL434">
        <v>1</v>
      </c>
      <c r="FM434" t="s">
        <v>9088</v>
      </c>
      <c r="FN434" t="s">
        <v>9089</v>
      </c>
      <c r="FO434">
        <v>1</v>
      </c>
      <c r="FP434" t="s">
        <v>9090</v>
      </c>
      <c r="FQ434" t="s">
        <v>9091</v>
      </c>
      <c r="FR434">
        <v>1</v>
      </c>
      <c r="FS434" t="s">
        <v>9092</v>
      </c>
      <c r="FT434" t="s">
        <v>9093</v>
      </c>
      <c r="FU434">
        <v>1</v>
      </c>
      <c r="FV434" t="s">
        <v>9094</v>
      </c>
      <c r="FW434" t="s">
        <v>9095</v>
      </c>
      <c r="FX434">
        <v>1</v>
      </c>
      <c r="FY434" t="s">
        <v>890</v>
      </c>
      <c r="FZ434" t="s">
        <v>9096</v>
      </c>
      <c r="GA434" t="s">
        <v>9087</v>
      </c>
      <c r="GB434">
        <v>1</v>
      </c>
      <c r="GD434">
        <v>0</v>
      </c>
      <c r="GF434">
        <v>0</v>
      </c>
      <c r="GG434">
        <v>1</v>
      </c>
      <c r="GH434" t="s">
        <v>892</v>
      </c>
      <c r="GI434" t="s">
        <v>893</v>
      </c>
      <c r="GJ434" t="s">
        <v>9086</v>
      </c>
      <c r="GM434">
        <v>1</v>
      </c>
      <c r="GN434">
        <v>1</v>
      </c>
      <c r="GO434">
        <v>0</v>
      </c>
      <c r="GP434">
        <v>1</v>
      </c>
      <c r="GQ434">
        <v>1</v>
      </c>
      <c r="GR434">
        <v>0</v>
      </c>
      <c r="GS434">
        <v>1</v>
      </c>
      <c r="GT434">
        <v>0</v>
      </c>
      <c r="GU434">
        <v>1</v>
      </c>
      <c r="GV434">
        <v>0</v>
      </c>
      <c r="GW434">
        <v>1</v>
      </c>
      <c r="GX434">
        <v>0</v>
      </c>
      <c r="GY434">
        <v>1</v>
      </c>
      <c r="GZ434">
        <v>0</v>
      </c>
      <c r="HA434" t="s">
        <v>336</v>
      </c>
      <c r="HB434" t="s">
        <v>894</v>
      </c>
      <c r="HC434" t="s">
        <v>935</v>
      </c>
      <c r="HD434" t="s">
        <v>845</v>
      </c>
      <c r="HE434" t="s">
        <v>900</v>
      </c>
      <c r="HF434" t="s">
        <v>923</v>
      </c>
      <c r="HG434" t="s">
        <v>894</v>
      </c>
      <c r="HH434" t="s">
        <v>935</v>
      </c>
      <c r="HI434" t="s">
        <v>845</v>
      </c>
      <c r="HJ434" t="s">
        <v>900</v>
      </c>
      <c r="HK434" t="s">
        <v>922</v>
      </c>
      <c r="HL434" t="s">
        <v>232</v>
      </c>
      <c r="HM434" t="s">
        <v>854</v>
      </c>
      <c r="HN434">
        <v>36805</v>
      </c>
      <c r="HP434" t="s">
        <v>226</v>
      </c>
      <c r="HQ434" t="s">
        <v>896</v>
      </c>
      <c r="HR434" t="s">
        <v>896</v>
      </c>
      <c r="HS434" t="s">
        <v>896</v>
      </c>
    </row>
    <row r="435" spans="1:227" x14ac:dyDescent="0.2">
      <c r="A435">
        <v>8702</v>
      </c>
      <c r="B435">
        <v>7611911313</v>
      </c>
      <c r="D435" t="s">
        <v>913</v>
      </c>
      <c r="E435" t="s">
        <v>831</v>
      </c>
      <c r="F435">
        <v>0</v>
      </c>
      <c r="G435" t="s">
        <v>9097</v>
      </c>
      <c r="H435" t="s">
        <v>9097</v>
      </c>
      <c r="I435">
        <v>0</v>
      </c>
      <c r="J435" t="s">
        <v>833</v>
      </c>
      <c r="K435" t="s">
        <v>834</v>
      </c>
      <c r="L435">
        <v>156587992</v>
      </c>
      <c r="M435" t="s">
        <v>2116</v>
      </c>
      <c r="N435" t="s">
        <v>836</v>
      </c>
      <c r="O435" t="s">
        <v>837</v>
      </c>
      <c r="P435" t="s">
        <v>913</v>
      </c>
      <c r="V435" t="s">
        <v>196</v>
      </c>
      <c r="W435" s="41">
        <v>46141</v>
      </c>
      <c r="X435" t="s">
        <v>9098</v>
      </c>
      <c r="Y435" t="s">
        <v>9097</v>
      </c>
      <c r="Z435" t="s">
        <v>3599</v>
      </c>
      <c r="AA435">
        <v>0</v>
      </c>
      <c r="AB435" t="s">
        <v>845</v>
      </c>
      <c r="AC435" t="s">
        <v>846</v>
      </c>
      <c r="AD435" t="s">
        <v>1113</v>
      </c>
      <c r="AE435" t="s">
        <v>1114</v>
      </c>
      <c r="AF435">
        <v>1</v>
      </c>
      <c r="AG435">
        <v>452210</v>
      </c>
      <c r="AH435" t="s">
        <v>849</v>
      </c>
      <c r="AI435" t="s">
        <v>850</v>
      </c>
      <c r="AJ435" t="s">
        <v>851</v>
      </c>
      <c r="AM435" t="s">
        <v>1712</v>
      </c>
      <c r="AN435" t="s">
        <v>854</v>
      </c>
      <c r="AO435">
        <v>36805</v>
      </c>
      <c r="AP435">
        <v>639</v>
      </c>
      <c r="AQ435" t="s">
        <v>855</v>
      </c>
      <c r="AR435">
        <v>0</v>
      </c>
      <c r="AS435" t="s">
        <v>856</v>
      </c>
      <c r="AU435" t="s">
        <v>9099</v>
      </c>
      <c r="AV435" t="s">
        <v>9100</v>
      </c>
      <c r="AX435" t="s">
        <v>913</v>
      </c>
      <c r="AY435" t="s">
        <v>861</v>
      </c>
      <c r="BB435">
        <v>0</v>
      </c>
      <c r="BC435">
        <v>0</v>
      </c>
      <c r="BD435">
        <v>0</v>
      </c>
      <c r="BE435" t="s">
        <v>2116</v>
      </c>
      <c r="BF435">
        <v>0</v>
      </c>
      <c r="BG435">
        <v>0</v>
      </c>
      <c r="BH435" t="s">
        <v>862</v>
      </c>
      <c r="BI435">
        <v>0</v>
      </c>
      <c r="BJ435" t="s">
        <v>862</v>
      </c>
      <c r="BK435">
        <v>0</v>
      </c>
      <c r="BL435">
        <v>1</v>
      </c>
      <c r="BM435">
        <v>0</v>
      </c>
      <c r="BN435" t="s">
        <v>596</v>
      </c>
      <c r="BO435">
        <v>156587992</v>
      </c>
      <c r="BP435" t="s">
        <v>9097</v>
      </c>
      <c r="BR435">
        <v>42791771</v>
      </c>
      <c r="BT435">
        <v>1</v>
      </c>
      <c r="BU435" t="s">
        <v>1119</v>
      </c>
      <c r="CI435">
        <v>11</v>
      </c>
      <c r="CJ435" t="s">
        <v>94</v>
      </c>
      <c r="CM435">
        <v>4010</v>
      </c>
      <c r="CO435">
        <v>7360</v>
      </c>
      <c r="CP435">
        <v>0</v>
      </c>
      <c r="CQ435">
        <v>0</v>
      </c>
      <c r="CR435">
        <v>0</v>
      </c>
      <c r="CS435">
        <v>0</v>
      </c>
      <c r="CT435" t="s">
        <v>9100</v>
      </c>
      <c r="CU435" t="s">
        <v>9099</v>
      </c>
      <c r="CV435" t="s">
        <v>833</v>
      </c>
      <c r="CW435" t="s">
        <v>834</v>
      </c>
      <c r="CX435" t="s">
        <v>2116</v>
      </c>
      <c r="CY435">
        <v>0</v>
      </c>
      <c r="CZ435">
        <v>0</v>
      </c>
      <c r="DA435" t="s">
        <v>833</v>
      </c>
      <c r="DB435" t="s">
        <v>865</v>
      </c>
      <c r="DC435">
        <v>60134</v>
      </c>
      <c r="DD435">
        <v>0.68330000000000002</v>
      </c>
      <c r="DE435" t="s">
        <v>866</v>
      </c>
      <c r="DG435" t="s">
        <v>867</v>
      </c>
      <c r="DH435" t="s">
        <v>851</v>
      </c>
      <c r="DK435" t="s">
        <v>918</v>
      </c>
      <c r="DL435" t="s">
        <v>869</v>
      </c>
      <c r="DM435">
        <v>1</v>
      </c>
      <c r="DN435">
        <v>0</v>
      </c>
      <c r="DP435" t="s">
        <v>913</v>
      </c>
      <c r="DQ435">
        <v>0</v>
      </c>
      <c r="DR435">
        <v>41</v>
      </c>
      <c r="DS435">
        <v>53</v>
      </c>
      <c r="DT435">
        <v>0</v>
      </c>
      <c r="DU435">
        <v>0</v>
      </c>
      <c r="DV435">
        <v>1</v>
      </c>
      <c r="DW435">
        <v>2</v>
      </c>
      <c r="DX435" t="s">
        <v>596</v>
      </c>
      <c r="DY435" t="s">
        <v>2116</v>
      </c>
      <c r="DZ435">
        <v>1</v>
      </c>
      <c r="EA435">
        <v>1</v>
      </c>
      <c r="EB435">
        <v>1</v>
      </c>
      <c r="EC435">
        <v>1</v>
      </c>
      <c r="ED435">
        <v>1</v>
      </c>
      <c r="EE435">
        <v>1</v>
      </c>
      <c r="EG435" t="s">
        <v>600</v>
      </c>
      <c r="EH435" t="s">
        <v>921</v>
      </c>
      <c r="EI435" t="s">
        <v>921</v>
      </c>
      <c r="EJ435" t="s">
        <v>181</v>
      </c>
      <c r="EK435">
        <v>9090</v>
      </c>
      <c r="EL435">
        <v>0</v>
      </c>
      <c r="EM435" t="s">
        <v>873</v>
      </c>
      <c r="EN435">
        <v>0</v>
      </c>
      <c r="EO435">
        <v>0.88333329999999999</v>
      </c>
      <c r="EP435">
        <v>99991120</v>
      </c>
      <c r="EQ435" t="s">
        <v>874</v>
      </c>
      <c r="ER435" t="s">
        <v>875</v>
      </c>
      <c r="ES435" t="s">
        <v>876</v>
      </c>
      <c r="ET435" t="s">
        <v>877</v>
      </c>
      <c r="EU435" t="s">
        <v>877</v>
      </c>
      <c r="EX435" t="s">
        <v>836</v>
      </c>
      <c r="EY435" t="s">
        <v>873</v>
      </c>
      <c r="EZ435" t="s">
        <v>1437</v>
      </c>
      <c r="FA435" t="s">
        <v>956</v>
      </c>
      <c r="FB435">
        <v>1</v>
      </c>
      <c r="FC435">
        <v>0</v>
      </c>
      <c r="FD435" s="41">
        <v>46144</v>
      </c>
      <c r="FE435" t="s">
        <v>1123</v>
      </c>
      <c r="FF435">
        <v>6</v>
      </c>
      <c r="FG435" t="s">
        <v>2616</v>
      </c>
      <c r="FH435" t="s">
        <v>9101</v>
      </c>
      <c r="FI435">
        <v>1</v>
      </c>
      <c r="FJ435" t="s">
        <v>9102</v>
      </c>
      <c r="FK435" t="s">
        <v>9098</v>
      </c>
      <c r="FL435">
        <v>1</v>
      </c>
      <c r="FM435" t="s">
        <v>7745</v>
      </c>
      <c r="FN435" t="s">
        <v>9098</v>
      </c>
      <c r="FO435">
        <v>1</v>
      </c>
      <c r="FP435" t="s">
        <v>9103</v>
      </c>
      <c r="FQ435" t="s">
        <v>9099</v>
      </c>
      <c r="FR435">
        <v>1</v>
      </c>
      <c r="FS435" t="s">
        <v>1527</v>
      </c>
      <c r="FT435" t="s">
        <v>9104</v>
      </c>
      <c r="FU435">
        <v>1</v>
      </c>
      <c r="FV435" t="s">
        <v>3001</v>
      </c>
      <c r="FW435" t="s">
        <v>9105</v>
      </c>
      <c r="FX435">
        <v>1</v>
      </c>
      <c r="FY435" t="s">
        <v>890</v>
      </c>
      <c r="FZ435" t="s">
        <v>9106</v>
      </c>
      <c r="GB435">
        <v>0</v>
      </c>
      <c r="GD435">
        <v>0</v>
      </c>
      <c r="GF435">
        <v>0</v>
      </c>
      <c r="GG435">
        <v>0</v>
      </c>
      <c r="GM435">
        <v>0</v>
      </c>
      <c r="GN435">
        <v>0</v>
      </c>
      <c r="GO435">
        <v>0</v>
      </c>
      <c r="GP435">
        <v>0</v>
      </c>
      <c r="GQ435">
        <v>0</v>
      </c>
      <c r="GR435">
        <v>0</v>
      </c>
      <c r="GS435">
        <v>0</v>
      </c>
      <c r="GT435">
        <v>0</v>
      </c>
      <c r="GU435">
        <v>0</v>
      </c>
      <c r="GV435">
        <v>0</v>
      </c>
      <c r="GW435">
        <v>0</v>
      </c>
      <c r="GX435">
        <v>0</v>
      </c>
      <c r="GY435">
        <v>0</v>
      </c>
      <c r="GZ435">
        <v>0</v>
      </c>
      <c r="HB435" t="s">
        <v>894</v>
      </c>
      <c r="HC435" t="s">
        <v>895</v>
      </c>
      <c r="HD435" t="s">
        <v>845</v>
      </c>
      <c r="HE435" t="s">
        <v>836</v>
      </c>
      <c r="HF435" t="s">
        <v>873</v>
      </c>
      <c r="HG435" t="s">
        <v>894</v>
      </c>
      <c r="HH435" t="s">
        <v>895</v>
      </c>
      <c r="HI435" t="s">
        <v>845</v>
      </c>
      <c r="HJ435" t="s">
        <v>836</v>
      </c>
      <c r="HK435" t="s">
        <v>873</v>
      </c>
      <c r="HL435" t="s">
        <v>196</v>
      </c>
      <c r="HM435" t="s">
        <v>854</v>
      </c>
      <c r="HN435">
        <v>36805</v>
      </c>
      <c r="HO435">
        <v>1</v>
      </c>
      <c r="HP435" t="s">
        <v>181</v>
      </c>
      <c r="HQ435" t="s">
        <v>896</v>
      </c>
      <c r="HR435" t="s">
        <v>896</v>
      </c>
      <c r="HS435" t="s">
        <v>896</v>
      </c>
    </row>
    <row r="436" spans="1:227" x14ac:dyDescent="0.2">
      <c r="A436">
        <v>8702</v>
      </c>
      <c r="B436">
        <v>7611004578</v>
      </c>
      <c r="C436">
        <v>36</v>
      </c>
      <c r="D436" t="s">
        <v>1302</v>
      </c>
      <c r="E436" t="s">
        <v>897</v>
      </c>
      <c r="F436">
        <v>0</v>
      </c>
      <c r="G436" t="s">
        <v>9107</v>
      </c>
      <c r="H436" t="s">
        <v>9107</v>
      </c>
      <c r="I436">
        <v>0</v>
      </c>
      <c r="J436" t="s">
        <v>833</v>
      </c>
      <c r="K436" t="s">
        <v>834</v>
      </c>
      <c r="L436">
        <v>152946633</v>
      </c>
      <c r="M436" t="s">
        <v>9108</v>
      </c>
      <c r="N436" t="s">
        <v>900</v>
      </c>
      <c r="O436" t="s">
        <v>837</v>
      </c>
      <c r="P436" t="s">
        <v>1302</v>
      </c>
      <c r="Q436" t="s">
        <v>1517</v>
      </c>
      <c r="R436" t="s">
        <v>9109</v>
      </c>
      <c r="S436" t="s">
        <v>9110</v>
      </c>
      <c r="T436">
        <v>41477056288</v>
      </c>
      <c r="V436" t="s">
        <v>133</v>
      </c>
      <c r="W436" s="41">
        <v>46132</v>
      </c>
      <c r="X436" t="s">
        <v>9111</v>
      </c>
      <c r="Y436" t="s">
        <v>9112</v>
      </c>
      <c r="AA436">
        <v>0</v>
      </c>
      <c r="AB436" t="s">
        <v>845</v>
      </c>
      <c r="AC436" t="s">
        <v>846</v>
      </c>
      <c r="AD436" t="s">
        <v>1113</v>
      </c>
      <c r="AE436" t="s">
        <v>1114</v>
      </c>
      <c r="AF436">
        <v>1</v>
      </c>
      <c r="AG436">
        <v>452210</v>
      </c>
      <c r="AH436" t="s">
        <v>849</v>
      </c>
      <c r="AI436" t="s">
        <v>850</v>
      </c>
      <c r="AJ436" t="s">
        <v>851</v>
      </c>
      <c r="AK436" t="s">
        <v>279</v>
      </c>
      <c r="AL436" t="s">
        <v>1181</v>
      </c>
      <c r="AM436" t="s">
        <v>9113</v>
      </c>
      <c r="AN436" t="s">
        <v>854</v>
      </c>
      <c r="AO436">
        <v>36805</v>
      </c>
      <c r="AP436">
        <v>529</v>
      </c>
      <c r="AQ436" t="s">
        <v>855</v>
      </c>
      <c r="AR436">
        <v>66428144</v>
      </c>
      <c r="AS436" t="s">
        <v>856</v>
      </c>
      <c r="AU436" t="s">
        <v>9114</v>
      </c>
      <c r="AV436" t="s">
        <v>9115</v>
      </c>
      <c r="AW436" t="s">
        <v>950</v>
      </c>
      <c r="AX436" t="s">
        <v>951</v>
      </c>
      <c r="AY436" t="s">
        <v>861</v>
      </c>
      <c r="AZ436" t="s">
        <v>279</v>
      </c>
      <c r="BA436" t="s">
        <v>280</v>
      </c>
      <c r="BB436">
        <v>0</v>
      </c>
      <c r="BC436">
        <v>0</v>
      </c>
      <c r="BD436">
        <v>0</v>
      </c>
      <c r="BE436" t="s">
        <v>9108</v>
      </c>
      <c r="BF436">
        <v>0</v>
      </c>
      <c r="BG436">
        <v>0</v>
      </c>
      <c r="BH436" t="s">
        <v>862</v>
      </c>
      <c r="BI436">
        <v>0</v>
      </c>
      <c r="BJ436" t="s">
        <v>862</v>
      </c>
      <c r="BK436">
        <v>1</v>
      </c>
      <c r="BL436">
        <v>0</v>
      </c>
      <c r="BM436">
        <v>0</v>
      </c>
      <c r="BN436" t="s">
        <v>596</v>
      </c>
      <c r="BO436">
        <v>152946633</v>
      </c>
      <c r="BP436" t="s">
        <v>9107</v>
      </c>
      <c r="BQ436">
        <v>39.871174699999997</v>
      </c>
      <c r="BR436">
        <v>42791442</v>
      </c>
      <c r="BS436">
        <v>-86.145571899999993</v>
      </c>
      <c r="BT436">
        <v>2</v>
      </c>
      <c r="BU436" t="s">
        <v>1119</v>
      </c>
      <c r="BY436">
        <v>12</v>
      </c>
      <c r="CA436">
        <v>7</v>
      </c>
      <c r="CE436">
        <v>1</v>
      </c>
      <c r="CI436">
        <v>11</v>
      </c>
      <c r="CJ436" t="s">
        <v>94</v>
      </c>
      <c r="CM436">
        <v>4010</v>
      </c>
      <c r="CO436">
        <v>7360</v>
      </c>
      <c r="CP436">
        <v>0.16669999999999999</v>
      </c>
      <c r="CQ436">
        <v>0.16669999999999999</v>
      </c>
      <c r="CR436">
        <v>0.75</v>
      </c>
      <c r="CS436">
        <v>1</v>
      </c>
      <c r="CT436" t="s">
        <v>9116</v>
      </c>
      <c r="CU436" t="s">
        <v>9117</v>
      </c>
      <c r="CV436" t="s">
        <v>833</v>
      </c>
      <c r="CW436" t="s">
        <v>834</v>
      </c>
      <c r="CX436" t="s">
        <v>9108</v>
      </c>
      <c r="CY436">
        <v>0</v>
      </c>
      <c r="CZ436">
        <v>0</v>
      </c>
      <c r="DA436" t="s">
        <v>833</v>
      </c>
      <c r="DB436" t="s">
        <v>865</v>
      </c>
      <c r="DC436">
        <v>46220</v>
      </c>
      <c r="DD436">
        <v>6.5833000000000004</v>
      </c>
      <c r="DE436" t="s">
        <v>866</v>
      </c>
      <c r="DG436" t="s">
        <v>867</v>
      </c>
      <c r="DH436" t="s">
        <v>851</v>
      </c>
      <c r="DI436" t="s">
        <v>2828</v>
      </c>
      <c r="DK436" t="s">
        <v>918</v>
      </c>
      <c r="DL436" t="s">
        <v>869</v>
      </c>
      <c r="DM436">
        <v>0</v>
      </c>
      <c r="DN436">
        <v>0</v>
      </c>
      <c r="DO436">
        <v>2</v>
      </c>
      <c r="DP436" t="s">
        <v>870</v>
      </c>
      <c r="DQ436">
        <v>0</v>
      </c>
      <c r="DR436">
        <v>395</v>
      </c>
      <c r="DS436">
        <v>395</v>
      </c>
      <c r="DT436">
        <v>6.4166999999999996</v>
      </c>
      <c r="DU436">
        <v>0</v>
      </c>
      <c r="DV436">
        <v>1</v>
      </c>
      <c r="DW436">
        <v>1</v>
      </c>
      <c r="DX436" t="s">
        <v>594</v>
      </c>
      <c r="DY436" t="s">
        <v>9108</v>
      </c>
      <c r="DZ436">
        <v>1</v>
      </c>
      <c r="EA436">
        <v>1</v>
      </c>
      <c r="EB436">
        <v>1</v>
      </c>
      <c r="EC436">
        <v>1</v>
      </c>
      <c r="ED436">
        <v>1</v>
      </c>
      <c r="EE436">
        <v>1</v>
      </c>
      <c r="EF436" t="s">
        <v>920</v>
      </c>
      <c r="EG436" t="s">
        <v>595</v>
      </c>
      <c r="EH436" t="s">
        <v>1695</v>
      </c>
      <c r="EI436" t="s">
        <v>1695</v>
      </c>
      <c r="EJ436" t="s">
        <v>134</v>
      </c>
      <c r="EK436">
        <v>9090</v>
      </c>
      <c r="EL436">
        <v>0</v>
      </c>
      <c r="EM436" t="s">
        <v>1011</v>
      </c>
      <c r="EN436">
        <v>0.75</v>
      </c>
      <c r="EO436">
        <v>6.5833332999999996</v>
      </c>
      <c r="EP436">
        <v>99991120</v>
      </c>
      <c r="EQ436" t="s">
        <v>874</v>
      </c>
      <c r="ER436" t="s">
        <v>875</v>
      </c>
      <c r="ES436" t="s">
        <v>876</v>
      </c>
      <c r="ET436" t="s">
        <v>877</v>
      </c>
      <c r="EU436" t="s">
        <v>877</v>
      </c>
      <c r="EV436" t="s">
        <v>920</v>
      </c>
      <c r="EX436" t="s">
        <v>953</v>
      </c>
      <c r="EY436" t="s">
        <v>1555</v>
      </c>
      <c r="EZ436" t="s">
        <v>1013</v>
      </c>
      <c r="FA436" t="s">
        <v>925</v>
      </c>
      <c r="FB436">
        <v>1</v>
      </c>
      <c r="FC436">
        <v>1</v>
      </c>
      <c r="FD436" s="41">
        <v>46137</v>
      </c>
      <c r="FE436" t="s">
        <v>1123</v>
      </c>
      <c r="FF436">
        <v>5</v>
      </c>
      <c r="FI436">
        <v>0</v>
      </c>
      <c r="FJ436" t="s">
        <v>9118</v>
      </c>
      <c r="FK436" t="s">
        <v>9119</v>
      </c>
      <c r="FL436">
        <v>1</v>
      </c>
      <c r="FM436" t="s">
        <v>9120</v>
      </c>
      <c r="FN436" t="s">
        <v>9121</v>
      </c>
      <c r="FO436">
        <v>1</v>
      </c>
      <c r="FP436" t="s">
        <v>9122</v>
      </c>
      <c r="FQ436" t="s">
        <v>9117</v>
      </c>
      <c r="FR436">
        <v>1</v>
      </c>
      <c r="FS436" t="s">
        <v>1196</v>
      </c>
      <c r="FT436" t="s">
        <v>9123</v>
      </c>
      <c r="FU436">
        <v>1</v>
      </c>
      <c r="FV436" t="s">
        <v>9118</v>
      </c>
      <c r="FW436" t="s">
        <v>9119</v>
      </c>
      <c r="FX436">
        <v>1</v>
      </c>
      <c r="FY436" t="s">
        <v>890</v>
      </c>
      <c r="FZ436" t="s">
        <v>9124</v>
      </c>
      <c r="GA436" t="s">
        <v>9118</v>
      </c>
      <c r="GB436">
        <v>1</v>
      </c>
      <c r="GD436">
        <v>0</v>
      </c>
      <c r="GF436">
        <v>0</v>
      </c>
      <c r="GG436">
        <v>1</v>
      </c>
      <c r="GH436" t="s">
        <v>892</v>
      </c>
      <c r="GI436" t="s">
        <v>893</v>
      </c>
      <c r="GJ436" t="s">
        <v>9119</v>
      </c>
      <c r="GM436">
        <v>1</v>
      </c>
      <c r="GN436">
        <v>1</v>
      </c>
      <c r="GO436">
        <v>0</v>
      </c>
      <c r="GP436">
        <v>1</v>
      </c>
      <c r="GQ436">
        <v>1</v>
      </c>
      <c r="GR436">
        <v>0</v>
      </c>
      <c r="GS436">
        <v>1</v>
      </c>
      <c r="GT436">
        <v>0</v>
      </c>
      <c r="GU436">
        <v>1</v>
      </c>
      <c r="GV436">
        <v>0</v>
      </c>
      <c r="GW436">
        <v>1</v>
      </c>
      <c r="GX436">
        <v>0</v>
      </c>
      <c r="GY436">
        <v>1</v>
      </c>
      <c r="GZ436">
        <v>0</v>
      </c>
      <c r="HA436" t="s">
        <v>279</v>
      </c>
      <c r="HB436" t="s">
        <v>894</v>
      </c>
      <c r="HC436" t="s">
        <v>935</v>
      </c>
      <c r="HD436" t="s">
        <v>845</v>
      </c>
      <c r="HE436" t="s">
        <v>900</v>
      </c>
      <c r="HF436" t="s">
        <v>1012</v>
      </c>
      <c r="HG436" t="s">
        <v>894</v>
      </c>
      <c r="HH436" t="s">
        <v>935</v>
      </c>
      <c r="HI436" t="s">
        <v>845</v>
      </c>
      <c r="HJ436" t="s">
        <v>900</v>
      </c>
      <c r="HK436" t="s">
        <v>1011</v>
      </c>
      <c r="HL436" t="s">
        <v>133</v>
      </c>
      <c r="HM436" t="s">
        <v>854</v>
      </c>
      <c r="HN436">
        <v>36805</v>
      </c>
      <c r="HP436" t="s">
        <v>134</v>
      </c>
      <c r="HQ436" t="s">
        <v>896</v>
      </c>
      <c r="HR436" t="s">
        <v>896</v>
      </c>
      <c r="HS436" t="s">
        <v>896</v>
      </c>
    </row>
    <row r="437" spans="1:227" x14ac:dyDescent="0.2">
      <c r="A437">
        <v>8702</v>
      </c>
      <c r="B437">
        <v>7620804260</v>
      </c>
      <c r="C437">
        <v>34</v>
      </c>
      <c r="D437" t="s">
        <v>996</v>
      </c>
      <c r="E437" t="s">
        <v>897</v>
      </c>
      <c r="F437">
        <v>1</v>
      </c>
      <c r="G437" t="s">
        <v>9125</v>
      </c>
      <c r="H437" t="s">
        <v>9125</v>
      </c>
      <c r="I437">
        <v>0</v>
      </c>
      <c r="J437" t="s">
        <v>833</v>
      </c>
      <c r="K437" t="s">
        <v>834</v>
      </c>
      <c r="L437">
        <v>153589123</v>
      </c>
      <c r="M437" t="s">
        <v>9126</v>
      </c>
      <c r="N437" t="s">
        <v>900</v>
      </c>
      <c r="O437" t="s">
        <v>837</v>
      </c>
      <c r="P437" t="s">
        <v>999</v>
      </c>
      <c r="Q437" t="s">
        <v>1027</v>
      </c>
      <c r="R437" t="s">
        <v>9127</v>
      </c>
      <c r="S437" t="s">
        <v>9128</v>
      </c>
      <c r="T437">
        <v>41477056615</v>
      </c>
      <c r="V437" t="s">
        <v>3107</v>
      </c>
      <c r="W437" s="41">
        <v>46230</v>
      </c>
      <c r="X437" t="s">
        <v>9129</v>
      </c>
      <c r="Y437" t="s">
        <v>9130</v>
      </c>
      <c r="AA437">
        <v>0</v>
      </c>
      <c r="AB437" t="s">
        <v>845</v>
      </c>
      <c r="AC437" t="s">
        <v>846</v>
      </c>
      <c r="AD437" t="s">
        <v>907</v>
      </c>
      <c r="AE437" t="s">
        <v>908</v>
      </c>
      <c r="AF437">
        <v>1</v>
      </c>
      <c r="AG437">
        <v>452210</v>
      </c>
      <c r="AH437" t="s">
        <v>849</v>
      </c>
      <c r="AI437" t="s">
        <v>850</v>
      </c>
      <c r="AJ437" t="s">
        <v>851</v>
      </c>
      <c r="AK437" t="s">
        <v>275</v>
      </c>
      <c r="AL437" t="s">
        <v>3110</v>
      </c>
      <c r="AM437" t="s">
        <v>3111</v>
      </c>
      <c r="AN437" t="s">
        <v>854</v>
      </c>
      <c r="AO437">
        <v>36805</v>
      </c>
      <c r="AP437">
        <v>921</v>
      </c>
      <c r="AQ437" t="s">
        <v>855</v>
      </c>
      <c r="AR437">
        <v>66569123</v>
      </c>
      <c r="AS437" t="s">
        <v>856</v>
      </c>
      <c r="AU437" t="s">
        <v>9131</v>
      </c>
      <c r="AV437" t="s">
        <v>9132</v>
      </c>
      <c r="AW437" t="s">
        <v>859</v>
      </c>
      <c r="AX437" t="s">
        <v>860</v>
      </c>
      <c r="AY437" t="s">
        <v>861</v>
      </c>
      <c r="AZ437" t="s">
        <v>275</v>
      </c>
      <c r="BA437" t="s">
        <v>276</v>
      </c>
      <c r="BB437">
        <v>0</v>
      </c>
      <c r="BC437">
        <v>0</v>
      </c>
      <c r="BD437">
        <v>1</v>
      </c>
      <c r="BE437" t="s">
        <v>9126</v>
      </c>
      <c r="BF437">
        <v>0</v>
      </c>
      <c r="BG437">
        <v>0</v>
      </c>
      <c r="BH437" t="s">
        <v>862</v>
      </c>
      <c r="BI437">
        <v>0</v>
      </c>
      <c r="BJ437" t="s">
        <v>862</v>
      </c>
      <c r="BK437">
        <v>1</v>
      </c>
      <c r="BL437">
        <v>0</v>
      </c>
      <c r="BM437">
        <v>0</v>
      </c>
      <c r="BN437" t="s">
        <v>596</v>
      </c>
      <c r="BO437">
        <v>153589123</v>
      </c>
      <c r="BP437" t="s">
        <v>9125</v>
      </c>
      <c r="BQ437">
        <v>39.272201799999998</v>
      </c>
      <c r="BR437">
        <v>42793646</v>
      </c>
      <c r="BS437">
        <v>-84.330679000000003</v>
      </c>
      <c r="BT437">
        <v>2</v>
      </c>
      <c r="BU437" t="s">
        <v>1062</v>
      </c>
      <c r="BY437">
        <v>12</v>
      </c>
      <c r="CA437">
        <v>3</v>
      </c>
      <c r="CE437">
        <v>1</v>
      </c>
      <c r="CI437">
        <v>11</v>
      </c>
      <c r="CJ437" t="s">
        <v>94</v>
      </c>
      <c r="CM437">
        <v>4010</v>
      </c>
      <c r="CO437">
        <v>7360</v>
      </c>
      <c r="CP437">
        <v>0.81669999999999998</v>
      </c>
      <c r="CQ437">
        <v>0.81669999999999998</v>
      </c>
      <c r="CR437">
        <v>0.86670000000000003</v>
      </c>
      <c r="CS437">
        <v>5</v>
      </c>
      <c r="CT437" t="s">
        <v>9132</v>
      </c>
      <c r="CU437" t="s">
        <v>9131</v>
      </c>
      <c r="CV437" t="s">
        <v>833</v>
      </c>
      <c r="CW437" t="s">
        <v>834</v>
      </c>
      <c r="CX437" t="s">
        <v>9126</v>
      </c>
      <c r="CY437">
        <v>1</v>
      </c>
      <c r="CZ437">
        <v>1</v>
      </c>
      <c r="DA437" t="s">
        <v>833</v>
      </c>
      <c r="DB437" t="s">
        <v>865</v>
      </c>
      <c r="DC437">
        <v>45249</v>
      </c>
      <c r="DD437">
        <v>3.3666999999999998</v>
      </c>
      <c r="DE437" t="s">
        <v>866</v>
      </c>
      <c r="DG437" t="s">
        <v>867</v>
      </c>
      <c r="DH437" t="s">
        <v>851</v>
      </c>
      <c r="DI437" t="s">
        <v>2534</v>
      </c>
      <c r="DK437" t="s">
        <v>918</v>
      </c>
      <c r="DL437" t="s">
        <v>869</v>
      </c>
      <c r="DM437">
        <v>0</v>
      </c>
      <c r="DN437">
        <v>0</v>
      </c>
      <c r="DO437">
        <v>11</v>
      </c>
      <c r="DP437" t="s">
        <v>1010</v>
      </c>
      <c r="DQ437">
        <v>12</v>
      </c>
      <c r="DR437">
        <v>202</v>
      </c>
      <c r="DS437">
        <v>202</v>
      </c>
      <c r="DT437">
        <v>2.5499999999999998</v>
      </c>
      <c r="DU437">
        <v>4</v>
      </c>
      <c r="DV437">
        <v>1</v>
      </c>
      <c r="DW437">
        <v>1</v>
      </c>
      <c r="DX437" t="s">
        <v>594</v>
      </c>
      <c r="DY437" t="s">
        <v>9126</v>
      </c>
      <c r="DZ437">
        <v>0</v>
      </c>
      <c r="EA437">
        <v>0</v>
      </c>
      <c r="EB437">
        <v>0</v>
      </c>
      <c r="EC437">
        <v>0</v>
      </c>
      <c r="ED437">
        <v>0</v>
      </c>
      <c r="EE437">
        <v>0</v>
      </c>
      <c r="EF437" t="s">
        <v>920</v>
      </c>
      <c r="EG437" t="s">
        <v>595</v>
      </c>
      <c r="EH437" t="s">
        <v>1695</v>
      </c>
      <c r="EI437" t="s">
        <v>1695</v>
      </c>
      <c r="EJ437" t="s">
        <v>226</v>
      </c>
      <c r="EK437">
        <v>9090</v>
      </c>
      <c r="EL437">
        <v>0</v>
      </c>
      <c r="EM437" t="s">
        <v>1157</v>
      </c>
      <c r="EN437">
        <v>0.86670000000000003</v>
      </c>
      <c r="EO437">
        <v>3.3666667000000001</v>
      </c>
      <c r="EP437">
        <v>99991120</v>
      </c>
      <c r="EQ437" t="s">
        <v>874</v>
      </c>
      <c r="ER437" t="s">
        <v>875</v>
      </c>
      <c r="ES437" t="s">
        <v>876</v>
      </c>
      <c r="ET437" t="s">
        <v>877</v>
      </c>
      <c r="EU437" t="s">
        <v>877</v>
      </c>
      <c r="EV437" t="s">
        <v>920</v>
      </c>
      <c r="EX437" t="s">
        <v>900</v>
      </c>
      <c r="EY437" t="s">
        <v>923</v>
      </c>
      <c r="EZ437" t="s">
        <v>3116</v>
      </c>
      <c r="FA437" t="s">
        <v>925</v>
      </c>
      <c r="FB437">
        <v>1</v>
      </c>
      <c r="FC437">
        <v>1</v>
      </c>
      <c r="FD437" s="41">
        <v>46235</v>
      </c>
      <c r="FE437" t="s">
        <v>1066</v>
      </c>
      <c r="FF437">
        <v>8</v>
      </c>
      <c r="FG437" t="s">
        <v>9133</v>
      </c>
      <c r="FH437" t="s">
        <v>9134</v>
      </c>
      <c r="FI437">
        <v>1</v>
      </c>
      <c r="FJ437" t="s">
        <v>9133</v>
      </c>
      <c r="FK437" t="s">
        <v>9134</v>
      </c>
      <c r="FL437">
        <v>1</v>
      </c>
      <c r="FM437" t="s">
        <v>9135</v>
      </c>
      <c r="FN437" t="s">
        <v>9136</v>
      </c>
      <c r="FO437">
        <v>1</v>
      </c>
      <c r="FP437" t="s">
        <v>9137</v>
      </c>
      <c r="FQ437" t="s">
        <v>9131</v>
      </c>
      <c r="FR437">
        <v>1</v>
      </c>
      <c r="FS437" t="s">
        <v>9138</v>
      </c>
      <c r="FT437" t="s">
        <v>9139</v>
      </c>
      <c r="FU437">
        <v>1</v>
      </c>
      <c r="FV437" t="s">
        <v>9140</v>
      </c>
      <c r="FW437" t="s">
        <v>9141</v>
      </c>
      <c r="FX437">
        <v>1</v>
      </c>
      <c r="FY437" t="s">
        <v>890</v>
      </c>
      <c r="FZ437" t="s">
        <v>9142</v>
      </c>
      <c r="GA437" t="s">
        <v>9133</v>
      </c>
      <c r="GB437">
        <v>1</v>
      </c>
      <c r="GD437">
        <v>0</v>
      </c>
      <c r="GF437">
        <v>0</v>
      </c>
      <c r="GG437">
        <v>1</v>
      </c>
      <c r="GH437" t="s">
        <v>892</v>
      </c>
      <c r="GI437" t="s">
        <v>893</v>
      </c>
      <c r="GJ437" t="s">
        <v>9134</v>
      </c>
      <c r="GM437">
        <v>1</v>
      </c>
      <c r="GN437">
        <v>1</v>
      </c>
      <c r="GO437">
        <v>0</v>
      </c>
      <c r="GP437">
        <v>1</v>
      </c>
      <c r="GQ437">
        <v>1</v>
      </c>
      <c r="GR437">
        <v>0</v>
      </c>
      <c r="GS437">
        <v>1</v>
      </c>
      <c r="GT437">
        <v>0</v>
      </c>
      <c r="GU437">
        <v>1</v>
      </c>
      <c r="GV437">
        <v>0</v>
      </c>
      <c r="GW437">
        <v>1</v>
      </c>
      <c r="GX437">
        <v>0</v>
      </c>
      <c r="GY437">
        <v>1</v>
      </c>
      <c r="GZ437">
        <v>0</v>
      </c>
      <c r="HA437" t="s">
        <v>275</v>
      </c>
      <c r="HB437" t="s">
        <v>894</v>
      </c>
      <c r="HC437" t="s">
        <v>935</v>
      </c>
      <c r="HD437" t="s">
        <v>845</v>
      </c>
      <c r="HE437" t="s">
        <v>900</v>
      </c>
      <c r="HF437" t="s">
        <v>923</v>
      </c>
      <c r="HG437" t="s">
        <v>894</v>
      </c>
      <c r="HH437" t="s">
        <v>935</v>
      </c>
      <c r="HI437" t="s">
        <v>845</v>
      </c>
      <c r="HJ437" t="s">
        <v>900</v>
      </c>
      <c r="HK437" t="s">
        <v>922</v>
      </c>
      <c r="HL437" t="s">
        <v>3107</v>
      </c>
      <c r="HM437" t="s">
        <v>854</v>
      </c>
      <c r="HN437">
        <v>36805</v>
      </c>
      <c r="HP437" t="s">
        <v>226</v>
      </c>
      <c r="HQ437" t="s">
        <v>896</v>
      </c>
      <c r="HR437" t="s">
        <v>896</v>
      </c>
      <c r="HS437" t="s">
        <v>896</v>
      </c>
    </row>
    <row r="438" spans="1:227" x14ac:dyDescent="0.2">
      <c r="A438">
        <v>8702</v>
      </c>
      <c r="B438">
        <v>7612905155</v>
      </c>
      <c r="C438">
        <v>34</v>
      </c>
      <c r="D438" t="s">
        <v>996</v>
      </c>
      <c r="E438" t="s">
        <v>897</v>
      </c>
      <c r="F438">
        <v>0</v>
      </c>
      <c r="G438" t="s">
        <v>9143</v>
      </c>
      <c r="H438" t="s">
        <v>9143</v>
      </c>
      <c r="I438">
        <v>0</v>
      </c>
      <c r="J438" t="s">
        <v>833</v>
      </c>
      <c r="K438" t="s">
        <v>834</v>
      </c>
      <c r="L438">
        <v>152946713</v>
      </c>
      <c r="M438" t="s">
        <v>9144</v>
      </c>
      <c r="N438" t="s">
        <v>900</v>
      </c>
      <c r="O438" t="s">
        <v>837</v>
      </c>
      <c r="P438" t="s">
        <v>999</v>
      </c>
      <c r="Q438" t="s">
        <v>1027</v>
      </c>
      <c r="R438" t="s">
        <v>9145</v>
      </c>
      <c r="S438" t="s">
        <v>9146</v>
      </c>
      <c r="T438">
        <v>30300136758</v>
      </c>
      <c r="V438" t="s">
        <v>200</v>
      </c>
      <c r="W438" s="41">
        <v>46151</v>
      </c>
      <c r="X438" t="s">
        <v>9147</v>
      </c>
      <c r="Y438" t="s">
        <v>9148</v>
      </c>
      <c r="AA438">
        <v>0</v>
      </c>
      <c r="AB438" t="s">
        <v>845</v>
      </c>
      <c r="AC438" t="s">
        <v>846</v>
      </c>
      <c r="AD438" t="s">
        <v>1113</v>
      </c>
      <c r="AE438" t="s">
        <v>1114</v>
      </c>
      <c r="AF438">
        <v>1</v>
      </c>
      <c r="AG438">
        <v>452210</v>
      </c>
      <c r="AH438" t="s">
        <v>849</v>
      </c>
      <c r="AI438" t="s">
        <v>850</v>
      </c>
      <c r="AJ438" t="s">
        <v>851</v>
      </c>
      <c r="AK438" t="s">
        <v>267</v>
      </c>
      <c r="AL438" t="s">
        <v>3244</v>
      </c>
      <c r="AM438" t="s">
        <v>3245</v>
      </c>
      <c r="AN438" t="s">
        <v>854</v>
      </c>
      <c r="AO438">
        <v>36805</v>
      </c>
      <c r="AP438">
        <v>642</v>
      </c>
      <c r="AQ438" t="s">
        <v>855</v>
      </c>
      <c r="AR438">
        <v>66455262</v>
      </c>
      <c r="AS438" t="s">
        <v>856</v>
      </c>
      <c r="AU438" t="s">
        <v>9149</v>
      </c>
      <c r="AV438" t="s">
        <v>9150</v>
      </c>
      <c r="AX438" t="s">
        <v>913</v>
      </c>
      <c r="AY438" t="s">
        <v>861</v>
      </c>
      <c r="AZ438" t="s">
        <v>267</v>
      </c>
      <c r="BA438" t="s">
        <v>268</v>
      </c>
      <c r="BB438">
        <v>0</v>
      </c>
      <c r="BC438">
        <v>0</v>
      </c>
      <c r="BD438">
        <v>1</v>
      </c>
      <c r="BE438" t="s">
        <v>9144</v>
      </c>
      <c r="BF438">
        <v>0</v>
      </c>
      <c r="BG438">
        <v>0</v>
      </c>
      <c r="BH438" t="s">
        <v>862</v>
      </c>
      <c r="BI438">
        <v>0</v>
      </c>
      <c r="BJ438" t="s">
        <v>862</v>
      </c>
      <c r="BK438">
        <v>1</v>
      </c>
      <c r="BL438">
        <v>1</v>
      </c>
      <c r="BM438">
        <v>0</v>
      </c>
      <c r="BN438" t="s">
        <v>596</v>
      </c>
      <c r="BO438">
        <v>152946713</v>
      </c>
      <c r="BP438" t="s">
        <v>9143</v>
      </c>
      <c r="BQ438">
        <v>42.397340499999999</v>
      </c>
      <c r="BR438">
        <v>42791773</v>
      </c>
      <c r="BS438">
        <v>-83.480403699999997</v>
      </c>
      <c r="BT438">
        <v>2</v>
      </c>
      <c r="BU438" t="s">
        <v>1803</v>
      </c>
      <c r="BY438">
        <v>16</v>
      </c>
      <c r="CA438">
        <v>1</v>
      </c>
      <c r="CE438">
        <v>1</v>
      </c>
      <c r="CI438">
        <v>11</v>
      </c>
      <c r="CJ438" t="s">
        <v>94</v>
      </c>
      <c r="CM438">
        <v>4010</v>
      </c>
      <c r="CO438">
        <v>7360</v>
      </c>
      <c r="CP438">
        <v>0.41670000000000001</v>
      </c>
      <c r="CQ438">
        <v>0.41670000000000001</v>
      </c>
      <c r="CR438">
        <v>0</v>
      </c>
      <c r="CS438">
        <v>1</v>
      </c>
      <c r="CT438" t="s">
        <v>9150</v>
      </c>
      <c r="CU438" t="s">
        <v>9149</v>
      </c>
      <c r="CV438" t="s">
        <v>833</v>
      </c>
      <c r="CW438" t="s">
        <v>834</v>
      </c>
      <c r="CX438" t="s">
        <v>9144</v>
      </c>
      <c r="CY438">
        <v>1</v>
      </c>
      <c r="CZ438">
        <v>1</v>
      </c>
      <c r="DA438" t="s">
        <v>833</v>
      </c>
      <c r="DB438" t="s">
        <v>865</v>
      </c>
      <c r="DC438">
        <v>48168</v>
      </c>
      <c r="DD438">
        <v>0.61670000000000003</v>
      </c>
      <c r="DE438" t="s">
        <v>866</v>
      </c>
      <c r="DG438" t="s">
        <v>867</v>
      </c>
      <c r="DH438" t="s">
        <v>851</v>
      </c>
      <c r="DI438" t="s">
        <v>1806</v>
      </c>
      <c r="DK438" t="s">
        <v>918</v>
      </c>
      <c r="DL438" t="s">
        <v>869</v>
      </c>
      <c r="DM438">
        <v>0</v>
      </c>
      <c r="DN438">
        <v>0</v>
      </c>
      <c r="DO438">
        <v>11</v>
      </c>
      <c r="DP438" t="s">
        <v>1010</v>
      </c>
      <c r="DQ438">
        <v>0</v>
      </c>
      <c r="DR438">
        <v>37</v>
      </c>
      <c r="DS438">
        <v>37</v>
      </c>
      <c r="DT438">
        <v>0.2</v>
      </c>
      <c r="DU438">
        <v>0</v>
      </c>
      <c r="DV438">
        <v>1</v>
      </c>
      <c r="DW438">
        <v>2</v>
      </c>
      <c r="DX438" t="s">
        <v>596</v>
      </c>
      <c r="DY438" t="s">
        <v>9144</v>
      </c>
      <c r="DZ438">
        <v>1</v>
      </c>
      <c r="EA438">
        <v>1</v>
      </c>
      <c r="EB438">
        <v>1</v>
      </c>
      <c r="EC438">
        <v>1</v>
      </c>
      <c r="ED438">
        <v>1</v>
      </c>
      <c r="EE438">
        <v>1</v>
      </c>
      <c r="EF438" t="s">
        <v>920</v>
      </c>
      <c r="EG438" t="s">
        <v>595</v>
      </c>
      <c r="EH438" t="s">
        <v>921</v>
      </c>
      <c r="EI438" t="s">
        <v>921</v>
      </c>
      <c r="EJ438" t="s">
        <v>178</v>
      </c>
      <c r="EK438">
        <v>9090</v>
      </c>
      <c r="EL438">
        <v>0</v>
      </c>
      <c r="EM438" t="s">
        <v>952</v>
      </c>
      <c r="EN438">
        <v>0</v>
      </c>
      <c r="EO438">
        <v>0.61666670000000001</v>
      </c>
      <c r="EP438">
        <v>99991120</v>
      </c>
      <c r="EQ438" t="s">
        <v>874</v>
      </c>
      <c r="ER438" t="s">
        <v>875</v>
      </c>
      <c r="ES438" t="s">
        <v>876</v>
      </c>
      <c r="ET438" t="s">
        <v>877</v>
      </c>
      <c r="EU438" t="s">
        <v>877</v>
      </c>
      <c r="EV438" t="s">
        <v>920</v>
      </c>
      <c r="EX438" t="s">
        <v>953</v>
      </c>
      <c r="EY438" t="s">
        <v>954</v>
      </c>
      <c r="EZ438" t="s">
        <v>955</v>
      </c>
      <c r="FA438" t="s">
        <v>956</v>
      </c>
      <c r="FB438">
        <v>1</v>
      </c>
      <c r="FC438">
        <v>1</v>
      </c>
      <c r="FD438" s="41">
        <v>46151</v>
      </c>
      <c r="FE438" t="s">
        <v>1808</v>
      </c>
      <c r="FF438">
        <v>4</v>
      </c>
      <c r="FI438">
        <v>0</v>
      </c>
      <c r="FL438">
        <v>0</v>
      </c>
      <c r="FM438" t="s">
        <v>9151</v>
      </c>
      <c r="FN438" t="s">
        <v>9152</v>
      </c>
      <c r="FO438">
        <v>1</v>
      </c>
      <c r="FP438" t="s">
        <v>9153</v>
      </c>
      <c r="FQ438" t="s">
        <v>9149</v>
      </c>
      <c r="FR438">
        <v>1</v>
      </c>
      <c r="FS438" t="s">
        <v>3249</v>
      </c>
      <c r="FT438" t="s">
        <v>9154</v>
      </c>
      <c r="FU438">
        <v>1</v>
      </c>
      <c r="FV438" t="s">
        <v>9155</v>
      </c>
      <c r="FW438" t="s">
        <v>9156</v>
      </c>
      <c r="FX438">
        <v>1</v>
      </c>
      <c r="FY438" t="s">
        <v>890</v>
      </c>
      <c r="FZ438" t="s">
        <v>9157</v>
      </c>
      <c r="GA438" t="s">
        <v>9155</v>
      </c>
      <c r="GB438">
        <v>1</v>
      </c>
      <c r="GD438">
        <v>0</v>
      </c>
      <c r="GF438">
        <v>0</v>
      </c>
      <c r="GG438">
        <v>1</v>
      </c>
      <c r="GH438" t="s">
        <v>892</v>
      </c>
      <c r="GI438" t="s">
        <v>893</v>
      </c>
      <c r="GJ438" t="s">
        <v>9156</v>
      </c>
      <c r="GM438">
        <v>1</v>
      </c>
      <c r="GN438">
        <v>1</v>
      </c>
      <c r="GO438">
        <v>0</v>
      </c>
      <c r="GP438">
        <v>1</v>
      </c>
      <c r="GQ438">
        <v>1</v>
      </c>
      <c r="GR438">
        <v>0</v>
      </c>
      <c r="GS438">
        <v>1</v>
      </c>
      <c r="GT438">
        <v>0</v>
      </c>
      <c r="GU438">
        <v>1</v>
      </c>
      <c r="GV438">
        <v>0</v>
      </c>
      <c r="GW438">
        <v>1</v>
      </c>
      <c r="GX438">
        <v>0</v>
      </c>
      <c r="GY438">
        <v>1</v>
      </c>
      <c r="GZ438">
        <v>0</v>
      </c>
      <c r="HA438" t="s">
        <v>267</v>
      </c>
      <c r="HB438" t="s">
        <v>894</v>
      </c>
      <c r="HC438" t="s">
        <v>935</v>
      </c>
      <c r="HD438" t="s">
        <v>845</v>
      </c>
      <c r="HE438" t="s">
        <v>900</v>
      </c>
      <c r="HF438" t="s">
        <v>923</v>
      </c>
      <c r="HG438" t="s">
        <v>894</v>
      </c>
      <c r="HH438" t="s">
        <v>935</v>
      </c>
      <c r="HI438" t="s">
        <v>845</v>
      </c>
      <c r="HJ438" t="s">
        <v>900</v>
      </c>
      <c r="HK438" t="s">
        <v>952</v>
      </c>
      <c r="HL438" t="s">
        <v>200</v>
      </c>
      <c r="HM438" t="s">
        <v>854</v>
      </c>
      <c r="HN438">
        <v>36805</v>
      </c>
      <c r="HP438" t="s">
        <v>178</v>
      </c>
      <c r="HQ438" t="s">
        <v>896</v>
      </c>
      <c r="HR438" t="s">
        <v>896</v>
      </c>
      <c r="HS438" t="s">
        <v>896</v>
      </c>
    </row>
    <row r="439" spans="1:227" x14ac:dyDescent="0.2">
      <c r="A439">
        <v>8702</v>
      </c>
      <c r="B439">
        <v>7607105720</v>
      </c>
      <c r="C439" t="s">
        <v>829</v>
      </c>
      <c r="D439" t="s">
        <v>830</v>
      </c>
      <c r="E439" t="s">
        <v>897</v>
      </c>
      <c r="F439">
        <v>0</v>
      </c>
      <c r="G439" t="s">
        <v>9158</v>
      </c>
      <c r="H439" t="s">
        <v>9158</v>
      </c>
      <c r="I439">
        <v>0</v>
      </c>
      <c r="J439" t="s">
        <v>833</v>
      </c>
      <c r="K439" t="s">
        <v>834</v>
      </c>
      <c r="L439">
        <v>153524566</v>
      </c>
      <c r="M439" t="s">
        <v>9159</v>
      </c>
      <c r="N439" t="s">
        <v>900</v>
      </c>
      <c r="O439" t="s">
        <v>837</v>
      </c>
      <c r="P439" t="s">
        <v>838</v>
      </c>
      <c r="Q439" t="s">
        <v>1279</v>
      </c>
      <c r="R439" t="s">
        <v>9160</v>
      </c>
      <c r="S439" t="s">
        <v>9161</v>
      </c>
      <c r="T439">
        <v>41477121859</v>
      </c>
      <c r="V439" t="s">
        <v>150</v>
      </c>
      <c r="W439" s="41">
        <v>46095</v>
      </c>
      <c r="X439" t="s">
        <v>9162</v>
      </c>
      <c r="Y439" t="s">
        <v>9163</v>
      </c>
      <c r="Z439" t="s">
        <v>1156</v>
      </c>
      <c r="AA439">
        <v>0</v>
      </c>
      <c r="AB439" t="s">
        <v>845</v>
      </c>
      <c r="AC439" t="s">
        <v>846</v>
      </c>
      <c r="AD439" t="s">
        <v>1113</v>
      </c>
      <c r="AE439" t="s">
        <v>1114</v>
      </c>
      <c r="AF439">
        <v>1</v>
      </c>
      <c r="AG439">
        <v>452210</v>
      </c>
      <c r="AH439" t="s">
        <v>849</v>
      </c>
      <c r="AI439" t="s">
        <v>850</v>
      </c>
      <c r="AJ439" t="s">
        <v>851</v>
      </c>
      <c r="AK439" t="s">
        <v>490</v>
      </c>
      <c r="AL439" t="s">
        <v>9164</v>
      </c>
      <c r="AM439" t="s">
        <v>2061</v>
      </c>
      <c r="AN439" t="s">
        <v>854</v>
      </c>
      <c r="AO439">
        <v>36805</v>
      </c>
      <c r="AP439">
        <v>533</v>
      </c>
      <c r="AQ439" t="s">
        <v>855</v>
      </c>
      <c r="AR439">
        <v>66374957</v>
      </c>
      <c r="AS439" t="s">
        <v>856</v>
      </c>
      <c r="AU439" t="s">
        <v>9165</v>
      </c>
      <c r="AV439" t="s">
        <v>9166</v>
      </c>
      <c r="AW439" t="s">
        <v>859</v>
      </c>
      <c r="AX439" t="s">
        <v>860</v>
      </c>
      <c r="AY439" t="s">
        <v>861</v>
      </c>
      <c r="AZ439" t="s">
        <v>490</v>
      </c>
      <c r="BA439" t="s">
        <v>491</v>
      </c>
      <c r="BB439">
        <v>0</v>
      </c>
      <c r="BC439">
        <v>0</v>
      </c>
      <c r="BD439">
        <v>0</v>
      </c>
      <c r="BE439" t="s">
        <v>9159</v>
      </c>
      <c r="BF439">
        <v>0</v>
      </c>
      <c r="BG439">
        <v>0</v>
      </c>
      <c r="BH439" t="s">
        <v>862</v>
      </c>
      <c r="BI439">
        <v>0</v>
      </c>
      <c r="BJ439" t="s">
        <v>862</v>
      </c>
      <c r="BK439">
        <v>1</v>
      </c>
      <c r="BL439">
        <v>0</v>
      </c>
      <c r="BM439">
        <v>0</v>
      </c>
      <c r="BN439" t="s">
        <v>596</v>
      </c>
      <c r="BO439">
        <v>153524566</v>
      </c>
      <c r="BP439" t="s">
        <v>9158</v>
      </c>
      <c r="BR439">
        <v>42791448</v>
      </c>
      <c r="BT439">
        <v>1</v>
      </c>
      <c r="BU439" t="s">
        <v>1715</v>
      </c>
      <c r="BY439">
        <v>16</v>
      </c>
      <c r="CA439">
        <v>30</v>
      </c>
      <c r="CI439">
        <v>11</v>
      </c>
      <c r="CJ439" t="s">
        <v>94</v>
      </c>
      <c r="CM439">
        <v>4010</v>
      </c>
      <c r="CO439">
        <v>7360</v>
      </c>
      <c r="CP439">
        <v>0.05</v>
      </c>
      <c r="CQ439">
        <v>0.05</v>
      </c>
      <c r="CR439">
        <v>1.3667</v>
      </c>
      <c r="CS439">
        <v>2</v>
      </c>
      <c r="CT439" t="s">
        <v>9166</v>
      </c>
      <c r="CU439" t="s">
        <v>9165</v>
      </c>
      <c r="CV439" t="s">
        <v>833</v>
      </c>
      <c r="CW439" t="s">
        <v>834</v>
      </c>
      <c r="CX439" t="s">
        <v>9159</v>
      </c>
      <c r="CY439">
        <v>0</v>
      </c>
      <c r="CZ439">
        <v>0</v>
      </c>
      <c r="DA439" t="s">
        <v>833</v>
      </c>
      <c r="DB439" t="s">
        <v>865</v>
      </c>
      <c r="DC439">
        <v>47802</v>
      </c>
      <c r="DD439">
        <v>30.05</v>
      </c>
      <c r="DE439" t="s">
        <v>866</v>
      </c>
      <c r="DG439" t="s">
        <v>867</v>
      </c>
      <c r="DH439" t="s">
        <v>851</v>
      </c>
      <c r="DI439" t="s">
        <v>1266</v>
      </c>
      <c r="DJ439">
        <v>533</v>
      </c>
      <c r="DK439" t="s">
        <v>918</v>
      </c>
      <c r="DL439" t="s">
        <v>869</v>
      </c>
      <c r="DM439">
        <v>0</v>
      </c>
      <c r="DN439">
        <v>0</v>
      </c>
      <c r="DO439">
        <v>53</v>
      </c>
      <c r="DP439" t="s">
        <v>1156</v>
      </c>
      <c r="DQ439">
        <v>0</v>
      </c>
      <c r="DR439">
        <v>1803</v>
      </c>
      <c r="DS439">
        <v>3243</v>
      </c>
      <c r="DT439">
        <v>30</v>
      </c>
      <c r="DU439">
        <v>0</v>
      </c>
      <c r="DV439">
        <v>1</v>
      </c>
      <c r="DW439">
        <v>2</v>
      </c>
      <c r="DX439" t="s">
        <v>594</v>
      </c>
      <c r="DY439" t="s">
        <v>9159</v>
      </c>
      <c r="DZ439">
        <v>1</v>
      </c>
      <c r="EA439">
        <v>1</v>
      </c>
      <c r="EB439">
        <v>1</v>
      </c>
      <c r="EC439">
        <v>1</v>
      </c>
      <c r="ED439">
        <v>1</v>
      </c>
      <c r="EE439">
        <v>1</v>
      </c>
      <c r="EF439" t="s">
        <v>871</v>
      </c>
      <c r="EG439" t="s">
        <v>595</v>
      </c>
      <c r="EH439" t="s">
        <v>872</v>
      </c>
      <c r="EI439" t="s">
        <v>872</v>
      </c>
      <c r="EJ439" t="s">
        <v>134</v>
      </c>
      <c r="EK439">
        <v>9090</v>
      </c>
      <c r="EL439">
        <v>0</v>
      </c>
      <c r="EM439" t="s">
        <v>1011</v>
      </c>
      <c r="EN439">
        <v>3.5832999999999999</v>
      </c>
      <c r="EO439">
        <v>54.05</v>
      </c>
      <c r="EP439">
        <v>99991120</v>
      </c>
      <c r="EQ439" t="s">
        <v>874</v>
      </c>
      <c r="ER439" t="s">
        <v>875</v>
      </c>
      <c r="ES439" t="s">
        <v>876</v>
      </c>
      <c r="ET439" t="s">
        <v>877</v>
      </c>
      <c r="EU439" t="s">
        <v>877</v>
      </c>
      <c r="EV439" t="s">
        <v>871</v>
      </c>
      <c r="EX439" t="s">
        <v>953</v>
      </c>
      <c r="EY439" t="s">
        <v>1555</v>
      </c>
      <c r="EZ439" t="s">
        <v>2065</v>
      </c>
      <c r="FA439" t="s">
        <v>1212</v>
      </c>
      <c r="FB439">
        <v>1</v>
      </c>
      <c r="FC439">
        <v>1</v>
      </c>
      <c r="FD439" s="41">
        <v>46095</v>
      </c>
      <c r="FE439" t="s">
        <v>1719</v>
      </c>
      <c r="FF439">
        <v>11</v>
      </c>
      <c r="FG439" t="s">
        <v>9167</v>
      </c>
      <c r="FH439" t="s">
        <v>9168</v>
      </c>
      <c r="FI439">
        <v>1</v>
      </c>
      <c r="FJ439" t="s">
        <v>9169</v>
      </c>
      <c r="FK439" t="s">
        <v>9168</v>
      </c>
      <c r="FL439">
        <v>1</v>
      </c>
      <c r="FM439" t="s">
        <v>9170</v>
      </c>
      <c r="FN439" t="s">
        <v>9171</v>
      </c>
      <c r="FO439">
        <v>1</v>
      </c>
      <c r="FP439" t="s">
        <v>9172</v>
      </c>
      <c r="FQ439" t="s">
        <v>9173</v>
      </c>
      <c r="FR439">
        <v>1</v>
      </c>
      <c r="FS439" t="s">
        <v>9174</v>
      </c>
      <c r="FT439" t="s">
        <v>9175</v>
      </c>
      <c r="FU439">
        <v>1</v>
      </c>
      <c r="FV439" t="s">
        <v>9176</v>
      </c>
      <c r="FW439" t="s">
        <v>9177</v>
      </c>
      <c r="FX439">
        <v>1</v>
      </c>
      <c r="FY439" t="s">
        <v>890</v>
      </c>
      <c r="FZ439" t="s">
        <v>9178</v>
      </c>
      <c r="GA439" t="s">
        <v>9169</v>
      </c>
      <c r="GB439">
        <v>1</v>
      </c>
      <c r="GD439">
        <v>0</v>
      </c>
      <c r="GF439">
        <v>0</v>
      </c>
      <c r="GG439">
        <v>1</v>
      </c>
      <c r="GH439" t="s">
        <v>892</v>
      </c>
      <c r="GI439" t="s">
        <v>893</v>
      </c>
      <c r="GJ439" t="s">
        <v>9168</v>
      </c>
      <c r="GM439">
        <v>1</v>
      </c>
      <c r="GN439">
        <v>1</v>
      </c>
      <c r="GO439">
        <v>0</v>
      </c>
      <c r="GP439">
        <v>1</v>
      </c>
      <c r="GQ439">
        <v>1</v>
      </c>
      <c r="GR439">
        <v>0</v>
      </c>
      <c r="GS439">
        <v>1</v>
      </c>
      <c r="GT439">
        <v>0</v>
      </c>
      <c r="GU439">
        <v>1</v>
      </c>
      <c r="GV439">
        <v>0</v>
      </c>
      <c r="GW439">
        <v>1</v>
      </c>
      <c r="GX439">
        <v>0</v>
      </c>
      <c r="GY439">
        <v>1</v>
      </c>
      <c r="GZ439">
        <v>0</v>
      </c>
      <c r="HA439" t="s">
        <v>490</v>
      </c>
      <c r="HB439" t="s">
        <v>894</v>
      </c>
      <c r="HC439" t="s">
        <v>935</v>
      </c>
      <c r="HD439" t="s">
        <v>845</v>
      </c>
      <c r="HE439" t="s">
        <v>900</v>
      </c>
      <c r="HF439" t="s">
        <v>1012</v>
      </c>
      <c r="HG439" t="s">
        <v>894</v>
      </c>
      <c r="HH439" t="s">
        <v>935</v>
      </c>
      <c r="HI439" t="s">
        <v>845</v>
      </c>
      <c r="HJ439" t="s">
        <v>900</v>
      </c>
      <c r="HK439" t="s">
        <v>1011</v>
      </c>
      <c r="HL439" t="s">
        <v>150</v>
      </c>
      <c r="HM439" t="s">
        <v>854</v>
      </c>
      <c r="HN439">
        <v>36805</v>
      </c>
      <c r="HO439">
        <v>1</v>
      </c>
      <c r="HP439" t="s">
        <v>134</v>
      </c>
      <c r="HQ439" t="s">
        <v>896</v>
      </c>
      <c r="HR439" t="s">
        <v>896</v>
      </c>
      <c r="HS439" t="s">
        <v>896</v>
      </c>
    </row>
    <row r="440" spans="1:227" x14ac:dyDescent="0.2">
      <c r="A440">
        <v>8702</v>
      </c>
      <c r="B440">
        <v>7611913094</v>
      </c>
      <c r="C440">
        <v>36</v>
      </c>
      <c r="D440" t="s">
        <v>1302</v>
      </c>
      <c r="E440" t="s">
        <v>831</v>
      </c>
      <c r="F440">
        <v>0</v>
      </c>
      <c r="G440" t="s">
        <v>9179</v>
      </c>
      <c r="H440" t="s">
        <v>9179</v>
      </c>
      <c r="I440">
        <v>0</v>
      </c>
      <c r="J440" t="s">
        <v>833</v>
      </c>
      <c r="K440" t="s">
        <v>834</v>
      </c>
      <c r="L440">
        <v>148743035</v>
      </c>
      <c r="M440">
        <v>86700689608</v>
      </c>
      <c r="N440" t="s">
        <v>836</v>
      </c>
      <c r="O440" t="s">
        <v>837</v>
      </c>
      <c r="P440" t="s">
        <v>1302</v>
      </c>
      <c r="Q440" t="s">
        <v>2357</v>
      </c>
      <c r="R440" t="s">
        <v>9180</v>
      </c>
      <c r="S440" t="s">
        <v>9181</v>
      </c>
      <c r="T440">
        <v>30300111330</v>
      </c>
      <c r="V440" t="s">
        <v>193</v>
      </c>
      <c r="W440" s="41">
        <v>46143</v>
      </c>
      <c r="X440" t="s">
        <v>9182</v>
      </c>
      <c r="Y440" t="s">
        <v>9183</v>
      </c>
      <c r="Z440" t="s">
        <v>2362</v>
      </c>
      <c r="AA440">
        <v>0</v>
      </c>
      <c r="AB440" t="s">
        <v>845</v>
      </c>
      <c r="AC440" t="s">
        <v>846</v>
      </c>
      <c r="AD440" t="s">
        <v>1335</v>
      </c>
      <c r="AE440" t="s">
        <v>1336</v>
      </c>
      <c r="AF440">
        <v>1</v>
      </c>
      <c r="AG440">
        <v>452210</v>
      </c>
      <c r="AH440" t="s">
        <v>849</v>
      </c>
      <c r="AI440" t="s">
        <v>850</v>
      </c>
      <c r="AJ440" t="s">
        <v>851</v>
      </c>
      <c r="AK440" t="s">
        <v>271</v>
      </c>
      <c r="AL440" t="s">
        <v>2363</v>
      </c>
      <c r="AM440" t="s">
        <v>2364</v>
      </c>
      <c r="AN440" t="s">
        <v>854</v>
      </c>
      <c r="AO440">
        <v>36805</v>
      </c>
      <c r="AP440">
        <v>637</v>
      </c>
      <c r="AQ440" t="s">
        <v>855</v>
      </c>
      <c r="AR440">
        <v>66444190</v>
      </c>
      <c r="AS440" t="s">
        <v>856</v>
      </c>
      <c r="AU440" t="s">
        <v>9184</v>
      </c>
      <c r="AV440" t="s">
        <v>9185</v>
      </c>
      <c r="AX440" t="s">
        <v>913</v>
      </c>
      <c r="AY440" t="s">
        <v>861</v>
      </c>
      <c r="AZ440" t="s">
        <v>271</v>
      </c>
      <c r="BA440" t="s">
        <v>272</v>
      </c>
      <c r="BB440">
        <v>0</v>
      </c>
      <c r="BC440">
        <v>1</v>
      </c>
      <c r="BD440">
        <v>0</v>
      </c>
      <c r="BE440">
        <v>86700689608</v>
      </c>
      <c r="BF440">
        <v>0</v>
      </c>
      <c r="BG440">
        <v>0</v>
      </c>
      <c r="BH440" t="s">
        <v>862</v>
      </c>
      <c r="BI440">
        <v>0</v>
      </c>
      <c r="BJ440" t="s">
        <v>862</v>
      </c>
      <c r="BK440">
        <v>1</v>
      </c>
      <c r="BL440">
        <v>1</v>
      </c>
      <c r="BM440">
        <v>0</v>
      </c>
      <c r="BN440" t="s">
        <v>596</v>
      </c>
      <c r="BP440" t="s">
        <v>9179</v>
      </c>
      <c r="BR440">
        <v>42791765</v>
      </c>
      <c r="BT440">
        <v>1</v>
      </c>
      <c r="BU440" t="s">
        <v>1803</v>
      </c>
      <c r="BY440">
        <v>16</v>
      </c>
      <c r="CA440">
        <v>31</v>
      </c>
      <c r="CI440">
        <v>11</v>
      </c>
      <c r="CJ440" t="s">
        <v>94</v>
      </c>
      <c r="CM440">
        <v>4010</v>
      </c>
      <c r="CO440">
        <v>7360</v>
      </c>
      <c r="CP440">
        <v>3.3300000000000003E-2</v>
      </c>
      <c r="CQ440">
        <v>3.3300000000000003E-2</v>
      </c>
      <c r="CR440">
        <v>3.3300000000000003E-2</v>
      </c>
      <c r="CS440">
        <v>0</v>
      </c>
      <c r="CT440" t="s">
        <v>9185</v>
      </c>
      <c r="CU440" t="s">
        <v>9184</v>
      </c>
      <c r="CV440" t="s">
        <v>833</v>
      </c>
      <c r="CW440" t="s">
        <v>834</v>
      </c>
      <c r="CX440" t="s">
        <v>2367</v>
      </c>
      <c r="CY440">
        <v>1</v>
      </c>
      <c r="CZ440">
        <v>1</v>
      </c>
      <c r="DA440" t="s">
        <v>833</v>
      </c>
      <c r="DB440" t="s">
        <v>865</v>
      </c>
      <c r="DC440">
        <v>60014</v>
      </c>
      <c r="DD440">
        <v>30.75</v>
      </c>
      <c r="DE440" t="s">
        <v>866</v>
      </c>
      <c r="DG440" t="s">
        <v>867</v>
      </c>
      <c r="DH440" t="s">
        <v>851</v>
      </c>
      <c r="DK440" t="s">
        <v>918</v>
      </c>
      <c r="DL440" t="s">
        <v>869</v>
      </c>
      <c r="DM440">
        <v>0</v>
      </c>
      <c r="DN440">
        <v>0</v>
      </c>
      <c r="DO440">
        <v>11</v>
      </c>
      <c r="DP440" t="s">
        <v>1010</v>
      </c>
      <c r="DQ440">
        <v>16</v>
      </c>
      <c r="DR440">
        <v>1845</v>
      </c>
      <c r="DS440">
        <v>3285</v>
      </c>
      <c r="DT440">
        <v>5.5332999999999997</v>
      </c>
      <c r="DU440">
        <v>4</v>
      </c>
      <c r="DV440">
        <v>1</v>
      </c>
      <c r="DW440">
        <v>2</v>
      </c>
      <c r="DX440" t="s">
        <v>596</v>
      </c>
      <c r="DY440">
        <v>86700689608</v>
      </c>
      <c r="DZ440">
        <v>0</v>
      </c>
      <c r="EA440">
        <v>0</v>
      </c>
      <c r="EB440">
        <v>1</v>
      </c>
      <c r="EC440">
        <v>0</v>
      </c>
      <c r="ED440">
        <v>0</v>
      </c>
      <c r="EE440">
        <v>1</v>
      </c>
      <c r="EF440" t="s">
        <v>920</v>
      </c>
      <c r="EG440" t="s">
        <v>595</v>
      </c>
      <c r="EH440" t="s">
        <v>921</v>
      </c>
      <c r="EI440" t="s">
        <v>921</v>
      </c>
      <c r="EJ440" t="s">
        <v>181</v>
      </c>
      <c r="EK440">
        <v>9090</v>
      </c>
      <c r="EL440">
        <v>1</v>
      </c>
      <c r="EM440" t="s">
        <v>1436</v>
      </c>
      <c r="EN440">
        <v>3.3300000000000003E-2</v>
      </c>
      <c r="EO440">
        <v>54.75</v>
      </c>
      <c r="EP440">
        <v>99991120</v>
      </c>
      <c r="EQ440" t="s">
        <v>874</v>
      </c>
      <c r="ER440" t="s">
        <v>875</v>
      </c>
      <c r="ES440" t="s">
        <v>876</v>
      </c>
      <c r="ET440" t="s">
        <v>877</v>
      </c>
      <c r="EU440" t="s">
        <v>877</v>
      </c>
      <c r="EV440" t="s">
        <v>920</v>
      </c>
      <c r="EX440" t="s">
        <v>836</v>
      </c>
      <c r="EY440" t="s">
        <v>873</v>
      </c>
      <c r="EZ440" t="s">
        <v>1437</v>
      </c>
      <c r="FA440" t="s">
        <v>956</v>
      </c>
      <c r="FB440">
        <v>1</v>
      </c>
      <c r="FC440">
        <v>2</v>
      </c>
      <c r="FD440" s="41">
        <v>46144</v>
      </c>
      <c r="FE440" t="s">
        <v>1808</v>
      </c>
      <c r="FF440">
        <v>8</v>
      </c>
      <c r="FG440" t="s">
        <v>9186</v>
      </c>
      <c r="FH440" t="s">
        <v>9187</v>
      </c>
      <c r="FI440">
        <v>1</v>
      </c>
      <c r="FJ440" t="s">
        <v>2370</v>
      </c>
      <c r="FK440" t="s">
        <v>9188</v>
      </c>
      <c r="FL440">
        <v>1</v>
      </c>
      <c r="FM440" t="s">
        <v>9189</v>
      </c>
      <c r="FN440" t="s">
        <v>9190</v>
      </c>
      <c r="FO440">
        <v>1</v>
      </c>
      <c r="FP440" t="s">
        <v>9191</v>
      </c>
      <c r="FQ440" t="s">
        <v>9184</v>
      </c>
      <c r="FR440">
        <v>1</v>
      </c>
      <c r="FS440" t="s">
        <v>2375</v>
      </c>
      <c r="FT440" t="s">
        <v>9192</v>
      </c>
      <c r="FU440">
        <v>1</v>
      </c>
      <c r="FV440" t="s">
        <v>2377</v>
      </c>
      <c r="FW440" t="s">
        <v>9193</v>
      </c>
      <c r="FX440">
        <v>1</v>
      </c>
      <c r="FY440" t="s">
        <v>890</v>
      </c>
      <c r="FZ440" t="s">
        <v>9194</v>
      </c>
      <c r="GA440" t="s">
        <v>2370</v>
      </c>
      <c r="GB440">
        <v>1</v>
      </c>
      <c r="GD440">
        <v>0</v>
      </c>
      <c r="GF440">
        <v>0</v>
      </c>
      <c r="GG440">
        <v>1</v>
      </c>
      <c r="GH440" t="s">
        <v>892</v>
      </c>
      <c r="GI440" t="s">
        <v>893</v>
      </c>
      <c r="GJ440" t="s">
        <v>9188</v>
      </c>
      <c r="GM440">
        <v>1</v>
      </c>
      <c r="GN440">
        <v>0</v>
      </c>
      <c r="GO440">
        <v>0</v>
      </c>
      <c r="GP440">
        <v>1</v>
      </c>
      <c r="GQ440">
        <v>1</v>
      </c>
      <c r="GR440">
        <v>0</v>
      </c>
      <c r="GS440">
        <v>1</v>
      </c>
      <c r="GT440">
        <v>0</v>
      </c>
      <c r="GU440">
        <v>1</v>
      </c>
      <c r="GV440">
        <v>0</v>
      </c>
      <c r="GW440">
        <v>1</v>
      </c>
      <c r="GX440">
        <v>0</v>
      </c>
      <c r="GY440">
        <v>1</v>
      </c>
      <c r="GZ440">
        <v>0</v>
      </c>
      <c r="HA440" t="s">
        <v>271</v>
      </c>
      <c r="HB440" t="s">
        <v>894</v>
      </c>
      <c r="HC440" t="s">
        <v>895</v>
      </c>
      <c r="HD440" t="s">
        <v>845</v>
      </c>
      <c r="HE440" t="s">
        <v>836</v>
      </c>
      <c r="HF440" t="s">
        <v>873</v>
      </c>
      <c r="HG440" t="s">
        <v>894</v>
      </c>
      <c r="HH440" t="s">
        <v>895</v>
      </c>
      <c r="HI440" t="s">
        <v>845</v>
      </c>
      <c r="HJ440" t="s">
        <v>836</v>
      </c>
      <c r="HK440" t="s">
        <v>1436</v>
      </c>
      <c r="HL440" t="s">
        <v>193</v>
      </c>
      <c r="HM440" t="s">
        <v>854</v>
      </c>
      <c r="HN440">
        <v>36805</v>
      </c>
      <c r="HO440">
        <v>1</v>
      </c>
      <c r="HP440" t="s">
        <v>181</v>
      </c>
      <c r="HQ440" t="s">
        <v>896</v>
      </c>
      <c r="HR440" t="s">
        <v>896</v>
      </c>
      <c r="HS440" t="s">
        <v>896</v>
      </c>
    </row>
    <row r="441" spans="1:227" x14ac:dyDescent="0.2">
      <c r="A441">
        <v>8702</v>
      </c>
      <c r="B441">
        <v>7525102648</v>
      </c>
      <c r="C441">
        <v>34</v>
      </c>
      <c r="D441" t="s">
        <v>996</v>
      </c>
      <c r="E441" t="s">
        <v>897</v>
      </c>
      <c r="F441">
        <v>0</v>
      </c>
      <c r="G441" t="s">
        <v>9195</v>
      </c>
      <c r="H441" t="s">
        <v>9195</v>
      </c>
      <c r="I441">
        <v>0</v>
      </c>
      <c r="J441" t="s">
        <v>833</v>
      </c>
      <c r="K441" t="s">
        <v>834</v>
      </c>
      <c r="L441">
        <v>153008230</v>
      </c>
      <c r="M441" t="s">
        <v>3091</v>
      </c>
      <c r="N441" t="s">
        <v>900</v>
      </c>
      <c r="O441" t="s">
        <v>837</v>
      </c>
      <c r="P441" t="s">
        <v>999</v>
      </c>
      <c r="Q441" t="s">
        <v>1000</v>
      </c>
      <c r="R441" t="s">
        <v>9196</v>
      </c>
      <c r="S441" t="s">
        <v>9197</v>
      </c>
      <c r="T441">
        <v>41477068852</v>
      </c>
      <c r="V441" t="s">
        <v>1476</v>
      </c>
      <c r="W441" s="41">
        <v>45916</v>
      </c>
      <c r="X441" t="s">
        <v>9198</v>
      </c>
      <c r="Y441" t="s">
        <v>9199</v>
      </c>
      <c r="Z441" t="s">
        <v>5544</v>
      </c>
      <c r="AA441">
        <v>0</v>
      </c>
      <c r="AB441" t="s">
        <v>845</v>
      </c>
      <c r="AC441" t="s">
        <v>846</v>
      </c>
      <c r="AD441" t="s">
        <v>847</v>
      </c>
      <c r="AE441" t="s">
        <v>848</v>
      </c>
      <c r="AF441">
        <v>1</v>
      </c>
      <c r="AG441">
        <v>452210</v>
      </c>
      <c r="AH441" t="s">
        <v>849</v>
      </c>
      <c r="AI441" t="s">
        <v>850</v>
      </c>
      <c r="AJ441" t="s">
        <v>851</v>
      </c>
      <c r="AK441" t="s">
        <v>373</v>
      </c>
      <c r="AL441" t="s">
        <v>5545</v>
      </c>
      <c r="AM441" t="s">
        <v>1480</v>
      </c>
      <c r="AN441" t="s">
        <v>854</v>
      </c>
      <c r="AO441">
        <v>36805</v>
      </c>
      <c r="AP441">
        <v>931</v>
      </c>
      <c r="AQ441" t="s">
        <v>855</v>
      </c>
      <c r="AR441">
        <v>66116972</v>
      </c>
      <c r="AS441" t="s">
        <v>856</v>
      </c>
      <c r="AU441" t="s">
        <v>9200</v>
      </c>
      <c r="AV441" t="s">
        <v>9201</v>
      </c>
      <c r="AX441" t="s">
        <v>913</v>
      </c>
      <c r="AY441" t="s">
        <v>861</v>
      </c>
      <c r="AZ441" t="s">
        <v>373</v>
      </c>
      <c r="BA441" t="s">
        <v>374</v>
      </c>
      <c r="BB441">
        <v>0</v>
      </c>
      <c r="BC441">
        <v>1</v>
      </c>
      <c r="BD441">
        <v>0</v>
      </c>
      <c r="BE441" t="s">
        <v>3091</v>
      </c>
      <c r="BF441">
        <v>0</v>
      </c>
      <c r="BG441">
        <v>0</v>
      </c>
      <c r="BH441" t="s">
        <v>862</v>
      </c>
      <c r="BI441">
        <v>0</v>
      </c>
      <c r="BJ441" t="s">
        <v>862</v>
      </c>
      <c r="BK441">
        <v>1</v>
      </c>
      <c r="BL441">
        <v>1</v>
      </c>
      <c r="BM441">
        <v>0</v>
      </c>
      <c r="BN441" t="s">
        <v>596</v>
      </c>
      <c r="BO441">
        <v>153008230</v>
      </c>
      <c r="BP441" t="s">
        <v>9195</v>
      </c>
      <c r="BR441">
        <v>42793655</v>
      </c>
      <c r="BT441">
        <v>1</v>
      </c>
      <c r="BU441" t="s">
        <v>1151</v>
      </c>
      <c r="CI441">
        <v>11</v>
      </c>
      <c r="CJ441" t="s">
        <v>94</v>
      </c>
      <c r="CM441">
        <v>4010</v>
      </c>
      <c r="CO441">
        <v>7360</v>
      </c>
      <c r="CP441">
        <v>0.2167</v>
      </c>
      <c r="CQ441">
        <v>0.2167</v>
      </c>
      <c r="CR441">
        <v>0</v>
      </c>
      <c r="CS441">
        <v>0</v>
      </c>
      <c r="CT441" t="s">
        <v>9202</v>
      </c>
      <c r="CU441" t="s">
        <v>9203</v>
      </c>
      <c r="CV441" t="s">
        <v>833</v>
      </c>
      <c r="CW441" t="s">
        <v>834</v>
      </c>
      <c r="CX441" t="s">
        <v>3091</v>
      </c>
      <c r="CY441">
        <v>1</v>
      </c>
      <c r="CZ441">
        <v>1</v>
      </c>
      <c r="DA441" t="s">
        <v>833</v>
      </c>
      <c r="DB441" t="s">
        <v>865</v>
      </c>
      <c r="DC441">
        <v>44720</v>
      </c>
      <c r="DD441">
        <v>98.65</v>
      </c>
      <c r="DE441" t="s">
        <v>866</v>
      </c>
      <c r="DG441" t="s">
        <v>867</v>
      </c>
      <c r="DH441" t="s">
        <v>851</v>
      </c>
      <c r="DI441" t="s">
        <v>5259</v>
      </c>
      <c r="DJ441" t="s">
        <v>6645</v>
      </c>
      <c r="DK441" t="s">
        <v>1155</v>
      </c>
      <c r="DL441" t="s">
        <v>869</v>
      </c>
      <c r="DM441">
        <v>0</v>
      </c>
      <c r="DN441">
        <v>0</v>
      </c>
      <c r="DO441">
        <v>11</v>
      </c>
      <c r="DP441" t="s">
        <v>1010</v>
      </c>
      <c r="DQ441">
        <v>16</v>
      </c>
      <c r="DR441">
        <v>5919</v>
      </c>
      <c r="DS441">
        <v>11679</v>
      </c>
      <c r="DT441">
        <v>4.25</v>
      </c>
      <c r="DU441">
        <v>4</v>
      </c>
      <c r="DV441">
        <v>1</v>
      </c>
      <c r="DW441">
        <v>2</v>
      </c>
      <c r="DX441" t="s">
        <v>596</v>
      </c>
      <c r="DY441" t="s">
        <v>3091</v>
      </c>
      <c r="DZ441">
        <v>0</v>
      </c>
      <c r="EA441">
        <v>0</v>
      </c>
      <c r="EB441">
        <v>1</v>
      </c>
      <c r="EC441">
        <v>0</v>
      </c>
      <c r="ED441">
        <v>0</v>
      </c>
      <c r="EE441">
        <v>1</v>
      </c>
      <c r="EF441" t="s">
        <v>871</v>
      </c>
      <c r="EG441" t="s">
        <v>595</v>
      </c>
      <c r="EH441" t="s">
        <v>921</v>
      </c>
      <c r="EI441" t="s">
        <v>921</v>
      </c>
      <c r="EJ441" t="s">
        <v>226</v>
      </c>
      <c r="EK441">
        <v>9090</v>
      </c>
      <c r="EL441">
        <v>1</v>
      </c>
      <c r="EM441" t="s">
        <v>1157</v>
      </c>
      <c r="EN441">
        <v>0</v>
      </c>
      <c r="EO441">
        <v>194.65</v>
      </c>
      <c r="EP441">
        <v>99991120</v>
      </c>
      <c r="EQ441" t="s">
        <v>874</v>
      </c>
      <c r="ER441" t="s">
        <v>875</v>
      </c>
      <c r="ES441" t="s">
        <v>876</v>
      </c>
      <c r="ET441" t="s">
        <v>877</v>
      </c>
      <c r="EU441" t="s">
        <v>877</v>
      </c>
      <c r="EV441" t="s">
        <v>871</v>
      </c>
      <c r="EX441" t="s">
        <v>953</v>
      </c>
      <c r="EY441" t="s">
        <v>986</v>
      </c>
      <c r="EZ441" t="s">
        <v>1236</v>
      </c>
      <c r="FA441" t="s">
        <v>956</v>
      </c>
      <c r="FB441">
        <v>1</v>
      </c>
      <c r="FC441">
        <v>2</v>
      </c>
      <c r="FD441" s="41">
        <v>45920</v>
      </c>
      <c r="FE441" t="s">
        <v>880</v>
      </c>
      <c r="FF441">
        <v>14</v>
      </c>
      <c r="FG441" t="s">
        <v>9204</v>
      </c>
      <c r="FH441" t="s">
        <v>9205</v>
      </c>
      <c r="FI441">
        <v>1</v>
      </c>
      <c r="FJ441" t="s">
        <v>5552</v>
      </c>
      <c r="FK441" t="s">
        <v>9205</v>
      </c>
      <c r="FL441">
        <v>1</v>
      </c>
      <c r="FM441" t="s">
        <v>5264</v>
      </c>
      <c r="FN441" t="s">
        <v>9206</v>
      </c>
      <c r="FO441">
        <v>1</v>
      </c>
      <c r="FP441" t="s">
        <v>9207</v>
      </c>
      <c r="FQ441" t="s">
        <v>9203</v>
      </c>
      <c r="FR441">
        <v>1</v>
      </c>
      <c r="FS441" t="s">
        <v>1766</v>
      </c>
      <c r="FT441" t="s">
        <v>9208</v>
      </c>
      <c r="FU441">
        <v>1</v>
      </c>
      <c r="FV441" t="s">
        <v>2310</v>
      </c>
      <c r="FW441" t="s">
        <v>9209</v>
      </c>
      <c r="FX441">
        <v>1</v>
      </c>
      <c r="FY441" t="s">
        <v>890</v>
      </c>
      <c r="FZ441" t="s">
        <v>9210</v>
      </c>
      <c r="GA441" t="s">
        <v>5552</v>
      </c>
      <c r="GB441">
        <v>1</v>
      </c>
      <c r="GD441">
        <v>0</v>
      </c>
      <c r="GF441">
        <v>0</v>
      </c>
      <c r="GG441">
        <v>1</v>
      </c>
      <c r="GH441" t="s">
        <v>892</v>
      </c>
      <c r="GI441" t="s">
        <v>893</v>
      </c>
      <c r="GJ441" t="s">
        <v>9205</v>
      </c>
      <c r="GM441">
        <v>1</v>
      </c>
      <c r="GN441">
        <v>0</v>
      </c>
      <c r="GO441">
        <v>0</v>
      </c>
      <c r="GP441">
        <v>1</v>
      </c>
      <c r="GQ441">
        <v>1</v>
      </c>
      <c r="GR441">
        <v>0</v>
      </c>
      <c r="GS441">
        <v>1</v>
      </c>
      <c r="GT441">
        <v>0</v>
      </c>
      <c r="GU441">
        <v>1</v>
      </c>
      <c r="GV441">
        <v>0</v>
      </c>
      <c r="GW441">
        <v>1</v>
      </c>
      <c r="GX441">
        <v>0</v>
      </c>
      <c r="GY441">
        <v>1</v>
      </c>
      <c r="GZ441">
        <v>0</v>
      </c>
      <c r="HA441" t="s">
        <v>373</v>
      </c>
      <c r="HB441" t="s">
        <v>894</v>
      </c>
      <c r="HC441" t="s">
        <v>935</v>
      </c>
      <c r="HD441" t="s">
        <v>845</v>
      </c>
      <c r="HE441" t="s">
        <v>900</v>
      </c>
      <c r="HF441" t="s">
        <v>923</v>
      </c>
      <c r="HG441" t="s">
        <v>894</v>
      </c>
      <c r="HH441" t="s">
        <v>935</v>
      </c>
      <c r="HI441" t="s">
        <v>845</v>
      </c>
      <c r="HJ441" t="s">
        <v>900</v>
      </c>
      <c r="HK441" t="s">
        <v>922</v>
      </c>
      <c r="HL441" t="s">
        <v>1476</v>
      </c>
      <c r="HM441" t="s">
        <v>854</v>
      </c>
      <c r="HN441">
        <v>36805</v>
      </c>
      <c r="HO441">
        <v>1</v>
      </c>
      <c r="HP441" t="s">
        <v>226</v>
      </c>
      <c r="HQ441" t="s">
        <v>896</v>
      </c>
      <c r="HR441" t="s">
        <v>896</v>
      </c>
      <c r="HS441" t="s">
        <v>896</v>
      </c>
    </row>
    <row r="442" spans="1:227" x14ac:dyDescent="0.2">
      <c r="A442">
        <v>8702</v>
      </c>
      <c r="B442">
        <v>7528102259</v>
      </c>
      <c r="C442" t="s">
        <v>829</v>
      </c>
      <c r="D442" t="s">
        <v>830</v>
      </c>
      <c r="E442" t="s">
        <v>831</v>
      </c>
      <c r="F442">
        <v>27</v>
      </c>
      <c r="G442" t="s">
        <v>9211</v>
      </c>
      <c r="H442" t="s">
        <v>9211</v>
      </c>
      <c r="I442">
        <v>0</v>
      </c>
      <c r="J442" t="s">
        <v>833</v>
      </c>
      <c r="K442" t="s">
        <v>834</v>
      </c>
      <c r="L442">
        <v>153524533</v>
      </c>
      <c r="M442" t="s">
        <v>9212</v>
      </c>
      <c r="N442" t="s">
        <v>836</v>
      </c>
      <c r="O442" t="s">
        <v>837</v>
      </c>
      <c r="P442" t="s">
        <v>838</v>
      </c>
      <c r="Q442" t="s">
        <v>839</v>
      </c>
      <c r="R442" t="s">
        <v>9213</v>
      </c>
      <c r="S442" t="s">
        <v>9214</v>
      </c>
      <c r="T442">
        <v>30300111330</v>
      </c>
      <c r="V442" t="s">
        <v>193</v>
      </c>
      <c r="W442" s="41">
        <v>45940</v>
      </c>
      <c r="X442" t="s">
        <v>9215</v>
      </c>
      <c r="Y442" t="s">
        <v>9216</v>
      </c>
      <c r="AA442">
        <v>0</v>
      </c>
      <c r="AB442" t="s">
        <v>845</v>
      </c>
      <c r="AC442" t="s">
        <v>846</v>
      </c>
      <c r="AD442" t="s">
        <v>847</v>
      </c>
      <c r="AE442" t="s">
        <v>848</v>
      </c>
      <c r="AF442">
        <v>1</v>
      </c>
      <c r="AG442">
        <v>452210</v>
      </c>
      <c r="AH442" t="s">
        <v>849</v>
      </c>
      <c r="AI442" t="s">
        <v>850</v>
      </c>
      <c r="AJ442" t="s">
        <v>851</v>
      </c>
      <c r="AK442" t="s">
        <v>271</v>
      </c>
      <c r="AL442" t="s">
        <v>2363</v>
      </c>
      <c r="AM442" t="s">
        <v>2364</v>
      </c>
      <c r="AN442" t="s">
        <v>854</v>
      </c>
      <c r="AO442">
        <v>36805</v>
      </c>
      <c r="AP442">
        <v>637</v>
      </c>
      <c r="AQ442" t="s">
        <v>855</v>
      </c>
      <c r="AR442">
        <v>66150010</v>
      </c>
      <c r="AS442" t="s">
        <v>856</v>
      </c>
      <c r="AU442" t="s">
        <v>9217</v>
      </c>
      <c r="AV442" t="s">
        <v>9218</v>
      </c>
      <c r="AX442" t="s">
        <v>913</v>
      </c>
      <c r="AY442" t="s">
        <v>861</v>
      </c>
      <c r="AZ442" t="s">
        <v>271</v>
      </c>
      <c r="BA442" t="s">
        <v>272</v>
      </c>
      <c r="BB442">
        <v>0</v>
      </c>
      <c r="BC442">
        <v>0</v>
      </c>
      <c r="BD442">
        <v>1</v>
      </c>
      <c r="BE442" t="s">
        <v>9212</v>
      </c>
      <c r="BF442">
        <v>0</v>
      </c>
      <c r="BG442">
        <v>0</v>
      </c>
      <c r="BH442" t="s">
        <v>862</v>
      </c>
      <c r="BI442">
        <v>0</v>
      </c>
      <c r="BJ442" t="s">
        <v>862</v>
      </c>
      <c r="BK442">
        <v>1</v>
      </c>
      <c r="BL442">
        <v>1</v>
      </c>
      <c r="BM442">
        <v>0</v>
      </c>
      <c r="BN442" t="s">
        <v>596</v>
      </c>
      <c r="BO442">
        <v>153524533</v>
      </c>
      <c r="BP442" t="s">
        <v>9211</v>
      </c>
      <c r="BR442">
        <v>42791765</v>
      </c>
      <c r="BT442">
        <v>0</v>
      </c>
      <c r="CM442">
        <v>4010</v>
      </c>
      <c r="CO442">
        <v>7360</v>
      </c>
      <c r="CP442">
        <v>0.1167</v>
      </c>
      <c r="CQ442">
        <v>0.1167</v>
      </c>
      <c r="CR442">
        <v>1.67E-2</v>
      </c>
      <c r="CS442">
        <v>1</v>
      </c>
      <c r="CT442" t="s">
        <v>9218</v>
      </c>
      <c r="CU442" t="s">
        <v>9217</v>
      </c>
      <c r="CV442" t="s">
        <v>833</v>
      </c>
      <c r="CW442" t="s">
        <v>834</v>
      </c>
      <c r="CX442" t="s">
        <v>9212</v>
      </c>
      <c r="CY442">
        <v>1</v>
      </c>
      <c r="CZ442">
        <v>1</v>
      </c>
      <c r="DA442" t="s">
        <v>833</v>
      </c>
      <c r="DB442" t="s">
        <v>865</v>
      </c>
      <c r="DC442">
        <v>60014</v>
      </c>
      <c r="DD442">
        <v>31.55</v>
      </c>
      <c r="DE442" t="s">
        <v>866</v>
      </c>
      <c r="DG442" t="s">
        <v>867</v>
      </c>
      <c r="DH442" t="s">
        <v>851</v>
      </c>
      <c r="DI442" t="s">
        <v>1291</v>
      </c>
      <c r="DL442" t="s">
        <v>869</v>
      </c>
      <c r="DM442">
        <v>0</v>
      </c>
      <c r="DN442">
        <v>0</v>
      </c>
      <c r="DO442">
        <v>1</v>
      </c>
      <c r="DP442" t="s">
        <v>985</v>
      </c>
      <c r="DQ442">
        <v>16</v>
      </c>
      <c r="DR442">
        <v>1893</v>
      </c>
      <c r="DS442">
        <v>4053</v>
      </c>
      <c r="DT442">
        <v>31.433299999999999</v>
      </c>
      <c r="DU442">
        <v>4</v>
      </c>
      <c r="DW442">
        <v>2</v>
      </c>
      <c r="DX442" t="s">
        <v>596</v>
      </c>
      <c r="DY442" t="s">
        <v>9212</v>
      </c>
      <c r="DZ442">
        <v>0</v>
      </c>
      <c r="EA442">
        <v>0</v>
      </c>
      <c r="EB442">
        <v>1</v>
      </c>
      <c r="EC442">
        <v>0</v>
      </c>
      <c r="ED442">
        <v>0</v>
      </c>
      <c r="EE442">
        <v>1</v>
      </c>
      <c r="EF442" t="s">
        <v>920</v>
      </c>
      <c r="EG442" t="s">
        <v>595</v>
      </c>
      <c r="EH442" t="s">
        <v>921</v>
      </c>
      <c r="EI442" t="s">
        <v>921</v>
      </c>
      <c r="EJ442" t="s">
        <v>181</v>
      </c>
      <c r="EK442">
        <v>9090</v>
      </c>
      <c r="EL442">
        <v>0</v>
      </c>
      <c r="EM442" t="s">
        <v>1436</v>
      </c>
      <c r="EN442">
        <v>1.67E-2</v>
      </c>
      <c r="EO442">
        <v>67.55</v>
      </c>
      <c r="EP442">
        <v>99991120</v>
      </c>
      <c r="EQ442" t="s">
        <v>874</v>
      </c>
      <c r="ER442" t="s">
        <v>875</v>
      </c>
      <c r="ES442" t="s">
        <v>876</v>
      </c>
      <c r="ET442" t="s">
        <v>877</v>
      </c>
      <c r="EU442" t="s">
        <v>877</v>
      </c>
      <c r="EV442" t="s">
        <v>920</v>
      </c>
      <c r="EX442" t="s">
        <v>836</v>
      </c>
      <c r="EY442" t="s">
        <v>873</v>
      </c>
      <c r="EZ442" t="s">
        <v>1437</v>
      </c>
      <c r="FA442" t="s">
        <v>956</v>
      </c>
      <c r="FB442">
        <v>1</v>
      </c>
      <c r="FC442">
        <v>1</v>
      </c>
      <c r="FD442" s="41">
        <v>45941</v>
      </c>
      <c r="FE442" t="s">
        <v>1039</v>
      </c>
      <c r="FF442">
        <v>15</v>
      </c>
      <c r="FG442" t="s">
        <v>2375</v>
      </c>
      <c r="FH442" t="s">
        <v>9219</v>
      </c>
      <c r="FI442">
        <v>1</v>
      </c>
      <c r="FJ442" t="s">
        <v>9220</v>
      </c>
      <c r="FK442" t="s">
        <v>9221</v>
      </c>
      <c r="FL442">
        <v>1</v>
      </c>
      <c r="FM442" t="s">
        <v>9222</v>
      </c>
      <c r="FN442" t="s">
        <v>9223</v>
      </c>
      <c r="FO442">
        <v>1</v>
      </c>
      <c r="FP442" t="s">
        <v>9224</v>
      </c>
      <c r="FQ442" t="s">
        <v>9225</v>
      </c>
      <c r="FR442">
        <v>1</v>
      </c>
      <c r="FS442" t="s">
        <v>8808</v>
      </c>
      <c r="FT442" t="s">
        <v>9226</v>
      </c>
      <c r="FU442">
        <v>1</v>
      </c>
      <c r="FV442" t="s">
        <v>8810</v>
      </c>
      <c r="FW442" t="s">
        <v>9227</v>
      </c>
      <c r="FX442">
        <v>1</v>
      </c>
      <c r="FY442" t="s">
        <v>890</v>
      </c>
      <c r="FZ442" t="s">
        <v>9228</v>
      </c>
      <c r="GA442" t="s">
        <v>9220</v>
      </c>
      <c r="GB442">
        <v>1</v>
      </c>
      <c r="GD442">
        <v>0</v>
      </c>
      <c r="GF442">
        <v>0</v>
      </c>
      <c r="GG442">
        <v>1</v>
      </c>
      <c r="GH442" t="s">
        <v>892</v>
      </c>
      <c r="GI442" t="s">
        <v>893</v>
      </c>
      <c r="GJ442" t="s">
        <v>9221</v>
      </c>
      <c r="GM442">
        <v>1</v>
      </c>
      <c r="GN442">
        <v>1</v>
      </c>
      <c r="GO442">
        <v>0</v>
      </c>
      <c r="GP442">
        <v>1</v>
      </c>
      <c r="GQ442">
        <v>1</v>
      </c>
      <c r="GR442">
        <v>0</v>
      </c>
      <c r="GS442">
        <v>1</v>
      </c>
      <c r="GT442">
        <v>0</v>
      </c>
      <c r="GU442">
        <v>1</v>
      </c>
      <c r="GV442">
        <v>0</v>
      </c>
      <c r="GW442">
        <v>1</v>
      </c>
      <c r="GX442">
        <v>0</v>
      </c>
      <c r="GY442">
        <v>1</v>
      </c>
      <c r="GZ442">
        <v>0</v>
      </c>
      <c r="HA442" t="s">
        <v>271</v>
      </c>
      <c r="HB442" t="s">
        <v>894</v>
      </c>
      <c r="HC442" t="s">
        <v>895</v>
      </c>
      <c r="HD442" t="s">
        <v>845</v>
      </c>
      <c r="HE442" t="s">
        <v>836</v>
      </c>
      <c r="HF442" t="s">
        <v>873</v>
      </c>
      <c r="HG442" t="s">
        <v>894</v>
      </c>
      <c r="HH442" t="s">
        <v>895</v>
      </c>
      <c r="HI442" t="s">
        <v>845</v>
      </c>
      <c r="HJ442" t="s">
        <v>836</v>
      </c>
      <c r="HK442" t="s">
        <v>1436</v>
      </c>
      <c r="HL442" t="s">
        <v>193</v>
      </c>
      <c r="HM442" t="s">
        <v>854</v>
      </c>
      <c r="HN442">
        <v>36805</v>
      </c>
      <c r="HP442" t="s">
        <v>181</v>
      </c>
      <c r="HQ442" t="s">
        <v>896</v>
      </c>
      <c r="HR442" t="s">
        <v>896</v>
      </c>
      <c r="HS442" t="s">
        <v>896</v>
      </c>
    </row>
    <row r="443" spans="1:227" x14ac:dyDescent="0.2">
      <c r="A443">
        <v>8702</v>
      </c>
      <c r="B443">
        <v>7604002696</v>
      </c>
      <c r="C443">
        <v>34</v>
      </c>
      <c r="D443" t="s">
        <v>996</v>
      </c>
      <c r="E443" t="s">
        <v>831</v>
      </c>
      <c r="F443">
        <v>0</v>
      </c>
      <c r="G443" t="s">
        <v>9229</v>
      </c>
      <c r="H443" t="s">
        <v>9229</v>
      </c>
      <c r="I443">
        <v>0</v>
      </c>
      <c r="J443" t="s">
        <v>833</v>
      </c>
      <c r="K443" t="s">
        <v>834</v>
      </c>
      <c r="L443">
        <v>152946651</v>
      </c>
      <c r="M443" t="s">
        <v>9230</v>
      </c>
      <c r="N443" t="s">
        <v>836</v>
      </c>
      <c r="O443" t="s">
        <v>837</v>
      </c>
      <c r="P443" t="s">
        <v>999</v>
      </c>
      <c r="Q443" t="s">
        <v>1027</v>
      </c>
      <c r="R443" t="s">
        <v>9231</v>
      </c>
      <c r="S443" t="s">
        <v>9232</v>
      </c>
      <c r="T443">
        <v>41477075389</v>
      </c>
      <c r="V443" t="s">
        <v>842</v>
      </c>
      <c r="W443" s="41">
        <v>46062</v>
      </c>
      <c r="X443" t="s">
        <v>9233</v>
      </c>
      <c r="Y443" t="s">
        <v>9234</v>
      </c>
      <c r="AA443">
        <v>0</v>
      </c>
      <c r="AB443" t="s">
        <v>845</v>
      </c>
      <c r="AC443" t="s">
        <v>846</v>
      </c>
      <c r="AD443" t="s">
        <v>1113</v>
      </c>
      <c r="AE443" t="s">
        <v>1114</v>
      </c>
      <c r="AF443">
        <v>1</v>
      </c>
      <c r="AG443">
        <v>452210</v>
      </c>
      <c r="AH443" t="s">
        <v>849</v>
      </c>
      <c r="AI443" t="s">
        <v>850</v>
      </c>
      <c r="AJ443" t="s">
        <v>851</v>
      </c>
      <c r="AK443" t="s">
        <v>526</v>
      </c>
      <c r="AL443" t="s">
        <v>9235</v>
      </c>
      <c r="AM443" t="s">
        <v>853</v>
      </c>
      <c r="AN443" t="s">
        <v>854</v>
      </c>
      <c r="AO443">
        <v>36805</v>
      </c>
      <c r="AP443">
        <v>962</v>
      </c>
      <c r="AQ443" t="s">
        <v>855</v>
      </c>
      <c r="AR443">
        <v>66327342</v>
      </c>
      <c r="AS443" t="s">
        <v>856</v>
      </c>
      <c r="AU443" t="s">
        <v>9236</v>
      </c>
      <c r="AV443" t="s">
        <v>9237</v>
      </c>
      <c r="AX443" t="s">
        <v>913</v>
      </c>
      <c r="AY443" t="s">
        <v>861</v>
      </c>
      <c r="AZ443" t="s">
        <v>526</v>
      </c>
      <c r="BA443" t="s">
        <v>527</v>
      </c>
      <c r="BB443">
        <v>0</v>
      </c>
      <c r="BC443">
        <v>0</v>
      </c>
      <c r="BD443">
        <v>0</v>
      </c>
      <c r="BE443" t="s">
        <v>9230</v>
      </c>
      <c r="BF443">
        <v>0</v>
      </c>
      <c r="BG443">
        <v>0</v>
      </c>
      <c r="BH443" t="s">
        <v>862</v>
      </c>
      <c r="BI443">
        <v>0</v>
      </c>
      <c r="BJ443" t="s">
        <v>862</v>
      </c>
      <c r="BK443">
        <v>1</v>
      </c>
      <c r="BL443">
        <v>1</v>
      </c>
      <c r="BM443">
        <v>0</v>
      </c>
      <c r="BN443" t="s">
        <v>596</v>
      </c>
      <c r="BO443">
        <v>152946651</v>
      </c>
      <c r="BP443" t="s">
        <v>9229</v>
      </c>
      <c r="BR443">
        <v>42793657</v>
      </c>
      <c r="BT443">
        <v>2</v>
      </c>
      <c r="BU443" t="s">
        <v>1263</v>
      </c>
      <c r="CE443">
        <v>1</v>
      </c>
      <c r="CI443">
        <v>11</v>
      </c>
      <c r="CJ443" t="s">
        <v>94</v>
      </c>
      <c r="CM443">
        <v>4010</v>
      </c>
      <c r="CO443">
        <v>7360</v>
      </c>
      <c r="CP443">
        <v>0.56669999999999998</v>
      </c>
      <c r="CQ443">
        <v>0.56669999999999998</v>
      </c>
      <c r="CR443">
        <v>0.86670000000000003</v>
      </c>
      <c r="CS443">
        <v>2</v>
      </c>
      <c r="CT443" t="s">
        <v>9237</v>
      </c>
      <c r="CU443" t="s">
        <v>9236</v>
      </c>
      <c r="CV443" t="s">
        <v>833</v>
      </c>
      <c r="CW443" t="s">
        <v>834</v>
      </c>
      <c r="CX443" t="s">
        <v>9230</v>
      </c>
      <c r="CY443">
        <v>0</v>
      </c>
      <c r="CZ443">
        <v>0</v>
      </c>
      <c r="DA443" t="s">
        <v>833</v>
      </c>
      <c r="DB443" t="s">
        <v>865</v>
      </c>
      <c r="DC443">
        <v>50266</v>
      </c>
      <c r="DD443">
        <v>1.5166999999999999</v>
      </c>
      <c r="DE443" t="s">
        <v>866</v>
      </c>
      <c r="DG443" t="s">
        <v>867</v>
      </c>
      <c r="DH443" t="s">
        <v>851</v>
      </c>
      <c r="DI443" t="s">
        <v>2323</v>
      </c>
      <c r="DJ443" t="s">
        <v>9238</v>
      </c>
      <c r="DK443" t="s">
        <v>918</v>
      </c>
      <c r="DL443" t="s">
        <v>869</v>
      </c>
      <c r="DM443">
        <v>0</v>
      </c>
      <c r="DN443">
        <v>0</v>
      </c>
      <c r="DO443">
        <v>12</v>
      </c>
      <c r="DP443" t="s">
        <v>1190</v>
      </c>
      <c r="DQ443">
        <v>0</v>
      </c>
      <c r="DR443">
        <v>91</v>
      </c>
      <c r="DS443">
        <v>91</v>
      </c>
      <c r="DT443">
        <v>0.95</v>
      </c>
      <c r="DU443">
        <v>0</v>
      </c>
      <c r="DV443">
        <v>1</v>
      </c>
      <c r="DW443">
        <v>2</v>
      </c>
      <c r="DX443" t="s">
        <v>596</v>
      </c>
      <c r="DY443" t="s">
        <v>9230</v>
      </c>
      <c r="DZ443">
        <v>1</v>
      </c>
      <c r="EA443">
        <v>1</v>
      </c>
      <c r="EB443">
        <v>1</v>
      </c>
      <c r="EC443">
        <v>1</v>
      </c>
      <c r="ED443">
        <v>1</v>
      </c>
      <c r="EE443">
        <v>1</v>
      </c>
      <c r="EF443" t="s">
        <v>920</v>
      </c>
      <c r="EG443" t="s">
        <v>595</v>
      </c>
      <c r="EH443" t="s">
        <v>921</v>
      </c>
      <c r="EI443" t="s">
        <v>921</v>
      </c>
      <c r="EJ443" t="s">
        <v>246</v>
      </c>
      <c r="EK443">
        <v>9090</v>
      </c>
      <c r="EL443">
        <v>0</v>
      </c>
      <c r="EM443" t="s">
        <v>873</v>
      </c>
      <c r="EN443">
        <v>1.7333000000000001</v>
      </c>
      <c r="EO443">
        <v>1.5166666</v>
      </c>
      <c r="EP443">
        <v>99991120</v>
      </c>
      <c r="EQ443" t="s">
        <v>874</v>
      </c>
      <c r="ER443" t="s">
        <v>875</v>
      </c>
      <c r="ES443" t="s">
        <v>876</v>
      </c>
      <c r="ET443" t="s">
        <v>877</v>
      </c>
      <c r="EU443" t="s">
        <v>877</v>
      </c>
      <c r="EV443" t="s">
        <v>920</v>
      </c>
      <c r="EX443" t="s">
        <v>836</v>
      </c>
      <c r="EY443" t="s">
        <v>873</v>
      </c>
      <c r="EZ443" t="s">
        <v>878</v>
      </c>
      <c r="FA443" t="s">
        <v>879</v>
      </c>
      <c r="FB443">
        <v>1</v>
      </c>
      <c r="FC443">
        <v>1</v>
      </c>
      <c r="FD443" s="41">
        <v>46067</v>
      </c>
      <c r="FE443" t="s">
        <v>1267</v>
      </c>
      <c r="FF443">
        <v>7</v>
      </c>
      <c r="FG443" t="s">
        <v>9239</v>
      </c>
      <c r="FH443" t="s">
        <v>9240</v>
      </c>
      <c r="FI443">
        <v>1</v>
      </c>
      <c r="FJ443" t="s">
        <v>9241</v>
      </c>
      <c r="FK443" t="s">
        <v>9242</v>
      </c>
      <c r="FL443">
        <v>1</v>
      </c>
      <c r="FM443" t="s">
        <v>9243</v>
      </c>
      <c r="FN443" t="s">
        <v>9244</v>
      </c>
      <c r="FO443">
        <v>1</v>
      </c>
      <c r="FP443" t="s">
        <v>9245</v>
      </c>
      <c r="FQ443" t="s">
        <v>9246</v>
      </c>
      <c r="FR443">
        <v>1</v>
      </c>
      <c r="FS443" t="s">
        <v>887</v>
      </c>
      <c r="FT443" t="s">
        <v>9247</v>
      </c>
      <c r="FU443">
        <v>1</v>
      </c>
      <c r="FV443" t="s">
        <v>9248</v>
      </c>
      <c r="FW443" t="s">
        <v>9249</v>
      </c>
      <c r="FX443">
        <v>1</v>
      </c>
      <c r="FY443" t="s">
        <v>890</v>
      </c>
      <c r="FZ443" t="s">
        <v>9250</v>
      </c>
      <c r="GA443" t="s">
        <v>9241</v>
      </c>
      <c r="GB443">
        <v>1</v>
      </c>
      <c r="GD443">
        <v>0</v>
      </c>
      <c r="GF443">
        <v>0</v>
      </c>
      <c r="GG443">
        <v>1</v>
      </c>
      <c r="GH443" t="s">
        <v>892</v>
      </c>
      <c r="GI443" t="s">
        <v>893</v>
      </c>
      <c r="GJ443" t="s">
        <v>9242</v>
      </c>
      <c r="GM443">
        <v>1</v>
      </c>
      <c r="GN443">
        <v>1</v>
      </c>
      <c r="GO443">
        <v>0</v>
      </c>
      <c r="GP443">
        <v>1</v>
      </c>
      <c r="GQ443">
        <v>1</v>
      </c>
      <c r="GR443">
        <v>0</v>
      </c>
      <c r="GS443">
        <v>1</v>
      </c>
      <c r="GT443">
        <v>0</v>
      </c>
      <c r="GU443">
        <v>1</v>
      </c>
      <c r="GV443">
        <v>0</v>
      </c>
      <c r="GW443">
        <v>1</v>
      </c>
      <c r="GX443">
        <v>0</v>
      </c>
      <c r="GY443">
        <v>1</v>
      </c>
      <c r="GZ443">
        <v>0</v>
      </c>
      <c r="HA443" t="s">
        <v>526</v>
      </c>
      <c r="HB443" t="s">
        <v>894</v>
      </c>
      <c r="HC443" t="s">
        <v>895</v>
      </c>
      <c r="HD443" t="s">
        <v>845</v>
      </c>
      <c r="HE443" t="s">
        <v>836</v>
      </c>
      <c r="HF443" t="s">
        <v>873</v>
      </c>
      <c r="HG443" t="s">
        <v>894</v>
      </c>
      <c r="HH443" t="s">
        <v>895</v>
      </c>
      <c r="HI443" t="s">
        <v>845</v>
      </c>
      <c r="HJ443" t="s">
        <v>836</v>
      </c>
      <c r="HK443" t="s">
        <v>873</v>
      </c>
      <c r="HL443" t="s">
        <v>842</v>
      </c>
      <c r="HM443" t="s">
        <v>854</v>
      </c>
      <c r="HN443">
        <v>36805</v>
      </c>
      <c r="HP443" t="s">
        <v>246</v>
      </c>
      <c r="HQ443" t="s">
        <v>896</v>
      </c>
      <c r="HR443" t="s">
        <v>896</v>
      </c>
      <c r="HS443" t="s">
        <v>896</v>
      </c>
    </row>
    <row r="444" spans="1:227" x14ac:dyDescent="0.2">
      <c r="A444">
        <v>8702</v>
      </c>
      <c r="B444">
        <v>7521905065</v>
      </c>
      <c r="C444">
        <v>36</v>
      </c>
      <c r="D444" t="s">
        <v>1302</v>
      </c>
      <c r="E444" t="s">
        <v>831</v>
      </c>
      <c r="F444">
        <v>0</v>
      </c>
      <c r="G444" t="s">
        <v>9251</v>
      </c>
      <c r="H444" t="s">
        <v>9251</v>
      </c>
      <c r="I444">
        <v>0</v>
      </c>
      <c r="J444" t="s">
        <v>833</v>
      </c>
      <c r="K444" t="s">
        <v>834</v>
      </c>
      <c r="L444">
        <v>153406509</v>
      </c>
      <c r="M444" t="s">
        <v>3762</v>
      </c>
      <c r="N444" t="s">
        <v>836</v>
      </c>
      <c r="O444" t="s">
        <v>837</v>
      </c>
      <c r="P444" t="s">
        <v>1302</v>
      </c>
      <c r="Q444" t="s">
        <v>1517</v>
      </c>
      <c r="R444" t="s">
        <v>9252</v>
      </c>
      <c r="S444" t="s">
        <v>9253</v>
      </c>
      <c r="T444">
        <v>41477009164</v>
      </c>
      <c r="V444" t="s">
        <v>117</v>
      </c>
      <c r="W444" s="41">
        <v>45877</v>
      </c>
      <c r="X444" t="s">
        <v>9254</v>
      </c>
      <c r="Y444" t="s">
        <v>9255</v>
      </c>
      <c r="AA444">
        <v>0</v>
      </c>
      <c r="AB444" t="s">
        <v>845</v>
      </c>
      <c r="AC444" t="s">
        <v>846</v>
      </c>
      <c r="AD444" t="s">
        <v>847</v>
      </c>
      <c r="AE444" t="s">
        <v>848</v>
      </c>
      <c r="AF444">
        <v>1</v>
      </c>
      <c r="AG444">
        <v>452210</v>
      </c>
      <c r="AH444" t="s">
        <v>849</v>
      </c>
      <c r="AI444" t="s">
        <v>850</v>
      </c>
      <c r="AJ444" t="s">
        <v>851</v>
      </c>
      <c r="AK444" t="s">
        <v>357</v>
      </c>
      <c r="AL444" t="s">
        <v>1735</v>
      </c>
      <c r="AM444" t="s">
        <v>1364</v>
      </c>
      <c r="AN444" t="s">
        <v>854</v>
      </c>
      <c r="AO444">
        <v>36805</v>
      </c>
      <c r="AP444">
        <v>493</v>
      </c>
      <c r="AQ444" t="s">
        <v>855</v>
      </c>
      <c r="AR444">
        <v>66060769</v>
      </c>
      <c r="AS444" t="s">
        <v>856</v>
      </c>
      <c r="AU444" t="s">
        <v>9256</v>
      </c>
      <c r="AV444" t="s">
        <v>9257</v>
      </c>
      <c r="AW444" t="s">
        <v>950</v>
      </c>
      <c r="AX444" t="s">
        <v>951</v>
      </c>
      <c r="AY444" t="s">
        <v>861</v>
      </c>
      <c r="AZ444" t="s">
        <v>357</v>
      </c>
      <c r="BA444" t="s">
        <v>358</v>
      </c>
      <c r="BB444">
        <v>0</v>
      </c>
      <c r="BC444">
        <v>0</v>
      </c>
      <c r="BD444">
        <v>0</v>
      </c>
      <c r="BE444" t="s">
        <v>3762</v>
      </c>
      <c r="BF444">
        <v>0</v>
      </c>
      <c r="BG444">
        <v>0</v>
      </c>
      <c r="BH444" t="s">
        <v>862</v>
      </c>
      <c r="BI444">
        <v>0</v>
      </c>
      <c r="BJ444" t="s">
        <v>862</v>
      </c>
      <c r="BK444">
        <v>1</v>
      </c>
      <c r="BL444">
        <v>0</v>
      </c>
      <c r="BM444">
        <v>0</v>
      </c>
      <c r="BN444" t="s">
        <v>596</v>
      </c>
      <c r="BO444">
        <v>153406509</v>
      </c>
      <c r="BP444" t="s">
        <v>9251</v>
      </c>
      <c r="BQ444">
        <v>38.779402599999997</v>
      </c>
      <c r="BR444">
        <v>42789054</v>
      </c>
      <c r="BS444">
        <v>-90.702789800000005</v>
      </c>
      <c r="BT444">
        <v>0</v>
      </c>
      <c r="CM444">
        <v>4010</v>
      </c>
      <c r="CO444">
        <v>7360</v>
      </c>
      <c r="CP444">
        <v>0.26669999999999999</v>
      </c>
      <c r="CQ444">
        <v>0.26669999999999999</v>
      </c>
      <c r="CR444">
        <v>2.3666999999999998</v>
      </c>
      <c r="CS444">
        <v>1</v>
      </c>
      <c r="CT444" t="s">
        <v>9257</v>
      </c>
      <c r="CU444" t="s">
        <v>9256</v>
      </c>
      <c r="CV444" t="s">
        <v>833</v>
      </c>
      <c r="CW444" t="s">
        <v>834</v>
      </c>
      <c r="CX444" t="s">
        <v>3762</v>
      </c>
      <c r="CY444">
        <v>0</v>
      </c>
      <c r="CZ444">
        <v>0</v>
      </c>
      <c r="DA444" t="s">
        <v>833</v>
      </c>
      <c r="DB444" t="s">
        <v>865</v>
      </c>
      <c r="DC444">
        <v>63368</v>
      </c>
      <c r="DD444">
        <v>11.4</v>
      </c>
      <c r="DE444" t="s">
        <v>866</v>
      </c>
      <c r="DG444" t="s">
        <v>867</v>
      </c>
      <c r="DH444" t="s">
        <v>851</v>
      </c>
      <c r="DL444" t="s">
        <v>869</v>
      </c>
      <c r="DM444">
        <v>0</v>
      </c>
      <c r="DN444">
        <v>0</v>
      </c>
      <c r="DO444">
        <v>2</v>
      </c>
      <c r="DP444" t="s">
        <v>870</v>
      </c>
      <c r="DQ444">
        <v>16</v>
      </c>
      <c r="DR444">
        <v>684</v>
      </c>
      <c r="DS444">
        <v>1404</v>
      </c>
      <c r="DT444">
        <v>11.1333</v>
      </c>
      <c r="DU444">
        <v>4</v>
      </c>
      <c r="DW444">
        <v>2</v>
      </c>
      <c r="DX444" t="s">
        <v>594</v>
      </c>
      <c r="DY444" t="s">
        <v>3762</v>
      </c>
      <c r="DZ444">
        <v>0</v>
      </c>
      <c r="EA444">
        <v>0</v>
      </c>
      <c r="EB444">
        <v>0</v>
      </c>
      <c r="EC444">
        <v>0</v>
      </c>
      <c r="ED444">
        <v>0</v>
      </c>
      <c r="EE444">
        <v>0</v>
      </c>
      <c r="EF444" t="s">
        <v>920</v>
      </c>
      <c r="EG444" t="s">
        <v>595</v>
      </c>
      <c r="EH444" t="s">
        <v>872</v>
      </c>
      <c r="EI444" t="s">
        <v>872</v>
      </c>
      <c r="EJ444" t="s">
        <v>111</v>
      </c>
      <c r="EK444">
        <v>9090</v>
      </c>
      <c r="EL444">
        <v>0</v>
      </c>
      <c r="EM444" t="s">
        <v>1037</v>
      </c>
      <c r="EN444">
        <v>2.3666999999999998</v>
      </c>
      <c r="EO444">
        <v>23.4</v>
      </c>
      <c r="EP444">
        <v>99991120</v>
      </c>
      <c r="EQ444" t="s">
        <v>874</v>
      </c>
      <c r="ER444" t="s">
        <v>875</v>
      </c>
      <c r="ES444" t="s">
        <v>876</v>
      </c>
      <c r="ET444" t="s">
        <v>877</v>
      </c>
      <c r="EU444" t="s">
        <v>877</v>
      </c>
      <c r="EV444" t="s">
        <v>920</v>
      </c>
      <c r="EX444" t="s">
        <v>900</v>
      </c>
      <c r="EY444" t="s">
        <v>923</v>
      </c>
      <c r="EZ444" t="s">
        <v>1038</v>
      </c>
      <c r="FA444" t="s">
        <v>925</v>
      </c>
      <c r="FB444">
        <v>1</v>
      </c>
      <c r="FC444">
        <v>1</v>
      </c>
      <c r="FD444" s="41">
        <v>45878</v>
      </c>
      <c r="FE444" t="s">
        <v>987</v>
      </c>
      <c r="FF444">
        <v>7</v>
      </c>
      <c r="FG444" t="s">
        <v>5701</v>
      </c>
      <c r="FH444" t="s">
        <v>9258</v>
      </c>
      <c r="FI444">
        <v>1</v>
      </c>
      <c r="FJ444" t="s">
        <v>5701</v>
      </c>
      <c r="FK444" t="s">
        <v>9258</v>
      </c>
      <c r="FL444">
        <v>1</v>
      </c>
      <c r="FM444" t="s">
        <v>9259</v>
      </c>
      <c r="FN444" t="s">
        <v>9260</v>
      </c>
      <c r="FO444">
        <v>1</v>
      </c>
      <c r="FP444" t="s">
        <v>9261</v>
      </c>
      <c r="FQ444" t="s">
        <v>9256</v>
      </c>
      <c r="FR444">
        <v>1</v>
      </c>
      <c r="FS444" t="s">
        <v>2453</v>
      </c>
      <c r="FT444" t="s">
        <v>9262</v>
      </c>
      <c r="FU444">
        <v>1</v>
      </c>
      <c r="FV444" t="s">
        <v>3278</v>
      </c>
      <c r="FW444" t="s">
        <v>9263</v>
      </c>
      <c r="FX444">
        <v>1</v>
      </c>
      <c r="FY444" t="s">
        <v>890</v>
      </c>
      <c r="FZ444" t="s">
        <v>9264</v>
      </c>
      <c r="GA444" t="s">
        <v>5701</v>
      </c>
      <c r="GB444">
        <v>1</v>
      </c>
      <c r="GD444">
        <v>0</v>
      </c>
      <c r="GF444">
        <v>0</v>
      </c>
      <c r="GG444">
        <v>1</v>
      </c>
      <c r="GH444" t="s">
        <v>892</v>
      </c>
      <c r="GI444" t="s">
        <v>893</v>
      </c>
      <c r="GJ444" t="s">
        <v>9258</v>
      </c>
      <c r="GM444">
        <v>1</v>
      </c>
      <c r="GN444">
        <v>1</v>
      </c>
      <c r="GO444">
        <v>0</v>
      </c>
      <c r="GP444">
        <v>1</v>
      </c>
      <c r="GQ444">
        <v>1</v>
      </c>
      <c r="GR444">
        <v>0</v>
      </c>
      <c r="GS444">
        <v>1</v>
      </c>
      <c r="GT444">
        <v>0</v>
      </c>
      <c r="GU444">
        <v>1</v>
      </c>
      <c r="GV444">
        <v>0</v>
      </c>
      <c r="GW444">
        <v>1</v>
      </c>
      <c r="GX444">
        <v>0</v>
      </c>
      <c r="GY444">
        <v>1</v>
      </c>
      <c r="GZ444">
        <v>0</v>
      </c>
      <c r="HA444" t="s">
        <v>357</v>
      </c>
      <c r="HB444" t="s">
        <v>894</v>
      </c>
      <c r="HC444" t="s">
        <v>895</v>
      </c>
      <c r="HD444" t="s">
        <v>845</v>
      </c>
      <c r="HE444" t="s">
        <v>836</v>
      </c>
      <c r="HF444" t="s">
        <v>1051</v>
      </c>
      <c r="HG444" t="s">
        <v>894</v>
      </c>
      <c r="HH444" t="s">
        <v>895</v>
      </c>
      <c r="HI444" t="s">
        <v>845</v>
      </c>
      <c r="HJ444" t="s">
        <v>836</v>
      </c>
      <c r="HK444" t="s">
        <v>1037</v>
      </c>
      <c r="HL444" t="s">
        <v>117</v>
      </c>
      <c r="HM444" t="s">
        <v>854</v>
      </c>
      <c r="HN444">
        <v>36805</v>
      </c>
      <c r="HP444" t="s">
        <v>111</v>
      </c>
      <c r="HQ444" t="s">
        <v>896</v>
      </c>
      <c r="HR444" t="s">
        <v>896</v>
      </c>
      <c r="HS444" t="s">
        <v>896</v>
      </c>
    </row>
    <row r="445" spans="1:227" x14ac:dyDescent="0.2">
      <c r="A445">
        <v>8702</v>
      </c>
      <c r="B445">
        <v>7610100982</v>
      </c>
      <c r="C445" t="s">
        <v>829</v>
      </c>
      <c r="D445" t="s">
        <v>830</v>
      </c>
      <c r="E445" t="s">
        <v>831</v>
      </c>
      <c r="F445">
        <v>0</v>
      </c>
      <c r="G445" t="s">
        <v>9265</v>
      </c>
      <c r="H445" t="s">
        <v>9265</v>
      </c>
      <c r="I445">
        <v>0</v>
      </c>
      <c r="J445" t="s">
        <v>833</v>
      </c>
      <c r="K445" t="s">
        <v>834</v>
      </c>
      <c r="L445">
        <v>156586327</v>
      </c>
      <c r="M445" t="s">
        <v>9266</v>
      </c>
      <c r="N445" t="s">
        <v>836</v>
      </c>
      <c r="O445" t="s">
        <v>837</v>
      </c>
      <c r="P445" t="s">
        <v>838</v>
      </c>
      <c r="Q445" t="s">
        <v>839</v>
      </c>
      <c r="R445" t="s">
        <v>9267</v>
      </c>
      <c r="S445" t="s">
        <v>9268</v>
      </c>
      <c r="T445">
        <v>41477129116</v>
      </c>
      <c r="V445" t="s">
        <v>1003</v>
      </c>
      <c r="W445" s="41">
        <v>46123</v>
      </c>
      <c r="X445" t="s">
        <v>9269</v>
      </c>
      <c r="Y445" t="s">
        <v>9270</v>
      </c>
      <c r="AA445">
        <v>0</v>
      </c>
      <c r="AB445" t="s">
        <v>845</v>
      </c>
      <c r="AC445" t="s">
        <v>846</v>
      </c>
      <c r="AD445" t="s">
        <v>1113</v>
      </c>
      <c r="AE445" t="s">
        <v>1114</v>
      </c>
      <c r="AF445">
        <v>1</v>
      </c>
      <c r="AG445">
        <v>452210</v>
      </c>
      <c r="AH445" t="s">
        <v>849</v>
      </c>
      <c r="AI445" t="s">
        <v>850</v>
      </c>
      <c r="AJ445" t="s">
        <v>851</v>
      </c>
      <c r="AK445" t="s">
        <v>360</v>
      </c>
      <c r="AL445" t="s">
        <v>1058</v>
      </c>
      <c r="AM445" t="s">
        <v>1059</v>
      </c>
      <c r="AN445" t="s">
        <v>854</v>
      </c>
      <c r="AO445">
        <v>36805</v>
      </c>
      <c r="AP445">
        <v>638</v>
      </c>
      <c r="AQ445" t="s">
        <v>855</v>
      </c>
      <c r="AR445">
        <v>66414819</v>
      </c>
      <c r="AS445" t="s">
        <v>856</v>
      </c>
      <c r="AU445" t="s">
        <v>9271</v>
      </c>
      <c r="AV445" t="s">
        <v>9272</v>
      </c>
      <c r="AX445" t="s">
        <v>913</v>
      </c>
      <c r="AY445" t="s">
        <v>861</v>
      </c>
      <c r="AZ445" t="s">
        <v>360</v>
      </c>
      <c r="BA445" t="s">
        <v>361</v>
      </c>
      <c r="BB445">
        <v>0</v>
      </c>
      <c r="BC445">
        <v>0</v>
      </c>
      <c r="BD445">
        <v>0</v>
      </c>
      <c r="BE445" t="s">
        <v>9266</v>
      </c>
      <c r="BF445">
        <v>0</v>
      </c>
      <c r="BG445">
        <v>0</v>
      </c>
      <c r="BH445" t="s">
        <v>862</v>
      </c>
      <c r="BI445">
        <v>0</v>
      </c>
      <c r="BJ445" t="s">
        <v>862</v>
      </c>
      <c r="BK445">
        <v>1</v>
      </c>
      <c r="BL445">
        <v>1</v>
      </c>
      <c r="BM445">
        <v>0</v>
      </c>
      <c r="BN445" t="s">
        <v>596</v>
      </c>
      <c r="BO445">
        <v>156586327</v>
      </c>
      <c r="BP445" t="s">
        <v>9265</v>
      </c>
      <c r="BR445">
        <v>42791770</v>
      </c>
      <c r="BT445">
        <v>2</v>
      </c>
      <c r="BU445" t="s">
        <v>1119</v>
      </c>
      <c r="BY445">
        <v>16</v>
      </c>
      <c r="CA445">
        <v>2</v>
      </c>
      <c r="CE445">
        <v>1</v>
      </c>
      <c r="CI445">
        <v>11</v>
      </c>
      <c r="CJ445" t="s">
        <v>94</v>
      </c>
      <c r="CM445">
        <v>4010</v>
      </c>
      <c r="CO445">
        <v>7360</v>
      </c>
      <c r="CP445">
        <v>0.36670000000000003</v>
      </c>
      <c r="CQ445">
        <v>0.36670000000000003</v>
      </c>
      <c r="CR445">
        <v>0.91669999999999996</v>
      </c>
      <c r="CS445">
        <v>1</v>
      </c>
      <c r="CT445" t="s">
        <v>9273</v>
      </c>
      <c r="CU445" t="s">
        <v>9274</v>
      </c>
      <c r="CV445" t="s">
        <v>833</v>
      </c>
      <c r="CW445" t="s">
        <v>834</v>
      </c>
      <c r="CX445" t="s">
        <v>9266</v>
      </c>
      <c r="CY445">
        <v>0</v>
      </c>
      <c r="CZ445">
        <v>0</v>
      </c>
      <c r="DA445" t="s">
        <v>833</v>
      </c>
      <c r="DB445" t="s">
        <v>865</v>
      </c>
      <c r="DC445">
        <v>61704</v>
      </c>
      <c r="DD445">
        <v>1.7666999999999999</v>
      </c>
      <c r="DE445" t="s">
        <v>866</v>
      </c>
      <c r="DG445" t="s">
        <v>867</v>
      </c>
      <c r="DH445" t="s">
        <v>851</v>
      </c>
      <c r="DK445" t="s">
        <v>918</v>
      </c>
      <c r="DL445" t="s">
        <v>869</v>
      </c>
      <c r="DM445">
        <v>0</v>
      </c>
      <c r="DN445">
        <v>0</v>
      </c>
      <c r="DO445">
        <v>3</v>
      </c>
      <c r="DP445" t="s">
        <v>919</v>
      </c>
      <c r="DQ445">
        <v>0</v>
      </c>
      <c r="DR445">
        <v>106</v>
      </c>
      <c r="DS445">
        <v>106</v>
      </c>
      <c r="DT445">
        <v>1.4</v>
      </c>
      <c r="DU445">
        <v>0</v>
      </c>
      <c r="DV445">
        <v>1</v>
      </c>
      <c r="DW445">
        <v>2</v>
      </c>
      <c r="DX445" t="s">
        <v>596</v>
      </c>
      <c r="DY445" t="s">
        <v>9266</v>
      </c>
      <c r="DZ445">
        <v>1</v>
      </c>
      <c r="EA445">
        <v>1</v>
      </c>
      <c r="EB445">
        <v>1</v>
      </c>
      <c r="EC445">
        <v>1</v>
      </c>
      <c r="ED445">
        <v>1</v>
      </c>
      <c r="EE445">
        <v>1</v>
      </c>
      <c r="EF445" t="s">
        <v>920</v>
      </c>
      <c r="EG445" t="s">
        <v>595</v>
      </c>
      <c r="EH445" t="s">
        <v>921</v>
      </c>
      <c r="EI445" t="s">
        <v>921</v>
      </c>
      <c r="EJ445" t="s">
        <v>181</v>
      </c>
      <c r="EK445">
        <v>9090</v>
      </c>
      <c r="EL445">
        <v>0</v>
      </c>
      <c r="EM445" t="s">
        <v>873</v>
      </c>
      <c r="EN445">
        <v>0.91669999999999996</v>
      </c>
      <c r="EO445">
        <v>1.7666667</v>
      </c>
      <c r="EP445">
        <v>99991120</v>
      </c>
      <c r="EQ445" t="s">
        <v>874</v>
      </c>
      <c r="ER445" t="s">
        <v>875</v>
      </c>
      <c r="ES445" t="s">
        <v>876</v>
      </c>
      <c r="ET445" t="s">
        <v>877</v>
      </c>
      <c r="EU445" t="s">
        <v>877</v>
      </c>
      <c r="EV445" t="s">
        <v>920</v>
      </c>
      <c r="EX445" t="s">
        <v>836</v>
      </c>
      <c r="EY445" t="s">
        <v>873</v>
      </c>
      <c r="EZ445" t="s">
        <v>1065</v>
      </c>
      <c r="FA445" t="s">
        <v>879</v>
      </c>
      <c r="FB445">
        <v>1</v>
      </c>
      <c r="FC445">
        <v>1</v>
      </c>
      <c r="FD445" s="41">
        <v>46123</v>
      </c>
      <c r="FE445" t="s">
        <v>1123</v>
      </c>
      <c r="FF445">
        <v>7</v>
      </c>
      <c r="FG445" t="s">
        <v>1067</v>
      </c>
      <c r="FH445" t="s">
        <v>9275</v>
      </c>
      <c r="FI445">
        <v>1</v>
      </c>
      <c r="FJ445" t="s">
        <v>9276</v>
      </c>
      <c r="FK445" t="s">
        <v>9277</v>
      </c>
      <c r="FL445">
        <v>1</v>
      </c>
      <c r="FM445" t="s">
        <v>9278</v>
      </c>
      <c r="FN445" t="s">
        <v>9279</v>
      </c>
      <c r="FO445">
        <v>1</v>
      </c>
      <c r="FP445" t="s">
        <v>9280</v>
      </c>
      <c r="FQ445" t="s">
        <v>9274</v>
      </c>
      <c r="FR445">
        <v>1</v>
      </c>
      <c r="FS445" t="s">
        <v>9281</v>
      </c>
      <c r="FT445" t="s">
        <v>9282</v>
      </c>
      <c r="FU445">
        <v>1</v>
      </c>
      <c r="FV445" t="s">
        <v>9283</v>
      </c>
      <c r="FW445" t="s">
        <v>9284</v>
      </c>
      <c r="FX445">
        <v>1</v>
      </c>
      <c r="FY445" t="s">
        <v>890</v>
      </c>
      <c r="FZ445" t="s">
        <v>9285</v>
      </c>
      <c r="GA445" t="s">
        <v>9276</v>
      </c>
      <c r="GB445">
        <v>1</v>
      </c>
      <c r="GD445">
        <v>0</v>
      </c>
      <c r="GF445">
        <v>0</v>
      </c>
      <c r="GG445">
        <v>1</v>
      </c>
      <c r="GH445" t="s">
        <v>892</v>
      </c>
      <c r="GI445" t="s">
        <v>893</v>
      </c>
      <c r="GJ445" t="s">
        <v>9277</v>
      </c>
      <c r="GM445">
        <v>1</v>
      </c>
      <c r="GN445">
        <v>1</v>
      </c>
      <c r="GO445">
        <v>0</v>
      </c>
      <c r="GP445">
        <v>1</v>
      </c>
      <c r="GQ445">
        <v>1</v>
      </c>
      <c r="GR445">
        <v>0</v>
      </c>
      <c r="GS445">
        <v>1</v>
      </c>
      <c r="GT445">
        <v>0</v>
      </c>
      <c r="GU445">
        <v>1</v>
      </c>
      <c r="GV445">
        <v>0</v>
      </c>
      <c r="GW445">
        <v>1</v>
      </c>
      <c r="GX445">
        <v>0</v>
      </c>
      <c r="GY445">
        <v>1</v>
      </c>
      <c r="GZ445">
        <v>0</v>
      </c>
      <c r="HA445" t="s">
        <v>360</v>
      </c>
      <c r="HB445" t="s">
        <v>894</v>
      </c>
      <c r="HC445" t="s">
        <v>895</v>
      </c>
      <c r="HD445" t="s">
        <v>845</v>
      </c>
      <c r="HE445" t="s">
        <v>836</v>
      </c>
      <c r="HF445" t="s">
        <v>873</v>
      </c>
      <c r="HG445" t="s">
        <v>894</v>
      </c>
      <c r="HH445" t="s">
        <v>895</v>
      </c>
      <c r="HI445" t="s">
        <v>845</v>
      </c>
      <c r="HJ445" t="s">
        <v>836</v>
      </c>
      <c r="HK445" t="s">
        <v>873</v>
      </c>
      <c r="HL445" t="s">
        <v>1003</v>
      </c>
      <c r="HM445" t="s">
        <v>854</v>
      </c>
      <c r="HN445">
        <v>36805</v>
      </c>
      <c r="HP445" t="s">
        <v>181</v>
      </c>
      <c r="HQ445" t="s">
        <v>896</v>
      </c>
      <c r="HR445" t="s">
        <v>896</v>
      </c>
      <c r="HS445" t="s">
        <v>896</v>
      </c>
    </row>
    <row r="446" spans="1:227" x14ac:dyDescent="0.2">
      <c r="A446">
        <v>8702</v>
      </c>
      <c r="B446">
        <v>7605504477</v>
      </c>
      <c r="C446">
        <v>36</v>
      </c>
      <c r="D446" t="s">
        <v>1302</v>
      </c>
      <c r="E446" t="s">
        <v>831</v>
      </c>
      <c r="F446">
        <v>0</v>
      </c>
      <c r="G446" t="s">
        <v>9286</v>
      </c>
      <c r="H446" t="s">
        <v>9286</v>
      </c>
      <c r="I446">
        <v>0</v>
      </c>
      <c r="J446" t="s">
        <v>833</v>
      </c>
      <c r="K446" t="s">
        <v>834</v>
      </c>
      <c r="L446" t="s">
        <v>9287</v>
      </c>
      <c r="M446" t="s">
        <v>8510</v>
      </c>
      <c r="N446" t="s">
        <v>836</v>
      </c>
      <c r="O446" t="s">
        <v>837</v>
      </c>
      <c r="P446" t="s">
        <v>1302</v>
      </c>
      <c r="Q446" t="s">
        <v>1517</v>
      </c>
      <c r="R446" t="s">
        <v>9288</v>
      </c>
      <c r="S446" t="s">
        <v>9289</v>
      </c>
      <c r="T446">
        <v>30300134878</v>
      </c>
      <c r="V446" t="s">
        <v>165</v>
      </c>
      <c r="W446" s="41">
        <v>46077</v>
      </c>
      <c r="X446" t="s">
        <v>9290</v>
      </c>
      <c r="Y446" t="s">
        <v>9291</v>
      </c>
      <c r="AA446">
        <v>0</v>
      </c>
      <c r="AB446" t="s">
        <v>845</v>
      </c>
      <c r="AC446" t="s">
        <v>846</v>
      </c>
      <c r="AD446" t="s">
        <v>1113</v>
      </c>
      <c r="AE446" t="s">
        <v>1114</v>
      </c>
      <c r="AF446">
        <v>1</v>
      </c>
      <c r="AG446">
        <v>452210</v>
      </c>
      <c r="AH446" t="s">
        <v>849</v>
      </c>
      <c r="AI446" t="s">
        <v>850</v>
      </c>
      <c r="AJ446" t="s">
        <v>851</v>
      </c>
      <c r="AK446" t="s">
        <v>285</v>
      </c>
      <c r="AL446" t="s">
        <v>1667</v>
      </c>
      <c r="AM446" t="s">
        <v>1499</v>
      </c>
      <c r="AN446" t="s">
        <v>854</v>
      </c>
      <c r="AO446">
        <v>36805</v>
      </c>
      <c r="AP446">
        <v>544</v>
      </c>
      <c r="AQ446" t="s">
        <v>855</v>
      </c>
      <c r="AR446">
        <v>66348715</v>
      </c>
      <c r="AS446" t="s">
        <v>856</v>
      </c>
      <c r="AU446" t="s">
        <v>9292</v>
      </c>
      <c r="AV446" t="s">
        <v>9293</v>
      </c>
      <c r="AX446" t="s">
        <v>913</v>
      </c>
      <c r="AY446" t="s">
        <v>861</v>
      </c>
      <c r="AZ446" t="s">
        <v>285</v>
      </c>
      <c r="BA446" t="s">
        <v>286</v>
      </c>
      <c r="BB446">
        <v>0</v>
      </c>
      <c r="BC446">
        <v>0</v>
      </c>
      <c r="BD446">
        <v>0</v>
      </c>
      <c r="BE446" t="s">
        <v>8510</v>
      </c>
      <c r="BF446">
        <v>0</v>
      </c>
      <c r="BG446">
        <v>0</v>
      </c>
      <c r="BH446" t="s">
        <v>862</v>
      </c>
      <c r="BI446">
        <v>0</v>
      </c>
      <c r="BJ446" t="s">
        <v>862</v>
      </c>
      <c r="BK446">
        <v>1</v>
      </c>
      <c r="BL446">
        <v>1</v>
      </c>
      <c r="BM446">
        <v>0</v>
      </c>
      <c r="BN446" t="s">
        <v>596</v>
      </c>
      <c r="BO446" t="s">
        <v>9287</v>
      </c>
      <c r="BP446" t="s">
        <v>9286</v>
      </c>
      <c r="BR446">
        <v>42791459</v>
      </c>
      <c r="BT446">
        <v>2</v>
      </c>
      <c r="BU446" t="s">
        <v>1780</v>
      </c>
      <c r="CE446">
        <v>1</v>
      </c>
      <c r="CI446">
        <v>11</v>
      </c>
      <c r="CJ446" t="s">
        <v>94</v>
      </c>
      <c r="CM446">
        <v>4010</v>
      </c>
      <c r="CO446">
        <v>7360</v>
      </c>
      <c r="CP446">
        <v>0.36670000000000003</v>
      </c>
      <c r="CQ446">
        <v>0.36670000000000003</v>
      </c>
      <c r="CR446">
        <v>1.7166999999999999</v>
      </c>
      <c r="CS446">
        <v>1</v>
      </c>
      <c r="CT446" t="s">
        <v>9293</v>
      </c>
      <c r="CU446" t="s">
        <v>9292</v>
      </c>
      <c r="CV446" t="s">
        <v>833</v>
      </c>
      <c r="CW446" t="s">
        <v>834</v>
      </c>
      <c r="CX446" t="s">
        <v>8510</v>
      </c>
      <c r="CY446">
        <v>0</v>
      </c>
      <c r="CZ446">
        <v>0</v>
      </c>
      <c r="DA446" t="s">
        <v>833</v>
      </c>
      <c r="DB446" t="s">
        <v>865</v>
      </c>
      <c r="DC446">
        <v>55378</v>
      </c>
      <c r="DD446">
        <v>3.0333000000000001</v>
      </c>
      <c r="DE446" t="s">
        <v>866</v>
      </c>
      <c r="DG446" t="s">
        <v>867</v>
      </c>
      <c r="DH446" t="s">
        <v>851</v>
      </c>
      <c r="DK446" t="s">
        <v>918</v>
      </c>
      <c r="DL446" t="s">
        <v>869</v>
      </c>
      <c r="DM446">
        <v>0</v>
      </c>
      <c r="DN446">
        <v>0</v>
      </c>
      <c r="DO446">
        <v>2</v>
      </c>
      <c r="DP446" t="s">
        <v>870</v>
      </c>
      <c r="DQ446">
        <v>0</v>
      </c>
      <c r="DR446">
        <v>182</v>
      </c>
      <c r="DS446">
        <v>182</v>
      </c>
      <c r="DT446">
        <v>2.6667000000000001</v>
      </c>
      <c r="DU446">
        <v>0</v>
      </c>
      <c r="DV446">
        <v>1</v>
      </c>
      <c r="DW446">
        <v>1</v>
      </c>
      <c r="DX446" t="s">
        <v>596</v>
      </c>
      <c r="DY446" t="s">
        <v>8510</v>
      </c>
      <c r="DZ446">
        <v>1</v>
      </c>
      <c r="EA446">
        <v>1</v>
      </c>
      <c r="EB446">
        <v>1</v>
      </c>
      <c r="EC446">
        <v>1</v>
      </c>
      <c r="ED446">
        <v>1</v>
      </c>
      <c r="EE446">
        <v>1</v>
      </c>
      <c r="EF446" t="s">
        <v>871</v>
      </c>
      <c r="EG446" t="s">
        <v>595</v>
      </c>
      <c r="EH446" t="s">
        <v>1036</v>
      </c>
      <c r="EI446" t="s">
        <v>1036</v>
      </c>
      <c r="EJ446" t="s">
        <v>159</v>
      </c>
      <c r="EK446">
        <v>9090</v>
      </c>
      <c r="EL446">
        <v>0</v>
      </c>
      <c r="EM446" t="s">
        <v>873</v>
      </c>
      <c r="EN446">
        <v>1.7166999999999999</v>
      </c>
      <c r="EO446">
        <v>3.0333332999999998</v>
      </c>
      <c r="EP446">
        <v>99991120</v>
      </c>
      <c r="EQ446" t="s">
        <v>874</v>
      </c>
      <c r="ER446" t="s">
        <v>875</v>
      </c>
      <c r="ES446" t="s">
        <v>876</v>
      </c>
      <c r="ET446" t="s">
        <v>877</v>
      </c>
      <c r="EU446" t="s">
        <v>877</v>
      </c>
      <c r="EV446" t="s">
        <v>871</v>
      </c>
      <c r="EX446" t="s">
        <v>836</v>
      </c>
      <c r="EY446" t="s">
        <v>1121</v>
      </c>
      <c r="EZ446" t="s">
        <v>1122</v>
      </c>
      <c r="FA446" t="s">
        <v>956</v>
      </c>
      <c r="FB446">
        <v>1</v>
      </c>
      <c r="FC446">
        <v>1</v>
      </c>
      <c r="FD446" s="41">
        <v>46081</v>
      </c>
      <c r="FE446" t="s">
        <v>1267</v>
      </c>
      <c r="FF446">
        <v>6</v>
      </c>
      <c r="FG446" t="s">
        <v>1672</v>
      </c>
      <c r="FH446" t="s">
        <v>9294</v>
      </c>
      <c r="FI446">
        <v>1</v>
      </c>
      <c r="FJ446" t="s">
        <v>9295</v>
      </c>
      <c r="FK446" t="s">
        <v>9296</v>
      </c>
      <c r="FL446">
        <v>1</v>
      </c>
      <c r="FM446" t="s">
        <v>9297</v>
      </c>
      <c r="FN446" t="s">
        <v>9298</v>
      </c>
      <c r="FO446">
        <v>1</v>
      </c>
      <c r="FP446" t="s">
        <v>9299</v>
      </c>
      <c r="FQ446" t="s">
        <v>9300</v>
      </c>
      <c r="FR446">
        <v>1</v>
      </c>
      <c r="FS446" t="s">
        <v>1273</v>
      </c>
      <c r="FT446" t="s">
        <v>9301</v>
      </c>
      <c r="FU446">
        <v>1</v>
      </c>
      <c r="FV446" t="s">
        <v>1835</v>
      </c>
      <c r="FW446" t="s">
        <v>9302</v>
      </c>
      <c r="FX446">
        <v>1</v>
      </c>
      <c r="FY446" t="s">
        <v>890</v>
      </c>
      <c r="FZ446" t="s">
        <v>9303</v>
      </c>
      <c r="GA446" t="s">
        <v>9295</v>
      </c>
      <c r="GB446">
        <v>1</v>
      </c>
      <c r="GD446">
        <v>0</v>
      </c>
      <c r="GF446">
        <v>0</v>
      </c>
      <c r="GG446">
        <v>1</v>
      </c>
      <c r="GH446" t="s">
        <v>892</v>
      </c>
      <c r="GI446" t="s">
        <v>893</v>
      </c>
      <c r="GJ446" t="s">
        <v>9296</v>
      </c>
      <c r="GM446">
        <v>1</v>
      </c>
      <c r="GN446">
        <v>1</v>
      </c>
      <c r="GO446">
        <v>0</v>
      </c>
      <c r="GP446">
        <v>1</v>
      </c>
      <c r="GQ446">
        <v>1</v>
      </c>
      <c r="GR446">
        <v>0</v>
      </c>
      <c r="GS446">
        <v>1</v>
      </c>
      <c r="GT446">
        <v>0</v>
      </c>
      <c r="GU446">
        <v>1</v>
      </c>
      <c r="GV446">
        <v>0</v>
      </c>
      <c r="GW446">
        <v>1</v>
      </c>
      <c r="GX446">
        <v>0</v>
      </c>
      <c r="GY446">
        <v>1</v>
      </c>
      <c r="GZ446">
        <v>0</v>
      </c>
      <c r="HA446" t="s">
        <v>285</v>
      </c>
      <c r="HB446" t="s">
        <v>894</v>
      </c>
      <c r="HC446" t="s">
        <v>895</v>
      </c>
      <c r="HD446" t="s">
        <v>845</v>
      </c>
      <c r="HE446" t="s">
        <v>836</v>
      </c>
      <c r="HF446" t="s">
        <v>873</v>
      </c>
      <c r="HG446" t="s">
        <v>894</v>
      </c>
      <c r="HH446" t="s">
        <v>895</v>
      </c>
      <c r="HI446" t="s">
        <v>845</v>
      </c>
      <c r="HJ446" t="s">
        <v>836</v>
      </c>
      <c r="HK446" t="s">
        <v>873</v>
      </c>
      <c r="HL446" t="s">
        <v>165</v>
      </c>
      <c r="HM446" t="s">
        <v>854</v>
      </c>
      <c r="HN446">
        <v>36805</v>
      </c>
      <c r="HP446" t="s">
        <v>159</v>
      </c>
      <c r="HQ446" t="s">
        <v>896</v>
      </c>
      <c r="HR446" t="s">
        <v>896</v>
      </c>
      <c r="HS446" t="s">
        <v>896</v>
      </c>
    </row>
    <row r="447" spans="1:227" x14ac:dyDescent="0.2">
      <c r="A447">
        <v>8702</v>
      </c>
      <c r="B447">
        <v>7613400055</v>
      </c>
      <c r="C447" t="s">
        <v>829</v>
      </c>
      <c r="D447" t="s">
        <v>830</v>
      </c>
      <c r="E447" t="s">
        <v>831</v>
      </c>
      <c r="F447">
        <v>3</v>
      </c>
      <c r="G447" t="s">
        <v>9304</v>
      </c>
      <c r="H447" t="s">
        <v>9304</v>
      </c>
      <c r="I447">
        <v>0</v>
      </c>
      <c r="J447" t="s">
        <v>833</v>
      </c>
      <c r="K447" t="s">
        <v>834</v>
      </c>
      <c r="L447">
        <v>156046223</v>
      </c>
      <c r="M447" t="s">
        <v>2546</v>
      </c>
      <c r="N447" t="s">
        <v>836</v>
      </c>
      <c r="O447" t="s">
        <v>837</v>
      </c>
      <c r="P447" t="s">
        <v>838</v>
      </c>
      <c r="Q447" t="s">
        <v>839</v>
      </c>
      <c r="R447" t="s">
        <v>9305</v>
      </c>
      <c r="S447" t="s">
        <v>9306</v>
      </c>
      <c r="T447">
        <v>41477068982</v>
      </c>
      <c r="V447" t="s">
        <v>187</v>
      </c>
      <c r="W447" s="41">
        <v>46157</v>
      </c>
      <c r="X447" t="s">
        <v>9307</v>
      </c>
      <c r="Y447" t="s">
        <v>9308</v>
      </c>
      <c r="AA447">
        <v>0</v>
      </c>
      <c r="AB447" t="s">
        <v>845</v>
      </c>
      <c r="AC447" t="s">
        <v>846</v>
      </c>
      <c r="AD447" t="s">
        <v>1113</v>
      </c>
      <c r="AE447" t="s">
        <v>1114</v>
      </c>
      <c r="AF447">
        <v>1</v>
      </c>
      <c r="AG447">
        <v>452210</v>
      </c>
      <c r="AH447" t="s">
        <v>849</v>
      </c>
      <c r="AI447" t="s">
        <v>850</v>
      </c>
      <c r="AJ447" t="s">
        <v>851</v>
      </c>
      <c r="AK447" t="s">
        <v>379</v>
      </c>
      <c r="AL447" t="s">
        <v>2645</v>
      </c>
      <c r="AM447" t="s">
        <v>2553</v>
      </c>
      <c r="AN447" t="s">
        <v>854</v>
      </c>
      <c r="AO447">
        <v>36805</v>
      </c>
      <c r="AP447">
        <v>634</v>
      </c>
      <c r="AQ447" t="s">
        <v>855</v>
      </c>
      <c r="AR447">
        <v>66463906</v>
      </c>
      <c r="AS447" t="s">
        <v>856</v>
      </c>
      <c r="AU447" t="s">
        <v>9309</v>
      </c>
      <c r="AV447" t="s">
        <v>9310</v>
      </c>
      <c r="AX447" t="s">
        <v>913</v>
      </c>
      <c r="AY447" t="s">
        <v>861</v>
      </c>
      <c r="AZ447" t="s">
        <v>379</v>
      </c>
      <c r="BA447" t="s">
        <v>380</v>
      </c>
      <c r="BB447">
        <v>0</v>
      </c>
      <c r="BC447">
        <v>0</v>
      </c>
      <c r="BD447">
        <v>0</v>
      </c>
      <c r="BE447" t="s">
        <v>2546</v>
      </c>
      <c r="BF447">
        <v>0</v>
      </c>
      <c r="BG447">
        <v>0</v>
      </c>
      <c r="BH447" t="s">
        <v>862</v>
      </c>
      <c r="BI447">
        <v>0</v>
      </c>
      <c r="BJ447" t="s">
        <v>862</v>
      </c>
      <c r="BK447">
        <v>1</v>
      </c>
      <c r="BL447">
        <v>1</v>
      </c>
      <c r="BM447">
        <v>0</v>
      </c>
      <c r="BN447" t="s">
        <v>596</v>
      </c>
      <c r="BO447">
        <v>156046223</v>
      </c>
      <c r="BP447" t="s">
        <v>9304</v>
      </c>
      <c r="BR447">
        <v>42791756</v>
      </c>
      <c r="BT447">
        <v>2</v>
      </c>
      <c r="BU447" t="s">
        <v>1803</v>
      </c>
      <c r="BY447">
        <v>16</v>
      </c>
      <c r="CA447">
        <v>12</v>
      </c>
      <c r="CE447">
        <v>1</v>
      </c>
      <c r="CI447">
        <v>11</v>
      </c>
      <c r="CJ447" t="s">
        <v>94</v>
      </c>
      <c r="CM447">
        <v>4010</v>
      </c>
      <c r="CO447">
        <v>7360</v>
      </c>
      <c r="CP447">
        <v>0.91669999999999996</v>
      </c>
      <c r="CQ447">
        <v>0.91669999999999996</v>
      </c>
      <c r="CR447">
        <v>0.91669999999999996</v>
      </c>
      <c r="CS447">
        <v>1</v>
      </c>
      <c r="CT447" t="s">
        <v>9310</v>
      </c>
      <c r="CU447" t="s">
        <v>9309</v>
      </c>
      <c r="CV447" t="s">
        <v>833</v>
      </c>
      <c r="CW447" t="s">
        <v>834</v>
      </c>
      <c r="CX447" t="s">
        <v>2546</v>
      </c>
      <c r="CY447">
        <v>0</v>
      </c>
      <c r="CZ447">
        <v>0</v>
      </c>
      <c r="DA447" t="s">
        <v>833</v>
      </c>
      <c r="DB447" t="s">
        <v>865</v>
      </c>
      <c r="DC447">
        <v>60435</v>
      </c>
      <c r="DD447">
        <v>12.5</v>
      </c>
      <c r="DE447" t="s">
        <v>866</v>
      </c>
      <c r="DG447" t="s">
        <v>867</v>
      </c>
      <c r="DH447" t="s">
        <v>851</v>
      </c>
      <c r="DI447" t="s">
        <v>984</v>
      </c>
      <c r="DJ447" t="s">
        <v>2556</v>
      </c>
      <c r="DK447" t="s">
        <v>918</v>
      </c>
      <c r="DL447" t="s">
        <v>869</v>
      </c>
      <c r="DM447">
        <v>0</v>
      </c>
      <c r="DN447">
        <v>0</v>
      </c>
      <c r="DO447">
        <v>2</v>
      </c>
      <c r="DP447" t="s">
        <v>870</v>
      </c>
      <c r="DQ447">
        <v>0</v>
      </c>
      <c r="DR447">
        <v>750</v>
      </c>
      <c r="DS447">
        <v>1470</v>
      </c>
      <c r="DT447">
        <v>11.583299999999999</v>
      </c>
      <c r="DU447">
        <v>0</v>
      </c>
      <c r="DV447">
        <v>1</v>
      </c>
      <c r="DW447">
        <v>2</v>
      </c>
      <c r="DX447" t="s">
        <v>596</v>
      </c>
      <c r="DY447" t="s">
        <v>2546</v>
      </c>
      <c r="DZ447">
        <v>1</v>
      </c>
      <c r="EA447">
        <v>1</v>
      </c>
      <c r="EB447">
        <v>1</v>
      </c>
      <c r="EC447">
        <v>1</v>
      </c>
      <c r="ED447">
        <v>1</v>
      </c>
      <c r="EE447">
        <v>1</v>
      </c>
      <c r="EF447" t="s">
        <v>871</v>
      </c>
      <c r="EG447" t="s">
        <v>595</v>
      </c>
      <c r="EH447" t="s">
        <v>921</v>
      </c>
      <c r="EI447" t="s">
        <v>921</v>
      </c>
      <c r="EJ447" t="s">
        <v>181</v>
      </c>
      <c r="EK447">
        <v>9090</v>
      </c>
      <c r="EL447">
        <v>0</v>
      </c>
      <c r="EM447" t="s">
        <v>1436</v>
      </c>
      <c r="EN447">
        <v>0.91669999999999996</v>
      </c>
      <c r="EO447">
        <v>24.5</v>
      </c>
      <c r="EP447">
        <v>99991120</v>
      </c>
      <c r="EQ447" t="s">
        <v>874</v>
      </c>
      <c r="ER447" t="s">
        <v>875</v>
      </c>
      <c r="ES447" t="s">
        <v>876</v>
      </c>
      <c r="ET447" t="s">
        <v>877</v>
      </c>
      <c r="EU447" t="s">
        <v>877</v>
      </c>
      <c r="EV447" t="s">
        <v>871</v>
      </c>
      <c r="EX447" t="s">
        <v>836</v>
      </c>
      <c r="EY447" t="s">
        <v>873</v>
      </c>
      <c r="EZ447" t="s">
        <v>1437</v>
      </c>
      <c r="FA447" t="s">
        <v>956</v>
      </c>
      <c r="FB447">
        <v>1</v>
      </c>
      <c r="FC447">
        <v>1</v>
      </c>
      <c r="FD447" s="41">
        <v>46158</v>
      </c>
      <c r="FE447" t="s">
        <v>1808</v>
      </c>
      <c r="FF447">
        <v>6</v>
      </c>
      <c r="FG447" t="s">
        <v>1445</v>
      </c>
      <c r="FH447" t="s">
        <v>9311</v>
      </c>
      <c r="FI447">
        <v>1</v>
      </c>
      <c r="FJ447" t="s">
        <v>9312</v>
      </c>
      <c r="FK447" t="s">
        <v>9313</v>
      </c>
      <c r="FL447">
        <v>1</v>
      </c>
      <c r="FM447" t="s">
        <v>2561</v>
      </c>
      <c r="FN447" t="s">
        <v>9314</v>
      </c>
      <c r="FO447">
        <v>1</v>
      </c>
      <c r="FP447" t="s">
        <v>9315</v>
      </c>
      <c r="FQ447" t="s">
        <v>9309</v>
      </c>
      <c r="FR447">
        <v>1</v>
      </c>
      <c r="FS447" t="s">
        <v>1527</v>
      </c>
      <c r="FT447" t="s">
        <v>9316</v>
      </c>
      <c r="FU447">
        <v>1</v>
      </c>
      <c r="FV447" t="s">
        <v>3001</v>
      </c>
      <c r="FW447" t="s">
        <v>9317</v>
      </c>
      <c r="FX447">
        <v>1</v>
      </c>
      <c r="FY447" t="s">
        <v>890</v>
      </c>
      <c r="FZ447" t="s">
        <v>9318</v>
      </c>
      <c r="GA447" t="s">
        <v>9312</v>
      </c>
      <c r="GB447">
        <v>1</v>
      </c>
      <c r="GD447">
        <v>0</v>
      </c>
      <c r="GF447">
        <v>0</v>
      </c>
      <c r="GG447">
        <v>1</v>
      </c>
      <c r="GH447" t="s">
        <v>892</v>
      </c>
      <c r="GI447" t="s">
        <v>893</v>
      </c>
      <c r="GJ447" t="s">
        <v>9313</v>
      </c>
      <c r="GM447">
        <v>1</v>
      </c>
      <c r="GN447">
        <v>1</v>
      </c>
      <c r="GO447">
        <v>0</v>
      </c>
      <c r="GP447">
        <v>1</v>
      </c>
      <c r="GQ447">
        <v>1</v>
      </c>
      <c r="GR447">
        <v>0</v>
      </c>
      <c r="GS447">
        <v>1</v>
      </c>
      <c r="GT447">
        <v>0</v>
      </c>
      <c r="GU447">
        <v>1</v>
      </c>
      <c r="GV447">
        <v>0</v>
      </c>
      <c r="GW447">
        <v>1</v>
      </c>
      <c r="GX447">
        <v>0</v>
      </c>
      <c r="GY447">
        <v>1</v>
      </c>
      <c r="GZ447">
        <v>0</v>
      </c>
      <c r="HA447" t="s">
        <v>379</v>
      </c>
      <c r="HB447" t="s">
        <v>894</v>
      </c>
      <c r="HC447" t="s">
        <v>895</v>
      </c>
      <c r="HD447" t="s">
        <v>845</v>
      </c>
      <c r="HE447" t="s">
        <v>836</v>
      </c>
      <c r="HF447" t="s">
        <v>873</v>
      </c>
      <c r="HG447" t="s">
        <v>894</v>
      </c>
      <c r="HH447" t="s">
        <v>895</v>
      </c>
      <c r="HI447" t="s">
        <v>845</v>
      </c>
      <c r="HJ447" t="s">
        <v>836</v>
      </c>
      <c r="HK447" t="s">
        <v>1436</v>
      </c>
      <c r="HL447" t="s">
        <v>187</v>
      </c>
      <c r="HM447" t="s">
        <v>854</v>
      </c>
      <c r="HN447">
        <v>36805</v>
      </c>
      <c r="HP447" t="s">
        <v>181</v>
      </c>
      <c r="HQ447" t="s">
        <v>896</v>
      </c>
      <c r="HR447" t="s">
        <v>896</v>
      </c>
      <c r="HS447" t="s">
        <v>896</v>
      </c>
    </row>
    <row r="448" spans="1:227" x14ac:dyDescent="0.2">
      <c r="A448">
        <v>8702</v>
      </c>
      <c r="B448">
        <v>7534008605</v>
      </c>
      <c r="C448" t="s">
        <v>936</v>
      </c>
      <c r="D448" t="s">
        <v>937</v>
      </c>
      <c r="E448" t="s">
        <v>897</v>
      </c>
      <c r="F448">
        <v>1103967</v>
      </c>
      <c r="G448" t="s">
        <v>9319</v>
      </c>
      <c r="H448" t="s">
        <v>9319</v>
      </c>
      <c r="I448">
        <v>0</v>
      </c>
      <c r="J448" t="s">
        <v>833</v>
      </c>
      <c r="K448" t="s">
        <v>834</v>
      </c>
      <c r="L448">
        <v>153406493</v>
      </c>
      <c r="M448" t="s">
        <v>9320</v>
      </c>
      <c r="N448" t="s">
        <v>900</v>
      </c>
      <c r="O448" t="s">
        <v>837</v>
      </c>
      <c r="P448" t="s">
        <v>940</v>
      </c>
      <c r="Q448" t="s">
        <v>2404</v>
      </c>
      <c r="R448" t="s">
        <v>9321</v>
      </c>
      <c r="S448" t="s">
        <v>9322</v>
      </c>
      <c r="T448">
        <v>41477056288</v>
      </c>
      <c r="V448" t="s">
        <v>133</v>
      </c>
      <c r="W448" s="41">
        <v>46000</v>
      </c>
      <c r="X448" t="s">
        <v>9323</v>
      </c>
      <c r="Y448" t="s">
        <v>9324</v>
      </c>
      <c r="AA448">
        <v>0</v>
      </c>
      <c r="AB448" t="s">
        <v>845</v>
      </c>
      <c r="AC448" t="s">
        <v>846</v>
      </c>
      <c r="AD448" t="s">
        <v>847</v>
      </c>
      <c r="AE448" t="s">
        <v>848</v>
      </c>
      <c r="AF448">
        <v>1</v>
      </c>
      <c r="AG448">
        <v>452210</v>
      </c>
      <c r="AH448" t="s">
        <v>849</v>
      </c>
      <c r="AI448" t="s">
        <v>850</v>
      </c>
      <c r="AJ448" t="s">
        <v>851</v>
      </c>
      <c r="AK448" t="s">
        <v>279</v>
      </c>
      <c r="AL448" t="s">
        <v>1181</v>
      </c>
      <c r="AM448" t="s">
        <v>1970</v>
      </c>
      <c r="AN448" t="s">
        <v>854</v>
      </c>
      <c r="AO448">
        <v>36805</v>
      </c>
      <c r="AP448">
        <v>532</v>
      </c>
      <c r="AQ448" t="s">
        <v>855</v>
      </c>
      <c r="AR448">
        <v>0</v>
      </c>
      <c r="AS448" t="s">
        <v>856</v>
      </c>
      <c r="AU448" t="s">
        <v>9325</v>
      </c>
      <c r="AV448" t="s">
        <v>9326</v>
      </c>
      <c r="AX448" t="s">
        <v>913</v>
      </c>
      <c r="AY448" t="s">
        <v>861</v>
      </c>
      <c r="AZ448" t="s">
        <v>279</v>
      </c>
      <c r="BA448" t="s">
        <v>280</v>
      </c>
      <c r="BB448">
        <v>1</v>
      </c>
      <c r="BC448">
        <v>0</v>
      </c>
      <c r="BD448">
        <v>0</v>
      </c>
      <c r="BE448" t="s">
        <v>9320</v>
      </c>
      <c r="BF448">
        <v>0</v>
      </c>
      <c r="BG448">
        <v>0</v>
      </c>
      <c r="BH448" t="s">
        <v>862</v>
      </c>
      <c r="BI448">
        <v>0</v>
      </c>
      <c r="BJ448" t="s">
        <v>862</v>
      </c>
      <c r="BK448">
        <v>1</v>
      </c>
      <c r="BL448">
        <v>1</v>
      </c>
      <c r="BM448">
        <v>0</v>
      </c>
      <c r="BN448" t="s">
        <v>596</v>
      </c>
      <c r="BO448">
        <v>153406493</v>
      </c>
      <c r="BP448" t="s">
        <v>9319</v>
      </c>
      <c r="BQ448">
        <v>39.765276100000001</v>
      </c>
      <c r="BR448">
        <v>42791447</v>
      </c>
      <c r="BS448">
        <v>-86.322542299999995</v>
      </c>
      <c r="BT448">
        <v>0</v>
      </c>
      <c r="CM448">
        <v>4010</v>
      </c>
      <c r="CO448">
        <v>7360</v>
      </c>
      <c r="CP448">
        <v>1.1833</v>
      </c>
      <c r="CQ448">
        <v>1.1833</v>
      </c>
      <c r="CR448">
        <v>2.2999999999999998</v>
      </c>
      <c r="CS448">
        <v>0</v>
      </c>
      <c r="CT448" t="s">
        <v>9326</v>
      </c>
      <c r="CU448" t="s">
        <v>9325</v>
      </c>
      <c r="CV448" t="s">
        <v>833</v>
      </c>
      <c r="CW448" t="s">
        <v>834</v>
      </c>
      <c r="CX448" t="s">
        <v>9320</v>
      </c>
      <c r="CY448">
        <v>1</v>
      </c>
      <c r="CZ448">
        <v>1</v>
      </c>
      <c r="DA448" t="s">
        <v>833</v>
      </c>
      <c r="DB448" t="s">
        <v>865</v>
      </c>
      <c r="DC448">
        <v>46234</v>
      </c>
      <c r="DD448">
        <v>34.950000000000003</v>
      </c>
      <c r="DE448" t="s">
        <v>866</v>
      </c>
      <c r="DG448" t="s">
        <v>867</v>
      </c>
      <c r="DH448" t="s">
        <v>851</v>
      </c>
      <c r="DL448" t="s">
        <v>869</v>
      </c>
      <c r="DM448">
        <v>0</v>
      </c>
      <c r="DN448">
        <v>0</v>
      </c>
      <c r="DO448">
        <v>11</v>
      </c>
      <c r="DP448" t="s">
        <v>1010</v>
      </c>
      <c r="DQ448">
        <v>16</v>
      </c>
      <c r="DR448">
        <v>2097</v>
      </c>
      <c r="DS448">
        <v>4257</v>
      </c>
      <c r="DT448">
        <v>3.3167</v>
      </c>
      <c r="DU448">
        <v>4</v>
      </c>
      <c r="DW448">
        <v>2</v>
      </c>
      <c r="DX448" t="s">
        <v>596</v>
      </c>
      <c r="DY448" t="s">
        <v>9320</v>
      </c>
      <c r="DZ448">
        <v>0</v>
      </c>
      <c r="EA448">
        <v>0</v>
      </c>
      <c r="EB448">
        <v>1</v>
      </c>
      <c r="EC448">
        <v>1</v>
      </c>
      <c r="ED448">
        <v>1</v>
      </c>
      <c r="EE448">
        <v>1</v>
      </c>
      <c r="EF448" t="s">
        <v>920</v>
      </c>
      <c r="EG448" t="s">
        <v>595</v>
      </c>
      <c r="EH448" t="s">
        <v>921</v>
      </c>
      <c r="EI448" t="s">
        <v>921</v>
      </c>
      <c r="EJ448" t="s">
        <v>134</v>
      </c>
      <c r="EK448">
        <v>9090</v>
      </c>
      <c r="EL448">
        <v>1</v>
      </c>
      <c r="EM448" t="s">
        <v>1011</v>
      </c>
      <c r="EN448">
        <v>3.2166999999999999</v>
      </c>
      <c r="EO448">
        <v>70.95</v>
      </c>
      <c r="EP448">
        <v>99991120</v>
      </c>
      <c r="EQ448" t="s">
        <v>874</v>
      </c>
      <c r="ER448" t="s">
        <v>875</v>
      </c>
      <c r="ES448" t="s">
        <v>876</v>
      </c>
      <c r="ET448" t="s">
        <v>877</v>
      </c>
      <c r="EU448" t="s">
        <v>877</v>
      </c>
      <c r="EV448" t="s">
        <v>920</v>
      </c>
      <c r="EX448" t="s">
        <v>953</v>
      </c>
      <c r="EY448" t="s">
        <v>1555</v>
      </c>
      <c r="EZ448" t="s">
        <v>1013</v>
      </c>
      <c r="FA448" t="s">
        <v>925</v>
      </c>
      <c r="FB448">
        <v>1</v>
      </c>
      <c r="FC448">
        <v>2</v>
      </c>
      <c r="FD448" s="41">
        <v>46004</v>
      </c>
      <c r="FE448" t="s">
        <v>957</v>
      </c>
      <c r="FF448">
        <v>9</v>
      </c>
      <c r="FG448" t="s">
        <v>9327</v>
      </c>
      <c r="FH448" t="s">
        <v>9328</v>
      </c>
      <c r="FI448">
        <v>1</v>
      </c>
      <c r="FJ448" t="s">
        <v>9329</v>
      </c>
      <c r="FK448" t="s">
        <v>9328</v>
      </c>
      <c r="FL448">
        <v>1</v>
      </c>
      <c r="FM448" t="s">
        <v>9330</v>
      </c>
      <c r="FN448" t="s">
        <v>9331</v>
      </c>
      <c r="FO448">
        <v>1</v>
      </c>
      <c r="FP448" t="s">
        <v>9332</v>
      </c>
      <c r="FQ448" t="s">
        <v>9325</v>
      </c>
      <c r="FR448">
        <v>1</v>
      </c>
      <c r="FS448" t="s">
        <v>2417</v>
      </c>
      <c r="FT448" t="s">
        <v>9333</v>
      </c>
      <c r="FU448">
        <v>1</v>
      </c>
      <c r="FV448" t="s">
        <v>9334</v>
      </c>
      <c r="FW448" t="s">
        <v>9335</v>
      </c>
      <c r="FX448">
        <v>1</v>
      </c>
      <c r="FY448" t="s">
        <v>890</v>
      </c>
      <c r="FZ448" t="s">
        <v>9336</v>
      </c>
      <c r="GA448" t="s">
        <v>9329</v>
      </c>
      <c r="GB448">
        <v>1</v>
      </c>
      <c r="GD448">
        <v>0</v>
      </c>
      <c r="GF448">
        <v>0</v>
      </c>
      <c r="GG448">
        <v>1</v>
      </c>
      <c r="GH448" t="s">
        <v>892</v>
      </c>
      <c r="GI448" t="s">
        <v>893</v>
      </c>
      <c r="GJ448" t="s">
        <v>9328</v>
      </c>
      <c r="GM448">
        <v>1</v>
      </c>
      <c r="GN448">
        <v>0</v>
      </c>
      <c r="GO448">
        <v>0</v>
      </c>
      <c r="GP448">
        <v>1</v>
      </c>
      <c r="GQ448">
        <v>1</v>
      </c>
      <c r="GR448">
        <v>0</v>
      </c>
      <c r="GS448">
        <v>1</v>
      </c>
      <c r="GT448">
        <v>0</v>
      </c>
      <c r="GU448">
        <v>1</v>
      </c>
      <c r="GV448">
        <v>0</v>
      </c>
      <c r="GW448">
        <v>1</v>
      </c>
      <c r="GX448">
        <v>0</v>
      </c>
      <c r="GY448">
        <v>1</v>
      </c>
      <c r="GZ448">
        <v>0</v>
      </c>
      <c r="HA448" t="s">
        <v>279</v>
      </c>
      <c r="HB448" t="s">
        <v>894</v>
      </c>
      <c r="HC448" t="s">
        <v>935</v>
      </c>
      <c r="HD448" t="s">
        <v>845</v>
      </c>
      <c r="HE448" t="s">
        <v>900</v>
      </c>
      <c r="HF448" t="s">
        <v>1012</v>
      </c>
      <c r="HG448" t="s">
        <v>894</v>
      </c>
      <c r="HH448" t="s">
        <v>935</v>
      </c>
      <c r="HI448" t="s">
        <v>845</v>
      </c>
      <c r="HJ448" t="s">
        <v>900</v>
      </c>
      <c r="HK448" t="s">
        <v>1011</v>
      </c>
      <c r="HL448" t="s">
        <v>133</v>
      </c>
      <c r="HM448" t="s">
        <v>854</v>
      </c>
      <c r="HN448">
        <v>36805</v>
      </c>
      <c r="HP448" t="s">
        <v>134</v>
      </c>
      <c r="HQ448" t="s">
        <v>896</v>
      </c>
      <c r="HR448" t="s">
        <v>896</v>
      </c>
      <c r="HS448" t="s">
        <v>896</v>
      </c>
    </row>
    <row r="449" spans="1:227" x14ac:dyDescent="0.2">
      <c r="A449">
        <v>8702</v>
      </c>
      <c r="B449">
        <v>7605300847</v>
      </c>
      <c r="C449">
        <v>34</v>
      </c>
      <c r="D449" t="s">
        <v>996</v>
      </c>
      <c r="E449" t="s">
        <v>897</v>
      </c>
      <c r="F449">
        <v>1</v>
      </c>
      <c r="G449" t="s">
        <v>9337</v>
      </c>
      <c r="H449" t="s">
        <v>9337</v>
      </c>
      <c r="I449">
        <v>0</v>
      </c>
      <c r="J449" t="s">
        <v>833</v>
      </c>
      <c r="K449" t="s">
        <v>834</v>
      </c>
      <c r="L449">
        <v>153406486</v>
      </c>
      <c r="M449" t="s">
        <v>5782</v>
      </c>
      <c r="N449" t="s">
        <v>900</v>
      </c>
      <c r="O449" t="s">
        <v>837</v>
      </c>
      <c r="P449" t="s">
        <v>999</v>
      </c>
      <c r="Q449" t="s">
        <v>1000</v>
      </c>
      <c r="R449" t="s">
        <v>9338</v>
      </c>
      <c r="S449" t="s">
        <v>9339</v>
      </c>
      <c r="T449">
        <v>41477086710</v>
      </c>
      <c r="V449" t="s">
        <v>202</v>
      </c>
      <c r="W449" s="41">
        <v>46077</v>
      </c>
      <c r="X449" t="s">
        <v>9340</v>
      </c>
      <c r="Y449" t="s">
        <v>9341</v>
      </c>
      <c r="Z449" t="s">
        <v>9342</v>
      </c>
      <c r="AA449">
        <v>0</v>
      </c>
      <c r="AB449" t="s">
        <v>845</v>
      </c>
      <c r="AC449" t="s">
        <v>846</v>
      </c>
      <c r="AD449" t="s">
        <v>1113</v>
      </c>
      <c r="AE449" t="s">
        <v>1114</v>
      </c>
      <c r="AF449">
        <v>1</v>
      </c>
      <c r="AG449">
        <v>452210</v>
      </c>
      <c r="AH449" t="s">
        <v>849</v>
      </c>
      <c r="AI449" t="s">
        <v>850</v>
      </c>
      <c r="AJ449" t="s">
        <v>851</v>
      </c>
      <c r="AK449" t="s">
        <v>425</v>
      </c>
      <c r="AL449" t="s">
        <v>9343</v>
      </c>
      <c r="AM449" t="s">
        <v>947</v>
      </c>
      <c r="AN449" t="s">
        <v>854</v>
      </c>
      <c r="AO449">
        <v>36805</v>
      </c>
      <c r="AP449">
        <v>643</v>
      </c>
      <c r="AQ449" t="s">
        <v>855</v>
      </c>
      <c r="AR449">
        <v>66348898</v>
      </c>
      <c r="AS449" t="s">
        <v>856</v>
      </c>
      <c r="AU449" t="s">
        <v>9344</v>
      </c>
      <c r="AV449" t="s">
        <v>9345</v>
      </c>
      <c r="AW449" t="s">
        <v>950</v>
      </c>
      <c r="AX449" t="s">
        <v>951</v>
      </c>
      <c r="AY449" t="s">
        <v>861</v>
      </c>
      <c r="AZ449" t="s">
        <v>425</v>
      </c>
      <c r="BA449" t="s">
        <v>426</v>
      </c>
      <c r="BB449">
        <v>1</v>
      </c>
      <c r="BC449">
        <v>0</v>
      </c>
      <c r="BD449">
        <v>0</v>
      </c>
      <c r="BE449" t="s">
        <v>5782</v>
      </c>
      <c r="BF449">
        <v>0</v>
      </c>
      <c r="BG449">
        <v>0</v>
      </c>
      <c r="BH449" t="s">
        <v>862</v>
      </c>
      <c r="BI449">
        <v>0</v>
      </c>
      <c r="BJ449" t="s">
        <v>862</v>
      </c>
      <c r="BK449">
        <v>1</v>
      </c>
      <c r="BL449">
        <v>0</v>
      </c>
      <c r="BM449">
        <v>0</v>
      </c>
      <c r="BN449" t="s">
        <v>596</v>
      </c>
      <c r="BO449">
        <v>153406486</v>
      </c>
      <c r="BP449" t="s">
        <v>9337</v>
      </c>
      <c r="BR449">
        <v>42791774</v>
      </c>
      <c r="BT449">
        <v>1</v>
      </c>
      <c r="BU449" t="s">
        <v>1780</v>
      </c>
      <c r="CI449">
        <v>11</v>
      </c>
      <c r="CJ449" t="s">
        <v>94</v>
      </c>
      <c r="CM449">
        <v>4010</v>
      </c>
      <c r="CO449">
        <v>7360</v>
      </c>
      <c r="CP449">
        <v>1.5333000000000001</v>
      </c>
      <c r="CQ449">
        <v>1.5333000000000001</v>
      </c>
      <c r="CR449">
        <v>1.8167</v>
      </c>
      <c r="CS449">
        <v>0</v>
      </c>
      <c r="CT449" t="s">
        <v>9345</v>
      </c>
      <c r="CU449" t="s">
        <v>9344</v>
      </c>
      <c r="CV449" t="s">
        <v>833</v>
      </c>
      <c r="CW449" t="s">
        <v>834</v>
      </c>
      <c r="CX449" t="s">
        <v>5782</v>
      </c>
      <c r="CY449">
        <v>1</v>
      </c>
      <c r="CZ449">
        <v>1</v>
      </c>
      <c r="DA449" t="s">
        <v>833</v>
      </c>
      <c r="DB449" t="s">
        <v>865</v>
      </c>
      <c r="DC449">
        <v>48083</v>
      </c>
      <c r="DD449">
        <v>31</v>
      </c>
      <c r="DE449" t="s">
        <v>866</v>
      </c>
      <c r="DG449" t="s">
        <v>867</v>
      </c>
      <c r="DH449" t="s">
        <v>851</v>
      </c>
      <c r="DJ449" t="s">
        <v>5789</v>
      </c>
      <c r="DK449" t="s">
        <v>918</v>
      </c>
      <c r="DL449" t="s">
        <v>869</v>
      </c>
      <c r="DM449">
        <v>0</v>
      </c>
      <c r="DN449">
        <v>0</v>
      </c>
      <c r="DO449">
        <v>11</v>
      </c>
      <c r="DP449" t="s">
        <v>1010</v>
      </c>
      <c r="DQ449">
        <v>0</v>
      </c>
      <c r="DR449">
        <v>1860</v>
      </c>
      <c r="DS449">
        <v>3300</v>
      </c>
      <c r="DT449">
        <v>3.0333000000000001</v>
      </c>
      <c r="DU449">
        <v>0</v>
      </c>
      <c r="DV449">
        <v>1</v>
      </c>
      <c r="DW449">
        <v>2</v>
      </c>
      <c r="DX449" t="s">
        <v>594</v>
      </c>
      <c r="DY449" t="s">
        <v>5782</v>
      </c>
      <c r="DZ449">
        <v>1</v>
      </c>
      <c r="EA449">
        <v>1</v>
      </c>
      <c r="EB449">
        <v>1</v>
      </c>
      <c r="EC449">
        <v>1</v>
      </c>
      <c r="ED449">
        <v>1</v>
      </c>
      <c r="EE449">
        <v>1</v>
      </c>
      <c r="EF449" t="s">
        <v>920</v>
      </c>
      <c r="EG449" t="s">
        <v>595</v>
      </c>
      <c r="EH449" t="s">
        <v>872</v>
      </c>
      <c r="EI449" t="s">
        <v>872</v>
      </c>
      <c r="EJ449" t="s">
        <v>178</v>
      </c>
      <c r="EK449">
        <v>9090</v>
      </c>
      <c r="EL449">
        <v>1</v>
      </c>
      <c r="EM449" t="s">
        <v>952</v>
      </c>
      <c r="EN449">
        <v>2.7332999999999998</v>
      </c>
      <c r="EO449">
        <v>55</v>
      </c>
      <c r="EP449">
        <v>99991120</v>
      </c>
      <c r="EQ449" t="s">
        <v>874</v>
      </c>
      <c r="ER449" t="s">
        <v>875</v>
      </c>
      <c r="ES449" t="s">
        <v>876</v>
      </c>
      <c r="ET449" t="s">
        <v>877</v>
      </c>
      <c r="EU449" t="s">
        <v>877</v>
      </c>
      <c r="EV449" t="s">
        <v>920</v>
      </c>
      <c r="EX449" t="s">
        <v>953</v>
      </c>
      <c r="EY449" t="s">
        <v>954</v>
      </c>
      <c r="EZ449" t="s">
        <v>955</v>
      </c>
      <c r="FA449" t="s">
        <v>956</v>
      </c>
      <c r="FB449">
        <v>1</v>
      </c>
      <c r="FC449">
        <v>2</v>
      </c>
      <c r="FD449" s="41">
        <v>46081</v>
      </c>
      <c r="FE449" t="s">
        <v>1267</v>
      </c>
      <c r="FF449">
        <v>14</v>
      </c>
      <c r="FG449" t="s">
        <v>9346</v>
      </c>
      <c r="FH449" t="s">
        <v>9347</v>
      </c>
      <c r="FI449">
        <v>1</v>
      </c>
      <c r="FJ449" t="s">
        <v>9348</v>
      </c>
      <c r="FK449" t="s">
        <v>9347</v>
      </c>
      <c r="FL449">
        <v>1</v>
      </c>
      <c r="FM449" t="s">
        <v>8982</v>
      </c>
      <c r="FN449" t="s">
        <v>9349</v>
      </c>
      <c r="FO449">
        <v>1</v>
      </c>
      <c r="FP449" t="s">
        <v>9350</v>
      </c>
      <c r="FQ449" t="s">
        <v>9351</v>
      </c>
      <c r="FR449">
        <v>1</v>
      </c>
      <c r="FS449" t="s">
        <v>964</v>
      </c>
      <c r="FT449" t="s">
        <v>9352</v>
      </c>
      <c r="FU449">
        <v>1</v>
      </c>
      <c r="FV449" t="s">
        <v>966</v>
      </c>
      <c r="FW449" t="s">
        <v>9353</v>
      </c>
      <c r="FX449">
        <v>1</v>
      </c>
      <c r="FY449" t="s">
        <v>890</v>
      </c>
      <c r="FZ449" t="s">
        <v>9354</v>
      </c>
      <c r="GA449" t="s">
        <v>9348</v>
      </c>
      <c r="GB449">
        <v>1</v>
      </c>
      <c r="GC449" t="s">
        <v>9355</v>
      </c>
      <c r="GD449">
        <v>1</v>
      </c>
      <c r="GF449">
        <v>0</v>
      </c>
      <c r="GG449">
        <v>1</v>
      </c>
      <c r="GH449" t="s">
        <v>892</v>
      </c>
      <c r="GI449" t="s">
        <v>893</v>
      </c>
      <c r="GJ449" t="s">
        <v>9347</v>
      </c>
      <c r="GK449" t="s">
        <v>9356</v>
      </c>
      <c r="GM449">
        <v>1</v>
      </c>
      <c r="GN449">
        <v>0</v>
      </c>
      <c r="GO449">
        <v>0</v>
      </c>
      <c r="GP449">
        <v>1</v>
      </c>
      <c r="GQ449">
        <v>1</v>
      </c>
      <c r="GR449">
        <v>0</v>
      </c>
      <c r="GS449">
        <v>1</v>
      </c>
      <c r="GT449">
        <v>0</v>
      </c>
      <c r="GU449">
        <v>1</v>
      </c>
      <c r="GV449">
        <v>0</v>
      </c>
      <c r="GW449">
        <v>1</v>
      </c>
      <c r="GX449">
        <v>0</v>
      </c>
      <c r="GY449">
        <v>1</v>
      </c>
      <c r="GZ449">
        <v>0</v>
      </c>
      <c r="HA449" t="s">
        <v>425</v>
      </c>
      <c r="HB449" t="s">
        <v>894</v>
      </c>
      <c r="HC449" t="s">
        <v>935</v>
      </c>
      <c r="HD449" t="s">
        <v>845</v>
      </c>
      <c r="HE449" t="s">
        <v>900</v>
      </c>
      <c r="HF449" t="s">
        <v>923</v>
      </c>
      <c r="HG449" t="s">
        <v>894</v>
      </c>
      <c r="HH449" t="s">
        <v>935</v>
      </c>
      <c r="HI449" t="s">
        <v>845</v>
      </c>
      <c r="HJ449" t="s">
        <v>900</v>
      </c>
      <c r="HK449" t="s">
        <v>952</v>
      </c>
      <c r="HL449" t="s">
        <v>202</v>
      </c>
      <c r="HM449" t="s">
        <v>854</v>
      </c>
      <c r="HN449">
        <v>36805</v>
      </c>
      <c r="HO449">
        <v>1</v>
      </c>
      <c r="HP449" t="s">
        <v>178</v>
      </c>
      <c r="HQ449" t="s">
        <v>896</v>
      </c>
      <c r="HR449" t="s">
        <v>896</v>
      </c>
      <c r="HS449" t="s">
        <v>896</v>
      </c>
    </row>
    <row r="450" spans="1:227" x14ac:dyDescent="0.2">
      <c r="A450">
        <v>8702</v>
      </c>
      <c r="B450">
        <v>7609800368</v>
      </c>
      <c r="C450">
        <v>34</v>
      </c>
      <c r="D450" t="s">
        <v>996</v>
      </c>
      <c r="E450" t="s">
        <v>897</v>
      </c>
      <c r="F450">
        <v>0</v>
      </c>
      <c r="G450" t="s">
        <v>9357</v>
      </c>
      <c r="H450" t="s">
        <v>9357</v>
      </c>
      <c r="I450">
        <v>0</v>
      </c>
      <c r="J450" t="s">
        <v>833</v>
      </c>
      <c r="K450" t="s">
        <v>834</v>
      </c>
      <c r="L450">
        <v>156057611</v>
      </c>
      <c r="M450" t="s">
        <v>9358</v>
      </c>
      <c r="N450" t="s">
        <v>900</v>
      </c>
      <c r="O450" t="s">
        <v>837</v>
      </c>
      <c r="P450" t="s">
        <v>999</v>
      </c>
      <c r="Q450" t="s">
        <v>2459</v>
      </c>
      <c r="R450" t="s">
        <v>9359</v>
      </c>
      <c r="S450" t="s">
        <v>9360</v>
      </c>
      <c r="T450">
        <v>30300117806</v>
      </c>
      <c r="V450" t="s">
        <v>1332</v>
      </c>
      <c r="W450" s="41">
        <v>46121</v>
      </c>
      <c r="X450" t="s">
        <v>9361</v>
      </c>
      <c r="Y450" t="s">
        <v>9362</v>
      </c>
      <c r="Z450" t="s">
        <v>3582</v>
      </c>
      <c r="AA450">
        <v>0</v>
      </c>
      <c r="AB450" t="s">
        <v>845</v>
      </c>
      <c r="AC450" t="s">
        <v>846</v>
      </c>
      <c r="AD450" t="s">
        <v>1113</v>
      </c>
      <c r="AE450" t="s">
        <v>1114</v>
      </c>
      <c r="AF450">
        <v>1</v>
      </c>
      <c r="AG450">
        <v>452210</v>
      </c>
      <c r="AH450" t="s">
        <v>849</v>
      </c>
      <c r="AI450" t="s">
        <v>850</v>
      </c>
      <c r="AJ450" t="s">
        <v>851</v>
      </c>
      <c r="AK450" t="s">
        <v>287</v>
      </c>
      <c r="AL450" t="s">
        <v>2767</v>
      </c>
      <c r="AM450" t="s">
        <v>1338</v>
      </c>
      <c r="AN450" t="s">
        <v>854</v>
      </c>
      <c r="AO450">
        <v>36805</v>
      </c>
      <c r="AP450">
        <v>929</v>
      </c>
      <c r="AQ450" t="s">
        <v>855</v>
      </c>
      <c r="AR450">
        <v>66412075</v>
      </c>
      <c r="AS450" t="s">
        <v>856</v>
      </c>
      <c r="AU450" t="s">
        <v>9363</v>
      </c>
      <c r="AV450" t="s">
        <v>9364</v>
      </c>
      <c r="AW450" t="s">
        <v>2669</v>
      </c>
      <c r="AX450" t="s">
        <v>2670</v>
      </c>
      <c r="AY450" t="s">
        <v>861</v>
      </c>
      <c r="AZ450" t="s">
        <v>287</v>
      </c>
      <c r="BA450" t="s">
        <v>288</v>
      </c>
      <c r="BB450">
        <v>0</v>
      </c>
      <c r="BC450">
        <v>0</v>
      </c>
      <c r="BD450">
        <v>0</v>
      </c>
      <c r="BE450" t="s">
        <v>9358</v>
      </c>
      <c r="BF450">
        <v>0</v>
      </c>
      <c r="BG450">
        <v>0</v>
      </c>
      <c r="BH450" t="s">
        <v>862</v>
      </c>
      <c r="BI450">
        <v>0</v>
      </c>
      <c r="BJ450" t="s">
        <v>862</v>
      </c>
      <c r="BK450">
        <v>1</v>
      </c>
      <c r="BL450">
        <v>0</v>
      </c>
      <c r="BM450">
        <v>0</v>
      </c>
      <c r="BN450" t="s">
        <v>596</v>
      </c>
      <c r="BO450">
        <v>156057611</v>
      </c>
      <c r="BP450" t="s">
        <v>9357</v>
      </c>
      <c r="BR450">
        <v>42793654</v>
      </c>
      <c r="BT450">
        <v>1</v>
      </c>
      <c r="BU450" t="s">
        <v>1119</v>
      </c>
      <c r="CI450">
        <v>11</v>
      </c>
      <c r="CJ450" t="s">
        <v>94</v>
      </c>
      <c r="CM450">
        <v>4010</v>
      </c>
      <c r="CO450">
        <v>7360</v>
      </c>
      <c r="CP450">
        <v>0.45</v>
      </c>
      <c r="CQ450">
        <v>0.45</v>
      </c>
      <c r="CR450">
        <v>0</v>
      </c>
      <c r="CS450">
        <v>12</v>
      </c>
      <c r="CT450" t="s">
        <v>9364</v>
      </c>
      <c r="CU450" t="s">
        <v>9363</v>
      </c>
      <c r="CV450" t="s">
        <v>833</v>
      </c>
      <c r="CW450" t="s">
        <v>834</v>
      </c>
      <c r="CX450" t="s">
        <v>9358</v>
      </c>
      <c r="CY450">
        <v>0</v>
      </c>
      <c r="CZ450">
        <v>0</v>
      </c>
      <c r="DA450" t="s">
        <v>833</v>
      </c>
      <c r="DB450" t="s">
        <v>865</v>
      </c>
      <c r="DC450">
        <v>43623</v>
      </c>
      <c r="DD450">
        <v>7.1666999999999996</v>
      </c>
      <c r="DE450" t="s">
        <v>866</v>
      </c>
      <c r="DG450" t="s">
        <v>867</v>
      </c>
      <c r="DH450" t="s">
        <v>851</v>
      </c>
      <c r="DK450" t="s">
        <v>918</v>
      </c>
      <c r="DL450" t="s">
        <v>869</v>
      </c>
      <c r="DM450">
        <v>0</v>
      </c>
      <c r="DN450">
        <v>0</v>
      </c>
      <c r="DO450">
        <v>1</v>
      </c>
      <c r="DP450" t="s">
        <v>985</v>
      </c>
      <c r="DQ450">
        <v>0</v>
      </c>
      <c r="DR450">
        <v>430</v>
      </c>
      <c r="DS450">
        <v>1150</v>
      </c>
      <c r="DT450">
        <v>6.7167000000000003</v>
      </c>
      <c r="DU450">
        <v>0</v>
      </c>
      <c r="DV450">
        <v>1</v>
      </c>
      <c r="DW450">
        <v>2</v>
      </c>
      <c r="DX450" t="s">
        <v>599</v>
      </c>
      <c r="DY450" t="s">
        <v>9358</v>
      </c>
      <c r="DZ450">
        <v>1</v>
      </c>
      <c r="EA450">
        <v>1</v>
      </c>
      <c r="EB450">
        <v>1</v>
      </c>
      <c r="EC450">
        <v>1</v>
      </c>
      <c r="ED450">
        <v>1</v>
      </c>
      <c r="EE450">
        <v>1</v>
      </c>
      <c r="EF450" t="s">
        <v>920</v>
      </c>
      <c r="EG450" t="s">
        <v>595</v>
      </c>
      <c r="EH450" t="s">
        <v>3582</v>
      </c>
      <c r="EI450" t="s">
        <v>3582</v>
      </c>
      <c r="EJ450" t="s">
        <v>226</v>
      </c>
      <c r="EK450">
        <v>9090</v>
      </c>
      <c r="EL450">
        <v>0</v>
      </c>
      <c r="EM450" t="s">
        <v>952</v>
      </c>
      <c r="EN450">
        <v>0</v>
      </c>
      <c r="EO450">
        <v>19.1666667</v>
      </c>
      <c r="EP450">
        <v>99991120</v>
      </c>
      <c r="EQ450" t="s">
        <v>874</v>
      </c>
      <c r="ER450" t="s">
        <v>875</v>
      </c>
      <c r="ES450" t="s">
        <v>876</v>
      </c>
      <c r="ET450" t="s">
        <v>877</v>
      </c>
      <c r="EU450" t="s">
        <v>877</v>
      </c>
      <c r="EV450" t="s">
        <v>920</v>
      </c>
      <c r="EX450" t="s">
        <v>953</v>
      </c>
      <c r="EY450" t="s">
        <v>986</v>
      </c>
      <c r="EZ450" t="s">
        <v>1342</v>
      </c>
      <c r="FA450" t="s">
        <v>879</v>
      </c>
      <c r="FB450">
        <v>1</v>
      </c>
      <c r="FC450">
        <v>1</v>
      </c>
      <c r="FD450" s="41">
        <v>46123</v>
      </c>
      <c r="FE450" t="s">
        <v>1123</v>
      </c>
      <c r="FF450">
        <v>7</v>
      </c>
      <c r="FG450" t="s">
        <v>9365</v>
      </c>
      <c r="FH450" t="s">
        <v>9366</v>
      </c>
      <c r="FI450">
        <v>1</v>
      </c>
      <c r="FJ450" t="s">
        <v>9367</v>
      </c>
      <c r="FK450" t="s">
        <v>9366</v>
      </c>
      <c r="FL450">
        <v>1</v>
      </c>
      <c r="FM450" t="s">
        <v>9368</v>
      </c>
      <c r="FN450" t="s">
        <v>9369</v>
      </c>
      <c r="FO450">
        <v>1</v>
      </c>
      <c r="FP450" t="s">
        <v>9370</v>
      </c>
      <c r="FQ450" t="s">
        <v>9363</v>
      </c>
      <c r="FR450">
        <v>1</v>
      </c>
      <c r="FS450" t="s">
        <v>1350</v>
      </c>
      <c r="FT450" t="s">
        <v>3593</v>
      </c>
      <c r="FU450">
        <v>1</v>
      </c>
      <c r="FV450" t="s">
        <v>3594</v>
      </c>
      <c r="FW450" t="s">
        <v>9371</v>
      </c>
      <c r="FX450">
        <v>1</v>
      </c>
      <c r="FY450" t="s">
        <v>890</v>
      </c>
      <c r="FZ450" t="s">
        <v>9372</v>
      </c>
      <c r="GA450" t="s">
        <v>9367</v>
      </c>
      <c r="GB450">
        <v>1</v>
      </c>
      <c r="GD450">
        <v>0</v>
      </c>
      <c r="GF450">
        <v>0</v>
      </c>
      <c r="GG450">
        <v>1</v>
      </c>
      <c r="GH450" t="s">
        <v>892</v>
      </c>
      <c r="GI450" t="s">
        <v>893</v>
      </c>
      <c r="GJ450" t="s">
        <v>9366</v>
      </c>
      <c r="GM450">
        <v>1</v>
      </c>
      <c r="GN450">
        <v>1</v>
      </c>
      <c r="GO450">
        <v>0</v>
      </c>
      <c r="GP450">
        <v>1</v>
      </c>
      <c r="GQ450">
        <v>1</v>
      </c>
      <c r="GR450">
        <v>0</v>
      </c>
      <c r="GS450">
        <v>1</v>
      </c>
      <c r="GT450">
        <v>0</v>
      </c>
      <c r="GU450">
        <v>1</v>
      </c>
      <c r="GV450">
        <v>0</v>
      </c>
      <c r="GW450">
        <v>1</v>
      </c>
      <c r="GX450">
        <v>0</v>
      </c>
      <c r="GY450">
        <v>1</v>
      </c>
      <c r="GZ450">
        <v>0</v>
      </c>
      <c r="HA450" t="s">
        <v>287</v>
      </c>
      <c r="HB450" t="s">
        <v>894</v>
      </c>
      <c r="HC450" t="s">
        <v>935</v>
      </c>
      <c r="HD450" t="s">
        <v>845</v>
      </c>
      <c r="HE450" t="s">
        <v>900</v>
      </c>
      <c r="HF450" t="s">
        <v>923</v>
      </c>
      <c r="HG450" t="s">
        <v>894</v>
      </c>
      <c r="HH450" t="s">
        <v>935</v>
      </c>
      <c r="HI450" t="s">
        <v>845</v>
      </c>
      <c r="HJ450" t="s">
        <v>900</v>
      </c>
      <c r="HK450" t="s">
        <v>952</v>
      </c>
      <c r="HL450" t="s">
        <v>1332</v>
      </c>
      <c r="HM450" t="s">
        <v>854</v>
      </c>
      <c r="HN450">
        <v>36805</v>
      </c>
      <c r="HO450">
        <v>1</v>
      </c>
      <c r="HP450" t="s">
        <v>226</v>
      </c>
      <c r="HQ450" t="s">
        <v>896</v>
      </c>
      <c r="HR450" t="s">
        <v>896</v>
      </c>
      <c r="HS450" t="s">
        <v>896</v>
      </c>
    </row>
    <row r="451" spans="1:227" x14ac:dyDescent="0.2">
      <c r="A451">
        <v>8702</v>
      </c>
      <c r="B451">
        <v>7615305792</v>
      </c>
      <c r="C451" t="s">
        <v>936</v>
      </c>
      <c r="D451" t="s">
        <v>937</v>
      </c>
      <c r="E451" t="s">
        <v>897</v>
      </c>
      <c r="F451">
        <v>0</v>
      </c>
      <c r="G451" t="s">
        <v>9373</v>
      </c>
      <c r="H451" t="s">
        <v>9373</v>
      </c>
      <c r="I451">
        <v>0</v>
      </c>
      <c r="J451" t="s">
        <v>833</v>
      </c>
      <c r="K451" t="s">
        <v>834</v>
      </c>
      <c r="L451">
        <v>156046182</v>
      </c>
      <c r="M451" t="s">
        <v>6540</v>
      </c>
      <c r="N451" t="s">
        <v>900</v>
      </c>
      <c r="O451" t="s">
        <v>837</v>
      </c>
      <c r="P451" t="s">
        <v>940</v>
      </c>
      <c r="Q451" t="s">
        <v>1080</v>
      </c>
      <c r="R451" t="s">
        <v>9374</v>
      </c>
      <c r="S451" t="s">
        <v>7920</v>
      </c>
      <c r="T451">
        <v>41477014545</v>
      </c>
      <c r="V451" t="s">
        <v>1332</v>
      </c>
      <c r="W451" s="41">
        <v>46176</v>
      </c>
      <c r="X451" t="s">
        <v>9375</v>
      </c>
      <c r="Y451" t="s">
        <v>9376</v>
      </c>
      <c r="AA451">
        <v>0</v>
      </c>
      <c r="AB451" t="s">
        <v>845</v>
      </c>
      <c r="AC451" t="s">
        <v>846</v>
      </c>
      <c r="AD451" t="s">
        <v>907</v>
      </c>
      <c r="AE451" t="s">
        <v>908</v>
      </c>
      <c r="AF451">
        <v>1</v>
      </c>
      <c r="AG451">
        <v>452210</v>
      </c>
      <c r="AH451" t="s">
        <v>849</v>
      </c>
      <c r="AI451" t="s">
        <v>850</v>
      </c>
      <c r="AJ451" t="s">
        <v>851</v>
      </c>
      <c r="AK451" t="s">
        <v>319</v>
      </c>
      <c r="AL451" t="s">
        <v>946</v>
      </c>
      <c r="AM451" t="s">
        <v>1338</v>
      </c>
      <c r="AN451" t="s">
        <v>854</v>
      </c>
      <c r="AO451">
        <v>36805</v>
      </c>
      <c r="AP451">
        <v>929</v>
      </c>
      <c r="AQ451" t="s">
        <v>855</v>
      </c>
      <c r="AR451">
        <v>66491209</v>
      </c>
      <c r="AS451" t="s">
        <v>856</v>
      </c>
      <c r="AU451" t="s">
        <v>9377</v>
      </c>
      <c r="AV451" t="s">
        <v>9378</v>
      </c>
      <c r="AX451" t="s">
        <v>913</v>
      </c>
      <c r="AY451" t="s">
        <v>861</v>
      </c>
      <c r="AZ451" t="s">
        <v>319</v>
      </c>
      <c r="BA451" t="s">
        <v>320</v>
      </c>
      <c r="BB451">
        <v>0</v>
      </c>
      <c r="BC451">
        <v>0</v>
      </c>
      <c r="BD451">
        <v>0</v>
      </c>
      <c r="BE451" t="s">
        <v>6540</v>
      </c>
      <c r="BF451">
        <v>0</v>
      </c>
      <c r="BG451">
        <v>0</v>
      </c>
      <c r="BH451" t="s">
        <v>862</v>
      </c>
      <c r="BI451">
        <v>0</v>
      </c>
      <c r="BJ451" t="s">
        <v>862</v>
      </c>
      <c r="BK451">
        <v>1</v>
      </c>
      <c r="BL451">
        <v>1</v>
      </c>
      <c r="BM451">
        <v>0</v>
      </c>
      <c r="BN451" t="s">
        <v>596</v>
      </c>
      <c r="BO451">
        <v>156046182</v>
      </c>
      <c r="BP451" t="s">
        <v>9373</v>
      </c>
      <c r="BQ451">
        <v>41.699212299999999</v>
      </c>
      <c r="BR451">
        <v>42793654</v>
      </c>
      <c r="BS451">
        <v>-83.647787399999999</v>
      </c>
      <c r="BT451">
        <v>2</v>
      </c>
      <c r="BU451" t="s">
        <v>1314</v>
      </c>
      <c r="BY451">
        <v>16</v>
      </c>
      <c r="CA451">
        <v>12</v>
      </c>
      <c r="CE451">
        <v>1</v>
      </c>
      <c r="CI451">
        <v>11</v>
      </c>
      <c r="CJ451" t="s">
        <v>94</v>
      </c>
      <c r="CM451">
        <v>4010</v>
      </c>
      <c r="CO451">
        <v>7360</v>
      </c>
      <c r="CP451">
        <v>0.45</v>
      </c>
      <c r="CQ451">
        <v>0.45</v>
      </c>
      <c r="CR451">
        <v>2.3167</v>
      </c>
      <c r="CS451">
        <v>4</v>
      </c>
      <c r="CT451" t="s">
        <v>9378</v>
      </c>
      <c r="CU451" t="s">
        <v>9377</v>
      </c>
      <c r="CV451" t="s">
        <v>833</v>
      </c>
      <c r="CW451" t="s">
        <v>834</v>
      </c>
      <c r="CX451" t="s">
        <v>6540</v>
      </c>
      <c r="CY451">
        <v>0</v>
      </c>
      <c r="CZ451">
        <v>0</v>
      </c>
      <c r="DA451" t="s">
        <v>833</v>
      </c>
      <c r="DB451" t="s">
        <v>865</v>
      </c>
      <c r="DC451">
        <v>43623</v>
      </c>
      <c r="DD451">
        <v>12.5</v>
      </c>
      <c r="DE451" t="s">
        <v>866</v>
      </c>
      <c r="DG451" t="s">
        <v>867</v>
      </c>
      <c r="DH451" t="s">
        <v>851</v>
      </c>
      <c r="DI451" t="s">
        <v>984</v>
      </c>
      <c r="DJ451" t="s">
        <v>4265</v>
      </c>
      <c r="DK451" t="s">
        <v>918</v>
      </c>
      <c r="DL451" t="s">
        <v>869</v>
      </c>
      <c r="DM451">
        <v>0</v>
      </c>
      <c r="DN451">
        <v>0</v>
      </c>
      <c r="DO451">
        <v>1</v>
      </c>
      <c r="DP451" t="s">
        <v>985</v>
      </c>
      <c r="DQ451">
        <v>16</v>
      </c>
      <c r="DR451">
        <v>750</v>
      </c>
      <c r="DS451">
        <v>1470</v>
      </c>
      <c r="DT451">
        <v>12.05</v>
      </c>
      <c r="DU451">
        <v>4</v>
      </c>
      <c r="DV451">
        <v>1</v>
      </c>
      <c r="DW451">
        <v>2</v>
      </c>
      <c r="DX451" t="s">
        <v>596</v>
      </c>
      <c r="DY451" t="s">
        <v>6540</v>
      </c>
      <c r="DZ451">
        <v>1</v>
      </c>
      <c r="EA451">
        <v>1</v>
      </c>
      <c r="EB451">
        <v>1</v>
      </c>
      <c r="EC451">
        <v>0</v>
      </c>
      <c r="ED451">
        <v>0</v>
      </c>
      <c r="EE451">
        <v>1</v>
      </c>
      <c r="EF451" t="s">
        <v>920</v>
      </c>
      <c r="EG451" t="s">
        <v>595</v>
      </c>
      <c r="EH451" t="s">
        <v>921</v>
      </c>
      <c r="EI451" t="s">
        <v>921</v>
      </c>
      <c r="EJ451" t="s">
        <v>226</v>
      </c>
      <c r="EK451">
        <v>9090</v>
      </c>
      <c r="EL451">
        <v>0</v>
      </c>
      <c r="EM451" t="s">
        <v>952</v>
      </c>
      <c r="EN451">
        <v>2.3167</v>
      </c>
      <c r="EO451">
        <v>24.5</v>
      </c>
      <c r="EP451">
        <v>99991120</v>
      </c>
      <c r="EQ451" t="s">
        <v>874</v>
      </c>
      <c r="ER451" t="s">
        <v>875</v>
      </c>
      <c r="ES451" t="s">
        <v>876</v>
      </c>
      <c r="ET451" t="s">
        <v>877</v>
      </c>
      <c r="EU451" t="s">
        <v>877</v>
      </c>
      <c r="EV451" t="s">
        <v>920</v>
      </c>
      <c r="EX451" t="s">
        <v>900</v>
      </c>
      <c r="EY451" t="s">
        <v>923</v>
      </c>
      <c r="EZ451" t="s">
        <v>1342</v>
      </c>
      <c r="FA451" t="s">
        <v>879</v>
      </c>
      <c r="FB451">
        <v>1</v>
      </c>
      <c r="FC451">
        <v>1</v>
      </c>
      <c r="FD451" s="41">
        <v>46179</v>
      </c>
      <c r="FE451" t="s">
        <v>1315</v>
      </c>
      <c r="FF451">
        <v>9</v>
      </c>
      <c r="FG451" t="s">
        <v>4171</v>
      </c>
      <c r="FH451" t="s">
        <v>9379</v>
      </c>
      <c r="FI451">
        <v>1</v>
      </c>
      <c r="FJ451" t="s">
        <v>9380</v>
      </c>
      <c r="FK451" t="s">
        <v>9381</v>
      </c>
      <c r="FL451">
        <v>1</v>
      </c>
      <c r="FM451" t="s">
        <v>9382</v>
      </c>
      <c r="FN451" t="s">
        <v>9383</v>
      </c>
      <c r="FO451">
        <v>1</v>
      </c>
      <c r="FP451" t="s">
        <v>9384</v>
      </c>
      <c r="FQ451" t="s">
        <v>9377</v>
      </c>
      <c r="FR451">
        <v>1</v>
      </c>
      <c r="FS451" t="s">
        <v>9385</v>
      </c>
      <c r="FT451" t="s">
        <v>9386</v>
      </c>
      <c r="FU451">
        <v>1</v>
      </c>
      <c r="FV451" t="s">
        <v>9387</v>
      </c>
      <c r="FW451" t="s">
        <v>9388</v>
      </c>
      <c r="FX451">
        <v>1</v>
      </c>
      <c r="FY451" t="s">
        <v>890</v>
      </c>
      <c r="FZ451" t="s">
        <v>9389</v>
      </c>
      <c r="GA451" t="s">
        <v>9380</v>
      </c>
      <c r="GB451">
        <v>1</v>
      </c>
      <c r="GD451">
        <v>0</v>
      </c>
      <c r="GF451">
        <v>0</v>
      </c>
      <c r="GG451">
        <v>1</v>
      </c>
      <c r="GH451" t="s">
        <v>892</v>
      </c>
      <c r="GI451" t="s">
        <v>893</v>
      </c>
      <c r="GJ451" t="s">
        <v>9381</v>
      </c>
      <c r="GM451">
        <v>1</v>
      </c>
      <c r="GN451">
        <v>1</v>
      </c>
      <c r="GO451">
        <v>0</v>
      </c>
      <c r="GP451">
        <v>1</v>
      </c>
      <c r="GQ451">
        <v>1</v>
      </c>
      <c r="GR451">
        <v>0</v>
      </c>
      <c r="GS451">
        <v>1</v>
      </c>
      <c r="GT451">
        <v>0</v>
      </c>
      <c r="GU451">
        <v>1</v>
      </c>
      <c r="GV451">
        <v>0</v>
      </c>
      <c r="GW451">
        <v>1</v>
      </c>
      <c r="GX451">
        <v>0</v>
      </c>
      <c r="GY451">
        <v>1</v>
      </c>
      <c r="GZ451">
        <v>0</v>
      </c>
      <c r="HA451" t="s">
        <v>319</v>
      </c>
      <c r="HB451" t="s">
        <v>894</v>
      </c>
      <c r="HC451" t="s">
        <v>935</v>
      </c>
      <c r="HD451" t="s">
        <v>845</v>
      </c>
      <c r="HE451" t="s">
        <v>900</v>
      </c>
      <c r="HF451" t="s">
        <v>923</v>
      </c>
      <c r="HG451" t="s">
        <v>894</v>
      </c>
      <c r="HH451" t="s">
        <v>935</v>
      </c>
      <c r="HI451" t="s">
        <v>845</v>
      </c>
      <c r="HJ451" t="s">
        <v>900</v>
      </c>
      <c r="HK451" t="s">
        <v>952</v>
      </c>
      <c r="HL451" t="s">
        <v>1332</v>
      </c>
      <c r="HM451" t="s">
        <v>854</v>
      </c>
      <c r="HN451">
        <v>36805</v>
      </c>
      <c r="HP451" t="s">
        <v>226</v>
      </c>
      <c r="HQ451" t="s">
        <v>896</v>
      </c>
      <c r="HR451" t="s">
        <v>896</v>
      </c>
      <c r="HS451" t="s">
        <v>896</v>
      </c>
    </row>
    <row r="452" spans="1:227" x14ac:dyDescent="0.2">
      <c r="A452">
        <v>8702</v>
      </c>
      <c r="B452">
        <v>7615903435</v>
      </c>
      <c r="C452">
        <v>34</v>
      </c>
      <c r="D452" t="s">
        <v>996</v>
      </c>
      <c r="E452" t="s">
        <v>831</v>
      </c>
      <c r="F452">
        <v>0</v>
      </c>
      <c r="G452" t="s">
        <v>9390</v>
      </c>
      <c r="H452" t="s">
        <v>9390</v>
      </c>
      <c r="I452">
        <v>0</v>
      </c>
      <c r="J452" t="s">
        <v>833</v>
      </c>
      <c r="K452" t="s">
        <v>834</v>
      </c>
      <c r="L452">
        <v>153008257</v>
      </c>
      <c r="M452" t="s">
        <v>1423</v>
      </c>
      <c r="N452" t="s">
        <v>836</v>
      </c>
      <c r="O452" t="s">
        <v>837</v>
      </c>
      <c r="P452" t="s">
        <v>999</v>
      </c>
      <c r="Q452" t="s">
        <v>2459</v>
      </c>
      <c r="R452" t="s">
        <v>9391</v>
      </c>
      <c r="S452" t="s">
        <v>9392</v>
      </c>
      <c r="T452">
        <v>30300127006</v>
      </c>
      <c r="V452" t="s">
        <v>183</v>
      </c>
      <c r="W452" s="41">
        <v>46182</v>
      </c>
      <c r="X452" t="s">
        <v>9393</v>
      </c>
      <c r="Y452" t="s">
        <v>9394</v>
      </c>
      <c r="Z452" t="s">
        <v>2362</v>
      </c>
      <c r="AA452">
        <v>0</v>
      </c>
      <c r="AB452" t="s">
        <v>845</v>
      </c>
      <c r="AC452" t="s">
        <v>846</v>
      </c>
      <c r="AD452" t="s">
        <v>907</v>
      </c>
      <c r="AE452" t="s">
        <v>908</v>
      </c>
      <c r="AF452">
        <v>1</v>
      </c>
      <c r="AG452">
        <v>452210</v>
      </c>
      <c r="AH452" t="s">
        <v>849</v>
      </c>
      <c r="AI452" t="s">
        <v>850</v>
      </c>
      <c r="AJ452" t="s">
        <v>851</v>
      </c>
      <c r="AK452" t="s">
        <v>255</v>
      </c>
      <c r="AL452" t="s">
        <v>2605</v>
      </c>
      <c r="AM452" t="s">
        <v>1429</v>
      </c>
      <c r="AN452" t="s">
        <v>854</v>
      </c>
      <c r="AO452">
        <v>36805</v>
      </c>
      <c r="AP452">
        <v>632</v>
      </c>
      <c r="AQ452" t="s">
        <v>855</v>
      </c>
      <c r="AR452">
        <v>66500341</v>
      </c>
      <c r="AS452" t="s">
        <v>856</v>
      </c>
      <c r="AU452" t="s">
        <v>9395</v>
      </c>
      <c r="AV452" t="s">
        <v>9396</v>
      </c>
      <c r="AX452" t="s">
        <v>913</v>
      </c>
      <c r="AY452" t="s">
        <v>861</v>
      </c>
      <c r="AZ452" t="s">
        <v>255</v>
      </c>
      <c r="BA452" t="s">
        <v>256</v>
      </c>
      <c r="BB452">
        <v>1</v>
      </c>
      <c r="BC452">
        <v>0</v>
      </c>
      <c r="BD452">
        <v>0</v>
      </c>
      <c r="BE452" t="s">
        <v>1423</v>
      </c>
      <c r="BF452">
        <v>0</v>
      </c>
      <c r="BG452">
        <v>0</v>
      </c>
      <c r="BH452" t="s">
        <v>862</v>
      </c>
      <c r="BI452">
        <v>0</v>
      </c>
      <c r="BJ452" t="s">
        <v>862</v>
      </c>
      <c r="BK452">
        <v>1</v>
      </c>
      <c r="BL452">
        <v>1</v>
      </c>
      <c r="BM452">
        <v>0</v>
      </c>
      <c r="BN452" t="s">
        <v>596</v>
      </c>
      <c r="BO452">
        <v>153008257</v>
      </c>
      <c r="BP452" t="s">
        <v>9390</v>
      </c>
      <c r="BR452">
        <v>42791748</v>
      </c>
      <c r="BT452">
        <v>1</v>
      </c>
      <c r="BU452" t="s">
        <v>1314</v>
      </c>
      <c r="BY452">
        <v>16</v>
      </c>
      <c r="CA452">
        <v>19</v>
      </c>
      <c r="CI452">
        <v>11</v>
      </c>
      <c r="CJ452" t="s">
        <v>94</v>
      </c>
      <c r="CM452">
        <v>4010</v>
      </c>
      <c r="CO452">
        <v>7360</v>
      </c>
      <c r="CP452">
        <v>0.86670000000000003</v>
      </c>
      <c r="CQ452">
        <v>0.86670000000000003</v>
      </c>
      <c r="CR452">
        <v>0.48330000000000001</v>
      </c>
      <c r="CS452">
        <v>0</v>
      </c>
      <c r="CT452" t="s">
        <v>9396</v>
      </c>
      <c r="CU452" t="s">
        <v>9395</v>
      </c>
      <c r="CV452" t="s">
        <v>833</v>
      </c>
      <c r="CW452" t="s">
        <v>834</v>
      </c>
      <c r="CX452" t="s">
        <v>1423</v>
      </c>
      <c r="CY452">
        <v>1</v>
      </c>
      <c r="CZ452">
        <v>1</v>
      </c>
      <c r="DA452" t="s">
        <v>833</v>
      </c>
      <c r="DB452" t="s">
        <v>865</v>
      </c>
      <c r="DC452">
        <v>60515</v>
      </c>
      <c r="DD452">
        <v>18.95</v>
      </c>
      <c r="DE452" t="s">
        <v>866</v>
      </c>
      <c r="DG452" t="s">
        <v>867</v>
      </c>
      <c r="DH452" t="s">
        <v>851</v>
      </c>
      <c r="DI452" t="s">
        <v>1434</v>
      </c>
      <c r="DJ452" t="s">
        <v>1435</v>
      </c>
      <c r="DK452" t="s">
        <v>918</v>
      </c>
      <c r="DL452" t="s">
        <v>869</v>
      </c>
      <c r="DM452">
        <v>0</v>
      </c>
      <c r="DN452">
        <v>0</v>
      </c>
      <c r="DO452">
        <v>11</v>
      </c>
      <c r="DP452" t="s">
        <v>1010</v>
      </c>
      <c r="DQ452">
        <v>16</v>
      </c>
      <c r="DR452">
        <v>1137</v>
      </c>
      <c r="DS452">
        <v>1857</v>
      </c>
      <c r="DT452">
        <v>4.1666999999999996</v>
      </c>
      <c r="DU452">
        <v>4</v>
      </c>
      <c r="DV452">
        <v>1</v>
      </c>
      <c r="DW452">
        <v>2</v>
      </c>
      <c r="DX452" t="s">
        <v>596</v>
      </c>
      <c r="DY452" t="s">
        <v>1423</v>
      </c>
      <c r="DZ452">
        <v>0</v>
      </c>
      <c r="EA452">
        <v>0</v>
      </c>
      <c r="EB452">
        <v>1</v>
      </c>
      <c r="EC452">
        <v>0</v>
      </c>
      <c r="ED452">
        <v>0</v>
      </c>
      <c r="EE452">
        <v>1</v>
      </c>
      <c r="EF452" t="s">
        <v>871</v>
      </c>
      <c r="EG452" t="s">
        <v>595</v>
      </c>
      <c r="EH452" t="s">
        <v>921</v>
      </c>
      <c r="EI452" t="s">
        <v>921</v>
      </c>
      <c r="EJ452" t="s">
        <v>181</v>
      </c>
      <c r="EK452">
        <v>9090</v>
      </c>
      <c r="EL452">
        <v>1</v>
      </c>
      <c r="EM452" t="s">
        <v>1436</v>
      </c>
      <c r="EN452">
        <v>0.48330000000000001</v>
      </c>
      <c r="EO452">
        <v>30.95</v>
      </c>
      <c r="EP452">
        <v>99991120</v>
      </c>
      <c r="EQ452" t="s">
        <v>874</v>
      </c>
      <c r="ER452" t="s">
        <v>875</v>
      </c>
      <c r="ES452" t="s">
        <v>876</v>
      </c>
      <c r="ET452" t="s">
        <v>877</v>
      </c>
      <c r="EU452" t="s">
        <v>877</v>
      </c>
      <c r="EV452" t="s">
        <v>871</v>
      </c>
      <c r="EX452" t="s">
        <v>836</v>
      </c>
      <c r="EY452" t="s">
        <v>873</v>
      </c>
      <c r="EZ452" t="s">
        <v>1437</v>
      </c>
      <c r="FA452" t="s">
        <v>956</v>
      </c>
      <c r="FB452">
        <v>1</v>
      </c>
      <c r="FC452">
        <v>2</v>
      </c>
      <c r="FD452" s="41">
        <v>46186</v>
      </c>
      <c r="FE452" t="s">
        <v>1315</v>
      </c>
      <c r="FF452">
        <v>10</v>
      </c>
      <c r="FG452" t="s">
        <v>9397</v>
      </c>
      <c r="FH452" t="s">
        <v>9398</v>
      </c>
      <c r="FI452">
        <v>1</v>
      </c>
      <c r="FJ452" t="s">
        <v>9399</v>
      </c>
      <c r="FK452" t="s">
        <v>9398</v>
      </c>
      <c r="FL452">
        <v>1</v>
      </c>
      <c r="FM452" t="s">
        <v>1442</v>
      </c>
      <c r="FN452" t="s">
        <v>9400</v>
      </c>
      <c r="FO452">
        <v>1</v>
      </c>
      <c r="FP452" t="s">
        <v>9401</v>
      </c>
      <c r="FQ452" t="s">
        <v>9395</v>
      </c>
      <c r="FR452">
        <v>1</v>
      </c>
      <c r="FS452" t="s">
        <v>2610</v>
      </c>
      <c r="FT452" t="s">
        <v>9402</v>
      </c>
      <c r="FU452">
        <v>1</v>
      </c>
      <c r="FV452" t="s">
        <v>9403</v>
      </c>
      <c r="FW452" t="s">
        <v>9404</v>
      </c>
      <c r="FX452">
        <v>1</v>
      </c>
      <c r="FY452" t="s">
        <v>890</v>
      </c>
      <c r="FZ452" t="s">
        <v>9405</v>
      </c>
      <c r="GA452" t="s">
        <v>9399</v>
      </c>
      <c r="GB452">
        <v>1</v>
      </c>
      <c r="GD452">
        <v>0</v>
      </c>
      <c r="GF452">
        <v>0</v>
      </c>
      <c r="GG452">
        <v>1</v>
      </c>
      <c r="GH452" t="s">
        <v>892</v>
      </c>
      <c r="GI452" t="s">
        <v>893</v>
      </c>
      <c r="GJ452" t="s">
        <v>9398</v>
      </c>
      <c r="GM452">
        <v>1</v>
      </c>
      <c r="GN452">
        <v>0</v>
      </c>
      <c r="GO452">
        <v>0</v>
      </c>
      <c r="GP452">
        <v>1</v>
      </c>
      <c r="GQ452">
        <v>1</v>
      </c>
      <c r="GR452">
        <v>0</v>
      </c>
      <c r="GS452">
        <v>1</v>
      </c>
      <c r="GT452">
        <v>0</v>
      </c>
      <c r="GU452">
        <v>1</v>
      </c>
      <c r="GV452">
        <v>0</v>
      </c>
      <c r="GW452">
        <v>1</v>
      </c>
      <c r="GX452">
        <v>0</v>
      </c>
      <c r="GY452">
        <v>1</v>
      </c>
      <c r="GZ452">
        <v>0</v>
      </c>
      <c r="HA452" t="s">
        <v>255</v>
      </c>
      <c r="HB452" t="s">
        <v>894</v>
      </c>
      <c r="HC452" t="s">
        <v>895</v>
      </c>
      <c r="HD452" t="s">
        <v>845</v>
      </c>
      <c r="HE452" t="s">
        <v>836</v>
      </c>
      <c r="HF452" t="s">
        <v>873</v>
      </c>
      <c r="HG452" t="s">
        <v>894</v>
      </c>
      <c r="HH452" t="s">
        <v>895</v>
      </c>
      <c r="HI452" t="s">
        <v>845</v>
      </c>
      <c r="HJ452" t="s">
        <v>836</v>
      </c>
      <c r="HK452" t="s">
        <v>1436</v>
      </c>
      <c r="HL452" t="s">
        <v>183</v>
      </c>
      <c r="HM452" t="s">
        <v>854</v>
      </c>
      <c r="HN452">
        <v>36805</v>
      </c>
      <c r="HO452">
        <v>1</v>
      </c>
      <c r="HP452" t="s">
        <v>181</v>
      </c>
      <c r="HQ452" t="s">
        <v>896</v>
      </c>
      <c r="HR452" t="s">
        <v>896</v>
      </c>
      <c r="HS452" t="s">
        <v>896</v>
      </c>
    </row>
    <row r="453" spans="1:227" x14ac:dyDescent="0.2">
      <c r="A453">
        <v>8702</v>
      </c>
      <c r="B453">
        <v>7528501566</v>
      </c>
      <c r="C453">
        <v>34</v>
      </c>
      <c r="D453" t="s">
        <v>996</v>
      </c>
      <c r="E453" t="s">
        <v>897</v>
      </c>
      <c r="F453">
        <v>1</v>
      </c>
      <c r="G453" t="s">
        <v>9406</v>
      </c>
      <c r="H453" t="s">
        <v>9406</v>
      </c>
      <c r="I453">
        <v>0</v>
      </c>
      <c r="J453" t="s">
        <v>833</v>
      </c>
      <c r="K453" t="s">
        <v>834</v>
      </c>
      <c r="L453">
        <v>156046205</v>
      </c>
      <c r="M453" t="s">
        <v>1592</v>
      </c>
      <c r="N453" t="s">
        <v>900</v>
      </c>
      <c r="O453" t="s">
        <v>837</v>
      </c>
      <c r="P453" t="s">
        <v>999</v>
      </c>
      <c r="Q453" t="s">
        <v>1000</v>
      </c>
      <c r="R453" t="s">
        <v>9407</v>
      </c>
      <c r="S453" t="s">
        <v>9408</v>
      </c>
      <c r="T453">
        <v>41477095563</v>
      </c>
      <c r="V453" t="s">
        <v>208</v>
      </c>
      <c r="W453" s="41">
        <v>45944</v>
      </c>
      <c r="X453" t="s">
        <v>9409</v>
      </c>
      <c r="Y453" t="s">
        <v>9410</v>
      </c>
      <c r="Z453" t="s">
        <v>2965</v>
      </c>
      <c r="AA453">
        <v>0</v>
      </c>
      <c r="AB453" t="s">
        <v>845</v>
      </c>
      <c r="AC453" t="s">
        <v>846</v>
      </c>
      <c r="AD453" t="s">
        <v>847</v>
      </c>
      <c r="AE453" t="s">
        <v>848</v>
      </c>
      <c r="AF453">
        <v>1</v>
      </c>
      <c r="AG453">
        <v>452210</v>
      </c>
      <c r="AH453" t="s">
        <v>849</v>
      </c>
      <c r="AI453" t="s">
        <v>850</v>
      </c>
      <c r="AJ453" t="s">
        <v>851</v>
      </c>
      <c r="AK453" t="s">
        <v>291</v>
      </c>
      <c r="AL453" t="s">
        <v>909</v>
      </c>
      <c r="AM453" t="s">
        <v>979</v>
      </c>
      <c r="AN453" t="s">
        <v>854</v>
      </c>
      <c r="AO453">
        <v>36805</v>
      </c>
      <c r="AP453">
        <v>647</v>
      </c>
      <c r="AQ453" t="s">
        <v>855</v>
      </c>
      <c r="AR453">
        <v>66157508</v>
      </c>
      <c r="AS453" t="s">
        <v>856</v>
      </c>
      <c r="AU453" t="s">
        <v>9411</v>
      </c>
      <c r="AV453" t="s">
        <v>9412</v>
      </c>
      <c r="AX453" t="s">
        <v>913</v>
      </c>
      <c r="AY453" t="s">
        <v>861</v>
      </c>
      <c r="AZ453" t="s">
        <v>291</v>
      </c>
      <c r="BA453" t="s">
        <v>292</v>
      </c>
      <c r="BB453">
        <v>0</v>
      </c>
      <c r="BC453">
        <v>0</v>
      </c>
      <c r="BD453">
        <v>1</v>
      </c>
      <c r="BE453" t="s">
        <v>1592</v>
      </c>
      <c r="BF453">
        <v>0</v>
      </c>
      <c r="BG453">
        <v>0</v>
      </c>
      <c r="BH453" t="s">
        <v>862</v>
      </c>
      <c r="BI453">
        <v>0</v>
      </c>
      <c r="BJ453" t="s">
        <v>862</v>
      </c>
      <c r="BK453">
        <v>1</v>
      </c>
      <c r="BL453">
        <v>1</v>
      </c>
      <c r="BM453">
        <v>0</v>
      </c>
      <c r="BN453" t="s">
        <v>596</v>
      </c>
      <c r="BO453">
        <v>156046205</v>
      </c>
      <c r="BP453" t="s">
        <v>9406</v>
      </c>
      <c r="BQ453">
        <v>42.2267644</v>
      </c>
      <c r="BR453">
        <v>42791779</v>
      </c>
      <c r="BS453">
        <v>-85.591512100000003</v>
      </c>
      <c r="BT453">
        <v>1</v>
      </c>
      <c r="BU453" t="s">
        <v>2280</v>
      </c>
      <c r="CI453">
        <v>11</v>
      </c>
      <c r="CJ453" t="s">
        <v>94</v>
      </c>
      <c r="CM453">
        <v>4010</v>
      </c>
      <c r="CO453">
        <v>7360</v>
      </c>
      <c r="CP453">
        <v>1.1000000000000001</v>
      </c>
      <c r="CQ453">
        <v>1.1000000000000001</v>
      </c>
      <c r="CR453">
        <v>0</v>
      </c>
      <c r="CS453">
        <v>4</v>
      </c>
      <c r="CT453" t="s">
        <v>9413</v>
      </c>
      <c r="CU453" t="s">
        <v>9414</v>
      </c>
      <c r="CV453" t="s">
        <v>833</v>
      </c>
      <c r="CW453" t="s">
        <v>834</v>
      </c>
      <c r="CX453" t="s">
        <v>1592</v>
      </c>
      <c r="CY453">
        <v>1</v>
      </c>
      <c r="CZ453">
        <v>1</v>
      </c>
      <c r="DA453" t="s">
        <v>833</v>
      </c>
      <c r="DB453" t="s">
        <v>865</v>
      </c>
      <c r="DC453">
        <v>49002</v>
      </c>
      <c r="DD453">
        <v>24</v>
      </c>
      <c r="DE453" t="s">
        <v>866</v>
      </c>
      <c r="DG453" t="s">
        <v>867</v>
      </c>
      <c r="DH453" t="s">
        <v>851</v>
      </c>
      <c r="DI453" t="s">
        <v>984</v>
      </c>
      <c r="DK453" t="s">
        <v>1155</v>
      </c>
      <c r="DL453" t="s">
        <v>869</v>
      </c>
      <c r="DM453">
        <v>0</v>
      </c>
      <c r="DN453">
        <v>0</v>
      </c>
      <c r="DO453">
        <v>11</v>
      </c>
      <c r="DP453" t="s">
        <v>1010</v>
      </c>
      <c r="DQ453">
        <v>16</v>
      </c>
      <c r="DR453">
        <v>1440</v>
      </c>
      <c r="DS453">
        <v>2880</v>
      </c>
      <c r="DT453">
        <v>22.9</v>
      </c>
      <c r="DU453">
        <v>4</v>
      </c>
      <c r="DV453">
        <v>1</v>
      </c>
      <c r="DW453">
        <v>2</v>
      </c>
      <c r="DX453" t="s">
        <v>596</v>
      </c>
      <c r="DY453" t="s">
        <v>1592</v>
      </c>
      <c r="DZ453">
        <v>0</v>
      </c>
      <c r="EA453">
        <v>0</v>
      </c>
      <c r="EB453">
        <v>1</v>
      </c>
      <c r="EC453">
        <v>0</v>
      </c>
      <c r="ED453">
        <v>0</v>
      </c>
      <c r="EE453">
        <v>1</v>
      </c>
      <c r="EF453" t="s">
        <v>920</v>
      </c>
      <c r="EG453" t="s">
        <v>595</v>
      </c>
      <c r="EH453" t="s">
        <v>921</v>
      </c>
      <c r="EI453" t="s">
        <v>921</v>
      </c>
      <c r="EJ453" t="s">
        <v>178</v>
      </c>
      <c r="EK453">
        <v>9090</v>
      </c>
      <c r="EL453">
        <v>0</v>
      </c>
      <c r="EM453" t="s">
        <v>922</v>
      </c>
      <c r="EN453">
        <v>0</v>
      </c>
      <c r="EO453">
        <v>48</v>
      </c>
      <c r="EP453">
        <v>99991120</v>
      </c>
      <c r="EQ453" t="s">
        <v>874</v>
      </c>
      <c r="ER453" t="s">
        <v>875</v>
      </c>
      <c r="ES453" t="s">
        <v>876</v>
      </c>
      <c r="ET453" t="s">
        <v>877</v>
      </c>
      <c r="EU453" t="s">
        <v>877</v>
      </c>
      <c r="EV453" t="s">
        <v>920</v>
      </c>
      <c r="EX453" t="s">
        <v>953</v>
      </c>
      <c r="EY453" t="s">
        <v>986</v>
      </c>
      <c r="EZ453" t="s">
        <v>924</v>
      </c>
      <c r="FA453" t="s">
        <v>925</v>
      </c>
      <c r="FB453">
        <v>1</v>
      </c>
      <c r="FC453">
        <v>1</v>
      </c>
      <c r="FD453" s="41">
        <v>45948</v>
      </c>
      <c r="FE453" t="s">
        <v>1039</v>
      </c>
      <c r="FF453">
        <v>9</v>
      </c>
      <c r="FG453" t="s">
        <v>930</v>
      </c>
      <c r="FH453" t="s">
        <v>9415</v>
      </c>
      <c r="FI453">
        <v>1</v>
      </c>
      <c r="FJ453" t="s">
        <v>9416</v>
      </c>
      <c r="FK453" t="s">
        <v>9417</v>
      </c>
      <c r="FL453">
        <v>1</v>
      </c>
      <c r="FM453" t="s">
        <v>1604</v>
      </c>
      <c r="FN453" t="s">
        <v>9418</v>
      </c>
      <c r="FO453">
        <v>1</v>
      </c>
      <c r="FP453" t="s">
        <v>9419</v>
      </c>
      <c r="FQ453" t="s">
        <v>9420</v>
      </c>
      <c r="FR453">
        <v>1</v>
      </c>
      <c r="FS453" t="s">
        <v>993</v>
      </c>
      <c r="FT453" t="s">
        <v>9421</v>
      </c>
      <c r="FU453">
        <v>1</v>
      </c>
      <c r="FV453" t="s">
        <v>9422</v>
      </c>
      <c r="FW453" t="s">
        <v>9423</v>
      </c>
      <c r="FX453">
        <v>1</v>
      </c>
      <c r="FY453" t="s">
        <v>890</v>
      </c>
      <c r="FZ453" t="s">
        <v>9424</v>
      </c>
      <c r="GA453" t="s">
        <v>9416</v>
      </c>
      <c r="GB453">
        <v>1</v>
      </c>
      <c r="GD453">
        <v>0</v>
      </c>
      <c r="GF453">
        <v>0</v>
      </c>
      <c r="GG453">
        <v>1</v>
      </c>
      <c r="GH453" t="s">
        <v>892</v>
      </c>
      <c r="GI453" t="s">
        <v>893</v>
      </c>
      <c r="GJ453" t="s">
        <v>9417</v>
      </c>
      <c r="GM453">
        <v>1</v>
      </c>
      <c r="GN453">
        <v>1</v>
      </c>
      <c r="GO453">
        <v>0</v>
      </c>
      <c r="GP453">
        <v>1</v>
      </c>
      <c r="GQ453">
        <v>1</v>
      </c>
      <c r="GR453">
        <v>0</v>
      </c>
      <c r="GS453">
        <v>1</v>
      </c>
      <c r="GT453">
        <v>0</v>
      </c>
      <c r="GU453">
        <v>1</v>
      </c>
      <c r="GV453">
        <v>0</v>
      </c>
      <c r="GW453">
        <v>1</v>
      </c>
      <c r="GX453">
        <v>0</v>
      </c>
      <c r="GY453">
        <v>1</v>
      </c>
      <c r="GZ453">
        <v>0</v>
      </c>
      <c r="HA453" t="s">
        <v>291</v>
      </c>
      <c r="HB453" t="s">
        <v>894</v>
      </c>
      <c r="HC453" t="s">
        <v>935</v>
      </c>
      <c r="HD453" t="s">
        <v>845</v>
      </c>
      <c r="HE453" t="s">
        <v>900</v>
      </c>
      <c r="HF453" t="s">
        <v>923</v>
      </c>
      <c r="HG453" t="s">
        <v>894</v>
      </c>
      <c r="HH453" t="s">
        <v>935</v>
      </c>
      <c r="HI453" t="s">
        <v>845</v>
      </c>
      <c r="HJ453" t="s">
        <v>900</v>
      </c>
      <c r="HK453" t="s">
        <v>922</v>
      </c>
      <c r="HL453" t="s">
        <v>208</v>
      </c>
      <c r="HM453" t="s">
        <v>854</v>
      </c>
      <c r="HN453">
        <v>36805</v>
      </c>
      <c r="HO453">
        <v>1</v>
      </c>
      <c r="HP453" t="s">
        <v>178</v>
      </c>
      <c r="HQ453" t="s">
        <v>896</v>
      </c>
      <c r="HR453" t="s">
        <v>896</v>
      </c>
      <c r="HS453" t="s">
        <v>896</v>
      </c>
    </row>
    <row r="454" spans="1:227" x14ac:dyDescent="0.2">
      <c r="A454">
        <v>8702</v>
      </c>
      <c r="B454">
        <v>7526004045</v>
      </c>
      <c r="C454" t="s">
        <v>829</v>
      </c>
      <c r="D454" t="s">
        <v>830</v>
      </c>
      <c r="E454" t="s">
        <v>831</v>
      </c>
      <c r="F454">
        <v>1</v>
      </c>
      <c r="G454" t="s">
        <v>9425</v>
      </c>
      <c r="H454" t="s">
        <v>9425</v>
      </c>
      <c r="I454">
        <v>0</v>
      </c>
      <c r="J454" t="s">
        <v>833</v>
      </c>
      <c r="K454" t="s">
        <v>834</v>
      </c>
      <c r="L454">
        <v>153294194</v>
      </c>
      <c r="M454" t="s">
        <v>2134</v>
      </c>
      <c r="N454" t="s">
        <v>836</v>
      </c>
      <c r="O454" t="s">
        <v>837</v>
      </c>
      <c r="P454" t="s">
        <v>838</v>
      </c>
      <c r="Q454" t="s">
        <v>1251</v>
      </c>
      <c r="R454" t="s">
        <v>9426</v>
      </c>
      <c r="S454" t="s">
        <v>9427</v>
      </c>
      <c r="T454">
        <v>41477093838</v>
      </c>
      <c r="V454" t="s">
        <v>214</v>
      </c>
      <c r="W454" s="41">
        <v>45922</v>
      </c>
      <c r="X454" t="s">
        <v>9428</v>
      </c>
      <c r="Y454" t="s">
        <v>9429</v>
      </c>
      <c r="AA454">
        <v>0</v>
      </c>
      <c r="AB454" t="s">
        <v>845</v>
      </c>
      <c r="AC454" t="s">
        <v>846</v>
      </c>
      <c r="AD454" t="s">
        <v>847</v>
      </c>
      <c r="AE454" t="s">
        <v>848</v>
      </c>
      <c r="AF454">
        <v>1</v>
      </c>
      <c r="AG454">
        <v>452210</v>
      </c>
      <c r="AH454" t="s">
        <v>849</v>
      </c>
      <c r="AI454" t="s">
        <v>850</v>
      </c>
      <c r="AJ454" t="s">
        <v>851</v>
      </c>
      <c r="AK454" t="s">
        <v>389</v>
      </c>
      <c r="AL454" t="s">
        <v>5840</v>
      </c>
      <c r="AM454" t="s">
        <v>1902</v>
      </c>
      <c r="AN454" t="s">
        <v>854</v>
      </c>
      <c r="AO454">
        <v>36805</v>
      </c>
      <c r="AP454">
        <v>701</v>
      </c>
      <c r="AQ454" t="s">
        <v>855</v>
      </c>
      <c r="AR454">
        <v>66125639</v>
      </c>
      <c r="AS454" t="s">
        <v>856</v>
      </c>
      <c r="AU454" t="s">
        <v>9430</v>
      </c>
      <c r="AV454" t="s">
        <v>9431</v>
      </c>
      <c r="AW454" t="s">
        <v>1185</v>
      </c>
      <c r="AX454" t="s">
        <v>1186</v>
      </c>
      <c r="AY454" t="s">
        <v>861</v>
      </c>
      <c r="AZ454" t="s">
        <v>389</v>
      </c>
      <c r="BA454" t="s">
        <v>390</v>
      </c>
      <c r="BB454">
        <v>0</v>
      </c>
      <c r="BC454">
        <v>1</v>
      </c>
      <c r="BD454">
        <v>0</v>
      </c>
      <c r="BE454" t="s">
        <v>2134</v>
      </c>
      <c r="BF454">
        <v>0</v>
      </c>
      <c r="BG454">
        <v>0</v>
      </c>
      <c r="BH454" t="s">
        <v>862</v>
      </c>
      <c r="BI454">
        <v>0</v>
      </c>
      <c r="BJ454" t="s">
        <v>862</v>
      </c>
      <c r="BK454">
        <v>1</v>
      </c>
      <c r="BL454">
        <v>0</v>
      </c>
      <c r="BM454">
        <v>0</v>
      </c>
      <c r="BN454" t="s">
        <v>596</v>
      </c>
      <c r="BO454">
        <v>153294194</v>
      </c>
      <c r="BP454" t="s">
        <v>9425</v>
      </c>
      <c r="BQ454">
        <v>43.051565099999998</v>
      </c>
      <c r="BR454">
        <v>42791783</v>
      </c>
      <c r="BS454">
        <v>-87.906537900000004</v>
      </c>
      <c r="BT454">
        <v>0</v>
      </c>
      <c r="CM454">
        <v>4010</v>
      </c>
      <c r="CO454">
        <v>7360</v>
      </c>
      <c r="CP454">
        <v>2.15</v>
      </c>
      <c r="CQ454">
        <v>2.15</v>
      </c>
      <c r="CR454">
        <v>0.41670000000000001</v>
      </c>
      <c r="CS454">
        <v>0</v>
      </c>
      <c r="CT454" t="s">
        <v>9432</v>
      </c>
      <c r="CU454" t="s">
        <v>9433</v>
      </c>
      <c r="CV454" t="s">
        <v>833</v>
      </c>
      <c r="CW454" t="s">
        <v>834</v>
      </c>
      <c r="CX454" t="s">
        <v>2134</v>
      </c>
      <c r="CY454">
        <v>1</v>
      </c>
      <c r="CZ454">
        <v>1</v>
      </c>
      <c r="DA454" t="s">
        <v>833</v>
      </c>
      <c r="DB454" t="s">
        <v>865</v>
      </c>
      <c r="DC454">
        <v>53202</v>
      </c>
      <c r="DD454">
        <v>63.033299999999997</v>
      </c>
      <c r="DE454" t="s">
        <v>866</v>
      </c>
      <c r="DG454" t="s">
        <v>867</v>
      </c>
      <c r="DH454" t="s">
        <v>851</v>
      </c>
      <c r="DI454" t="s">
        <v>2142</v>
      </c>
      <c r="DJ454" t="s">
        <v>2143</v>
      </c>
      <c r="DL454" t="s">
        <v>869</v>
      </c>
      <c r="DM454">
        <v>0</v>
      </c>
      <c r="DN454">
        <v>0</v>
      </c>
      <c r="DO454">
        <v>11</v>
      </c>
      <c r="DP454" t="s">
        <v>1010</v>
      </c>
      <c r="DQ454">
        <v>16</v>
      </c>
      <c r="DR454">
        <v>3782</v>
      </c>
      <c r="DS454">
        <v>7382</v>
      </c>
      <c r="DT454">
        <v>9.65</v>
      </c>
      <c r="DU454">
        <v>4</v>
      </c>
      <c r="DW454">
        <v>2</v>
      </c>
      <c r="DX454" t="s">
        <v>599</v>
      </c>
      <c r="DY454" t="s">
        <v>2134</v>
      </c>
      <c r="DZ454">
        <v>0</v>
      </c>
      <c r="EA454">
        <v>0</v>
      </c>
      <c r="EB454">
        <v>0</v>
      </c>
      <c r="EC454">
        <v>0</v>
      </c>
      <c r="ED454">
        <v>0</v>
      </c>
      <c r="EE454">
        <v>0</v>
      </c>
      <c r="EF454" t="s">
        <v>920</v>
      </c>
      <c r="EG454" t="s">
        <v>595</v>
      </c>
      <c r="EH454" t="s">
        <v>3582</v>
      </c>
      <c r="EI454" t="s">
        <v>3582</v>
      </c>
      <c r="EJ454" t="s">
        <v>215</v>
      </c>
      <c r="EK454">
        <v>9090</v>
      </c>
      <c r="EL454">
        <v>1</v>
      </c>
      <c r="EM454" t="s">
        <v>873</v>
      </c>
      <c r="EN454">
        <v>0.41670000000000001</v>
      </c>
      <c r="EO454">
        <v>123.0333333</v>
      </c>
      <c r="EP454">
        <v>99991120</v>
      </c>
      <c r="EQ454" t="s">
        <v>874</v>
      </c>
      <c r="ER454" t="s">
        <v>875</v>
      </c>
      <c r="ES454" t="s">
        <v>876</v>
      </c>
      <c r="ET454" t="s">
        <v>877</v>
      </c>
      <c r="EU454" t="s">
        <v>877</v>
      </c>
      <c r="EV454" t="s">
        <v>920</v>
      </c>
      <c r="EX454" t="s">
        <v>836</v>
      </c>
      <c r="EY454" t="s">
        <v>873</v>
      </c>
      <c r="EZ454" t="s">
        <v>1807</v>
      </c>
      <c r="FA454" t="s">
        <v>925</v>
      </c>
      <c r="FB454">
        <v>1</v>
      </c>
      <c r="FC454">
        <v>2</v>
      </c>
      <c r="FD454" s="41">
        <v>45927</v>
      </c>
      <c r="FE454" t="s">
        <v>880</v>
      </c>
      <c r="FF454">
        <v>12</v>
      </c>
      <c r="FG454" t="s">
        <v>9434</v>
      </c>
      <c r="FH454" t="s">
        <v>7024</v>
      </c>
      <c r="FI454">
        <v>1</v>
      </c>
      <c r="FJ454" t="s">
        <v>9435</v>
      </c>
      <c r="FK454" t="s">
        <v>7024</v>
      </c>
      <c r="FL454">
        <v>1</v>
      </c>
      <c r="FM454" t="s">
        <v>2148</v>
      </c>
      <c r="FN454" t="s">
        <v>9436</v>
      </c>
      <c r="FO454">
        <v>1</v>
      </c>
      <c r="FP454" t="s">
        <v>9437</v>
      </c>
      <c r="FQ454" t="s">
        <v>9433</v>
      </c>
      <c r="FR454">
        <v>1</v>
      </c>
      <c r="FS454" t="s">
        <v>8155</v>
      </c>
      <c r="FT454" t="s">
        <v>9438</v>
      </c>
      <c r="FU454">
        <v>1</v>
      </c>
      <c r="FV454" t="s">
        <v>9439</v>
      </c>
      <c r="FW454" t="s">
        <v>9440</v>
      </c>
      <c r="FX454">
        <v>1</v>
      </c>
      <c r="FY454" t="s">
        <v>890</v>
      </c>
      <c r="FZ454" t="s">
        <v>9441</v>
      </c>
      <c r="GA454" t="s">
        <v>9434</v>
      </c>
      <c r="GB454">
        <v>1</v>
      </c>
      <c r="GD454">
        <v>0</v>
      </c>
      <c r="GF454">
        <v>0</v>
      </c>
      <c r="GG454">
        <v>1</v>
      </c>
      <c r="GH454" t="s">
        <v>892</v>
      </c>
      <c r="GI454" t="s">
        <v>893</v>
      </c>
      <c r="GJ454" t="s">
        <v>7024</v>
      </c>
      <c r="GM454">
        <v>1</v>
      </c>
      <c r="GN454">
        <v>0</v>
      </c>
      <c r="GO454">
        <v>0</v>
      </c>
      <c r="GP454">
        <v>1</v>
      </c>
      <c r="GQ454">
        <v>1</v>
      </c>
      <c r="GR454">
        <v>0</v>
      </c>
      <c r="GS454">
        <v>1</v>
      </c>
      <c r="GT454">
        <v>0</v>
      </c>
      <c r="GU454">
        <v>1</v>
      </c>
      <c r="GV454">
        <v>0</v>
      </c>
      <c r="GW454">
        <v>1</v>
      </c>
      <c r="GX454">
        <v>0</v>
      </c>
      <c r="GY454">
        <v>1</v>
      </c>
      <c r="GZ454">
        <v>0</v>
      </c>
      <c r="HA454" t="s">
        <v>389</v>
      </c>
      <c r="HB454" t="s">
        <v>894</v>
      </c>
      <c r="HC454" t="s">
        <v>895</v>
      </c>
      <c r="HD454" t="s">
        <v>845</v>
      </c>
      <c r="HE454" t="s">
        <v>836</v>
      </c>
      <c r="HF454" t="s">
        <v>873</v>
      </c>
      <c r="HG454" t="s">
        <v>894</v>
      </c>
      <c r="HH454" t="s">
        <v>895</v>
      </c>
      <c r="HI454" t="s">
        <v>845</v>
      </c>
      <c r="HJ454" t="s">
        <v>836</v>
      </c>
      <c r="HK454" t="s">
        <v>873</v>
      </c>
      <c r="HL454" t="s">
        <v>214</v>
      </c>
      <c r="HM454" t="s">
        <v>854</v>
      </c>
      <c r="HN454">
        <v>36805</v>
      </c>
      <c r="HP454" t="s">
        <v>215</v>
      </c>
      <c r="HQ454" t="s">
        <v>896</v>
      </c>
      <c r="HR454" t="s">
        <v>896</v>
      </c>
      <c r="HS454" t="s">
        <v>896</v>
      </c>
    </row>
    <row r="455" spans="1:227" x14ac:dyDescent="0.2">
      <c r="A455">
        <v>8702</v>
      </c>
      <c r="B455">
        <v>7612602206</v>
      </c>
      <c r="C455" t="s">
        <v>936</v>
      </c>
      <c r="D455" t="s">
        <v>937</v>
      </c>
      <c r="E455" t="s">
        <v>831</v>
      </c>
      <c r="F455">
        <v>1</v>
      </c>
      <c r="G455" t="s">
        <v>9442</v>
      </c>
      <c r="H455" t="s">
        <v>9442</v>
      </c>
      <c r="I455">
        <v>0</v>
      </c>
      <c r="J455" t="s">
        <v>833</v>
      </c>
      <c r="K455" t="s">
        <v>834</v>
      </c>
      <c r="L455">
        <v>152949088</v>
      </c>
      <c r="M455" t="s">
        <v>5110</v>
      </c>
      <c r="N455" t="s">
        <v>836</v>
      </c>
      <c r="O455" t="s">
        <v>837</v>
      </c>
      <c r="P455" t="s">
        <v>940</v>
      </c>
      <c r="Q455" t="s">
        <v>1080</v>
      </c>
      <c r="R455" t="s">
        <v>9443</v>
      </c>
      <c r="S455" t="s">
        <v>9444</v>
      </c>
      <c r="T455">
        <v>30300111330</v>
      </c>
      <c r="V455" t="s">
        <v>193</v>
      </c>
      <c r="W455" s="41">
        <v>46148</v>
      </c>
      <c r="X455" t="s">
        <v>9445</v>
      </c>
      <c r="Y455" t="s">
        <v>9446</v>
      </c>
      <c r="AA455">
        <v>0</v>
      </c>
      <c r="AB455" t="s">
        <v>845</v>
      </c>
      <c r="AC455" t="s">
        <v>846</v>
      </c>
      <c r="AD455" t="s">
        <v>1113</v>
      </c>
      <c r="AE455" t="s">
        <v>1114</v>
      </c>
      <c r="AF455">
        <v>1</v>
      </c>
      <c r="AG455">
        <v>452210</v>
      </c>
      <c r="AH455" t="s">
        <v>849</v>
      </c>
      <c r="AI455" t="s">
        <v>850</v>
      </c>
      <c r="AJ455" t="s">
        <v>851</v>
      </c>
      <c r="AK455" t="s">
        <v>271</v>
      </c>
      <c r="AL455" t="s">
        <v>2363</v>
      </c>
      <c r="AM455" t="s">
        <v>2364</v>
      </c>
      <c r="AN455" t="s">
        <v>854</v>
      </c>
      <c r="AO455">
        <v>36805</v>
      </c>
      <c r="AP455">
        <v>637</v>
      </c>
      <c r="AQ455" t="s">
        <v>855</v>
      </c>
      <c r="AR455">
        <v>66450940</v>
      </c>
      <c r="AS455" t="s">
        <v>856</v>
      </c>
      <c r="AU455" t="s">
        <v>9447</v>
      </c>
      <c r="AV455" t="s">
        <v>9448</v>
      </c>
      <c r="AX455" t="s">
        <v>913</v>
      </c>
      <c r="AY455" t="s">
        <v>861</v>
      </c>
      <c r="AZ455" t="s">
        <v>271</v>
      </c>
      <c r="BA455" t="s">
        <v>272</v>
      </c>
      <c r="BB455">
        <v>0</v>
      </c>
      <c r="BC455">
        <v>0</v>
      </c>
      <c r="BD455">
        <v>0</v>
      </c>
      <c r="BE455" t="s">
        <v>5110</v>
      </c>
      <c r="BF455">
        <v>0</v>
      </c>
      <c r="BG455">
        <v>0</v>
      </c>
      <c r="BH455" t="s">
        <v>862</v>
      </c>
      <c r="BI455">
        <v>0</v>
      </c>
      <c r="BJ455" t="s">
        <v>862</v>
      </c>
      <c r="BK455">
        <v>1</v>
      </c>
      <c r="BL455">
        <v>1</v>
      </c>
      <c r="BM455">
        <v>0</v>
      </c>
      <c r="BN455" t="s">
        <v>596</v>
      </c>
      <c r="BO455">
        <v>152949088</v>
      </c>
      <c r="BP455" t="s">
        <v>9442</v>
      </c>
      <c r="BR455">
        <v>42791765</v>
      </c>
      <c r="BT455">
        <v>2</v>
      </c>
      <c r="BU455" t="s">
        <v>1803</v>
      </c>
      <c r="BY455">
        <v>16</v>
      </c>
      <c r="CA455">
        <v>5</v>
      </c>
      <c r="CE455">
        <v>1</v>
      </c>
      <c r="CI455">
        <v>11</v>
      </c>
      <c r="CJ455" t="s">
        <v>94</v>
      </c>
      <c r="CM455">
        <v>4010</v>
      </c>
      <c r="CO455">
        <v>7360</v>
      </c>
      <c r="CP455">
        <v>1.3667</v>
      </c>
      <c r="CQ455">
        <v>1.3667</v>
      </c>
      <c r="CR455">
        <v>0.45</v>
      </c>
      <c r="CS455">
        <v>12</v>
      </c>
      <c r="CT455" t="s">
        <v>9448</v>
      </c>
      <c r="CU455" t="s">
        <v>9447</v>
      </c>
      <c r="CV455" t="s">
        <v>833</v>
      </c>
      <c r="CW455" t="s">
        <v>834</v>
      </c>
      <c r="CX455" t="s">
        <v>5110</v>
      </c>
      <c r="CY455">
        <v>0</v>
      </c>
      <c r="CZ455">
        <v>0</v>
      </c>
      <c r="DA455" t="s">
        <v>833</v>
      </c>
      <c r="DB455" t="s">
        <v>865</v>
      </c>
      <c r="DC455">
        <v>60014</v>
      </c>
      <c r="DD455">
        <v>4.5332999999999997</v>
      </c>
      <c r="DE455" t="s">
        <v>866</v>
      </c>
      <c r="DG455" t="s">
        <v>867</v>
      </c>
      <c r="DH455" t="s">
        <v>851</v>
      </c>
      <c r="DI455" t="s">
        <v>5117</v>
      </c>
      <c r="DK455" t="s">
        <v>918</v>
      </c>
      <c r="DL455" t="s">
        <v>869</v>
      </c>
      <c r="DM455">
        <v>0</v>
      </c>
      <c r="DN455">
        <v>0</v>
      </c>
      <c r="DO455">
        <v>1</v>
      </c>
      <c r="DP455" t="s">
        <v>985</v>
      </c>
      <c r="DQ455">
        <v>0</v>
      </c>
      <c r="DR455">
        <v>272</v>
      </c>
      <c r="DS455">
        <v>272</v>
      </c>
      <c r="DT455">
        <v>3.1667000000000001</v>
      </c>
      <c r="DU455">
        <v>0</v>
      </c>
      <c r="DV455">
        <v>1</v>
      </c>
      <c r="DW455">
        <v>2</v>
      </c>
      <c r="DX455" t="s">
        <v>596</v>
      </c>
      <c r="DY455" t="s">
        <v>5110</v>
      </c>
      <c r="DZ455">
        <v>1</v>
      </c>
      <c r="EA455">
        <v>1</v>
      </c>
      <c r="EB455">
        <v>1</v>
      </c>
      <c r="EC455">
        <v>1</v>
      </c>
      <c r="ED455">
        <v>1</v>
      </c>
      <c r="EE455">
        <v>1</v>
      </c>
      <c r="EF455" t="s">
        <v>920</v>
      </c>
      <c r="EG455" t="s">
        <v>595</v>
      </c>
      <c r="EH455" t="s">
        <v>921</v>
      </c>
      <c r="EI455" t="s">
        <v>921</v>
      </c>
      <c r="EJ455" t="s">
        <v>181</v>
      </c>
      <c r="EK455">
        <v>9090</v>
      </c>
      <c r="EL455">
        <v>0</v>
      </c>
      <c r="EM455" t="s">
        <v>1436</v>
      </c>
      <c r="EN455">
        <v>0.45</v>
      </c>
      <c r="EO455">
        <v>4.5333332999999998</v>
      </c>
      <c r="EP455">
        <v>99991120</v>
      </c>
      <c r="EQ455" t="s">
        <v>874</v>
      </c>
      <c r="ER455" t="s">
        <v>875</v>
      </c>
      <c r="ES455" t="s">
        <v>876</v>
      </c>
      <c r="ET455" t="s">
        <v>877</v>
      </c>
      <c r="EU455" t="s">
        <v>877</v>
      </c>
      <c r="EV455" t="s">
        <v>920</v>
      </c>
      <c r="EX455" t="s">
        <v>836</v>
      </c>
      <c r="EY455" t="s">
        <v>873</v>
      </c>
      <c r="EZ455" t="s">
        <v>1437</v>
      </c>
      <c r="FA455" t="s">
        <v>956</v>
      </c>
      <c r="FB455">
        <v>1</v>
      </c>
      <c r="FC455">
        <v>1</v>
      </c>
      <c r="FD455" s="41">
        <v>46151</v>
      </c>
      <c r="FE455" t="s">
        <v>1808</v>
      </c>
      <c r="FF455">
        <v>4</v>
      </c>
      <c r="FI455">
        <v>0</v>
      </c>
      <c r="FL455">
        <v>0</v>
      </c>
      <c r="FM455" t="s">
        <v>5121</v>
      </c>
      <c r="FN455" t="s">
        <v>9449</v>
      </c>
      <c r="FO455">
        <v>1</v>
      </c>
      <c r="FP455" t="s">
        <v>9450</v>
      </c>
      <c r="FQ455" t="s">
        <v>9451</v>
      </c>
      <c r="FR455">
        <v>1</v>
      </c>
      <c r="FS455" t="s">
        <v>2375</v>
      </c>
      <c r="FT455" t="s">
        <v>9452</v>
      </c>
      <c r="FU455">
        <v>1</v>
      </c>
      <c r="FV455" t="s">
        <v>9453</v>
      </c>
      <c r="FW455" t="s">
        <v>9454</v>
      </c>
      <c r="FX455">
        <v>1</v>
      </c>
      <c r="FY455" t="s">
        <v>890</v>
      </c>
      <c r="FZ455" t="s">
        <v>9455</v>
      </c>
      <c r="GA455" t="s">
        <v>9453</v>
      </c>
      <c r="GB455">
        <v>1</v>
      </c>
      <c r="GD455">
        <v>0</v>
      </c>
      <c r="GF455">
        <v>0</v>
      </c>
      <c r="GG455">
        <v>1</v>
      </c>
      <c r="GH455" t="s">
        <v>892</v>
      </c>
      <c r="GI455" t="s">
        <v>893</v>
      </c>
      <c r="GJ455" t="s">
        <v>9454</v>
      </c>
      <c r="GM455">
        <v>1</v>
      </c>
      <c r="GN455">
        <v>0</v>
      </c>
      <c r="GO455">
        <v>1</v>
      </c>
      <c r="GP455">
        <v>1</v>
      </c>
      <c r="GQ455">
        <v>1</v>
      </c>
      <c r="GR455">
        <v>0</v>
      </c>
      <c r="GS455">
        <v>1</v>
      </c>
      <c r="GT455">
        <v>1</v>
      </c>
      <c r="GU455">
        <v>1</v>
      </c>
      <c r="GV455">
        <v>0</v>
      </c>
      <c r="GW455">
        <v>1</v>
      </c>
      <c r="GX455">
        <v>1</v>
      </c>
      <c r="GY455">
        <v>1</v>
      </c>
      <c r="GZ455">
        <v>0</v>
      </c>
      <c r="HA455" t="s">
        <v>271</v>
      </c>
      <c r="HB455" t="s">
        <v>894</v>
      </c>
      <c r="HC455" t="s">
        <v>895</v>
      </c>
      <c r="HD455" t="s">
        <v>845</v>
      </c>
      <c r="HE455" t="s">
        <v>836</v>
      </c>
      <c r="HF455" t="s">
        <v>873</v>
      </c>
      <c r="HG455" t="s">
        <v>894</v>
      </c>
      <c r="HH455" t="s">
        <v>895</v>
      </c>
      <c r="HI455" t="s">
        <v>845</v>
      </c>
      <c r="HJ455" t="s">
        <v>836</v>
      </c>
      <c r="HK455" t="s">
        <v>1436</v>
      </c>
      <c r="HL455" t="s">
        <v>193</v>
      </c>
      <c r="HM455" t="s">
        <v>854</v>
      </c>
      <c r="HN455">
        <v>36805</v>
      </c>
      <c r="HP455" t="s">
        <v>181</v>
      </c>
      <c r="HQ455" t="s">
        <v>896</v>
      </c>
      <c r="HR455" t="s">
        <v>896</v>
      </c>
      <c r="HS455" t="s">
        <v>896</v>
      </c>
    </row>
    <row r="456" spans="1:227" x14ac:dyDescent="0.2">
      <c r="A456">
        <v>8702</v>
      </c>
      <c r="B456">
        <v>7603301471</v>
      </c>
      <c r="C456" t="s">
        <v>829</v>
      </c>
      <c r="D456" t="s">
        <v>830</v>
      </c>
      <c r="E456" t="s">
        <v>897</v>
      </c>
      <c r="F456">
        <v>1</v>
      </c>
      <c r="G456" t="s">
        <v>9456</v>
      </c>
      <c r="H456" t="s">
        <v>9456</v>
      </c>
      <c r="I456">
        <v>0</v>
      </c>
      <c r="J456" t="s">
        <v>833</v>
      </c>
      <c r="K456" t="s">
        <v>834</v>
      </c>
      <c r="L456">
        <v>153524553</v>
      </c>
      <c r="M456" t="s">
        <v>2054</v>
      </c>
      <c r="N456" t="s">
        <v>900</v>
      </c>
      <c r="O456" t="s">
        <v>837</v>
      </c>
      <c r="P456" t="s">
        <v>838</v>
      </c>
      <c r="Q456" t="s">
        <v>1251</v>
      </c>
      <c r="R456" t="s">
        <v>9457</v>
      </c>
      <c r="S456" t="s">
        <v>9458</v>
      </c>
      <c r="T456">
        <v>41477011711</v>
      </c>
      <c r="V456" t="s">
        <v>150</v>
      </c>
      <c r="W456" s="41">
        <v>46056</v>
      </c>
      <c r="X456" t="s">
        <v>9459</v>
      </c>
      <c r="Y456" t="s">
        <v>9460</v>
      </c>
      <c r="Z456" t="s">
        <v>9461</v>
      </c>
      <c r="AA456">
        <v>0</v>
      </c>
      <c r="AB456" t="s">
        <v>845</v>
      </c>
      <c r="AC456" t="s">
        <v>846</v>
      </c>
      <c r="AD456" t="s">
        <v>1113</v>
      </c>
      <c r="AE456" t="s">
        <v>1114</v>
      </c>
      <c r="AF456">
        <v>1</v>
      </c>
      <c r="AG456">
        <v>452210</v>
      </c>
      <c r="AH456" t="s">
        <v>849</v>
      </c>
      <c r="AI456" t="s">
        <v>850</v>
      </c>
      <c r="AJ456" t="s">
        <v>851</v>
      </c>
      <c r="AK456" t="s">
        <v>375</v>
      </c>
      <c r="AL456" t="s">
        <v>2060</v>
      </c>
      <c r="AM456" t="s">
        <v>2061</v>
      </c>
      <c r="AN456" t="s">
        <v>854</v>
      </c>
      <c r="AO456">
        <v>36805</v>
      </c>
      <c r="AP456">
        <v>533</v>
      </c>
      <c r="AQ456" t="s">
        <v>855</v>
      </c>
      <c r="AR456">
        <v>66318319</v>
      </c>
      <c r="AS456" t="s">
        <v>856</v>
      </c>
      <c r="AU456" t="s">
        <v>9462</v>
      </c>
      <c r="AV456" t="s">
        <v>9463</v>
      </c>
      <c r="AW456" t="s">
        <v>1261</v>
      </c>
      <c r="AX456" t="s">
        <v>1262</v>
      </c>
      <c r="AY456" t="s">
        <v>861</v>
      </c>
      <c r="AZ456" t="s">
        <v>375</v>
      </c>
      <c r="BA456" t="s">
        <v>376</v>
      </c>
      <c r="BB456">
        <v>0</v>
      </c>
      <c r="BC456">
        <v>0</v>
      </c>
      <c r="BD456">
        <v>1</v>
      </c>
      <c r="BE456" t="s">
        <v>2054</v>
      </c>
      <c r="BF456">
        <v>0</v>
      </c>
      <c r="BG456">
        <v>0</v>
      </c>
      <c r="BH456" t="s">
        <v>862</v>
      </c>
      <c r="BI456">
        <v>0</v>
      </c>
      <c r="BJ456" t="s">
        <v>862</v>
      </c>
      <c r="BK456">
        <v>1</v>
      </c>
      <c r="BL456">
        <v>0</v>
      </c>
      <c r="BM456">
        <v>0</v>
      </c>
      <c r="BN456" t="s">
        <v>596</v>
      </c>
      <c r="BO456">
        <v>153524553</v>
      </c>
      <c r="BP456" t="s">
        <v>9456</v>
      </c>
      <c r="BQ456">
        <v>39.414107999999999</v>
      </c>
      <c r="BR456">
        <v>42791448</v>
      </c>
      <c r="BS456">
        <v>-87.412516100000005</v>
      </c>
      <c r="BT456">
        <v>1</v>
      </c>
      <c r="BU456" t="s">
        <v>1263</v>
      </c>
      <c r="CI456">
        <v>11</v>
      </c>
      <c r="CJ456" t="s">
        <v>94</v>
      </c>
      <c r="CM456">
        <v>4010</v>
      </c>
      <c r="CO456">
        <v>7360</v>
      </c>
      <c r="CP456">
        <v>0.76670000000000005</v>
      </c>
      <c r="CQ456">
        <v>0.76670000000000005</v>
      </c>
      <c r="CR456">
        <v>0.76670000000000005</v>
      </c>
      <c r="CS456">
        <v>32</v>
      </c>
      <c r="CT456" t="s">
        <v>9463</v>
      </c>
      <c r="CU456" t="s">
        <v>9462</v>
      </c>
      <c r="CV456" t="s">
        <v>833</v>
      </c>
      <c r="CW456" t="s">
        <v>834</v>
      </c>
      <c r="CX456" t="s">
        <v>2054</v>
      </c>
      <c r="CY456">
        <v>1</v>
      </c>
      <c r="CZ456">
        <v>1</v>
      </c>
      <c r="DA456" t="s">
        <v>833</v>
      </c>
      <c r="DB456" t="s">
        <v>865</v>
      </c>
      <c r="DC456">
        <v>47802</v>
      </c>
      <c r="DD456">
        <v>14.7333</v>
      </c>
      <c r="DE456" t="s">
        <v>866</v>
      </c>
      <c r="DG456" t="s">
        <v>867</v>
      </c>
      <c r="DH456" t="s">
        <v>851</v>
      </c>
      <c r="DI456" t="s">
        <v>1291</v>
      </c>
      <c r="DK456" t="s">
        <v>918</v>
      </c>
      <c r="DL456" t="s">
        <v>869</v>
      </c>
      <c r="DM456">
        <v>0</v>
      </c>
      <c r="DN456">
        <v>0</v>
      </c>
      <c r="DO456">
        <v>3</v>
      </c>
      <c r="DP456" t="s">
        <v>919</v>
      </c>
      <c r="DQ456">
        <v>0</v>
      </c>
      <c r="DR456">
        <v>884</v>
      </c>
      <c r="DS456">
        <v>2324</v>
      </c>
      <c r="DT456">
        <v>13.966699999999999</v>
      </c>
      <c r="DU456">
        <v>0</v>
      </c>
      <c r="DV456">
        <v>1</v>
      </c>
      <c r="DW456">
        <v>2</v>
      </c>
      <c r="DX456" t="s">
        <v>594</v>
      </c>
      <c r="DY456" t="s">
        <v>2054</v>
      </c>
      <c r="DZ456">
        <v>1</v>
      </c>
      <c r="EA456">
        <v>1</v>
      </c>
      <c r="EB456">
        <v>1</v>
      </c>
      <c r="EC456">
        <v>1</v>
      </c>
      <c r="ED456">
        <v>1</v>
      </c>
      <c r="EE456">
        <v>1</v>
      </c>
      <c r="EF456" t="s">
        <v>920</v>
      </c>
      <c r="EG456" t="s">
        <v>595</v>
      </c>
      <c r="EH456" t="s">
        <v>872</v>
      </c>
      <c r="EI456" t="s">
        <v>872</v>
      </c>
      <c r="EJ456" t="s">
        <v>134</v>
      </c>
      <c r="EK456">
        <v>9090</v>
      </c>
      <c r="EL456">
        <v>0</v>
      </c>
      <c r="EM456" t="s">
        <v>1011</v>
      </c>
      <c r="EN456">
        <v>0.76670000000000005</v>
      </c>
      <c r="EO456">
        <v>38.733333299999998</v>
      </c>
      <c r="EP456">
        <v>99991120</v>
      </c>
      <c r="EQ456" t="s">
        <v>874</v>
      </c>
      <c r="ER456" t="s">
        <v>875</v>
      </c>
      <c r="ES456" t="s">
        <v>876</v>
      </c>
      <c r="ET456" t="s">
        <v>877</v>
      </c>
      <c r="EU456" t="s">
        <v>877</v>
      </c>
      <c r="EV456" t="s">
        <v>920</v>
      </c>
      <c r="EX456" t="s">
        <v>953</v>
      </c>
      <c r="EY456" t="s">
        <v>1555</v>
      </c>
      <c r="EZ456" t="s">
        <v>2065</v>
      </c>
      <c r="FA456" t="s">
        <v>1212</v>
      </c>
      <c r="FB456">
        <v>1</v>
      </c>
      <c r="FC456">
        <v>1</v>
      </c>
      <c r="FD456" s="41">
        <v>46060</v>
      </c>
      <c r="FE456" t="s">
        <v>1267</v>
      </c>
      <c r="FF456">
        <v>8</v>
      </c>
      <c r="FG456" t="s">
        <v>9464</v>
      </c>
      <c r="FH456" t="s">
        <v>9465</v>
      </c>
      <c r="FI456">
        <v>1</v>
      </c>
      <c r="FJ456" t="s">
        <v>9466</v>
      </c>
      <c r="FK456" t="s">
        <v>9465</v>
      </c>
      <c r="FL456">
        <v>1</v>
      </c>
      <c r="FM456" t="s">
        <v>9467</v>
      </c>
      <c r="FN456" t="s">
        <v>9468</v>
      </c>
      <c r="FO456">
        <v>1</v>
      </c>
      <c r="FP456" t="s">
        <v>9469</v>
      </c>
      <c r="FQ456" t="s">
        <v>9470</v>
      </c>
      <c r="FR456">
        <v>1</v>
      </c>
      <c r="FS456" t="s">
        <v>7145</v>
      </c>
      <c r="FT456" t="s">
        <v>9471</v>
      </c>
      <c r="FU456">
        <v>1</v>
      </c>
      <c r="FV456" t="s">
        <v>9472</v>
      </c>
      <c r="FW456" t="s">
        <v>9473</v>
      </c>
      <c r="FX456">
        <v>1</v>
      </c>
      <c r="FY456" t="s">
        <v>890</v>
      </c>
      <c r="FZ456" t="s">
        <v>9474</v>
      </c>
      <c r="GA456" t="s">
        <v>9466</v>
      </c>
      <c r="GB456">
        <v>1</v>
      </c>
      <c r="GD456">
        <v>0</v>
      </c>
      <c r="GF456">
        <v>0</v>
      </c>
      <c r="GG456">
        <v>1</v>
      </c>
      <c r="GH456" t="s">
        <v>892</v>
      </c>
      <c r="GI456" t="s">
        <v>893</v>
      </c>
      <c r="GJ456" t="s">
        <v>9465</v>
      </c>
      <c r="GM456">
        <v>1</v>
      </c>
      <c r="GN456">
        <v>1</v>
      </c>
      <c r="GO456">
        <v>0</v>
      </c>
      <c r="GP456">
        <v>1</v>
      </c>
      <c r="GQ456">
        <v>1</v>
      </c>
      <c r="GR456">
        <v>0</v>
      </c>
      <c r="GS456">
        <v>1</v>
      </c>
      <c r="GT456">
        <v>0</v>
      </c>
      <c r="GU456">
        <v>1</v>
      </c>
      <c r="GV456">
        <v>0</v>
      </c>
      <c r="GW456">
        <v>1</v>
      </c>
      <c r="GX456">
        <v>0</v>
      </c>
      <c r="GY456">
        <v>1</v>
      </c>
      <c r="GZ456">
        <v>0</v>
      </c>
      <c r="HA456" t="s">
        <v>375</v>
      </c>
      <c r="HB456" t="s">
        <v>894</v>
      </c>
      <c r="HC456" t="s">
        <v>935</v>
      </c>
      <c r="HD456" t="s">
        <v>845</v>
      </c>
      <c r="HE456" t="s">
        <v>900</v>
      </c>
      <c r="HF456" t="s">
        <v>1012</v>
      </c>
      <c r="HG456" t="s">
        <v>894</v>
      </c>
      <c r="HH456" t="s">
        <v>935</v>
      </c>
      <c r="HI456" t="s">
        <v>845</v>
      </c>
      <c r="HJ456" t="s">
        <v>900</v>
      </c>
      <c r="HK456" t="s">
        <v>1011</v>
      </c>
      <c r="HL456" t="s">
        <v>150</v>
      </c>
      <c r="HM456" t="s">
        <v>854</v>
      </c>
      <c r="HN456">
        <v>36805</v>
      </c>
      <c r="HO456">
        <v>1</v>
      </c>
      <c r="HP456" t="s">
        <v>134</v>
      </c>
      <c r="HQ456" t="s">
        <v>896</v>
      </c>
      <c r="HR456" t="s">
        <v>896</v>
      </c>
      <c r="HS456" t="s">
        <v>896</v>
      </c>
    </row>
    <row r="457" spans="1:227" ht="409.6" x14ac:dyDescent="0.2">
      <c r="A457">
        <v>8702</v>
      </c>
      <c r="B457">
        <v>7521704674</v>
      </c>
      <c r="C457">
        <v>36</v>
      </c>
      <c r="D457" t="s">
        <v>1302</v>
      </c>
      <c r="E457" t="s">
        <v>831</v>
      </c>
      <c r="F457">
        <v>1</v>
      </c>
      <c r="G457" t="s">
        <v>9475</v>
      </c>
      <c r="H457" t="s">
        <v>9475</v>
      </c>
      <c r="I457">
        <v>0</v>
      </c>
      <c r="J457" t="s">
        <v>833</v>
      </c>
      <c r="K457" t="s">
        <v>834</v>
      </c>
      <c r="L457">
        <v>153195476</v>
      </c>
      <c r="M457" t="s">
        <v>6910</v>
      </c>
      <c r="N457" t="s">
        <v>836</v>
      </c>
      <c r="O457" t="s">
        <v>837</v>
      </c>
      <c r="P457" t="s">
        <v>1302</v>
      </c>
      <c r="Q457" t="s">
        <v>2357</v>
      </c>
      <c r="R457" t="s">
        <v>9476</v>
      </c>
      <c r="S457" t="s">
        <v>9477</v>
      </c>
      <c r="T457">
        <v>41477092613</v>
      </c>
      <c r="V457" t="s">
        <v>1254</v>
      </c>
      <c r="W457" s="41">
        <v>45902</v>
      </c>
      <c r="X457" t="s">
        <v>9478</v>
      </c>
      <c r="Y457" t="s">
        <v>9479</v>
      </c>
      <c r="Z457" t="s">
        <v>5544</v>
      </c>
      <c r="AA457">
        <v>0</v>
      </c>
      <c r="AB457" t="s">
        <v>845</v>
      </c>
      <c r="AC457" t="s">
        <v>846</v>
      </c>
      <c r="AD457" t="s">
        <v>847</v>
      </c>
      <c r="AE457" t="s">
        <v>848</v>
      </c>
      <c r="AF457">
        <v>1</v>
      </c>
      <c r="AG457">
        <v>452210</v>
      </c>
      <c r="AH457" t="s">
        <v>849</v>
      </c>
      <c r="AI457" t="s">
        <v>850</v>
      </c>
      <c r="AJ457" t="s">
        <v>851</v>
      </c>
      <c r="AK457" t="s">
        <v>253</v>
      </c>
      <c r="AL457" t="s">
        <v>1257</v>
      </c>
      <c r="AM457" t="s">
        <v>1258</v>
      </c>
      <c r="AN457" t="s">
        <v>854</v>
      </c>
      <c r="AO457">
        <v>36805</v>
      </c>
      <c r="AP457">
        <v>546</v>
      </c>
      <c r="AQ457" t="s">
        <v>855</v>
      </c>
      <c r="AR457">
        <v>66096800</v>
      </c>
      <c r="AS457" t="s">
        <v>856</v>
      </c>
      <c r="AU457" t="s">
        <v>9480</v>
      </c>
      <c r="AV457" t="s">
        <v>9481</v>
      </c>
      <c r="AX457" t="s">
        <v>913</v>
      </c>
      <c r="AY457" t="s">
        <v>861</v>
      </c>
      <c r="AZ457" t="s">
        <v>253</v>
      </c>
      <c r="BA457" t="s">
        <v>254</v>
      </c>
      <c r="BB457">
        <v>0</v>
      </c>
      <c r="BC457">
        <v>1</v>
      </c>
      <c r="BD457">
        <v>0</v>
      </c>
      <c r="BE457" t="s">
        <v>6910</v>
      </c>
      <c r="BF457">
        <v>0</v>
      </c>
      <c r="BG457">
        <v>0</v>
      </c>
      <c r="BH457" t="s">
        <v>862</v>
      </c>
      <c r="BI457">
        <v>0</v>
      </c>
      <c r="BJ457" t="s">
        <v>862</v>
      </c>
      <c r="BK457">
        <v>1</v>
      </c>
      <c r="BL457">
        <v>1</v>
      </c>
      <c r="BM457">
        <v>0</v>
      </c>
      <c r="BN457" t="s">
        <v>596</v>
      </c>
      <c r="BO457">
        <v>153195476</v>
      </c>
      <c r="BP457" t="s">
        <v>9475</v>
      </c>
      <c r="BQ457">
        <v>45.017587499999998</v>
      </c>
      <c r="BR457">
        <v>42791462</v>
      </c>
      <c r="BS457">
        <v>-93.480185700000007</v>
      </c>
      <c r="BT457">
        <v>1</v>
      </c>
      <c r="BU457" t="s">
        <v>1151</v>
      </c>
      <c r="CI457">
        <v>11</v>
      </c>
      <c r="CJ457" t="s">
        <v>94</v>
      </c>
      <c r="CM457">
        <v>4010</v>
      </c>
      <c r="CO457">
        <v>7360</v>
      </c>
      <c r="CP457">
        <v>2.85</v>
      </c>
      <c r="CQ457">
        <v>2.85</v>
      </c>
      <c r="CR457">
        <v>2.2166999999999999</v>
      </c>
      <c r="CS457">
        <v>0</v>
      </c>
      <c r="CT457" t="s">
        <v>9482</v>
      </c>
      <c r="CU457" t="s">
        <v>9483</v>
      </c>
      <c r="CV457" t="s">
        <v>833</v>
      </c>
      <c r="CW457" t="s">
        <v>834</v>
      </c>
      <c r="CX457" t="s">
        <v>6910</v>
      </c>
      <c r="CY457">
        <v>1</v>
      </c>
      <c r="CZ457">
        <v>1</v>
      </c>
      <c r="DA457" t="s">
        <v>833</v>
      </c>
      <c r="DB457" t="s">
        <v>865</v>
      </c>
      <c r="DC457">
        <v>55447</v>
      </c>
      <c r="DD457">
        <v>336.2167</v>
      </c>
      <c r="DE457" t="s">
        <v>866</v>
      </c>
      <c r="DG457" t="s">
        <v>867</v>
      </c>
      <c r="DH457" t="s">
        <v>851</v>
      </c>
      <c r="DI457" t="s">
        <v>3407</v>
      </c>
      <c r="DK457" t="s">
        <v>1155</v>
      </c>
      <c r="DL457" t="s">
        <v>869</v>
      </c>
      <c r="DM457">
        <v>0</v>
      </c>
      <c r="DN457">
        <v>0</v>
      </c>
      <c r="DO457">
        <v>11</v>
      </c>
      <c r="DP457" t="s">
        <v>1010</v>
      </c>
      <c r="DQ457">
        <v>16</v>
      </c>
      <c r="DR457">
        <v>20173</v>
      </c>
      <c r="DS457">
        <v>40333</v>
      </c>
      <c r="DT457">
        <v>3.2</v>
      </c>
      <c r="DU457">
        <v>4</v>
      </c>
      <c r="DV457">
        <v>1</v>
      </c>
      <c r="DW457">
        <v>2</v>
      </c>
      <c r="DX457" t="s">
        <v>596</v>
      </c>
      <c r="DY457" t="s">
        <v>6910</v>
      </c>
      <c r="DZ457">
        <v>0</v>
      </c>
      <c r="EA457">
        <v>0</v>
      </c>
      <c r="EB457">
        <v>1</v>
      </c>
      <c r="EC457">
        <v>1</v>
      </c>
      <c r="ED457">
        <v>1</v>
      </c>
      <c r="EE457">
        <v>1</v>
      </c>
      <c r="EF457" t="s">
        <v>920</v>
      </c>
      <c r="EG457" t="s">
        <v>595</v>
      </c>
      <c r="EH457" t="s">
        <v>921</v>
      </c>
      <c r="EI457" t="s">
        <v>921</v>
      </c>
      <c r="EJ457" t="s">
        <v>159</v>
      </c>
      <c r="EK457">
        <v>9090</v>
      </c>
      <c r="EL457">
        <v>1</v>
      </c>
      <c r="EM457" t="s">
        <v>873</v>
      </c>
      <c r="EN457">
        <v>2.2166999999999999</v>
      </c>
      <c r="EO457">
        <v>672.21666660000005</v>
      </c>
      <c r="EP457">
        <v>99991120</v>
      </c>
      <c r="EQ457" t="s">
        <v>874</v>
      </c>
      <c r="ER457" t="s">
        <v>875</v>
      </c>
      <c r="ES457" t="s">
        <v>876</v>
      </c>
      <c r="ET457" t="s">
        <v>877</v>
      </c>
      <c r="EU457" t="s">
        <v>877</v>
      </c>
      <c r="EV457" t="s">
        <v>920</v>
      </c>
      <c r="EX457" t="s">
        <v>836</v>
      </c>
      <c r="EY457" t="s">
        <v>1121</v>
      </c>
      <c r="EZ457" t="s">
        <v>1122</v>
      </c>
      <c r="FA457" t="s">
        <v>956</v>
      </c>
      <c r="FB457">
        <v>1</v>
      </c>
      <c r="FC457">
        <v>4</v>
      </c>
      <c r="FD457" s="41">
        <v>45906</v>
      </c>
      <c r="FE457" t="s">
        <v>880</v>
      </c>
      <c r="FF457">
        <v>19</v>
      </c>
      <c r="FG457" t="s">
        <v>9484</v>
      </c>
      <c r="FH457" t="s">
        <v>9485</v>
      </c>
      <c r="FI457">
        <v>1</v>
      </c>
      <c r="FJ457" t="s">
        <v>9486</v>
      </c>
      <c r="FK457" t="s">
        <v>9487</v>
      </c>
      <c r="FL457">
        <v>1</v>
      </c>
      <c r="FM457" t="s">
        <v>6920</v>
      </c>
      <c r="FN457" t="s">
        <v>9488</v>
      </c>
      <c r="FO457">
        <v>1</v>
      </c>
      <c r="FP457" s="42" t="s">
        <v>9489</v>
      </c>
      <c r="FQ457" t="s">
        <v>9483</v>
      </c>
      <c r="FR457">
        <v>1</v>
      </c>
      <c r="FS457" t="s">
        <v>1273</v>
      </c>
      <c r="FT457" t="s">
        <v>9490</v>
      </c>
      <c r="FU457">
        <v>1</v>
      </c>
      <c r="FV457" t="s">
        <v>9491</v>
      </c>
      <c r="FW457" t="s">
        <v>9492</v>
      </c>
      <c r="FX457">
        <v>1</v>
      </c>
      <c r="FY457" t="s">
        <v>890</v>
      </c>
      <c r="FZ457" s="42" t="s">
        <v>9493</v>
      </c>
      <c r="GA457" t="s">
        <v>9486</v>
      </c>
      <c r="GB457">
        <v>1</v>
      </c>
      <c r="GD457">
        <v>0</v>
      </c>
      <c r="GF457">
        <v>0</v>
      </c>
      <c r="GG457">
        <v>1</v>
      </c>
      <c r="GH457" t="s">
        <v>892</v>
      </c>
      <c r="GI457" t="s">
        <v>893</v>
      </c>
      <c r="GJ457" t="s">
        <v>9487</v>
      </c>
      <c r="GM457">
        <v>1</v>
      </c>
      <c r="GN457">
        <v>0</v>
      </c>
      <c r="GO457">
        <v>0</v>
      </c>
      <c r="GP457">
        <v>1</v>
      </c>
      <c r="GQ457">
        <v>1</v>
      </c>
      <c r="GR457">
        <v>0</v>
      </c>
      <c r="GS457">
        <v>1</v>
      </c>
      <c r="GT457">
        <v>0</v>
      </c>
      <c r="GU457">
        <v>1</v>
      </c>
      <c r="GV457">
        <v>0</v>
      </c>
      <c r="GW457">
        <v>1</v>
      </c>
      <c r="GX457">
        <v>0</v>
      </c>
      <c r="GY457">
        <v>1</v>
      </c>
      <c r="GZ457">
        <v>0</v>
      </c>
      <c r="HA457" t="s">
        <v>253</v>
      </c>
      <c r="HB457" t="s">
        <v>894</v>
      </c>
      <c r="HC457" t="s">
        <v>895</v>
      </c>
      <c r="HD457" t="s">
        <v>845</v>
      </c>
      <c r="HE457" t="s">
        <v>836</v>
      </c>
      <c r="HF457" t="s">
        <v>873</v>
      </c>
      <c r="HG457" t="s">
        <v>894</v>
      </c>
      <c r="HH457" t="s">
        <v>895</v>
      </c>
      <c r="HI457" t="s">
        <v>845</v>
      </c>
      <c r="HJ457" t="s">
        <v>836</v>
      </c>
      <c r="HK457" t="s">
        <v>873</v>
      </c>
      <c r="HL457" t="s">
        <v>1254</v>
      </c>
      <c r="HM457" t="s">
        <v>854</v>
      </c>
      <c r="HN457">
        <v>36805</v>
      </c>
      <c r="HO457">
        <v>1</v>
      </c>
      <c r="HP457" t="s">
        <v>159</v>
      </c>
      <c r="HQ457" t="s">
        <v>896</v>
      </c>
      <c r="HR457" t="s">
        <v>896</v>
      </c>
      <c r="HS457" t="s">
        <v>896</v>
      </c>
    </row>
    <row r="458" spans="1:227" x14ac:dyDescent="0.2">
      <c r="A458">
        <v>8702</v>
      </c>
      <c r="B458">
        <v>7528401309</v>
      </c>
      <c r="C458">
        <v>34</v>
      </c>
      <c r="D458" t="s">
        <v>996</v>
      </c>
      <c r="E458" t="s">
        <v>831</v>
      </c>
      <c r="F458">
        <v>0</v>
      </c>
      <c r="G458" t="s">
        <v>9494</v>
      </c>
      <c r="H458" t="s">
        <v>9494</v>
      </c>
      <c r="I458">
        <v>0</v>
      </c>
      <c r="J458" t="s">
        <v>833</v>
      </c>
      <c r="K458" t="s">
        <v>834</v>
      </c>
      <c r="L458">
        <v>153406433</v>
      </c>
      <c r="M458" t="s">
        <v>5271</v>
      </c>
      <c r="N458" t="s">
        <v>836</v>
      </c>
      <c r="O458" t="s">
        <v>837</v>
      </c>
      <c r="P458" t="s">
        <v>999</v>
      </c>
      <c r="Q458" t="s">
        <v>1857</v>
      </c>
      <c r="R458" t="s">
        <v>9495</v>
      </c>
      <c r="S458" t="s">
        <v>9496</v>
      </c>
      <c r="T458">
        <v>41477092613</v>
      </c>
      <c r="V458" t="s">
        <v>1003</v>
      </c>
      <c r="W458" s="41">
        <v>45944</v>
      </c>
      <c r="X458" t="s">
        <v>9497</v>
      </c>
      <c r="Y458" t="s">
        <v>9498</v>
      </c>
      <c r="AA458">
        <v>0</v>
      </c>
      <c r="AB458" t="s">
        <v>845</v>
      </c>
      <c r="AC458" t="s">
        <v>846</v>
      </c>
      <c r="AD458" t="s">
        <v>847</v>
      </c>
      <c r="AE458" t="s">
        <v>848</v>
      </c>
      <c r="AF458">
        <v>1</v>
      </c>
      <c r="AG458">
        <v>452210</v>
      </c>
      <c r="AH458" t="s">
        <v>849</v>
      </c>
      <c r="AI458" t="s">
        <v>850</v>
      </c>
      <c r="AJ458" t="s">
        <v>851</v>
      </c>
      <c r="AK458" t="s">
        <v>253</v>
      </c>
      <c r="AL458" t="s">
        <v>1257</v>
      </c>
      <c r="AM458" t="s">
        <v>1311</v>
      </c>
      <c r="AN458" t="s">
        <v>854</v>
      </c>
      <c r="AO458">
        <v>36805</v>
      </c>
      <c r="AP458">
        <v>541</v>
      </c>
      <c r="AQ458" t="s">
        <v>855</v>
      </c>
      <c r="AR458">
        <v>66157425</v>
      </c>
      <c r="AS458" t="s">
        <v>856</v>
      </c>
      <c r="AU458" t="s">
        <v>9499</v>
      </c>
      <c r="AV458" t="s">
        <v>9500</v>
      </c>
      <c r="AW458" t="s">
        <v>1185</v>
      </c>
      <c r="AX458" t="s">
        <v>1186</v>
      </c>
      <c r="AY458" t="s">
        <v>861</v>
      </c>
      <c r="AZ458" t="s">
        <v>253</v>
      </c>
      <c r="BA458" t="s">
        <v>254</v>
      </c>
      <c r="BB458">
        <v>0</v>
      </c>
      <c r="BC458">
        <v>1</v>
      </c>
      <c r="BD458">
        <v>0</v>
      </c>
      <c r="BE458" t="s">
        <v>5271</v>
      </c>
      <c r="BF458">
        <v>0</v>
      </c>
      <c r="BG458">
        <v>0</v>
      </c>
      <c r="BH458" t="s">
        <v>862</v>
      </c>
      <c r="BI458">
        <v>0</v>
      </c>
      <c r="BJ458" t="s">
        <v>862</v>
      </c>
      <c r="BK458">
        <v>1</v>
      </c>
      <c r="BL458">
        <v>0</v>
      </c>
      <c r="BM458">
        <v>0</v>
      </c>
      <c r="BN458" t="s">
        <v>596</v>
      </c>
      <c r="BO458">
        <v>153406433</v>
      </c>
      <c r="BP458" t="s">
        <v>9494</v>
      </c>
      <c r="BR458">
        <v>42791455</v>
      </c>
      <c r="BT458">
        <v>0</v>
      </c>
      <c r="CM458">
        <v>4010</v>
      </c>
      <c r="CO458">
        <v>7360</v>
      </c>
      <c r="CP458">
        <v>0.2167</v>
      </c>
      <c r="CQ458">
        <v>0.2167</v>
      </c>
      <c r="CR458">
        <v>0</v>
      </c>
      <c r="CS458">
        <v>0</v>
      </c>
      <c r="CT458" t="s">
        <v>9500</v>
      </c>
      <c r="CU458" t="s">
        <v>9499</v>
      </c>
      <c r="CV458" t="s">
        <v>833</v>
      </c>
      <c r="CW458" t="s">
        <v>834</v>
      </c>
      <c r="CX458" t="s">
        <v>5271</v>
      </c>
      <c r="CY458">
        <v>1</v>
      </c>
      <c r="CZ458">
        <v>1</v>
      </c>
      <c r="DA458" t="s">
        <v>833</v>
      </c>
      <c r="DB458" t="s">
        <v>865</v>
      </c>
      <c r="DC458">
        <v>55431</v>
      </c>
      <c r="DD458">
        <v>37.833300000000001</v>
      </c>
      <c r="DE458" t="s">
        <v>866</v>
      </c>
      <c r="DG458" t="s">
        <v>867</v>
      </c>
      <c r="DH458" t="s">
        <v>851</v>
      </c>
      <c r="DL458" t="s">
        <v>869</v>
      </c>
      <c r="DM458">
        <v>0</v>
      </c>
      <c r="DN458">
        <v>1.67E-2</v>
      </c>
      <c r="DO458">
        <v>11</v>
      </c>
      <c r="DP458" t="s">
        <v>1010</v>
      </c>
      <c r="DQ458">
        <v>12</v>
      </c>
      <c r="DR458">
        <v>2270</v>
      </c>
      <c r="DS458">
        <v>4430</v>
      </c>
      <c r="DT458">
        <v>5.5667</v>
      </c>
      <c r="DU458">
        <v>4</v>
      </c>
      <c r="DW458">
        <v>1</v>
      </c>
      <c r="DX458" t="s">
        <v>594</v>
      </c>
      <c r="DY458" t="s">
        <v>5271</v>
      </c>
      <c r="DZ458">
        <v>0</v>
      </c>
      <c r="EA458">
        <v>0</v>
      </c>
      <c r="EB458">
        <v>0</v>
      </c>
      <c r="EC458">
        <v>0</v>
      </c>
      <c r="ED458">
        <v>0</v>
      </c>
      <c r="EE458">
        <v>0</v>
      </c>
      <c r="EF458" t="s">
        <v>871</v>
      </c>
      <c r="EG458" t="s">
        <v>595</v>
      </c>
      <c r="EH458" t="s">
        <v>1695</v>
      </c>
      <c r="EI458" t="s">
        <v>1695</v>
      </c>
      <c r="EJ458" t="s">
        <v>159</v>
      </c>
      <c r="EK458">
        <v>9090</v>
      </c>
      <c r="EL458">
        <v>1</v>
      </c>
      <c r="EM458" t="s">
        <v>873</v>
      </c>
      <c r="EN458">
        <v>0</v>
      </c>
      <c r="EO458">
        <v>73.833333300000007</v>
      </c>
      <c r="EP458">
        <v>99991120</v>
      </c>
      <c r="EQ458" t="s">
        <v>874</v>
      </c>
      <c r="ER458" t="s">
        <v>875</v>
      </c>
      <c r="ES458" t="s">
        <v>876</v>
      </c>
      <c r="ET458" t="s">
        <v>877</v>
      </c>
      <c r="EU458" t="s">
        <v>877</v>
      </c>
      <c r="EV458" t="s">
        <v>871</v>
      </c>
      <c r="EX458" t="s">
        <v>836</v>
      </c>
      <c r="EY458" t="s">
        <v>1121</v>
      </c>
      <c r="EZ458" t="s">
        <v>1122</v>
      </c>
      <c r="FA458" t="s">
        <v>956</v>
      </c>
      <c r="FB458">
        <v>1</v>
      </c>
      <c r="FC458">
        <v>1</v>
      </c>
      <c r="FD458" s="41">
        <v>45948</v>
      </c>
      <c r="FE458" t="s">
        <v>1039</v>
      </c>
      <c r="FF458">
        <v>8</v>
      </c>
      <c r="FG458" t="s">
        <v>9501</v>
      </c>
      <c r="FH458" t="s">
        <v>9502</v>
      </c>
      <c r="FI458">
        <v>1</v>
      </c>
      <c r="FJ458" t="s">
        <v>9503</v>
      </c>
      <c r="FK458" t="s">
        <v>9502</v>
      </c>
      <c r="FL458">
        <v>1</v>
      </c>
      <c r="FM458" t="s">
        <v>5281</v>
      </c>
      <c r="FN458" t="s">
        <v>9504</v>
      </c>
      <c r="FO458">
        <v>1</v>
      </c>
      <c r="FP458" t="s">
        <v>9505</v>
      </c>
      <c r="FQ458" t="s">
        <v>9499</v>
      </c>
      <c r="FR458">
        <v>1</v>
      </c>
      <c r="FS458" t="s">
        <v>1273</v>
      </c>
      <c r="FT458" t="s">
        <v>9506</v>
      </c>
      <c r="FU458">
        <v>1</v>
      </c>
      <c r="FV458" t="s">
        <v>9507</v>
      </c>
      <c r="FW458" t="s">
        <v>9508</v>
      </c>
      <c r="FX458">
        <v>1</v>
      </c>
      <c r="FY458" t="s">
        <v>890</v>
      </c>
      <c r="FZ458" t="s">
        <v>9509</v>
      </c>
      <c r="GA458" t="s">
        <v>9503</v>
      </c>
      <c r="GB458">
        <v>1</v>
      </c>
      <c r="GD458">
        <v>0</v>
      </c>
      <c r="GF458">
        <v>0</v>
      </c>
      <c r="GG458">
        <v>1</v>
      </c>
      <c r="GH458" t="s">
        <v>892</v>
      </c>
      <c r="GI458" t="s">
        <v>893</v>
      </c>
      <c r="GJ458" t="s">
        <v>9502</v>
      </c>
      <c r="GM458">
        <v>1</v>
      </c>
      <c r="GN458">
        <v>1</v>
      </c>
      <c r="GO458">
        <v>0</v>
      </c>
      <c r="GP458">
        <v>1</v>
      </c>
      <c r="GQ458">
        <v>1</v>
      </c>
      <c r="GR458">
        <v>0</v>
      </c>
      <c r="GS458">
        <v>1</v>
      </c>
      <c r="GT458">
        <v>0</v>
      </c>
      <c r="GU458">
        <v>1</v>
      </c>
      <c r="GV458">
        <v>0</v>
      </c>
      <c r="GW458">
        <v>1</v>
      </c>
      <c r="GX458">
        <v>0</v>
      </c>
      <c r="GY458">
        <v>1</v>
      </c>
      <c r="GZ458">
        <v>0</v>
      </c>
      <c r="HA458" t="s">
        <v>253</v>
      </c>
      <c r="HB458" t="s">
        <v>894</v>
      </c>
      <c r="HC458" t="s">
        <v>895</v>
      </c>
      <c r="HD458" t="s">
        <v>845</v>
      </c>
      <c r="HE458" t="s">
        <v>836</v>
      </c>
      <c r="HF458" t="s">
        <v>873</v>
      </c>
      <c r="HG458" t="s">
        <v>894</v>
      </c>
      <c r="HH458" t="s">
        <v>895</v>
      </c>
      <c r="HI458" t="s">
        <v>845</v>
      </c>
      <c r="HJ458" t="s">
        <v>836</v>
      </c>
      <c r="HK458" t="s">
        <v>873</v>
      </c>
      <c r="HL458" t="s">
        <v>1003</v>
      </c>
      <c r="HM458" t="s">
        <v>854</v>
      </c>
      <c r="HN458">
        <v>36805</v>
      </c>
      <c r="HP458" t="s">
        <v>159</v>
      </c>
      <c r="HQ458" t="s">
        <v>896</v>
      </c>
      <c r="HR458" t="s">
        <v>896</v>
      </c>
      <c r="HS458" t="s">
        <v>896</v>
      </c>
    </row>
    <row r="459" spans="1:227" x14ac:dyDescent="0.2">
      <c r="A459">
        <v>8702</v>
      </c>
      <c r="B459">
        <v>7607501594</v>
      </c>
      <c r="C459" t="s">
        <v>936</v>
      </c>
      <c r="D459" t="s">
        <v>937</v>
      </c>
      <c r="E459" t="s">
        <v>897</v>
      </c>
      <c r="F459">
        <v>0</v>
      </c>
      <c r="G459" t="s">
        <v>9510</v>
      </c>
      <c r="H459" t="s">
        <v>9510</v>
      </c>
      <c r="I459">
        <v>0</v>
      </c>
      <c r="J459" t="s">
        <v>833</v>
      </c>
      <c r="K459" t="s">
        <v>834</v>
      </c>
      <c r="L459">
        <v>153008255</v>
      </c>
      <c r="M459" t="s">
        <v>1750</v>
      </c>
      <c r="N459" t="s">
        <v>900</v>
      </c>
      <c r="O459" t="s">
        <v>837</v>
      </c>
      <c r="P459" t="s">
        <v>940</v>
      </c>
      <c r="Q459" t="s">
        <v>1080</v>
      </c>
      <c r="R459" t="s">
        <v>9511</v>
      </c>
      <c r="S459" t="s">
        <v>9512</v>
      </c>
      <c r="T459">
        <v>30300136030</v>
      </c>
      <c r="V459" t="s">
        <v>1476</v>
      </c>
      <c r="W459" s="41">
        <v>46097</v>
      </c>
      <c r="X459" t="s">
        <v>9513</v>
      </c>
      <c r="Y459" t="s">
        <v>9514</v>
      </c>
      <c r="AA459">
        <v>0</v>
      </c>
      <c r="AB459" t="s">
        <v>845</v>
      </c>
      <c r="AC459" t="s">
        <v>846</v>
      </c>
      <c r="AD459" t="s">
        <v>1113</v>
      </c>
      <c r="AE459" t="s">
        <v>1114</v>
      </c>
      <c r="AF459">
        <v>1</v>
      </c>
      <c r="AG459">
        <v>452210</v>
      </c>
      <c r="AH459" t="s">
        <v>849</v>
      </c>
      <c r="AI459" t="s">
        <v>850</v>
      </c>
      <c r="AJ459" t="s">
        <v>851</v>
      </c>
      <c r="AK459" t="s">
        <v>315</v>
      </c>
      <c r="AL459" t="s">
        <v>1755</v>
      </c>
      <c r="AM459" t="s">
        <v>1480</v>
      </c>
      <c r="AN459" t="s">
        <v>854</v>
      </c>
      <c r="AO459">
        <v>36805</v>
      </c>
      <c r="AP459">
        <v>931</v>
      </c>
      <c r="AQ459" t="s">
        <v>855</v>
      </c>
      <c r="AR459">
        <v>66377462</v>
      </c>
      <c r="AS459" t="s">
        <v>856</v>
      </c>
      <c r="AU459" t="s">
        <v>9515</v>
      </c>
      <c r="AV459" t="s">
        <v>9516</v>
      </c>
      <c r="AX459" t="s">
        <v>913</v>
      </c>
      <c r="AY459" t="s">
        <v>861</v>
      </c>
      <c r="AZ459" t="s">
        <v>315</v>
      </c>
      <c r="BA459" t="s">
        <v>316</v>
      </c>
      <c r="BB459">
        <v>0</v>
      </c>
      <c r="BC459">
        <v>0</v>
      </c>
      <c r="BD459">
        <v>0</v>
      </c>
      <c r="BE459" t="s">
        <v>1750</v>
      </c>
      <c r="BF459">
        <v>0</v>
      </c>
      <c r="BG459">
        <v>0</v>
      </c>
      <c r="BH459" t="s">
        <v>862</v>
      </c>
      <c r="BI459">
        <v>0</v>
      </c>
      <c r="BJ459" t="s">
        <v>862</v>
      </c>
      <c r="BK459">
        <v>1</v>
      </c>
      <c r="BL459">
        <v>1</v>
      </c>
      <c r="BM459">
        <v>0</v>
      </c>
      <c r="BN459" t="s">
        <v>596</v>
      </c>
      <c r="BO459">
        <v>153008255</v>
      </c>
      <c r="BP459" t="s">
        <v>9510</v>
      </c>
      <c r="BR459">
        <v>42793655</v>
      </c>
      <c r="BT459">
        <v>2</v>
      </c>
      <c r="BU459" t="s">
        <v>1715</v>
      </c>
      <c r="BY459">
        <v>16</v>
      </c>
      <c r="CA459">
        <v>2</v>
      </c>
      <c r="CE459">
        <v>1</v>
      </c>
      <c r="CI459">
        <v>11</v>
      </c>
      <c r="CJ459" t="s">
        <v>94</v>
      </c>
      <c r="CM459">
        <v>4010</v>
      </c>
      <c r="CO459">
        <v>7360</v>
      </c>
      <c r="CP459">
        <v>0.2167</v>
      </c>
      <c r="CQ459">
        <v>0.2167</v>
      </c>
      <c r="CR459">
        <v>0.1167</v>
      </c>
      <c r="CS459">
        <v>19</v>
      </c>
      <c r="CT459" t="s">
        <v>9517</v>
      </c>
      <c r="CU459" t="s">
        <v>9518</v>
      </c>
      <c r="CV459" t="s">
        <v>833</v>
      </c>
      <c r="CW459" t="s">
        <v>834</v>
      </c>
      <c r="CX459" t="s">
        <v>1750</v>
      </c>
      <c r="CY459">
        <v>0</v>
      </c>
      <c r="CZ459">
        <v>0</v>
      </c>
      <c r="DA459" t="s">
        <v>833</v>
      </c>
      <c r="DB459" t="s">
        <v>865</v>
      </c>
      <c r="DC459">
        <v>44720</v>
      </c>
      <c r="DD459">
        <v>1.8332999999999999</v>
      </c>
      <c r="DE459" t="s">
        <v>866</v>
      </c>
      <c r="DG459" t="s">
        <v>867</v>
      </c>
      <c r="DH459" t="s">
        <v>851</v>
      </c>
      <c r="DI459" t="s">
        <v>1434</v>
      </c>
      <c r="DK459" t="s">
        <v>918</v>
      </c>
      <c r="DL459" t="s">
        <v>869</v>
      </c>
      <c r="DM459">
        <v>0</v>
      </c>
      <c r="DN459">
        <v>0</v>
      </c>
      <c r="DO459">
        <v>1</v>
      </c>
      <c r="DP459" t="s">
        <v>985</v>
      </c>
      <c r="DQ459">
        <v>0</v>
      </c>
      <c r="DR459">
        <v>110</v>
      </c>
      <c r="DS459">
        <v>110</v>
      </c>
      <c r="DT459">
        <v>1.6167</v>
      </c>
      <c r="DU459">
        <v>0</v>
      </c>
      <c r="DV459">
        <v>1</v>
      </c>
      <c r="DW459">
        <v>2</v>
      </c>
      <c r="DX459" t="s">
        <v>596</v>
      </c>
      <c r="DY459" t="s">
        <v>1750</v>
      </c>
      <c r="DZ459">
        <v>1</v>
      </c>
      <c r="EA459">
        <v>1</v>
      </c>
      <c r="EB459">
        <v>1</v>
      </c>
      <c r="EC459">
        <v>1</v>
      </c>
      <c r="ED459">
        <v>1</v>
      </c>
      <c r="EE459">
        <v>1</v>
      </c>
      <c r="EF459" t="s">
        <v>920</v>
      </c>
      <c r="EG459" t="s">
        <v>595</v>
      </c>
      <c r="EH459" t="s">
        <v>921</v>
      </c>
      <c r="EI459" t="s">
        <v>921</v>
      </c>
      <c r="EJ459" t="s">
        <v>226</v>
      </c>
      <c r="EK459">
        <v>9090</v>
      </c>
      <c r="EL459">
        <v>0</v>
      </c>
      <c r="EM459" t="s">
        <v>1157</v>
      </c>
      <c r="EN459">
        <v>0.1167</v>
      </c>
      <c r="EO459">
        <v>1.8333333000000001</v>
      </c>
      <c r="EP459">
        <v>99991120</v>
      </c>
      <c r="EQ459" t="s">
        <v>874</v>
      </c>
      <c r="ER459" t="s">
        <v>875</v>
      </c>
      <c r="ES459" t="s">
        <v>876</v>
      </c>
      <c r="ET459" t="s">
        <v>877</v>
      </c>
      <c r="EU459" t="s">
        <v>877</v>
      </c>
      <c r="EV459" t="s">
        <v>920</v>
      </c>
      <c r="EX459" t="s">
        <v>953</v>
      </c>
      <c r="EY459" t="s">
        <v>986</v>
      </c>
      <c r="EZ459" t="s">
        <v>1236</v>
      </c>
      <c r="FA459" t="s">
        <v>956</v>
      </c>
      <c r="FB459">
        <v>1</v>
      </c>
      <c r="FC459">
        <v>1</v>
      </c>
      <c r="FD459" s="41">
        <v>46102</v>
      </c>
      <c r="FE459" t="s">
        <v>1719</v>
      </c>
      <c r="FF459">
        <v>4</v>
      </c>
      <c r="FI459">
        <v>0</v>
      </c>
      <c r="FL459">
        <v>0</v>
      </c>
      <c r="FM459" t="s">
        <v>1762</v>
      </c>
      <c r="FN459" t="s">
        <v>9519</v>
      </c>
      <c r="FO459">
        <v>1</v>
      </c>
      <c r="FP459" t="s">
        <v>9520</v>
      </c>
      <c r="FQ459" t="s">
        <v>9518</v>
      </c>
      <c r="FR459">
        <v>1</v>
      </c>
      <c r="FS459" t="s">
        <v>1766</v>
      </c>
      <c r="FT459" t="s">
        <v>9521</v>
      </c>
      <c r="FU459">
        <v>1</v>
      </c>
      <c r="FV459" t="s">
        <v>9522</v>
      </c>
      <c r="FW459" t="s">
        <v>9523</v>
      </c>
      <c r="FX459">
        <v>1</v>
      </c>
      <c r="FY459" t="s">
        <v>890</v>
      </c>
      <c r="FZ459" t="s">
        <v>9524</v>
      </c>
      <c r="GA459" t="s">
        <v>9522</v>
      </c>
      <c r="GB459">
        <v>1</v>
      </c>
      <c r="GD459">
        <v>0</v>
      </c>
      <c r="GF459">
        <v>0</v>
      </c>
      <c r="GG459">
        <v>1</v>
      </c>
      <c r="GH459" t="s">
        <v>892</v>
      </c>
      <c r="GI459" t="s">
        <v>893</v>
      </c>
      <c r="GJ459" t="s">
        <v>9523</v>
      </c>
      <c r="GM459">
        <v>1</v>
      </c>
      <c r="GN459">
        <v>1</v>
      </c>
      <c r="GO459">
        <v>0</v>
      </c>
      <c r="GP459">
        <v>1</v>
      </c>
      <c r="GQ459">
        <v>1</v>
      </c>
      <c r="GR459">
        <v>0</v>
      </c>
      <c r="GS459">
        <v>1</v>
      </c>
      <c r="GT459">
        <v>0</v>
      </c>
      <c r="GU459">
        <v>1</v>
      </c>
      <c r="GV459">
        <v>0</v>
      </c>
      <c r="GW459">
        <v>1</v>
      </c>
      <c r="GX459">
        <v>0</v>
      </c>
      <c r="GY459">
        <v>1</v>
      </c>
      <c r="GZ459">
        <v>0</v>
      </c>
      <c r="HA459" t="s">
        <v>315</v>
      </c>
      <c r="HB459" t="s">
        <v>894</v>
      </c>
      <c r="HC459" t="s">
        <v>935</v>
      </c>
      <c r="HD459" t="s">
        <v>845</v>
      </c>
      <c r="HE459" t="s">
        <v>900</v>
      </c>
      <c r="HF459" t="s">
        <v>923</v>
      </c>
      <c r="HG459" t="s">
        <v>894</v>
      </c>
      <c r="HH459" t="s">
        <v>935</v>
      </c>
      <c r="HI459" t="s">
        <v>845</v>
      </c>
      <c r="HJ459" t="s">
        <v>900</v>
      </c>
      <c r="HK459" t="s">
        <v>922</v>
      </c>
      <c r="HL459" t="s">
        <v>1476</v>
      </c>
      <c r="HM459" t="s">
        <v>854</v>
      </c>
      <c r="HN459">
        <v>36805</v>
      </c>
      <c r="HP459" t="s">
        <v>226</v>
      </c>
      <c r="HQ459" t="s">
        <v>896</v>
      </c>
      <c r="HR459" t="s">
        <v>896</v>
      </c>
      <c r="HS459" t="s">
        <v>896</v>
      </c>
    </row>
    <row r="460" spans="1:227" x14ac:dyDescent="0.2">
      <c r="A460">
        <v>8702</v>
      </c>
      <c r="B460">
        <v>7618404331</v>
      </c>
      <c r="C460">
        <v>34</v>
      </c>
      <c r="D460" t="s">
        <v>996</v>
      </c>
      <c r="E460" t="s">
        <v>831</v>
      </c>
      <c r="F460">
        <v>1</v>
      </c>
      <c r="G460" t="s">
        <v>9525</v>
      </c>
      <c r="H460" t="s">
        <v>9525</v>
      </c>
      <c r="I460">
        <v>0</v>
      </c>
      <c r="J460" t="s">
        <v>833</v>
      </c>
      <c r="K460" t="s">
        <v>834</v>
      </c>
      <c r="L460">
        <v>156586321</v>
      </c>
      <c r="M460" t="s">
        <v>6696</v>
      </c>
      <c r="N460" t="s">
        <v>836</v>
      </c>
      <c r="O460" t="s">
        <v>837</v>
      </c>
      <c r="P460" t="s">
        <v>999</v>
      </c>
      <c r="Q460" t="s">
        <v>1027</v>
      </c>
      <c r="R460" t="s">
        <v>9526</v>
      </c>
      <c r="S460" t="s">
        <v>9527</v>
      </c>
      <c r="T460">
        <v>41477129116</v>
      </c>
      <c r="V460" t="s">
        <v>1003</v>
      </c>
      <c r="W460" s="41">
        <v>46209</v>
      </c>
      <c r="X460" t="s">
        <v>9528</v>
      </c>
      <c r="Y460" t="s">
        <v>9529</v>
      </c>
      <c r="AA460">
        <v>0</v>
      </c>
      <c r="AB460" t="s">
        <v>845</v>
      </c>
      <c r="AC460" t="s">
        <v>846</v>
      </c>
      <c r="AD460" t="s">
        <v>907</v>
      </c>
      <c r="AE460" t="s">
        <v>908</v>
      </c>
      <c r="AF460">
        <v>1</v>
      </c>
      <c r="AG460">
        <v>452210</v>
      </c>
      <c r="AH460" t="s">
        <v>849</v>
      </c>
      <c r="AI460" t="s">
        <v>850</v>
      </c>
      <c r="AJ460" t="s">
        <v>851</v>
      </c>
      <c r="AK460" t="s">
        <v>360</v>
      </c>
      <c r="AL460" t="s">
        <v>1058</v>
      </c>
      <c r="AM460" t="s">
        <v>1059</v>
      </c>
      <c r="AN460" t="s">
        <v>854</v>
      </c>
      <c r="AO460">
        <v>36805</v>
      </c>
      <c r="AP460">
        <v>638</v>
      </c>
      <c r="AQ460" t="s">
        <v>855</v>
      </c>
      <c r="AR460">
        <v>66538820</v>
      </c>
      <c r="AS460" t="s">
        <v>856</v>
      </c>
      <c r="AU460" t="s">
        <v>9530</v>
      </c>
      <c r="AV460" t="s">
        <v>9531</v>
      </c>
      <c r="AX460" t="s">
        <v>913</v>
      </c>
      <c r="AY460" t="s">
        <v>861</v>
      </c>
      <c r="AZ460" t="s">
        <v>360</v>
      </c>
      <c r="BA460" t="s">
        <v>361</v>
      </c>
      <c r="BB460">
        <v>0</v>
      </c>
      <c r="BC460">
        <v>1</v>
      </c>
      <c r="BD460">
        <v>0</v>
      </c>
      <c r="BE460" t="s">
        <v>6696</v>
      </c>
      <c r="BF460">
        <v>0</v>
      </c>
      <c r="BG460">
        <v>0</v>
      </c>
      <c r="BH460" t="s">
        <v>862</v>
      </c>
      <c r="BI460">
        <v>0</v>
      </c>
      <c r="BJ460" t="s">
        <v>862</v>
      </c>
      <c r="BK460">
        <v>1</v>
      </c>
      <c r="BL460">
        <v>1</v>
      </c>
      <c r="BM460">
        <v>0</v>
      </c>
      <c r="BN460" t="s">
        <v>596</v>
      </c>
      <c r="BO460">
        <v>156586321</v>
      </c>
      <c r="BP460" t="s">
        <v>9525</v>
      </c>
      <c r="BR460">
        <v>42791770</v>
      </c>
      <c r="BT460">
        <v>0</v>
      </c>
      <c r="BU460" t="s">
        <v>1062</v>
      </c>
      <c r="BY460">
        <v>16</v>
      </c>
      <c r="CA460">
        <v>33</v>
      </c>
      <c r="CE460">
        <v>0</v>
      </c>
      <c r="CI460">
        <v>11</v>
      </c>
      <c r="CJ460" t="s">
        <v>94</v>
      </c>
      <c r="CM460">
        <v>4010</v>
      </c>
      <c r="CO460">
        <v>7360</v>
      </c>
      <c r="CP460">
        <v>1.0667</v>
      </c>
      <c r="CQ460">
        <v>1.0667</v>
      </c>
      <c r="CR460">
        <v>0</v>
      </c>
      <c r="CS460">
        <v>0</v>
      </c>
      <c r="CT460" t="s">
        <v>9531</v>
      </c>
      <c r="CU460" t="s">
        <v>9530</v>
      </c>
      <c r="CV460" t="s">
        <v>833</v>
      </c>
      <c r="CW460" t="s">
        <v>834</v>
      </c>
      <c r="CX460" t="s">
        <v>6696</v>
      </c>
      <c r="CY460">
        <v>1</v>
      </c>
      <c r="CZ460">
        <v>1</v>
      </c>
      <c r="DA460" t="s">
        <v>833</v>
      </c>
      <c r="DB460" t="s">
        <v>865</v>
      </c>
      <c r="DC460">
        <v>61704</v>
      </c>
      <c r="DD460">
        <v>33.2333</v>
      </c>
      <c r="DE460" t="s">
        <v>866</v>
      </c>
      <c r="DG460" t="s">
        <v>867</v>
      </c>
      <c r="DH460" t="s">
        <v>851</v>
      </c>
      <c r="DK460" t="s">
        <v>918</v>
      </c>
      <c r="DL460" t="s">
        <v>869</v>
      </c>
      <c r="DM460">
        <v>0</v>
      </c>
      <c r="DN460">
        <v>0</v>
      </c>
      <c r="DO460">
        <v>11</v>
      </c>
      <c r="DP460" t="s">
        <v>1010</v>
      </c>
      <c r="DQ460">
        <v>16</v>
      </c>
      <c r="DR460">
        <v>1994</v>
      </c>
      <c r="DS460">
        <v>4154</v>
      </c>
      <c r="DT460">
        <v>0.55000000000000004</v>
      </c>
      <c r="DU460">
        <v>4</v>
      </c>
      <c r="DV460">
        <v>1</v>
      </c>
      <c r="DW460">
        <v>2</v>
      </c>
      <c r="DX460" t="s">
        <v>596</v>
      </c>
      <c r="DY460" t="s">
        <v>6696</v>
      </c>
      <c r="DZ460">
        <v>0</v>
      </c>
      <c r="EA460">
        <v>0</v>
      </c>
      <c r="EB460">
        <v>1</v>
      </c>
      <c r="EC460">
        <v>1</v>
      </c>
      <c r="ED460">
        <v>1</v>
      </c>
      <c r="EE460">
        <v>1</v>
      </c>
      <c r="EF460" t="s">
        <v>920</v>
      </c>
      <c r="EG460" t="s">
        <v>595</v>
      </c>
      <c r="EH460" t="s">
        <v>921</v>
      </c>
      <c r="EI460" t="s">
        <v>921</v>
      </c>
      <c r="EJ460" t="s">
        <v>181</v>
      </c>
      <c r="EK460">
        <v>9090</v>
      </c>
      <c r="EL460">
        <v>1</v>
      </c>
      <c r="EM460" t="s">
        <v>873</v>
      </c>
      <c r="EN460">
        <v>0</v>
      </c>
      <c r="EO460">
        <v>69.233333299999998</v>
      </c>
      <c r="EP460">
        <v>99991120</v>
      </c>
      <c r="EQ460" t="s">
        <v>874</v>
      </c>
      <c r="ER460" t="s">
        <v>875</v>
      </c>
      <c r="ES460" t="s">
        <v>876</v>
      </c>
      <c r="ET460" t="s">
        <v>877</v>
      </c>
      <c r="EU460" t="s">
        <v>877</v>
      </c>
      <c r="EV460" t="s">
        <v>920</v>
      </c>
      <c r="EX460" t="s">
        <v>836</v>
      </c>
      <c r="EY460" t="s">
        <v>873</v>
      </c>
      <c r="EZ460" t="s">
        <v>1065</v>
      </c>
      <c r="FA460" t="s">
        <v>879</v>
      </c>
      <c r="FB460">
        <v>1</v>
      </c>
      <c r="FC460">
        <v>2</v>
      </c>
      <c r="FD460" s="41">
        <v>46214</v>
      </c>
      <c r="FE460" t="s">
        <v>1066</v>
      </c>
      <c r="FF460">
        <v>9</v>
      </c>
      <c r="FG460" t="s">
        <v>9532</v>
      </c>
      <c r="FH460" t="s">
        <v>9533</v>
      </c>
      <c r="FI460">
        <v>1</v>
      </c>
      <c r="FJ460" t="s">
        <v>1069</v>
      </c>
      <c r="FK460" t="s">
        <v>9533</v>
      </c>
      <c r="FL460">
        <v>1</v>
      </c>
      <c r="FM460" t="s">
        <v>9534</v>
      </c>
      <c r="FN460" t="s">
        <v>9535</v>
      </c>
      <c r="FO460">
        <v>1</v>
      </c>
      <c r="FP460" t="s">
        <v>9536</v>
      </c>
      <c r="FQ460" t="s">
        <v>9530</v>
      </c>
      <c r="FR460">
        <v>1</v>
      </c>
      <c r="FS460" t="s">
        <v>5667</v>
      </c>
      <c r="FT460" t="s">
        <v>9537</v>
      </c>
      <c r="FU460">
        <v>1</v>
      </c>
      <c r="FV460" t="s">
        <v>9538</v>
      </c>
      <c r="FW460" t="s">
        <v>9539</v>
      </c>
      <c r="FX460">
        <v>1</v>
      </c>
      <c r="FY460" t="s">
        <v>890</v>
      </c>
      <c r="FZ460" t="s">
        <v>9540</v>
      </c>
      <c r="GA460" t="s">
        <v>1069</v>
      </c>
      <c r="GB460">
        <v>1</v>
      </c>
      <c r="GD460">
        <v>0</v>
      </c>
      <c r="GF460">
        <v>0</v>
      </c>
      <c r="GG460">
        <v>1</v>
      </c>
      <c r="GH460" t="s">
        <v>892</v>
      </c>
      <c r="GI460" t="s">
        <v>893</v>
      </c>
      <c r="GJ460" t="s">
        <v>9533</v>
      </c>
      <c r="GM460">
        <v>1</v>
      </c>
      <c r="GN460">
        <v>0</v>
      </c>
      <c r="GO460">
        <v>0</v>
      </c>
      <c r="GP460">
        <v>1</v>
      </c>
      <c r="GQ460">
        <v>1</v>
      </c>
      <c r="GR460">
        <v>0</v>
      </c>
      <c r="GS460">
        <v>1</v>
      </c>
      <c r="GT460">
        <v>0</v>
      </c>
      <c r="GU460">
        <v>1</v>
      </c>
      <c r="GV460">
        <v>0</v>
      </c>
      <c r="GW460">
        <v>1</v>
      </c>
      <c r="GX460">
        <v>0</v>
      </c>
      <c r="GY460">
        <v>1</v>
      </c>
      <c r="GZ460">
        <v>0</v>
      </c>
      <c r="HA460" t="s">
        <v>360</v>
      </c>
      <c r="HB460" t="s">
        <v>894</v>
      </c>
      <c r="HC460" t="s">
        <v>895</v>
      </c>
      <c r="HD460" t="s">
        <v>845</v>
      </c>
      <c r="HE460" t="s">
        <v>836</v>
      </c>
      <c r="HF460" t="s">
        <v>873</v>
      </c>
      <c r="HG460" t="s">
        <v>894</v>
      </c>
      <c r="HH460" t="s">
        <v>895</v>
      </c>
      <c r="HI460" t="s">
        <v>845</v>
      </c>
      <c r="HJ460" t="s">
        <v>836</v>
      </c>
      <c r="HK460" t="s">
        <v>873</v>
      </c>
      <c r="HL460" t="s">
        <v>1003</v>
      </c>
      <c r="HM460" t="s">
        <v>854</v>
      </c>
      <c r="HN460">
        <v>36805</v>
      </c>
      <c r="HP460" t="s">
        <v>181</v>
      </c>
      <c r="HQ460" t="s">
        <v>896</v>
      </c>
      <c r="HR460" t="s">
        <v>896</v>
      </c>
      <c r="HS460" t="s">
        <v>896</v>
      </c>
    </row>
    <row r="461" spans="1:227" x14ac:dyDescent="0.2">
      <c r="A461">
        <v>8702</v>
      </c>
      <c r="B461">
        <v>7610301966</v>
      </c>
      <c r="C461" t="s">
        <v>829</v>
      </c>
      <c r="D461" t="s">
        <v>830</v>
      </c>
      <c r="E461" t="s">
        <v>897</v>
      </c>
      <c r="F461">
        <v>0</v>
      </c>
      <c r="G461" t="s">
        <v>9541</v>
      </c>
      <c r="H461" t="s">
        <v>9541</v>
      </c>
      <c r="I461">
        <v>0</v>
      </c>
      <c r="J461" t="s">
        <v>833</v>
      </c>
      <c r="K461" t="s">
        <v>834</v>
      </c>
      <c r="L461">
        <v>153195455</v>
      </c>
      <c r="M461" t="s">
        <v>3980</v>
      </c>
      <c r="N461" t="s">
        <v>900</v>
      </c>
      <c r="O461" t="s">
        <v>837</v>
      </c>
      <c r="P461" t="s">
        <v>838</v>
      </c>
      <c r="Q461" t="s">
        <v>839</v>
      </c>
      <c r="R461" t="s">
        <v>9542</v>
      </c>
      <c r="S461" t="s">
        <v>9543</v>
      </c>
      <c r="T461">
        <v>41477124210</v>
      </c>
      <c r="V461" t="s">
        <v>1543</v>
      </c>
      <c r="W461" s="41">
        <v>46125</v>
      </c>
      <c r="X461" t="s">
        <v>9544</v>
      </c>
      <c r="Y461" t="s">
        <v>9545</v>
      </c>
      <c r="AA461">
        <v>0</v>
      </c>
      <c r="AB461" t="s">
        <v>845</v>
      </c>
      <c r="AC461" t="s">
        <v>846</v>
      </c>
      <c r="AD461" t="s">
        <v>1113</v>
      </c>
      <c r="AE461" t="s">
        <v>1114</v>
      </c>
      <c r="AF461">
        <v>1</v>
      </c>
      <c r="AG461">
        <v>452210</v>
      </c>
      <c r="AH461" t="s">
        <v>849</v>
      </c>
      <c r="AI461" t="s">
        <v>850</v>
      </c>
      <c r="AJ461" t="s">
        <v>851</v>
      </c>
      <c r="AK461" t="s">
        <v>344</v>
      </c>
      <c r="AL461" t="s">
        <v>3985</v>
      </c>
      <c r="AM461" t="s">
        <v>1548</v>
      </c>
      <c r="AN461" t="s">
        <v>854</v>
      </c>
      <c r="AO461">
        <v>36805</v>
      </c>
      <c r="AP461">
        <v>522</v>
      </c>
      <c r="AQ461" t="s">
        <v>855</v>
      </c>
      <c r="AR461">
        <v>66417792</v>
      </c>
      <c r="AS461" t="s">
        <v>856</v>
      </c>
      <c r="AU461" t="s">
        <v>9546</v>
      </c>
      <c r="AV461" t="s">
        <v>9547</v>
      </c>
      <c r="AX461" t="s">
        <v>913</v>
      </c>
      <c r="AY461" t="s">
        <v>861</v>
      </c>
      <c r="AZ461" t="s">
        <v>344</v>
      </c>
      <c r="BA461" t="s">
        <v>345</v>
      </c>
      <c r="BB461">
        <v>0</v>
      </c>
      <c r="BC461">
        <v>0</v>
      </c>
      <c r="BD461">
        <v>1</v>
      </c>
      <c r="BE461" t="s">
        <v>3980</v>
      </c>
      <c r="BF461">
        <v>0</v>
      </c>
      <c r="BG461">
        <v>0</v>
      </c>
      <c r="BH461" t="s">
        <v>862</v>
      </c>
      <c r="BI461">
        <v>0</v>
      </c>
      <c r="BJ461" t="s">
        <v>862</v>
      </c>
      <c r="BK461">
        <v>1</v>
      </c>
      <c r="BL461">
        <v>1</v>
      </c>
      <c r="BM461">
        <v>0</v>
      </c>
      <c r="BN461" t="s">
        <v>596</v>
      </c>
      <c r="BO461">
        <v>153195455</v>
      </c>
      <c r="BP461" t="s">
        <v>9541</v>
      </c>
      <c r="BQ461">
        <v>39.638494100000003</v>
      </c>
      <c r="BR461">
        <v>42791431</v>
      </c>
      <c r="BS461">
        <v>-86.130651099999994</v>
      </c>
      <c r="BT461">
        <v>2</v>
      </c>
      <c r="BU461" t="s">
        <v>1119</v>
      </c>
      <c r="BY461">
        <v>16</v>
      </c>
      <c r="CA461">
        <v>3</v>
      </c>
      <c r="CE461">
        <v>1</v>
      </c>
      <c r="CI461">
        <v>11</v>
      </c>
      <c r="CJ461" t="s">
        <v>94</v>
      </c>
      <c r="CM461">
        <v>4010</v>
      </c>
      <c r="CO461">
        <v>7360</v>
      </c>
      <c r="CP461">
        <v>0.66669999999999996</v>
      </c>
      <c r="CQ461">
        <v>0.66669999999999996</v>
      </c>
      <c r="CR461">
        <v>0.15</v>
      </c>
      <c r="CS461">
        <v>4</v>
      </c>
      <c r="CT461" t="s">
        <v>9547</v>
      </c>
      <c r="CU461" t="s">
        <v>9546</v>
      </c>
      <c r="CV461" t="s">
        <v>833</v>
      </c>
      <c r="CW461" t="s">
        <v>834</v>
      </c>
      <c r="CX461" t="s">
        <v>3980</v>
      </c>
      <c r="CY461">
        <v>1</v>
      </c>
      <c r="CZ461">
        <v>1</v>
      </c>
      <c r="DA461" t="s">
        <v>833</v>
      </c>
      <c r="DB461" t="s">
        <v>865</v>
      </c>
      <c r="DC461">
        <v>46227</v>
      </c>
      <c r="DD461">
        <v>2.6667000000000001</v>
      </c>
      <c r="DE461" t="s">
        <v>866</v>
      </c>
      <c r="DG461" t="s">
        <v>867</v>
      </c>
      <c r="DH461" t="s">
        <v>851</v>
      </c>
      <c r="DI461" t="s">
        <v>1189</v>
      </c>
      <c r="DJ461" t="s">
        <v>3988</v>
      </c>
      <c r="DK461" t="s">
        <v>918</v>
      </c>
      <c r="DL461" t="s">
        <v>869</v>
      </c>
      <c r="DM461">
        <v>0</v>
      </c>
      <c r="DN461">
        <v>0</v>
      </c>
      <c r="DO461">
        <v>11</v>
      </c>
      <c r="DP461" t="s">
        <v>1010</v>
      </c>
      <c r="DQ461">
        <v>0</v>
      </c>
      <c r="DR461">
        <v>160</v>
      </c>
      <c r="DS461">
        <v>160</v>
      </c>
      <c r="DT461">
        <v>2</v>
      </c>
      <c r="DU461">
        <v>0</v>
      </c>
      <c r="DV461">
        <v>1</v>
      </c>
      <c r="DW461">
        <v>2</v>
      </c>
      <c r="DX461" t="s">
        <v>596</v>
      </c>
      <c r="DY461" t="s">
        <v>3980</v>
      </c>
      <c r="DZ461">
        <v>1</v>
      </c>
      <c r="EA461">
        <v>1</v>
      </c>
      <c r="EB461">
        <v>1</v>
      </c>
      <c r="EC461">
        <v>1</v>
      </c>
      <c r="ED461">
        <v>1</v>
      </c>
      <c r="EE461">
        <v>1</v>
      </c>
      <c r="EF461" t="s">
        <v>920</v>
      </c>
      <c r="EG461" t="s">
        <v>595</v>
      </c>
      <c r="EH461" t="s">
        <v>921</v>
      </c>
      <c r="EI461" t="s">
        <v>921</v>
      </c>
      <c r="EJ461" t="s">
        <v>134</v>
      </c>
      <c r="EK461">
        <v>9090</v>
      </c>
      <c r="EL461">
        <v>0</v>
      </c>
      <c r="EM461" t="s">
        <v>1011</v>
      </c>
      <c r="EN461">
        <v>0.15</v>
      </c>
      <c r="EO461">
        <v>2.6666666999999999</v>
      </c>
      <c r="EP461">
        <v>99991120</v>
      </c>
      <c r="EQ461" t="s">
        <v>874</v>
      </c>
      <c r="ER461" t="s">
        <v>875</v>
      </c>
      <c r="ES461" t="s">
        <v>876</v>
      </c>
      <c r="ET461" t="s">
        <v>877</v>
      </c>
      <c r="EU461" t="s">
        <v>877</v>
      </c>
      <c r="EV461" t="s">
        <v>920</v>
      </c>
      <c r="EX461" t="s">
        <v>953</v>
      </c>
      <c r="EY461" t="s">
        <v>1555</v>
      </c>
      <c r="EZ461" t="s">
        <v>1013</v>
      </c>
      <c r="FA461" t="s">
        <v>925</v>
      </c>
      <c r="FB461">
        <v>1</v>
      </c>
      <c r="FC461">
        <v>1</v>
      </c>
      <c r="FD461" s="41">
        <v>46130</v>
      </c>
      <c r="FE461" t="s">
        <v>1123</v>
      </c>
      <c r="FF461">
        <v>5</v>
      </c>
      <c r="FI461">
        <v>0</v>
      </c>
      <c r="FJ461" t="s">
        <v>9548</v>
      </c>
      <c r="FK461" t="s">
        <v>9549</v>
      </c>
      <c r="FL461">
        <v>1</v>
      </c>
      <c r="FM461" t="s">
        <v>4209</v>
      </c>
      <c r="FN461" t="s">
        <v>9550</v>
      </c>
      <c r="FO461">
        <v>1</v>
      </c>
      <c r="FP461" t="s">
        <v>9551</v>
      </c>
      <c r="FQ461" t="s">
        <v>9546</v>
      </c>
      <c r="FR461">
        <v>1</v>
      </c>
      <c r="FS461" t="s">
        <v>1020</v>
      </c>
      <c r="FT461" t="s">
        <v>9552</v>
      </c>
      <c r="FU461">
        <v>1</v>
      </c>
      <c r="FV461" t="s">
        <v>9553</v>
      </c>
      <c r="FW461" t="s">
        <v>9549</v>
      </c>
      <c r="FX461">
        <v>1</v>
      </c>
      <c r="FY461" t="s">
        <v>890</v>
      </c>
      <c r="FZ461" t="s">
        <v>9554</v>
      </c>
      <c r="GA461" t="s">
        <v>9548</v>
      </c>
      <c r="GB461">
        <v>1</v>
      </c>
      <c r="GD461">
        <v>0</v>
      </c>
      <c r="GF461">
        <v>0</v>
      </c>
      <c r="GG461">
        <v>1</v>
      </c>
      <c r="GH461" t="s">
        <v>892</v>
      </c>
      <c r="GI461" t="s">
        <v>893</v>
      </c>
      <c r="GJ461" t="s">
        <v>9549</v>
      </c>
      <c r="GM461">
        <v>1</v>
      </c>
      <c r="GN461">
        <v>1</v>
      </c>
      <c r="GO461">
        <v>0</v>
      </c>
      <c r="GP461">
        <v>1</v>
      </c>
      <c r="GQ461">
        <v>1</v>
      </c>
      <c r="GR461">
        <v>0</v>
      </c>
      <c r="GS461">
        <v>1</v>
      </c>
      <c r="GT461">
        <v>1</v>
      </c>
      <c r="GU461">
        <v>1</v>
      </c>
      <c r="GV461">
        <v>1</v>
      </c>
      <c r="GW461">
        <v>1</v>
      </c>
      <c r="GX461">
        <v>1</v>
      </c>
      <c r="GY461">
        <v>1</v>
      </c>
      <c r="GZ461">
        <v>1</v>
      </c>
      <c r="HA461" t="s">
        <v>344</v>
      </c>
      <c r="HB461" t="s">
        <v>894</v>
      </c>
      <c r="HC461" t="s">
        <v>935</v>
      </c>
      <c r="HD461" t="s">
        <v>845</v>
      </c>
      <c r="HE461" t="s">
        <v>900</v>
      </c>
      <c r="HF461" t="s">
        <v>1012</v>
      </c>
      <c r="HG461" t="s">
        <v>894</v>
      </c>
      <c r="HH461" t="s">
        <v>935</v>
      </c>
      <c r="HI461" t="s">
        <v>845</v>
      </c>
      <c r="HJ461" t="s">
        <v>900</v>
      </c>
      <c r="HK461" t="s">
        <v>1011</v>
      </c>
      <c r="HL461" t="s">
        <v>1543</v>
      </c>
      <c r="HM461" t="s">
        <v>854</v>
      </c>
      <c r="HN461">
        <v>36805</v>
      </c>
      <c r="HP461" t="s">
        <v>134</v>
      </c>
      <c r="HQ461" t="s">
        <v>896</v>
      </c>
      <c r="HR461" t="s">
        <v>896</v>
      </c>
      <c r="HS461" t="s">
        <v>896</v>
      </c>
    </row>
    <row r="462" spans="1:227" x14ac:dyDescent="0.2">
      <c r="A462">
        <v>8702</v>
      </c>
      <c r="B462">
        <v>7530704721</v>
      </c>
      <c r="C462" t="s">
        <v>829</v>
      </c>
      <c r="D462" t="s">
        <v>830</v>
      </c>
      <c r="E462" t="s">
        <v>897</v>
      </c>
      <c r="F462">
        <v>0</v>
      </c>
      <c r="G462" t="s">
        <v>9555</v>
      </c>
      <c r="H462" t="s">
        <v>9555</v>
      </c>
      <c r="I462">
        <v>0</v>
      </c>
      <c r="J462" t="s">
        <v>833</v>
      </c>
      <c r="K462" t="s">
        <v>834</v>
      </c>
      <c r="L462">
        <v>156046193</v>
      </c>
      <c r="M462" t="s">
        <v>8777</v>
      </c>
      <c r="N462" t="s">
        <v>900</v>
      </c>
      <c r="O462" t="s">
        <v>837</v>
      </c>
      <c r="P462" t="s">
        <v>838</v>
      </c>
      <c r="Q462" t="s">
        <v>839</v>
      </c>
      <c r="R462" t="s">
        <v>9556</v>
      </c>
      <c r="S462" t="s">
        <v>9557</v>
      </c>
      <c r="T462">
        <v>41477086710</v>
      </c>
      <c r="V462" t="s">
        <v>206</v>
      </c>
      <c r="W462" s="41">
        <v>45964</v>
      </c>
      <c r="X462" t="s">
        <v>9558</v>
      </c>
      <c r="Y462" t="s">
        <v>9559</v>
      </c>
      <c r="AA462">
        <v>0</v>
      </c>
      <c r="AB462" t="s">
        <v>845</v>
      </c>
      <c r="AC462" t="s">
        <v>846</v>
      </c>
      <c r="AD462" t="s">
        <v>847</v>
      </c>
      <c r="AE462" t="s">
        <v>848</v>
      </c>
      <c r="AF462">
        <v>1</v>
      </c>
      <c r="AG462">
        <v>452210</v>
      </c>
      <c r="AH462" t="s">
        <v>849</v>
      </c>
      <c r="AI462" t="s">
        <v>850</v>
      </c>
      <c r="AJ462" t="s">
        <v>851</v>
      </c>
      <c r="AK462" t="s">
        <v>425</v>
      </c>
      <c r="AL462" t="s">
        <v>9343</v>
      </c>
      <c r="AM462" t="s">
        <v>4162</v>
      </c>
      <c r="AN462" t="s">
        <v>854</v>
      </c>
      <c r="AO462">
        <v>36805</v>
      </c>
      <c r="AP462">
        <v>645</v>
      </c>
      <c r="AQ462" t="s">
        <v>855</v>
      </c>
      <c r="AR462">
        <v>66186144</v>
      </c>
      <c r="AS462" t="s">
        <v>856</v>
      </c>
      <c r="AU462" t="s">
        <v>9560</v>
      </c>
      <c r="AV462" t="s">
        <v>9561</v>
      </c>
      <c r="AW462" t="s">
        <v>1261</v>
      </c>
      <c r="AX462" t="s">
        <v>1262</v>
      </c>
      <c r="AY462" t="s">
        <v>861</v>
      </c>
      <c r="AZ462" t="s">
        <v>425</v>
      </c>
      <c r="BA462" t="s">
        <v>426</v>
      </c>
      <c r="BB462">
        <v>0</v>
      </c>
      <c r="BC462">
        <v>0</v>
      </c>
      <c r="BD462">
        <v>0</v>
      </c>
      <c r="BE462" t="s">
        <v>8777</v>
      </c>
      <c r="BF462">
        <v>0</v>
      </c>
      <c r="BG462">
        <v>0</v>
      </c>
      <c r="BH462" t="s">
        <v>862</v>
      </c>
      <c r="BI462">
        <v>0</v>
      </c>
      <c r="BJ462" t="s">
        <v>862</v>
      </c>
      <c r="BK462">
        <v>1</v>
      </c>
      <c r="BL462">
        <v>0</v>
      </c>
      <c r="BM462">
        <v>0</v>
      </c>
      <c r="BN462" t="s">
        <v>596</v>
      </c>
      <c r="BO462">
        <v>156046193</v>
      </c>
      <c r="BP462" t="s">
        <v>9555</v>
      </c>
      <c r="BR462">
        <v>42791778</v>
      </c>
      <c r="BT462">
        <v>0</v>
      </c>
      <c r="CM462">
        <v>4010</v>
      </c>
      <c r="CO462">
        <v>7360</v>
      </c>
      <c r="CP462">
        <v>0.65</v>
      </c>
      <c r="CQ462">
        <v>0.65</v>
      </c>
      <c r="CR462">
        <v>0.65</v>
      </c>
      <c r="CS462">
        <v>2</v>
      </c>
      <c r="CT462" t="s">
        <v>9561</v>
      </c>
      <c r="CU462" t="s">
        <v>9560</v>
      </c>
      <c r="CV462" t="s">
        <v>833</v>
      </c>
      <c r="CW462" t="s">
        <v>834</v>
      </c>
      <c r="CX462" t="s">
        <v>8777</v>
      </c>
      <c r="CY462">
        <v>0</v>
      </c>
      <c r="CZ462">
        <v>0</v>
      </c>
      <c r="DA462" t="s">
        <v>833</v>
      </c>
      <c r="DB462" t="s">
        <v>865</v>
      </c>
      <c r="DC462">
        <v>48336</v>
      </c>
      <c r="DD462">
        <v>1.5667</v>
      </c>
      <c r="DE462" t="s">
        <v>866</v>
      </c>
      <c r="DG462" t="s">
        <v>867</v>
      </c>
      <c r="DH462" t="s">
        <v>851</v>
      </c>
      <c r="DI462" t="s">
        <v>984</v>
      </c>
      <c r="DL462" t="s">
        <v>869</v>
      </c>
      <c r="DM462">
        <v>0</v>
      </c>
      <c r="DN462">
        <v>0</v>
      </c>
      <c r="DO462">
        <v>3</v>
      </c>
      <c r="DP462" t="s">
        <v>919</v>
      </c>
      <c r="DQ462">
        <v>16</v>
      </c>
      <c r="DR462">
        <v>94</v>
      </c>
      <c r="DS462">
        <v>94</v>
      </c>
      <c r="DT462">
        <v>0.91669999999999996</v>
      </c>
      <c r="DU462">
        <v>4</v>
      </c>
      <c r="DW462">
        <v>2</v>
      </c>
      <c r="DX462" t="s">
        <v>594</v>
      </c>
      <c r="DY462" t="s">
        <v>8777</v>
      </c>
      <c r="DZ462">
        <v>0</v>
      </c>
      <c r="EA462">
        <v>0</v>
      </c>
      <c r="EB462">
        <v>0</v>
      </c>
      <c r="EC462">
        <v>0</v>
      </c>
      <c r="ED462">
        <v>0</v>
      </c>
      <c r="EE462">
        <v>0</v>
      </c>
      <c r="EF462" t="s">
        <v>920</v>
      </c>
      <c r="EG462" t="s">
        <v>595</v>
      </c>
      <c r="EH462" t="s">
        <v>872</v>
      </c>
      <c r="EI462" t="s">
        <v>872</v>
      </c>
      <c r="EJ462" t="s">
        <v>178</v>
      </c>
      <c r="EK462">
        <v>9090</v>
      </c>
      <c r="EL462">
        <v>0</v>
      </c>
      <c r="EM462" t="s">
        <v>952</v>
      </c>
      <c r="EN462">
        <v>0.65</v>
      </c>
      <c r="EO462">
        <v>1.5666666</v>
      </c>
      <c r="EP462">
        <v>99991120</v>
      </c>
      <c r="EQ462" t="s">
        <v>874</v>
      </c>
      <c r="ER462" t="s">
        <v>875</v>
      </c>
      <c r="ES462" t="s">
        <v>876</v>
      </c>
      <c r="ET462" t="s">
        <v>877</v>
      </c>
      <c r="EU462" t="s">
        <v>877</v>
      </c>
      <c r="EV462" t="s">
        <v>920</v>
      </c>
      <c r="EX462" t="s">
        <v>953</v>
      </c>
      <c r="EY462" t="s">
        <v>954</v>
      </c>
      <c r="EZ462" t="s">
        <v>955</v>
      </c>
      <c r="FA462" t="s">
        <v>956</v>
      </c>
      <c r="FB462">
        <v>1</v>
      </c>
      <c r="FC462">
        <v>1</v>
      </c>
      <c r="FD462" s="41">
        <v>45969</v>
      </c>
      <c r="FE462" t="s">
        <v>1438</v>
      </c>
      <c r="FF462">
        <v>5</v>
      </c>
      <c r="FI462">
        <v>0</v>
      </c>
      <c r="FJ462" t="s">
        <v>9562</v>
      </c>
      <c r="FK462" t="s">
        <v>9563</v>
      </c>
      <c r="FL462">
        <v>1</v>
      </c>
      <c r="FM462" t="s">
        <v>9564</v>
      </c>
      <c r="FN462" t="s">
        <v>9565</v>
      </c>
      <c r="FO462">
        <v>1</v>
      </c>
      <c r="FP462" t="s">
        <v>9566</v>
      </c>
      <c r="FQ462" t="s">
        <v>9560</v>
      </c>
      <c r="FR462">
        <v>1</v>
      </c>
      <c r="FS462" t="s">
        <v>5757</v>
      </c>
      <c r="FT462" t="s">
        <v>9567</v>
      </c>
      <c r="FU462">
        <v>1</v>
      </c>
      <c r="FV462" t="s">
        <v>9568</v>
      </c>
      <c r="FW462" t="s">
        <v>9563</v>
      </c>
      <c r="FX462">
        <v>1</v>
      </c>
      <c r="FY462" t="s">
        <v>890</v>
      </c>
      <c r="FZ462" t="s">
        <v>9569</v>
      </c>
      <c r="GA462" t="s">
        <v>9562</v>
      </c>
      <c r="GB462">
        <v>1</v>
      </c>
      <c r="GD462">
        <v>0</v>
      </c>
      <c r="GF462">
        <v>0</v>
      </c>
      <c r="GG462">
        <v>1</v>
      </c>
      <c r="GH462" t="s">
        <v>892</v>
      </c>
      <c r="GI462" t="s">
        <v>893</v>
      </c>
      <c r="GJ462" t="s">
        <v>9563</v>
      </c>
      <c r="GM462">
        <v>1</v>
      </c>
      <c r="GN462">
        <v>1</v>
      </c>
      <c r="GO462">
        <v>0</v>
      </c>
      <c r="GP462">
        <v>1</v>
      </c>
      <c r="GQ462">
        <v>1</v>
      </c>
      <c r="GR462">
        <v>0</v>
      </c>
      <c r="GS462">
        <v>1</v>
      </c>
      <c r="GT462">
        <v>0</v>
      </c>
      <c r="GU462">
        <v>1</v>
      </c>
      <c r="GV462">
        <v>0</v>
      </c>
      <c r="GW462">
        <v>1</v>
      </c>
      <c r="GX462">
        <v>0</v>
      </c>
      <c r="GY462">
        <v>1</v>
      </c>
      <c r="GZ462">
        <v>0</v>
      </c>
      <c r="HA462" t="s">
        <v>425</v>
      </c>
      <c r="HB462" t="s">
        <v>894</v>
      </c>
      <c r="HC462" t="s">
        <v>935</v>
      </c>
      <c r="HD462" t="s">
        <v>845</v>
      </c>
      <c r="HE462" t="s">
        <v>900</v>
      </c>
      <c r="HF462" t="s">
        <v>923</v>
      </c>
      <c r="HG462" t="s">
        <v>894</v>
      </c>
      <c r="HH462" t="s">
        <v>935</v>
      </c>
      <c r="HI462" t="s">
        <v>845</v>
      </c>
      <c r="HJ462" t="s">
        <v>900</v>
      </c>
      <c r="HK462" t="s">
        <v>952</v>
      </c>
      <c r="HL462" t="s">
        <v>206</v>
      </c>
      <c r="HM462" t="s">
        <v>854</v>
      </c>
      <c r="HN462">
        <v>36805</v>
      </c>
      <c r="HP462" t="s">
        <v>178</v>
      </c>
      <c r="HQ462" t="s">
        <v>896</v>
      </c>
      <c r="HR462" t="s">
        <v>896</v>
      </c>
      <c r="HS462" t="s">
        <v>896</v>
      </c>
    </row>
    <row r="463" spans="1:227" x14ac:dyDescent="0.2">
      <c r="A463">
        <v>8702</v>
      </c>
      <c r="B463">
        <v>7527002112</v>
      </c>
      <c r="C463" t="s">
        <v>936</v>
      </c>
      <c r="D463" t="s">
        <v>937</v>
      </c>
      <c r="E463" t="s">
        <v>897</v>
      </c>
      <c r="F463">
        <v>0</v>
      </c>
      <c r="G463" t="s">
        <v>9570</v>
      </c>
      <c r="H463" t="s">
        <v>9570</v>
      </c>
      <c r="I463">
        <v>0</v>
      </c>
      <c r="J463" t="s">
        <v>833</v>
      </c>
      <c r="K463" t="s">
        <v>834</v>
      </c>
      <c r="L463">
        <v>153195455</v>
      </c>
      <c r="M463" t="s">
        <v>3980</v>
      </c>
      <c r="N463" t="s">
        <v>900</v>
      </c>
      <c r="O463" t="s">
        <v>837</v>
      </c>
      <c r="P463" t="s">
        <v>940</v>
      </c>
      <c r="Q463" t="s">
        <v>1080</v>
      </c>
      <c r="R463" t="s">
        <v>9571</v>
      </c>
      <c r="S463" t="s">
        <v>9572</v>
      </c>
      <c r="T463">
        <v>41477053562</v>
      </c>
      <c r="V463" t="s">
        <v>1543</v>
      </c>
      <c r="W463" s="41">
        <v>45928</v>
      </c>
      <c r="X463" t="s">
        <v>9573</v>
      </c>
      <c r="Y463" t="s">
        <v>9574</v>
      </c>
      <c r="Z463" t="s">
        <v>9575</v>
      </c>
      <c r="AA463">
        <v>0</v>
      </c>
      <c r="AB463" t="s">
        <v>845</v>
      </c>
      <c r="AC463" t="s">
        <v>846</v>
      </c>
      <c r="AD463" t="s">
        <v>847</v>
      </c>
      <c r="AE463" t="s">
        <v>848</v>
      </c>
      <c r="AF463">
        <v>1</v>
      </c>
      <c r="AG463">
        <v>452210</v>
      </c>
      <c r="AH463" t="s">
        <v>849</v>
      </c>
      <c r="AI463" t="s">
        <v>850</v>
      </c>
      <c r="AJ463" t="s">
        <v>851</v>
      </c>
      <c r="AK463" t="s">
        <v>295</v>
      </c>
      <c r="AL463" t="s">
        <v>4729</v>
      </c>
      <c r="AM463" t="s">
        <v>1548</v>
      </c>
      <c r="AN463" t="s">
        <v>854</v>
      </c>
      <c r="AO463">
        <v>36805</v>
      </c>
      <c r="AP463">
        <v>522</v>
      </c>
      <c r="AQ463" t="s">
        <v>855</v>
      </c>
      <c r="AR463">
        <v>66134443</v>
      </c>
      <c r="AS463" t="s">
        <v>856</v>
      </c>
      <c r="AU463" t="s">
        <v>9576</v>
      </c>
      <c r="AV463" t="s">
        <v>9577</v>
      </c>
      <c r="AX463" t="s">
        <v>913</v>
      </c>
      <c r="AY463" t="s">
        <v>861</v>
      </c>
      <c r="AZ463" t="s">
        <v>295</v>
      </c>
      <c r="BA463" t="s">
        <v>296</v>
      </c>
      <c r="BB463">
        <v>0</v>
      </c>
      <c r="BC463">
        <v>0</v>
      </c>
      <c r="BD463">
        <v>0</v>
      </c>
      <c r="BE463" t="s">
        <v>3980</v>
      </c>
      <c r="BF463">
        <v>0</v>
      </c>
      <c r="BG463">
        <v>0</v>
      </c>
      <c r="BH463" t="s">
        <v>862</v>
      </c>
      <c r="BI463">
        <v>0</v>
      </c>
      <c r="BJ463" t="s">
        <v>862</v>
      </c>
      <c r="BK463">
        <v>1</v>
      </c>
      <c r="BL463">
        <v>1</v>
      </c>
      <c r="BM463">
        <v>0</v>
      </c>
      <c r="BN463" t="s">
        <v>596</v>
      </c>
      <c r="BO463">
        <v>153195455</v>
      </c>
      <c r="BP463" t="s">
        <v>9570</v>
      </c>
      <c r="BR463">
        <v>42791431</v>
      </c>
      <c r="BT463">
        <v>1</v>
      </c>
      <c r="BU463" t="s">
        <v>1151</v>
      </c>
      <c r="CI463">
        <v>11</v>
      </c>
      <c r="CJ463" t="s">
        <v>94</v>
      </c>
      <c r="CM463">
        <v>4010</v>
      </c>
      <c r="CO463">
        <v>7360</v>
      </c>
      <c r="CP463">
        <v>0.16669999999999999</v>
      </c>
      <c r="CQ463">
        <v>0.16669999999999999</v>
      </c>
      <c r="CR463">
        <v>3.0667</v>
      </c>
      <c r="CS463">
        <v>43</v>
      </c>
      <c r="CT463" t="s">
        <v>9578</v>
      </c>
      <c r="CU463" t="s">
        <v>9579</v>
      </c>
      <c r="CV463" t="s">
        <v>833</v>
      </c>
      <c r="CW463" t="s">
        <v>834</v>
      </c>
      <c r="CX463" t="s">
        <v>3980</v>
      </c>
      <c r="CY463">
        <v>0</v>
      </c>
      <c r="CZ463">
        <v>0</v>
      </c>
      <c r="DA463" t="s">
        <v>833</v>
      </c>
      <c r="DB463" t="s">
        <v>865</v>
      </c>
      <c r="DC463">
        <v>46227</v>
      </c>
      <c r="DD463">
        <v>20.100000000000001</v>
      </c>
      <c r="DE463" t="s">
        <v>866</v>
      </c>
      <c r="DG463" t="s">
        <v>867</v>
      </c>
      <c r="DH463" t="s">
        <v>851</v>
      </c>
      <c r="DI463" t="s">
        <v>1189</v>
      </c>
      <c r="DJ463" t="s">
        <v>3988</v>
      </c>
      <c r="DK463" t="s">
        <v>1155</v>
      </c>
      <c r="DL463" t="s">
        <v>869</v>
      </c>
      <c r="DM463">
        <v>0</v>
      </c>
      <c r="DN463">
        <v>0</v>
      </c>
      <c r="DO463">
        <v>3</v>
      </c>
      <c r="DP463" t="s">
        <v>919</v>
      </c>
      <c r="DQ463">
        <v>16</v>
      </c>
      <c r="DR463">
        <v>1206</v>
      </c>
      <c r="DS463">
        <v>1926</v>
      </c>
      <c r="DT463">
        <v>19.933299999999999</v>
      </c>
      <c r="DU463">
        <v>4</v>
      </c>
      <c r="DV463">
        <v>1</v>
      </c>
      <c r="DW463">
        <v>2</v>
      </c>
      <c r="DX463" t="s">
        <v>596</v>
      </c>
      <c r="DY463" t="s">
        <v>3980</v>
      </c>
      <c r="DZ463">
        <v>0</v>
      </c>
      <c r="EA463">
        <v>0</v>
      </c>
      <c r="EB463">
        <v>1</v>
      </c>
      <c r="EC463">
        <v>0</v>
      </c>
      <c r="ED463">
        <v>0</v>
      </c>
      <c r="EE463">
        <v>1</v>
      </c>
      <c r="EF463" t="s">
        <v>871</v>
      </c>
      <c r="EG463" t="s">
        <v>595</v>
      </c>
      <c r="EH463" t="s">
        <v>921</v>
      </c>
      <c r="EI463" t="s">
        <v>921</v>
      </c>
      <c r="EJ463" t="s">
        <v>134</v>
      </c>
      <c r="EK463">
        <v>9090</v>
      </c>
      <c r="EL463">
        <v>0</v>
      </c>
      <c r="EM463" t="s">
        <v>1011</v>
      </c>
      <c r="EN463">
        <v>3.0667</v>
      </c>
      <c r="EO463">
        <v>32.1</v>
      </c>
      <c r="EP463">
        <v>99991120</v>
      </c>
      <c r="EQ463" t="s">
        <v>874</v>
      </c>
      <c r="ER463" t="s">
        <v>875</v>
      </c>
      <c r="ES463" t="s">
        <v>876</v>
      </c>
      <c r="ET463" t="s">
        <v>877</v>
      </c>
      <c r="EU463" t="s">
        <v>877</v>
      </c>
      <c r="EV463" t="s">
        <v>871</v>
      </c>
      <c r="EX463" t="s">
        <v>953</v>
      </c>
      <c r="EY463" t="s">
        <v>1555</v>
      </c>
      <c r="EZ463" t="s">
        <v>1013</v>
      </c>
      <c r="FA463" t="s">
        <v>925</v>
      </c>
      <c r="FB463">
        <v>1</v>
      </c>
      <c r="FC463">
        <v>1</v>
      </c>
      <c r="FD463" s="41">
        <v>45934</v>
      </c>
      <c r="FE463" t="s">
        <v>880</v>
      </c>
      <c r="FF463">
        <v>6</v>
      </c>
      <c r="FG463" t="s">
        <v>1976</v>
      </c>
      <c r="FH463" t="s">
        <v>9580</v>
      </c>
      <c r="FI463">
        <v>1</v>
      </c>
      <c r="FJ463" t="s">
        <v>9581</v>
      </c>
      <c r="FK463" t="s">
        <v>9582</v>
      </c>
      <c r="FL463">
        <v>1</v>
      </c>
      <c r="FM463" t="s">
        <v>4209</v>
      </c>
      <c r="FN463" t="s">
        <v>9583</v>
      </c>
      <c r="FO463">
        <v>1</v>
      </c>
      <c r="FP463" t="s">
        <v>9584</v>
      </c>
      <c r="FQ463" t="s">
        <v>9579</v>
      </c>
      <c r="FR463">
        <v>1</v>
      </c>
      <c r="FS463" t="s">
        <v>2872</v>
      </c>
      <c r="FT463" t="s">
        <v>9585</v>
      </c>
      <c r="FU463">
        <v>1</v>
      </c>
      <c r="FV463" t="s">
        <v>4820</v>
      </c>
      <c r="FW463" t="s">
        <v>9586</v>
      </c>
      <c r="FX463">
        <v>1</v>
      </c>
      <c r="FY463" t="s">
        <v>890</v>
      </c>
      <c r="FZ463" t="s">
        <v>9587</v>
      </c>
      <c r="GA463" t="s">
        <v>9581</v>
      </c>
      <c r="GB463">
        <v>1</v>
      </c>
      <c r="GD463">
        <v>0</v>
      </c>
      <c r="GF463">
        <v>0</v>
      </c>
      <c r="GG463">
        <v>1</v>
      </c>
      <c r="GH463" t="s">
        <v>892</v>
      </c>
      <c r="GI463" t="s">
        <v>893</v>
      </c>
      <c r="GJ463" t="s">
        <v>9582</v>
      </c>
      <c r="GM463">
        <v>1</v>
      </c>
      <c r="GN463">
        <v>1</v>
      </c>
      <c r="GO463">
        <v>0</v>
      </c>
      <c r="GP463">
        <v>1</v>
      </c>
      <c r="GQ463">
        <v>1</v>
      </c>
      <c r="GR463">
        <v>0</v>
      </c>
      <c r="GS463">
        <v>1</v>
      </c>
      <c r="GT463">
        <v>0</v>
      </c>
      <c r="GU463">
        <v>1</v>
      </c>
      <c r="GV463">
        <v>0</v>
      </c>
      <c r="GW463">
        <v>1</v>
      </c>
      <c r="GX463">
        <v>0</v>
      </c>
      <c r="GY463">
        <v>1</v>
      </c>
      <c r="GZ463">
        <v>0</v>
      </c>
      <c r="HA463" t="s">
        <v>295</v>
      </c>
      <c r="HB463" t="s">
        <v>894</v>
      </c>
      <c r="HC463" t="s">
        <v>935</v>
      </c>
      <c r="HD463" t="s">
        <v>845</v>
      </c>
      <c r="HE463" t="s">
        <v>900</v>
      </c>
      <c r="HF463" t="s">
        <v>1012</v>
      </c>
      <c r="HG463" t="s">
        <v>894</v>
      </c>
      <c r="HH463" t="s">
        <v>935</v>
      </c>
      <c r="HI463" t="s">
        <v>845</v>
      </c>
      <c r="HJ463" t="s">
        <v>900</v>
      </c>
      <c r="HK463" t="s">
        <v>1011</v>
      </c>
      <c r="HL463" t="s">
        <v>1543</v>
      </c>
      <c r="HM463" t="s">
        <v>854</v>
      </c>
      <c r="HN463">
        <v>36805</v>
      </c>
      <c r="HO463">
        <v>1</v>
      </c>
      <c r="HP463" t="s">
        <v>134</v>
      </c>
      <c r="HQ463" t="s">
        <v>896</v>
      </c>
      <c r="HR463" t="s">
        <v>896</v>
      </c>
      <c r="HS463" t="s">
        <v>896</v>
      </c>
    </row>
    <row r="464" spans="1:227" x14ac:dyDescent="0.2">
      <c r="A464">
        <v>8702</v>
      </c>
      <c r="B464">
        <v>7536404230</v>
      </c>
      <c r="C464" t="s">
        <v>829</v>
      </c>
      <c r="D464" t="s">
        <v>830</v>
      </c>
      <c r="E464" t="s">
        <v>897</v>
      </c>
      <c r="F464">
        <v>0</v>
      </c>
      <c r="G464" t="s">
        <v>9588</v>
      </c>
      <c r="H464" t="s">
        <v>9588</v>
      </c>
      <c r="I464">
        <v>0</v>
      </c>
      <c r="J464" t="s">
        <v>833</v>
      </c>
      <c r="K464" t="s">
        <v>834</v>
      </c>
      <c r="L464">
        <v>153195500</v>
      </c>
      <c r="M464" t="s">
        <v>2225</v>
      </c>
      <c r="N464" t="s">
        <v>900</v>
      </c>
      <c r="O464" t="s">
        <v>837</v>
      </c>
      <c r="P464" t="s">
        <v>838</v>
      </c>
      <c r="Q464" t="s">
        <v>1593</v>
      </c>
      <c r="R464" t="s">
        <v>9589</v>
      </c>
      <c r="S464" t="s">
        <v>9590</v>
      </c>
      <c r="T464">
        <v>41477122910</v>
      </c>
      <c r="V464" t="s">
        <v>133</v>
      </c>
      <c r="W464" s="41">
        <v>46022</v>
      </c>
      <c r="X464" t="s">
        <v>9591</v>
      </c>
      <c r="Y464" t="s">
        <v>9592</v>
      </c>
      <c r="Z464" t="s">
        <v>1144</v>
      </c>
      <c r="AA464">
        <v>0</v>
      </c>
      <c r="AB464" t="s">
        <v>845</v>
      </c>
      <c r="AC464" t="s">
        <v>846</v>
      </c>
      <c r="AD464" t="s">
        <v>847</v>
      </c>
      <c r="AE464" t="s">
        <v>848</v>
      </c>
      <c r="AF464">
        <v>1</v>
      </c>
      <c r="AG464">
        <v>452210</v>
      </c>
      <c r="AH464" t="s">
        <v>849</v>
      </c>
      <c r="AI464" t="s">
        <v>850</v>
      </c>
      <c r="AJ464" t="s">
        <v>851</v>
      </c>
      <c r="AK464" t="s">
        <v>259</v>
      </c>
      <c r="AL464" t="s">
        <v>1547</v>
      </c>
      <c r="AM464" t="s">
        <v>1182</v>
      </c>
      <c r="AN464" t="s">
        <v>854</v>
      </c>
      <c r="AO464">
        <v>36805</v>
      </c>
      <c r="AP464">
        <v>526</v>
      </c>
      <c r="AQ464" t="s">
        <v>855</v>
      </c>
      <c r="AR464">
        <v>66269529</v>
      </c>
      <c r="AS464" t="s">
        <v>856</v>
      </c>
      <c r="AU464" t="s">
        <v>9593</v>
      </c>
      <c r="AV464" t="s">
        <v>9594</v>
      </c>
      <c r="AW464" t="s">
        <v>2083</v>
      </c>
      <c r="AX464" t="s">
        <v>2084</v>
      </c>
      <c r="AY464" t="s">
        <v>861</v>
      </c>
      <c r="AZ464" t="s">
        <v>259</v>
      </c>
      <c r="BA464" t="s">
        <v>260</v>
      </c>
      <c r="BB464">
        <v>0</v>
      </c>
      <c r="BC464">
        <v>0</v>
      </c>
      <c r="BD464">
        <v>0</v>
      </c>
      <c r="BE464" t="s">
        <v>2225</v>
      </c>
      <c r="BF464">
        <v>0</v>
      </c>
      <c r="BG464">
        <v>0</v>
      </c>
      <c r="BH464" t="s">
        <v>862</v>
      </c>
      <c r="BI464">
        <v>0</v>
      </c>
      <c r="BJ464" t="s">
        <v>862</v>
      </c>
      <c r="BK464">
        <v>1</v>
      </c>
      <c r="BL464">
        <v>0</v>
      </c>
      <c r="BM464">
        <v>0</v>
      </c>
      <c r="BN464" t="s">
        <v>596</v>
      </c>
      <c r="BO464">
        <v>153195500</v>
      </c>
      <c r="BP464" t="s">
        <v>9588</v>
      </c>
      <c r="BR464">
        <v>42791437</v>
      </c>
      <c r="BT464">
        <v>1</v>
      </c>
      <c r="BU464" t="s">
        <v>3226</v>
      </c>
      <c r="CI464">
        <v>11</v>
      </c>
      <c r="CJ464" t="s">
        <v>94</v>
      </c>
      <c r="CM464">
        <v>4010</v>
      </c>
      <c r="CO464">
        <v>7360</v>
      </c>
      <c r="CP464">
        <v>0.38329999999999997</v>
      </c>
      <c r="CQ464">
        <v>0.38329999999999997</v>
      </c>
      <c r="CR464">
        <v>0.93330000000000002</v>
      </c>
      <c r="CS464">
        <v>0</v>
      </c>
      <c r="CT464" t="s">
        <v>9595</v>
      </c>
      <c r="CU464" t="s">
        <v>9596</v>
      </c>
      <c r="CV464" t="s">
        <v>833</v>
      </c>
      <c r="CW464" t="s">
        <v>834</v>
      </c>
      <c r="CX464" t="s">
        <v>2225</v>
      </c>
      <c r="CY464">
        <v>0</v>
      </c>
      <c r="CZ464">
        <v>0</v>
      </c>
      <c r="DA464" t="s">
        <v>833</v>
      </c>
      <c r="DB464" t="s">
        <v>865</v>
      </c>
      <c r="DC464">
        <v>46260</v>
      </c>
      <c r="DD464">
        <v>10.050000000000001</v>
      </c>
      <c r="DE464" t="s">
        <v>866</v>
      </c>
      <c r="DG464" t="s">
        <v>867</v>
      </c>
      <c r="DH464" t="s">
        <v>851</v>
      </c>
      <c r="DI464" t="s">
        <v>1554</v>
      </c>
      <c r="DK464" t="s">
        <v>918</v>
      </c>
      <c r="DL464" t="s">
        <v>869</v>
      </c>
      <c r="DM464">
        <v>0</v>
      </c>
      <c r="DN464">
        <v>0</v>
      </c>
      <c r="DO464">
        <v>59</v>
      </c>
      <c r="DP464" t="s">
        <v>2770</v>
      </c>
      <c r="DQ464">
        <v>16</v>
      </c>
      <c r="DR464">
        <v>353</v>
      </c>
      <c r="DS464">
        <v>1323</v>
      </c>
      <c r="DT464">
        <v>5.5167000000000002</v>
      </c>
      <c r="DU464">
        <v>4</v>
      </c>
      <c r="DV464">
        <v>1</v>
      </c>
      <c r="DW464">
        <v>2</v>
      </c>
      <c r="DX464" t="s">
        <v>594</v>
      </c>
      <c r="DY464" t="s">
        <v>2225</v>
      </c>
      <c r="DZ464">
        <v>0</v>
      </c>
      <c r="EA464">
        <v>0</v>
      </c>
      <c r="EB464">
        <v>0</v>
      </c>
      <c r="EC464">
        <v>0</v>
      </c>
      <c r="ED464">
        <v>0</v>
      </c>
      <c r="EE464">
        <v>0</v>
      </c>
      <c r="EF464" t="s">
        <v>920</v>
      </c>
      <c r="EG464" t="s">
        <v>595</v>
      </c>
      <c r="EH464" t="s">
        <v>872</v>
      </c>
      <c r="EI464" t="s">
        <v>872</v>
      </c>
      <c r="EJ464" t="s">
        <v>134</v>
      </c>
      <c r="EK464">
        <v>9090</v>
      </c>
      <c r="EL464">
        <v>0</v>
      </c>
      <c r="EM464" t="s">
        <v>1011</v>
      </c>
      <c r="EN464">
        <v>0.93330000000000002</v>
      </c>
      <c r="EO464">
        <v>22.05</v>
      </c>
      <c r="EP464">
        <v>99991120</v>
      </c>
      <c r="EQ464" t="s">
        <v>874</v>
      </c>
      <c r="ER464" t="s">
        <v>875</v>
      </c>
      <c r="ES464" t="s">
        <v>876</v>
      </c>
      <c r="ET464" t="s">
        <v>877</v>
      </c>
      <c r="EU464" t="s">
        <v>877</v>
      </c>
      <c r="EV464" t="s">
        <v>920</v>
      </c>
      <c r="EX464" t="s">
        <v>953</v>
      </c>
      <c r="EY464" t="s">
        <v>1555</v>
      </c>
      <c r="EZ464" t="s">
        <v>1013</v>
      </c>
      <c r="FA464" t="s">
        <v>925</v>
      </c>
      <c r="FB464">
        <v>1</v>
      </c>
      <c r="FC464">
        <v>2</v>
      </c>
      <c r="FD464" s="41">
        <v>46025</v>
      </c>
      <c r="FE464" t="s">
        <v>957</v>
      </c>
      <c r="FF464">
        <v>6</v>
      </c>
      <c r="FG464" t="s">
        <v>9597</v>
      </c>
      <c r="FH464" t="s">
        <v>9598</v>
      </c>
      <c r="FI464">
        <v>1</v>
      </c>
      <c r="FJ464" t="s">
        <v>9599</v>
      </c>
      <c r="FK464" t="s">
        <v>9598</v>
      </c>
      <c r="FL464">
        <v>1</v>
      </c>
      <c r="FM464" t="s">
        <v>9600</v>
      </c>
      <c r="FN464" t="s">
        <v>9601</v>
      </c>
      <c r="FO464">
        <v>1</v>
      </c>
      <c r="FP464" t="s">
        <v>9602</v>
      </c>
      <c r="FQ464" t="s">
        <v>9596</v>
      </c>
      <c r="FR464">
        <v>1</v>
      </c>
      <c r="FS464" t="s">
        <v>1934</v>
      </c>
      <c r="FT464" t="s">
        <v>9603</v>
      </c>
      <c r="FU464">
        <v>1</v>
      </c>
      <c r="FV464" t="s">
        <v>9604</v>
      </c>
      <c r="FW464" t="s">
        <v>9605</v>
      </c>
      <c r="FX464">
        <v>1</v>
      </c>
      <c r="FY464" t="s">
        <v>890</v>
      </c>
      <c r="FZ464" t="s">
        <v>9606</v>
      </c>
      <c r="GA464" t="s">
        <v>9599</v>
      </c>
      <c r="GB464">
        <v>1</v>
      </c>
      <c r="GD464">
        <v>0</v>
      </c>
      <c r="GF464">
        <v>0</v>
      </c>
      <c r="GG464">
        <v>1</v>
      </c>
      <c r="GH464" t="s">
        <v>892</v>
      </c>
      <c r="GI464" t="s">
        <v>893</v>
      </c>
      <c r="GJ464" t="s">
        <v>9598</v>
      </c>
      <c r="GM464">
        <v>1</v>
      </c>
      <c r="GN464">
        <v>0</v>
      </c>
      <c r="GO464">
        <v>0</v>
      </c>
      <c r="GP464">
        <v>1</v>
      </c>
      <c r="GQ464">
        <v>1</v>
      </c>
      <c r="GR464">
        <v>0</v>
      </c>
      <c r="GS464">
        <v>1</v>
      </c>
      <c r="GT464">
        <v>0</v>
      </c>
      <c r="GU464">
        <v>1</v>
      </c>
      <c r="GV464">
        <v>0</v>
      </c>
      <c r="GW464">
        <v>1</v>
      </c>
      <c r="GX464">
        <v>0</v>
      </c>
      <c r="GY464">
        <v>1</v>
      </c>
      <c r="GZ464">
        <v>0</v>
      </c>
      <c r="HA464" t="s">
        <v>259</v>
      </c>
      <c r="HB464" t="s">
        <v>894</v>
      </c>
      <c r="HC464" t="s">
        <v>935</v>
      </c>
      <c r="HD464" t="s">
        <v>845</v>
      </c>
      <c r="HE464" t="s">
        <v>900</v>
      </c>
      <c r="HF464" t="s">
        <v>1012</v>
      </c>
      <c r="HG464" t="s">
        <v>894</v>
      </c>
      <c r="HH464" t="s">
        <v>935</v>
      </c>
      <c r="HI464" t="s">
        <v>845</v>
      </c>
      <c r="HJ464" t="s">
        <v>900</v>
      </c>
      <c r="HK464" t="s">
        <v>1011</v>
      </c>
      <c r="HL464" t="s">
        <v>133</v>
      </c>
      <c r="HM464" t="s">
        <v>854</v>
      </c>
      <c r="HN464">
        <v>36805</v>
      </c>
      <c r="HO464">
        <v>1</v>
      </c>
      <c r="HP464" t="s">
        <v>134</v>
      </c>
      <c r="HQ464" t="s">
        <v>896</v>
      </c>
      <c r="HR464" t="s">
        <v>896</v>
      </c>
      <c r="HS464" t="s">
        <v>896</v>
      </c>
    </row>
    <row r="465" spans="1:227" x14ac:dyDescent="0.2">
      <c r="A465">
        <v>8702</v>
      </c>
      <c r="B465">
        <v>7526604225</v>
      </c>
      <c r="C465">
        <v>36</v>
      </c>
      <c r="D465" t="s">
        <v>1302</v>
      </c>
      <c r="E465" t="s">
        <v>897</v>
      </c>
      <c r="F465">
        <v>0</v>
      </c>
      <c r="G465" t="s">
        <v>9607</v>
      </c>
      <c r="H465" t="s">
        <v>9607</v>
      </c>
      <c r="I465">
        <v>0</v>
      </c>
      <c r="J465" t="s">
        <v>833</v>
      </c>
      <c r="K465" t="s">
        <v>834</v>
      </c>
      <c r="L465">
        <v>153008255</v>
      </c>
      <c r="M465" t="s">
        <v>1750</v>
      </c>
      <c r="N465" t="s">
        <v>900</v>
      </c>
      <c r="O465" t="s">
        <v>837</v>
      </c>
      <c r="P465" t="s">
        <v>1302</v>
      </c>
      <c r="Q465" t="s">
        <v>1305</v>
      </c>
      <c r="R465" t="s">
        <v>9608</v>
      </c>
      <c r="S465" t="s">
        <v>9609</v>
      </c>
      <c r="T465">
        <v>30300136030</v>
      </c>
      <c r="V465" t="s">
        <v>1476</v>
      </c>
      <c r="W465" s="41">
        <v>45926</v>
      </c>
      <c r="X465" t="s">
        <v>9610</v>
      </c>
      <c r="Y465" t="s">
        <v>9611</v>
      </c>
      <c r="Z465" t="s">
        <v>9612</v>
      </c>
      <c r="AA465">
        <v>0</v>
      </c>
      <c r="AB465" t="s">
        <v>845</v>
      </c>
      <c r="AC465" t="s">
        <v>846</v>
      </c>
      <c r="AD465" t="s">
        <v>847</v>
      </c>
      <c r="AE465" t="s">
        <v>848</v>
      </c>
      <c r="AF465">
        <v>1</v>
      </c>
      <c r="AG465">
        <v>452210</v>
      </c>
      <c r="AH465" t="s">
        <v>849</v>
      </c>
      <c r="AI465" t="s">
        <v>850</v>
      </c>
      <c r="AJ465" t="s">
        <v>851</v>
      </c>
      <c r="AK465" t="s">
        <v>315</v>
      </c>
      <c r="AL465" t="s">
        <v>1755</v>
      </c>
      <c r="AM465" t="s">
        <v>1480</v>
      </c>
      <c r="AN465" t="s">
        <v>854</v>
      </c>
      <c r="AO465">
        <v>36805</v>
      </c>
      <c r="AP465">
        <v>931</v>
      </c>
      <c r="AQ465" t="s">
        <v>855</v>
      </c>
      <c r="AR465">
        <v>66131602</v>
      </c>
      <c r="AS465" t="s">
        <v>856</v>
      </c>
      <c r="AU465" t="s">
        <v>9613</v>
      </c>
      <c r="AV465" t="s">
        <v>9614</v>
      </c>
      <c r="AX465" t="s">
        <v>913</v>
      </c>
      <c r="AY465" t="s">
        <v>861</v>
      </c>
      <c r="AZ465" t="s">
        <v>315</v>
      </c>
      <c r="BA465" t="s">
        <v>316</v>
      </c>
      <c r="BB465">
        <v>0</v>
      </c>
      <c r="BC465">
        <v>0</v>
      </c>
      <c r="BD465">
        <v>0</v>
      </c>
      <c r="BE465" t="s">
        <v>1750</v>
      </c>
      <c r="BF465">
        <v>0</v>
      </c>
      <c r="BG465">
        <v>0</v>
      </c>
      <c r="BH465" t="s">
        <v>862</v>
      </c>
      <c r="BI465">
        <v>0</v>
      </c>
      <c r="BJ465" t="s">
        <v>862</v>
      </c>
      <c r="BK465">
        <v>1</v>
      </c>
      <c r="BL465">
        <v>1</v>
      </c>
      <c r="BM465">
        <v>0</v>
      </c>
      <c r="BN465" t="s">
        <v>596</v>
      </c>
      <c r="BO465">
        <v>153008255</v>
      </c>
      <c r="BP465" t="s">
        <v>9607</v>
      </c>
      <c r="BR465">
        <v>42793655</v>
      </c>
      <c r="BT465">
        <v>1</v>
      </c>
      <c r="BU465" t="s">
        <v>1151</v>
      </c>
      <c r="CI465">
        <v>11</v>
      </c>
      <c r="CJ465" t="s">
        <v>94</v>
      </c>
      <c r="CM465">
        <v>4010</v>
      </c>
      <c r="CO465">
        <v>7360</v>
      </c>
      <c r="CP465">
        <v>0.4667</v>
      </c>
      <c r="CQ465">
        <v>0.4667</v>
      </c>
      <c r="CR465">
        <v>0.2167</v>
      </c>
      <c r="CS465">
        <v>4</v>
      </c>
      <c r="CT465" t="s">
        <v>9614</v>
      </c>
      <c r="CU465" t="s">
        <v>9613</v>
      </c>
      <c r="CV465" t="s">
        <v>833</v>
      </c>
      <c r="CW465" t="s">
        <v>834</v>
      </c>
      <c r="CX465" t="s">
        <v>1750</v>
      </c>
      <c r="CY465">
        <v>0</v>
      </c>
      <c r="CZ465">
        <v>0</v>
      </c>
      <c r="DA465" t="s">
        <v>833</v>
      </c>
      <c r="DB465" t="s">
        <v>865</v>
      </c>
      <c r="DC465">
        <v>44720</v>
      </c>
      <c r="DD465">
        <v>43.566699999999997</v>
      </c>
      <c r="DE465" t="s">
        <v>866</v>
      </c>
      <c r="DG465" t="s">
        <v>867</v>
      </c>
      <c r="DH465" t="s">
        <v>851</v>
      </c>
      <c r="DI465" t="s">
        <v>1434</v>
      </c>
      <c r="DK465" t="s">
        <v>1155</v>
      </c>
      <c r="DL465" t="s">
        <v>869</v>
      </c>
      <c r="DM465">
        <v>0</v>
      </c>
      <c r="DN465">
        <v>0</v>
      </c>
      <c r="DO465">
        <v>12</v>
      </c>
      <c r="DP465" t="s">
        <v>1190</v>
      </c>
      <c r="DQ465">
        <v>16</v>
      </c>
      <c r="DR465">
        <v>2614</v>
      </c>
      <c r="DS465">
        <v>4774</v>
      </c>
      <c r="DT465">
        <v>43.1</v>
      </c>
      <c r="DU465">
        <v>4</v>
      </c>
      <c r="DV465">
        <v>1</v>
      </c>
      <c r="DW465">
        <v>2</v>
      </c>
      <c r="DX465" t="s">
        <v>596</v>
      </c>
      <c r="DY465" t="s">
        <v>1750</v>
      </c>
      <c r="DZ465">
        <v>0</v>
      </c>
      <c r="EA465">
        <v>0</v>
      </c>
      <c r="EB465">
        <v>1</v>
      </c>
      <c r="EC465">
        <v>0</v>
      </c>
      <c r="ED465">
        <v>0</v>
      </c>
      <c r="EE465">
        <v>1</v>
      </c>
      <c r="EF465" t="s">
        <v>920</v>
      </c>
      <c r="EG465" t="s">
        <v>595</v>
      </c>
      <c r="EH465" t="s">
        <v>921</v>
      </c>
      <c r="EI465" t="s">
        <v>921</v>
      </c>
      <c r="EJ465" t="s">
        <v>226</v>
      </c>
      <c r="EK465">
        <v>9090</v>
      </c>
      <c r="EL465">
        <v>0</v>
      </c>
      <c r="EM465" t="s">
        <v>1157</v>
      </c>
      <c r="EN465">
        <v>0.2167</v>
      </c>
      <c r="EO465">
        <v>79.566666600000005</v>
      </c>
      <c r="EP465">
        <v>99991120</v>
      </c>
      <c r="EQ465" t="s">
        <v>874</v>
      </c>
      <c r="ER465" t="s">
        <v>875</v>
      </c>
      <c r="ES465" t="s">
        <v>876</v>
      </c>
      <c r="ET465" t="s">
        <v>877</v>
      </c>
      <c r="EU465" t="s">
        <v>877</v>
      </c>
      <c r="EV465" t="s">
        <v>920</v>
      </c>
      <c r="EX465" t="s">
        <v>953</v>
      </c>
      <c r="EY465" t="s">
        <v>986</v>
      </c>
      <c r="EZ465" t="s">
        <v>1236</v>
      </c>
      <c r="FA465" t="s">
        <v>956</v>
      </c>
      <c r="FB465">
        <v>1</v>
      </c>
      <c r="FC465">
        <v>1</v>
      </c>
      <c r="FD465" s="41">
        <v>45927</v>
      </c>
      <c r="FE465" t="s">
        <v>880</v>
      </c>
      <c r="FF465">
        <v>6</v>
      </c>
      <c r="FG465" t="s">
        <v>1766</v>
      </c>
      <c r="FH465" t="s">
        <v>9615</v>
      </c>
      <c r="FI465">
        <v>1</v>
      </c>
      <c r="FJ465" t="s">
        <v>9616</v>
      </c>
      <c r="FK465" t="s">
        <v>9617</v>
      </c>
      <c r="FL465">
        <v>1</v>
      </c>
      <c r="FM465" t="s">
        <v>1762</v>
      </c>
      <c r="FN465" t="s">
        <v>9618</v>
      </c>
      <c r="FO465">
        <v>1</v>
      </c>
      <c r="FP465" t="s">
        <v>9619</v>
      </c>
      <c r="FQ465" t="s">
        <v>9620</v>
      </c>
      <c r="FR465">
        <v>1</v>
      </c>
      <c r="FS465" t="s">
        <v>5404</v>
      </c>
      <c r="FT465" t="s">
        <v>9621</v>
      </c>
      <c r="FU465">
        <v>1</v>
      </c>
      <c r="FV465" t="s">
        <v>5406</v>
      </c>
      <c r="FW465" t="s">
        <v>9622</v>
      </c>
      <c r="FX465">
        <v>1</v>
      </c>
      <c r="FY465" t="s">
        <v>890</v>
      </c>
      <c r="FZ465" t="s">
        <v>9623</v>
      </c>
      <c r="GA465" t="s">
        <v>9616</v>
      </c>
      <c r="GB465">
        <v>1</v>
      </c>
      <c r="GD465">
        <v>0</v>
      </c>
      <c r="GF465">
        <v>0</v>
      </c>
      <c r="GG465">
        <v>1</v>
      </c>
      <c r="GH465" t="s">
        <v>892</v>
      </c>
      <c r="GI465" t="s">
        <v>893</v>
      </c>
      <c r="GJ465" t="s">
        <v>9617</v>
      </c>
      <c r="GM465">
        <v>1</v>
      </c>
      <c r="GN465">
        <v>1</v>
      </c>
      <c r="GO465">
        <v>0</v>
      </c>
      <c r="GP465">
        <v>1</v>
      </c>
      <c r="GQ465">
        <v>1</v>
      </c>
      <c r="GR465">
        <v>0</v>
      </c>
      <c r="GS465">
        <v>1</v>
      </c>
      <c r="GT465">
        <v>0</v>
      </c>
      <c r="GU465">
        <v>1</v>
      </c>
      <c r="GV465">
        <v>0</v>
      </c>
      <c r="GW465">
        <v>1</v>
      </c>
      <c r="GX465">
        <v>0</v>
      </c>
      <c r="GY465">
        <v>1</v>
      </c>
      <c r="GZ465">
        <v>0</v>
      </c>
      <c r="HA465" t="s">
        <v>315</v>
      </c>
      <c r="HB465" t="s">
        <v>894</v>
      </c>
      <c r="HC465" t="s">
        <v>935</v>
      </c>
      <c r="HD465" t="s">
        <v>845</v>
      </c>
      <c r="HE465" t="s">
        <v>900</v>
      </c>
      <c r="HF465" t="s">
        <v>923</v>
      </c>
      <c r="HG465" t="s">
        <v>894</v>
      </c>
      <c r="HH465" t="s">
        <v>935</v>
      </c>
      <c r="HI465" t="s">
        <v>845</v>
      </c>
      <c r="HJ465" t="s">
        <v>900</v>
      </c>
      <c r="HK465" t="s">
        <v>922</v>
      </c>
      <c r="HL465" t="s">
        <v>1476</v>
      </c>
      <c r="HM465" t="s">
        <v>854</v>
      </c>
      <c r="HN465">
        <v>36805</v>
      </c>
      <c r="HO465">
        <v>1</v>
      </c>
      <c r="HP465" t="s">
        <v>226</v>
      </c>
      <c r="HQ465" t="s">
        <v>896</v>
      </c>
      <c r="HR465" t="s">
        <v>896</v>
      </c>
      <c r="HS465" t="s">
        <v>896</v>
      </c>
    </row>
    <row r="466" spans="1:227" x14ac:dyDescent="0.2">
      <c r="A466">
        <v>8702</v>
      </c>
      <c r="B466">
        <v>7533106486</v>
      </c>
      <c r="C466" t="s">
        <v>829</v>
      </c>
      <c r="D466" t="s">
        <v>830</v>
      </c>
      <c r="E466" t="s">
        <v>897</v>
      </c>
      <c r="F466">
        <v>3</v>
      </c>
      <c r="G466" t="s">
        <v>9624</v>
      </c>
      <c r="H466" t="s">
        <v>9624</v>
      </c>
      <c r="I466">
        <v>0</v>
      </c>
      <c r="J466" t="s">
        <v>833</v>
      </c>
      <c r="K466" t="s">
        <v>834</v>
      </c>
      <c r="L466">
        <v>153524578</v>
      </c>
      <c r="M466" t="s">
        <v>6516</v>
      </c>
      <c r="N466" t="s">
        <v>900</v>
      </c>
      <c r="O466" t="s">
        <v>837</v>
      </c>
      <c r="P466" t="s">
        <v>838</v>
      </c>
      <c r="Q466" t="s">
        <v>839</v>
      </c>
      <c r="R466" t="s">
        <v>9625</v>
      </c>
      <c r="S466" t="s">
        <v>9626</v>
      </c>
      <c r="T466">
        <v>41477061387</v>
      </c>
      <c r="V466" t="s">
        <v>1282</v>
      </c>
      <c r="W466" s="41">
        <v>45989</v>
      </c>
      <c r="X466" t="s">
        <v>9627</v>
      </c>
      <c r="Y466" t="s">
        <v>9628</v>
      </c>
      <c r="AA466">
        <v>0</v>
      </c>
      <c r="AB466" t="s">
        <v>845</v>
      </c>
      <c r="AC466" t="s">
        <v>846</v>
      </c>
      <c r="AD466" t="s">
        <v>847</v>
      </c>
      <c r="AE466" t="s">
        <v>848</v>
      </c>
      <c r="AF466">
        <v>1</v>
      </c>
      <c r="AG466">
        <v>452210</v>
      </c>
      <c r="AH466" t="s">
        <v>849</v>
      </c>
      <c r="AI466" t="s">
        <v>850</v>
      </c>
      <c r="AJ466" t="s">
        <v>851</v>
      </c>
      <c r="AK466" t="s">
        <v>458</v>
      </c>
      <c r="AL466" t="s">
        <v>9629</v>
      </c>
      <c r="AM466" t="s">
        <v>1286</v>
      </c>
      <c r="AN466" t="s">
        <v>854</v>
      </c>
      <c r="AO466">
        <v>36805</v>
      </c>
      <c r="AP466">
        <v>497</v>
      </c>
      <c r="AQ466" t="s">
        <v>855</v>
      </c>
      <c r="AR466">
        <v>66221822</v>
      </c>
      <c r="AS466" t="s">
        <v>856</v>
      </c>
      <c r="AU466" t="s">
        <v>9630</v>
      </c>
      <c r="AV466" t="s">
        <v>9631</v>
      </c>
      <c r="AX466" t="s">
        <v>913</v>
      </c>
      <c r="AY466" t="s">
        <v>861</v>
      </c>
      <c r="AZ466" t="s">
        <v>458</v>
      </c>
      <c r="BA466" t="s">
        <v>459</v>
      </c>
      <c r="BB466">
        <v>1</v>
      </c>
      <c r="BC466">
        <v>0</v>
      </c>
      <c r="BD466">
        <v>0</v>
      </c>
      <c r="BE466" t="s">
        <v>6516</v>
      </c>
      <c r="BF466">
        <v>0</v>
      </c>
      <c r="BG466">
        <v>0</v>
      </c>
      <c r="BH466" t="s">
        <v>862</v>
      </c>
      <c r="BI466">
        <v>0</v>
      </c>
      <c r="BJ466" t="s">
        <v>862</v>
      </c>
      <c r="BK466">
        <v>1</v>
      </c>
      <c r="BL466">
        <v>1</v>
      </c>
      <c r="BM466">
        <v>0</v>
      </c>
      <c r="BN466" t="s">
        <v>596</v>
      </c>
      <c r="BO466">
        <v>153524578</v>
      </c>
      <c r="BP466" t="s">
        <v>9624</v>
      </c>
      <c r="BQ466">
        <v>40.330122500000002</v>
      </c>
      <c r="BR466">
        <v>42791323</v>
      </c>
      <c r="BS466">
        <v>-79.944171800000007</v>
      </c>
      <c r="BT466">
        <v>0</v>
      </c>
      <c r="CM466">
        <v>4010</v>
      </c>
      <c r="CO466">
        <v>7360</v>
      </c>
      <c r="CP466">
        <v>3.0667</v>
      </c>
      <c r="CQ466">
        <v>3.0667</v>
      </c>
      <c r="CR466">
        <v>1.1000000000000001</v>
      </c>
      <c r="CS466">
        <v>26</v>
      </c>
      <c r="CT466" t="s">
        <v>9632</v>
      </c>
      <c r="CU466" t="s">
        <v>9633</v>
      </c>
      <c r="CV466" t="s">
        <v>833</v>
      </c>
      <c r="CW466" t="s">
        <v>834</v>
      </c>
      <c r="CX466" t="s">
        <v>6516</v>
      </c>
      <c r="CY466">
        <v>1</v>
      </c>
      <c r="CZ466">
        <v>1</v>
      </c>
      <c r="DA466" t="s">
        <v>833</v>
      </c>
      <c r="DB466" t="s">
        <v>865</v>
      </c>
      <c r="DC466">
        <v>15236</v>
      </c>
      <c r="DD466">
        <v>11.65</v>
      </c>
      <c r="DE466" t="s">
        <v>866</v>
      </c>
      <c r="DG466" t="s">
        <v>867</v>
      </c>
      <c r="DH466" t="s">
        <v>851</v>
      </c>
      <c r="DI466" t="s">
        <v>1266</v>
      </c>
      <c r="DL466" t="s">
        <v>869</v>
      </c>
      <c r="DM466">
        <v>0</v>
      </c>
      <c r="DN466">
        <v>0</v>
      </c>
      <c r="DO466">
        <v>11</v>
      </c>
      <c r="DP466" t="s">
        <v>1010</v>
      </c>
      <c r="DQ466">
        <v>16</v>
      </c>
      <c r="DR466">
        <v>699</v>
      </c>
      <c r="DS466">
        <v>1419</v>
      </c>
      <c r="DT466">
        <v>8.5832999999999995</v>
      </c>
      <c r="DU466">
        <v>4</v>
      </c>
      <c r="DW466">
        <v>2</v>
      </c>
      <c r="DX466" t="s">
        <v>596</v>
      </c>
      <c r="DY466" t="s">
        <v>6516</v>
      </c>
      <c r="DZ466">
        <v>1</v>
      </c>
      <c r="EA466">
        <v>1</v>
      </c>
      <c r="EB466">
        <v>1</v>
      </c>
      <c r="EC466">
        <v>0</v>
      </c>
      <c r="ED466">
        <v>0</v>
      </c>
      <c r="EE466">
        <v>1</v>
      </c>
      <c r="EF466" t="s">
        <v>920</v>
      </c>
      <c r="EG466" t="s">
        <v>595</v>
      </c>
      <c r="EH466" t="s">
        <v>921</v>
      </c>
      <c r="EI466" t="s">
        <v>921</v>
      </c>
      <c r="EJ466" t="s">
        <v>124</v>
      </c>
      <c r="EK466">
        <v>9090</v>
      </c>
      <c r="EL466">
        <v>0</v>
      </c>
      <c r="EM466" t="s">
        <v>923</v>
      </c>
      <c r="EN466">
        <v>1.1000000000000001</v>
      </c>
      <c r="EO466">
        <v>23.65</v>
      </c>
      <c r="EP466">
        <v>99991120</v>
      </c>
      <c r="EQ466" t="s">
        <v>874</v>
      </c>
      <c r="ER466" t="s">
        <v>875</v>
      </c>
      <c r="ES466" t="s">
        <v>876</v>
      </c>
      <c r="ET466" t="s">
        <v>877</v>
      </c>
      <c r="EU466" t="s">
        <v>877</v>
      </c>
      <c r="EV466" t="s">
        <v>920</v>
      </c>
      <c r="EX466" t="s">
        <v>953</v>
      </c>
      <c r="EY466" t="s">
        <v>1292</v>
      </c>
      <c r="EZ466" t="s">
        <v>1293</v>
      </c>
      <c r="FA466" t="s">
        <v>925</v>
      </c>
      <c r="FB466">
        <v>1</v>
      </c>
      <c r="FC466">
        <v>1</v>
      </c>
      <c r="FD466" s="41">
        <v>45990</v>
      </c>
      <c r="FE466" t="s">
        <v>1438</v>
      </c>
      <c r="FF466">
        <v>10</v>
      </c>
      <c r="FG466" t="s">
        <v>9634</v>
      </c>
      <c r="FH466" t="s">
        <v>9635</v>
      </c>
      <c r="FI466">
        <v>1</v>
      </c>
      <c r="FJ466" t="s">
        <v>9636</v>
      </c>
      <c r="FK466" t="s">
        <v>9635</v>
      </c>
      <c r="FL466">
        <v>1</v>
      </c>
      <c r="FM466" t="s">
        <v>9637</v>
      </c>
      <c r="FN466" t="s">
        <v>9638</v>
      </c>
      <c r="FO466">
        <v>1</v>
      </c>
      <c r="FP466" t="s">
        <v>9639</v>
      </c>
      <c r="FQ466" t="s">
        <v>9633</v>
      </c>
      <c r="FR466">
        <v>1</v>
      </c>
      <c r="FS466" t="s">
        <v>4406</v>
      </c>
      <c r="FT466" t="s">
        <v>9640</v>
      </c>
      <c r="FU466">
        <v>1</v>
      </c>
      <c r="FV466" t="s">
        <v>6815</v>
      </c>
      <c r="FW466" t="s">
        <v>9641</v>
      </c>
      <c r="FX466">
        <v>1</v>
      </c>
      <c r="FY466" t="s">
        <v>890</v>
      </c>
      <c r="FZ466" t="s">
        <v>9642</v>
      </c>
      <c r="GA466" t="s">
        <v>9636</v>
      </c>
      <c r="GB466">
        <v>1</v>
      </c>
      <c r="GD466">
        <v>0</v>
      </c>
      <c r="GF466">
        <v>0</v>
      </c>
      <c r="GG466">
        <v>1</v>
      </c>
      <c r="GH466" t="s">
        <v>892</v>
      </c>
      <c r="GI466" t="s">
        <v>893</v>
      </c>
      <c r="GJ466" t="s">
        <v>9635</v>
      </c>
      <c r="GM466">
        <v>1</v>
      </c>
      <c r="GN466">
        <v>1</v>
      </c>
      <c r="GO466">
        <v>0</v>
      </c>
      <c r="GP466">
        <v>1</v>
      </c>
      <c r="GQ466">
        <v>1</v>
      </c>
      <c r="GR466">
        <v>0</v>
      </c>
      <c r="GS466">
        <v>1</v>
      </c>
      <c r="GT466">
        <v>0</v>
      </c>
      <c r="GU466">
        <v>1</v>
      </c>
      <c r="GV466">
        <v>0</v>
      </c>
      <c r="GW466">
        <v>1</v>
      </c>
      <c r="GX466">
        <v>0</v>
      </c>
      <c r="GY466">
        <v>1</v>
      </c>
      <c r="GZ466">
        <v>0</v>
      </c>
      <c r="HA466" t="s">
        <v>458</v>
      </c>
      <c r="HB466" t="s">
        <v>894</v>
      </c>
      <c r="HC466" t="s">
        <v>935</v>
      </c>
      <c r="HD466" t="s">
        <v>845</v>
      </c>
      <c r="HE466" t="s">
        <v>900</v>
      </c>
      <c r="HF466" t="s">
        <v>923</v>
      </c>
      <c r="HG466" t="s">
        <v>894</v>
      </c>
      <c r="HH466" t="s">
        <v>935</v>
      </c>
      <c r="HI466" t="s">
        <v>845</v>
      </c>
      <c r="HJ466" t="s">
        <v>900</v>
      </c>
      <c r="HK466" t="s">
        <v>923</v>
      </c>
      <c r="HL466" t="s">
        <v>1282</v>
      </c>
      <c r="HM466" t="s">
        <v>854</v>
      </c>
      <c r="HN466">
        <v>36805</v>
      </c>
      <c r="HP466" t="s">
        <v>124</v>
      </c>
      <c r="HQ466" t="s">
        <v>896</v>
      </c>
      <c r="HR466" t="s">
        <v>896</v>
      </c>
      <c r="HS466" t="s">
        <v>896</v>
      </c>
    </row>
    <row r="467" spans="1:227" x14ac:dyDescent="0.2">
      <c r="A467">
        <v>8702</v>
      </c>
      <c r="B467">
        <v>7611909710</v>
      </c>
      <c r="C467" t="s">
        <v>829</v>
      </c>
      <c r="D467" t="s">
        <v>830</v>
      </c>
      <c r="E467" t="s">
        <v>897</v>
      </c>
      <c r="F467">
        <v>0</v>
      </c>
      <c r="G467" t="s">
        <v>9643</v>
      </c>
      <c r="H467" t="s">
        <v>9643</v>
      </c>
      <c r="I467">
        <v>0</v>
      </c>
      <c r="J467" t="s">
        <v>833</v>
      </c>
      <c r="K467" t="s">
        <v>834</v>
      </c>
      <c r="L467">
        <v>153195494</v>
      </c>
      <c r="M467" t="s">
        <v>3396</v>
      </c>
      <c r="N467" t="s">
        <v>900</v>
      </c>
      <c r="O467" t="s">
        <v>837</v>
      </c>
      <c r="P467" t="s">
        <v>838</v>
      </c>
      <c r="Q467" t="s">
        <v>1279</v>
      </c>
      <c r="R467" t="s">
        <v>9644</v>
      </c>
      <c r="S467" t="s">
        <v>9645</v>
      </c>
      <c r="T467">
        <v>41477123092</v>
      </c>
      <c r="V467" t="s">
        <v>232</v>
      </c>
      <c r="W467" s="41">
        <v>46144</v>
      </c>
      <c r="X467" t="s">
        <v>9646</v>
      </c>
      <c r="Y467" t="s">
        <v>9647</v>
      </c>
      <c r="Z467" t="s">
        <v>1112</v>
      </c>
      <c r="AA467">
        <v>0</v>
      </c>
      <c r="AB467" t="s">
        <v>845</v>
      </c>
      <c r="AC467" t="s">
        <v>846</v>
      </c>
      <c r="AD467" t="s">
        <v>1113</v>
      </c>
      <c r="AE467" t="s">
        <v>1114</v>
      </c>
      <c r="AF467">
        <v>1</v>
      </c>
      <c r="AG467">
        <v>452210</v>
      </c>
      <c r="AH467" t="s">
        <v>849</v>
      </c>
      <c r="AI467" t="s">
        <v>850</v>
      </c>
      <c r="AJ467" t="s">
        <v>851</v>
      </c>
      <c r="AK467" t="s">
        <v>474</v>
      </c>
      <c r="AL467" t="s">
        <v>9648</v>
      </c>
      <c r="AM467" t="s">
        <v>3403</v>
      </c>
      <c r="AN467" t="s">
        <v>854</v>
      </c>
      <c r="AO467">
        <v>36805</v>
      </c>
      <c r="AP467">
        <v>923</v>
      </c>
      <c r="AQ467" t="s">
        <v>855</v>
      </c>
      <c r="AR467">
        <v>66445434</v>
      </c>
      <c r="AS467" t="s">
        <v>856</v>
      </c>
      <c r="AU467" t="s">
        <v>9649</v>
      </c>
      <c r="AV467" t="s">
        <v>9650</v>
      </c>
      <c r="AX467" t="s">
        <v>913</v>
      </c>
      <c r="AY467" t="s">
        <v>861</v>
      </c>
      <c r="AZ467" t="s">
        <v>474</v>
      </c>
      <c r="BA467" t="s">
        <v>475</v>
      </c>
      <c r="BB467">
        <v>0</v>
      </c>
      <c r="BC467">
        <v>0</v>
      </c>
      <c r="BD467">
        <v>0</v>
      </c>
      <c r="BE467" t="s">
        <v>3396</v>
      </c>
      <c r="BF467">
        <v>0</v>
      </c>
      <c r="BG467">
        <v>0</v>
      </c>
      <c r="BH467" t="s">
        <v>862</v>
      </c>
      <c r="BI467">
        <v>0</v>
      </c>
      <c r="BJ467" t="s">
        <v>862</v>
      </c>
      <c r="BK467">
        <v>1</v>
      </c>
      <c r="BL467">
        <v>1</v>
      </c>
      <c r="BM467">
        <v>0</v>
      </c>
      <c r="BN467" t="s">
        <v>596</v>
      </c>
      <c r="BO467">
        <v>153195494</v>
      </c>
      <c r="BP467" t="s">
        <v>9643</v>
      </c>
      <c r="BR467">
        <v>42793647</v>
      </c>
      <c r="BT467">
        <v>1</v>
      </c>
      <c r="BU467" t="s">
        <v>1803</v>
      </c>
      <c r="BY467">
        <v>16</v>
      </c>
      <c r="CA467">
        <v>44</v>
      </c>
      <c r="CI467">
        <v>11</v>
      </c>
      <c r="CJ467" t="s">
        <v>94</v>
      </c>
      <c r="CM467">
        <v>4010</v>
      </c>
      <c r="CO467">
        <v>7360</v>
      </c>
      <c r="CP467">
        <v>0.36670000000000003</v>
      </c>
      <c r="CQ467">
        <v>0.36670000000000003</v>
      </c>
      <c r="CR467">
        <v>0.35</v>
      </c>
      <c r="CS467">
        <v>10</v>
      </c>
      <c r="CT467" t="s">
        <v>9650</v>
      </c>
      <c r="CU467" t="s">
        <v>9649</v>
      </c>
      <c r="CV467" t="s">
        <v>833</v>
      </c>
      <c r="CW467" t="s">
        <v>834</v>
      </c>
      <c r="CX467" t="s">
        <v>3396</v>
      </c>
      <c r="CY467">
        <v>0</v>
      </c>
      <c r="CZ467">
        <v>0</v>
      </c>
      <c r="DA467" t="s">
        <v>833</v>
      </c>
      <c r="DB467" t="s">
        <v>865</v>
      </c>
      <c r="DC467">
        <v>43085</v>
      </c>
      <c r="DD467">
        <v>44.283299999999997</v>
      </c>
      <c r="DE467" t="s">
        <v>866</v>
      </c>
      <c r="DG467" t="s">
        <v>867</v>
      </c>
      <c r="DH467" t="s">
        <v>851</v>
      </c>
      <c r="DI467" t="s">
        <v>3407</v>
      </c>
      <c r="DK467" t="s">
        <v>918</v>
      </c>
      <c r="DL467" t="s">
        <v>869</v>
      </c>
      <c r="DM467">
        <v>0</v>
      </c>
      <c r="DN467">
        <v>0</v>
      </c>
      <c r="DO467">
        <v>3</v>
      </c>
      <c r="DP467" t="s">
        <v>919</v>
      </c>
      <c r="DQ467">
        <v>0</v>
      </c>
      <c r="DR467">
        <v>2657</v>
      </c>
      <c r="DS467">
        <v>5534</v>
      </c>
      <c r="DT467">
        <v>43.916699999999999</v>
      </c>
      <c r="DU467">
        <v>0</v>
      </c>
      <c r="DV467">
        <v>1</v>
      </c>
      <c r="DW467">
        <v>2</v>
      </c>
      <c r="DX467" t="s">
        <v>596</v>
      </c>
      <c r="DY467" t="s">
        <v>3396</v>
      </c>
      <c r="DZ467">
        <v>1</v>
      </c>
      <c r="EA467">
        <v>1</v>
      </c>
      <c r="EB467">
        <v>1</v>
      </c>
      <c r="EC467">
        <v>1</v>
      </c>
      <c r="ED467">
        <v>1</v>
      </c>
      <c r="EE467">
        <v>1</v>
      </c>
      <c r="EF467" t="s">
        <v>1526</v>
      </c>
      <c r="EG467" t="s">
        <v>595</v>
      </c>
      <c r="EH467" t="s">
        <v>921</v>
      </c>
      <c r="EI467" t="s">
        <v>921</v>
      </c>
      <c r="EJ467" t="s">
        <v>226</v>
      </c>
      <c r="EK467">
        <v>9090</v>
      </c>
      <c r="EL467">
        <v>0</v>
      </c>
      <c r="EM467" t="s">
        <v>1157</v>
      </c>
      <c r="EN467">
        <v>0.35</v>
      </c>
      <c r="EO467">
        <v>92.233333299999998</v>
      </c>
      <c r="EP467">
        <v>99991120</v>
      </c>
      <c r="EQ467" t="s">
        <v>874</v>
      </c>
      <c r="ER467" t="s">
        <v>875</v>
      </c>
      <c r="ES467" t="s">
        <v>876</v>
      </c>
      <c r="ET467" t="s">
        <v>877</v>
      </c>
      <c r="EU467" t="s">
        <v>877</v>
      </c>
      <c r="EV467" t="s">
        <v>1526</v>
      </c>
      <c r="EX467" t="s">
        <v>953</v>
      </c>
      <c r="EY467" t="s">
        <v>986</v>
      </c>
      <c r="EZ467" t="s">
        <v>1158</v>
      </c>
      <c r="FA467" t="s">
        <v>925</v>
      </c>
      <c r="FB467">
        <v>1</v>
      </c>
      <c r="FC467">
        <v>1</v>
      </c>
      <c r="FD467" s="41">
        <v>46144</v>
      </c>
      <c r="FE467" t="s">
        <v>1808</v>
      </c>
      <c r="FF467">
        <v>11</v>
      </c>
      <c r="FG467" t="s">
        <v>9651</v>
      </c>
      <c r="FH467" t="s">
        <v>9652</v>
      </c>
      <c r="FI467">
        <v>1</v>
      </c>
      <c r="FJ467" t="s">
        <v>9653</v>
      </c>
      <c r="FK467" t="s">
        <v>9652</v>
      </c>
      <c r="FL467">
        <v>1</v>
      </c>
      <c r="FM467" t="s">
        <v>3412</v>
      </c>
      <c r="FN467" t="s">
        <v>9654</v>
      </c>
      <c r="FO467">
        <v>1</v>
      </c>
      <c r="FP467" t="s">
        <v>9655</v>
      </c>
      <c r="FQ467" t="s">
        <v>9649</v>
      </c>
      <c r="FR467">
        <v>1</v>
      </c>
      <c r="FS467" t="s">
        <v>9656</v>
      </c>
      <c r="FT467" t="s">
        <v>9657</v>
      </c>
      <c r="FU467">
        <v>1</v>
      </c>
      <c r="FV467" t="s">
        <v>9658</v>
      </c>
      <c r="FW467" t="s">
        <v>9659</v>
      </c>
      <c r="FX467">
        <v>1</v>
      </c>
      <c r="FY467" t="s">
        <v>890</v>
      </c>
      <c r="FZ467" t="s">
        <v>9660</v>
      </c>
      <c r="GA467" t="s">
        <v>9653</v>
      </c>
      <c r="GB467">
        <v>1</v>
      </c>
      <c r="GD467">
        <v>0</v>
      </c>
      <c r="GF467">
        <v>0</v>
      </c>
      <c r="GG467">
        <v>1</v>
      </c>
      <c r="GH467" t="s">
        <v>892</v>
      </c>
      <c r="GI467" t="s">
        <v>893</v>
      </c>
      <c r="GJ467" t="s">
        <v>9652</v>
      </c>
      <c r="GM467">
        <v>1</v>
      </c>
      <c r="GN467">
        <v>1</v>
      </c>
      <c r="GO467">
        <v>0</v>
      </c>
      <c r="GP467">
        <v>1</v>
      </c>
      <c r="GQ467">
        <v>1</v>
      </c>
      <c r="GR467">
        <v>0</v>
      </c>
      <c r="GS467">
        <v>1</v>
      </c>
      <c r="GT467">
        <v>0</v>
      </c>
      <c r="GU467">
        <v>1</v>
      </c>
      <c r="GV467">
        <v>0</v>
      </c>
      <c r="GW467">
        <v>1</v>
      </c>
      <c r="GX467">
        <v>0</v>
      </c>
      <c r="GY467">
        <v>1</v>
      </c>
      <c r="GZ467">
        <v>0</v>
      </c>
      <c r="HA467" t="s">
        <v>474</v>
      </c>
      <c r="HB467" t="s">
        <v>894</v>
      </c>
      <c r="HC467" t="s">
        <v>935</v>
      </c>
      <c r="HD467" t="s">
        <v>845</v>
      </c>
      <c r="HE467" t="s">
        <v>900</v>
      </c>
      <c r="HF467" t="s">
        <v>923</v>
      </c>
      <c r="HG467" t="s">
        <v>894</v>
      </c>
      <c r="HH467" t="s">
        <v>935</v>
      </c>
      <c r="HI467" t="s">
        <v>845</v>
      </c>
      <c r="HJ467" t="s">
        <v>900</v>
      </c>
      <c r="HK467" t="s">
        <v>922</v>
      </c>
      <c r="HL467" t="s">
        <v>232</v>
      </c>
      <c r="HM467" t="s">
        <v>854</v>
      </c>
      <c r="HN467">
        <v>36805</v>
      </c>
      <c r="HO467">
        <v>1</v>
      </c>
      <c r="HP467" t="s">
        <v>226</v>
      </c>
      <c r="HQ467" t="s">
        <v>896</v>
      </c>
      <c r="HR467" t="s">
        <v>896</v>
      </c>
      <c r="HS467" t="s">
        <v>896</v>
      </c>
    </row>
    <row r="468" spans="1:227" x14ac:dyDescent="0.2">
      <c r="A468">
        <v>8702</v>
      </c>
      <c r="B468">
        <v>7526410598</v>
      </c>
      <c r="C468" t="s">
        <v>936</v>
      </c>
      <c r="D468" t="s">
        <v>937</v>
      </c>
      <c r="E468" t="s">
        <v>831</v>
      </c>
      <c r="F468">
        <v>0</v>
      </c>
      <c r="G468" t="s">
        <v>9661</v>
      </c>
      <c r="H468" t="s">
        <v>9661</v>
      </c>
      <c r="I468">
        <v>0</v>
      </c>
      <c r="J468" t="s">
        <v>833</v>
      </c>
      <c r="K468" t="s">
        <v>834</v>
      </c>
      <c r="L468">
        <v>156046177</v>
      </c>
      <c r="M468" t="s">
        <v>1729</v>
      </c>
      <c r="N468" t="s">
        <v>836</v>
      </c>
      <c r="O468" t="s">
        <v>837</v>
      </c>
      <c r="P468" t="s">
        <v>940</v>
      </c>
      <c r="Q468" t="s">
        <v>1080</v>
      </c>
      <c r="R468" t="s">
        <v>9662</v>
      </c>
      <c r="S468" t="s">
        <v>9663</v>
      </c>
      <c r="T468">
        <v>41477047363</v>
      </c>
      <c r="V468" t="s">
        <v>1732</v>
      </c>
      <c r="W468" s="41">
        <v>45921</v>
      </c>
      <c r="X468" t="s">
        <v>9664</v>
      </c>
      <c r="Y468" t="s">
        <v>9665</v>
      </c>
      <c r="AA468">
        <v>0</v>
      </c>
      <c r="AB468" t="s">
        <v>845</v>
      </c>
      <c r="AC468" t="s">
        <v>846</v>
      </c>
      <c r="AD468" t="s">
        <v>847</v>
      </c>
      <c r="AE468" t="s">
        <v>848</v>
      </c>
      <c r="AF468">
        <v>1</v>
      </c>
      <c r="AG468">
        <v>452210</v>
      </c>
      <c r="AH468" t="s">
        <v>849</v>
      </c>
      <c r="AI468" t="s">
        <v>850</v>
      </c>
      <c r="AJ468" t="s">
        <v>851</v>
      </c>
      <c r="AK468" t="s">
        <v>261</v>
      </c>
      <c r="AL468" t="s">
        <v>1363</v>
      </c>
      <c r="AM468" t="s">
        <v>1736</v>
      </c>
      <c r="AN468" t="s">
        <v>854</v>
      </c>
      <c r="AO468">
        <v>36805</v>
      </c>
      <c r="AP468">
        <v>494</v>
      </c>
      <c r="AQ468" t="s">
        <v>855</v>
      </c>
      <c r="AR468">
        <v>66124408</v>
      </c>
      <c r="AS468" t="s">
        <v>856</v>
      </c>
      <c r="AU468" t="s">
        <v>9666</v>
      </c>
      <c r="AV468" t="s">
        <v>9667</v>
      </c>
      <c r="AW468" t="s">
        <v>859</v>
      </c>
      <c r="AX468" t="s">
        <v>860</v>
      </c>
      <c r="AY468" t="s">
        <v>861</v>
      </c>
      <c r="AZ468" t="s">
        <v>261</v>
      </c>
      <c r="BA468" t="s">
        <v>262</v>
      </c>
      <c r="BB468">
        <v>0</v>
      </c>
      <c r="BC468">
        <v>0</v>
      </c>
      <c r="BD468">
        <v>0</v>
      </c>
      <c r="BE468" t="s">
        <v>1729</v>
      </c>
      <c r="BF468">
        <v>0</v>
      </c>
      <c r="BG468">
        <v>0</v>
      </c>
      <c r="BH468" t="s">
        <v>862</v>
      </c>
      <c r="BI468">
        <v>0</v>
      </c>
      <c r="BJ468" t="s">
        <v>862</v>
      </c>
      <c r="BK468">
        <v>1</v>
      </c>
      <c r="BL468">
        <v>0</v>
      </c>
      <c r="BM468">
        <v>0</v>
      </c>
      <c r="BN468" t="s">
        <v>596</v>
      </c>
      <c r="BO468">
        <v>156046177</v>
      </c>
      <c r="BP468" t="s">
        <v>9661</v>
      </c>
      <c r="BR468">
        <v>42789059</v>
      </c>
      <c r="BT468">
        <v>0</v>
      </c>
      <c r="CM468">
        <v>4010</v>
      </c>
      <c r="CO468">
        <v>7360</v>
      </c>
      <c r="CP468">
        <v>0.65</v>
      </c>
      <c r="CQ468">
        <v>0.65</v>
      </c>
      <c r="CR468">
        <v>0.4</v>
      </c>
      <c r="CS468">
        <v>7</v>
      </c>
      <c r="CT468" t="s">
        <v>9667</v>
      </c>
      <c r="CU468" t="s">
        <v>9666</v>
      </c>
      <c r="CV468" t="s">
        <v>833</v>
      </c>
      <c r="CW468" t="s">
        <v>834</v>
      </c>
      <c r="CX468" t="s">
        <v>1729</v>
      </c>
      <c r="CY468">
        <v>0</v>
      </c>
      <c r="CZ468">
        <v>0</v>
      </c>
      <c r="DA468" t="s">
        <v>833</v>
      </c>
      <c r="DB468" t="s">
        <v>865</v>
      </c>
      <c r="DC468">
        <v>63123</v>
      </c>
      <c r="DD468">
        <v>4.8833000000000002</v>
      </c>
      <c r="DE468" t="s">
        <v>866</v>
      </c>
      <c r="DG468" t="s">
        <v>867</v>
      </c>
      <c r="DH468" t="s">
        <v>851</v>
      </c>
      <c r="DI468" t="s">
        <v>984</v>
      </c>
      <c r="DL468" t="s">
        <v>869</v>
      </c>
      <c r="DM468">
        <v>0</v>
      </c>
      <c r="DN468">
        <v>0</v>
      </c>
      <c r="DO468">
        <v>53</v>
      </c>
      <c r="DP468" t="s">
        <v>1156</v>
      </c>
      <c r="DQ468">
        <v>16</v>
      </c>
      <c r="DR468">
        <v>293</v>
      </c>
      <c r="DS468">
        <v>293</v>
      </c>
      <c r="DT468">
        <v>4.2332999999999998</v>
      </c>
      <c r="DU468">
        <v>4</v>
      </c>
      <c r="DW468">
        <v>2</v>
      </c>
      <c r="DX468" t="s">
        <v>594</v>
      </c>
      <c r="DY468" t="s">
        <v>1729</v>
      </c>
      <c r="DZ468">
        <v>0</v>
      </c>
      <c r="EA468">
        <v>0</v>
      </c>
      <c r="EB468">
        <v>0</v>
      </c>
      <c r="EC468">
        <v>0</v>
      </c>
      <c r="ED468">
        <v>0</v>
      </c>
      <c r="EE468">
        <v>0</v>
      </c>
      <c r="EF468" t="s">
        <v>920</v>
      </c>
      <c r="EG468" t="s">
        <v>595</v>
      </c>
      <c r="EH468" t="s">
        <v>872</v>
      </c>
      <c r="EI468" t="s">
        <v>872</v>
      </c>
      <c r="EJ468" t="s">
        <v>111</v>
      </c>
      <c r="EK468">
        <v>9090</v>
      </c>
      <c r="EL468">
        <v>0</v>
      </c>
      <c r="EM468" t="s">
        <v>1037</v>
      </c>
      <c r="EN468">
        <v>0.4</v>
      </c>
      <c r="EO468">
        <v>4.8833333000000003</v>
      </c>
      <c r="EP468">
        <v>99991120</v>
      </c>
      <c r="EQ468" t="s">
        <v>874</v>
      </c>
      <c r="ER468" t="s">
        <v>875</v>
      </c>
      <c r="ES468" t="s">
        <v>876</v>
      </c>
      <c r="ET468" t="s">
        <v>877</v>
      </c>
      <c r="EU468" t="s">
        <v>877</v>
      </c>
      <c r="EV468" t="s">
        <v>920</v>
      </c>
      <c r="EX468" t="s">
        <v>900</v>
      </c>
      <c r="EY468" t="s">
        <v>923</v>
      </c>
      <c r="EZ468" t="s">
        <v>1038</v>
      </c>
      <c r="FA468" t="s">
        <v>925</v>
      </c>
      <c r="FB468">
        <v>1</v>
      </c>
      <c r="FC468">
        <v>1</v>
      </c>
      <c r="FD468" s="41">
        <v>45927</v>
      </c>
      <c r="FE468" t="s">
        <v>880</v>
      </c>
      <c r="FF468">
        <v>5</v>
      </c>
      <c r="FI468">
        <v>0</v>
      </c>
      <c r="FJ468" t="s">
        <v>9668</v>
      </c>
      <c r="FK468" t="s">
        <v>9669</v>
      </c>
      <c r="FL468">
        <v>1</v>
      </c>
      <c r="FM468" t="s">
        <v>1743</v>
      </c>
      <c r="FN468" t="s">
        <v>9670</v>
      </c>
      <c r="FO468">
        <v>1</v>
      </c>
      <c r="FP468" t="s">
        <v>9671</v>
      </c>
      <c r="FQ468" t="s">
        <v>9672</v>
      </c>
      <c r="FR468">
        <v>1</v>
      </c>
      <c r="FS468" t="s">
        <v>1376</v>
      </c>
      <c r="FT468" t="s">
        <v>9673</v>
      </c>
      <c r="FU468">
        <v>1</v>
      </c>
      <c r="FV468" t="s">
        <v>7657</v>
      </c>
      <c r="FW468" t="s">
        <v>9669</v>
      </c>
      <c r="FX468">
        <v>1</v>
      </c>
      <c r="FY468" t="s">
        <v>890</v>
      </c>
      <c r="FZ468" t="s">
        <v>9674</v>
      </c>
      <c r="GA468" t="s">
        <v>9668</v>
      </c>
      <c r="GB468">
        <v>1</v>
      </c>
      <c r="GD468">
        <v>0</v>
      </c>
      <c r="GF468">
        <v>0</v>
      </c>
      <c r="GG468">
        <v>1</v>
      </c>
      <c r="GH468" t="s">
        <v>892</v>
      </c>
      <c r="GI468" t="s">
        <v>893</v>
      </c>
      <c r="GJ468" t="s">
        <v>9669</v>
      </c>
      <c r="GM468">
        <v>1</v>
      </c>
      <c r="GN468">
        <v>1</v>
      </c>
      <c r="GO468">
        <v>0</v>
      </c>
      <c r="GP468">
        <v>1</v>
      </c>
      <c r="GQ468">
        <v>1</v>
      </c>
      <c r="GR468">
        <v>0</v>
      </c>
      <c r="GS468">
        <v>1</v>
      </c>
      <c r="GT468">
        <v>0</v>
      </c>
      <c r="GU468">
        <v>1</v>
      </c>
      <c r="GV468">
        <v>0</v>
      </c>
      <c r="GW468">
        <v>1</v>
      </c>
      <c r="GX468">
        <v>0</v>
      </c>
      <c r="GY468">
        <v>1</v>
      </c>
      <c r="GZ468">
        <v>0</v>
      </c>
      <c r="HA468" t="s">
        <v>261</v>
      </c>
      <c r="HB468" t="s">
        <v>894</v>
      </c>
      <c r="HC468" t="s">
        <v>895</v>
      </c>
      <c r="HD468" t="s">
        <v>845</v>
      </c>
      <c r="HE468" t="s">
        <v>836</v>
      </c>
      <c r="HF468" t="s">
        <v>1051</v>
      </c>
      <c r="HG468" t="s">
        <v>894</v>
      </c>
      <c r="HH468" t="s">
        <v>895</v>
      </c>
      <c r="HI468" t="s">
        <v>845</v>
      </c>
      <c r="HJ468" t="s">
        <v>836</v>
      </c>
      <c r="HK468" t="s">
        <v>1037</v>
      </c>
      <c r="HL468" t="s">
        <v>1732</v>
      </c>
      <c r="HM468" t="s">
        <v>854</v>
      </c>
      <c r="HN468">
        <v>36805</v>
      </c>
      <c r="HP468" t="s">
        <v>111</v>
      </c>
      <c r="HQ468" t="s">
        <v>896</v>
      </c>
      <c r="HR468" t="s">
        <v>896</v>
      </c>
      <c r="HS468" t="s">
        <v>896</v>
      </c>
    </row>
    <row r="469" spans="1:227" x14ac:dyDescent="0.2">
      <c r="A469">
        <v>8702</v>
      </c>
      <c r="B469">
        <v>7529606427</v>
      </c>
      <c r="C469" t="s">
        <v>829</v>
      </c>
      <c r="D469" t="s">
        <v>830</v>
      </c>
      <c r="E469" t="s">
        <v>897</v>
      </c>
      <c r="F469">
        <v>1</v>
      </c>
      <c r="G469" t="s">
        <v>9675</v>
      </c>
      <c r="H469" t="s">
        <v>9675</v>
      </c>
      <c r="I469">
        <v>0</v>
      </c>
      <c r="J469" t="s">
        <v>833</v>
      </c>
      <c r="K469" t="s">
        <v>834</v>
      </c>
      <c r="L469">
        <v>156057615</v>
      </c>
      <c r="M469" t="s">
        <v>3104</v>
      </c>
      <c r="N469" t="s">
        <v>900</v>
      </c>
      <c r="O469" t="s">
        <v>837</v>
      </c>
      <c r="P469" t="s">
        <v>838</v>
      </c>
      <c r="Q469" t="s">
        <v>1279</v>
      </c>
      <c r="R469" t="s">
        <v>9676</v>
      </c>
      <c r="S469" t="s">
        <v>9677</v>
      </c>
      <c r="T469">
        <v>41477056615</v>
      </c>
      <c r="V469" t="s">
        <v>3107</v>
      </c>
      <c r="W469" s="41">
        <v>45953</v>
      </c>
      <c r="X469" t="s">
        <v>9678</v>
      </c>
      <c r="Y469" t="s">
        <v>9679</v>
      </c>
      <c r="AA469">
        <v>0</v>
      </c>
      <c r="AB469" t="s">
        <v>845</v>
      </c>
      <c r="AC469" t="s">
        <v>846</v>
      </c>
      <c r="AD469" t="s">
        <v>847</v>
      </c>
      <c r="AE469" t="s">
        <v>848</v>
      </c>
      <c r="AF469">
        <v>1</v>
      </c>
      <c r="AG469">
        <v>452210</v>
      </c>
      <c r="AH469" t="s">
        <v>849</v>
      </c>
      <c r="AI469" t="s">
        <v>850</v>
      </c>
      <c r="AJ469" t="s">
        <v>851</v>
      </c>
      <c r="AK469" t="s">
        <v>275</v>
      </c>
      <c r="AL469" t="s">
        <v>3110</v>
      </c>
      <c r="AM469" t="s">
        <v>3111</v>
      </c>
      <c r="AN469" t="s">
        <v>854</v>
      </c>
      <c r="AO469">
        <v>36805</v>
      </c>
      <c r="AP469">
        <v>921</v>
      </c>
      <c r="AQ469" t="s">
        <v>855</v>
      </c>
      <c r="AR469">
        <v>66170272</v>
      </c>
      <c r="AS469" t="s">
        <v>856</v>
      </c>
      <c r="AU469" t="s">
        <v>9680</v>
      </c>
      <c r="AV469" t="s">
        <v>9681</v>
      </c>
      <c r="AX469" t="s">
        <v>913</v>
      </c>
      <c r="AY469" t="s">
        <v>861</v>
      </c>
      <c r="AZ469" t="s">
        <v>275</v>
      </c>
      <c r="BA469" t="s">
        <v>276</v>
      </c>
      <c r="BB469">
        <v>0</v>
      </c>
      <c r="BC469">
        <v>0</v>
      </c>
      <c r="BD469">
        <v>0</v>
      </c>
      <c r="BE469" t="s">
        <v>3104</v>
      </c>
      <c r="BF469">
        <v>0</v>
      </c>
      <c r="BG469">
        <v>0</v>
      </c>
      <c r="BH469" t="s">
        <v>862</v>
      </c>
      <c r="BI469">
        <v>0</v>
      </c>
      <c r="BJ469" t="s">
        <v>862</v>
      </c>
      <c r="BK469">
        <v>1</v>
      </c>
      <c r="BL469">
        <v>1</v>
      </c>
      <c r="BM469">
        <v>0</v>
      </c>
      <c r="BN469" t="s">
        <v>596</v>
      </c>
      <c r="BO469">
        <v>156057615</v>
      </c>
      <c r="BP469" t="s">
        <v>9675</v>
      </c>
      <c r="BR469">
        <v>42793646</v>
      </c>
      <c r="BT469">
        <v>0</v>
      </c>
      <c r="CM469">
        <v>4010</v>
      </c>
      <c r="CO469">
        <v>7360</v>
      </c>
      <c r="CP469">
        <v>1.3167</v>
      </c>
      <c r="CQ469">
        <v>1.3167</v>
      </c>
      <c r="CR469">
        <v>0.45</v>
      </c>
      <c r="CS469">
        <v>1</v>
      </c>
      <c r="CT469" t="s">
        <v>9681</v>
      </c>
      <c r="CU469" t="s">
        <v>9680</v>
      </c>
      <c r="CV469" t="s">
        <v>833</v>
      </c>
      <c r="CW469" t="s">
        <v>834</v>
      </c>
      <c r="CX469" t="s">
        <v>3104</v>
      </c>
      <c r="CY469">
        <v>0</v>
      </c>
      <c r="CZ469">
        <v>0</v>
      </c>
      <c r="DA469" t="s">
        <v>833</v>
      </c>
      <c r="DB469" t="s">
        <v>865</v>
      </c>
      <c r="DC469">
        <v>45249</v>
      </c>
      <c r="DD469">
        <v>5.7</v>
      </c>
      <c r="DE469" t="s">
        <v>866</v>
      </c>
      <c r="DG469" t="s">
        <v>867</v>
      </c>
      <c r="DH469" t="s">
        <v>851</v>
      </c>
      <c r="DJ469" t="s">
        <v>4987</v>
      </c>
      <c r="DL469" t="s">
        <v>869</v>
      </c>
      <c r="DM469">
        <v>0</v>
      </c>
      <c r="DN469">
        <v>0</v>
      </c>
      <c r="DO469">
        <v>12</v>
      </c>
      <c r="DP469" t="s">
        <v>1190</v>
      </c>
      <c r="DQ469">
        <v>16</v>
      </c>
      <c r="DR469">
        <v>342</v>
      </c>
      <c r="DS469">
        <v>342</v>
      </c>
      <c r="DT469">
        <v>4.3833000000000002</v>
      </c>
      <c r="DU469">
        <v>4</v>
      </c>
      <c r="DW469">
        <v>2</v>
      </c>
      <c r="DX469" t="s">
        <v>596</v>
      </c>
      <c r="DY469" t="s">
        <v>3104</v>
      </c>
      <c r="DZ469">
        <v>1</v>
      </c>
      <c r="EA469">
        <v>1</v>
      </c>
      <c r="EB469">
        <v>1</v>
      </c>
      <c r="EC469">
        <v>0</v>
      </c>
      <c r="ED469">
        <v>0</v>
      </c>
      <c r="EE469">
        <v>1</v>
      </c>
      <c r="EF469" t="s">
        <v>871</v>
      </c>
      <c r="EG469" t="s">
        <v>595</v>
      </c>
      <c r="EH469" t="s">
        <v>921</v>
      </c>
      <c r="EI469" t="s">
        <v>921</v>
      </c>
      <c r="EJ469" t="s">
        <v>226</v>
      </c>
      <c r="EK469">
        <v>9090</v>
      </c>
      <c r="EL469">
        <v>0</v>
      </c>
      <c r="EM469" t="s">
        <v>1157</v>
      </c>
      <c r="EN469">
        <v>0.45</v>
      </c>
      <c r="EO469">
        <v>5.7</v>
      </c>
      <c r="EP469">
        <v>99991120</v>
      </c>
      <c r="EQ469" t="s">
        <v>874</v>
      </c>
      <c r="ER469" t="s">
        <v>875</v>
      </c>
      <c r="ES469" t="s">
        <v>876</v>
      </c>
      <c r="ET469" t="s">
        <v>877</v>
      </c>
      <c r="EU469" t="s">
        <v>877</v>
      </c>
      <c r="EV469" t="s">
        <v>871</v>
      </c>
      <c r="EX469" t="s">
        <v>953</v>
      </c>
      <c r="EY469" t="s">
        <v>1555</v>
      </c>
      <c r="EZ469" t="s">
        <v>3116</v>
      </c>
      <c r="FA469" t="s">
        <v>925</v>
      </c>
      <c r="FB469">
        <v>1</v>
      </c>
      <c r="FC469">
        <v>1</v>
      </c>
      <c r="FD469" s="41">
        <v>45955</v>
      </c>
      <c r="FE469" t="s">
        <v>1039</v>
      </c>
      <c r="FF469">
        <v>4</v>
      </c>
      <c r="FI469">
        <v>0</v>
      </c>
      <c r="FL469">
        <v>0</v>
      </c>
      <c r="FM469" t="s">
        <v>3117</v>
      </c>
      <c r="FN469" t="s">
        <v>9682</v>
      </c>
      <c r="FO469">
        <v>1</v>
      </c>
      <c r="FP469" t="s">
        <v>2855</v>
      </c>
      <c r="FQ469" t="s">
        <v>9680</v>
      </c>
      <c r="FR469">
        <v>1</v>
      </c>
      <c r="FS469" t="s">
        <v>3120</v>
      </c>
      <c r="FT469" t="s">
        <v>9683</v>
      </c>
      <c r="FU469">
        <v>1</v>
      </c>
      <c r="FV469" t="s">
        <v>9684</v>
      </c>
      <c r="FW469" t="s">
        <v>9685</v>
      </c>
      <c r="FX469">
        <v>1</v>
      </c>
      <c r="FY469" t="s">
        <v>890</v>
      </c>
      <c r="FZ469" t="s">
        <v>9686</v>
      </c>
      <c r="GA469" t="s">
        <v>9684</v>
      </c>
      <c r="GB469">
        <v>1</v>
      </c>
      <c r="GD469">
        <v>0</v>
      </c>
      <c r="GF469">
        <v>0</v>
      </c>
      <c r="GG469">
        <v>1</v>
      </c>
      <c r="GH469" t="s">
        <v>892</v>
      </c>
      <c r="GI469" t="s">
        <v>893</v>
      </c>
      <c r="GJ469" t="s">
        <v>9685</v>
      </c>
      <c r="GM469">
        <v>1</v>
      </c>
      <c r="GN469">
        <v>1</v>
      </c>
      <c r="GO469">
        <v>0</v>
      </c>
      <c r="GP469">
        <v>1</v>
      </c>
      <c r="GQ469">
        <v>1</v>
      </c>
      <c r="GR469">
        <v>0</v>
      </c>
      <c r="GS469">
        <v>1</v>
      </c>
      <c r="GT469">
        <v>1</v>
      </c>
      <c r="GU469">
        <v>1</v>
      </c>
      <c r="GV469">
        <v>1</v>
      </c>
      <c r="GW469">
        <v>1</v>
      </c>
      <c r="GX469">
        <v>0</v>
      </c>
      <c r="GY469">
        <v>1</v>
      </c>
      <c r="GZ469">
        <v>0</v>
      </c>
      <c r="HA469" t="s">
        <v>275</v>
      </c>
      <c r="HB469" t="s">
        <v>894</v>
      </c>
      <c r="HC469" t="s">
        <v>935</v>
      </c>
      <c r="HD469" t="s">
        <v>845</v>
      </c>
      <c r="HE469" t="s">
        <v>900</v>
      </c>
      <c r="HF469" t="s">
        <v>923</v>
      </c>
      <c r="HG469" t="s">
        <v>894</v>
      </c>
      <c r="HH469" t="s">
        <v>935</v>
      </c>
      <c r="HI469" t="s">
        <v>845</v>
      </c>
      <c r="HJ469" t="s">
        <v>900</v>
      </c>
      <c r="HK469" t="s">
        <v>922</v>
      </c>
      <c r="HL469" t="s">
        <v>3107</v>
      </c>
      <c r="HM469" t="s">
        <v>854</v>
      </c>
      <c r="HN469">
        <v>36805</v>
      </c>
      <c r="HP469" t="s">
        <v>226</v>
      </c>
      <c r="HQ469" t="s">
        <v>896</v>
      </c>
      <c r="HR469" t="s">
        <v>896</v>
      </c>
      <c r="HS469" t="s">
        <v>896</v>
      </c>
    </row>
    <row r="470" spans="1:227" x14ac:dyDescent="0.2">
      <c r="A470">
        <v>8702</v>
      </c>
      <c r="B470">
        <v>7620603857</v>
      </c>
      <c r="C470">
        <v>34</v>
      </c>
      <c r="D470" t="s">
        <v>996</v>
      </c>
      <c r="E470" t="s">
        <v>897</v>
      </c>
      <c r="F470">
        <v>0</v>
      </c>
      <c r="G470" t="s">
        <v>9687</v>
      </c>
      <c r="H470" t="s">
        <v>9687</v>
      </c>
      <c r="I470">
        <v>0</v>
      </c>
      <c r="J470" t="s">
        <v>833</v>
      </c>
      <c r="K470" t="s">
        <v>834</v>
      </c>
      <c r="L470">
        <v>156057615</v>
      </c>
      <c r="M470" t="s">
        <v>3104</v>
      </c>
      <c r="N470" t="s">
        <v>900</v>
      </c>
      <c r="O470" t="s">
        <v>837</v>
      </c>
      <c r="P470" t="s">
        <v>999</v>
      </c>
      <c r="Q470" t="s">
        <v>2459</v>
      </c>
      <c r="R470" t="s">
        <v>9688</v>
      </c>
      <c r="S470" t="s">
        <v>9689</v>
      </c>
      <c r="T470">
        <v>41477092607</v>
      </c>
      <c r="V470" t="s">
        <v>3107</v>
      </c>
      <c r="W470" s="41">
        <v>46229</v>
      </c>
      <c r="X470" t="s">
        <v>9690</v>
      </c>
      <c r="Y470" t="s">
        <v>9691</v>
      </c>
      <c r="AA470">
        <v>0</v>
      </c>
      <c r="AB470" t="s">
        <v>845</v>
      </c>
      <c r="AC470" t="s">
        <v>846</v>
      </c>
      <c r="AD470" t="s">
        <v>907</v>
      </c>
      <c r="AE470" t="s">
        <v>908</v>
      </c>
      <c r="AF470">
        <v>1</v>
      </c>
      <c r="AG470">
        <v>452210</v>
      </c>
      <c r="AH470" t="s">
        <v>849</v>
      </c>
      <c r="AI470" t="s">
        <v>850</v>
      </c>
      <c r="AJ470" t="s">
        <v>851</v>
      </c>
      <c r="AK470" t="s">
        <v>369</v>
      </c>
      <c r="AL470" t="s">
        <v>4236</v>
      </c>
      <c r="AM470" t="s">
        <v>3111</v>
      </c>
      <c r="AN470" t="s">
        <v>854</v>
      </c>
      <c r="AO470">
        <v>36805</v>
      </c>
      <c r="AP470">
        <v>921</v>
      </c>
      <c r="AQ470" t="s">
        <v>855</v>
      </c>
      <c r="AR470">
        <v>66567743</v>
      </c>
      <c r="AS470" t="s">
        <v>856</v>
      </c>
      <c r="AU470" t="s">
        <v>9692</v>
      </c>
      <c r="AV470" t="s">
        <v>9693</v>
      </c>
      <c r="AX470" t="s">
        <v>913</v>
      </c>
      <c r="AY470" t="s">
        <v>861</v>
      </c>
      <c r="AZ470" t="s">
        <v>369</v>
      </c>
      <c r="BA470" t="s">
        <v>370</v>
      </c>
      <c r="BB470">
        <v>0</v>
      </c>
      <c r="BC470">
        <v>0</v>
      </c>
      <c r="BD470">
        <v>0</v>
      </c>
      <c r="BE470" t="s">
        <v>3104</v>
      </c>
      <c r="BF470">
        <v>0</v>
      </c>
      <c r="BG470">
        <v>0</v>
      </c>
      <c r="BH470" t="s">
        <v>862</v>
      </c>
      <c r="BI470">
        <v>0</v>
      </c>
      <c r="BJ470" t="s">
        <v>862</v>
      </c>
      <c r="BK470">
        <v>1</v>
      </c>
      <c r="BL470">
        <v>1</v>
      </c>
      <c r="BM470">
        <v>0</v>
      </c>
      <c r="BN470" t="s">
        <v>596</v>
      </c>
      <c r="BO470">
        <v>156057615</v>
      </c>
      <c r="BP470" t="s">
        <v>9687</v>
      </c>
      <c r="BR470">
        <v>42793646</v>
      </c>
      <c r="BT470">
        <v>2</v>
      </c>
      <c r="BU470" t="s">
        <v>1062</v>
      </c>
      <c r="BY470">
        <v>12</v>
      </c>
      <c r="CA470">
        <v>7</v>
      </c>
      <c r="CE470">
        <v>1</v>
      </c>
      <c r="CI470">
        <v>11</v>
      </c>
      <c r="CJ470" t="s">
        <v>94</v>
      </c>
      <c r="CM470">
        <v>4010</v>
      </c>
      <c r="CO470">
        <v>7360</v>
      </c>
      <c r="CP470">
        <v>1.67E-2</v>
      </c>
      <c r="CQ470">
        <v>1.67E-2</v>
      </c>
      <c r="CR470">
        <v>0</v>
      </c>
      <c r="CS470">
        <v>2</v>
      </c>
      <c r="CT470" t="s">
        <v>9694</v>
      </c>
      <c r="CU470" t="s">
        <v>9695</v>
      </c>
      <c r="CV470" t="s">
        <v>833</v>
      </c>
      <c r="CW470" t="s">
        <v>834</v>
      </c>
      <c r="CX470" t="s">
        <v>3104</v>
      </c>
      <c r="CY470">
        <v>0</v>
      </c>
      <c r="CZ470">
        <v>0</v>
      </c>
      <c r="DA470" t="s">
        <v>833</v>
      </c>
      <c r="DB470" t="s">
        <v>865</v>
      </c>
      <c r="DC470">
        <v>45249</v>
      </c>
      <c r="DD470">
        <v>6.8</v>
      </c>
      <c r="DE470" t="s">
        <v>866</v>
      </c>
      <c r="DG470" t="s">
        <v>867</v>
      </c>
      <c r="DH470" t="s">
        <v>851</v>
      </c>
      <c r="DJ470" t="s">
        <v>4987</v>
      </c>
      <c r="DK470" t="s">
        <v>918</v>
      </c>
      <c r="DL470" t="s">
        <v>869</v>
      </c>
      <c r="DM470">
        <v>0</v>
      </c>
      <c r="DN470">
        <v>0</v>
      </c>
      <c r="DO470">
        <v>1</v>
      </c>
      <c r="DP470" t="s">
        <v>985</v>
      </c>
      <c r="DQ470">
        <v>12</v>
      </c>
      <c r="DR470">
        <v>408</v>
      </c>
      <c r="DS470">
        <v>1128</v>
      </c>
      <c r="DT470">
        <v>6.7832999999999997</v>
      </c>
      <c r="DU470">
        <v>4</v>
      </c>
      <c r="DV470">
        <v>1</v>
      </c>
      <c r="DW470">
        <v>1</v>
      </c>
      <c r="DX470" t="s">
        <v>596</v>
      </c>
      <c r="DY470" t="s">
        <v>3104</v>
      </c>
      <c r="DZ470">
        <v>1</v>
      </c>
      <c r="EA470">
        <v>1</v>
      </c>
      <c r="EB470">
        <v>1</v>
      </c>
      <c r="EC470">
        <v>0</v>
      </c>
      <c r="ED470">
        <v>0</v>
      </c>
      <c r="EE470">
        <v>1</v>
      </c>
      <c r="EF470" t="s">
        <v>871</v>
      </c>
      <c r="EG470" t="s">
        <v>595</v>
      </c>
      <c r="EH470" t="s">
        <v>1036</v>
      </c>
      <c r="EI470" t="s">
        <v>1036</v>
      </c>
      <c r="EJ470" t="s">
        <v>226</v>
      </c>
      <c r="EK470">
        <v>9090</v>
      </c>
      <c r="EL470">
        <v>0</v>
      </c>
      <c r="EM470" t="s">
        <v>1157</v>
      </c>
      <c r="EN470">
        <v>0</v>
      </c>
      <c r="EO470">
        <v>18.8</v>
      </c>
      <c r="EP470">
        <v>99991120</v>
      </c>
      <c r="EQ470" t="s">
        <v>874</v>
      </c>
      <c r="ER470" t="s">
        <v>875</v>
      </c>
      <c r="ES470" t="s">
        <v>876</v>
      </c>
      <c r="ET470" t="s">
        <v>877</v>
      </c>
      <c r="EU470" t="s">
        <v>877</v>
      </c>
      <c r="EV470" t="s">
        <v>871</v>
      </c>
      <c r="EX470" t="s">
        <v>900</v>
      </c>
      <c r="EY470" t="s">
        <v>923</v>
      </c>
      <c r="EZ470" t="s">
        <v>3116</v>
      </c>
      <c r="FA470" t="s">
        <v>925</v>
      </c>
      <c r="FB470">
        <v>1</v>
      </c>
      <c r="FC470">
        <v>1</v>
      </c>
      <c r="FD470" s="41">
        <v>46235</v>
      </c>
      <c r="FE470" t="s">
        <v>1066</v>
      </c>
      <c r="FF470">
        <v>5</v>
      </c>
      <c r="FI470">
        <v>0</v>
      </c>
      <c r="FJ470" t="s">
        <v>9696</v>
      </c>
      <c r="FK470" t="s">
        <v>9697</v>
      </c>
      <c r="FL470">
        <v>1</v>
      </c>
      <c r="FM470" t="s">
        <v>3117</v>
      </c>
      <c r="FN470" t="s">
        <v>9698</v>
      </c>
      <c r="FO470">
        <v>1</v>
      </c>
      <c r="FP470" t="s">
        <v>9699</v>
      </c>
      <c r="FQ470" t="s">
        <v>9695</v>
      </c>
      <c r="FR470">
        <v>1</v>
      </c>
      <c r="FS470" t="s">
        <v>4241</v>
      </c>
      <c r="FT470" t="s">
        <v>9700</v>
      </c>
      <c r="FU470">
        <v>1</v>
      </c>
      <c r="FV470" t="s">
        <v>9701</v>
      </c>
      <c r="FW470" t="s">
        <v>9702</v>
      </c>
      <c r="FX470">
        <v>1</v>
      </c>
      <c r="FY470" t="s">
        <v>890</v>
      </c>
      <c r="FZ470" t="s">
        <v>9703</v>
      </c>
      <c r="GA470" t="s">
        <v>9696</v>
      </c>
      <c r="GB470">
        <v>1</v>
      </c>
      <c r="GD470">
        <v>0</v>
      </c>
      <c r="GF470">
        <v>0</v>
      </c>
      <c r="GG470">
        <v>1</v>
      </c>
      <c r="GH470" t="s">
        <v>892</v>
      </c>
      <c r="GI470" t="s">
        <v>893</v>
      </c>
      <c r="GJ470" t="s">
        <v>9697</v>
      </c>
      <c r="GM470">
        <v>1</v>
      </c>
      <c r="GN470">
        <v>1</v>
      </c>
      <c r="GO470">
        <v>0</v>
      </c>
      <c r="GP470">
        <v>1</v>
      </c>
      <c r="GQ470">
        <v>1</v>
      </c>
      <c r="GR470">
        <v>0</v>
      </c>
      <c r="GS470">
        <v>1</v>
      </c>
      <c r="GT470">
        <v>0</v>
      </c>
      <c r="GU470">
        <v>1</v>
      </c>
      <c r="GV470">
        <v>0</v>
      </c>
      <c r="GW470">
        <v>1</v>
      </c>
      <c r="GX470">
        <v>0</v>
      </c>
      <c r="GY470">
        <v>1</v>
      </c>
      <c r="GZ470">
        <v>0</v>
      </c>
      <c r="HA470" t="s">
        <v>369</v>
      </c>
      <c r="HB470" t="s">
        <v>894</v>
      </c>
      <c r="HC470" t="s">
        <v>935</v>
      </c>
      <c r="HD470" t="s">
        <v>845</v>
      </c>
      <c r="HE470" t="s">
        <v>900</v>
      </c>
      <c r="HF470" t="s">
        <v>923</v>
      </c>
      <c r="HG470" t="s">
        <v>894</v>
      </c>
      <c r="HH470" t="s">
        <v>935</v>
      </c>
      <c r="HI470" t="s">
        <v>845</v>
      </c>
      <c r="HJ470" t="s">
        <v>900</v>
      </c>
      <c r="HK470" t="s">
        <v>922</v>
      </c>
      <c r="HL470" t="s">
        <v>3107</v>
      </c>
      <c r="HM470" t="s">
        <v>854</v>
      </c>
      <c r="HN470">
        <v>36805</v>
      </c>
      <c r="HP470" t="s">
        <v>226</v>
      </c>
      <c r="HQ470" t="s">
        <v>896</v>
      </c>
      <c r="HR470" t="s">
        <v>896</v>
      </c>
      <c r="HS470" t="s">
        <v>896</v>
      </c>
    </row>
    <row r="471" spans="1:227" x14ac:dyDescent="0.2">
      <c r="A471">
        <v>8702</v>
      </c>
      <c r="B471">
        <v>7600800064</v>
      </c>
      <c r="C471">
        <v>34</v>
      </c>
      <c r="D471" t="s">
        <v>996</v>
      </c>
      <c r="E471" t="s">
        <v>897</v>
      </c>
      <c r="F471">
        <v>0</v>
      </c>
      <c r="G471" t="s">
        <v>9704</v>
      </c>
      <c r="H471" t="s">
        <v>9704</v>
      </c>
      <c r="I471">
        <v>0</v>
      </c>
      <c r="J471" t="s">
        <v>833</v>
      </c>
      <c r="K471" t="s">
        <v>834</v>
      </c>
      <c r="L471">
        <v>153195467</v>
      </c>
      <c r="M471" t="s">
        <v>9705</v>
      </c>
      <c r="N471" t="s">
        <v>900</v>
      </c>
      <c r="O471" t="s">
        <v>837</v>
      </c>
      <c r="P471" t="s">
        <v>999</v>
      </c>
      <c r="Q471" t="s">
        <v>1000</v>
      </c>
      <c r="R471" t="s">
        <v>9706</v>
      </c>
      <c r="S471" t="s">
        <v>9707</v>
      </c>
      <c r="T471">
        <v>41477122128</v>
      </c>
      <c r="V471" t="s">
        <v>1543</v>
      </c>
      <c r="W471" s="41">
        <v>46036</v>
      </c>
      <c r="X471" t="s">
        <v>9708</v>
      </c>
      <c r="Y471" t="s">
        <v>9709</v>
      </c>
      <c r="Z471" t="s">
        <v>2965</v>
      </c>
      <c r="AA471">
        <v>0</v>
      </c>
      <c r="AB471" t="s">
        <v>845</v>
      </c>
      <c r="AC471" t="s">
        <v>846</v>
      </c>
      <c r="AD471" t="s">
        <v>847</v>
      </c>
      <c r="AE471" t="s">
        <v>848</v>
      </c>
      <c r="AF471">
        <v>1</v>
      </c>
      <c r="AG471">
        <v>452210</v>
      </c>
      <c r="AH471" t="s">
        <v>849</v>
      </c>
      <c r="AI471" t="s">
        <v>850</v>
      </c>
      <c r="AJ471" t="s">
        <v>851</v>
      </c>
      <c r="AK471" t="s">
        <v>263</v>
      </c>
      <c r="AL471" t="s">
        <v>2230</v>
      </c>
      <c r="AM471" t="s">
        <v>1548</v>
      </c>
      <c r="AN471" t="s">
        <v>854</v>
      </c>
      <c r="AO471">
        <v>36805</v>
      </c>
      <c r="AP471">
        <v>522</v>
      </c>
      <c r="AQ471" t="s">
        <v>855</v>
      </c>
      <c r="AR471">
        <v>66289700</v>
      </c>
      <c r="AS471" t="s">
        <v>856</v>
      </c>
      <c r="AU471" t="s">
        <v>9710</v>
      </c>
      <c r="AV471" t="s">
        <v>9711</v>
      </c>
      <c r="AX471" t="s">
        <v>913</v>
      </c>
      <c r="AY471" t="s">
        <v>861</v>
      </c>
      <c r="AZ471" t="s">
        <v>263</v>
      </c>
      <c r="BA471" t="s">
        <v>264</v>
      </c>
      <c r="BB471">
        <v>0</v>
      </c>
      <c r="BC471">
        <v>1</v>
      </c>
      <c r="BD471">
        <v>0</v>
      </c>
      <c r="BE471" t="s">
        <v>9705</v>
      </c>
      <c r="BF471">
        <v>0</v>
      </c>
      <c r="BG471">
        <v>0</v>
      </c>
      <c r="BH471" t="s">
        <v>862</v>
      </c>
      <c r="BI471">
        <v>0</v>
      </c>
      <c r="BJ471" t="s">
        <v>862</v>
      </c>
      <c r="BK471">
        <v>1</v>
      </c>
      <c r="BL471">
        <v>1</v>
      </c>
      <c r="BM471">
        <v>0</v>
      </c>
      <c r="BN471" t="s">
        <v>596</v>
      </c>
      <c r="BO471">
        <v>153195467</v>
      </c>
      <c r="BP471" t="s">
        <v>9704</v>
      </c>
      <c r="BQ471">
        <v>39.638504300000001</v>
      </c>
      <c r="BR471">
        <v>42791431</v>
      </c>
      <c r="BS471">
        <v>-86.130648300000004</v>
      </c>
      <c r="BT471">
        <v>1</v>
      </c>
      <c r="BU471" t="s">
        <v>1367</v>
      </c>
      <c r="CI471">
        <v>11</v>
      </c>
      <c r="CJ471" t="s">
        <v>94</v>
      </c>
      <c r="CM471">
        <v>4010</v>
      </c>
      <c r="CO471">
        <v>7360</v>
      </c>
      <c r="CP471">
        <v>1.0667</v>
      </c>
      <c r="CQ471">
        <v>1.0667</v>
      </c>
      <c r="CR471">
        <v>2.7</v>
      </c>
      <c r="CS471">
        <v>0</v>
      </c>
      <c r="CT471" t="s">
        <v>9711</v>
      </c>
      <c r="CU471" t="s">
        <v>9710</v>
      </c>
      <c r="CV471" t="s">
        <v>833</v>
      </c>
      <c r="CW471" t="s">
        <v>834</v>
      </c>
      <c r="CX471" t="s">
        <v>9705</v>
      </c>
      <c r="CY471">
        <v>1</v>
      </c>
      <c r="CZ471">
        <v>1</v>
      </c>
      <c r="DA471" t="s">
        <v>833</v>
      </c>
      <c r="DB471" t="s">
        <v>865</v>
      </c>
      <c r="DC471">
        <v>46227</v>
      </c>
      <c r="DD471">
        <v>70.25</v>
      </c>
      <c r="DE471" t="s">
        <v>866</v>
      </c>
      <c r="DG471" t="s">
        <v>867</v>
      </c>
      <c r="DH471" t="s">
        <v>851</v>
      </c>
      <c r="DI471" t="s">
        <v>1554</v>
      </c>
      <c r="DK471" t="s">
        <v>918</v>
      </c>
      <c r="DL471" t="s">
        <v>869</v>
      </c>
      <c r="DM471">
        <v>0</v>
      </c>
      <c r="DN471">
        <v>0</v>
      </c>
      <c r="DO471">
        <v>11</v>
      </c>
      <c r="DP471" t="s">
        <v>1010</v>
      </c>
      <c r="DQ471">
        <v>16</v>
      </c>
      <c r="DR471">
        <v>4215</v>
      </c>
      <c r="DS471">
        <v>8535</v>
      </c>
      <c r="DT471">
        <v>2.8666999999999998</v>
      </c>
      <c r="DU471">
        <v>4</v>
      </c>
      <c r="DV471">
        <v>1</v>
      </c>
      <c r="DW471">
        <v>2</v>
      </c>
      <c r="DX471" t="s">
        <v>596</v>
      </c>
      <c r="DY471" t="s">
        <v>9705</v>
      </c>
      <c r="DZ471">
        <v>0</v>
      </c>
      <c r="EA471">
        <v>0</v>
      </c>
      <c r="EB471">
        <v>1</v>
      </c>
      <c r="EC471">
        <v>1</v>
      </c>
      <c r="ED471">
        <v>1</v>
      </c>
      <c r="EE471">
        <v>1</v>
      </c>
      <c r="EF471" t="s">
        <v>920</v>
      </c>
      <c r="EG471" t="s">
        <v>595</v>
      </c>
      <c r="EH471" t="s">
        <v>921</v>
      </c>
      <c r="EI471" t="s">
        <v>921</v>
      </c>
      <c r="EJ471" t="s">
        <v>134</v>
      </c>
      <c r="EK471">
        <v>9090</v>
      </c>
      <c r="EL471">
        <v>1</v>
      </c>
      <c r="EM471" t="s">
        <v>1011</v>
      </c>
      <c r="EN471">
        <v>2.7</v>
      </c>
      <c r="EO471">
        <v>142.25</v>
      </c>
      <c r="EP471">
        <v>99991120</v>
      </c>
      <c r="EQ471" t="s">
        <v>874</v>
      </c>
      <c r="ER471" t="s">
        <v>875</v>
      </c>
      <c r="ES471" t="s">
        <v>876</v>
      </c>
      <c r="ET471" t="s">
        <v>877</v>
      </c>
      <c r="EU471" t="s">
        <v>877</v>
      </c>
      <c r="EV471" t="s">
        <v>920</v>
      </c>
      <c r="EX471" t="s">
        <v>953</v>
      </c>
      <c r="EY471" t="s">
        <v>1555</v>
      </c>
      <c r="EZ471" t="s">
        <v>1013</v>
      </c>
      <c r="FA471" t="s">
        <v>925</v>
      </c>
      <c r="FB471">
        <v>1</v>
      </c>
      <c r="FC471">
        <v>3</v>
      </c>
      <c r="FD471" s="41">
        <v>46039</v>
      </c>
      <c r="FE471" t="s">
        <v>1370</v>
      </c>
      <c r="FF471">
        <v>21</v>
      </c>
      <c r="FG471" t="s">
        <v>9712</v>
      </c>
      <c r="FH471" t="s">
        <v>9713</v>
      </c>
      <c r="FI471">
        <v>1</v>
      </c>
      <c r="FJ471" t="s">
        <v>9714</v>
      </c>
      <c r="FK471" t="s">
        <v>9713</v>
      </c>
      <c r="FL471">
        <v>1</v>
      </c>
      <c r="FM471" t="s">
        <v>9715</v>
      </c>
      <c r="FN471" t="s">
        <v>9716</v>
      </c>
      <c r="FO471">
        <v>1</v>
      </c>
      <c r="FP471" t="s">
        <v>9717</v>
      </c>
      <c r="FQ471" t="s">
        <v>9718</v>
      </c>
      <c r="FR471">
        <v>1</v>
      </c>
      <c r="FS471" t="s">
        <v>1020</v>
      </c>
      <c r="FT471" t="s">
        <v>9719</v>
      </c>
      <c r="FU471">
        <v>1</v>
      </c>
      <c r="FV471" t="s">
        <v>1022</v>
      </c>
      <c r="FW471" t="s">
        <v>9720</v>
      </c>
      <c r="FX471">
        <v>1</v>
      </c>
      <c r="FY471" t="s">
        <v>890</v>
      </c>
      <c r="FZ471" t="s">
        <v>9721</v>
      </c>
      <c r="GA471" t="s">
        <v>9714</v>
      </c>
      <c r="GB471">
        <v>1</v>
      </c>
      <c r="GD471">
        <v>0</v>
      </c>
      <c r="GF471">
        <v>0</v>
      </c>
      <c r="GG471">
        <v>1</v>
      </c>
      <c r="GH471" t="s">
        <v>892</v>
      </c>
      <c r="GI471" t="s">
        <v>893</v>
      </c>
      <c r="GJ471" t="s">
        <v>9713</v>
      </c>
      <c r="GM471">
        <v>1</v>
      </c>
      <c r="GN471">
        <v>0</v>
      </c>
      <c r="GO471">
        <v>0</v>
      </c>
      <c r="GP471">
        <v>1</v>
      </c>
      <c r="GQ471">
        <v>1</v>
      </c>
      <c r="GR471">
        <v>0</v>
      </c>
      <c r="GS471">
        <v>1</v>
      </c>
      <c r="GT471">
        <v>0</v>
      </c>
      <c r="GU471">
        <v>1</v>
      </c>
      <c r="GV471">
        <v>0</v>
      </c>
      <c r="GW471">
        <v>1</v>
      </c>
      <c r="GX471">
        <v>0</v>
      </c>
      <c r="GY471">
        <v>1</v>
      </c>
      <c r="GZ471">
        <v>0</v>
      </c>
      <c r="HA471" t="s">
        <v>263</v>
      </c>
      <c r="HB471" t="s">
        <v>894</v>
      </c>
      <c r="HC471" t="s">
        <v>935</v>
      </c>
      <c r="HD471" t="s">
        <v>845</v>
      </c>
      <c r="HE471" t="s">
        <v>900</v>
      </c>
      <c r="HF471" t="s">
        <v>1012</v>
      </c>
      <c r="HG471" t="s">
        <v>894</v>
      </c>
      <c r="HH471" t="s">
        <v>935</v>
      </c>
      <c r="HI471" t="s">
        <v>845</v>
      </c>
      <c r="HJ471" t="s">
        <v>900</v>
      </c>
      <c r="HK471" t="s">
        <v>1011</v>
      </c>
      <c r="HL471" t="s">
        <v>1543</v>
      </c>
      <c r="HM471" t="s">
        <v>854</v>
      </c>
      <c r="HN471">
        <v>36805</v>
      </c>
      <c r="HO471">
        <v>1</v>
      </c>
      <c r="HP471" t="s">
        <v>134</v>
      </c>
      <c r="HQ471" t="s">
        <v>896</v>
      </c>
      <c r="HR471" t="s">
        <v>896</v>
      </c>
      <c r="HS471" t="s">
        <v>896</v>
      </c>
    </row>
    <row r="472" spans="1:227" x14ac:dyDescent="0.2">
      <c r="A472">
        <v>8702</v>
      </c>
      <c r="B472">
        <v>7606106128</v>
      </c>
      <c r="C472" t="s">
        <v>829</v>
      </c>
      <c r="D472" t="s">
        <v>830</v>
      </c>
      <c r="E472" t="s">
        <v>897</v>
      </c>
      <c r="F472">
        <v>0</v>
      </c>
      <c r="G472" t="s">
        <v>9722</v>
      </c>
      <c r="H472" t="s">
        <v>9722</v>
      </c>
      <c r="I472">
        <v>0</v>
      </c>
      <c r="J472" t="s">
        <v>833</v>
      </c>
      <c r="K472" t="s">
        <v>834</v>
      </c>
      <c r="L472">
        <v>152946657</v>
      </c>
      <c r="M472" t="s">
        <v>9723</v>
      </c>
      <c r="N472" t="s">
        <v>900</v>
      </c>
      <c r="O472" t="s">
        <v>837</v>
      </c>
      <c r="P472" t="s">
        <v>838</v>
      </c>
      <c r="Q472" t="s">
        <v>1251</v>
      </c>
      <c r="R472" t="s">
        <v>9724</v>
      </c>
      <c r="S472" t="s">
        <v>9725</v>
      </c>
      <c r="T472">
        <v>41477122362</v>
      </c>
      <c r="V472" t="s">
        <v>142</v>
      </c>
      <c r="W472" s="41">
        <v>46084</v>
      </c>
      <c r="X472" t="s">
        <v>9726</v>
      </c>
      <c r="Y472" t="s">
        <v>9727</v>
      </c>
      <c r="Z472" t="s">
        <v>9728</v>
      </c>
      <c r="AA472">
        <v>0</v>
      </c>
      <c r="AB472" t="s">
        <v>845</v>
      </c>
      <c r="AC472" t="s">
        <v>846</v>
      </c>
      <c r="AD472" t="s">
        <v>1113</v>
      </c>
      <c r="AE472" t="s">
        <v>1114</v>
      </c>
      <c r="AF472">
        <v>1</v>
      </c>
      <c r="AG472">
        <v>452210</v>
      </c>
      <c r="AH472" t="s">
        <v>849</v>
      </c>
      <c r="AI472" t="s">
        <v>850</v>
      </c>
      <c r="AJ472" t="s">
        <v>851</v>
      </c>
      <c r="AK472" t="s">
        <v>317</v>
      </c>
      <c r="AL472" t="s">
        <v>3381</v>
      </c>
      <c r="AM472" t="s">
        <v>3288</v>
      </c>
      <c r="AN472" t="s">
        <v>854</v>
      </c>
      <c r="AO472">
        <v>36805</v>
      </c>
      <c r="AP472">
        <v>527</v>
      </c>
      <c r="AQ472" t="s">
        <v>855</v>
      </c>
      <c r="AR472">
        <v>66359041</v>
      </c>
      <c r="AS472" t="s">
        <v>856</v>
      </c>
      <c r="AU472" t="s">
        <v>9729</v>
      </c>
      <c r="AV472" t="s">
        <v>9730</v>
      </c>
      <c r="AW472" t="s">
        <v>950</v>
      </c>
      <c r="AX472" t="s">
        <v>951</v>
      </c>
      <c r="AY472" t="s">
        <v>861</v>
      </c>
      <c r="AZ472" t="s">
        <v>317</v>
      </c>
      <c r="BA472" t="s">
        <v>318</v>
      </c>
      <c r="BB472">
        <v>0</v>
      </c>
      <c r="BC472">
        <v>0</v>
      </c>
      <c r="BD472">
        <v>0</v>
      </c>
      <c r="BE472" t="s">
        <v>9723</v>
      </c>
      <c r="BF472">
        <v>0</v>
      </c>
      <c r="BG472">
        <v>0</v>
      </c>
      <c r="BH472" t="s">
        <v>862</v>
      </c>
      <c r="BI472">
        <v>0</v>
      </c>
      <c r="BJ472" t="s">
        <v>862</v>
      </c>
      <c r="BK472">
        <v>1</v>
      </c>
      <c r="BL472">
        <v>0</v>
      </c>
      <c r="BM472">
        <v>0</v>
      </c>
      <c r="BN472" t="s">
        <v>596</v>
      </c>
      <c r="BO472">
        <v>152946657</v>
      </c>
      <c r="BP472" t="s">
        <v>9722</v>
      </c>
      <c r="BQ472">
        <v>39.956758299999997</v>
      </c>
      <c r="BR472">
        <v>42791440</v>
      </c>
      <c r="BS472">
        <v>-85.960813700000003</v>
      </c>
      <c r="BT472">
        <v>1</v>
      </c>
      <c r="BU472" t="s">
        <v>1715</v>
      </c>
      <c r="CI472">
        <v>11</v>
      </c>
      <c r="CJ472" t="s">
        <v>94</v>
      </c>
      <c r="CM472">
        <v>4010</v>
      </c>
      <c r="CO472">
        <v>7360</v>
      </c>
      <c r="CP472">
        <v>0.51670000000000005</v>
      </c>
      <c r="CQ472">
        <v>0.51670000000000005</v>
      </c>
      <c r="CR472">
        <v>0.2167</v>
      </c>
      <c r="CS472">
        <v>3</v>
      </c>
      <c r="CT472" t="s">
        <v>9730</v>
      </c>
      <c r="CU472" t="s">
        <v>9729</v>
      </c>
      <c r="CV472" t="s">
        <v>833</v>
      </c>
      <c r="CW472" t="s">
        <v>834</v>
      </c>
      <c r="CX472" t="s">
        <v>9723</v>
      </c>
      <c r="CY472">
        <v>0</v>
      </c>
      <c r="CZ472">
        <v>0</v>
      </c>
      <c r="DA472" t="s">
        <v>833</v>
      </c>
      <c r="DB472" t="s">
        <v>865</v>
      </c>
      <c r="DC472">
        <v>46037</v>
      </c>
      <c r="DD472">
        <v>15.1167</v>
      </c>
      <c r="DE472" t="s">
        <v>866</v>
      </c>
      <c r="DG472" t="s">
        <v>867</v>
      </c>
      <c r="DH472" t="s">
        <v>851</v>
      </c>
      <c r="DI472" t="s">
        <v>868</v>
      </c>
      <c r="DK472" t="s">
        <v>918</v>
      </c>
      <c r="DL472" t="s">
        <v>869</v>
      </c>
      <c r="DM472">
        <v>0</v>
      </c>
      <c r="DN472">
        <v>0</v>
      </c>
      <c r="DO472">
        <v>2</v>
      </c>
      <c r="DP472" t="s">
        <v>870</v>
      </c>
      <c r="DQ472">
        <v>0</v>
      </c>
      <c r="DR472">
        <v>907</v>
      </c>
      <c r="DS472">
        <v>1627</v>
      </c>
      <c r="DT472">
        <v>14.6</v>
      </c>
      <c r="DU472">
        <v>0</v>
      </c>
      <c r="DV472">
        <v>1</v>
      </c>
      <c r="DW472">
        <v>2</v>
      </c>
      <c r="DX472" t="s">
        <v>594</v>
      </c>
      <c r="DY472" t="s">
        <v>9723</v>
      </c>
      <c r="DZ472">
        <v>1</v>
      </c>
      <c r="EA472">
        <v>1</v>
      </c>
      <c r="EB472">
        <v>1</v>
      </c>
      <c r="EC472">
        <v>1</v>
      </c>
      <c r="ED472">
        <v>1</v>
      </c>
      <c r="EE472">
        <v>1</v>
      </c>
      <c r="EF472" t="s">
        <v>920</v>
      </c>
      <c r="EG472" t="s">
        <v>595</v>
      </c>
      <c r="EH472" t="s">
        <v>872</v>
      </c>
      <c r="EI472" t="s">
        <v>872</v>
      </c>
      <c r="EJ472" t="s">
        <v>134</v>
      </c>
      <c r="EK472">
        <v>9090</v>
      </c>
      <c r="EL472">
        <v>0</v>
      </c>
      <c r="EM472" t="s">
        <v>1011</v>
      </c>
      <c r="EN472">
        <v>0.2167</v>
      </c>
      <c r="EO472">
        <v>27.1166667</v>
      </c>
      <c r="EP472">
        <v>99991120</v>
      </c>
      <c r="EQ472" t="s">
        <v>874</v>
      </c>
      <c r="ER472" t="s">
        <v>875</v>
      </c>
      <c r="ES472" t="s">
        <v>876</v>
      </c>
      <c r="ET472" t="s">
        <v>877</v>
      </c>
      <c r="EU472" t="s">
        <v>877</v>
      </c>
      <c r="EV472" t="s">
        <v>920</v>
      </c>
      <c r="EX472" t="s">
        <v>953</v>
      </c>
      <c r="EY472" t="s">
        <v>1555</v>
      </c>
      <c r="EZ472" t="s">
        <v>1013</v>
      </c>
      <c r="FA472" t="s">
        <v>925</v>
      </c>
      <c r="FB472">
        <v>1</v>
      </c>
      <c r="FC472">
        <v>1</v>
      </c>
      <c r="FD472" s="41">
        <v>46088</v>
      </c>
      <c r="FE472" t="s">
        <v>1719</v>
      </c>
      <c r="FF472">
        <v>8</v>
      </c>
      <c r="FG472" t="s">
        <v>9731</v>
      </c>
      <c r="FH472" t="s">
        <v>9732</v>
      </c>
      <c r="FI472">
        <v>1</v>
      </c>
      <c r="FJ472" t="s">
        <v>9731</v>
      </c>
      <c r="FK472" t="s">
        <v>9732</v>
      </c>
      <c r="FL472">
        <v>1</v>
      </c>
      <c r="FM472" t="s">
        <v>9733</v>
      </c>
      <c r="FN472" t="s">
        <v>9734</v>
      </c>
      <c r="FO472">
        <v>1</v>
      </c>
      <c r="FP472" t="s">
        <v>9735</v>
      </c>
      <c r="FQ472" t="s">
        <v>9729</v>
      </c>
      <c r="FR472">
        <v>1</v>
      </c>
      <c r="FS472" t="s">
        <v>2417</v>
      </c>
      <c r="FT472" t="s">
        <v>9736</v>
      </c>
      <c r="FU472">
        <v>1</v>
      </c>
      <c r="FV472" t="s">
        <v>3457</v>
      </c>
      <c r="FW472" t="s">
        <v>9737</v>
      </c>
      <c r="FX472">
        <v>1</v>
      </c>
      <c r="FY472" t="s">
        <v>890</v>
      </c>
      <c r="FZ472" t="s">
        <v>9738</v>
      </c>
      <c r="GA472" t="s">
        <v>9731</v>
      </c>
      <c r="GB472">
        <v>1</v>
      </c>
      <c r="GD472">
        <v>0</v>
      </c>
      <c r="GF472">
        <v>0</v>
      </c>
      <c r="GG472">
        <v>1</v>
      </c>
      <c r="GH472" t="s">
        <v>892</v>
      </c>
      <c r="GI472" t="s">
        <v>893</v>
      </c>
      <c r="GJ472" t="s">
        <v>9732</v>
      </c>
      <c r="GM472">
        <v>1</v>
      </c>
      <c r="GN472">
        <v>1</v>
      </c>
      <c r="GO472">
        <v>0</v>
      </c>
      <c r="GP472">
        <v>1</v>
      </c>
      <c r="GQ472">
        <v>1</v>
      </c>
      <c r="GR472">
        <v>0</v>
      </c>
      <c r="GS472">
        <v>1</v>
      </c>
      <c r="GT472">
        <v>0</v>
      </c>
      <c r="GU472">
        <v>1</v>
      </c>
      <c r="GV472">
        <v>0</v>
      </c>
      <c r="GW472">
        <v>1</v>
      </c>
      <c r="GX472">
        <v>0</v>
      </c>
      <c r="GY472">
        <v>1</v>
      </c>
      <c r="GZ472">
        <v>0</v>
      </c>
      <c r="HA472" t="s">
        <v>317</v>
      </c>
      <c r="HB472" t="s">
        <v>894</v>
      </c>
      <c r="HC472" t="s">
        <v>935</v>
      </c>
      <c r="HD472" t="s">
        <v>845</v>
      </c>
      <c r="HE472" t="s">
        <v>900</v>
      </c>
      <c r="HF472" t="s">
        <v>1012</v>
      </c>
      <c r="HG472" t="s">
        <v>894</v>
      </c>
      <c r="HH472" t="s">
        <v>935</v>
      </c>
      <c r="HI472" t="s">
        <v>845</v>
      </c>
      <c r="HJ472" t="s">
        <v>900</v>
      </c>
      <c r="HK472" t="s">
        <v>1011</v>
      </c>
      <c r="HL472" t="s">
        <v>142</v>
      </c>
      <c r="HM472" t="s">
        <v>854</v>
      </c>
      <c r="HN472">
        <v>36805</v>
      </c>
      <c r="HO472">
        <v>1</v>
      </c>
      <c r="HP472" t="s">
        <v>134</v>
      </c>
      <c r="HQ472" t="s">
        <v>896</v>
      </c>
      <c r="HR472" t="s">
        <v>896</v>
      </c>
      <c r="HS472" t="s">
        <v>896</v>
      </c>
    </row>
    <row r="473" spans="1:227" ht="409.6" x14ac:dyDescent="0.2">
      <c r="A473">
        <v>8702</v>
      </c>
      <c r="B473">
        <v>7609800384</v>
      </c>
      <c r="C473">
        <v>34</v>
      </c>
      <c r="D473" t="s">
        <v>996</v>
      </c>
      <c r="E473" t="s">
        <v>897</v>
      </c>
      <c r="F473">
        <v>0</v>
      </c>
      <c r="G473" t="s">
        <v>9739</v>
      </c>
      <c r="H473" t="s">
        <v>9739</v>
      </c>
      <c r="I473">
        <v>0</v>
      </c>
      <c r="J473" t="s">
        <v>833</v>
      </c>
      <c r="K473" t="s">
        <v>834</v>
      </c>
      <c r="L473">
        <v>156046182</v>
      </c>
      <c r="M473" t="s">
        <v>6540</v>
      </c>
      <c r="N473" t="s">
        <v>900</v>
      </c>
      <c r="O473" t="s">
        <v>837</v>
      </c>
      <c r="P473" t="s">
        <v>999</v>
      </c>
      <c r="Q473" t="s">
        <v>2459</v>
      </c>
      <c r="R473" t="s">
        <v>9740</v>
      </c>
      <c r="S473" t="s">
        <v>9741</v>
      </c>
      <c r="T473">
        <v>30300117806</v>
      </c>
      <c r="V473" t="s">
        <v>1332</v>
      </c>
      <c r="W473" s="41">
        <v>46121</v>
      </c>
      <c r="X473" t="s">
        <v>9742</v>
      </c>
      <c r="Y473" t="s">
        <v>9743</v>
      </c>
      <c r="Z473" t="s">
        <v>3582</v>
      </c>
      <c r="AA473">
        <v>0</v>
      </c>
      <c r="AB473" t="s">
        <v>845</v>
      </c>
      <c r="AC473" t="s">
        <v>846</v>
      </c>
      <c r="AD473" t="s">
        <v>1113</v>
      </c>
      <c r="AE473" t="s">
        <v>1114</v>
      </c>
      <c r="AF473">
        <v>1</v>
      </c>
      <c r="AG473">
        <v>452210</v>
      </c>
      <c r="AH473" t="s">
        <v>849</v>
      </c>
      <c r="AI473" t="s">
        <v>850</v>
      </c>
      <c r="AJ473" t="s">
        <v>851</v>
      </c>
      <c r="AK473" t="s">
        <v>287</v>
      </c>
      <c r="AL473" t="s">
        <v>2767</v>
      </c>
      <c r="AM473" t="s">
        <v>1338</v>
      </c>
      <c r="AN473" t="s">
        <v>854</v>
      </c>
      <c r="AO473">
        <v>36805</v>
      </c>
      <c r="AP473">
        <v>929</v>
      </c>
      <c r="AQ473" t="s">
        <v>855</v>
      </c>
      <c r="AR473">
        <v>66412199</v>
      </c>
      <c r="AS473" t="s">
        <v>856</v>
      </c>
      <c r="AU473" t="s">
        <v>9744</v>
      </c>
      <c r="AV473" t="s">
        <v>9745</v>
      </c>
      <c r="AW473" t="s">
        <v>950</v>
      </c>
      <c r="AX473" t="s">
        <v>951</v>
      </c>
      <c r="AY473" t="s">
        <v>861</v>
      </c>
      <c r="AZ473" t="s">
        <v>287</v>
      </c>
      <c r="BA473" t="s">
        <v>288</v>
      </c>
      <c r="BB473">
        <v>0</v>
      </c>
      <c r="BC473">
        <v>0</v>
      </c>
      <c r="BD473">
        <v>0</v>
      </c>
      <c r="BE473" t="s">
        <v>6540</v>
      </c>
      <c r="BF473">
        <v>0</v>
      </c>
      <c r="BG473">
        <v>0</v>
      </c>
      <c r="BH473" t="s">
        <v>862</v>
      </c>
      <c r="BI473">
        <v>0</v>
      </c>
      <c r="BJ473" t="s">
        <v>862</v>
      </c>
      <c r="BK473">
        <v>1</v>
      </c>
      <c r="BL473">
        <v>0</v>
      </c>
      <c r="BM473">
        <v>0</v>
      </c>
      <c r="BN473" t="s">
        <v>596</v>
      </c>
      <c r="BO473">
        <v>156046182</v>
      </c>
      <c r="BP473" t="s">
        <v>9739</v>
      </c>
      <c r="BQ473">
        <v>41.699221000000001</v>
      </c>
      <c r="BR473">
        <v>42793654</v>
      </c>
      <c r="BS473">
        <v>-83.647774699999999</v>
      </c>
      <c r="BT473">
        <v>1</v>
      </c>
      <c r="BU473" t="s">
        <v>1119</v>
      </c>
      <c r="CI473">
        <v>11</v>
      </c>
      <c r="CJ473" t="s">
        <v>94</v>
      </c>
      <c r="CM473">
        <v>4010</v>
      </c>
      <c r="CO473">
        <v>7360</v>
      </c>
      <c r="CP473">
        <v>0.2167</v>
      </c>
      <c r="CQ473">
        <v>0.2167</v>
      </c>
      <c r="CR473">
        <v>0</v>
      </c>
      <c r="CS473">
        <v>4</v>
      </c>
      <c r="CT473" t="s">
        <v>9745</v>
      </c>
      <c r="CU473" t="s">
        <v>9744</v>
      </c>
      <c r="CV473" t="s">
        <v>833</v>
      </c>
      <c r="CW473" t="s">
        <v>834</v>
      </c>
      <c r="CX473" t="s">
        <v>6540</v>
      </c>
      <c r="CY473">
        <v>0</v>
      </c>
      <c r="CZ473">
        <v>0</v>
      </c>
      <c r="DA473" t="s">
        <v>833</v>
      </c>
      <c r="DB473" t="s">
        <v>865</v>
      </c>
      <c r="DC473">
        <v>43623</v>
      </c>
      <c r="DD473">
        <v>8.8666999999999998</v>
      </c>
      <c r="DE473" t="s">
        <v>866</v>
      </c>
      <c r="DG473" t="s">
        <v>867</v>
      </c>
      <c r="DH473" t="s">
        <v>851</v>
      </c>
      <c r="DI473" t="s">
        <v>984</v>
      </c>
      <c r="DJ473" t="s">
        <v>4265</v>
      </c>
      <c r="DK473" t="s">
        <v>918</v>
      </c>
      <c r="DL473" t="s">
        <v>869</v>
      </c>
      <c r="DM473">
        <v>0</v>
      </c>
      <c r="DN473">
        <v>0</v>
      </c>
      <c r="DO473">
        <v>1</v>
      </c>
      <c r="DP473" t="s">
        <v>985</v>
      </c>
      <c r="DQ473">
        <v>0</v>
      </c>
      <c r="DR473">
        <v>532</v>
      </c>
      <c r="DS473">
        <v>1252</v>
      </c>
      <c r="DT473">
        <v>8.65</v>
      </c>
      <c r="DU473">
        <v>0</v>
      </c>
      <c r="DV473">
        <v>1</v>
      </c>
      <c r="DW473">
        <v>2</v>
      </c>
      <c r="DX473" t="s">
        <v>599</v>
      </c>
      <c r="DY473" t="s">
        <v>6540</v>
      </c>
      <c r="DZ473">
        <v>1</v>
      </c>
      <c r="EA473">
        <v>1</v>
      </c>
      <c r="EB473">
        <v>1</v>
      </c>
      <c r="EC473">
        <v>1</v>
      </c>
      <c r="ED473">
        <v>1</v>
      </c>
      <c r="EE473">
        <v>1</v>
      </c>
      <c r="EF473" t="s">
        <v>920</v>
      </c>
      <c r="EG473" t="s">
        <v>595</v>
      </c>
      <c r="EH473" t="s">
        <v>3582</v>
      </c>
      <c r="EI473" t="s">
        <v>3582</v>
      </c>
      <c r="EJ473" t="s">
        <v>226</v>
      </c>
      <c r="EK473">
        <v>9090</v>
      </c>
      <c r="EL473">
        <v>0</v>
      </c>
      <c r="EM473" t="s">
        <v>952</v>
      </c>
      <c r="EN473">
        <v>0</v>
      </c>
      <c r="EO473">
        <v>20.8666667</v>
      </c>
      <c r="EP473">
        <v>99991120</v>
      </c>
      <c r="EQ473" t="s">
        <v>874</v>
      </c>
      <c r="ER473" t="s">
        <v>875</v>
      </c>
      <c r="ES473" t="s">
        <v>876</v>
      </c>
      <c r="ET473" t="s">
        <v>877</v>
      </c>
      <c r="EU473" t="s">
        <v>877</v>
      </c>
      <c r="EV473" t="s">
        <v>920</v>
      </c>
      <c r="EX473" t="s">
        <v>953</v>
      </c>
      <c r="EY473" t="s">
        <v>986</v>
      </c>
      <c r="EZ473" t="s">
        <v>1342</v>
      </c>
      <c r="FA473" t="s">
        <v>879</v>
      </c>
      <c r="FB473">
        <v>1</v>
      </c>
      <c r="FC473">
        <v>1</v>
      </c>
      <c r="FD473" s="41">
        <v>46123</v>
      </c>
      <c r="FE473" t="s">
        <v>1123</v>
      </c>
      <c r="FF473">
        <v>8</v>
      </c>
      <c r="FG473" t="s">
        <v>9746</v>
      </c>
      <c r="FH473" t="s">
        <v>9747</v>
      </c>
      <c r="FI473">
        <v>1</v>
      </c>
      <c r="FJ473" t="s">
        <v>9748</v>
      </c>
      <c r="FK473" t="s">
        <v>9749</v>
      </c>
      <c r="FL473">
        <v>1</v>
      </c>
      <c r="FM473" t="s">
        <v>9382</v>
      </c>
      <c r="FN473" t="s">
        <v>9749</v>
      </c>
      <c r="FO473">
        <v>1</v>
      </c>
      <c r="FP473" s="42" t="s">
        <v>9750</v>
      </c>
      <c r="FQ473" t="s">
        <v>9744</v>
      </c>
      <c r="FR473">
        <v>1</v>
      </c>
      <c r="FS473" t="s">
        <v>1350</v>
      </c>
      <c r="FT473" t="s">
        <v>9751</v>
      </c>
      <c r="FU473">
        <v>1</v>
      </c>
      <c r="FV473" t="s">
        <v>3594</v>
      </c>
      <c r="FW473" t="s">
        <v>9752</v>
      </c>
      <c r="FX473">
        <v>1</v>
      </c>
      <c r="FY473" t="s">
        <v>890</v>
      </c>
      <c r="FZ473" s="42" t="s">
        <v>9753</v>
      </c>
      <c r="GA473" t="s">
        <v>9748</v>
      </c>
      <c r="GB473">
        <v>1</v>
      </c>
      <c r="GD473">
        <v>0</v>
      </c>
      <c r="GF473">
        <v>0</v>
      </c>
      <c r="GG473">
        <v>1</v>
      </c>
      <c r="GH473" t="s">
        <v>892</v>
      </c>
      <c r="GI473" t="s">
        <v>893</v>
      </c>
      <c r="GJ473" t="s">
        <v>9749</v>
      </c>
      <c r="GM473">
        <v>1</v>
      </c>
      <c r="GN473">
        <v>1</v>
      </c>
      <c r="GO473">
        <v>0</v>
      </c>
      <c r="GP473">
        <v>1</v>
      </c>
      <c r="GQ473">
        <v>1</v>
      </c>
      <c r="GR473">
        <v>0</v>
      </c>
      <c r="GS473">
        <v>1</v>
      </c>
      <c r="GT473">
        <v>0</v>
      </c>
      <c r="GU473">
        <v>1</v>
      </c>
      <c r="GV473">
        <v>0</v>
      </c>
      <c r="GW473">
        <v>1</v>
      </c>
      <c r="GX473">
        <v>0</v>
      </c>
      <c r="GY473">
        <v>1</v>
      </c>
      <c r="GZ473">
        <v>0</v>
      </c>
      <c r="HA473" t="s">
        <v>287</v>
      </c>
      <c r="HB473" t="s">
        <v>894</v>
      </c>
      <c r="HC473" t="s">
        <v>935</v>
      </c>
      <c r="HD473" t="s">
        <v>845</v>
      </c>
      <c r="HE473" t="s">
        <v>900</v>
      </c>
      <c r="HF473" t="s">
        <v>923</v>
      </c>
      <c r="HG473" t="s">
        <v>894</v>
      </c>
      <c r="HH473" t="s">
        <v>935</v>
      </c>
      <c r="HI473" t="s">
        <v>845</v>
      </c>
      <c r="HJ473" t="s">
        <v>900</v>
      </c>
      <c r="HK473" t="s">
        <v>952</v>
      </c>
      <c r="HL473" t="s">
        <v>1332</v>
      </c>
      <c r="HM473" t="s">
        <v>854</v>
      </c>
      <c r="HN473">
        <v>36805</v>
      </c>
      <c r="HO473">
        <v>1</v>
      </c>
      <c r="HP473" t="s">
        <v>226</v>
      </c>
      <c r="HQ473" t="s">
        <v>896</v>
      </c>
      <c r="HR473" t="s">
        <v>896</v>
      </c>
      <c r="HS473" t="s">
        <v>896</v>
      </c>
    </row>
    <row r="474" spans="1:227" x14ac:dyDescent="0.2">
      <c r="A474">
        <v>8702</v>
      </c>
      <c r="B474">
        <v>7534410310</v>
      </c>
      <c r="C474" t="s">
        <v>829</v>
      </c>
      <c r="D474" t="s">
        <v>830</v>
      </c>
      <c r="E474" t="s">
        <v>831</v>
      </c>
      <c r="F474">
        <v>1</v>
      </c>
      <c r="G474" t="s">
        <v>9754</v>
      </c>
      <c r="H474" t="s">
        <v>9754</v>
      </c>
      <c r="I474">
        <v>0</v>
      </c>
      <c r="J474" t="s">
        <v>833</v>
      </c>
      <c r="K474" t="s">
        <v>834</v>
      </c>
      <c r="L474">
        <v>153406541</v>
      </c>
      <c r="M474" t="s">
        <v>9755</v>
      </c>
      <c r="N474" t="s">
        <v>836</v>
      </c>
      <c r="O474" t="s">
        <v>837</v>
      </c>
      <c r="P474" t="s">
        <v>838</v>
      </c>
      <c r="Q474" t="s">
        <v>1593</v>
      </c>
      <c r="R474" t="s">
        <v>9756</v>
      </c>
      <c r="S474" t="s">
        <v>9757</v>
      </c>
      <c r="T474">
        <v>30300131301</v>
      </c>
      <c r="V474" t="s">
        <v>1943</v>
      </c>
      <c r="W474" s="41">
        <v>46002</v>
      </c>
      <c r="X474" t="s">
        <v>9758</v>
      </c>
      <c r="Y474" t="s">
        <v>9759</v>
      </c>
      <c r="AA474">
        <v>0</v>
      </c>
      <c r="AB474" t="s">
        <v>845</v>
      </c>
      <c r="AC474" t="s">
        <v>846</v>
      </c>
      <c r="AD474" t="s">
        <v>847</v>
      </c>
      <c r="AE474" t="s">
        <v>848</v>
      </c>
      <c r="AF474">
        <v>1</v>
      </c>
      <c r="AG474">
        <v>452210</v>
      </c>
      <c r="AH474" t="s">
        <v>849</v>
      </c>
      <c r="AI474" t="s">
        <v>850</v>
      </c>
      <c r="AJ474" t="s">
        <v>851</v>
      </c>
      <c r="AK474" t="s">
        <v>305</v>
      </c>
      <c r="AL474" t="s">
        <v>1946</v>
      </c>
      <c r="AM474" t="s">
        <v>1947</v>
      </c>
      <c r="AN474" t="s">
        <v>854</v>
      </c>
      <c r="AO474">
        <v>36805</v>
      </c>
      <c r="AP474">
        <v>562</v>
      </c>
      <c r="AQ474" t="s">
        <v>855</v>
      </c>
      <c r="AR474">
        <v>66240633</v>
      </c>
      <c r="AS474" t="s">
        <v>856</v>
      </c>
      <c r="AU474" t="s">
        <v>9760</v>
      </c>
      <c r="AV474" t="s">
        <v>9761</v>
      </c>
      <c r="AW474" t="s">
        <v>1149</v>
      </c>
      <c r="AX474" t="s">
        <v>1150</v>
      </c>
      <c r="AY474" t="s">
        <v>861</v>
      </c>
      <c r="AZ474" t="s">
        <v>305</v>
      </c>
      <c r="BA474" t="s">
        <v>306</v>
      </c>
      <c r="BB474">
        <v>0</v>
      </c>
      <c r="BC474">
        <v>0</v>
      </c>
      <c r="BD474">
        <v>0</v>
      </c>
      <c r="BE474" t="s">
        <v>9755</v>
      </c>
      <c r="BF474">
        <v>0</v>
      </c>
      <c r="BG474">
        <v>0</v>
      </c>
      <c r="BH474" t="s">
        <v>862</v>
      </c>
      <c r="BI474">
        <v>0</v>
      </c>
      <c r="BJ474" t="s">
        <v>862</v>
      </c>
      <c r="BK474">
        <v>1</v>
      </c>
      <c r="BL474">
        <v>0</v>
      </c>
      <c r="BM474">
        <v>0</v>
      </c>
      <c r="BN474" t="s">
        <v>596</v>
      </c>
      <c r="BO474">
        <v>153406541</v>
      </c>
      <c r="BP474" t="s">
        <v>9754</v>
      </c>
      <c r="BQ474">
        <v>45.548643800000001</v>
      </c>
      <c r="BR474">
        <v>42791464</v>
      </c>
      <c r="BS474">
        <v>-94.215563500000002</v>
      </c>
      <c r="BT474">
        <v>0</v>
      </c>
      <c r="CM474">
        <v>4010</v>
      </c>
      <c r="CO474">
        <v>7360</v>
      </c>
      <c r="CP474">
        <v>1.4</v>
      </c>
      <c r="CQ474">
        <v>1.4</v>
      </c>
      <c r="CR474">
        <v>0.56669999999999998</v>
      </c>
      <c r="CS474">
        <v>2</v>
      </c>
      <c r="CT474" t="s">
        <v>9762</v>
      </c>
      <c r="CU474" t="s">
        <v>9763</v>
      </c>
      <c r="CV474" t="s">
        <v>833</v>
      </c>
      <c r="CW474" t="s">
        <v>834</v>
      </c>
      <c r="CX474" t="s">
        <v>9755</v>
      </c>
      <c r="CY474">
        <v>0</v>
      </c>
      <c r="CZ474">
        <v>0</v>
      </c>
      <c r="DA474" t="s">
        <v>833</v>
      </c>
      <c r="DB474" t="s">
        <v>865</v>
      </c>
      <c r="DC474">
        <v>56387</v>
      </c>
      <c r="DD474">
        <v>15.966699999999999</v>
      </c>
      <c r="DE474" t="s">
        <v>866</v>
      </c>
      <c r="DG474" t="s">
        <v>867</v>
      </c>
      <c r="DH474" t="s">
        <v>851</v>
      </c>
      <c r="DL474" t="s">
        <v>869</v>
      </c>
      <c r="DM474">
        <v>0</v>
      </c>
      <c r="DN474">
        <v>0</v>
      </c>
      <c r="DO474">
        <v>5</v>
      </c>
      <c r="DP474" t="s">
        <v>2086</v>
      </c>
      <c r="DQ474">
        <v>16</v>
      </c>
      <c r="DR474">
        <v>958</v>
      </c>
      <c r="DS474">
        <v>2389</v>
      </c>
      <c r="DT474">
        <v>14.566700000000001</v>
      </c>
      <c r="DU474">
        <v>4</v>
      </c>
      <c r="DW474">
        <v>2</v>
      </c>
      <c r="DX474" t="s">
        <v>594</v>
      </c>
      <c r="DY474" t="s">
        <v>9755</v>
      </c>
      <c r="DZ474">
        <v>0</v>
      </c>
      <c r="EA474">
        <v>0</v>
      </c>
      <c r="EB474">
        <v>0</v>
      </c>
      <c r="EC474">
        <v>0</v>
      </c>
      <c r="ED474">
        <v>0</v>
      </c>
      <c r="EE474">
        <v>0</v>
      </c>
      <c r="EF474" t="s">
        <v>920</v>
      </c>
      <c r="EG474" t="s">
        <v>595</v>
      </c>
      <c r="EH474" t="s">
        <v>872</v>
      </c>
      <c r="EI474" t="s">
        <v>872</v>
      </c>
      <c r="EJ474" t="s">
        <v>159</v>
      </c>
      <c r="EK474">
        <v>9090</v>
      </c>
      <c r="EL474">
        <v>0</v>
      </c>
      <c r="EM474" t="s">
        <v>873</v>
      </c>
      <c r="EN474">
        <v>0.56669999999999998</v>
      </c>
      <c r="EO474">
        <v>39.816666599999998</v>
      </c>
      <c r="EP474">
        <v>99991120</v>
      </c>
      <c r="EQ474" t="s">
        <v>874</v>
      </c>
      <c r="ER474" t="s">
        <v>875</v>
      </c>
      <c r="ES474" t="s">
        <v>876</v>
      </c>
      <c r="ET474" t="s">
        <v>877</v>
      </c>
      <c r="EU474" t="s">
        <v>877</v>
      </c>
      <c r="EV474" t="s">
        <v>920</v>
      </c>
      <c r="EX474" t="s">
        <v>836</v>
      </c>
      <c r="EY474" t="s">
        <v>1121</v>
      </c>
      <c r="EZ474" t="s">
        <v>1122</v>
      </c>
      <c r="FA474" t="s">
        <v>956</v>
      </c>
      <c r="FB474">
        <v>1</v>
      </c>
      <c r="FC474">
        <v>1</v>
      </c>
      <c r="FD474" s="41">
        <v>46004</v>
      </c>
      <c r="FE474" t="s">
        <v>957</v>
      </c>
      <c r="FF474">
        <v>9</v>
      </c>
      <c r="FG474" t="s">
        <v>9764</v>
      </c>
      <c r="FH474" t="s">
        <v>9765</v>
      </c>
      <c r="FI474">
        <v>1</v>
      </c>
      <c r="FJ474" t="s">
        <v>9766</v>
      </c>
      <c r="FK474" t="s">
        <v>9765</v>
      </c>
      <c r="FL474">
        <v>1</v>
      </c>
      <c r="FM474" t="s">
        <v>9767</v>
      </c>
      <c r="FN474" t="s">
        <v>9768</v>
      </c>
      <c r="FO474">
        <v>1</v>
      </c>
      <c r="FP474" t="s">
        <v>9769</v>
      </c>
      <c r="FQ474" t="s">
        <v>9763</v>
      </c>
      <c r="FR474">
        <v>1</v>
      </c>
      <c r="FS474" t="s">
        <v>4643</v>
      </c>
      <c r="FT474" t="s">
        <v>9770</v>
      </c>
      <c r="FU474">
        <v>1</v>
      </c>
      <c r="FV474" t="s">
        <v>9771</v>
      </c>
      <c r="FW474" t="s">
        <v>9772</v>
      </c>
      <c r="FX474">
        <v>1</v>
      </c>
      <c r="FY474" t="s">
        <v>890</v>
      </c>
      <c r="FZ474" t="s">
        <v>9773</v>
      </c>
      <c r="GA474" t="s">
        <v>9766</v>
      </c>
      <c r="GB474">
        <v>1</v>
      </c>
      <c r="GD474">
        <v>0</v>
      </c>
      <c r="GF474">
        <v>0</v>
      </c>
      <c r="GG474">
        <v>1</v>
      </c>
      <c r="GH474" t="s">
        <v>892</v>
      </c>
      <c r="GI474" t="s">
        <v>893</v>
      </c>
      <c r="GJ474" t="s">
        <v>9765</v>
      </c>
      <c r="GM474">
        <v>1</v>
      </c>
      <c r="GN474">
        <v>1</v>
      </c>
      <c r="GO474">
        <v>0</v>
      </c>
      <c r="GP474">
        <v>1</v>
      </c>
      <c r="GQ474">
        <v>1</v>
      </c>
      <c r="GR474">
        <v>0</v>
      </c>
      <c r="GS474">
        <v>1</v>
      </c>
      <c r="GT474">
        <v>0</v>
      </c>
      <c r="GU474">
        <v>1</v>
      </c>
      <c r="GV474">
        <v>0</v>
      </c>
      <c r="GW474">
        <v>1</v>
      </c>
      <c r="GX474">
        <v>0</v>
      </c>
      <c r="GY474">
        <v>1</v>
      </c>
      <c r="GZ474">
        <v>0</v>
      </c>
      <c r="HA474" t="s">
        <v>305</v>
      </c>
      <c r="HB474" t="s">
        <v>894</v>
      </c>
      <c r="HC474" t="s">
        <v>895</v>
      </c>
      <c r="HD474" t="s">
        <v>845</v>
      </c>
      <c r="HE474" t="s">
        <v>836</v>
      </c>
      <c r="HF474" t="s">
        <v>873</v>
      </c>
      <c r="HG474" t="s">
        <v>894</v>
      </c>
      <c r="HH474" t="s">
        <v>895</v>
      </c>
      <c r="HI474" t="s">
        <v>845</v>
      </c>
      <c r="HJ474" t="s">
        <v>836</v>
      </c>
      <c r="HK474" t="s">
        <v>873</v>
      </c>
      <c r="HL474" t="s">
        <v>1943</v>
      </c>
      <c r="HM474" t="s">
        <v>854</v>
      </c>
      <c r="HN474">
        <v>36805</v>
      </c>
      <c r="HP474" t="s">
        <v>159</v>
      </c>
      <c r="HQ474" t="s">
        <v>896</v>
      </c>
      <c r="HR474" t="s">
        <v>896</v>
      </c>
      <c r="HS474" t="s">
        <v>896</v>
      </c>
    </row>
    <row r="475" spans="1:227" x14ac:dyDescent="0.2">
      <c r="A475">
        <v>8702</v>
      </c>
      <c r="B475">
        <v>7619007318</v>
      </c>
      <c r="C475">
        <v>34</v>
      </c>
      <c r="D475" t="s">
        <v>996</v>
      </c>
      <c r="E475" t="s">
        <v>831</v>
      </c>
      <c r="F475">
        <v>0</v>
      </c>
      <c r="G475" t="s">
        <v>9774</v>
      </c>
      <c r="H475" t="s">
        <v>9774</v>
      </c>
      <c r="I475">
        <v>0</v>
      </c>
      <c r="J475" t="s">
        <v>833</v>
      </c>
      <c r="K475" t="s">
        <v>834</v>
      </c>
      <c r="L475">
        <v>152946688</v>
      </c>
      <c r="M475" t="s">
        <v>7054</v>
      </c>
      <c r="N475" t="s">
        <v>836</v>
      </c>
      <c r="O475" t="s">
        <v>837</v>
      </c>
      <c r="P475" t="s">
        <v>999</v>
      </c>
      <c r="Q475" t="s">
        <v>1857</v>
      </c>
      <c r="R475" t="s">
        <v>9775</v>
      </c>
      <c r="S475" t="s">
        <v>9776</v>
      </c>
      <c r="T475">
        <v>41477092613</v>
      </c>
      <c r="V475" t="s">
        <v>1384</v>
      </c>
      <c r="W475" s="41">
        <v>46217</v>
      </c>
      <c r="X475" t="s">
        <v>9777</v>
      </c>
      <c r="Y475" t="s">
        <v>9778</v>
      </c>
      <c r="AA475">
        <v>0</v>
      </c>
      <c r="AB475" t="s">
        <v>845</v>
      </c>
      <c r="AC475" t="s">
        <v>846</v>
      </c>
      <c r="AD475" t="s">
        <v>907</v>
      </c>
      <c r="AE475" t="s">
        <v>908</v>
      </c>
      <c r="AF475">
        <v>1</v>
      </c>
      <c r="AG475">
        <v>452210</v>
      </c>
      <c r="AH475" t="s">
        <v>849</v>
      </c>
      <c r="AI475" t="s">
        <v>850</v>
      </c>
      <c r="AJ475" t="s">
        <v>851</v>
      </c>
      <c r="AK475" t="s">
        <v>359</v>
      </c>
      <c r="AL475" t="s">
        <v>1257</v>
      </c>
      <c r="AM475" t="s">
        <v>1387</v>
      </c>
      <c r="AN475" t="s">
        <v>854</v>
      </c>
      <c r="AO475">
        <v>36805</v>
      </c>
      <c r="AP475">
        <v>542</v>
      </c>
      <c r="AQ475" t="s">
        <v>855</v>
      </c>
      <c r="AR475">
        <v>66550545</v>
      </c>
      <c r="AS475" t="s">
        <v>856</v>
      </c>
      <c r="AU475" t="s">
        <v>9779</v>
      </c>
      <c r="AV475" t="s">
        <v>9780</v>
      </c>
      <c r="AX475" t="s">
        <v>913</v>
      </c>
      <c r="AY475" t="s">
        <v>861</v>
      </c>
      <c r="AZ475" t="s">
        <v>359</v>
      </c>
      <c r="BA475" t="s">
        <v>254</v>
      </c>
      <c r="BB475">
        <v>0</v>
      </c>
      <c r="BC475">
        <v>1</v>
      </c>
      <c r="BD475">
        <v>0</v>
      </c>
      <c r="BE475" t="s">
        <v>7054</v>
      </c>
      <c r="BF475">
        <v>0</v>
      </c>
      <c r="BG475">
        <v>0</v>
      </c>
      <c r="BH475" t="s">
        <v>862</v>
      </c>
      <c r="BI475">
        <v>0</v>
      </c>
      <c r="BJ475" t="s">
        <v>862</v>
      </c>
      <c r="BK475">
        <v>1</v>
      </c>
      <c r="BL475">
        <v>1</v>
      </c>
      <c r="BM475">
        <v>0</v>
      </c>
      <c r="BN475" t="s">
        <v>596</v>
      </c>
      <c r="BO475">
        <v>152946688</v>
      </c>
      <c r="BP475" t="s">
        <v>9774</v>
      </c>
      <c r="BR475">
        <v>42791456</v>
      </c>
      <c r="BT475">
        <v>0</v>
      </c>
      <c r="BU475" t="s">
        <v>1062</v>
      </c>
      <c r="BY475">
        <v>16</v>
      </c>
      <c r="CA475">
        <v>68</v>
      </c>
      <c r="CE475">
        <v>0</v>
      </c>
      <c r="CI475">
        <v>11</v>
      </c>
      <c r="CJ475" t="s">
        <v>94</v>
      </c>
      <c r="CM475">
        <v>4010</v>
      </c>
      <c r="CO475">
        <v>7360</v>
      </c>
      <c r="CP475">
        <v>0.41670000000000001</v>
      </c>
      <c r="CQ475">
        <v>0.41670000000000001</v>
      </c>
      <c r="CR475">
        <v>0.66669999999999996</v>
      </c>
      <c r="CS475">
        <v>16</v>
      </c>
      <c r="CT475" t="s">
        <v>9781</v>
      </c>
      <c r="CU475" t="s">
        <v>9782</v>
      </c>
      <c r="CV475" t="s">
        <v>833</v>
      </c>
      <c r="CW475" t="s">
        <v>834</v>
      </c>
      <c r="CX475" t="s">
        <v>7054</v>
      </c>
      <c r="CY475">
        <v>1</v>
      </c>
      <c r="CZ475">
        <v>1</v>
      </c>
      <c r="DA475" t="s">
        <v>833</v>
      </c>
      <c r="DB475" t="s">
        <v>865</v>
      </c>
      <c r="DC475">
        <v>55124</v>
      </c>
      <c r="DD475">
        <v>68.116699999999994</v>
      </c>
      <c r="DE475" t="s">
        <v>866</v>
      </c>
      <c r="DG475" t="s">
        <v>867</v>
      </c>
      <c r="DH475" t="s">
        <v>851</v>
      </c>
      <c r="DI475" t="s">
        <v>3616</v>
      </c>
      <c r="DK475" t="s">
        <v>918</v>
      </c>
      <c r="DL475" t="s">
        <v>869</v>
      </c>
      <c r="DM475">
        <v>0</v>
      </c>
      <c r="DN475">
        <v>0</v>
      </c>
      <c r="DO475">
        <v>11</v>
      </c>
      <c r="DP475" t="s">
        <v>1010</v>
      </c>
      <c r="DQ475">
        <v>16</v>
      </c>
      <c r="DR475">
        <v>4087</v>
      </c>
      <c r="DS475">
        <v>7687</v>
      </c>
      <c r="DT475">
        <v>67.7</v>
      </c>
      <c r="DU475">
        <v>4</v>
      </c>
      <c r="DV475">
        <v>1</v>
      </c>
      <c r="DW475">
        <v>2</v>
      </c>
      <c r="DX475" t="s">
        <v>596</v>
      </c>
      <c r="DY475" t="s">
        <v>7054</v>
      </c>
      <c r="DZ475">
        <v>0</v>
      </c>
      <c r="EA475">
        <v>0</v>
      </c>
      <c r="EB475">
        <v>1</v>
      </c>
      <c r="EC475">
        <v>0</v>
      </c>
      <c r="ED475">
        <v>0</v>
      </c>
      <c r="EE475">
        <v>1</v>
      </c>
      <c r="EF475" t="s">
        <v>871</v>
      </c>
      <c r="EG475" t="s">
        <v>595</v>
      </c>
      <c r="EH475" t="s">
        <v>921</v>
      </c>
      <c r="EI475" t="s">
        <v>921</v>
      </c>
      <c r="EJ475" t="s">
        <v>159</v>
      </c>
      <c r="EK475">
        <v>9090</v>
      </c>
      <c r="EL475">
        <v>0</v>
      </c>
      <c r="EM475" t="s">
        <v>873</v>
      </c>
      <c r="EN475">
        <v>0.66669999999999996</v>
      </c>
      <c r="EO475">
        <v>128.1166667</v>
      </c>
      <c r="EP475">
        <v>99991120</v>
      </c>
      <c r="EQ475" t="s">
        <v>874</v>
      </c>
      <c r="ER475" t="s">
        <v>875</v>
      </c>
      <c r="ES475" t="s">
        <v>876</v>
      </c>
      <c r="ET475" t="s">
        <v>877</v>
      </c>
      <c r="EU475" t="s">
        <v>877</v>
      </c>
      <c r="EV475" t="s">
        <v>871</v>
      </c>
      <c r="EX475" t="s">
        <v>836</v>
      </c>
      <c r="EY475" t="s">
        <v>873</v>
      </c>
      <c r="EZ475" t="s">
        <v>1122</v>
      </c>
      <c r="FA475" t="s">
        <v>956</v>
      </c>
      <c r="FB475">
        <v>1</v>
      </c>
      <c r="FC475">
        <v>1</v>
      </c>
      <c r="FD475" s="41">
        <v>46221</v>
      </c>
      <c r="FE475" t="s">
        <v>1066</v>
      </c>
      <c r="FF475">
        <v>15</v>
      </c>
      <c r="FG475" t="s">
        <v>9783</v>
      </c>
      <c r="FH475" t="s">
        <v>9784</v>
      </c>
      <c r="FI475">
        <v>1</v>
      </c>
      <c r="FJ475" t="s">
        <v>9785</v>
      </c>
      <c r="FK475" t="s">
        <v>9786</v>
      </c>
      <c r="FL475">
        <v>1</v>
      </c>
      <c r="FM475" t="s">
        <v>7065</v>
      </c>
      <c r="FN475" t="s">
        <v>9787</v>
      </c>
      <c r="FO475">
        <v>1</v>
      </c>
      <c r="FP475" t="s">
        <v>9788</v>
      </c>
      <c r="FQ475" t="s">
        <v>9782</v>
      </c>
      <c r="FR475">
        <v>1</v>
      </c>
      <c r="FS475" t="s">
        <v>5534</v>
      </c>
      <c r="FT475" t="s">
        <v>9789</v>
      </c>
      <c r="FU475">
        <v>1</v>
      </c>
      <c r="FV475" t="s">
        <v>9790</v>
      </c>
      <c r="FW475" t="s">
        <v>9791</v>
      </c>
      <c r="FX475">
        <v>1</v>
      </c>
      <c r="FY475" t="s">
        <v>890</v>
      </c>
      <c r="FZ475" t="s">
        <v>9792</v>
      </c>
      <c r="GA475" t="s">
        <v>9785</v>
      </c>
      <c r="GB475">
        <v>1</v>
      </c>
      <c r="GD475">
        <v>0</v>
      </c>
      <c r="GF475">
        <v>0</v>
      </c>
      <c r="GG475">
        <v>1</v>
      </c>
      <c r="GH475" t="s">
        <v>892</v>
      </c>
      <c r="GI475" t="s">
        <v>893</v>
      </c>
      <c r="GJ475" t="s">
        <v>9786</v>
      </c>
      <c r="GM475">
        <v>1</v>
      </c>
      <c r="GN475">
        <v>1</v>
      </c>
      <c r="GO475">
        <v>0</v>
      </c>
      <c r="GP475">
        <v>1</v>
      </c>
      <c r="GQ475">
        <v>1</v>
      </c>
      <c r="GR475">
        <v>0</v>
      </c>
      <c r="GS475">
        <v>1</v>
      </c>
      <c r="GT475">
        <v>0</v>
      </c>
      <c r="GU475">
        <v>1</v>
      </c>
      <c r="GV475">
        <v>0</v>
      </c>
      <c r="GW475">
        <v>1</v>
      </c>
      <c r="GX475">
        <v>0</v>
      </c>
      <c r="GY475">
        <v>1</v>
      </c>
      <c r="GZ475">
        <v>0</v>
      </c>
      <c r="HA475" t="s">
        <v>359</v>
      </c>
      <c r="HB475" t="s">
        <v>894</v>
      </c>
      <c r="HC475" t="s">
        <v>895</v>
      </c>
      <c r="HD475" t="s">
        <v>845</v>
      </c>
      <c r="HE475" t="s">
        <v>836</v>
      </c>
      <c r="HF475" t="s">
        <v>873</v>
      </c>
      <c r="HG475" t="s">
        <v>894</v>
      </c>
      <c r="HH475" t="s">
        <v>895</v>
      </c>
      <c r="HI475" t="s">
        <v>845</v>
      </c>
      <c r="HJ475" t="s">
        <v>836</v>
      </c>
      <c r="HK475" t="s">
        <v>873</v>
      </c>
      <c r="HL475" t="s">
        <v>1384</v>
      </c>
      <c r="HM475" t="s">
        <v>854</v>
      </c>
      <c r="HN475">
        <v>36805</v>
      </c>
      <c r="HP475" t="s">
        <v>159</v>
      </c>
      <c r="HQ475" t="s">
        <v>896</v>
      </c>
      <c r="HR475" t="s">
        <v>896</v>
      </c>
      <c r="HS475" t="s">
        <v>896</v>
      </c>
    </row>
    <row r="476" spans="1:227" x14ac:dyDescent="0.2">
      <c r="A476">
        <v>8702</v>
      </c>
      <c r="B476">
        <v>7527413991</v>
      </c>
      <c r="C476">
        <v>36</v>
      </c>
      <c r="D476" t="s">
        <v>1302</v>
      </c>
      <c r="E476" t="s">
        <v>831</v>
      </c>
      <c r="F476">
        <v>0</v>
      </c>
      <c r="G476" t="s">
        <v>9793</v>
      </c>
      <c r="H476" t="s">
        <v>9793</v>
      </c>
      <c r="I476">
        <v>0</v>
      </c>
      <c r="J476" t="s">
        <v>833</v>
      </c>
      <c r="K476" t="s">
        <v>834</v>
      </c>
      <c r="L476">
        <v>153524529</v>
      </c>
      <c r="M476" t="s">
        <v>1304</v>
      </c>
      <c r="N476" t="s">
        <v>836</v>
      </c>
      <c r="O476" t="s">
        <v>837</v>
      </c>
      <c r="P476" t="s">
        <v>1302</v>
      </c>
      <c r="Q476" t="s">
        <v>1305</v>
      </c>
      <c r="R476" t="s">
        <v>9794</v>
      </c>
      <c r="S476" t="s">
        <v>9795</v>
      </c>
      <c r="T476">
        <v>30300130770</v>
      </c>
      <c r="V476" t="s">
        <v>1003</v>
      </c>
      <c r="W476" s="41">
        <v>45934</v>
      </c>
      <c r="X476" t="s">
        <v>9796</v>
      </c>
      <c r="Y476" t="s">
        <v>9797</v>
      </c>
      <c r="Z476" t="s">
        <v>9798</v>
      </c>
      <c r="AA476">
        <v>0</v>
      </c>
      <c r="AB476" t="s">
        <v>845</v>
      </c>
      <c r="AC476" t="s">
        <v>846</v>
      </c>
      <c r="AD476" t="s">
        <v>847</v>
      </c>
      <c r="AE476" t="s">
        <v>848</v>
      </c>
      <c r="AF476">
        <v>1</v>
      </c>
      <c r="AG476">
        <v>452210</v>
      </c>
      <c r="AH476" t="s">
        <v>849</v>
      </c>
      <c r="AI476" t="s">
        <v>850</v>
      </c>
      <c r="AJ476" t="s">
        <v>851</v>
      </c>
      <c r="AK476" t="s">
        <v>395</v>
      </c>
      <c r="AL476" t="s">
        <v>3870</v>
      </c>
      <c r="AM476" t="s">
        <v>1311</v>
      </c>
      <c r="AN476" t="s">
        <v>854</v>
      </c>
      <c r="AO476">
        <v>36805</v>
      </c>
      <c r="AP476">
        <v>541</v>
      </c>
      <c r="AQ476" t="s">
        <v>855</v>
      </c>
      <c r="AR476">
        <v>66143237</v>
      </c>
      <c r="AS476" t="s">
        <v>856</v>
      </c>
      <c r="AU476" t="s">
        <v>9799</v>
      </c>
      <c r="AV476" t="s">
        <v>9800</v>
      </c>
      <c r="AX476" t="s">
        <v>913</v>
      </c>
      <c r="AY476" t="s">
        <v>861</v>
      </c>
      <c r="AZ476" t="s">
        <v>395</v>
      </c>
      <c r="BA476" t="s">
        <v>396</v>
      </c>
      <c r="BB476">
        <v>1</v>
      </c>
      <c r="BC476">
        <v>0</v>
      </c>
      <c r="BD476">
        <v>0</v>
      </c>
      <c r="BE476" t="s">
        <v>1304</v>
      </c>
      <c r="BF476">
        <v>0</v>
      </c>
      <c r="BG476">
        <v>0</v>
      </c>
      <c r="BH476" t="s">
        <v>862</v>
      </c>
      <c r="BI476">
        <v>0</v>
      </c>
      <c r="BJ476" t="s">
        <v>862</v>
      </c>
      <c r="BK476">
        <v>1</v>
      </c>
      <c r="BL476">
        <v>0</v>
      </c>
      <c r="BM476">
        <v>0</v>
      </c>
      <c r="BN476" t="s">
        <v>596</v>
      </c>
      <c r="BO476">
        <v>153524529</v>
      </c>
      <c r="BP476" t="s">
        <v>9793</v>
      </c>
      <c r="BR476">
        <v>42791455</v>
      </c>
      <c r="BT476">
        <v>1</v>
      </c>
      <c r="BU476" t="s">
        <v>2280</v>
      </c>
      <c r="CI476">
        <v>11</v>
      </c>
      <c r="CJ476" t="s">
        <v>94</v>
      </c>
      <c r="CM476">
        <v>4010</v>
      </c>
      <c r="CO476">
        <v>7360</v>
      </c>
      <c r="CP476">
        <v>2.2833000000000001</v>
      </c>
      <c r="CQ476">
        <v>2.2833000000000001</v>
      </c>
      <c r="CR476">
        <v>3.05</v>
      </c>
      <c r="CS476">
        <v>0</v>
      </c>
      <c r="CT476" t="s">
        <v>9801</v>
      </c>
      <c r="CU476" t="s">
        <v>9802</v>
      </c>
      <c r="CV476" t="s">
        <v>833</v>
      </c>
      <c r="CW476" t="s">
        <v>834</v>
      </c>
      <c r="CX476" t="s">
        <v>1304</v>
      </c>
      <c r="CY476">
        <v>1</v>
      </c>
      <c r="CZ476">
        <v>1</v>
      </c>
      <c r="DA476" t="s">
        <v>833</v>
      </c>
      <c r="DB476" t="s">
        <v>865</v>
      </c>
      <c r="DC476">
        <v>55431</v>
      </c>
      <c r="DD476">
        <v>46.6</v>
      </c>
      <c r="DE476" t="s">
        <v>866</v>
      </c>
      <c r="DG476" t="s">
        <v>867</v>
      </c>
      <c r="DH476" t="s">
        <v>851</v>
      </c>
      <c r="DI476" t="s">
        <v>1291</v>
      </c>
      <c r="DK476" t="s">
        <v>1155</v>
      </c>
      <c r="DL476" t="s">
        <v>869</v>
      </c>
      <c r="DM476">
        <v>0</v>
      </c>
      <c r="DN476">
        <v>1.67E-2</v>
      </c>
      <c r="DO476">
        <v>11</v>
      </c>
      <c r="DP476" t="s">
        <v>1010</v>
      </c>
      <c r="DQ476">
        <v>16</v>
      </c>
      <c r="DR476">
        <v>2663</v>
      </c>
      <c r="DS476">
        <v>4956</v>
      </c>
      <c r="DT476">
        <v>27.316700000000001</v>
      </c>
      <c r="DU476">
        <v>4</v>
      </c>
      <c r="DV476">
        <v>1</v>
      </c>
      <c r="DW476">
        <v>2</v>
      </c>
      <c r="DX476" t="s">
        <v>596</v>
      </c>
      <c r="DY476" t="s">
        <v>1304</v>
      </c>
      <c r="DZ476">
        <v>0</v>
      </c>
      <c r="EA476">
        <v>0</v>
      </c>
      <c r="EB476">
        <v>0</v>
      </c>
      <c r="EC476">
        <v>0</v>
      </c>
      <c r="ED476">
        <v>0</v>
      </c>
      <c r="EE476">
        <v>0</v>
      </c>
      <c r="EF476" t="s">
        <v>871</v>
      </c>
      <c r="EG476" t="s">
        <v>595</v>
      </c>
      <c r="EH476" t="s">
        <v>921</v>
      </c>
      <c r="EI476" t="s">
        <v>921</v>
      </c>
      <c r="EJ476" t="s">
        <v>159</v>
      </c>
      <c r="EK476">
        <v>9090</v>
      </c>
      <c r="EL476">
        <v>1</v>
      </c>
      <c r="EM476" t="s">
        <v>873</v>
      </c>
      <c r="EN476">
        <v>4.2167000000000003</v>
      </c>
      <c r="EO476">
        <v>82.6</v>
      </c>
      <c r="EP476">
        <v>99991120</v>
      </c>
      <c r="EQ476" t="s">
        <v>874</v>
      </c>
      <c r="ER476" t="s">
        <v>875</v>
      </c>
      <c r="ES476" t="s">
        <v>876</v>
      </c>
      <c r="ET476" t="s">
        <v>877</v>
      </c>
      <c r="EU476" t="s">
        <v>877</v>
      </c>
      <c r="EV476" t="s">
        <v>871</v>
      </c>
      <c r="EX476" t="s">
        <v>836</v>
      </c>
      <c r="EY476" t="s">
        <v>1121</v>
      </c>
      <c r="EZ476" t="s">
        <v>1122</v>
      </c>
      <c r="FA476" t="s">
        <v>956</v>
      </c>
      <c r="FB476">
        <v>1</v>
      </c>
      <c r="FC476">
        <v>2</v>
      </c>
      <c r="FD476" s="41">
        <v>45934</v>
      </c>
      <c r="FE476" t="s">
        <v>1039</v>
      </c>
      <c r="FF476">
        <v>13</v>
      </c>
      <c r="FG476" t="s">
        <v>9803</v>
      </c>
      <c r="FH476" t="s">
        <v>9804</v>
      </c>
      <c r="FI476">
        <v>1</v>
      </c>
      <c r="FJ476" t="s">
        <v>9803</v>
      </c>
      <c r="FK476" t="s">
        <v>9805</v>
      </c>
      <c r="FL476">
        <v>1</v>
      </c>
      <c r="FM476" t="s">
        <v>1320</v>
      </c>
      <c r="FN476" t="s">
        <v>9806</v>
      </c>
      <c r="FO476">
        <v>1</v>
      </c>
      <c r="FP476" t="s">
        <v>9807</v>
      </c>
      <c r="FQ476" t="s">
        <v>9802</v>
      </c>
      <c r="FR476">
        <v>1</v>
      </c>
      <c r="FS476" t="s">
        <v>1273</v>
      </c>
      <c r="FT476" t="s">
        <v>9808</v>
      </c>
      <c r="FU476">
        <v>1</v>
      </c>
      <c r="FV476" t="s">
        <v>1835</v>
      </c>
      <c r="FW476" t="s">
        <v>9809</v>
      </c>
      <c r="FX476">
        <v>1</v>
      </c>
      <c r="FY476" t="s">
        <v>890</v>
      </c>
      <c r="FZ476" t="s">
        <v>9810</v>
      </c>
      <c r="GA476" t="s">
        <v>9803</v>
      </c>
      <c r="GB476">
        <v>1</v>
      </c>
      <c r="GD476">
        <v>0</v>
      </c>
      <c r="GF476">
        <v>0</v>
      </c>
      <c r="GG476">
        <v>1</v>
      </c>
      <c r="GH476" t="s">
        <v>892</v>
      </c>
      <c r="GI476" t="s">
        <v>893</v>
      </c>
      <c r="GJ476" t="s">
        <v>9804</v>
      </c>
      <c r="GM476">
        <v>1</v>
      </c>
      <c r="GN476">
        <v>0</v>
      </c>
      <c r="GO476">
        <v>0</v>
      </c>
      <c r="GP476">
        <v>1</v>
      </c>
      <c r="GQ476">
        <v>1</v>
      </c>
      <c r="GR476">
        <v>0</v>
      </c>
      <c r="GS476">
        <v>1</v>
      </c>
      <c r="GT476">
        <v>0</v>
      </c>
      <c r="GU476">
        <v>1</v>
      </c>
      <c r="GV476">
        <v>0</v>
      </c>
      <c r="GW476">
        <v>1</v>
      </c>
      <c r="GX476">
        <v>0</v>
      </c>
      <c r="GY476">
        <v>1</v>
      </c>
      <c r="GZ476">
        <v>0</v>
      </c>
      <c r="HA476" t="s">
        <v>395</v>
      </c>
      <c r="HB476" t="s">
        <v>894</v>
      </c>
      <c r="HC476" t="s">
        <v>895</v>
      </c>
      <c r="HD476" t="s">
        <v>845</v>
      </c>
      <c r="HE476" t="s">
        <v>836</v>
      </c>
      <c r="HF476" t="s">
        <v>873</v>
      </c>
      <c r="HG476" t="s">
        <v>894</v>
      </c>
      <c r="HH476" t="s">
        <v>895</v>
      </c>
      <c r="HI476" t="s">
        <v>845</v>
      </c>
      <c r="HJ476" t="s">
        <v>836</v>
      </c>
      <c r="HK476" t="s">
        <v>873</v>
      </c>
      <c r="HL476" t="s">
        <v>1003</v>
      </c>
      <c r="HM476" t="s">
        <v>854</v>
      </c>
      <c r="HN476">
        <v>36805</v>
      </c>
      <c r="HO476">
        <v>1</v>
      </c>
      <c r="HP476" t="s">
        <v>159</v>
      </c>
      <c r="HQ476" t="s">
        <v>896</v>
      </c>
      <c r="HR476" t="s">
        <v>896</v>
      </c>
      <c r="HS476" t="s">
        <v>896</v>
      </c>
    </row>
    <row r="477" spans="1:227" x14ac:dyDescent="0.2">
      <c r="A477">
        <v>8702</v>
      </c>
      <c r="B477">
        <v>7525703209</v>
      </c>
      <c r="C477">
        <v>34</v>
      </c>
      <c r="D477" t="s">
        <v>996</v>
      </c>
      <c r="E477" t="s">
        <v>831</v>
      </c>
      <c r="F477">
        <v>0</v>
      </c>
      <c r="G477" t="s">
        <v>9811</v>
      </c>
      <c r="H477" t="s">
        <v>9811</v>
      </c>
      <c r="I477">
        <v>0</v>
      </c>
      <c r="J477" t="s">
        <v>833</v>
      </c>
      <c r="K477" t="s">
        <v>834</v>
      </c>
      <c r="L477">
        <v>156057625</v>
      </c>
      <c r="M477" t="s">
        <v>9812</v>
      </c>
      <c r="N477" t="s">
        <v>836</v>
      </c>
      <c r="O477" t="s">
        <v>837</v>
      </c>
      <c r="P477" t="s">
        <v>999</v>
      </c>
      <c r="Q477" t="s">
        <v>1027</v>
      </c>
      <c r="R477" t="s">
        <v>9813</v>
      </c>
      <c r="S477" t="s">
        <v>9814</v>
      </c>
      <c r="T477">
        <v>41477047363</v>
      </c>
      <c r="V477" t="s">
        <v>1732</v>
      </c>
      <c r="W477" s="41">
        <v>45914</v>
      </c>
      <c r="X477" t="s">
        <v>9815</v>
      </c>
      <c r="Y477" t="s">
        <v>9816</v>
      </c>
      <c r="AA477">
        <v>0</v>
      </c>
      <c r="AB477" t="s">
        <v>845</v>
      </c>
      <c r="AC477" t="s">
        <v>846</v>
      </c>
      <c r="AD477" t="s">
        <v>847</v>
      </c>
      <c r="AE477" t="s">
        <v>848</v>
      </c>
      <c r="AF477">
        <v>1</v>
      </c>
      <c r="AG477">
        <v>452210</v>
      </c>
      <c r="AH477" t="s">
        <v>849</v>
      </c>
      <c r="AI477" t="s">
        <v>850</v>
      </c>
      <c r="AJ477" t="s">
        <v>851</v>
      </c>
      <c r="AK477" t="s">
        <v>261</v>
      </c>
      <c r="AL477" t="s">
        <v>1363</v>
      </c>
      <c r="AM477" t="s">
        <v>1736</v>
      </c>
      <c r="AN477" t="s">
        <v>854</v>
      </c>
      <c r="AO477">
        <v>36805</v>
      </c>
      <c r="AP477">
        <v>494</v>
      </c>
      <c r="AQ477" t="s">
        <v>855</v>
      </c>
      <c r="AR477">
        <v>66114483</v>
      </c>
      <c r="AS477" t="s">
        <v>856</v>
      </c>
      <c r="AU477" t="s">
        <v>9817</v>
      </c>
      <c r="AV477" t="s">
        <v>9818</v>
      </c>
      <c r="AX477" t="s">
        <v>913</v>
      </c>
      <c r="AY477" t="s">
        <v>861</v>
      </c>
      <c r="AZ477" t="s">
        <v>261</v>
      </c>
      <c r="BA477" t="s">
        <v>262</v>
      </c>
      <c r="BB477">
        <v>1</v>
      </c>
      <c r="BC477">
        <v>0</v>
      </c>
      <c r="BD477">
        <v>0</v>
      </c>
      <c r="BE477" t="s">
        <v>9812</v>
      </c>
      <c r="BF477">
        <v>0</v>
      </c>
      <c r="BG477">
        <v>0</v>
      </c>
      <c r="BH477" t="s">
        <v>862</v>
      </c>
      <c r="BI477">
        <v>0</v>
      </c>
      <c r="BJ477" t="s">
        <v>862</v>
      </c>
      <c r="BK477">
        <v>1</v>
      </c>
      <c r="BL477">
        <v>1</v>
      </c>
      <c r="BM477">
        <v>0</v>
      </c>
      <c r="BN477" t="s">
        <v>596</v>
      </c>
      <c r="BO477">
        <v>156057625</v>
      </c>
      <c r="BP477" t="s">
        <v>9811</v>
      </c>
      <c r="BR477">
        <v>42789059</v>
      </c>
      <c r="BT477">
        <v>0</v>
      </c>
      <c r="CM477">
        <v>4010</v>
      </c>
      <c r="CO477">
        <v>7360</v>
      </c>
      <c r="CP477">
        <v>1.3332999999999999</v>
      </c>
      <c r="CQ477">
        <v>1.3332999999999999</v>
      </c>
      <c r="CR477">
        <v>0.3</v>
      </c>
      <c r="CS477">
        <v>0</v>
      </c>
      <c r="CT477" t="s">
        <v>9818</v>
      </c>
      <c r="CU477" t="s">
        <v>9817</v>
      </c>
      <c r="CV477" t="s">
        <v>833</v>
      </c>
      <c r="CW477" t="s">
        <v>834</v>
      </c>
      <c r="CX477" t="s">
        <v>9812</v>
      </c>
      <c r="CY477">
        <v>1</v>
      </c>
      <c r="CZ477">
        <v>1</v>
      </c>
      <c r="DA477" t="s">
        <v>833</v>
      </c>
      <c r="DB477" t="s">
        <v>865</v>
      </c>
      <c r="DC477">
        <v>63123</v>
      </c>
      <c r="DD477">
        <v>7</v>
      </c>
      <c r="DE477" t="s">
        <v>866</v>
      </c>
      <c r="DG477" t="s">
        <v>867</v>
      </c>
      <c r="DH477" t="s">
        <v>851</v>
      </c>
      <c r="DL477" t="s">
        <v>869</v>
      </c>
      <c r="DM477">
        <v>0</v>
      </c>
      <c r="DN477">
        <v>0</v>
      </c>
      <c r="DO477">
        <v>11</v>
      </c>
      <c r="DP477" t="s">
        <v>1010</v>
      </c>
      <c r="DQ477">
        <v>12</v>
      </c>
      <c r="DR477">
        <v>420</v>
      </c>
      <c r="DS477">
        <v>461</v>
      </c>
      <c r="DT477">
        <v>2.8666999999999998</v>
      </c>
      <c r="DU477">
        <v>4</v>
      </c>
      <c r="DW477">
        <v>1</v>
      </c>
      <c r="DX477" t="s">
        <v>596</v>
      </c>
      <c r="DY477" t="s">
        <v>9812</v>
      </c>
      <c r="DZ477">
        <v>1</v>
      </c>
      <c r="EA477">
        <v>1</v>
      </c>
      <c r="EB477">
        <v>1</v>
      </c>
      <c r="EC477">
        <v>1</v>
      </c>
      <c r="ED477">
        <v>1</v>
      </c>
      <c r="EE477">
        <v>1</v>
      </c>
      <c r="EF477" t="s">
        <v>920</v>
      </c>
      <c r="EG477" t="s">
        <v>595</v>
      </c>
      <c r="EH477" t="s">
        <v>1036</v>
      </c>
      <c r="EI477" t="s">
        <v>1036</v>
      </c>
      <c r="EJ477" t="s">
        <v>111</v>
      </c>
      <c r="EK477">
        <v>9090</v>
      </c>
      <c r="EL477">
        <v>1</v>
      </c>
      <c r="EM477" t="s">
        <v>1037</v>
      </c>
      <c r="EN477">
        <v>0.3</v>
      </c>
      <c r="EO477">
        <v>7.6833333000000001</v>
      </c>
      <c r="EP477">
        <v>99991120</v>
      </c>
      <c r="EQ477" t="s">
        <v>874</v>
      </c>
      <c r="ER477" t="s">
        <v>875</v>
      </c>
      <c r="ES477" t="s">
        <v>876</v>
      </c>
      <c r="ET477" t="s">
        <v>877</v>
      </c>
      <c r="EU477" t="s">
        <v>877</v>
      </c>
      <c r="EV477" t="s">
        <v>920</v>
      </c>
      <c r="EX477" t="s">
        <v>900</v>
      </c>
      <c r="EY477" t="s">
        <v>923</v>
      </c>
      <c r="EZ477" t="s">
        <v>1038</v>
      </c>
      <c r="FA477" t="s">
        <v>925</v>
      </c>
      <c r="FB477">
        <v>1</v>
      </c>
      <c r="FC477">
        <v>2</v>
      </c>
      <c r="FD477" s="41">
        <v>45920</v>
      </c>
      <c r="FE477" t="s">
        <v>880</v>
      </c>
      <c r="FF477">
        <v>10</v>
      </c>
      <c r="FG477" t="s">
        <v>1376</v>
      </c>
      <c r="FH477" t="s">
        <v>9819</v>
      </c>
      <c r="FI477">
        <v>1</v>
      </c>
      <c r="FJ477" t="s">
        <v>9820</v>
      </c>
      <c r="FK477" t="s">
        <v>9821</v>
      </c>
      <c r="FL477">
        <v>1</v>
      </c>
      <c r="FM477" t="s">
        <v>9822</v>
      </c>
      <c r="FN477" t="s">
        <v>9823</v>
      </c>
      <c r="FO477">
        <v>1</v>
      </c>
      <c r="FP477" t="s">
        <v>9824</v>
      </c>
      <c r="FQ477" t="s">
        <v>9825</v>
      </c>
      <c r="FR477">
        <v>1</v>
      </c>
      <c r="FS477" t="s">
        <v>3928</v>
      </c>
      <c r="FT477" t="s">
        <v>9826</v>
      </c>
      <c r="FU477">
        <v>1</v>
      </c>
      <c r="FV477" t="s">
        <v>9827</v>
      </c>
      <c r="FW477" t="s">
        <v>9828</v>
      </c>
      <c r="FX477">
        <v>1</v>
      </c>
      <c r="FY477" t="s">
        <v>890</v>
      </c>
      <c r="FZ477" t="s">
        <v>9829</v>
      </c>
      <c r="GA477" t="s">
        <v>9820</v>
      </c>
      <c r="GB477">
        <v>1</v>
      </c>
      <c r="GD477">
        <v>0</v>
      </c>
      <c r="GF477">
        <v>0</v>
      </c>
      <c r="GG477">
        <v>1</v>
      </c>
      <c r="GH477" t="s">
        <v>892</v>
      </c>
      <c r="GI477" t="s">
        <v>893</v>
      </c>
      <c r="GJ477" t="s">
        <v>9821</v>
      </c>
      <c r="GM477">
        <v>1</v>
      </c>
      <c r="GN477">
        <v>0</v>
      </c>
      <c r="GO477">
        <v>0</v>
      </c>
      <c r="GP477">
        <v>1</v>
      </c>
      <c r="GQ477">
        <v>1</v>
      </c>
      <c r="GR477">
        <v>0</v>
      </c>
      <c r="GS477">
        <v>1</v>
      </c>
      <c r="GT477">
        <v>0</v>
      </c>
      <c r="GU477">
        <v>1</v>
      </c>
      <c r="GV477">
        <v>0</v>
      </c>
      <c r="GW477">
        <v>1</v>
      </c>
      <c r="GX477">
        <v>0</v>
      </c>
      <c r="GY477">
        <v>1</v>
      </c>
      <c r="GZ477">
        <v>0</v>
      </c>
      <c r="HA477" t="s">
        <v>261</v>
      </c>
      <c r="HB477" t="s">
        <v>894</v>
      </c>
      <c r="HC477" t="s">
        <v>895</v>
      </c>
      <c r="HD477" t="s">
        <v>845</v>
      </c>
      <c r="HE477" t="s">
        <v>836</v>
      </c>
      <c r="HF477" t="s">
        <v>1051</v>
      </c>
      <c r="HG477" t="s">
        <v>894</v>
      </c>
      <c r="HH477" t="s">
        <v>895</v>
      </c>
      <c r="HI477" t="s">
        <v>845</v>
      </c>
      <c r="HJ477" t="s">
        <v>836</v>
      </c>
      <c r="HK477" t="s">
        <v>1037</v>
      </c>
      <c r="HL477" t="s">
        <v>1732</v>
      </c>
      <c r="HM477" t="s">
        <v>854</v>
      </c>
      <c r="HN477">
        <v>36805</v>
      </c>
      <c r="HP477" t="s">
        <v>111</v>
      </c>
      <c r="HQ477" t="s">
        <v>896</v>
      </c>
      <c r="HR477" t="s">
        <v>896</v>
      </c>
      <c r="HS477" t="s">
        <v>896</v>
      </c>
    </row>
    <row r="478" spans="1:227" x14ac:dyDescent="0.2">
      <c r="A478">
        <v>8702</v>
      </c>
      <c r="B478">
        <v>7605703506</v>
      </c>
      <c r="C478" t="s">
        <v>829</v>
      </c>
      <c r="D478" t="s">
        <v>830</v>
      </c>
      <c r="E478" t="s">
        <v>831</v>
      </c>
      <c r="F478">
        <v>0</v>
      </c>
      <c r="G478" t="s">
        <v>9830</v>
      </c>
      <c r="H478" t="s">
        <v>9830</v>
      </c>
      <c r="I478">
        <v>0</v>
      </c>
      <c r="J478" t="s">
        <v>833</v>
      </c>
      <c r="K478" t="s">
        <v>834</v>
      </c>
      <c r="L478">
        <v>153406433</v>
      </c>
      <c r="M478" t="s">
        <v>5271</v>
      </c>
      <c r="N478" t="s">
        <v>836</v>
      </c>
      <c r="O478" t="s">
        <v>837</v>
      </c>
      <c r="P478" t="s">
        <v>838</v>
      </c>
      <c r="Q478" t="s">
        <v>3835</v>
      </c>
      <c r="R478" t="s">
        <v>9831</v>
      </c>
      <c r="S478" t="s">
        <v>9832</v>
      </c>
      <c r="T478">
        <v>30300134878</v>
      </c>
      <c r="V478" t="s">
        <v>1003</v>
      </c>
      <c r="W478" s="41">
        <v>46083</v>
      </c>
      <c r="X478" t="s">
        <v>9833</v>
      </c>
      <c r="Y478" t="s">
        <v>9834</v>
      </c>
      <c r="AA478">
        <v>0</v>
      </c>
      <c r="AB478" t="s">
        <v>845</v>
      </c>
      <c r="AC478" t="s">
        <v>846</v>
      </c>
      <c r="AD478" t="s">
        <v>1113</v>
      </c>
      <c r="AE478" t="s">
        <v>1114</v>
      </c>
      <c r="AF478">
        <v>1</v>
      </c>
      <c r="AG478">
        <v>452210</v>
      </c>
      <c r="AH478" t="s">
        <v>849</v>
      </c>
      <c r="AI478" t="s">
        <v>850</v>
      </c>
      <c r="AJ478" t="s">
        <v>851</v>
      </c>
      <c r="AK478" t="s">
        <v>285</v>
      </c>
      <c r="AL478" t="s">
        <v>1667</v>
      </c>
      <c r="AM478" t="s">
        <v>1311</v>
      </c>
      <c r="AN478" t="s">
        <v>854</v>
      </c>
      <c r="AO478">
        <v>36805</v>
      </c>
      <c r="AP478">
        <v>541</v>
      </c>
      <c r="AQ478" t="s">
        <v>855</v>
      </c>
      <c r="AR478">
        <v>66357166</v>
      </c>
      <c r="AS478" t="s">
        <v>856</v>
      </c>
      <c r="AU478" t="s">
        <v>9835</v>
      </c>
      <c r="AV478" t="s">
        <v>9836</v>
      </c>
      <c r="AX478" t="s">
        <v>913</v>
      </c>
      <c r="AY478" t="s">
        <v>861</v>
      </c>
      <c r="AZ478" t="s">
        <v>285</v>
      </c>
      <c r="BA478" t="s">
        <v>286</v>
      </c>
      <c r="BB478">
        <v>1</v>
      </c>
      <c r="BC478">
        <v>0</v>
      </c>
      <c r="BD478">
        <v>0</v>
      </c>
      <c r="BE478" t="s">
        <v>5271</v>
      </c>
      <c r="BF478">
        <v>0</v>
      </c>
      <c r="BG478">
        <v>0</v>
      </c>
      <c r="BH478" t="s">
        <v>862</v>
      </c>
      <c r="BI478">
        <v>0</v>
      </c>
      <c r="BJ478" t="s">
        <v>862</v>
      </c>
      <c r="BK478">
        <v>1</v>
      </c>
      <c r="BL478">
        <v>1</v>
      </c>
      <c r="BM478">
        <v>0</v>
      </c>
      <c r="BN478" t="s">
        <v>596</v>
      </c>
      <c r="BO478">
        <v>153406433</v>
      </c>
      <c r="BP478" t="s">
        <v>9830</v>
      </c>
      <c r="BR478">
        <v>42791455</v>
      </c>
      <c r="BT478">
        <v>0</v>
      </c>
      <c r="BU478" t="s">
        <v>1715</v>
      </c>
      <c r="CE478">
        <v>0</v>
      </c>
      <c r="CI478">
        <v>11</v>
      </c>
      <c r="CJ478" t="s">
        <v>94</v>
      </c>
      <c r="CM478">
        <v>4010</v>
      </c>
      <c r="CO478">
        <v>7360</v>
      </c>
      <c r="CP478">
        <v>1.1000000000000001</v>
      </c>
      <c r="CQ478">
        <v>1.1000000000000001</v>
      </c>
      <c r="CR478">
        <v>2.9333</v>
      </c>
      <c r="CS478">
        <v>0</v>
      </c>
      <c r="CT478" t="s">
        <v>9837</v>
      </c>
      <c r="CU478" t="s">
        <v>9838</v>
      </c>
      <c r="CV478" t="s">
        <v>833</v>
      </c>
      <c r="CW478" t="s">
        <v>834</v>
      </c>
      <c r="CX478" t="s">
        <v>5271</v>
      </c>
      <c r="CY478">
        <v>1</v>
      </c>
      <c r="CZ478">
        <v>1</v>
      </c>
      <c r="DA478" t="s">
        <v>833</v>
      </c>
      <c r="DB478" t="s">
        <v>865</v>
      </c>
      <c r="DC478">
        <v>55431</v>
      </c>
      <c r="DD478">
        <v>48.5167</v>
      </c>
      <c r="DE478" t="s">
        <v>866</v>
      </c>
      <c r="DG478" t="s">
        <v>867</v>
      </c>
      <c r="DH478" t="s">
        <v>851</v>
      </c>
      <c r="DK478" t="s">
        <v>918</v>
      </c>
      <c r="DL478" t="s">
        <v>869</v>
      </c>
      <c r="DM478">
        <v>0</v>
      </c>
      <c r="DN478">
        <v>6.6699999999999995E-2</v>
      </c>
      <c r="DO478">
        <v>2</v>
      </c>
      <c r="DP478" t="s">
        <v>870</v>
      </c>
      <c r="DQ478">
        <v>0</v>
      </c>
      <c r="DR478">
        <v>2864</v>
      </c>
      <c r="DS478">
        <v>5791</v>
      </c>
      <c r="DT478">
        <v>4.0332999999999997</v>
      </c>
      <c r="DU478">
        <v>0</v>
      </c>
      <c r="DV478">
        <v>1</v>
      </c>
      <c r="DW478">
        <v>2</v>
      </c>
      <c r="DX478" t="s">
        <v>596</v>
      </c>
      <c r="DY478" t="s">
        <v>5271</v>
      </c>
      <c r="DZ478">
        <v>1</v>
      </c>
      <c r="EA478">
        <v>1</v>
      </c>
      <c r="EB478">
        <v>1</v>
      </c>
      <c r="EC478">
        <v>1</v>
      </c>
      <c r="ED478">
        <v>1</v>
      </c>
      <c r="EE478">
        <v>1</v>
      </c>
      <c r="EF478" t="s">
        <v>871</v>
      </c>
      <c r="EG478" t="s">
        <v>595</v>
      </c>
      <c r="EH478" t="s">
        <v>921</v>
      </c>
      <c r="EI478" t="s">
        <v>921</v>
      </c>
      <c r="EJ478" t="s">
        <v>159</v>
      </c>
      <c r="EK478">
        <v>9090</v>
      </c>
      <c r="EL478">
        <v>1</v>
      </c>
      <c r="EM478" t="s">
        <v>873</v>
      </c>
      <c r="EN478">
        <v>2.9333</v>
      </c>
      <c r="EO478">
        <v>96.516666700000002</v>
      </c>
      <c r="EP478">
        <v>99991120</v>
      </c>
      <c r="EQ478" t="s">
        <v>874</v>
      </c>
      <c r="ER478" t="s">
        <v>875</v>
      </c>
      <c r="ES478" t="s">
        <v>876</v>
      </c>
      <c r="ET478" t="s">
        <v>877</v>
      </c>
      <c r="EU478" t="s">
        <v>877</v>
      </c>
      <c r="EV478" t="s">
        <v>871</v>
      </c>
      <c r="EX478" t="s">
        <v>836</v>
      </c>
      <c r="EY478" t="s">
        <v>1121</v>
      </c>
      <c r="EZ478" t="s">
        <v>1122</v>
      </c>
      <c r="FA478" t="s">
        <v>956</v>
      </c>
      <c r="FB478">
        <v>1</v>
      </c>
      <c r="FC478">
        <v>2</v>
      </c>
      <c r="FD478" s="41">
        <v>46088</v>
      </c>
      <c r="FE478" t="s">
        <v>1719</v>
      </c>
      <c r="FF478">
        <v>8</v>
      </c>
      <c r="FG478" t="s">
        <v>9839</v>
      </c>
      <c r="FH478" t="s">
        <v>9840</v>
      </c>
      <c r="FI478">
        <v>1</v>
      </c>
      <c r="FJ478" t="s">
        <v>9841</v>
      </c>
      <c r="FK478" t="s">
        <v>9842</v>
      </c>
      <c r="FL478">
        <v>1</v>
      </c>
      <c r="FM478" t="s">
        <v>5281</v>
      </c>
      <c r="FN478" t="s">
        <v>9843</v>
      </c>
      <c r="FO478">
        <v>1</v>
      </c>
      <c r="FP478" t="s">
        <v>9844</v>
      </c>
      <c r="FQ478" t="s">
        <v>9838</v>
      </c>
      <c r="FR478">
        <v>1</v>
      </c>
      <c r="FS478" t="s">
        <v>1672</v>
      </c>
      <c r="FT478" t="s">
        <v>9845</v>
      </c>
      <c r="FU478">
        <v>1</v>
      </c>
      <c r="FV478" t="s">
        <v>9846</v>
      </c>
      <c r="FW478" t="s">
        <v>9847</v>
      </c>
      <c r="FX478">
        <v>1</v>
      </c>
      <c r="FY478" t="s">
        <v>890</v>
      </c>
      <c r="FZ478" t="s">
        <v>9848</v>
      </c>
      <c r="GA478" t="s">
        <v>9841</v>
      </c>
      <c r="GB478">
        <v>1</v>
      </c>
      <c r="GD478">
        <v>0</v>
      </c>
      <c r="GF478">
        <v>0</v>
      </c>
      <c r="GG478">
        <v>1</v>
      </c>
      <c r="GH478" t="s">
        <v>892</v>
      </c>
      <c r="GI478" t="s">
        <v>893</v>
      </c>
      <c r="GJ478" t="s">
        <v>9842</v>
      </c>
      <c r="GM478">
        <v>1</v>
      </c>
      <c r="GN478">
        <v>0</v>
      </c>
      <c r="GO478">
        <v>0</v>
      </c>
      <c r="GP478">
        <v>1</v>
      </c>
      <c r="GQ478">
        <v>1</v>
      </c>
      <c r="GR478">
        <v>0</v>
      </c>
      <c r="GS478">
        <v>1</v>
      </c>
      <c r="GT478">
        <v>0</v>
      </c>
      <c r="GU478">
        <v>1</v>
      </c>
      <c r="GV478">
        <v>0</v>
      </c>
      <c r="GW478">
        <v>1</v>
      </c>
      <c r="GX478">
        <v>0</v>
      </c>
      <c r="GY478">
        <v>1</v>
      </c>
      <c r="GZ478">
        <v>0</v>
      </c>
      <c r="HA478" t="s">
        <v>285</v>
      </c>
      <c r="HB478" t="s">
        <v>894</v>
      </c>
      <c r="HC478" t="s">
        <v>895</v>
      </c>
      <c r="HD478" t="s">
        <v>845</v>
      </c>
      <c r="HE478" t="s">
        <v>836</v>
      </c>
      <c r="HF478" t="s">
        <v>873</v>
      </c>
      <c r="HG478" t="s">
        <v>894</v>
      </c>
      <c r="HH478" t="s">
        <v>895</v>
      </c>
      <c r="HI478" t="s">
        <v>845</v>
      </c>
      <c r="HJ478" t="s">
        <v>836</v>
      </c>
      <c r="HK478" t="s">
        <v>873</v>
      </c>
      <c r="HL478" t="s">
        <v>1003</v>
      </c>
      <c r="HM478" t="s">
        <v>854</v>
      </c>
      <c r="HN478">
        <v>36805</v>
      </c>
      <c r="HP478" t="s">
        <v>159</v>
      </c>
      <c r="HQ478" t="s">
        <v>896</v>
      </c>
      <c r="HR478" t="s">
        <v>896</v>
      </c>
      <c r="HS478" t="s">
        <v>896</v>
      </c>
    </row>
    <row r="479" spans="1:227" x14ac:dyDescent="0.2">
      <c r="A479">
        <v>8702</v>
      </c>
      <c r="B479">
        <v>7615412287</v>
      </c>
      <c r="C479" t="s">
        <v>829</v>
      </c>
      <c r="D479" t="s">
        <v>830</v>
      </c>
      <c r="E479" t="s">
        <v>831</v>
      </c>
      <c r="F479">
        <v>2</v>
      </c>
      <c r="G479" t="s">
        <v>9849</v>
      </c>
      <c r="H479" t="s">
        <v>9849</v>
      </c>
      <c r="I479">
        <v>0</v>
      </c>
      <c r="J479" t="s">
        <v>833</v>
      </c>
      <c r="K479" t="s">
        <v>834</v>
      </c>
      <c r="L479">
        <v>152946684</v>
      </c>
      <c r="M479" t="s">
        <v>6963</v>
      </c>
      <c r="N479" t="s">
        <v>836</v>
      </c>
      <c r="O479" t="s">
        <v>837</v>
      </c>
      <c r="P479" t="s">
        <v>838</v>
      </c>
      <c r="Q479" t="s">
        <v>1251</v>
      </c>
      <c r="R479" t="s">
        <v>9850</v>
      </c>
      <c r="S479" t="s">
        <v>9851</v>
      </c>
      <c r="T479">
        <v>30300105423</v>
      </c>
      <c r="V479" t="s">
        <v>1796</v>
      </c>
      <c r="W479" s="41">
        <v>46177</v>
      </c>
      <c r="X479" t="s">
        <v>9852</v>
      </c>
      <c r="Y479" t="s">
        <v>9853</v>
      </c>
      <c r="Z479" t="s">
        <v>9854</v>
      </c>
      <c r="AA479">
        <v>0</v>
      </c>
      <c r="AB479" t="s">
        <v>845</v>
      </c>
      <c r="AC479" t="s">
        <v>846</v>
      </c>
      <c r="AD479" t="s">
        <v>907</v>
      </c>
      <c r="AE479" t="s">
        <v>908</v>
      </c>
      <c r="AF479">
        <v>1</v>
      </c>
      <c r="AG479">
        <v>452210</v>
      </c>
      <c r="AH479" t="s">
        <v>849</v>
      </c>
      <c r="AI479" t="s">
        <v>850</v>
      </c>
      <c r="AJ479" t="s">
        <v>851</v>
      </c>
      <c r="AK479" t="s">
        <v>356</v>
      </c>
      <c r="AL479" t="s">
        <v>1799</v>
      </c>
      <c r="AM479" t="s">
        <v>1800</v>
      </c>
      <c r="AN479" t="s">
        <v>854</v>
      </c>
      <c r="AO479">
        <v>36805</v>
      </c>
      <c r="AP479">
        <v>710</v>
      </c>
      <c r="AQ479" t="s">
        <v>855</v>
      </c>
      <c r="AR479">
        <v>66492790</v>
      </c>
      <c r="AS479" t="s">
        <v>856</v>
      </c>
      <c r="AU479" t="s">
        <v>9855</v>
      </c>
      <c r="AV479" t="s">
        <v>9856</v>
      </c>
      <c r="AX479" t="s">
        <v>913</v>
      </c>
      <c r="AY479" t="s">
        <v>861</v>
      </c>
      <c r="AZ479" t="s">
        <v>356</v>
      </c>
      <c r="BA479" t="s">
        <v>324</v>
      </c>
      <c r="BB479">
        <v>1</v>
      </c>
      <c r="BC479">
        <v>0</v>
      </c>
      <c r="BD479">
        <v>0</v>
      </c>
      <c r="BE479" t="s">
        <v>6963</v>
      </c>
      <c r="BF479">
        <v>0</v>
      </c>
      <c r="BG479">
        <v>0</v>
      </c>
      <c r="BH479" t="s">
        <v>862</v>
      </c>
      <c r="BI479">
        <v>0</v>
      </c>
      <c r="BJ479" t="s">
        <v>862</v>
      </c>
      <c r="BK479">
        <v>1</v>
      </c>
      <c r="BL479">
        <v>1</v>
      </c>
      <c r="BM479">
        <v>0</v>
      </c>
      <c r="BN479" t="s">
        <v>596</v>
      </c>
      <c r="BO479">
        <v>152946684</v>
      </c>
      <c r="BP479" t="s">
        <v>9849</v>
      </c>
      <c r="BR479">
        <v>42791788</v>
      </c>
      <c r="BT479">
        <v>1</v>
      </c>
      <c r="BU479" t="s">
        <v>1314</v>
      </c>
      <c r="BY479">
        <v>16</v>
      </c>
      <c r="CA479">
        <v>18</v>
      </c>
      <c r="CI479">
        <v>11</v>
      </c>
      <c r="CJ479" t="s">
        <v>94</v>
      </c>
      <c r="CM479">
        <v>4010</v>
      </c>
      <c r="CO479">
        <v>7360</v>
      </c>
      <c r="CP479">
        <v>2.4666999999999999</v>
      </c>
      <c r="CQ479">
        <v>2.4666999999999999</v>
      </c>
      <c r="CR479">
        <v>1.6667000000000001</v>
      </c>
      <c r="CS479">
        <v>0</v>
      </c>
      <c r="CT479" t="s">
        <v>9856</v>
      </c>
      <c r="CU479" t="s">
        <v>9855</v>
      </c>
      <c r="CV479" t="s">
        <v>833</v>
      </c>
      <c r="CW479" t="s">
        <v>834</v>
      </c>
      <c r="CX479" t="s">
        <v>6963</v>
      </c>
      <c r="CY479">
        <v>1</v>
      </c>
      <c r="CZ479">
        <v>1</v>
      </c>
      <c r="DA479" t="s">
        <v>833</v>
      </c>
      <c r="DB479" t="s">
        <v>865</v>
      </c>
      <c r="DC479">
        <v>53228</v>
      </c>
      <c r="DD479">
        <v>17.75</v>
      </c>
      <c r="DE479" t="s">
        <v>866</v>
      </c>
      <c r="DG479" t="s">
        <v>867</v>
      </c>
      <c r="DH479" t="s">
        <v>851</v>
      </c>
      <c r="DI479" t="s">
        <v>6970</v>
      </c>
      <c r="DK479" t="s">
        <v>918</v>
      </c>
      <c r="DL479" t="s">
        <v>869</v>
      </c>
      <c r="DM479">
        <v>0</v>
      </c>
      <c r="DN479">
        <v>0</v>
      </c>
      <c r="DO479">
        <v>11</v>
      </c>
      <c r="DP479" t="s">
        <v>1010</v>
      </c>
      <c r="DQ479">
        <v>16</v>
      </c>
      <c r="DR479">
        <v>1065</v>
      </c>
      <c r="DS479">
        <v>1785</v>
      </c>
      <c r="DT479">
        <v>7.4667000000000003</v>
      </c>
      <c r="DU479">
        <v>4</v>
      </c>
      <c r="DV479">
        <v>1</v>
      </c>
      <c r="DW479">
        <v>2</v>
      </c>
      <c r="DX479" t="s">
        <v>596</v>
      </c>
      <c r="DY479" t="s">
        <v>6963</v>
      </c>
      <c r="DZ479">
        <v>0</v>
      </c>
      <c r="EA479">
        <v>0</v>
      </c>
      <c r="EB479">
        <v>1</v>
      </c>
      <c r="EC479">
        <v>0</v>
      </c>
      <c r="ED479">
        <v>0</v>
      </c>
      <c r="EE479">
        <v>1</v>
      </c>
      <c r="EF479" t="s">
        <v>871</v>
      </c>
      <c r="EG479" t="s">
        <v>595</v>
      </c>
      <c r="EH479" t="s">
        <v>921</v>
      </c>
      <c r="EI479" t="s">
        <v>921</v>
      </c>
      <c r="EJ479" t="s">
        <v>215</v>
      </c>
      <c r="EK479">
        <v>9090</v>
      </c>
      <c r="EL479">
        <v>1</v>
      </c>
      <c r="EM479" t="s">
        <v>1436</v>
      </c>
      <c r="EN479">
        <v>1.6667000000000001</v>
      </c>
      <c r="EO479">
        <v>29.75</v>
      </c>
      <c r="EP479">
        <v>99991120</v>
      </c>
      <c r="EQ479" t="s">
        <v>874</v>
      </c>
      <c r="ER479" t="s">
        <v>875</v>
      </c>
      <c r="ES479" t="s">
        <v>876</v>
      </c>
      <c r="ET479" t="s">
        <v>877</v>
      </c>
      <c r="EU479" t="s">
        <v>877</v>
      </c>
      <c r="EV479" t="s">
        <v>871</v>
      </c>
      <c r="EX479" t="s">
        <v>836</v>
      </c>
      <c r="EY479" t="s">
        <v>873</v>
      </c>
      <c r="EZ479" t="s">
        <v>1807</v>
      </c>
      <c r="FA479" t="s">
        <v>925</v>
      </c>
      <c r="FB479">
        <v>1</v>
      </c>
      <c r="FC479">
        <v>2</v>
      </c>
      <c r="FD479" s="41">
        <v>46179</v>
      </c>
      <c r="FE479" t="s">
        <v>1315</v>
      </c>
      <c r="FF479">
        <v>11</v>
      </c>
      <c r="FG479" t="s">
        <v>9857</v>
      </c>
      <c r="FH479" t="s">
        <v>9858</v>
      </c>
      <c r="FI479">
        <v>1</v>
      </c>
      <c r="FJ479" t="s">
        <v>9859</v>
      </c>
      <c r="FK479" t="s">
        <v>9860</v>
      </c>
      <c r="FL479">
        <v>1</v>
      </c>
      <c r="FM479" t="s">
        <v>9861</v>
      </c>
      <c r="FN479" t="s">
        <v>9862</v>
      </c>
      <c r="FO479">
        <v>1</v>
      </c>
      <c r="FP479" t="s">
        <v>9863</v>
      </c>
      <c r="FQ479" t="s">
        <v>9855</v>
      </c>
      <c r="FR479">
        <v>1</v>
      </c>
      <c r="FS479" t="s">
        <v>6408</v>
      </c>
      <c r="FT479" t="s">
        <v>9864</v>
      </c>
      <c r="FU479">
        <v>1</v>
      </c>
      <c r="FV479" t="s">
        <v>9865</v>
      </c>
      <c r="FW479" t="s">
        <v>9866</v>
      </c>
      <c r="FX479">
        <v>1</v>
      </c>
      <c r="FY479" t="s">
        <v>890</v>
      </c>
      <c r="FZ479" t="s">
        <v>9867</v>
      </c>
      <c r="GA479" t="s">
        <v>9859</v>
      </c>
      <c r="GB479">
        <v>1</v>
      </c>
      <c r="GD479">
        <v>0</v>
      </c>
      <c r="GF479">
        <v>0</v>
      </c>
      <c r="GG479">
        <v>1</v>
      </c>
      <c r="GH479" t="s">
        <v>892</v>
      </c>
      <c r="GI479" t="s">
        <v>893</v>
      </c>
      <c r="GJ479" t="s">
        <v>9860</v>
      </c>
      <c r="GM479">
        <v>1</v>
      </c>
      <c r="GN479">
        <v>0</v>
      </c>
      <c r="GO479">
        <v>0</v>
      </c>
      <c r="GP479">
        <v>1</v>
      </c>
      <c r="GQ479">
        <v>1</v>
      </c>
      <c r="GR479">
        <v>0</v>
      </c>
      <c r="GS479">
        <v>1</v>
      </c>
      <c r="GT479">
        <v>0</v>
      </c>
      <c r="GU479">
        <v>1</v>
      </c>
      <c r="GV479">
        <v>0</v>
      </c>
      <c r="GW479">
        <v>1</v>
      </c>
      <c r="GX479">
        <v>0</v>
      </c>
      <c r="GY479">
        <v>1</v>
      </c>
      <c r="GZ479">
        <v>0</v>
      </c>
      <c r="HA479" t="s">
        <v>356</v>
      </c>
      <c r="HB479" t="s">
        <v>894</v>
      </c>
      <c r="HC479" t="s">
        <v>895</v>
      </c>
      <c r="HD479" t="s">
        <v>845</v>
      </c>
      <c r="HE479" t="s">
        <v>836</v>
      </c>
      <c r="HF479" t="s">
        <v>873</v>
      </c>
      <c r="HG479" t="s">
        <v>894</v>
      </c>
      <c r="HH479" t="s">
        <v>895</v>
      </c>
      <c r="HI479" t="s">
        <v>845</v>
      </c>
      <c r="HJ479" t="s">
        <v>836</v>
      </c>
      <c r="HK479" t="s">
        <v>1436</v>
      </c>
      <c r="HL479" t="s">
        <v>1796</v>
      </c>
      <c r="HM479" t="s">
        <v>854</v>
      </c>
      <c r="HN479">
        <v>36805</v>
      </c>
      <c r="HO479">
        <v>1</v>
      </c>
      <c r="HP479" t="s">
        <v>215</v>
      </c>
      <c r="HQ479" t="s">
        <v>896</v>
      </c>
      <c r="HR479" t="s">
        <v>896</v>
      </c>
      <c r="HS479" t="s">
        <v>896</v>
      </c>
    </row>
    <row r="480" spans="1:227" x14ac:dyDescent="0.2">
      <c r="A480">
        <v>8702</v>
      </c>
      <c r="B480">
        <v>7525102423</v>
      </c>
      <c r="C480" t="s">
        <v>829</v>
      </c>
      <c r="D480" t="s">
        <v>830</v>
      </c>
      <c r="E480" t="s">
        <v>897</v>
      </c>
      <c r="F480">
        <v>0</v>
      </c>
      <c r="G480" t="s">
        <v>9868</v>
      </c>
      <c r="H480" t="s">
        <v>9868</v>
      </c>
      <c r="I480">
        <v>0</v>
      </c>
      <c r="J480" t="s">
        <v>833</v>
      </c>
      <c r="K480" t="s">
        <v>834</v>
      </c>
      <c r="L480">
        <v>152946621</v>
      </c>
      <c r="M480" t="s">
        <v>9869</v>
      </c>
      <c r="N480" t="s">
        <v>900</v>
      </c>
      <c r="O480" t="s">
        <v>837</v>
      </c>
      <c r="P480" t="s">
        <v>838</v>
      </c>
      <c r="Q480" t="s">
        <v>839</v>
      </c>
      <c r="R480" t="s">
        <v>9870</v>
      </c>
      <c r="S480" t="s">
        <v>9871</v>
      </c>
      <c r="V480" t="s">
        <v>142</v>
      </c>
      <c r="W480" s="41">
        <v>45908</v>
      </c>
      <c r="X480" t="s">
        <v>9872</v>
      </c>
      <c r="Y480" t="s">
        <v>9873</v>
      </c>
      <c r="AA480">
        <v>0</v>
      </c>
      <c r="AB480" t="s">
        <v>845</v>
      </c>
      <c r="AC480" t="s">
        <v>846</v>
      </c>
      <c r="AD480" t="s">
        <v>847</v>
      </c>
      <c r="AE480" t="s">
        <v>848</v>
      </c>
      <c r="AF480">
        <v>1</v>
      </c>
      <c r="AG480">
        <v>452210</v>
      </c>
      <c r="AH480" t="s">
        <v>849</v>
      </c>
      <c r="AI480" t="s">
        <v>850</v>
      </c>
      <c r="AJ480" t="s">
        <v>851</v>
      </c>
      <c r="AK480" t="s">
        <v>492</v>
      </c>
      <c r="AM480" t="s">
        <v>3288</v>
      </c>
      <c r="AN480" t="s">
        <v>854</v>
      </c>
      <c r="AO480">
        <v>36805</v>
      </c>
      <c r="AP480">
        <v>527</v>
      </c>
      <c r="AQ480" t="s">
        <v>855</v>
      </c>
      <c r="AR480">
        <v>66105363</v>
      </c>
      <c r="AS480" t="s">
        <v>856</v>
      </c>
      <c r="AU480" t="s">
        <v>9874</v>
      </c>
      <c r="AV480" t="s">
        <v>9875</v>
      </c>
      <c r="AX480" t="s">
        <v>913</v>
      </c>
      <c r="AY480" t="s">
        <v>861</v>
      </c>
      <c r="AZ480" t="s">
        <v>492</v>
      </c>
      <c r="BA480" t="s">
        <v>493</v>
      </c>
      <c r="BB480">
        <v>0</v>
      </c>
      <c r="BC480">
        <v>0</v>
      </c>
      <c r="BD480">
        <v>0</v>
      </c>
      <c r="BE480" t="s">
        <v>9869</v>
      </c>
      <c r="BF480">
        <v>0</v>
      </c>
      <c r="BG480">
        <v>0</v>
      </c>
      <c r="BH480" t="s">
        <v>862</v>
      </c>
      <c r="BI480">
        <v>0</v>
      </c>
      <c r="BJ480" t="s">
        <v>862</v>
      </c>
      <c r="BK480">
        <v>1</v>
      </c>
      <c r="BL480">
        <v>0</v>
      </c>
      <c r="BM480">
        <v>0</v>
      </c>
      <c r="BN480" t="s">
        <v>596</v>
      </c>
      <c r="BO480">
        <v>152946621</v>
      </c>
      <c r="BP480" t="s">
        <v>9868</v>
      </c>
      <c r="BR480">
        <v>42791440</v>
      </c>
      <c r="BT480">
        <v>0</v>
      </c>
      <c r="CM480">
        <v>4010</v>
      </c>
      <c r="CO480">
        <v>7360</v>
      </c>
      <c r="CP480">
        <v>0.5</v>
      </c>
      <c r="CQ480">
        <v>0.5</v>
      </c>
      <c r="CR480">
        <v>0.26669999999999999</v>
      </c>
      <c r="CS480">
        <v>25</v>
      </c>
      <c r="CT480" t="s">
        <v>9876</v>
      </c>
      <c r="CU480" t="s">
        <v>9877</v>
      </c>
      <c r="CV480" t="s">
        <v>833</v>
      </c>
      <c r="CW480" t="s">
        <v>834</v>
      </c>
      <c r="CX480" t="s">
        <v>9869</v>
      </c>
      <c r="CY480">
        <v>0</v>
      </c>
      <c r="CZ480">
        <v>0</v>
      </c>
      <c r="DA480" t="s">
        <v>833</v>
      </c>
      <c r="DB480" t="s">
        <v>865</v>
      </c>
      <c r="DC480">
        <v>46037</v>
      </c>
      <c r="DD480">
        <v>3.0832999999999999</v>
      </c>
      <c r="DE480" t="s">
        <v>866</v>
      </c>
      <c r="DG480" t="s">
        <v>867</v>
      </c>
      <c r="DH480" t="s">
        <v>851</v>
      </c>
      <c r="DI480" t="s">
        <v>5117</v>
      </c>
      <c r="DJ480" t="s">
        <v>3292</v>
      </c>
      <c r="DL480" t="s">
        <v>869</v>
      </c>
      <c r="DM480">
        <v>0</v>
      </c>
      <c r="DN480">
        <v>0</v>
      </c>
      <c r="DO480">
        <v>12</v>
      </c>
      <c r="DP480" t="s">
        <v>1190</v>
      </c>
      <c r="DQ480">
        <v>16</v>
      </c>
      <c r="DR480">
        <v>185</v>
      </c>
      <c r="DS480">
        <v>185</v>
      </c>
      <c r="DT480">
        <v>2.5832999999999999</v>
      </c>
      <c r="DU480">
        <v>4</v>
      </c>
      <c r="DW480">
        <v>2</v>
      </c>
      <c r="DX480" t="s">
        <v>596</v>
      </c>
      <c r="DY480" t="s">
        <v>9869</v>
      </c>
      <c r="DZ480">
        <v>0</v>
      </c>
      <c r="EA480">
        <v>0</v>
      </c>
      <c r="EB480">
        <v>0</v>
      </c>
      <c r="EC480">
        <v>0</v>
      </c>
      <c r="ED480">
        <v>0</v>
      </c>
      <c r="EE480">
        <v>0</v>
      </c>
      <c r="EF480" t="s">
        <v>871</v>
      </c>
      <c r="EG480" t="s">
        <v>595</v>
      </c>
      <c r="EH480" t="s">
        <v>921</v>
      </c>
      <c r="EI480" t="s">
        <v>921</v>
      </c>
      <c r="EJ480" t="s">
        <v>134</v>
      </c>
      <c r="EK480">
        <v>9090</v>
      </c>
      <c r="EL480">
        <v>0</v>
      </c>
      <c r="EM480" t="s">
        <v>1011</v>
      </c>
      <c r="EN480">
        <v>0.26669999999999999</v>
      </c>
      <c r="EO480">
        <v>3.0833333000000001</v>
      </c>
      <c r="EP480">
        <v>99991120</v>
      </c>
      <c r="EQ480" t="s">
        <v>874</v>
      </c>
      <c r="ER480" t="s">
        <v>875</v>
      </c>
      <c r="ES480" t="s">
        <v>876</v>
      </c>
      <c r="ET480" t="s">
        <v>877</v>
      </c>
      <c r="EU480" t="s">
        <v>877</v>
      </c>
      <c r="EV480" t="s">
        <v>871</v>
      </c>
      <c r="EX480" t="s">
        <v>953</v>
      </c>
      <c r="EY480" t="s">
        <v>1555</v>
      </c>
      <c r="EZ480" t="s">
        <v>1013</v>
      </c>
      <c r="FA480" t="s">
        <v>925</v>
      </c>
      <c r="FB480">
        <v>1</v>
      </c>
      <c r="FC480">
        <v>1</v>
      </c>
      <c r="FD480" s="41">
        <v>45913</v>
      </c>
      <c r="FE480" t="s">
        <v>880</v>
      </c>
      <c r="FF480">
        <v>5</v>
      </c>
      <c r="FI480">
        <v>0</v>
      </c>
      <c r="FJ480" t="s">
        <v>9878</v>
      </c>
      <c r="FK480" t="s">
        <v>9879</v>
      </c>
      <c r="FL480">
        <v>1</v>
      </c>
      <c r="FM480" t="s">
        <v>9880</v>
      </c>
      <c r="FN480" t="s">
        <v>9881</v>
      </c>
      <c r="FO480">
        <v>1</v>
      </c>
      <c r="FP480" t="s">
        <v>9882</v>
      </c>
      <c r="FQ480" t="s">
        <v>9883</v>
      </c>
      <c r="FR480">
        <v>1</v>
      </c>
      <c r="FS480" t="s">
        <v>2332</v>
      </c>
      <c r="FT480" t="s">
        <v>9884</v>
      </c>
      <c r="FU480">
        <v>1</v>
      </c>
      <c r="FV480" t="s">
        <v>9878</v>
      </c>
      <c r="FW480" t="s">
        <v>9885</v>
      </c>
      <c r="FX480">
        <v>1</v>
      </c>
      <c r="FY480" t="s">
        <v>890</v>
      </c>
      <c r="FZ480" t="s">
        <v>9886</v>
      </c>
      <c r="GA480" t="s">
        <v>9878</v>
      </c>
      <c r="GB480">
        <v>1</v>
      </c>
      <c r="GD480">
        <v>0</v>
      </c>
      <c r="GF480">
        <v>0</v>
      </c>
      <c r="GG480">
        <v>1</v>
      </c>
      <c r="GH480" t="s">
        <v>892</v>
      </c>
      <c r="GI480" t="s">
        <v>893</v>
      </c>
      <c r="GJ480" t="s">
        <v>9885</v>
      </c>
      <c r="GM480">
        <v>1</v>
      </c>
      <c r="GN480">
        <v>1</v>
      </c>
      <c r="GO480">
        <v>0</v>
      </c>
      <c r="GP480">
        <v>1</v>
      </c>
      <c r="GQ480">
        <v>1</v>
      </c>
      <c r="GR480">
        <v>0</v>
      </c>
      <c r="GS480">
        <v>1</v>
      </c>
      <c r="GT480">
        <v>0</v>
      </c>
      <c r="GU480">
        <v>1</v>
      </c>
      <c r="GV480">
        <v>0</v>
      </c>
      <c r="GW480">
        <v>1</v>
      </c>
      <c r="GX480">
        <v>0</v>
      </c>
      <c r="GY480">
        <v>1</v>
      </c>
      <c r="GZ480">
        <v>0</v>
      </c>
      <c r="HA480" t="s">
        <v>492</v>
      </c>
      <c r="HB480" t="s">
        <v>894</v>
      </c>
      <c r="HC480" t="s">
        <v>935</v>
      </c>
      <c r="HD480" t="s">
        <v>845</v>
      </c>
      <c r="HE480" t="s">
        <v>900</v>
      </c>
      <c r="HF480" t="s">
        <v>1012</v>
      </c>
      <c r="HG480" t="s">
        <v>894</v>
      </c>
      <c r="HH480" t="s">
        <v>935</v>
      </c>
      <c r="HI480" t="s">
        <v>845</v>
      </c>
      <c r="HJ480" t="s">
        <v>900</v>
      </c>
      <c r="HK480" t="s">
        <v>1011</v>
      </c>
      <c r="HL480" t="s">
        <v>142</v>
      </c>
      <c r="HM480" t="s">
        <v>854</v>
      </c>
      <c r="HN480">
        <v>36805</v>
      </c>
      <c r="HP480" t="s">
        <v>134</v>
      </c>
      <c r="HQ480" t="s">
        <v>896</v>
      </c>
      <c r="HR480" t="s">
        <v>896</v>
      </c>
      <c r="HS480" t="s">
        <v>896</v>
      </c>
    </row>
    <row r="481" spans="1:227" x14ac:dyDescent="0.2">
      <c r="A481">
        <v>8702</v>
      </c>
      <c r="B481">
        <v>7600815079</v>
      </c>
      <c r="C481">
        <v>82</v>
      </c>
      <c r="D481" t="s">
        <v>969</v>
      </c>
      <c r="E481" t="s">
        <v>831</v>
      </c>
      <c r="F481">
        <v>1</v>
      </c>
      <c r="G481" t="s">
        <v>9887</v>
      </c>
      <c r="H481" t="s">
        <v>9887</v>
      </c>
      <c r="I481">
        <v>0</v>
      </c>
      <c r="J481" t="s">
        <v>833</v>
      </c>
      <c r="K481" t="s">
        <v>834</v>
      </c>
      <c r="L481">
        <v>156586353</v>
      </c>
      <c r="M481" t="s">
        <v>9888</v>
      </c>
      <c r="N481" t="s">
        <v>836</v>
      </c>
      <c r="O481" t="s">
        <v>837</v>
      </c>
      <c r="P481" t="s">
        <v>972</v>
      </c>
      <c r="Q481" t="s">
        <v>973</v>
      </c>
      <c r="R481" t="s">
        <v>9889</v>
      </c>
      <c r="S481" t="s">
        <v>9890</v>
      </c>
      <c r="T481">
        <v>41477009259</v>
      </c>
      <c r="V481" t="s">
        <v>115</v>
      </c>
      <c r="W481" s="41">
        <v>46030</v>
      </c>
      <c r="X481" t="s">
        <v>9891</v>
      </c>
      <c r="Y481" t="s">
        <v>9892</v>
      </c>
      <c r="Z481">
        <v>1</v>
      </c>
      <c r="AA481">
        <v>0</v>
      </c>
      <c r="AB481" t="s">
        <v>845</v>
      </c>
      <c r="AC481" t="s">
        <v>846</v>
      </c>
      <c r="AD481" t="s">
        <v>847</v>
      </c>
      <c r="AE481" t="s">
        <v>848</v>
      </c>
      <c r="AF481">
        <v>1</v>
      </c>
      <c r="AG481">
        <v>452210</v>
      </c>
      <c r="AH481" t="s">
        <v>849</v>
      </c>
      <c r="AI481" t="s">
        <v>850</v>
      </c>
      <c r="AJ481" t="s">
        <v>851</v>
      </c>
      <c r="AK481" t="s">
        <v>257</v>
      </c>
      <c r="AL481" t="s">
        <v>2012</v>
      </c>
      <c r="AM481" t="s">
        <v>8294</v>
      </c>
      <c r="AN481" t="s">
        <v>854</v>
      </c>
      <c r="AO481">
        <v>36805</v>
      </c>
      <c r="AP481">
        <v>492</v>
      </c>
      <c r="AQ481" t="s">
        <v>855</v>
      </c>
      <c r="AR481">
        <v>66281028</v>
      </c>
      <c r="AS481" t="s">
        <v>856</v>
      </c>
      <c r="AU481" t="s">
        <v>9893</v>
      </c>
      <c r="AV481" t="s">
        <v>9894</v>
      </c>
      <c r="AW481" t="s">
        <v>1261</v>
      </c>
      <c r="AX481" t="s">
        <v>1262</v>
      </c>
      <c r="AY481" t="s">
        <v>861</v>
      </c>
      <c r="AZ481" t="s">
        <v>257</v>
      </c>
      <c r="BA481" t="s">
        <v>258</v>
      </c>
      <c r="BB481">
        <v>0</v>
      </c>
      <c r="BC481">
        <v>0</v>
      </c>
      <c r="BD481">
        <v>0</v>
      </c>
      <c r="BE481" t="s">
        <v>9888</v>
      </c>
      <c r="BF481">
        <v>0</v>
      </c>
      <c r="BG481">
        <v>0</v>
      </c>
      <c r="BH481" t="s">
        <v>862</v>
      </c>
      <c r="BI481">
        <v>0</v>
      </c>
      <c r="BJ481" t="s">
        <v>862</v>
      </c>
      <c r="BK481">
        <v>1</v>
      </c>
      <c r="BL481">
        <v>0</v>
      </c>
      <c r="BM481">
        <v>0</v>
      </c>
      <c r="BN481" t="s">
        <v>596</v>
      </c>
      <c r="BO481">
        <v>156586353</v>
      </c>
      <c r="BP481" t="s">
        <v>9887</v>
      </c>
      <c r="BQ481">
        <v>38.598107800000001</v>
      </c>
      <c r="BR481">
        <v>42789020</v>
      </c>
      <c r="BS481">
        <v>-90.487775799999994</v>
      </c>
      <c r="BT481">
        <v>2</v>
      </c>
      <c r="BU481" t="s">
        <v>1367</v>
      </c>
      <c r="CE481">
        <v>1</v>
      </c>
      <c r="CI481">
        <v>11</v>
      </c>
      <c r="CJ481" t="s">
        <v>94</v>
      </c>
      <c r="CM481">
        <v>4010</v>
      </c>
      <c r="CO481">
        <v>7360</v>
      </c>
      <c r="CP481">
        <v>0.76670000000000005</v>
      </c>
      <c r="CQ481">
        <v>0.76670000000000005</v>
      </c>
      <c r="CR481">
        <v>1.6</v>
      </c>
      <c r="CS481">
        <v>6</v>
      </c>
      <c r="CT481" t="s">
        <v>9895</v>
      </c>
      <c r="CU481" t="s">
        <v>9896</v>
      </c>
      <c r="CV481" t="s">
        <v>8299</v>
      </c>
      <c r="CW481" t="s">
        <v>8300</v>
      </c>
      <c r="CX481" t="s">
        <v>9888</v>
      </c>
      <c r="CY481">
        <v>0</v>
      </c>
      <c r="CZ481">
        <v>0</v>
      </c>
      <c r="DA481" t="s">
        <v>833</v>
      </c>
      <c r="DB481" t="s">
        <v>865</v>
      </c>
      <c r="DC481">
        <v>63011</v>
      </c>
      <c r="DD481">
        <v>4.5833000000000004</v>
      </c>
      <c r="DE481" t="s">
        <v>866</v>
      </c>
      <c r="DG481" t="s">
        <v>867</v>
      </c>
      <c r="DH481" t="s">
        <v>851</v>
      </c>
      <c r="DK481" t="s">
        <v>918</v>
      </c>
      <c r="DL481" t="s">
        <v>869</v>
      </c>
      <c r="DM481">
        <v>0</v>
      </c>
      <c r="DN481">
        <v>0</v>
      </c>
      <c r="DO481">
        <v>3</v>
      </c>
      <c r="DP481" t="s">
        <v>919</v>
      </c>
      <c r="DQ481">
        <v>16</v>
      </c>
      <c r="DR481">
        <v>275</v>
      </c>
      <c r="DS481">
        <v>283</v>
      </c>
      <c r="DT481">
        <v>3.8167</v>
      </c>
      <c r="DU481">
        <v>4</v>
      </c>
      <c r="DV481">
        <v>1</v>
      </c>
      <c r="DW481">
        <v>2</v>
      </c>
      <c r="DX481" t="s">
        <v>594</v>
      </c>
      <c r="DY481" t="s">
        <v>9888</v>
      </c>
      <c r="DZ481">
        <v>0</v>
      </c>
      <c r="EA481">
        <v>0</v>
      </c>
      <c r="EB481">
        <v>0</v>
      </c>
      <c r="EC481">
        <v>0</v>
      </c>
      <c r="ED481">
        <v>0</v>
      </c>
      <c r="EE481">
        <v>0</v>
      </c>
      <c r="EF481" t="s">
        <v>920</v>
      </c>
      <c r="EG481" t="s">
        <v>595</v>
      </c>
      <c r="EH481" t="s">
        <v>872</v>
      </c>
      <c r="EI481" t="s">
        <v>872</v>
      </c>
      <c r="EJ481" t="s">
        <v>111</v>
      </c>
      <c r="EK481">
        <v>9090</v>
      </c>
      <c r="EL481">
        <v>0</v>
      </c>
      <c r="EM481" t="s">
        <v>1037</v>
      </c>
      <c r="EN481">
        <v>1.6</v>
      </c>
      <c r="EO481">
        <v>4.7166665999999999</v>
      </c>
      <c r="EP481">
        <v>99991120</v>
      </c>
      <c r="EQ481" t="s">
        <v>874</v>
      </c>
      <c r="ER481" t="s">
        <v>875</v>
      </c>
      <c r="ES481" t="s">
        <v>876</v>
      </c>
      <c r="ET481" t="s">
        <v>877</v>
      </c>
      <c r="EU481" t="s">
        <v>877</v>
      </c>
      <c r="EV481" t="s">
        <v>920</v>
      </c>
      <c r="EX481" t="s">
        <v>900</v>
      </c>
      <c r="EY481" t="s">
        <v>923</v>
      </c>
      <c r="EZ481" t="s">
        <v>1038</v>
      </c>
      <c r="FA481" t="s">
        <v>925</v>
      </c>
      <c r="FB481">
        <v>1</v>
      </c>
      <c r="FC481">
        <v>1</v>
      </c>
      <c r="FD481" s="41">
        <v>46032</v>
      </c>
      <c r="FE481" t="s">
        <v>1370</v>
      </c>
      <c r="FF481">
        <v>6</v>
      </c>
      <c r="FG481" t="s">
        <v>9897</v>
      </c>
      <c r="FH481" t="s">
        <v>9898</v>
      </c>
      <c r="FI481">
        <v>1</v>
      </c>
      <c r="FJ481" t="s">
        <v>6171</v>
      </c>
      <c r="FK481" t="s">
        <v>9899</v>
      </c>
      <c r="FL481">
        <v>1</v>
      </c>
      <c r="FM481" t="s">
        <v>9900</v>
      </c>
      <c r="FN481" t="s">
        <v>9899</v>
      </c>
      <c r="FO481">
        <v>1</v>
      </c>
      <c r="FP481" t="s">
        <v>9901</v>
      </c>
      <c r="FQ481" t="s">
        <v>9896</v>
      </c>
      <c r="FR481">
        <v>1</v>
      </c>
      <c r="FS481" t="s">
        <v>1100</v>
      </c>
      <c r="FT481" t="s">
        <v>9902</v>
      </c>
      <c r="FU481">
        <v>1</v>
      </c>
      <c r="FV481" t="s">
        <v>9903</v>
      </c>
      <c r="FW481" t="s">
        <v>9898</v>
      </c>
      <c r="FX481">
        <v>1</v>
      </c>
      <c r="FY481" t="s">
        <v>890</v>
      </c>
      <c r="FZ481" t="s">
        <v>9904</v>
      </c>
      <c r="GA481" t="s">
        <v>9897</v>
      </c>
      <c r="GB481">
        <v>1</v>
      </c>
      <c r="GD481">
        <v>0</v>
      </c>
      <c r="GF481">
        <v>0</v>
      </c>
      <c r="GG481">
        <v>1</v>
      </c>
      <c r="GH481" t="s">
        <v>892</v>
      </c>
      <c r="GI481" t="s">
        <v>893</v>
      </c>
      <c r="GJ481" t="s">
        <v>9898</v>
      </c>
      <c r="GM481">
        <v>1</v>
      </c>
      <c r="GN481">
        <v>1</v>
      </c>
      <c r="GO481">
        <v>0</v>
      </c>
      <c r="GP481">
        <v>1</v>
      </c>
      <c r="GQ481">
        <v>1</v>
      </c>
      <c r="GR481">
        <v>0</v>
      </c>
      <c r="GS481">
        <v>1</v>
      </c>
      <c r="GT481">
        <v>0</v>
      </c>
      <c r="GU481">
        <v>1</v>
      </c>
      <c r="GV481">
        <v>0</v>
      </c>
      <c r="GW481">
        <v>1</v>
      </c>
      <c r="GX481">
        <v>0</v>
      </c>
      <c r="GY481">
        <v>1</v>
      </c>
      <c r="GZ481">
        <v>0</v>
      </c>
      <c r="HA481" t="s">
        <v>257</v>
      </c>
      <c r="HB481" t="s">
        <v>894</v>
      </c>
      <c r="HC481" t="s">
        <v>895</v>
      </c>
      <c r="HD481" t="s">
        <v>845</v>
      </c>
      <c r="HE481" t="s">
        <v>836</v>
      </c>
      <c r="HF481" t="s">
        <v>1051</v>
      </c>
      <c r="HG481" t="s">
        <v>894</v>
      </c>
      <c r="HH481" t="s">
        <v>895</v>
      </c>
      <c r="HI481" t="s">
        <v>845</v>
      </c>
      <c r="HJ481" t="s">
        <v>836</v>
      </c>
      <c r="HK481" t="s">
        <v>1037</v>
      </c>
      <c r="HL481" t="s">
        <v>115</v>
      </c>
      <c r="HM481" t="s">
        <v>854</v>
      </c>
      <c r="HN481">
        <v>36805</v>
      </c>
      <c r="HP481" t="s">
        <v>111</v>
      </c>
      <c r="HQ481" t="s">
        <v>896</v>
      </c>
      <c r="HR481" t="s">
        <v>896</v>
      </c>
      <c r="HS481" t="s">
        <v>896</v>
      </c>
    </row>
    <row r="482" spans="1:227" x14ac:dyDescent="0.2">
      <c r="A482">
        <v>8702</v>
      </c>
      <c r="B482">
        <v>7603700462</v>
      </c>
      <c r="C482">
        <v>34</v>
      </c>
      <c r="D482" t="s">
        <v>996</v>
      </c>
      <c r="E482" t="s">
        <v>831</v>
      </c>
      <c r="F482">
        <v>1</v>
      </c>
      <c r="G482" t="s">
        <v>9905</v>
      </c>
      <c r="H482" t="s">
        <v>9905</v>
      </c>
      <c r="I482">
        <v>0</v>
      </c>
      <c r="J482" t="s">
        <v>833</v>
      </c>
      <c r="K482" t="s">
        <v>834</v>
      </c>
      <c r="L482">
        <v>142427772</v>
      </c>
      <c r="M482" t="s">
        <v>6319</v>
      </c>
      <c r="N482" t="s">
        <v>836</v>
      </c>
      <c r="O482" t="s">
        <v>837</v>
      </c>
      <c r="P482" t="s">
        <v>999</v>
      </c>
      <c r="Q482" t="s">
        <v>2661</v>
      </c>
      <c r="R482" t="s">
        <v>9906</v>
      </c>
      <c r="S482" t="s">
        <v>9907</v>
      </c>
      <c r="T482">
        <v>41477047363</v>
      </c>
      <c r="V482" t="s">
        <v>1083</v>
      </c>
      <c r="W482" s="41">
        <v>46060</v>
      </c>
      <c r="X482" t="s">
        <v>9908</v>
      </c>
      <c r="Y482" t="s">
        <v>9909</v>
      </c>
      <c r="AA482">
        <v>0</v>
      </c>
      <c r="AB482" t="s">
        <v>845</v>
      </c>
      <c r="AC482" t="s">
        <v>846</v>
      </c>
      <c r="AD482" t="s">
        <v>1113</v>
      </c>
      <c r="AE482" t="s">
        <v>1114</v>
      </c>
      <c r="AF482">
        <v>1</v>
      </c>
      <c r="AG482">
        <v>452210</v>
      </c>
      <c r="AH482" t="s">
        <v>849</v>
      </c>
      <c r="AI482" t="s">
        <v>850</v>
      </c>
      <c r="AJ482" t="s">
        <v>851</v>
      </c>
      <c r="AK482" t="s">
        <v>261</v>
      </c>
      <c r="AL482" t="s">
        <v>1363</v>
      </c>
      <c r="AM482" t="s">
        <v>1087</v>
      </c>
      <c r="AN482" t="s">
        <v>854</v>
      </c>
      <c r="AO482">
        <v>36805</v>
      </c>
      <c r="AP482">
        <v>448</v>
      </c>
      <c r="AQ482" t="s">
        <v>855</v>
      </c>
      <c r="AR482">
        <v>66324417</v>
      </c>
      <c r="AS482" t="s">
        <v>856</v>
      </c>
      <c r="AU482" t="s">
        <v>9910</v>
      </c>
      <c r="AV482" t="s">
        <v>9911</v>
      </c>
      <c r="AW482" t="s">
        <v>1149</v>
      </c>
      <c r="AX482" t="s">
        <v>1150</v>
      </c>
      <c r="AY482" t="s">
        <v>861</v>
      </c>
      <c r="AZ482" t="s">
        <v>261</v>
      </c>
      <c r="BA482" t="s">
        <v>262</v>
      </c>
      <c r="BB482">
        <v>1</v>
      </c>
      <c r="BC482">
        <v>0</v>
      </c>
      <c r="BD482">
        <v>0</v>
      </c>
      <c r="BE482" t="s">
        <v>6319</v>
      </c>
      <c r="BF482">
        <v>0</v>
      </c>
      <c r="BG482">
        <v>0</v>
      </c>
      <c r="BH482" t="s">
        <v>862</v>
      </c>
      <c r="BI482">
        <v>0</v>
      </c>
      <c r="BJ482" t="s">
        <v>862</v>
      </c>
      <c r="BK482">
        <v>1</v>
      </c>
      <c r="BL482">
        <v>0</v>
      </c>
      <c r="BM482">
        <v>0</v>
      </c>
      <c r="BN482" t="s">
        <v>596</v>
      </c>
      <c r="BO482">
        <v>142427772</v>
      </c>
      <c r="BP482" t="s">
        <v>9905</v>
      </c>
      <c r="BR482">
        <v>42511030</v>
      </c>
      <c r="BT482">
        <v>2</v>
      </c>
      <c r="BU482" t="s">
        <v>1263</v>
      </c>
      <c r="CE482">
        <v>1</v>
      </c>
      <c r="CI482">
        <v>11</v>
      </c>
      <c r="CJ482" t="s">
        <v>94</v>
      </c>
      <c r="CM482">
        <v>4010</v>
      </c>
      <c r="CO482">
        <v>7360</v>
      </c>
      <c r="CP482">
        <v>2.0667</v>
      </c>
      <c r="CQ482">
        <v>2.0667</v>
      </c>
      <c r="CR482">
        <v>2.9832999999999998</v>
      </c>
      <c r="CS482">
        <v>1051</v>
      </c>
      <c r="CT482" t="s">
        <v>9912</v>
      </c>
      <c r="CU482" t="s">
        <v>9913</v>
      </c>
      <c r="CV482" t="s">
        <v>833</v>
      </c>
      <c r="CW482" t="s">
        <v>834</v>
      </c>
      <c r="CX482" t="s">
        <v>6319</v>
      </c>
      <c r="CY482">
        <v>1</v>
      </c>
      <c r="CZ482">
        <v>1</v>
      </c>
      <c r="DA482" t="s">
        <v>833</v>
      </c>
      <c r="DB482" t="s">
        <v>865</v>
      </c>
      <c r="DC482">
        <v>63110</v>
      </c>
      <c r="DD482">
        <v>12.8</v>
      </c>
      <c r="DE482" t="s">
        <v>866</v>
      </c>
      <c r="DG482" t="s">
        <v>867</v>
      </c>
      <c r="DH482" t="s">
        <v>851</v>
      </c>
      <c r="DI482" t="s">
        <v>1092</v>
      </c>
      <c r="DK482" t="s">
        <v>918</v>
      </c>
      <c r="DL482" t="s">
        <v>869</v>
      </c>
      <c r="DM482">
        <v>0</v>
      </c>
      <c r="DN482">
        <v>0</v>
      </c>
      <c r="DO482">
        <v>11</v>
      </c>
      <c r="DP482" t="s">
        <v>1010</v>
      </c>
      <c r="DQ482">
        <v>0</v>
      </c>
      <c r="DR482">
        <v>768</v>
      </c>
      <c r="DS482">
        <v>1488</v>
      </c>
      <c r="DT482">
        <v>0.88329999999999997</v>
      </c>
      <c r="DU482">
        <v>0</v>
      </c>
      <c r="DV482">
        <v>1</v>
      </c>
      <c r="DW482">
        <v>2</v>
      </c>
      <c r="DX482" t="s">
        <v>594</v>
      </c>
      <c r="DY482" t="s">
        <v>6319</v>
      </c>
      <c r="DZ482">
        <v>1</v>
      </c>
      <c r="EA482">
        <v>1</v>
      </c>
      <c r="EB482">
        <v>1</v>
      </c>
      <c r="EC482">
        <v>1</v>
      </c>
      <c r="ED482">
        <v>1</v>
      </c>
      <c r="EE482">
        <v>1</v>
      </c>
      <c r="EF482" t="s">
        <v>920</v>
      </c>
      <c r="EG482" t="s">
        <v>595</v>
      </c>
      <c r="EH482" t="s">
        <v>872</v>
      </c>
      <c r="EI482" t="s">
        <v>872</v>
      </c>
      <c r="EJ482" t="s">
        <v>111</v>
      </c>
      <c r="EK482">
        <v>9090</v>
      </c>
      <c r="EL482">
        <v>1</v>
      </c>
      <c r="EM482" t="s">
        <v>1037</v>
      </c>
      <c r="EN482">
        <v>2.9832999999999998</v>
      </c>
      <c r="EO482">
        <v>24.8</v>
      </c>
      <c r="EP482">
        <v>99991120</v>
      </c>
      <c r="EQ482" t="s">
        <v>874</v>
      </c>
      <c r="ER482" t="s">
        <v>875</v>
      </c>
      <c r="ES482" t="s">
        <v>876</v>
      </c>
      <c r="ET482" t="s">
        <v>877</v>
      </c>
      <c r="EU482" t="s">
        <v>877</v>
      </c>
      <c r="EV482" t="s">
        <v>920</v>
      </c>
      <c r="EX482" t="s">
        <v>900</v>
      </c>
      <c r="EY482" t="s">
        <v>923</v>
      </c>
      <c r="EZ482" t="s">
        <v>1038</v>
      </c>
      <c r="FA482" t="s">
        <v>925</v>
      </c>
      <c r="FB482">
        <v>1</v>
      </c>
      <c r="FC482">
        <v>2</v>
      </c>
      <c r="FD482" s="41">
        <v>46060</v>
      </c>
      <c r="FE482" t="s">
        <v>1267</v>
      </c>
      <c r="FF482">
        <v>12</v>
      </c>
      <c r="FG482" t="s">
        <v>9914</v>
      </c>
      <c r="FH482" t="s">
        <v>9915</v>
      </c>
      <c r="FI482">
        <v>1</v>
      </c>
      <c r="FJ482" t="s">
        <v>9916</v>
      </c>
      <c r="FK482" t="s">
        <v>9915</v>
      </c>
      <c r="FL482">
        <v>1</v>
      </c>
      <c r="FM482" t="s">
        <v>9917</v>
      </c>
      <c r="FN482" t="s">
        <v>9918</v>
      </c>
      <c r="FO482">
        <v>1</v>
      </c>
      <c r="FP482" t="s">
        <v>9919</v>
      </c>
      <c r="FQ482" t="s">
        <v>9920</v>
      </c>
      <c r="FR482">
        <v>1</v>
      </c>
      <c r="FS482" t="s">
        <v>2453</v>
      </c>
      <c r="FT482" t="s">
        <v>9921</v>
      </c>
      <c r="FU482">
        <v>1</v>
      </c>
      <c r="FV482" t="s">
        <v>9922</v>
      </c>
      <c r="FW482" t="s">
        <v>9923</v>
      </c>
      <c r="FX482">
        <v>1</v>
      </c>
      <c r="FY482" t="s">
        <v>890</v>
      </c>
      <c r="FZ482" t="s">
        <v>9924</v>
      </c>
      <c r="GA482" t="s">
        <v>9916</v>
      </c>
      <c r="GB482">
        <v>1</v>
      </c>
      <c r="GD482">
        <v>0</v>
      </c>
      <c r="GF482">
        <v>0</v>
      </c>
      <c r="GG482">
        <v>1</v>
      </c>
      <c r="GH482" t="s">
        <v>892</v>
      </c>
      <c r="GI482" t="s">
        <v>893</v>
      </c>
      <c r="GJ482" t="s">
        <v>9915</v>
      </c>
      <c r="GM482">
        <v>1</v>
      </c>
      <c r="GN482">
        <v>0</v>
      </c>
      <c r="GO482">
        <v>0</v>
      </c>
      <c r="GP482">
        <v>1</v>
      </c>
      <c r="GQ482">
        <v>1</v>
      </c>
      <c r="GR482">
        <v>0</v>
      </c>
      <c r="GS482">
        <v>1</v>
      </c>
      <c r="GT482">
        <v>0</v>
      </c>
      <c r="GU482">
        <v>1</v>
      </c>
      <c r="GV482">
        <v>0</v>
      </c>
      <c r="GW482">
        <v>1</v>
      </c>
      <c r="GX482">
        <v>0</v>
      </c>
      <c r="GY482">
        <v>1</v>
      </c>
      <c r="GZ482">
        <v>0</v>
      </c>
      <c r="HA482" t="s">
        <v>261</v>
      </c>
      <c r="HB482" t="s">
        <v>894</v>
      </c>
      <c r="HC482" t="s">
        <v>895</v>
      </c>
      <c r="HD482" t="s">
        <v>845</v>
      </c>
      <c r="HE482" t="s">
        <v>836</v>
      </c>
      <c r="HF482" t="s">
        <v>1051</v>
      </c>
      <c r="HG482" t="s">
        <v>894</v>
      </c>
      <c r="HH482" t="s">
        <v>895</v>
      </c>
      <c r="HI482" t="s">
        <v>845</v>
      </c>
      <c r="HJ482" t="s">
        <v>836</v>
      </c>
      <c r="HK482" t="s">
        <v>1037</v>
      </c>
      <c r="HL482" t="s">
        <v>1083</v>
      </c>
      <c r="HM482" t="s">
        <v>854</v>
      </c>
      <c r="HN482">
        <v>36805</v>
      </c>
      <c r="HP482" t="s">
        <v>111</v>
      </c>
      <c r="HQ482" t="s">
        <v>896</v>
      </c>
      <c r="HR482" t="s">
        <v>896</v>
      </c>
      <c r="HS482" t="s">
        <v>896</v>
      </c>
    </row>
    <row r="483" spans="1:227" x14ac:dyDescent="0.2">
      <c r="A483">
        <v>8702</v>
      </c>
      <c r="B483">
        <v>7613105738</v>
      </c>
      <c r="C483" t="s">
        <v>829</v>
      </c>
      <c r="D483" t="s">
        <v>830</v>
      </c>
      <c r="E483" t="s">
        <v>831</v>
      </c>
      <c r="F483">
        <v>2</v>
      </c>
      <c r="G483" t="s">
        <v>9925</v>
      </c>
      <c r="H483" t="s">
        <v>9925</v>
      </c>
      <c r="I483">
        <v>0</v>
      </c>
      <c r="J483" t="s">
        <v>833</v>
      </c>
      <c r="K483" t="s">
        <v>834</v>
      </c>
      <c r="L483">
        <v>153524594</v>
      </c>
      <c r="M483" t="s">
        <v>9926</v>
      </c>
      <c r="N483" t="s">
        <v>836</v>
      </c>
      <c r="O483" t="s">
        <v>837</v>
      </c>
      <c r="P483" t="s">
        <v>838</v>
      </c>
      <c r="Q483" t="s">
        <v>1593</v>
      </c>
      <c r="R483" t="s">
        <v>9927</v>
      </c>
      <c r="S483" t="s">
        <v>9928</v>
      </c>
      <c r="T483">
        <v>41477130639</v>
      </c>
      <c r="V483" t="s">
        <v>2903</v>
      </c>
      <c r="W483" s="41">
        <v>46153</v>
      </c>
      <c r="X483" t="s">
        <v>9929</v>
      </c>
      <c r="Y483" t="s">
        <v>9930</v>
      </c>
      <c r="AA483">
        <v>0</v>
      </c>
      <c r="AB483" t="s">
        <v>845</v>
      </c>
      <c r="AC483" t="s">
        <v>846</v>
      </c>
      <c r="AD483" t="s">
        <v>1113</v>
      </c>
      <c r="AE483" t="s">
        <v>1114</v>
      </c>
      <c r="AF483">
        <v>1</v>
      </c>
      <c r="AG483">
        <v>452210</v>
      </c>
      <c r="AH483" t="s">
        <v>849</v>
      </c>
      <c r="AI483" t="s">
        <v>850</v>
      </c>
      <c r="AJ483" t="s">
        <v>851</v>
      </c>
      <c r="AK483" t="s">
        <v>518</v>
      </c>
      <c r="AL483" t="s">
        <v>9931</v>
      </c>
      <c r="AM483" t="s">
        <v>2907</v>
      </c>
      <c r="AN483" t="s">
        <v>854</v>
      </c>
      <c r="AO483">
        <v>36805</v>
      </c>
      <c r="AP483">
        <v>563</v>
      </c>
      <c r="AQ483" t="s">
        <v>855</v>
      </c>
      <c r="AR483">
        <v>66458194</v>
      </c>
      <c r="AS483" t="s">
        <v>856</v>
      </c>
      <c r="AU483" t="s">
        <v>9932</v>
      </c>
      <c r="AV483" t="s">
        <v>9933</v>
      </c>
      <c r="AX483" t="s">
        <v>913</v>
      </c>
      <c r="AY483" t="s">
        <v>861</v>
      </c>
      <c r="AZ483" t="s">
        <v>518</v>
      </c>
      <c r="BA483" t="s">
        <v>519</v>
      </c>
      <c r="BB483">
        <v>0</v>
      </c>
      <c r="BC483">
        <v>0</v>
      </c>
      <c r="BD483">
        <v>0</v>
      </c>
      <c r="BE483" t="s">
        <v>9926</v>
      </c>
      <c r="BF483">
        <v>0</v>
      </c>
      <c r="BG483">
        <v>0</v>
      </c>
      <c r="BH483" t="s">
        <v>862</v>
      </c>
      <c r="BI483">
        <v>0</v>
      </c>
      <c r="BJ483" t="s">
        <v>862</v>
      </c>
      <c r="BK483">
        <v>1</v>
      </c>
      <c r="BL483">
        <v>1</v>
      </c>
      <c r="BM483">
        <v>0</v>
      </c>
      <c r="BN483" t="s">
        <v>596</v>
      </c>
      <c r="BO483">
        <v>153524594</v>
      </c>
      <c r="BP483" t="s">
        <v>9925</v>
      </c>
      <c r="BR483">
        <v>42791465</v>
      </c>
      <c r="BT483">
        <v>2</v>
      </c>
      <c r="BU483" t="s">
        <v>1803</v>
      </c>
      <c r="BY483">
        <v>16</v>
      </c>
      <c r="CA483">
        <v>6</v>
      </c>
      <c r="CE483">
        <v>1</v>
      </c>
      <c r="CI483">
        <v>11</v>
      </c>
      <c r="CJ483" t="s">
        <v>94</v>
      </c>
      <c r="CM483">
        <v>4010</v>
      </c>
      <c r="CO483">
        <v>7360</v>
      </c>
      <c r="CP483">
        <v>2.2999999999999998</v>
      </c>
      <c r="CQ483">
        <v>2.2999999999999998</v>
      </c>
      <c r="CR483">
        <v>1.9666999999999999</v>
      </c>
      <c r="CS483">
        <v>3</v>
      </c>
      <c r="CT483" t="s">
        <v>9933</v>
      </c>
      <c r="CU483" t="s">
        <v>9932</v>
      </c>
      <c r="CV483" t="s">
        <v>833</v>
      </c>
      <c r="CW483" t="s">
        <v>834</v>
      </c>
      <c r="CX483" t="s">
        <v>9926</v>
      </c>
      <c r="CY483">
        <v>0</v>
      </c>
      <c r="CZ483">
        <v>0</v>
      </c>
      <c r="DA483" t="s">
        <v>833</v>
      </c>
      <c r="DB483" t="s">
        <v>865</v>
      </c>
      <c r="DC483">
        <v>55902</v>
      </c>
      <c r="DD483">
        <v>5.9166999999999996</v>
      </c>
      <c r="DE483" t="s">
        <v>866</v>
      </c>
      <c r="DG483" t="s">
        <v>867</v>
      </c>
      <c r="DH483" t="s">
        <v>851</v>
      </c>
      <c r="DI483" t="s">
        <v>9934</v>
      </c>
      <c r="DK483" t="s">
        <v>918</v>
      </c>
      <c r="DL483" t="s">
        <v>869</v>
      </c>
      <c r="DM483">
        <v>0</v>
      </c>
      <c r="DN483">
        <v>0</v>
      </c>
      <c r="DO483">
        <v>3</v>
      </c>
      <c r="DP483" t="s">
        <v>919</v>
      </c>
      <c r="DQ483">
        <v>0</v>
      </c>
      <c r="DR483">
        <v>355</v>
      </c>
      <c r="DS483">
        <v>355</v>
      </c>
      <c r="DT483">
        <v>3.6166999999999998</v>
      </c>
      <c r="DU483">
        <v>0</v>
      </c>
      <c r="DV483">
        <v>1</v>
      </c>
      <c r="DW483">
        <v>2</v>
      </c>
      <c r="DX483" t="s">
        <v>596</v>
      </c>
      <c r="DY483" t="s">
        <v>9926</v>
      </c>
      <c r="DZ483">
        <v>1</v>
      </c>
      <c r="EA483">
        <v>1</v>
      </c>
      <c r="EB483">
        <v>1</v>
      </c>
      <c r="EC483">
        <v>1</v>
      </c>
      <c r="ED483">
        <v>1</v>
      </c>
      <c r="EE483">
        <v>1</v>
      </c>
      <c r="EF483" t="s">
        <v>871</v>
      </c>
      <c r="EG483" t="s">
        <v>595</v>
      </c>
      <c r="EH483" t="s">
        <v>921</v>
      </c>
      <c r="EI483" t="s">
        <v>921</v>
      </c>
      <c r="EJ483" t="s">
        <v>159</v>
      </c>
      <c r="EK483">
        <v>9090</v>
      </c>
      <c r="EL483">
        <v>0</v>
      </c>
      <c r="EM483" t="s">
        <v>873</v>
      </c>
      <c r="EN483">
        <v>1.9666999999999999</v>
      </c>
      <c r="EO483">
        <v>5.9166667000000004</v>
      </c>
      <c r="EP483">
        <v>99991120</v>
      </c>
      <c r="EQ483" t="s">
        <v>874</v>
      </c>
      <c r="ER483" t="s">
        <v>875</v>
      </c>
      <c r="ES483" t="s">
        <v>876</v>
      </c>
      <c r="ET483" t="s">
        <v>877</v>
      </c>
      <c r="EU483" t="s">
        <v>877</v>
      </c>
      <c r="EV483" t="s">
        <v>871</v>
      </c>
      <c r="EX483" t="s">
        <v>836</v>
      </c>
      <c r="EY483" t="s">
        <v>1121</v>
      </c>
      <c r="EZ483" t="s">
        <v>2913</v>
      </c>
      <c r="FA483" t="s">
        <v>1212</v>
      </c>
      <c r="FB483">
        <v>1</v>
      </c>
      <c r="FC483">
        <v>1</v>
      </c>
      <c r="FD483" s="41">
        <v>46158</v>
      </c>
      <c r="FE483" t="s">
        <v>1808</v>
      </c>
      <c r="FF483">
        <v>4</v>
      </c>
      <c r="FI483">
        <v>0</v>
      </c>
      <c r="FL483">
        <v>0</v>
      </c>
      <c r="FM483" t="s">
        <v>9935</v>
      </c>
      <c r="FN483" t="s">
        <v>9936</v>
      </c>
      <c r="FO483">
        <v>1</v>
      </c>
      <c r="FP483" t="s">
        <v>9937</v>
      </c>
      <c r="FQ483" t="s">
        <v>9932</v>
      </c>
      <c r="FR483">
        <v>1</v>
      </c>
      <c r="FS483" t="s">
        <v>9938</v>
      </c>
      <c r="FT483" t="s">
        <v>9939</v>
      </c>
      <c r="FU483">
        <v>1</v>
      </c>
      <c r="FV483" t="s">
        <v>9940</v>
      </c>
      <c r="FW483" t="s">
        <v>9941</v>
      </c>
      <c r="FX483">
        <v>1</v>
      </c>
      <c r="FY483" t="s">
        <v>890</v>
      </c>
      <c r="FZ483" t="s">
        <v>9942</v>
      </c>
      <c r="GA483" t="s">
        <v>9940</v>
      </c>
      <c r="GB483">
        <v>1</v>
      </c>
      <c r="GD483">
        <v>0</v>
      </c>
      <c r="GF483">
        <v>0</v>
      </c>
      <c r="GG483">
        <v>1</v>
      </c>
      <c r="GH483" t="s">
        <v>892</v>
      </c>
      <c r="GI483" t="s">
        <v>893</v>
      </c>
      <c r="GJ483" t="s">
        <v>9941</v>
      </c>
      <c r="GM483">
        <v>1</v>
      </c>
      <c r="GN483">
        <v>1</v>
      </c>
      <c r="GO483">
        <v>0</v>
      </c>
      <c r="GP483">
        <v>1</v>
      </c>
      <c r="GQ483">
        <v>1</v>
      </c>
      <c r="GR483">
        <v>0</v>
      </c>
      <c r="GS483">
        <v>1</v>
      </c>
      <c r="GT483">
        <v>0</v>
      </c>
      <c r="GU483">
        <v>1</v>
      </c>
      <c r="GV483">
        <v>0</v>
      </c>
      <c r="GW483">
        <v>1</v>
      </c>
      <c r="GX483">
        <v>0</v>
      </c>
      <c r="GY483">
        <v>1</v>
      </c>
      <c r="GZ483">
        <v>0</v>
      </c>
      <c r="HA483" t="s">
        <v>518</v>
      </c>
      <c r="HB483" t="s">
        <v>894</v>
      </c>
      <c r="HC483" t="s">
        <v>895</v>
      </c>
      <c r="HD483" t="s">
        <v>845</v>
      </c>
      <c r="HE483" t="s">
        <v>836</v>
      </c>
      <c r="HF483" t="s">
        <v>873</v>
      </c>
      <c r="HG483" t="s">
        <v>894</v>
      </c>
      <c r="HH483" t="s">
        <v>895</v>
      </c>
      <c r="HI483" t="s">
        <v>845</v>
      </c>
      <c r="HJ483" t="s">
        <v>836</v>
      </c>
      <c r="HK483" t="s">
        <v>873</v>
      </c>
      <c r="HL483" t="s">
        <v>2903</v>
      </c>
      <c r="HM483" t="s">
        <v>854</v>
      </c>
      <c r="HN483">
        <v>36805</v>
      </c>
      <c r="HP483" t="s">
        <v>159</v>
      </c>
      <c r="HQ483" t="s">
        <v>896</v>
      </c>
      <c r="HR483" t="s">
        <v>896</v>
      </c>
      <c r="HS483" t="s">
        <v>896</v>
      </c>
    </row>
    <row r="484" spans="1:227" x14ac:dyDescent="0.2">
      <c r="A484">
        <v>8702</v>
      </c>
      <c r="B484">
        <v>7600505568</v>
      </c>
      <c r="C484" t="s">
        <v>936</v>
      </c>
      <c r="D484" t="s">
        <v>937</v>
      </c>
      <c r="E484" t="s">
        <v>897</v>
      </c>
      <c r="F484">
        <v>0</v>
      </c>
      <c r="G484" t="s">
        <v>9943</v>
      </c>
      <c r="H484" t="s">
        <v>9943</v>
      </c>
      <c r="I484">
        <v>0</v>
      </c>
      <c r="J484" t="s">
        <v>833</v>
      </c>
      <c r="K484" t="s">
        <v>834</v>
      </c>
      <c r="L484">
        <v>152832700</v>
      </c>
      <c r="M484" t="s">
        <v>3537</v>
      </c>
      <c r="N484" t="s">
        <v>900</v>
      </c>
      <c r="O484" t="s">
        <v>837</v>
      </c>
      <c r="P484" t="s">
        <v>940</v>
      </c>
      <c r="Q484" t="s">
        <v>1080</v>
      </c>
      <c r="R484" t="s">
        <v>9944</v>
      </c>
      <c r="S484" t="s">
        <v>9945</v>
      </c>
      <c r="T484">
        <v>41477130640</v>
      </c>
      <c r="V484" t="s">
        <v>239</v>
      </c>
      <c r="W484" s="41">
        <v>46027</v>
      </c>
      <c r="X484" t="s">
        <v>9946</v>
      </c>
      <c r="Y484" t="s">
        <v>9947</v>
      </c>
      <c r="Z484">
        <v>1</v>
      </c>
      <c r="AA484">
        <v>0</v>
      </c>
      <c r="AB484" t="s">
        <v>845</v>
      </c>
      <c r="AC484" t="s">
        <v>846</v>
      </c>
      <c r="AD484" t="s">
        <v>847</v>
      </c>
      <c r="AE484" t="s">
        <v>848</v>
      </c>
      <c r="AF484">
        <v>1</v>
      </c>
      <c r="AG484">
        <v>452210</v>
      </c>
      <c r="AH484" t="s">
        <v>849</v>
      </c>
      <c r="AI484" t="s">
        <v>850</v>
      </c>
      <c r="AJ484" t="s">
        <v>851</v>
      </c>
      <c r="AK484" t="s">
        <v>265</v>
      </c>
      <c r="AL484" t="s">
        <v>1644</v>
      </c>
      <c r="AM484" t="s">
        <v>1645</v>
      </c>
      <c r="AN484" t="s">
        <v>854</v>
      </c>
      <c r="AO484">
        <v>36805</v>
      </c>
      <c r="AP484">
        <v>928</v>
      </c>
      <c r="AQ484" t="s">
        <v>855</v>
      </c>
      <c r="AR484">
        <v>66276717</v>
      </c>
      <c r="AS484" t="s">
        <v>856</v>
      </c>
      <c r="AU484" t="s">
        <v>9948</v>
      </c>
      <c r="AV484" t="s">
        <v>9949</v>
      </c>
      <c r="AX484" t="s">
        <v>913</v>
      </c>
      <c r="AY484" t="s">
        <v>861</v>
      </c>
      <c r="AZ484" t="s">
        <v>265</v>
      </c>
      <c r="BA484" t="s">
        <v>266</v>
      </c>
      <c r="BB484">
        <v>0</v>
      </c>
      <c r="BC484">
        <v>0</v>
      </c>
      <c r="BD484">
        <v>0</v>
      </c>
      <c r="BE484" t="s">
        <v>3537</v>
      </c>
      <c r="BF484">
        <v>0</v>
      </c>
      <c r="BG484">
        <v>0</v>
      </c>
      <c r="BH484" t="s">
        <v>862</v>
      </c>
      <c r="BI484">
        <v>0</v>
      </c>
      <c r="BJ484" t="s">
        <v>862</v>
      </c>
      <c r="BK484">
        <v>1</v>
      </c>
      <c r="BL484">
        <v>1</v>
      </c>
      <c r="BM484">
        <v>0</v>
      </c>
      <c r="BN484" t="s">
        <v>596</v>
      </c>
      <c r="BO484">
        <v>152832700</v>
      </c>
      <c r="BP484" t="s">
        <v>9943</v>
      </c>
      <c r="BR484">
        <v>42793653</v>
      </c>
      <c r="BT484">
        <v>2</v>
      </c>
      <c r="BU484" t="s">
        <v>1367</v>
      </c>
      <c r="CE484">
        <v>1</v>
      </c>
      <c r="CI484">
        <v>11</v>
      </c>
      <c r="CJ484" t="s">
        <v>94</v>
      </c>
      <c r="CM484">
        <v>4010</v>
      </c>
      <c r="CO484">
        <v>7360</v>
      </c>
      <c r="CP484">
        <v>6.6699999999999995E-2</v>
      </c>
      <c r="CQ484">
        <v>6.6699999999999995E-2</v>
      </c>
      <c r="CR484">
        <v>1.67E-2</v>
      </c>
      <c r="CS484">
        <v>1</v>
      </c>
      <c r="CT484" t="s">
        <v>9950</v>
      </c>
      <c r="CU484" t="s">
        <v>9951</v>
      </c>
      <c r="CV484" t="s">
        <v>833</v>
      </c>
      <c r="CW484" t="s">
        <v>834</v>
      </c>
      <c r="CX484" t="s">
        <v>3537</v>
      </c>
      <c r="CY484">
        <v>0</v>
      </c>
      <c r="CZ484">
        <v>0</v>
      </c>
      <c r="DA484" t="s">
        <v>833</v>
      </c>
      <c r="DB484" t="s">
        <v>865</v>
      </c>
      <c r="DC484">
        <v>44145</v>
      </c>
      <c r="DD484">
        <v>2.6</v>
      </c>
      <c r="DE484" t="s">
        <v>866</v>
      </c>
      <c r="DG484" t="s">
        <v>867</v>
      </c>
      <c r="DH484" t="s">
        <v>851</v>
      </c>
      <c r="DI484" t="s">
        <v>2105</v>
      </c>
      <c r="DK484" t="s">
        <v>918</v>
      </c>
      <c r="DL484" t="s">
        <v>869</v>
      </c>
      <c r="DM484">
        <v>0</v>
      </c>
      <c r="DN484">
        <v>0</v>
      </c>
      <c r="DO484">
        <v>1</v>
      </c>
      <c r="DP484" t="s">
        <v>985</v>
      </c>
      <c r="DQ484">
        <v>16</v>
      </c>
      <c r="DR484">
        <v>156</v>
      </c>
      <c r="DS484">
        <v>156</v>
      </c>
      <c r="DT484">
        <v>2.5333000000000001</v>
      </c>
      <c r="DU484">
        <v>4</v>
      </c>
      <c r="DV484">
        <v>1</v>
      </c>
      <c r="DW484">
        <v>2</v>
      </c>
      <c r="DX484" t="s">
        <v>596</v>
      </c>
      <c r="DY484" t="s">
        <v>3537</v>
      </c>
      <c r="DZ484">
        <v>1</v>
      </c>
      <c r="EA484">
        <v>1</v>
      </c>
      <c r="EB484">
        <v>1</v>
      </c>
      <c r="EC484">
        <v>1</v>
      </c>
      <c r="ED484">
        <v>1</v>
      </c>
      <c r="EE484">
        <v>1</v>
      </c>
      <c r="EF484" t="s">
        <v>871</v>
      </c>
      <c r="EG484" t="s">
        <v>595</v>
      </c>
      <c r="EH484" t="s">
        <v>921</v>
      </c>
      <c r="EI484" t="s">
        <v>921</v>
      </c>
      <c r="EJ484" t="s">
        <v>226</v>
      </c>
      <c r="EK484">
        <v>9090</v>
      </c>
      <c r="EL484">
        <v>0</v>
      </c>
      <c r="EM484" t="s">
        <v>1157</v>
      </c>
      <c r="EN484">
        <v>1.67E-2</v>
      </c>
      <c r="EO484">
        <v>2.6</v>
      </c>
      <c r="EP484">
        <v>99991120</v>
      </c>
      <c r="EQ484" t="s">
        <v>874</v>
      </c>
      <c r="ER484" t="s">
        <v>875</v>
      </c>
      <c r="ES484" t="s">
        <v>876</v>
      </c>
      <c r="ET484" t="s">
        <v>877</v>
      </c>
      <c r="EU484" t="s">
        <v>877</v>
      </c>
      <c r="EV484" t="s">
        <v>871</v>
      </c>
      <c r="EX484" t="s">
        <v>953</v>
      </c>
      <c r="EY484" t="s">
        <v>986</v>
      </c>
      <c r="EZ484" t="s">
        <v>1236</v>
      </c>
      <c r="FA484" t="s">
        <v>956</v>
      </c>
      <c r="FB484">
        <v>1</v>
      </c>
      <c r="FC484">
        <v>1</v>
      </c>
      <c r="FD484" s="41">
        <v>46032</v>
      </c>
      <c r="FE484" t="s">
        <v>1370</v>
      </c>
      <c r="FF484">
        <v>6</v>
      </c>
      <c r="FG484" t="s">
        <v>1649</v>
      </c>
      <c r="FH484" t="s">
        <v>9952</v>
      </c>
      <c r="FI484">
        <v>1</v>
      </c>
      <c r="FJ484" t="s">
        <v>1651</v>
      </c>
      <c r="FK484" t="s">
        <v>9953</v>
      </c>
      <c r="FL484">
        <v>1</v>
      </c>
      <c r="FM484" t="s">
        <v>3547</v>
      </c>
      <c r="FN484" t="s">
        <v>9954</v>
      </c>
      <c r="FO484">
        <v>1</v>
      </c>
      <c r="FP484" t="s">
        <v>9955</v>
      </c>
      <c r="FQ484" t="s">
        <v>9951</v>
      </c>
      <c r="FR484">
        <v>1</v>
      </c>
      <c r="FS484" t="s">
        <v>1656</v>
      </c>
      <c r="FT484" t="s">
        <v>9956</v>
      </c>
      <c r="FU484">
        <v>1</v>
      </c>
      <c r="FV484" t="s">
        <v>1658</v>
      </c>
      <c r="FW484" t="s">
        <v>9957</v>
      </c>
      <c r="FX484">
        <v>1</v>
      </c>
      <c r="FY484" t="s">
        <v>890</v>
      </c>
      <c r="FZ484" t="s">
        <v>9958</v>
      </c>
      <c r="GA484" t="s">
        <v>1651</v>
      </c>
      <c r="GB484">
        <v>1</v>
      </c>
      <c r="GD484">
        <v>0</v>
      </c>
      <c r="GF484">
        <v>0</v>
      </c>
      <c r="GG484">
        <v>1</v>
      </c>
      <c r="GH484" t="s">
        <v>892</v>
      </c>
      <c r="GI484" t="s">
        <v>893</v>
      </c>
      <c r="GJ484" t="s">
        <v>9953</v>
      </c>
      <c r="GM484">
        <v>1</v>
      </c>
      <c r="GN484">
        <v>1</v>
      </c>
      <c r="GO484">
        <v>0</v>
      </c>
      <c r="GP484">
        <v>1</v>
      </c>
      <c r="GQ484">
        <v>1</v>
      </c>
      <c r="GR484">
        <v>0</v>
      </c>
      <c r="GS484">
        <v>1</v>
      </c>
      <c r="GT484">
        <v>0</v>
      </c>
      <c r="GU484">
        <v>1</v>
      </c>
      <c r="GV484">
        <v>0</v>
      </c>
      <c r="GW484">
        <v>1</v>
      </c>
      <c r="GX484">
        <v>0</v>
      </c>
      <c r="GY484">
        <v>1</v>
      </c>
      <c r="GZ484">
        <v>0</v>
      </c>
      <c r="HA484" t="s">
        <v>265</v>
      </c>
      <c r="HB484" t="s">
        <v>894</v>
      </c>
      <c r="HC484" t="s">
        <v>935</v>
      </c>
      <c r="HD484" t="s">
        <v>845</v>
      </c>
      <c r="HE484" t="s">
        <v>900</v>
      </c>
      <c r="HF484" t="s">
        <v>923</v>
      </c>
      <c r="HG484" t="s">
        <v>894</v>
      </c>
      <c r="HH484" t="s">
        <v>935</v>
      </c>
      <c r="HI484" t="s">
        <v>845</v>
      </c>
      <c r="HJ484" t="s">
        <v>900</v>
      </c>
      <c r="HK484" t="s">
        <v>922</v>
      </c>
      <c r="HL484" t="s">
        <v>239</v>
      </c>
      <c r="HM484" t="s">
        <v>854</v>
      </c>
      <c r="HN484">
        <v>36805</v>
      </c>
      <c r="HP484" t="s">
        <v>226</v>
      </c>
      <c r="HQ484" t="s">
        <v>896</v>
      </c>
      <c r="HR484" t="s">
        <v>896</v>
      </c>
      <c r="HS484" t="s">
        <v>896</v>
      </c>
    </row>
    <row r="485" spans="1:227" x14ac:dyDescent="0.2">
      <c r="A485">
        <v>8702</v>
      </c>
      <c r="B485">
        <v>7530800137</v>
      </c>
      <c r="C485" t="s">
        <v>829</v>
      </c>
      <c r="D485" t="s">
        <v>830</v>
      </c>
      <c r="E485" t="s">
        <v>897</v>
      </c>
      <c r="F485">
        <v>0</v>
      </c>
      <c r="G485" t="s">
        <v>9959</v>
      </c>
      <c r="H485" t="s">
        <v>9959</v>
      </c>
      <c r="I485">
        <v>0</v>
      </c>
      <c r="J485" t="s">
        <v>833</v>
      </c>
      <c r="K485" t="s">
        <v>834</v>
      </c>
      <c r="L485">
        <v>152946709</v>
      </c>
      <c r="M485" t="s">
        <v>9960</v>
      </c>
      <c r="N485" t="s">
        <v>900</v>
      </c>
      <c r="O485" t="s">
        <v>837</v>
      </c>
      <c r="P485" t="s">
        <v>838</v>
      </c>
      <c r="Q485" t="s">
        <v>1279</v>
      </c>
      <c r="R485" t="s">
        <v>9961</v>
      </c>
      <c r="S485" t="s">
        <v>9962</v>
      </c>
      <c r="T485">
        <v>41477085454</v>
      </c>
      <c r="V485" t="s">
        <v>212</v>
      </c>
      <c r="W485" s="41">
        <v>45966</v>
      </c>
      <c r="X485" t="s">
        <v>9963</v>
      </c>
      <c r="Y485" t="s">
        <v>9964</v>
      </c>
      <c r="AA485">
        <v>0</v>
      </c>
      <c r="AB485" t="s">
        <v>845</v>
      </c>
      <c r="AC485" t="s">
        <v>846</v>
      </c>
      <c r="AD485" t="s">
        <v>847</v>
      </c>
      <c r="AE485" t="s">
        <v>848</v>
      </c>
      <c r="AF485">
        <v>1</v>
      </c>
      <c r="AG485">
        <v>452210</v>
      </c>
      <c r="AH485" t="s">
        <v>849</v>
      </c>
      <c r="AI485" t="s">
        <v>850</v>
      </c>
      <c r="AJ485" t="s">
        <v>851</v>
      </c>
      <c r="AK485" t="s">
        <v>281</v>
      </c>
      <c r="AL485" t="s">
        <v>1407</v>
      </c>
      <c r="AM485" t="s">
        <v>2689</v>
      </c>
      <c r="AN485" t="s">
        <v>854</v>
      </c>
      <c r="AO485">
        <v>36805</v>
      </c>
      <c r="AP485">
        <v>649</v>
      </c>
      <c r="AQ485" t="s">
        <v>855</v>
      </c>
      <c r="AR485">
        <v>66188509</v>
      </c>
      <c r="AS485" t="s">
        <v>856</v>
      </c>
      <c r="AU485" t="s">
        <v>9965</v>
      </c>
      <c r="AV485" t="s">
        <v>9966</v>
      </c>
      <c r="AX485" t="s">
        <v>913</v>
      </c>
      <c r="AY485" t="s">
        <v>861</v>
      </c>
      <c r="AZ485" t="s">
        <v>281</v>
      </c>
      <c r="BA485" t="s">
        <v>282</v>
      </c>
      <c r="BB485">
        <v>0</v>
      </c>
      <c r="BC485">
        <v>0</v>
      </c>
      <c r="BD485">
        <v>0</v>
      </c>
      <c r="BE485" t="s">
        <v>9960</v>
      </c>
      <c r="BF485">
        <v>0</v>
      </c>
      <c r="BG485">
        <v>0</v>
      </c>
      <c r="BH485" t="s">
        <v>862</v>
      </c>
      <c r="BI485">
        <v>0</v>
      </c>
      <c r="BJ485" t="s">
        <v>862</v>
      </c>
      <c r="BK485">
        <v>1</v>
      </c>
      <c r="BL485">
        <v>1</v>
      </c>
      <c r="BM485">
        <v>0</v>
      </c>
      <c r="BN485" t="s">
        <v>596</v>
      </c>
      <c r="BO485">
        <v>152946709</v>
      </c>
      <c r="BP485" t="s">
        <v>9959</v>
      </c>
      <c r="BQ485">
        <v>42.323624700000003</v>
      </c>
      <c r="BR485">
        <v>42791782</v>
      </c>
      <c r="BS485">
        <v>-83.469043600000006</v>
      </c>
      <c r="BT485">
        <v>0</v>
      </c>
      <c r="CM485">
        <v>4010</v>
      </c>
      <c r="CO485">
        <v>7360</v>
      </c>
      <c r="CP485">
        <v>0.6</v>
      </c>
      <c r="CQ485">
        <v>0.6</v>
      </c>
      <c r="CR485">
        <v>0.4</v>
      </c>
      <c r="CS485">
        <v>0</v>
      </c>
      <c r="CT485" t="s">
        <v>9966</v>
      </c>
      <c r="CU485" t="s">
        <v>9965</v>
      </c>
      <c r="CV485" t="s">
        <v>833</v>
      </c>
      <c r="CW485" t="s">
        <v>834</v>
      </c>
      <c r="CX485" t="s">
        <v>9960</v>
      </c>
      <c r="CY485">
        <v>0</v>
      </c>
      <c r="CZ485">
        <v>0</v>
      </c>
      <c r="DA485" t="s">
        <v>833</v>
      </c>
      <c r="DB485" t="s">
        <v>865</v>
      </c>
      <c r="DC485">
        <v>48187</v>
      </c>
      <c r="DD485">
        <v>5.0833000000000004</v>
      </c>
      <c r="DE485" t="s">
        <v>866</v>
      </c>
      <c r="DG485" t="s">
        <v>867</v>
      </c>
      <c r="DH485" t="s">
        <v>851</v>
      </c>
      <c r="DI485" t="s">
        <v>5117</v>
      </c>
      <c r="DL485" t="s">
        <v>869</v>
      </c>
      <c r="DM485">
        <v>0</v>
      </c>
      <c r="DN485">
        <v>0</v>
      </c>
      <c r="DO485">
        <v>1</v>
      </c>
      <c r="DP485" t="s">
        <v>985</v>
      </c>
      <c r="DQ485">
        <v>16</v>
      </c>
      <c r="DR485">
        <v>305</v>
      </c>
      <c r="DS485">
        <v>931</v>
      </c>
      <c r="DT485">
        <v>5.0833000000000004</v>
      </c>
      <c r="DU485">
        <v>4</v>
      </c>
      <c r="DW485">
        <v>2</v>
      </c>
      <c r="DX485" t="s">
        <v>596</v>
      </c>
      <c r="DY485" t="s">
        <v>9960</v>
      </c>
      <c r="DZ485">
        <v>1</v>
      </c>
      <c r="EA485">
        <v>1</v>
      </c>
      <c r="EB485">
        <v>1</v>
      </c>
      <c r="EC485">
        <v>0</v>
      </c>
      <c r="ED485">
        <v>0</v>
      </c>
      <c r="EE485">
        <v>1</v>
      </c>
      <c r="EF485" t="s">
        <v>920</v>
      </c>
      <c r="EG485" t="s">
        <v>595</v>
      </c>
      <c r="EH485" t="s">
        <v>921</v>
      </c>
      <c r="EI485" t="s">
        <v>921</v>
      </c>
      <c r="EJ485" t="s">
        <v>178</v>
      </c>
      <c r="EK485">
        <v>9090</v>
      </c>
      <c r="EL485">
        <v>0</v>
      </c>
      <c r="EM485" t="s">
        <v>952</v>
      </c>
      <c r="EN485">
        <v>0.4</v>
      </c>
      <c r="EO485">
        <v>15.516666600000001</v>
      </c>
      <c r="EP485">
        <v>99991120</v>
      </c>
      <c r="EQ485" t="s">
        <v>874</v>
      </c>
      <c r="ER485" t="s">
        <v>875</v>
      </c>
      <c r="ES485" t="s">
        <v>876</v>
      </c>
      <c r="ET485" t="s">
        <v>877</v>
      </c>
      <c r="EU485" t="s">
        <v>877</v>
      </c>
      <c r="EV485" t="s">
        <v>920</v>
      </c>
      <c r="EX485" t="s">
        <v>953</v>
      </c>
      <c r="EY485" t="s">
        <v>954</v>
      </c>
      <c r="EZ485" t="s">
        <v>955</v>
      </c>
      <c r="FA485" t="s">
        <v>956</v>
      </c>
      <c r="FB485">
        <v>1</v>
      </c>
      <c r="FC485">
        <v>1</v>
      </c>
      <c r="FD485" s="41">
        <v>45969</v>
      </c>
      <c r="FE485" t="s">
        <v>1438</v>
      </c>
      <c r="FF485">
        <v>8</v>
      </c>
      <c r="FG485" t="s">
        <v>1417</v>
      </c>
      <c r="FH485" t="s">
        <v>9967</v>
      </c>
      <c r="FI485">
        <v>1</v>
      </c>
      <c r="FJ485" t="s">
        <v>9968</v>
      </c>
      <c r="FK485" t="s">
        <v>9969</v>
      </c>
      <c r="FL485">
        <v>1</v>
      </c>
      <c r="FM485" t="s">
        <v>9970</v>
      </c>
      <c r="FN485" t="s">
        <v>9971</v>
      </c>
      <c r="FO485">
        <v>1</v>
      </c>
      <c r="FP485" t="s">
        <v>9972</v>
      </c>
      <c r="FQ485" t="s">
        <v>9965</v>
      </c>
      <c r="FR485">
        <v>1</v>
      </c>
      <c r="FS485" t="s">
        <v>4479</v>
      </c>
      <c r="FT485" t="s">
        <v>9973</v>
      </c>
      <c r="FU485">
        <v>1</v>
      </c>
      <c r="FV485" t="s">
        <v>8080</v>
      </c>
      <c r="FW485" t="s">
        <v>9974</v>
      </c>
      <c r="FX485">
        <v>1</v>
      </c>
      <c r="FY485" t="s">
        <v>890</v>
      </c>
      <c r="FZ485" t="s">
        <v>9975</v>
      </c>
      <c r="GA485" t="s">
        <v>9968</v>
      </c>
      <c r="GB485">
        <v>1</v>
      </c>
      <c r="GD485">
        <v>0</v>
      </c>
      <c r="GF485">
        <v>0</v>
      </c>
      <c r="GG485">
        <v>1</v>
      </c>
      <c r="GH485" t="s">
        <v>892</v>
      </c>
      <c r="GI485" t="s">
        <v>893</v>
      </c>
      <c r="GJ485" t="s">
        <v>9969</v>
      </c>
      <c r="GM485">
        <v>1</v>
      </c>
      <c r="GN485">
        <v>1</v>
      </c>
      <c r="GO485">
        <v>0</v>
      </c>
      <c r="GP485">
        <v>1</v>
      </c>
      <c r="GQ485">
        <v>1</v>
      </c>
      <c r="GR485">
        <v>0</v>
      </c>
      <c r="GS485">
        <v>1</v>
      </c>
      <c r="GT485">
        <v>0</v>
      </c>
      <c r="GU485">
        <v>1</v>
      </c>
      <c r="GV485">
        <v>0</v>
      </c>
      <c r="GW485">
        <v>1</v>
      </c>
      <c r="GX485">
        <v>0</v>
      </c>
      <c r="GY485">
        <v>1</v>
      </c>
      <c r="GZ485">
        <v>0</v>
      </c>
      <c r="HA485" t="s">
        <v>281</v>
      </c>
      <c r="HB485" t="s">
        <v>894</v>
      </c>
      <c r="HC485" t="s">
        <v>935</v>
      </c>
      <c r="HD485" t="s">
        <v>845</v>
      </c>
      <c r="HE485" t="s">
        <v>900</v>
      </c>
      <c r="HF485" t="s">
        <v>923</v>
      </c>
      <c r="HG485" t="s">
        <v>894</v>
      </c>
      <c r="HH485" t="s">
        <v>935</v>
      </c>
      <c r="HI485" t="s">
        <v>845</v>
      </c>
      <c r="HJ485" t="s">
        <v>900</v>
      </c>
      <c r="HK485" t="s">
        <v>952</v>
      </c>
      <c r="HL485" t="s">
        <v>212</v>
      </c>
      <c r="HM485" t="s">
        <v>854</v>
      </c>
      <c r="HN485">
        <v>36805</v>
      </c>
      <c r="HP485" t="s">
        <v>178</v>
      </c>
      <c r="HQ485" t="s">
        <v>896</v>
      </c>
      <c r="HR485" t="s">
        <v>896</v>
      </c>
      <c r="HS485" t="s">
        <v>896</v>
      </c>
    </row>
    <row r="486" spans="1:227" x14ac:dyDescent="0.2">
      <c r="A486">
        <v>8702</v>
      </c>
      <c r="B486">
        <v>7606605814</v>
      </c>
      <c r="C486" t="s">
        <v>829</v>
      </c>
      <c r="D486" t="s">
        <v>830</v>
      </c>
      <c r="E486" t="s">
        <v>897</v>
      </c>
      <c r="F486">
        <v>1</v>
      </c>
      <c r="G486" t="s">
        <v>9976</v>
      </c>
      <c r="H486" t="s">
        <v>9976</v>
      </c>
      <c r="I486">
        <v>0</v>
      </c>
      <c r="J486" t="s">
        <v>833</v>
      </c>
      <c r="K486" t="s">
        <v>834</v>
      </c>
      <c r="L486">
        <v>153524580</v>
      </c>
      <c r="M486" t="s">
        <v>9977</v>
      </c>
      <c r="N486" t="s">
        <v>900</v>
      </c>
      <c r="O486" t="s">
        <v>837</v>
      </c>
      <c r="P486" t="s">
        <v>838</v>
      </c>
      <c r="Q486" t="s">
        <v>1279</v>
      </c>
      <c r="R486" t="s">
        <v>9978</v>
      </c>
      <c r="S486" t="s">
        <v>9979</v>
      </c>
      <c r="T486">
        <v>41477084573</v>
      </c>
      <c r="V486" t="s">
        <v>1282</v>
      </c>
      <c r="W486" s="41">
        <v>46088</v>
      </c>
      <c r="X486" t="s">
        <v>9980</v>
      </c>
      <c r="Y486" t="s">
        <v>9981</v>
      </c>
      <c r="AA486">
        <v>0</v>
      </c>
      <c r="AB486" t="s">
        <v>845</v>
      </c>
      <c r="AC486" t="s">
        <v>846</v>
      </c>
      <c r="AD486" t="s">
        <v>1113</v>
      </c>
      <c r="AE486" t="s">
        <v>1114</v>
      </c>
      <c r="AF486">
        <v>1</v>
      </c>
      <c r="AG486">
        <v>452210</v>
      </c>
      <c r="AH486" t="s">
        <v>849</v>
      </c>
      <c r="AI486" t="s">
        <v>850</v>
      </c>
      <c r="AJ486" t="s">
        <v>851</v>
      </c>
      <c r="AK486" t="s">
        <v>363</v>
      </c>
      <c r="AL486" t="s">
        <v>1285</v>
      </c>
      <c r="AM486" t="s">
        <v>1286</v>
      </c>
      <c r="AN486" t="s">
        <v>854</v>
      </c>
      <c r="AO486">
        <v>36805</v>
      </c>
      <c r="AP486">
        <v>497</v>
      </c>
      <c r="AQ486" t="s">
        <v>855</v>
      </c>
      <c r="AR486">
        <v>66364493</v>
      </c>
      <c r="AS486" t="s">
        <v>856</v>
      </c>
      <c r="AU486" t="s">
        <v>9982</v>
      </c>
      <c r="AV486" t="s">
        <v>9983</v>
      </c>
      <c r="AX486" t="s">
        <v>913</v>
      </c>
      <c r="AY486" t="s">
        <v>861</v>
      </c>
      <c r="AZ486" t="s">
        <v>363</v>
      </c>
      <c r="BA486" t="s">
        <v>364</v>
      </c>
      <c r="BB486">
        <v>0</v>
      </c>
      <c r="BC486">
        <v>0</v>
      </c>
      <c r="BD486">
        <v>0</v>
      </c>
      <c r="BE486" t="s">
        <v>9977</v>
      </c>
      <c r="BF486">
        <v>0</v>
      </c>
      <c r="BG486">
        <v>0</v>
      </c>
      <c r="BH486" t="s">
        <v>862</v>
      </c>
      <c r="BI486">
        <v>0</v>
      </c>
      <c r="BJ486" t="s">
        <v>862</v>
      </c>
      <c r="BK486">
        <v>1</v>
      </c>
      <c r="BL486">
        <v>1</v>
      </c>
      <c r="BM486">
        <v>0</v>
      </c>
      <c r="BN486" t="s">
        <v>596</v>
      </c>
      <c r="BO486">
        <v>153524580</v>
      </c>
      <c r="BP486" t="s">
        <v>9976</v>
      </c>
      <c r="BQ486">
        <v>40.330094799999998</v>
      </c>
      <c r="BR486">
        <v>42791323</v>
      </c>
      <c r="BS486">
        <v>-79.944195199999996</v>
      </c>
      <c r="BT486">
        <v>2</v>
      </c>
      <c r="BU486" t="s">
        <v>1715</v>
      </c>
      <c r="CE486">
        <v>1</v>
      </c>
      <c r="CI486">
        <v>11</v>
      </c>
      <c r="CJ486" t="s">
        <v>94</v>
      </c>
      <c r="CM486">
        <v>4010</v>
      </c>
      <c r="CO486">
        <v>7360</v>
      </c>
      <c r="CP486">
        <v>1.1167</v>
      </c>
      <c r="CQ486">
        <v>1.1167</v>
      </c>
      <c r="CR486">
        <v>0.7167</v>
      </c>
      <c r="CS486">
        <v>21</v>
      </c>
      <c r="CT486" t="s">
        <v>9984</v>
      </c>
      <c r="CU486" t="s">
        <v>9985</v>
      </c>
      <c r="CV486" t="s">
        <v>833</v>
      </c>
      <c r="CW486" t="s">
        <v>834</v>
      </c>
      <c r="CX486" t="s">
        <v>9977</v>
      </c>
      <c r="CY486">
        <v>0</v>
      </c>
      <c r="CZ486">
        <v>0</v>
      </c>
      <c r="DA486" t="s">
        <v>833</v>
      </c>
      <c r="DB486" t="s">
        <v>865</v>
      </c>
      <c r="DC486">
        <v>15236</v>
      </c>
      <c r="DD486">
        <v>2.7833000000000001</v>
      </c>
      <c r="DE486" t="s">
        <v>866</v>
      </c>
      <c r="DG486" t="s">
        <v>867</v>
      </c>
      <c r="DH486" t="s">
        <v>851</v>
      </c>
      <c r="DI486" t="s">
        <v>1291</v>
      </c>
      <c r="DK486" t="s">
        <v>918</v>
      </c>
      <c r="DL486" t="s">
        <v>869</v>
      </c>
      <c r="DM486">
        <v>0</v>
      </c>
      <c r="DN486">
        <v>0</v>
      </c>
      <c r="DO486">
        <v>3</v>
      </c>
      <c r="DP486" t="s">
        <v>919</v>
      </c>
      <c r="DQ486">
        <v>0</v>
      </c>
      <c r="DR486">
        <v>167</v>
      </c>
      <c r="DS486">
        <v>167</v>
      </c>
      <c r="DT486">
        <v>1.6667000000000001</v>
      </c>
      <c r="DU486">
        <v>0</v>
      </c>
      <c r="DV486">
        <v>1</v>
      </c>
      <c r="DW486">
        <v>2</v>
      </c>
      <c r="DX486" t="s">
        <v>596</v>
      </c>
      <c r="DY486" t="s">
        <v>9977</v>
      </c>
      <c r="DZ486">
        <v>1</v>
      </c>
      <c r="EA486">
        <v>1</v>
      </c>
      <c r="EB486">
        <v>1</v>
      </c>
      <c r="EC486">
        <v>1</v>
      </c>
      <c r="ED486">
        <v>1</v>
      </c>
      <c r="EE486">
        <v>1</v>
      </c>
      <c r="EF486" t="s">
        <v>920</v>
      </c>
      <c r="EG486" t="s">
        <v>595</v>
      </c>
      <c r="EH486" t="s">
        <v>921</v>
      </c>
      <c r="EI486" t="s">
        <v>921</v>
      </c>
      <c r="EJ486" t="s">
        <v>124</v>
      </c>
      <c r="EK486">
        <v>9090</v>
      </c>
      <c r="EL486">
        <v>0</v>
      </c>
      <c r="EM486" t="s">
        <v>923</v>
      </c>
      <c r="EN486">
        <v>0.7167</v>
      </c>
      <c r="EO486">
        <v>2.7833332999999998</v>
      </c>
      <c r="EP486">
        <v>99991120</v>
      </c>
      <c r="EQ486" t="s">
        <v>874</v>
      </c>
      <c r="ER486" t="s">
        <v>875</v>
      </c>
      <c r="ES486" t="s">
        <v>876</v>
      </c>
      <c r="ET486" t="s">
        <v>877</v>
      </c>
      <c r="EU486" t="s">
        <v>877</v>
      </c>
      <c r="EV486" t="s">
        <v>920</v>
      </c>
      <c r="EX486" t="s">
        <v>953</v>
      </c>
      <c r="EY486" t="s">
        <v>1292</v>
      </c>
      <c r="EZ486" t="s">
        <v>1293</v>
      </c>
      <c r="FA486" t="s">
        <v>925</v>
      </c>
      <c r="FB486">
        <v>1</v>
      </c>
      <c r="FC486">
        <v>1</v>
      </c>
      <c r="FD486" s="41">
        <v>46088</v>
      </c>
      <c r="FE486" t="s">
        <v>1719</v>
      </c>
      <c r="FF486">
        <v>4</v>
      </c>
      <c r="FI486">
        <v>0</v>
      </c>
      <c r="FL486">
        <v>0</v>
      </c>
      <c r="FM486" t="s">
        <v>9986</v>
      </c>
      <c r="FN486" t="s">
        <v>9987</v>
      </c>
      <c r="FO486">
        <v>1</v>
      </c>
      <c r="FP486" t="s">
        <v>9988</v>
      </c>
      <c r="FQ486" t="s">
        <v>9985</v>
      </c>
      <c r="FR486">
        <v>1</v>
      </c>
      <c r="FS486" t="s">
        <v>1297</v>
      </c>
      <c r="FT486" t="s">
        <v>9989</v>
      </c>
      <c r="FU486">
        <v>1</v>
      </c>
      <c r="FV486" t="s">
        <v>9990</v>
      </c>
      <c r="FW486" t="s">
        <v>9991</v>
      </c>
      <c r="FX486">
        <v>1</v>
      </c>
      <c r="FY486" t="s">
        <v>890</v>
      </c>
      <c r="FZ486" t="s">
        <v>9992</v>
      </c>
      <c r="GA486" t="s">
        <v>9990</v>
      </c>
      <c r="GB486">
        <v>1</v>
      </c>
      <c r="GD486">
        <v>0</v>
      </c>
      <c r="GF486">
        <v>0</v>
      </c>
      <c r="GG486">
        <v>1</v>
      </c>
      <c r="GH486" t="s">
        <v>892</v>
      </c>
      <c r="GI486" t="s">
        <v>893</v>
      </c>
      <c r="GJ486" t="s">
        <v>9991</v>
      </c>
      <c r="GM486">
        <v>1</v>
      </c>
      <c r="GN486">
        <v>1</v>
      </c>
      <c r="GO486">
        <v>0</v>
      </c>
      <c r="GP486">
        <v>1</v>
      </c>
      <c r="GQ486">
        <v>1</v>
      </c>
      <c r="GR486">
        <v>0</v>
      </c>
      <c r="GS486">
        <v>1</v>
      </c>
      <c r="GT486">
        <v>0</v>
      </c>
      <c r="GU486">
        <v>1</v>
      </c>
      <c r="GV486">
        <v>0</v>
      </c>
      <c r="GW486">
        <v>1</v>
      </c>
      <c r="GX486">
        <v>0</v>
      </c>
      <c r="GY486">
        <v>1</v>
      </c>
      <c r="GZ486">
        <v>0</v>
      </c>
      <c r="HA486" t="s">
        <v>363</v>
      </c>
      <c r="HB486" t="s">
        <v>894</v>
      </c>
      <c r="HC486" t="s">
        <v>935</v>
      </c>
      <c r="HD486" t="s">
        <v>845</v>
      </c>
      <c r="HE486" t="s">
        <v>900</v>
      </c>
      <c r="HF486" t="s">
        <v>923</v>
      </c>
      <c r="HG486" t="s">
        <v>894</v>
      </c>
      <c r="HH486" t="s">
        <v>935</v>
      </c>
      <c r="HI486" t="s">
        <v>845</v>
      </c>
      <c r="HJ486" t="s">
        <v>900</v>
      </c>
      <c r="HK486" t="s">
        <v>923</v>
      </c>
      <c r="HL486" t="s">
        <v>1282</v>
      </c>
      <c r="HM486" t="s">
        <v>854</v>
      </c>
      <c r="HN486">
        <v>36805</v>
      </c>
      <c r="HP486" t="s">
        <v>124</v>
      </c>
      <c r="HQ486" t="s">
        <v>896</v>
      </c>
      <c r="HR486" t="s">
        <v>896</v>
      </c>
      <c r="HS486" t="s">
        <v>896</v>
      </c>
    </row>
    <row r="487" spans="1:227" x14ac:dyDescent="0.2">
      <c r="A487">
        <v>8702</v>
      </c>
      <c r="B487">
        <v>7534402582</v>
      </c>
      <c r="C487" t="s">
        <v>1916</v>
      </c>
      <c r="D487" t="s">
        <v>1917</v>
      </c>
      <c r="E487" t="s">
        <v>897</v>
      </c>
      <c r="F487">
        <v>1</v>
      </c>
      <c r="G487" t="s">
        <v>9993</v>
      </c>
      <c r="H487" t="s">
        <v>9993</v>
      </c>
      <c r="I487">
        <v>0</v>
      </c>
      <c r="J487" t="s">
        <v>833</v>
      </c>
      <c r="K487" t="s">
        <v>834</v>
      </c>
      <c r="L487">
        <v>153195480</v>
      </c>
      <c r="M487" t="s">
        <v>9077</v>
      </c>
      <c r="N487" t="s">
        <v>900</v>
      </c>
      <c r="O487" t="s">
        <v>837</v>
      </c>
      <c r="P487" t="s">
        <v>1920</v>
      </c>
      <c r="Q487" t="s">
        <v>9994</v>
      </c>
      <c r="R487" t="s">
        <v>9995</v>
      </c>
      <c r="S487" t="s">
        <v>9996</v>
      </c>
      <c r="T487">
        <v>41477124032</v>
      </c>
      <c r="V487" t="s">
        <v>232</v>
      </c>
      <c r="W487" s="41">
        <v>46001</v>
      </c>
      <c r="X487" t="s">
        <v>9997</v>
      </c>
      <c r="Y487" t="s">
        <v>9998</v>
      </c>
      <c r="AA487">
        <v>0</v>
      </c>
      <c r="AB487" t="s">
        <v>845</v>
      </c>
      <c r="AC487" t="s">
        <v>846</v>
      </c>
      <c r="AD487" t="s">
        <v>847</v>
      </c>
      <c r="AE487" t="s">
        <v>848</v>
      </c>
      <c r="AF487">
        <v>1</v>
      </c>
      <c r="AG487">
        <v>452210</v>
      </c>
      <c r="AH487" t="s">
        <v>849</v>
      </c>
      <c r="AI487" t="s">
        <v>850</v>
      </c>
      <c r="AJ487" t="s">
        <v>851</v>
      </c>
      <c r="AK487" t="s">
        <v>367</v>
      </c>
      <c r="AL487" t="s">
        <v>3402</v>
      </c>
      <c r="AM487" t="s">
        <v>3403</v>
      </c>
      <c r="AN487" t="s">
        <v>854</v>
      </c>
      <c r="AO487">
        <v>36805</v>
      </c>
      <c r="AP487">
        <v>923</v>
      </c>
      <c r="AQ487" t="s">
        <v>855</v>
      </c>
      <c r="AR487">
        <v>66239502</v>
      </c>
      <c r="AS487" t="s">
        <v>856</v>
      </c>
      <c r="AU487" t="s">
        <v>9999</v>
      </c>
      <c r="AV487" t="s">
        <v>10000</v>
      </c>
      <c r="AW487" t="s">
        <v>859</v>
      </c>
      <c r="AX487" t="s">
        <v>860</v>
      </c>
      <c r="AY487" t="s">
        <v>861</v>
      </c>
      <c r="AZ487" t="s">
        <v>367</v>
      </c>
      <c r="BA487" t="s">
        <v>368</v>
      </c>
      <c r="BB487">
        <v>0</v>
      </c>
      <c r="BC487">
        <v>0</v>
      </c>
      <c r="BD487">
        <v>0</v>
      </c>
      <c r="BE487" t="s">
        <v>9077</v>
      </c>
      <c r="BF487">
        <v>0</v>
      </c>
      <c r="BG487">
        <v>0</v>
      </c>
      <c r="BH487" t="s">
        <v>862</v>
      </c>
      <c r="BI487">
        <v>0</v>
      </c>
      <c r="BJ487" t="s">
        <v>862</v>
      </c>
      <c r="BK487">
        <v>1</v>
      </c>
      <c r="BL487">
        <v>0</v>
      </c>
      <c r="BM487">
        <v>0</v>
      </c>
      <c r="BN487" t="s">
        <v>596</v>
      </c>
      <c r="BO487">
        <v>153195480</v>
      </c>
      <c r="BP487" t="s">
        <v>9993</v>
      </c>
      <c r="BR487">
        <v>42793647</v>
      </c>
      <c r="BT487">
        <v>0</v>
      </c>
      <c r="CM487">
        <v>4010</v>
      </c>
      <c r="CO487">
        <v>7360</v>
      </c>
      <c r="CP487">
        <v>1.0667</v>
      </c>
      <c r="CQ487">
        <v>1.0667</v>
      </c>
      <c r="CR487">
        <v>0.61670000000000003</v>
      </c>
      <c r="CS487">
        <v>3</v>
      </c>
      <c r="CT487" t="s">
        <v>10000</v>
      </c>
      <c r="CU487" t="s">
        <v>9999</v>
      </c>
      <c r="CV487" t="s">
        <v>2105</v>
      </c>
      <c r="CW487" t="s">
        <v>10001</v>
      </c>
      <c r="CX487" t="s">
        <v>9077</v>
      </c>
      <c r="CY487">
        <v>0</v>
      </c>
      <c r="CZ487">
        <v>0</v>
      </c>
      <c r="DA487" t="s">
        <v>833</v>
      </c>
      <c r="DB487" t="s">
        <v>865</v>
      </c>
      <c r="DC487">
        <v>43085</v>
      </c>
      <c r="DD487">
        <v>2.5167000000000002</v>
      </c>
      <c r="DE487" t="s">
        <v>866</v>
      </c>
      <c r="DG487" t="s">
        <v>867</v>
      </c>
      <c r="DH487" t="s">
        <v>851</v>
      </c>
      <c r="DI487" t="s">
        <v>1189</v>
      </c>
      <c r="DJ487" t="s">
        <v>9084</v>
      </c>
      <c r="DL487" t="s">
        <v>869</v>
      </c>
      <c r="DM487">
        <v>0</v>
      </c>
      <c r="DN487">
        <v>0</v>
      </c>
      <c r="DO487">
        <v>53</v>
      </c>
      <c r="DP487" t="s">
        <v>1156</v>
      </c>
      <c r="DQ487">
        <v>16</v>
      </c>
      <c r="DR487">
        <v>151</v>
      </c>
      <c r="DS487">
        <v>151</v>
      </c>
      <c r="DT487">
        <v>1.45</v>
      </c>
      <c r="DU487">
        <v>4</v>
      </c>
      <c r="DW487">
        <v>2</v>
      </c>
      <c r="DX487" t="s">
        <v>594</v>
      </c>
      <c r="DY487" t="s">
        <v>9077</v>
      </c>
      <c r="DZ487">
        <v>0</v>
      </c>
      <c r="EA487">
        <v>0</v>
      </c>
      <c r="EB487">
        <v>0</v>
      </c>
      <c r="EC487">
        <v>0</v>
      </c>
      <c r="ED487">
        <v>0</v>
      </c>
      <c r="EE487">
        <v>0</v>
      </c>
      <c r="EF487" t="s">
        <v>920</v>
      </c>
      <c r="EG487" t="s">
        <v>595</v>
      </c>
      <c r="EH487" t="s">
        <v>872</v>
      </c>
      <c r="EI487" t="s">
        <v>872</v>
      </c>
      <c r="EJ487" t="s">
        <v>226</v>
      </c>
      <c r="EK487">
        <v>9090</v>
      </c>
      <c r="EL487">
        <v>0</v>
      </c>
      <c r="EM487" t="s">
        <v>1157</v>
      </c>
      <c r="EN487">
        <v>0.61670000000000003</v>
      </c>
      <c r="EO487">
        <v>2.5166666000000002</v>
      </c>
      <c r="EP487">
        <v>99991120</v>
      </c>
      <c r="EQ487" t="s">
        <v>874</v>
      </c>
      <c r="ER487" t="s">
        <v>875</v>
      </c>
      <c r="ES487" t="s">
        <v>876</v>
      </c>
      <c r="ET487" t="s">
        <v>877</v>
      </c>
      <c r="EU487" t="s">
        <v>877</v>
      </c>
      <c r="EV487" t="s">
        <v>920</v>
      </c>
      <c r="EX487" t="s">
        <v>953</v>
      </c>
      <c r="EY487" t="s">
        <v>986</v>
      </c>
      <c r="EZ487" t="s">
        <v>1158</v>
      </c>
      <c r="FA487" t="s">
        <v>925</v>
      </c>
      <c r="FB487">
        <v>1</v>
      </c>
      <c r="FC487">
        <v>1</v>
      </c>
      <c r="FD487" s="41">
        <v>46004</v>
      </c>
      <c r="FE487" t="s">
        <v>957</v>
      </c>
      <c r="FF487">
        <v>5</v>
      </c>
      <c r="FI487">
        <v>0</v>
      </c>
      <c r="FJ487" t="s">
        <v>10002</v>
      </c>
      <c r="FK487" t="s">
        <v>10003</v>
      </c>
      <c r="FL487">
        <v>1</v>
      </c>
      <c r="FM487" t="s">
        <v>10004</v>
      </c>
      <c r="FN487" t="s">
        <v>10005</v>
      </c>
      <c r="FO487">
        <v>1</v>
      </c>
      <c r="FP487" t="s">
        <v>10006</v>
      </c>
      <c r="FQ487" t="s">
        <v>9999</v>
      </c>
      <c r="FR487">
        <v>1</v>
      </c>
      <c r="FS487" t="s">
        <v>5999</v>
      </c>
      <c r="FT487" t="s">
        <v>10007</v>
      </c>
      <c r="FU487">
        <v>1</v>
      </c>
      <c r="FV487" t="s">
        <v>10008</v>
      </c>
      <c r="FW487" t="s">
        <v>10003</v>
      </c>
      <c r="FX487">
        <v>1</v>
      </c>
      <c r="FY487" t="s">
        <v>890</v>
      </c>
      <c r="FZ487" t="s">
        <v>10009</v>
      </c>
      <c r="GA487" t="s">
        <v>10002</v>
      </c>
      <c r="GB487">
        <v>1</v>
      </c>
      <c r="GD487">
        <v>0</v>
      </c>
      <c r="GF487">
        <v>0</v>
      </c>
      <c r="GG487">
        <v>1</v>
      </c>
      <c r="GH487" t="s">
        <v>892</v>
      </c>
      <c r="GI487" t="s">
        <v>893</v>
      </c>
      <c r="GJ487" t="s">
        <v>10003</v>
      </c>
      <c r="GM487">
        <v>1</v>
      </c>
      <c r="GN487">
        <v>1</v>
      </c>
      <c r="GO487">
        <v>0</v>
      </c>
      <c r="GP487">
        <v>1</v>
      </c>
      <c r="GQ487">
        <v>1</v>
      </c>
      <c r="GR487">
        <v>0</v>
      </c>
      <c r="GS487">
        <v>1</v>
      </c>
      <c r="GT487">
        <v>0</v>
      </c>
      <c r="GU487">
        <v>1</v>
      </c>
      <c r="GV487">
        <v>0</v>
      </c>
      <c r="GW487">
        <v>1</v>
      </c>
      <c r="GX487">
        <v>0</v>
      </c>
      <c r="GY487">
        <v>1</v>
      </c>
      <c r="GZ487">
        <v>0</v>
      </c>
      <c r="HA487" t="s">
        <v>367</v>
      </c>
      <c r="HB487" t="s">
        <v>894</v>
      </c>
      <c r="HC487" t="s">
        <v>935</v>
      </c>
      <c r="HD487" t="s">
        <v>845</v>
      </c>
      <c r="HE487" t="s">
        <v>900</v>
      </c>
      <c r="HF487" t="s">
        <v>923</v>
      </c>
      <c r="HG487" t="s">
        <v>894</v>
      </c>
      <c r="HH487" t="s">
        <v>935</v>
      </c>
      <c r="HI487" t="s">
        <v>845</v>
      </c>
      <c r="HJ487" t="s">
        <v>900</v>
      </c>
      <c r="HK487" t="s">
        <v>922</v>
      </c>
      <c r="HL487" t="s">
        <v>232</v>
      </c>
      <c r="HM487" t="s">
        <v>854</v>
      </c>
      <c r="HN487">
        <v>36805</v>
      </c>
      <c r="HP487" t="s">
        <v>226</v>
      </c>
      <c r="HQ487" t="s">
        <v>896</v>
      </c>
      <c r="HR487" t="s">
        <v>896</v>
      </c>
      <c r="HS487" t="s">
        <v>896</v>
      </c>
    </row>
    <row r="488" spans="1:227" x14ac:dyDescent="0.2">
      <c r="A488">
        <v>8702</v>
      </c>
      <c r="B488">
        <v>7605805937</v>
      </c>
      <c r="C488" t="s">
        <v>829</v>
      </c>
      <c r="D488" t="s">
        <v>830</v>
      </c>
      <c r="E488" t="s">
        <v>897</v>
      </c>
      <c r="F488">
        <v>1</v>
      </c>
      <c r="G488" t="s">
        <v>10010</v>
      </c>
      <c r="H488" t="s">
        <v>10010</v>
      </c>
      <c r="I488">
        <v>0</v>
      </c>
      <c r="J488" t="s">
        <v>833</v>
      </c>
      <c r="K488" t="s">
        <v>834</v>
      </c>
      <c r="L488">
        <v>152832690</v>
      </c>
      <c r="M488" t="s">
        <v>8439</v>
      </c>
      <c r="N488" t="s">
        <v>900</v>
      </c>
      <c r="O488" t="s">
        <v>837</v>
      </c>
      <c r="P488" t="s">
        <v>838</v>
      </c>
      <c r="Q488" t="s">
        <v>1279</v>
      </c>
      <c r="R488" t="s">
        <v>10011</v>
      </c>
      <c r="S488" t="s">
        <v>10012</v>
      </c>
      <c r="T488">
        <v>41477095626</v>
      </c>
      <c r="V488" t="s">
        <v>239</v>
      </c>
      <c r="W488" s="41">
        <v>46080</v>
      </c>
      <c r="X488" t="s">
        <v>10013</v>
      </c>
      <c r="Y488" t="s">
        <v>10014</v>
      </c>
      <c r="AA488">
        <v>0</v>
      </c>
      <c r="AB488" t="s">
        <v>845</v>
      </c>
      <c r="AC488" t="s">
        <v>846</v>
      </c>
      <c r="AD488" t="s">
        <v>1113</v>
      </c>
      <c r="AE488" t="s">
        <v>1114</v>
      </c>
      <c r="AF488">
        <v>1</v>
      </c>
      <c r="AG488">
        <v>452210</v>
      </c>
      <c r="AH488" t="s">
        <v>849</v>
      </c>
      <c r="AI488" t="s">
        <v>850</v>
      </c>
      <c r="AJ488" t="s">
        <v>851</v>
      </c>
      <c r="AK488" t="s">
        <v>277</v>
      </c>
      <c r="AL488" t="s">
        <v>1229</v>
      </c>
      <c r="AM488" t="s">
        <v>1645</v>
      </c>
      <c r="AN488" t="s">
        <v>854</v>
      </c>
      <c r="AO488">
        <v>36805</v>
      </c>
      <c r="AP488">
        <v>928</v>
      </c>
      <c r="AQ488" t="s">
        <v>855</v>
      </c>
      <c r="AR488">
        <v>66352955</v>
      </c>
      <c r="AS488" t="s">
        <v>856</v>
      </c>
      <c r="AU488" t="s">
        <v>10015</v>
      </c>
      <c r="AV488" t="s">
        <v>10016</v>
      </c>
      <c r="AX488" t="s">
        <v>913</v>
      </c>
      <c r="AY488" t="s">
        <v>861</v>
      </c>
      <c r="AZ488" t="s">
        <v>277</v>
      </c>
      <c r="BA488" t="s">
        <v>278</v>
      </c>
      <c r="BB488">
        <v>0</v>
      </c>
      <c r="BC488">
        <v>1</v>
      </c>
      <c r="BD488">
        <v>0</v>
      </c>
      <c r="BE488" t="s">
        <v>8439</v>
      </c>
      <c r="BF488">
        <v>0</v>
      </c>
      <c r="BG488">
        <v>0</v>
      </c>
      <c r="BH488" t="s">
        <v>862</v>
      </c>
      <c r="BI488">
        <v>0</v>
      </c>
      <c r="BJ488" t="s">
        <v>862</v>
      </c>
      <c r="BK488">
        <v>1</v>
      </c>
      <c r="BL488">
        <v>1</v>
      </c>
      <c r="BM488">
        <v>0</v>
      </c>
      <c r="BN488" t="s">
        <v>596</v>
      </c>
      <c r="BO488">
        <v>152832690</v>
      </c>
      <c r="BP488" t="s">
        <v>10010</v>
      </c>
      <c r="BR488">
        <v>42793653</v>
      </c>
      <c r="BT488">
        <v>2</v>
      </c>
      <c r="BU488" t="s">
        <v>1780</v>
      </c>
      <c r="CE488">
        <v>1</v>
      </c>
      <c r="CI488">
        <v>11</v>
      </c>
      <c r="CJ488" t="s">
        <v>94</v>
      </c>
      <c r="CM488">
        <v>4010</v>
      </c>
      <c r="CO488">
        <v>7360</v>
      </c>
      <c r="CP488">
        <v>0.81669999999999998</v>
      </c>
      <c r="CQ488">
        <v>0.81669999999999998</v>
      </c>
      <c r="CR488">
        <v>0.91669999999999996</v>
      </c>
      <c r="CS488">
        <v>3</v>
      </c>
      <c r="CT488" t="s">
        <v>10017</v>
      </c>
      <c r="CU488" t="s">
        <v>10018</v>
      </c>
      <c r="CV488" t="s">
        <v>833</v>
      </c>
      <c r="CW488" t="s">
        <v>834</v>
      </c>
      <c r="CX488" t="s">
        <v>8439</v>
      </c>
      <c r="CY488">
        <v>1</v>
      </c>
      <c r="CZ488">
        <v>1</v>
      </c>
      <c r="DA488" t="s">
        <v>833</v>
      </c>
      <c r="DB488" t="s">
        <v>865</v>
      </c>
      <c r="DC488">
        <v>44145</v>
      </c>
      <c r="DD488">
        <v>1.8167</v>
      </c>
      <c r="DE488" t="s">
        <v>866</v>
      </c>
      <c r="DG488" t="s">
        <v>867</v>
      </c>
      <c r="DH488" t="s">
        <v>851</v>
      </c>
      <c r="DI488" t="s">
        <v>7713</v>
      </c>
      <c r="DK488" t="s">
        <v>918</v>
      </c>
      <c r="DL488" t="s">
        <v>869</v>
      </c>
      <c r="DM488">
        <v>0</v>
      </c>
      <c r="DN488">
        <v>0</v>
      </c>
      <c r="DO488">
        <v>11</v>
      </c>
      <c r="DP488" t="s">
        <v>1010</v>
      </c>
      <c r="DQ488">
        <v>0</v>
      </c>
      <c r="DR488">
        <v>109</v>
      </c>
      <c r="DS488">
        <v>109</v>
      </c>
      <c r="DT488">
        <v>1</v>
      </c>
      <c r="DU488">
        <v>0</v>
      </c>
      <c r="DV488">
        <v>1</v>
      </c>
      <c r="DW488">
        <v>1</v>
      </c>
      <c r="DX488" t="s">
        <v>596</v>
      </c>
      <c r="DY488" t="s">
        <v>8439</v>
      </c>
      <c r="DZ488">
        <v>1</v>
      </c>
      <c r="EA488">
        <v>1</v>
      </c>
      <c r="EB488">
        <v>1</v>
      </c>
      <c r="EC488">
        <v>1</v>
      </c>
      <c r="ED488">
        <v>1</v>
      </c>
      <c r="EE488">
        <v>1</v>
      </c>
      <c r="EF488" t="s">
        <v>871</v>
      </c>
      <c r="EG488" t="s">
        <v>595</v>
      </c>
      <c r="EH488" t="s">
        <v>1036</v>
      </c>
      <c r="EI488" t="s">
        <v>1036</v>
      </c>
      <c r="EJ488" t="s">
        <v>226</v>
      </c>
      <c r="EK488">
        <v>9090</v>
      </c>
      <c r="EL488">
        <v>0</v>
      </c>
      <c r="EM488" t="s">
        <v>1157</v>
      </c>
      <c r="EN488">
        <v>0.91669999999999996</v>
      </c>
      <c r="EO488">
        <v>1.8166667000000001</v>
      </c>
      <c r="EP488">
        <v>99991120</v>
      </c>
      <c r="EQ488" t="s">
        <v>874</v>
      </c>
      <c r="ER488" t="s">
        <v>875</v>
      </c>
      <c r="ES488" t="s">
        <v>876</v>
      </c>
      <c r="ET488" t="s">
        <v>877</v>
      </c>
      <c r="EU488" t="s">
        <v>877</v>
      </c>
      <c r="EV488" t="s">
        <v>871</v>
      </c>
      <c r="EX488" t="s">
        <v>953</v>
      </c>
      <c r="EY488" t="s">
        <v>986</v>
      </c>
      <c r="EZ488" t="s">
        <v>1236</v>
      </c>
      <c r="FA488" t="s">
        <v>956</v>
      </c>
      <c r="FB488">
        <v>1</v>
      </c>
      <c r="FC488">
        <v>1</v>
      </c>
      <c r="FD488" s="41">
        <v>46081</v>
      </c>
      <c r="FE488" t="s">
        <v>1267</v>
      </c>
      <c r="FF488">
        <v>9</v>
      </c>
      <c r="FG488" t="s">
        <v>10019</v>
      </c>
      <c r="FH488" t="s">
        <v>10020</v>
      </c>
      <c r="FI488">
        <v>1</v>
      </c>
      <c r="FJ488" t="s">
        <v>10021</v>
      </c>
      <c r="FK488" t="s">
        <v>10022</v>
      </c>
      <c r="FL488">
        <v>1</v>
      </c>
      <c r="FM488" t="s">
        <v>10023</v>
      </c>
      <c r="FN488" t="s">
        <v>10024</v>
      </c>
      <c r="FO488">
        <v>1</v>
      </c>
      <c r="FP488" t="s">
        <v>10025</v>
      </c>
      <c r="FQ488" t="s">
        <v>10018</v>
      </c>
      <c r="FR488">
        <v>1</v>
      </c>
      <c r="FS488" t="s">
        <v>1244</v>
      </c>
      <c r="FT488" t="s">
        <v>10026</v>
      </c>
      <c r="FU488">
        <v>1</v>
      </c>
      <c r="FV488" t="s">
        <v>10027</v>
      </c>
      <c r="FW488" t="s">
        <v>10028</v>
      </c>
      <c r="FX488">
        <v>1</v>
      </c>
      <c r="FY488" t="s">
        <v>890</v>
      </c>
      <c r="FZ488" t="s">
        <v>10029</v>
      </c>
      <c r="GA488" t="s">
        <v>10019</v>
      </c>
      <c r="GB488">
        <v>1</v>
      </c>
      <c r="GD488">
        <v>0</v>
      </c>
      <c r="GF488">
        <v>0</v>
      </c>
      <c r="GG488">
        <v>1</v>
      </c>
      <c r="GH488" t="s">
        <v>892</v>
      </c>
      <c r="GI488" t="s">
        <v>893</v>
      </c>
      <c r="GJ488" t="s">
        <v>10020</v>
      </c>
      <c r="GM488">
        <v>1</v>
      </c>
      <c r="GN488">
        <v>1</v>
      </c>
      <c r="GO488">
        <v>0</v>
      </c>
      <c r="GP488">
        <v>1</v>
      </c>
      <c r="GQ488">
        <v>1</v>
      </c>
      <c r="GR488">
        <v>0</v>
      </c>
      <c r="GS488">
        <v>1</v>
      </c>
      <c r="GT488">
        <v>0</v>
      </c>
      <c r="GU488">
        <v>1</v>
      </c>
      <c r="GV488">
        <v>0</v>
      </c>
      <c r="GW488">
        <v>1</v>
      </c>
      <c r="GX488">
        <v>0</v>
      </c>
      <c r="GY488">
        <v>1</v>
      </c>
      <c r="GZ488">
        <v>0</v>
      </c>
      <c r="HA488" t="s">
        <v>277</v>
      </c>
      <c r="HB488" t="s">
        <v>894</v>
      </c>
      <c r="HC488" t="s">
        <v>935</v>
      </c>
      <c r="HD488" t="s">
        <v>845</v>
      </c>
      <c r="HE488" t="s">
        <v>900</v>
      </c>
      <c r="HF488" t="s">
        <v>923</v>
      </c>
      <c r="HG488" t="s">
        <v>894</v>
      </c>
      <c r="HH488" t="s">
        <v>935</v>
      </c>
      <c r="HI488" t="s">
        <v>845</v>
      </c>
      <c r="HJ488" t="s">
        <v>900</v>
      </c>
      <c r="HK488" t="s">
        <v>922</v>
      </c>
      <c r="HL488" t="s">
        <v>239</v>
      </c>
      <c r="HM488" t="s">
        <v>854</v>
      </c>
      <c r="HN488">
        <v>36805</v>
      </c>
      <c r="HP488" t="s">
        <v>226</v>
      </c>
      <c r="HQ488" t="s">
        <v>896</v>
      </c>
      <c r="HR488" t="s">
        <v>896</v>
      </c>
      <c r="HS488" t="s">
        <v>896</v>
      </c>
    </row>
    <row r="489" spans="1:227" x14ac:dyDescent="0.2">
      <c r="A489">
        <v>8702</v>
      </c>
      <c r="B489">
        <v>7621902488</v>
      </c>
      <c r="C489" t="s">
        <v>829</v>
      </c>
      <c r="D489" t="s">
        <v>830</v>
      </c>
      <c r="E489" t="s">
        <v>897</v>
      </c>
      <c r="F489">
        <v>2</v>
      </c>
      <c r="G489" t="s">
        <v>10030</v>
      </c>
      <c r="H489" t="s">
        <v>10030</v>
      </c>
      <c r="I489">
        <v>0</v>
      </c>
      <c r="J489" t="s">
        <v>833</v>
      </c>
      <c r="K489" t="s">
        <v>834</v>
      </c>
      <c r="L489">
        <v>148874613</v>
      </c>
      <c r="M489">
        <v>12203316</v>
      </c>
      <c r="N489" t="s">
        <v>900</v>
      </c>
      <c r="O489" t="s">
        <v>837</v>
      </c>
      <c r="P489" t="s">
        <v>838</v>
      </c>
      <c r="Q489" t="s">
        <v>901</v>
      </c>
      <c r="R489" t="s">
        <v>10031</v>
      </c>
      <c r="S489" t="s">
        <v>10032</v>
      </c>
      <c r="T489">
        <v>41477128951</v>
      </c>
      <c r="V489" t="s">
        <v>138</v>
      </c>
      <c r="W489" s="41">
        <v>46241</v>
      </c>
      <c r="X489" t="s">
        <v>10033</v>
      </c>
      <c r="Y489" t="s">
        <v>10034</v>
      </c>
      <c r="AA489">
        <v>0</v>
      </c>
      <c r="AB489" t="s">
        <v>845</v>
      </c>
      <c r="AC489" t="s">
        <v>846</v>
      </c>
      <c r="AD489" t="s">
        <v>1335</v>
      </c>
      <c r="AE489" t="s">
        <v>1336</v>
      </c>
      <c r="AF489">
        <v>1</v>
      </c>
      <c r="AG489">
        <v>452210</v>
      </c>
      <c r="AH489" t="s">
        <v>849</v>
      </c>
      <c r="AI489" t="s">
        <v>850</v>
      </c>
      <c r="AJ489" t="s">
        <v>851</v>
      </c>
      <c r="AK489" t="s">
        <v>421</v>
      </c>
      <c r="AL489" t="s">
        <v>3444</v>
      </c>
      <c r="AM489" t="s">
        <v>1575</v>
      </c>
      <c r="AN489" t="s">
        <v>854</v>
      </c>
      <c r="AO489">
        <v>36805</v>
      </c>
      <c r="AP489">
        <v>524</v>
      </c>
      <c r="AQ489" t="s">
        <v>855</v>
      </c>
      <c r="AR489">
        <v>66585092</v>
      </c>
      <c r="AS489" t="s">
        <v>856</v>
      </c>
      <c r="AU489" t="s">
        <v>10035</v>
      </c>
      <c r="AV489" t="s">
        <v>10036</v>
      </c>
      <c r="AX489" t="s">
        <v>913</v>
      </c>
      <c r="AY489" t="s">
        <v>861</v>
      </c>
      <c r="AZ489" t="s">
        <v>421</v>
      </c>
      <c r="BA489" t="s">
        <v>422</v>
      </c>
      <c r="BB489">
        <v>0</v>
      </c>
      <c r="BC489">
        <v>0</v>
      </c>
      <c r="BD489">
        <v>1</v>
      </c>
      <c r="BE489">
        <v>12203316</v>
      </c>
      <c r="BF489">
        <v>0</v>
      </c>
      <c r="BG489">
        <v>0</v>
      </c>
      <c r="BH489" t="s">
        <v>862</v>
      </c>
      <c r="BI489">
        <v>0</v>
      </c>
      <c r="BJ489" t="s">
        <v>862</v>
      </c>
      <c r="BK489">
        <v>1</v>
      </c>
      <c r="BL489">
        <v>1</v>
      </c>
      <c r="BM489">
        <v>0</v>
      </c>
      <c r="BN489" t="s">
        <v>596</v>
      </c>
      <c r="BP489" t="s">
        <v>10030</v>
      </c>
      <c r="BR489">
        <v>42791434</v>
      </c>
      <c r="BT489">
        <v>2</v>
      </c>
      <c r="BU489" t="s">
        <v>914</v>
      </c>
      <c r="BY489">
        <v>16</v>
      </c>
      <c r="CA489">
        <v>6</v>
      </c>
      <c r="CE489">
        <v>1</v>
      </c>
      <c r="CI489">
        <v>11</v>
      </c>
      <c r="CJ489" t="s">
        <v>94</v>
      </c>
      <c r="CM489">
        <v>4010</v>
      </c>
      <c r="CO489">
        <v>7360</v>
      </c>
      <c r="CP489">
        <v>6.6699999999999995E-2</v>
      </c>
      <c r="CQ489">
        <v>6.6699999999999995E-2</v>
      </c>
      <c r="CR489">
        <v>3.4167000000000001</v>
      </c>
      <c r="CS489">
        <v>5</v>
      </c>
      <c r="CT489" t="s">
        <v>10036</v>
      </c>
      <c r="CU489" t="s">
        <v>10035</v>
      </c>
      <c r="CV489" t="s">
        <v>833</v>
      </c>
      <c r="CW489" t="s">
        <v>834</v>
      </c>
      <c r="CX489" t="s">
        <v>9003</v>
      </c>
      <c r="CY489">
        <v>1</v>
      </c>
      <c r="CZ489">
        <v>1</v>
      </c>
      <c r="DA489" t="s">
        <v>833</v>
      </c>
      <c r="DB489" t="s">
        <v>865</v>
      </c>
      <c r="DC489">
        <v>46805</v>
      </c>
      <c r="DD489">
        <v>5.6166999999999998</v>
      </c>
      <c r="DE489" t="s">
        <v>866</v>
      </c>
      <c r="DG489" t="s">
        <v>867</v>
      </c>
      <c r="DH489" t="s">
        <v>851</v>
      </c>
      <c r="DK489" t="s">
        <v>918</v>
      </c>
      <c r="DL489" t="s">
        <v>869</v>
      </c>
      <c r="DM489">
        <v>0</v>
      </c>
      <c r="DN489">
        <v>0</v>
      </c>
      <c r="DO489">
        <v>11</v>
      </c>
      <c r="DP489" t="s">
        <v>1010</v>
      </c>
      <c r="DQ489">
        <v>16</v>
      </c>
      <c r="DR489">
        <v>337</v>
      </c>
      <c r="DS489">
        <v>337</v>
      </c>
      <c r="DT489">
        <v>5.55</v>
      </c>
      <c r="DU489">
        <v>4</v>
      </c>
      <c r="DV489">
        <v>1</v>
      </c>
      <c r="DW489">
        <v>2</v>
      </c>
      <c r="DX489" t="s">
        <v>596</v>
      </c>
      <c r="DY489">
        <v>12203316</v>
      </c>
      <c r="DZ489">
        <v>1</v>
      </c>
      <c r="EA489">
        <v>1</v>
      </c>
      <c r="EB489">
        <v>1</v>
      </c>
      <c r="EC489">
        <v>0</v>
      </c>
      <c r="ED489">
        <v>0</v>
      </c>
      <c r="EE489">
        <v>1</v>
      </c>
      <c r="EF489" t="s">
        <v>920</v>
      </c>
      <c r="EG489" t="s">
        <v>595</v>
      </c>
      <c r="EH489" t="s">
        <v>921</v>
      </c>
      <c r="EI489" t="s">
        <v>921</v>
      </c>
      <c r="EJ489" t="s">
        <v>134</v>
      </c>
      <c r="EK489">
        <v>9090</v>
      </c>
      <c r="EL489">
        <v>0</v>
      </c>
      <c r="EM489" t="s">
        <v>1011</v>
      </c>
      <c r="EN489">
        <v>3.4167000000000001</v>
      </c>
      <c r="EO489">
        <v>5.6166666999999997</v>
      </c>
      <c r="EP489">
        <v>99991120</v>
      </c>
      <c r="EQ489" t="s">
        <v>874</v>
      </c>
      <c r="ER489" t="s">
        <v>875</v>
      </c>
      <c r="ES489" t="s">
        <v>876</v>
      </c>
      <c r="ET489" t="s">
        <v>877</v>
      </c>
      <c r="EU489" t="s">
        <v>877</v>
      </c>
      <c r="EV489" t="s">
        <v>920</v>
      </c>
      <c r="EX489" t="s">
        <v>900</v>
      </c>
      <c r="EY489" t="s">
        <v>1012</v>
      </c>
      <c r="EZ489" t="s">
        <v>1578</v>
      </c>
      <c r="FA489" t="s">
        <v>879</v>
      </c>
      <c r="FB489">
        <v>1</v>
      </c>
      <c r="FC489">
        <v>1</v>
      </c>
      <c r="FD489" s="41">
        <v>46242</v>
      </c>
      <c r="FE489" t="s">
        <v>926</v>
      </c>
      <c r="FF489">
        <v>7</v>
      </c>
      <c r="FG489" t="s">
        <v>10037</v>
      </c>
      <c r="FH489" t="s">
        <v>10038</v>
      </c>
      <c r="FI489">
        <v>1</v>
      </c>
      <c r="FJ489" t="s">
        <v>10039</v>
      </c>
      <c r="FK489" t="s">
        <v>10038</v>
      </c>
      <c r="FL489">
        <v>1</v>
      </c>
      <c r="FM489" t="s">
        <v>10040</v>
      </c>
      <c r="FN489" t="s">
        <v>10041</v>
      </c>
      <c r="FO489">
        <v>1</v>
      </c>
      <c r="FP489" t="s">
        <v>3455</v>
      </c>
      <c r="FQ489" t="s">
        <v>10035</v>
      </c>
      <c r="FR489">
        <v>1</v>
      </c>
      <c r="FS489" t="s">
        <v>2417</v>
      </c>
      <c r="FT489" t="s">
        <v>10042</v>
      </c>
      <c r="FU489">
        <v>1</v>
      </c>
      <c r="FV489" t="s">
        <v>3457</v>
      </c>
      <c r="FW489" t="s">
        <v>10043</v>
      </c>
      <c r="FX489">
        <v>1</v>
      </c>
      <c r="FY489" t="s">
        <v>890</v>
      </c>
      <c r="FZ489" t="s">
        <v>10044</v>
      </c>
      <c r="GA489" t="s">
        <v>10039</v>
      </c>
      <c r="GB489">
        <v>1</v>
      </c>
      <c r="GD489">
        <v>0</v>
      </c>
      <c r="GF489">
        <v>0</v>
      </c>
      <c r="GG489">
        <v>1</v>
      </c>
      <c r="GH489" t="s">
        <v>892</v>
      </c>
      <c r="GI489" t="s">
        <v>893</v>
      </c>
      <c r="GJ489" t="s">
        <v>10038</v>
      </c>
      <c r="GM489">
        <v>1</v>
      </c>
      <c r="GN489">
        <v>1</v>
      </c>
      <c r="GO489">
        <v>0</v>
      </c>
      <c r="GP489">
        <v>1</v>
      </c>
      <c r="GQ489">
        <v>1</v>
      </c>
      <c r="GR489">
        <v>0</v>
      </c>
      <c r="GS489">
        <v>1</v>
      </c>
      <c r="GT489">
        <v>0</v>
      </c>
      <c r="GU489">
        <v>1</v>
      </c>
      <c r="GV489">
        <v>0</v>
      </c>
      <c r="GW489">
        <v>1</v>
      </c>
      <c r="GX489">
        <v>0</v>
      </c>
      <c r="GY489">
        <v>1</v>
      </c>
      <c r="GZ489">
        <v>0</v>
      </c>
      <c r="HA489" t="s">
        <v>421</v>
      </c>
      <c r="HB489" t="s">
        <v>894</v>
      </c>
      <c r="HC489" t="s">
        <v>935</v>
      </c>
      <c r="HD489" t="s">
        <v>845</v>
      </c>
      <c r="HE489" t="s">
        <v>900</v>
      </c>
      <c r="HF489" t="s">
        <v>1012</v>
      </c>
      <c r="HG489" t="s">
        <v>894</v>
      </c>
      <c r="HH489" t="s">
        <v>935</v>
      </c>
      <c r="HI489" t="s">
        <v>845</v>
      </c>
      <c r="HJ489" t="s">
        <v>900</v>
      </c>
      <c r="HK489" t="s">
        <v>1011</v>
      </c>
      <c r="HL489" t="s">
        <v>138</v>
      </c>
      <c r="HM489" t="s">
        <v>854</v>
      </c>
      <c r="HN489">
        <v>36805</v>
      </c>
      <c r="HP489" t="s">
        <v>134</v>
      </c>
      <c r="HQ489" t="s">
        <v>896</v>
      </c>
      <c r="HR489" t="s">
        <v>896</v>
      </c>
      <c r="HS489" t="s">
        <v>896</v>
      </c>
    </row>
    <row r="490" spans="1:227" x14ac:dyDescent="0.2">
      <c r="A490">
        <v>8702</v>
      </c>
      <c r="B490">
        <v>7602703660</v>
      </c>
      <c r="C490">
        <v>34</v>
      </c>
      <c r="D490" t="s">
        <v>996</v>
      </c>
      <c r="E490" t="s">
        <v>831</v>
      </c>
      <c r="F490">
        <v>0</v>
      </c>
      <c r="G490" t="s">
        <v>10045</v>
      </c>
      <c r="H490" t="s">
        <v>10045</v>
      </c>
      <c r="I490">
        <v>0</v>
      </c>
      <c r="J490" t="s">
        <v>833</v>
      </c>
      <c r="K490" t="s">
        <v>834</v>
      </c>
      <c r="L490">
        <v>153294174</v>
      </c>
      <c r="M490" t="s">
        <v>2959</v>
      </c>
      <c r="N490" t="s">
        <v>836</v>
      </c>
      <c r="O490" t="s">
        <v>837</v>
      </c>
      <c r="P490" t="s">
        <v>999</v>
      </c>
      <c r="Q490" t="s">
        <v>2459</v>
      </c>
      <c r="R490" t="s">
        <v>10046</v>
      </c>
      <c r="S490" t="s">
        <v>10047</v>
      </c>
      <c r="T490">
        <v>30300127006</v>
      </c>
      <c r="V490" t="s">
        <v>2962</v>
      </c>
      <c r="W490" s="41">
        <v>46051</v>
      </c>
      <c r="X490" t="s">
        <v>10048</v>
      </c>
      <c r="Y490" t="s">
        <v>10049</v>
      </c>
      <c r="Z490" t="s">
        <v>2965</v>
      </c>
      <c r="AA490">
        <v>0</v>
      </c>
      <c r="AB490" t="s">
        <v>845</v>
      </c>
      <c r="AC490" t="s">
        <v>846</v>
      </c>
      <c r="AD490" t="s">
        <v>847</v>
      </c>
      <c r="AE490" t="s">
        <v>848</v>
      </c>
      <c r="AF490">
        <v>1</v>
      </c>
      <c r="AG490">
        <v>452210</v>
      </c>
      <c r="AH490" t="s">
        <v>849</v>
      </c>
      <c r="AI490" t="s">
        <v>850</v>
      </c>
      <c r="AJ490" t="s">
        <v>851</v>
      </c>
      <c r="AK490" t="s">
        <v>255</v>
      </c>
      <c r="AL490" t="s">
        <v>2605</v>
      </c>
      <c r="AM490" t="s">
        <v>2966</v>
      </c>
      <c r="AN490" t="s">
        <v>854</v>
      </c>
      <c r="AO490">
        <v>36805</v>
      </c>
      <c r="AP490">
        <v>715</v>
      </c>
      <c r="AQ490" t="s">
        <v>855</v>
      </c>
      <c r="AR490">
        <v>66311386</v>
      </c>
      <c r="AS490" t="s">
        <v>856</v>
      </c>
      <c r="AU490" t="s">
        <v>10050</v>
      </c>
      <c r="AV490" t="s">
        <v>10051</v>
      </c>
      <c r="AX490" t="s">
        <v>913</v>
      </c>
      <c r="AY490" t="s">
        <v>861</v>
      </c>
      <c r="AZ490" t="s">
        <v>255</v>
      </c>
      <c r="BA490" t="s">
        <v>256</v>
      </c>
      <c r="BB490">
        <v>0</v>
      </c>
      <c r="BC490">
        <v>1</v>
      </c>
      <c r="BD490">
        <v>0</v>
      </c>
      <c r="BE490" t="s">
        <v>2959</v>
      </c>
      <c r="BF490">
        <v>0</v>
      </c>
      <c r="BG490">
        <v>0</v>
      </c>
      <c r="BH490" t="s">
        <v>862</v>
      </c>
      <c r="BI490">
        <v>0</v>
      </c>
      <c r="BJ490" t="s">
        <v>862</v>
      </c>
      <c r="BK490">
        <v>1</v>
      </c>
      <c r="BL490">
        <v>1</v>
      </c>
      <c r="BM490">
        <v>0</v>
      </c>
      <c r="BN490" t="s">
        <v>596</v>
      </c>
      <c r="BO490">
        <v>153294174</v>
      </c>
      <c r="BP490" t="s">
        <v>10045</v>
      </c>
      <c r="BR490">
        <v>42793503</v>
      </c>
      <c r="BT490">
        <v>1</v>
      </c>
      <c r="BU490" t="s">
        <v>1367</v>
      </c>
      <c r="CI490">
        <v>11</v>
      </c>
      <c r="CJ490" t="s">
        <v>94</v>
      </c>
      <c r="CM490">
        <v>4010</v>
      </c>
      <c r="CO490">
        <v>7360</v>
      </c>
      <c r="CP490">
        <v>1.67E-2</v>
      </c>
      <c r="CQ490">
        <v>1.67E-2</v>
      </c>
      <c r="CR490">
        <v>1.67E-2</v>
      </c>
      <c r="CS490">
        <v>4</v>
      </c>
      <c r="CT490" t="s">
        <v>10051</v>
      </c>
      <c r="CU490" t="s">
        <v>10050</v>
      </c>
      <c r="CV490" t="s">
        <v>833</v>
      </c>
      <c r="CW490" t="s">
        <v>834</v>
      </c>
      <c r="CX490" t="s">
        <v>2959</v>
      </c>
      <c r="CY490">
        <v>1</v>
      </c>
      <c r="CZ490">
        <v>1</v>
      </c>
      <c r="DA490" t="s">
        <v>833</v>
      </c>
      <c r="DB490" t="s">
        <v>865</v>
      </c>
      <c r="DC490">
        <v>54304</v>
      </c>
      <c r="DD490">
        <v>29.183299999999999</v>
      </c>
      <c r="DE490" t="s">
        <v>866</v>
      </c>
      <c r="DG490" t="s">
        <v>867</v>
      </c>
      <c r="DH490" t="s">
        <v>851</v>
      </c>
      <c r="DI490" t="s">
        <v>2971</v>
      </c>
      <c r="DK490" t="s">
        <v>918</v>
      </c>
      <c r="DL490" t="s">
        <v>869</v>
      </c>
      <c r="DM490">
        <v>0</v>
      </c>
      <c r="DN490">
        <v>0</v>
      </c>
      <c r="DO490">
        <v>11</v>
      </c>
      <c r="DP490" t="s">
        <v>1010</v>
      </c>
      <c r="DQ490">
        <v>16</v>
      </c>
      <c r="DR490">
        <v>1751</v>
      </c>
      <c r="DS490">
        <v>3191</v>
      </c>
      <c r="DT490">
        <v>29.166699999999999</v>
      </c>
      <c r="DU490">
        <v>4</v>
      </c>
      <c r="DV490">
        <v>1</v>
      </c>
      <c r="DW490">
        <v>2</v>
      </c>
      <c r="DX490" t="s">
        <v>596</v>
      </c>
      <c r="DY490" t="s">
        <v>2959</v>
      </c>
      <c r="DZ490">
        <v>0</v>
      </c>
      <c r="EA490">
        <v>0</v>
      </c>
      <c r="EB490">
        <v>1</v>
      </c>
      <c r="EC490">
        <v>0</v>
      </c>
      <c r="ED490">
        <v>0</v>
      </c>
      <c r="EE490">
        <v>1</v>
      </c>
      <c r="EF490" t="s">
        <v>871</v>
      </c>
      <c r="EG490" t="s">
        <v>595</v>
      </c>
      <c r="EH490" t="s">
        <v>921</v>
      </c>
      <c r="EI490" t="s">
        <v>921</v>
      </c>
      <c r="EJ490" t="s">
        <v>215</v>
      </c>
      <c r="EK490">
        <v>9090</v>
      </c>
      <c r="EL490">
        <v>0</v>
      </c>
      <c r="EM490" t="s">
        <v>1436</v>
      </c>
      <c r="EN490">
        <v>1.67E-2</v>
      </c>
      <c r="EO490">
        <v>53.183333300000001</v>
      </c>
      <c r="EP490">
        <v>99991120</v>
      </c>
      <c r="EQ490" t="s">
        <v>874</v>
      </c>
      <c r="ER490" t="s">
        <v>875</v>
      </c>
      <c r="ES490" t="s">
        <v>876</v>
      </c>
      <c r="ET490" t="s">
        <v>877</v>
      </c>
      <c r="EU490" t="s">
        <v>877</v>
      </c>
      <c r="EV490" t="s">
        <v>871</v>
      </c>
      <c r="EX490" t="s">
        <v>836</v>
      </c>
      <c r="EY490" t="s">
        <v>873</v>
      </c>
      <c r="EZ490" t="s">
        <v>2972</v>
      </c>
      <c r="FA490" t="s">
        <v>879</v>
      </c>
      <c r="FB490">
        <v>1</v>
      </c>
      <c r="FC490">
        <v>1</v>
      </c>
      <c r="FD490" s="41">
        <v>46053</v>
      </c>
      <c r="FE490" t="s">
        <v>1370</v>
      </c>
      <c r="FF490">
        <v>7</v>
      </c>
      <c r="FG490" t="s">
        <v>10052</v>
      </c>
      <c r="FH490" t="s">
        <v>10053</v>
      </c>
      <c r="FI490">
        <v>1</v>
      </c>
      <c r="FJ490" t="s">
        <v>2975</v>
      </c>
      <c r="FK490" t="s">
        <v>10054</v>
      </c>
      <c r="FL490">
        <v>1</v>
      </c>
      <c r="FM490" t="s">
        <v>2976</v>
      </c>
      <c r="FN490" t="s">
        <v>10055</v>
      </c>
      <c r="FO490">
        <v>1</v>
      </c>
      <c r="FP490" t="s">
        <v>10056</v>
      </c>
      <c r="FQ490" t="s">
        <v>10057</v>
      </c>
      <c r="FR490">
        <v>1</v>
      </c>
      <c r="FS490" t="s">
        <v>2610</v>
      </c>
      <c r="FT490" t="s">
        <v>10058</v>
      </c>
      <c r="FU490">
        <v>1</v>
      </c>
      <c r="FV490" t="s">
        <v>10059</v>
      </c>
      <c r="FW490" t="s">
        <v>10060</v>
      </c>
      <c r="FX490">
        <v>1</v>
      </c>
      <c r="FY490" t="s">
        <v>890</v>
      </c>
      <c r="FZ490" t="s">
        <v>10061</v>
      </c>
      <c r="GA490" t="s">
        <v>2975</v>
      </c>
      <c r="GB490">
        <v>1</v>
      </c>
      <c r="GD490">
        <v>0</v>
      </c>
      <c r="GF490">
        <v>0</v>
      </c>
      <c r="GG490">
        <v>1</v>
      </c>
      <c r="GH490" t="s">
        <v>892</v>
      </c>
      <c r="GI490" t="s">
        <v>893</v>
      </c>
      <c r="GJ490" t="s">
        <v>10054</v>
      </c>
      <c r="GM490">
        <v>1</v>
      </c>
      <c r="GN490">
        <v>1</v>
      </c>
      <c r="GO490">
        <v>0</v>
      </c>
      <c r="GP490">
        <v>1</v>
      </c>
      <c r="GQ490">
        <v>1</v>
      </c>
      <c r="GR490">
        <v>0</v>
      </c>
      <c r="GS490">
        <v>1</v>
      </c>
      <c r="GT490">
        <v>0</v>
      </c>
      <c r="GU490">
        <v>1</v>
      </c>
      <c r="GV490">
        <v>0</v>
      </c>
      <c r="GW490">
        <v>1</v>
      </c>
      <c r="GX490">
        <v>0</v>
      </c>
      <c r="GY490">
        <v>1</v>
      </c>
      <c r="GZ490">
        <v>0</v>
      </c>
      <c r="HA490" t="s">
        <v>255</v>
      </c>
      <c r="HB490" t="s">
        <v>894</v>
      </c>
      <c r="HC490" t="s">
        <v>895</v>
      </c>
      <c r="HD490" t="s">
        <v>845</v>
      </c>
      <c r="HE490" t="s">
        <v>836</v>
      </c>
      <c r="HF490" t="s">
        <v>873</v>
      </c>
      <c r="HG490" t="s">
        <v>894</v>
      </c>
      <c r="HH490" t="s">
        <v>895</v>
      </c>
      <c r="HI490" t="s">
        <v>845</v>
      </c>
      <c r="HJ490" t="s">
        <v>836</v>
      </c>
      <c r="HK490" t="s">
        <v>1436</v>
      </c>
      <c r="HL490" t="s">
        <v>2962</v>
      </c>
      <c r="HM490" t="s">
        <v>854</v>
      </c>
      <c r="HN490">
        <v>36805</v>
      </c>
      <c r="HO490">
        <v>1</v>
      </c>
      <c r="HP490" t="s">
        <v>215</v>
      </c>
      <c r="HQ490" t="s">
        <v>896</v>
      </c>
      <c r="HR490" t="s">
        <v>896</v>
      </c>
      <c r="HS490" t="s">
        <v>896</v>
      </c>
    </row>
    <row r="491" spans="1:227" x14ac:dyDescent="0.2">
      <c r="A491">
        <v>8702</v>
      </c>
      <c r="B491">
        <v>7522102339</v>
      </c>
      <c r="C491" t="s">
        <v>829</v>
      </c>
      <c r="D491" t="s">
        <v>830</v>
      </c>
      <c r="E491" t="s">
        <v>897</v>
      </c>
      <c r="F491">
        <v>0</v>
      </c>
      <c r="G491" t="s">
        <v>10062</v>
      </c>
      <c r="H491" t="s">
        <v>10062</v>
      </c>
      <c r="I491">
        <v>0</v>
      </c>
      <c r="J491" t="s">
        <v>833</v>
      </c>
      <c r="K491" t="s">
        <v>834</v>
      </c>
      <c r="L491">
        <v>153008226</v>
      </c>
      <c r="M491" t="s">
        <v>4724</v>
      </c>
      <c r="N491" t="s">
        <v>900</v>
      </c>
      <c r="O491" t="s">
        <v>837</v>
      </c>
      <c r="P491" t="s">
        <v>838</v>
      </c>
      <c r="Q491" t="s">
        <v>839</v>
      </c>
      <c r="R491" t="s">
        <v>10063</v>
      </c>
      <c r="S491" t="s">
        <v>10064</v>
      </c>
      <c r="T491">
        <v>41477122910</v>
      </c>
      <c r="V491" t="s">
        <v>133</v>
      </c>
      <c r="W491" s="41">
        <v>45878</v>
      </c>
      <c r="X491" t="s">
        <v>10065</v>
      </c>
      <c r="Y491" t="s">
        <v>10066</v>
      </c>
      <c r="AA491">
        <v>0</v>
      </c>
      <c r="AB491" t="s">
        <v>845</v>
      </c>
      <c r="AC491" t="s">
        <v>846</v>
      </c>
      <c r="AD491" t="s">
        <v>847</v>
      </c>
      <c r="AE491" t="s">
        <v>848</v>
      </c>
      <c r="AF491">
        <v>1</v>
      </c>
      <c r="AG491">
        <v>452210</v>
      </c>
      <c r="AH491" t="s">
        <v>849</v>
      </c>
      <c r="AI491" t="s">
        <v>850</v>
      </c>
      <c r="AJ491" t="s">
        <v>851</v>
      </c>
      <c r="AK491" t="s">
        <v>259</v>
      </c>
      <c r="AL491" t="s">
        <v>1547</v>
      </c>
      <c r="AM491" t="s">
        <v>2208</v>
      </c>
      <c r="AN491" t="s">
        <v>854</v>
      </c>
      <c r="AO491">
        <v>36805</v>
      </c>
      <c r="AP491">
        <v>525</v>
      </c>
      <c r="AQ491" t="s">
        <v>855</v>
      </c>
      <c r="AR491">
        <v>66061918</v>
      </c>
      <c r="AS491" t="s">
        <v>856</v>
      </c>
      <c r="AU491" t="s">
        <v>10067</v>
      </c>
      <c r="AV491" t="s">
        <v>10068</v>
      </c>
      <c r="AX491" t="s">
        <v>913</v>
      </c>
      <c r="AY491" t="s">
        <v>861</v>
      </c>
      <c r="AZ491" t="s">
        <v>259</v>
      </c>
      <c r="BA491" t="s">
        <v>260</v>
      </c>
      <c r="BB491">
        <v>0</v>
      </c>
      <c r="BC491">
        <v>0</v>
      </c>
      <c r="BD491">
        <v>0</v>
      </c>
      <c r="BE491" t="s">
        <v>4724</v>
      </c>
      <c r="BF491">
        <v>0</v>
      </c>
      <c r="BG491">
        <v>0</v>
      </c>
      <c r="BH491" t="s">
        <v>862</v>
      </c>
      <c r="BI491">
        <v>0</v>
      </c>
      <c r="BJ491" t="s">
        <v>862</v>
      </c>
      <c r="BK491">
        <v>1</v>
      </c>
      <c r="BL491">
        <v>0</v>
      </c>
      <c r="BM491">
        <v>0</v>
      </c>
      <c r="BN491" t="s">
        <v>596</v>
      </c>
      <c r="BO491">
        <v>153008226</v>
      </c>
      <c r="BP491" t="s">
        <v>10062</v>
      </c>
      <c r="BQ491">
        <v>39.906300799999997</v>
      </c>
      <c r="BR491">
        <v>42791436</v>
      </c>
      <c r="BS491">
        <v>-86.094900999999993</v>
      </c>
      <c r="BT491">
        <v>0</v>
      </c>
      <c r="CM491">
        <v>4010</v>
      </c>
      <c r="CO491">
        <v>7360</v>
      </c>
      <c r="CP491">
        <v>0.61670000000000003</v>
      </c>
      <c r="CQ491">
        <v>0.61670000000000003</v>
      </c>
      <c r="CR491">
        <v>0.56669999999999998</v>
      </c>
      <c r="CS491">
        <v>1</v>
      </c>
      <c r="CT491" t="s">
        <v>10068</v>
      </c>
      <c r="CU491" t="s">
        <v>10067</v>
      </c>
      <c r="CV491" t="s">
        <v>833</v>
      </c>
      <c r="CW491" t="s">
        <v>834</v>
      </c>
      <c r="CX491" t="s">
        <v>4724</v>
      </c>
      <c r="CY491">
        <v>0</v>
      </c>
      <c r="CZ491">
        <v>0</v>
      </c>
      <c r="DA491" t="s">
        <v>833</v>
      </c>
      <c r="DB491" t="s">
        <v>865</v>
      </c>
      <c r="DC491">
        <v>46250</v>
      </c>
      <c r="DD491">
        <v>0.6</v>
      </c>
      <c r="DE491" t="s">
        <v>866</v>
      </c>
      <c r="DG491" t="s">
        <v>867</v>
      </c>
      <c r="DH491" t="s">
        <v>851</v>
      </c>
      <c r="DL491" t="s">
        <v>869</v>
      </c>
      <c r="DM491">
        <v>0</v>
      </c>
      <c r="DN491">
        <v>0</v>
      </c>
      <c r="DO491">
        <v>53</v>
      </c>
      <c r="DP491" t="s">
        <v>1156</v>
      </c>
      <c r="DQ491">
        <v>12</v>
      </c>
      <c r="DR491">
        <v>36</v>
      </c>
      <c r="DS491">
        <v>696</v>
      </c>
      <c r="DT491">
        <v>0</v>
      </c>
      <c r="DU491">
        <v>4</v>
      </c>
      <c r="DW491">
        <v>1</v>
      </c>
      <c r="DX491" t="s">
        <v>596</v>
      </c>
      <c r="DY491" t="s">
        <v>4724</v>
      </c>
      <c r="DZ491">
        <v>0</v>
      </c>
      <c r="EA491">
        <v>0</v>
      </c>
      <c r="EB491">
        <v>0</v>
      </c>
      <c r="EC491">
        <v>0</v>
      </c>
      <c r="ED491">
        <v>0</v>
      </c>
      <c r="EE491">
        <v>0</v>
      </c>
      <c r="EF491" t="s">
        <v>920</v>
      </c>
      <c r="EG491" t="s">
        <v>595</v>
      </c>
      <c r="EH491" t="s">
        <v>1036</v>
      </c>
      <c r="EI491" t="s">
        <v>1036</v>
      </c>
      <c r="EJ491" t="s">
        <v>134</v>
      </c>
      <c r="EK491">
        <v>9090</v>
      </c>
      <c r="EL491">
        <v>0</v>
      </c>
      <c r="EM491" t="s">
        <v>1011</v>
      </c>
      <c r="EN491">
        <v>0.56669999999999998</v>
      </c>
      <c r="EO491">
        <v>11.6</v>
      </c>
      <c r="EP491">
        <v>99991120</v>
      </c>
      <c r="EQ491" t="s">
        <v>874</v>
      </c>
      <c r="ER491" t="s">
        <v>875</v>
      </c>
      <c r="ES491" t="s">
        <v>876</v>
      </c>
      <c r="ET491" t="s">
        <v>877</v>
      </c>
      <c r="EU491" t="s">
        <v>877</v>
      </c>
      <c r="EV491" t="s">
        <v>920</v>
      </c>
      <c r="EX491" t="s">
        <v>953</v>
      </c>
      <c r="EY491" t="s">
        <v>1555</v>
      </c>
      <c r="EZ491" t="s">
        <v>1013</v>
      </c>
      <c r="FA491" t="s">
        <v>925</v>
      </c>
      <c r="FB491">
        <v>1</v>
      </c>
      <c r="FC491">
        <v>1</v>
      </c>
      <c r="FD491" s="41">
        <v>45878</v>
      </c>
      <c r="FE491" t="s">
        <v>987</v>
      </c>
      <c r="FF491">
        <v>5</v>
      </c>
      <c r="FI491">
        <v>0</v>
      </c>
      <c r="FJ491" t="s">
        <v>6014</v>
      </c>
      <c r="FK491" t="s">
        <v>10069</v>
      </c>
      <c r="FL491">
        <v>1</v>
      </c>
      <c r="FM491" t="s">
        <v>4735</v>
      </c>
      <c r="FN491" t="s">
        <v>10070</v>
      </c>
      <c r="FO491">
        <v>1</v>
      </c>
      <c r="FP491" t="s">
        <v>10071</v>
      </c>
      <c r="FQ491" t="s">
        <v>10072</v>
      </c>
      <c r="FR491">
        <v>1</v>
      </c>
      <c r="FS491" t="s">
        <v>1934</v>
      </c>
      <c r="FT491" t="s">
        <v>10073</v>
      </c>
      <c r="FU491">
        <v>1</v>
      </c>
      <c r="FV491" t="s">
        <v>10074</v>
      </c>
      <c r="FW491" t="s">
        <v>10075</v>
      </c>
      <c r="FX491">
        <v>1</v>
      </c>
      <c r="FY491" t="s">
        <v>890</v>
      </c>
      <c r="FZ491" t="s">
        <v>10076</v>
      </c>
      <c r="GA491" t="s">
        <v>10074</v>
      </c>
      <c r="GB491">
        <v>1</v>
      </c>
      <c r="GD491">
        <v>0</v>
      </c>
      <c r="GF491">
        <v>0</v>
      </c>
      <c r="GG491">
        <v>1</v>
      </c>
      <c r="GH491" t="s">
        <v>892</v>
      </c>
      <c r="GI491" t="s">
        <v>893</v>
      </c>
      <c r="GJ491" t="s">
        <v>10075</v>
      </c>
      <c r="GM491">
        <v>1</v>
      </c>
      <c r="GN491">
        <v>1</v>
      </c>
      <c r="GO491">
        <v>0</v>
      </c>
      <c r="GP491">
        <v>1</v>
      </c>
      <c r="GQ491">
        <v>1</v>
      </c>
      <c r="GR491">
        <v>0</v>
      </c>
      <c r="GS491">
        <v>1</v>
      </c>
      <c r="GT491">
        <v>0</v>
      </c>
      <c r="GU491">
        <v>1</v>
      </c>
      <c r="GV491">
        <v>0</v>
      </c>
      <c r="GW491">
        <v>1</v>
      </c>
      <c r="GX491">
        <v>0</v>
      </c>
      <c r="GY491">
        <v>1</v>
      </c>
      <c r="GZ491">
        <v>0</v>
      </c>
      <c r="HA491" t="s">
        <v>259</v>
      </c>
      <c r="HB491" t="s">
        <v>894</v>
      </c>
      <c r="HC491" t="s">
        <v>935</v>
      </c>
      <c r="HD491" t="s">
        <v>845</v>
      </c>
      <c r="HE491" t="s">
        <v>900</v>
      </c>
      <c r="HF491" t="s">
        <v>1012</v>
      </c>
      <c r="HG491" t="s">
        <v>894</v>
      </c>
      <c r="HH491" t="s">
        <v>935</v>
      </c>
      <c r="HI491" t="s">
        <v>845</v>
      </c>
      <c r="HJ491" t="s">
        <v>900</v>
      </c>
      <c r="HK491" t="s">
        <v>1011</v>
      </c>
      <c r="HL491" t="s">
        <v>133</v>
      </c>
      <c r="HM491" t="s">
        <v>854</v>
      </c>
      <c r="HN491">
        <v>36805</v>
      </c>
      <c r="HP491" t="s">
        <v>134</v>
      </c>
      <c r="HQ491" t="s">
        <v>896</v>
      </c>
      <c r="HR491" t="s">
        <v>896</v>
      </c>
      <c r="HS491" t="s">
        <v>896</v>
      </c>
    </row>
    <row r="492" spans="1:227" x14ac:dyDescent="0.2">
      <c r="A492">
        <v>8702</v>
      </c>
      <c r="B492">
        <v>7606104399</v>
      </c>
      <c r="C492">
        <v>34</v>
      </c>
      <c r="D492" t="s">
        <v>996</v>
      </c>
      <c r="E492" t="s">
        <v>897</v>
      </c>
      <c r="F492">
        <v>0</v>
      </c>
      <c r="G492" t="s">
        <v>10077</v>
      </c>
      <c r="H492" t="s">
        <v>10077</v>
      </c>
      <c r="I492">
        <v>0</v>
      </c>
      <c r="J492" t="s">
        <v>833</v>
      </c>
      <c r="K492" t="s">
        <v>834</v>
      </c>
      <c r="L492">
        <v>153195461</v>
      </c>
      <c r="M492" t="s">
        <v>10078</v>
      </c>
      <c r="N492" t="s">
        <v>900</v>
      </c>
      <c r="O492" t="s">
        <v>837</v>
      </c>
      <c r="P492" t="s">
        <v>999</v>
      </c>
      <c r="Q492" t="s">
        <v>1000</v>
      </c>
      <c r="R492" t="s">
        <v>10079</v>
      </c>
      <c r="S492" t="s">
        <v>10080</v>
      </c>
      <c r="T492">
        <v>41477122128</v>
      </c>
      <c r="V492" t="s">
        <v>1543</v>
      </c>
      <c r="W492" s="41">
        <v>46086</v>
      </c>
      <c r="X492" t="s">
        <v>10081</v>
      </c>
      <c r="Y492" t="s">
        <v>10082</v>
      </c>
      <c r="Z492" t="s">
        <v>1776</v>
      </c>
      <c r="AA492">
        <v>0</v>
      </c>
      <c r="AB492" t="s">
        <v>845</v>
      </c>
      <c r="AC492" t="s">
        <v>846</v>
      </c>
      <c r="AD492" t="s">
        <v>1113</v>
      </c>
      <c r="AE492" t="s">
        <v>1114</v>
      </c>
      <c r="AF492">
        <v>1</v>
      </c>
      <c r="AG492">
        <v>452210</v>
      </c>
      <c r="AH492" t="s">
        <v>849</v>
      </c>
      <c r="AI492" t="s">
        <v>850</v>
      </c>
      <c r="AJ492" t="s">
        <v>851</v>
      </c>
      <c r="AK492" t="s">
        <v>263</v>
      </c>
      <c r="AL492" t="s">
        <v>2230</v>
      </c>
      <c r="AM492" t="s">
        <v>1548</v>
      </c>
      <c r="AN492" t="s">
        <v>854</v>
      </c>
      <c r="AO492">
        <v>36805</v>
      </c>
      <c r="AP492">
        <v>522</v>
      </c>
      <c r="AQ492" t="s">
        <v>855</v>
      </c>
      <c r="AR492">
        <v>66362187</v>
      </c>
      <c r="AS492" t="s">
        <v>856</v>
      </c>
      <c r="AU492" t="s">
        <v>10083</v>
      </c>
      <c r="AV492" t="s">
        <v>10084</v>
      </c>
      <c r="AX492" t="s">
        <v>913</v>
      </c>
      <c r="AY492" t="s">
        <v>861</v>
      </c>
      <c r="AZ492" t="s">
        <v>263</v>
      </c>
      <c r="BA492" t="s">
        <v>264</v>
      </c>
      <c r="BB492">
        <v>0</v>
      </c>
      <c r="BC492">
        <v>1</v>
      </c>
      <c r="BD492">
        <v>0</v>
      </c>
      <c r="BE492" t="s">
        <v>10078</v>
      </c>
      <c r="BF492">
        <v>0</v>
      </c>
      <c r="BG492">
        <v>0</v>
      </c>
      <c r="BH492" t="s">
        <v>862</v>
      </c>
      <c r="BI492">
        <v>0</v>
      </c>
      <c r="BJ492" t="s">
        <v>862</v>
      </c>
      <c r="BK492">
        <v>1</v>
      </c>
      <c r="BL492">
        <v>1</v>
      </c>
      <c r="BM492">
        <v>0</v>
      </c>
      <c r="BN492" t="s">
        <v>596</v>
      </c>
      <c r="BO492">
        <v>153195461</v>
      </c>
      <c r="BP492" t="s">
        <v>10077</v>
      </c>
      <c r="BQ492">
        <v>39.638466200000003</v>
      </c>
      <c r="BR492">
        <v>42791431</v>
      </c>
      <c r="BS492">
        <v>-86.130689700000005</v>
      </c>
      <c r="BT492">
        <v>1</v>
      </c>
      <c r="BU492" t="s">
        <v>1715</v>
      </c>
      <c r="CI492">
        <v>11</v>
      </c>
      <c r="CJ492" t="s">
        <v>94</v>
      </c>
      <c r="CM492">
        <v>4010</v>
      </c>
      <c r="CO492">
        <v>7360</v>
      </c>
      <c r="CP492">
        <v>0.35</v>
      </c>
      <c r="CQ492">
        <v>0.35</v>
      </c>
      <c r="CR492">
        <v>1.4167000000000001</v>
      </c>
      <c r="CS492">
        <v>86</v>
      </c>
      <c r="CT492" t="s">
        <v>10085</v>
      </c>
      <c r="CU492" t="s">
        <v>10086</v>
      </c>
      <c r="CV492" t="s">
        <v>833</v>
      </c>
      <c r="CW492" t="s">
        <v>834</v>
      </c>
      <c r="CX492" t="s">
        <v>10078</v>
      </c>
      <c r="CY492">
        <v>1</v>
      </c>
      <c r="CZ492">
        <v>1</v>
      </c>
      <c r="DA492" t="s">
        <v>833</v>
      </c>
      <c r="DB492" t="s">
        <v>865</v>
      </c>
      <c r="DC492">
        <v>46227</v>
      </c>
      <c r="DD492">
        <v>46.75</v>
      </c>
      <c r="DE492" t="s">
        <v>866</v>
      </c>
      <c r="DG492" t="s">
        <v>867</v>
      </c>
      <c r="DH492" t="s">
        <v>851</v>
      </c>
      <c r="DI492" t="s">
        <v>3291</v>
      </c>
      <c r="DK492" t="s">
        <v>918</v>
      </c>
      <c r="DL492" t="s">
        <v>869</v>
      </c>
      <c r="DM492">
        <v>0</v>
      </c>
      <c r="DN492">
        <v>0</v>
      </c>
      <c r="DO492">
        <v>11</v>
      </c>
      <c r="DP492" t="s">
        <v>1010</v>
      </c>
      <c r="DQ492">
        <v>0</v>
      </c>
      <c r="DR492">
        <v>2805</v>
      </c>
      <c r="DS492">
        <v>5014</v>
      </c>
      <c r="DT492">
        <v>46.75</v>
      </c>
      <c r="DU492">
        <v>0</v>
      </c>
      <c r="DV492">
        <v>1</v>
      </c>
      <c r="DW492">
        <v>2</v>
      </c>
      <c r="DX492" t="s">
        <v>596</v>
      </c>
      <c r="DY492" t="s">
        <v>10078</v>
      </c>
      <c r="DZ492">
        <v>1</v>
      </c>
      <c r="EA492">
        <v>1</v>
      </c>
      <c r="EB492">
        <v>1</v>
      </c>
      <c r="EC492">
        <v>1</v>
      </c>
      <c r="ED492">
        <v>1</v>
      </c>
      <c r="EE492">
        <v>1</v>
      </c>
      <c r="EF492" t="s">
        <v>920</v>
      </c>
      <c r="EG492" t="s">
        <v>595</v>
      </c>
      <c r="EH492" t="s">
        <v>921</v>
      </c>
      <c r="EI492" t="s">
        <v>921</v>
      </c>
      <c r="EJ492" t="s">
        <v>134</v>
      </c>
      <c r="EK492">
        <v>9090</v>
      </c>
      <c r="EL492">
        <v>0</v>
      </c>
      <c r="EM492" t="s">
        <v>1011</v>
      </c>
      <c r="EN492">
        <v>1.4167000000000001</v>
      </c>
      <c r="EO492">
        <v>83.566666699999999</v>
      </c>
      <c r="EP492">
        <v>99991120</v>
      </c>
      <c r="EQ492" t="s">
        <v>874</v>
      </c>
      <c r="ER492" t="s">
        <v>875</v>
      </c>
      <c r="ES492" t="s">
        <v>876</v>
      </c>
      <c r="ET492" t="s">
        <v>877</v>
      </c>
      <c r="EU492" t="s">
        <v>877</v>
      </c>
      <c r="EV492" t="s">
        <v>920</v>
      </c>
      <c r="EX492" t="s">
        <v>953</v>
      </c>
      <c r="EY492" t="s">
        <v>1555</v>
      </c>
      <c r="EZ492" t="s">
        <v>1013</v>
      </c>
      <c r="FA492" t="s">
        <v>925</v>
      </c>
      <c r="FB492">
        <v>1</v>
      </c>
      <c r="FC492">
        <v>1</v>
      </c>
      <c r="FD492" s="41">
        <v>46088</v>
      </c>
      <c r="FE492" t="s">
        <v>1719</v>
      </c>
      <c r="FF492">
        <v>18</v>
      </c>
      <c r="FG492" t="s">
        <v>10087</v>
      </c>
      <c r="FH492" t="s">
        <v>10088</v>
      </c>
      <c r="FI492">
        <v>1</v>
      </c>
      <c r="FJ492" t="s">
        <v>10089</v>
      </c>
      <c r="FK492" t="s">
        <v>10090</v>
      </c>
      <c r="FL492">
        <v>1</v>
      </c>
      <c r="FM492" t="s">
        <v>10091</v>
      </c>
      <c r="FN492" t="s">
        <v>10092</v>
      </c>
      <c r="FO492">
        <v>1</v>
      </c>
      <c r="FP492" t="s">
        <v>10093</v>
      </c>
      <c r="FQ492" t="s">
        <v>10094</v>
      </c>
      <c r="FR492">
        <v>1</v>
      </c>
      <c r="FS492" t="s">
        <v>1984</v>
      </c>
      <c r="FT492" t="s">
        <v>10095</v>
      </c>
      <c r="FU492">
        <v>1</v>
      </c>
      <c r="FV492" t="s">
        <v>1986</v>
      </c>
      <c r="FW492" t="s">
        <v>10096</v>
      </c>
      <c r="FX492">
        <v>1</v>
      </c>
      <c r="FY492" t="s">
        <v>890</v>
      </c>
      <c r="FZ492" t="s">
        <v>10097</v>
      </c>
      <c r="GA492" t="s">
        <v>10089</v>
      </c>
      <c r="GB492">
        <v>1</v>
      </c>
      <c r="GD492">
        <v>0</v>
      </c>
      <c r="GF492">
        <v>0</v>
      </c>
      <c r="GG492">
        <v>1</v>
      </c>
      <c r="GH492" t="s">
        <v>892</v>
      </c>
      <c r="GI492" t="s">
        <v>893</v>
      </c>
      <c r="GJ492" t="s">
        <v>10090</v>
      </c>
      <c r="GM492">
        <v>1</v>
      </c>
      <c r="GN492">
        <v>1</v>
      </c>
      <c r="GO492">
        <v>0</v>
      </c>
      <c r="GP492">
        <v>1</v>
      </c>
      <c r="GQ492">
        <v>1</v>
      </c>
      <c r="GR492">
        <v>0</v>
      </c>
      <c r="GS492">
        <v>1</v>
      </c>
      <c r="GT492">
        <v>0</v>
      </c>
      <c r="GU492">
        <v>1</v>
      </c>
      <c r="GV492">
        <v>0</v>
      </c>
      <c r="GW492">
        <v>1</v>
      </c>
      <c r="GX492">
        <v>0</v>
      </c>
      <c r="GY492">
        <v>1</v>
      </c>
      <c r="GZ492">
        <v>0</v>
      </c>
      <c r="HA492" t="s">
        <v>263</v>
      </c>
      <c r="HB492" t="s">
        <v>894</v>
      </c>
      <c r="HC492" t="s">
        <v>935</v>
      </c>
      <c r="HD492" t="s">
        <v>845</v>
      </c>
      <c r="HE492" t="s">
        <v>900</v>
      </c>
      <c r="HF492" t="s">
        <v>1012</v>
      </c>
      <c r="HG492" t="s">
        <v>894</v>
      </c>
      <c r="HH492" t="s">
        <v>935</v>
      </c>
      <c r="HI492" t="s">
        <v>845</v>
      </c>
      <c r="HJ492" t="s">
        <v>900</v>
      </c>
      <c r="HK492" t="s">
        <v>1011</v>
      </c>
      <c r="HL492" t="s">
        <v>1543</v>
      </c>
      <c r="HM492" t="s">
        <v>854</v>
      </c>
      <c r="HN492">
        <v>36805</v>
      </c>
      <c r="HO492">
        <v>1</v>
      </c>
      <c r="HP492" t="s">
        <v>134</v>
      </c>
      <c r="HQ492" t="s">
        <v>896</v>
      </c>
      <c r="HR492" t="s">
        <v>896</v>
      </c>
      <c r="HS492" t="s">
        <v>896</v>
      </c>
    </row>
    <row r="493" spans="1:227" ht="409.6" x14ac:dyDescent="0.2">
      <c r="A493">
        <v>8702</v>
      </c>
      <c r="B493">
        <v>7613401531</v>
      </c>
      <c r="C493">
        <v>36</v>
      </c>
      <c r="D493" t="s">
        <v>1302</v>
      </c>
      <c r="E493" t="s">
        <v>831</v>
      </c>
      <c r="F493">
        <v>1</v>
      </c>
      <c r="G493" t="s">
        <v>10098</v>
      </c>
      <c r="H493" t="s">
        <v>10098</v>
      </c>
      <c r="I493">
        <v>0</v>
      </c>
      <c r="J493" t="s">
        <v>833</v>
      </c>
      <c r="K493" t="s">
        <v>834</v>
      </c>
      <c r="L493">
        <v>148743044</v>
      </c>
      <c r="M493">
        <v>42060110</v>
      </c>
      <c r="N493" t="s">
        <v>836</v>
      </c>
      <c r="O493" t="s">
        <v>837</v>
      </c>
      <c r="P493" t="s">
        <v>1302</v>
      </c>
      <c r="Q493" t="s">
        <v>1517</v>
      </c>
      <c r="R493" t="s">
        <v>10099</v>
      </c>
      <c r="S493" t="s">
        <v>10100</v>
      </c>
      <c r="T493">
        <v>30300111330</v>
      </c>
      <c r="V493" t="s">
        <v>193</v>
      </c>
      <c r="W493" s="41">
        <v>46160</v>
      </c>
      <c r="X493" t="s">
        <v>10101</v>
      </c>
      <c r="Y493" t="s">
        <v>10102</v>
      </c>
      <c r="AA493">
        <v>0</v>
      </c>
      <c r="AB493" t="s">
        <v>845</v>
      </c>
      <c r="AC493" t="s">
        <v>846</v>
      </c>
      <c r="AD493" t="s">
        <v>1335</v>
      </c>
      <c r="AE493" t="s">
        <v>1336</v>
      </c>
      <c r="AF493">
        <v>1</v>
      </c>
      <c r="AG493">
        <v>452210</v>
      </c>
      <c r="AH493" t="s">
        <v>849</v>
      </c>
      <c r="AI493" t="s">
        <v>850</v>
      </c>
      <c r="AJ493" t="s">
        <v>851</v>
      </c>
      <c r="AK493" t="s">
        <v>271</v>
      </c>
      <c r="AL493" t="s">
        <v>2363</v>
      </c>
      <c r="AM493" t="s">
        <v>2364</v>
      </c>
      <c r="AN493" t="s">
        <v>854</v>
      </c>
      <c r="AO493">
        <v>36805</v>
      </c>
      <c r="AP493">
        <v>637</v>
      </c>
      <c r="AQ493" t="s">
        <v>855</v>
      </c>
      <c r="AR493">
        <v>66468601</v>
      </c>
      <c r="AS493" t="s">
        <v>856</v>
      </c>
      <c r="AU493" t="s">
        <v>10103</v>
      </c>
      <c r="AV493" t="s">
        <v>10104</v>
      </c>
      <c r="AX493" t="s">
        <v>913</v>
      </c>
      <c r="AY493" t="s">
        <v>861</v>
      </c>
      <c r="AZ493" t="s">
        <v>271</v>
      </c>
      <c r="BA493" t="s">
        <v>272</v>
      </c>
      <c r="BB493">
        <v>0</v>
      </c>
      <c r="BC493">
        <v>1</v>
      </c>
      <c r="BD493">
        <v>0</v>
      </c>
      <c r="BE493">
        <v>42060110</v>
      </c>
      <c r="BF493">
        <v>0</v>
      </c>
      <c r="BG493">
        <v>0</v>
      </c>
      <c r="BH493" t="s">
        <v>862</v>
      </c>
      <c r="BI493">
        <v>0</v>
      </c>
      <c r="BJ493" t="s">
        <v>862</v>
      </c>
      <c r="BK493">
        <v>1</v>
      </c>
      <c r="BL493">
        <v>1</v>
      </c>
      <c r="BM493">
        <v>0</v>
      </c>
      <c r="BN493" t="s">
        <v>596</v>
      </c>
      <c r="BP493" t="s">
        <v>10098</v>
      </c>
      <c r="BR493">
        <v>42791765</v>
      </c>
      <c r="BT493">
        <v>0</v>
      </c>
      <c r="BU493" t="s">
        <v>1803</v>
      </c>
      <c r="BY493">
        <v>16</v>
      </c>
      <c r="CA493">
        <v>50</v>
      </c>
      <c r="CE493">
        <v>0</v>
      </c>
      <c r="CI493">
        <v>11</v>
      </c>
      <c r="CJ493" t="s">
        <v>94</v>
      </c>
      <c r="CM493">
        <v>4010</v>
      </c>
      <c r="CO493">
        <v>7360</v>
      </c>
      <c r="CP493">
        <v>1.6833</v>
      </c>
      <c r="CQ493">
        <v>1.6833</v>
      </c>
      <c r="CR493">
        <v>2.2999999999999998</v>
      </c>
      <c r="CS493">
        <v>0</v>
      </c>
      <c r="CT493" t="s">
        <v>10104</v>
      </c>
      <c r="CU493" t="s">
        <v>10103</v>
      </c>
      <c r="CV493" t="s">
        <v>833</v>
      </c>
      <c r="CW493" t="s">
        <v>834</v>
      </c>
      <c r="CX493" t="s">
        <v>10105</v>
      </c>
      <c r="CY493">
        <v>1</v>
      </c>
      <c r="CZ493">
        <v>1</v>
      </c>
      <c r="DA493" t="s">
        <v>833</v>
      </c>
      <c r="DB493" t="s">
        <v>865</v>
      </c>
      <c r="DC493">
        <v>60014</v>
      </c>
      <c r="DD493">
        <v>49.7333</v>
      </c>
      <c r="DE493" t="s">
        <v>866</v>
      </c>
      <c r="DG493" t="s">
        <v>867</v>
      </c>
      <c r="DH493" t="s">
        <v>851</v>
      </c>
      <c r="DK493" t="s">
        <v>918</v>
      </c>
      <c r="DL493" t="s">
        <v>869</v>
      </c>
      <c r="DM493">
        <v>0</v>
      </c>
      <c r="DN493">
        <v>1.67E-2</v>
      </c>
      <c r="DO493">
        <v>11</v>
      </c>
      <c r="DP493" t="s">
        <v>1010</v>
      </c>
      <c r="DQ493">
        <v>16</v>
      </c>
      <c r="DR493">
        <v>2984</v>
      </c>
      <c r="DS493">
        <v>5864</v>
      </c>
      <c r="DT493">
        <v>1.0333000000000001</v>
      </c>
      <c r="DU493">
        <v>4</v>
      </c>
      <c r="DV493">
        <v>1</v>
      </c>
      <c r="DW493">
        <v>2</v>
      </c>
      <c r="DX493" t="s">
        <v>596</v>
      </c>
      <c r="DY493">
        <v>42060110</v>
      </c>
      <c r="DZ493">
        <v>0</v>
      </c>
      <c r="EA493">
        <v>0</v>
      </c>
      <c r="EB493">
        <v>1</v>
      </c>
      <c r="EC493">
        <v>1</v>
      </c>
      <c r="ED493">
        <v>1</v>
      </c>
      <c r="EE493">
        <v>1</v>
      </c>
      <c r="EF493" t="s">
        <v>920</v>
      </c>
      <c r="EG493" t="s">
        <v>595</v>
      </c>
      <c r="EH493" t="s">
        <v>921</v>
      </c>
      <c r="EI493" t="s">
        <v>921</v>
      </c>
      <c r="EJ493" t="s">
        <v>181</v>
      </c>
      <c r="EK493">
        <v>9090</v>
      </c>
      <c r="EL493">
        <v>1</v>
      </c>
      <c r="EM493" t="s">
        <v>1436</v>
      </c>
      <c r="EN493">
        <v>2.2999999999999998</v>
      </c>
      <c r="EO493">
        <v>97.733333299999998</v>
      </c>
      <c r="EP493">
        <v>99991120</v>
      </c>
      <c r="EQ493" t="s">
        <v>874</v>
      </c>
      <c r="ER493" t="s">
        <v>875</v>
      </c>
      <c r="ES493" t="s">
        <v>876</v>
      </c>
      <c r="ET493" t="s">
        <v>877</v>
      </c>
      <c r="EU493" t="s">
        <v>877</v>
      </c>
      <c r="EV493" t="s">
        <v>920</v>
      </c>
      <c r="EX493" t="s">
        <v>836</v>
      </c>
      <c r="EY493" t="s">
        <v>873</v>
      </c>
      <c r="EZ493" t="s">
        <v>1437</v>
      </c>
      <c r="FA493" t="s">
        <v>956</v>
      </c>
      <c r="FB493">
        <v>1</v>
      </c>
      <c r="FC493">
        <v>2</v>
      </c>
      <c r="FD493" s="41">
        <v>46165</v>
      </c>
      <c r="FE493" t="s">
        <v>1808</v>
      </c>
      <c r="FF493">
        <v>13</v>
      </c>
      <c r="FG493" t="s">
        <v>10106</v>
      </c>
      <c r="FH493" t="s">
        <v>10107</v>
      </c>
      <c r="FI493">
        <v>1</v>
      </c>
      <c r="FJ493" t="s">
        <v>10108</v>
      </c>
      <c r="FK493" t="s">
        <v>10109</v>
      </c>
      <c r="FL493">
        <v>1</v>
      </c>
      <c r="FM493" t="s">
        <v>10110</v>
      </c>
      <c r="FN493" t="s">
        <v>10111</v>
      </c>
      <c r="FO493">
        <v>1</v>
      </c>
      <c r="FP493" s="42" t="s">
        <v>10112</v>
      </c>
      <c r="FQ493" t="s">
        <v>10113</v>
      </c>
      <c r="FR493">
        <v>1</v>
      </c>
      <c r="FS493" t="s">
        <v>2375</v>
      </c>
      <c r="FT493" t="s">
        <v>10114</v>
      </c>
      <c r="FU493">
        <v>1</v>
      </c>
      <c r="FV493" t="s">
        <v>10115</v>
      </c>
      <c r="FW493" t="s">
        <v>10116</v>
      </c>
      <c r="FX493">
        <v>1</v>
      </c>
      <c r="FY493" t="s">
        <v>890</v>
      </c>
      <c r="FZ493" s="42" t="s">
        <v>10117</v>
      </c>
      <c r="GA493" t="s">
        <v>10108</v>
      </c>
      <c r="GB493">
        <v>1</v>
      </c>
      <c r="GD493">
        <v>0</v>
      </c>
      <c r="GF493">
        <v>0</v>
      </c>
      <c r="GG493">
        <v>1</v>
      </c>
      <c r="GH493" t="s">
        <v>892</v>
      </c>
      <c r="GI493" t="s">
        <v>893</v>
      </c>
      <c r="GJ493" t="s">
        <v>10109</v>
      </c>
      <c r="GM493">
        <v>1</v>
      </c>
      <c r="GN493">
        <v>0</v>
      </c>
      <c r="GO493">
        <v>0</v>
      </c>
      <c r="GP493">
        <v>1</v>
      </c>
      <c r="GQ493">
        <v>1</v>
      </c>
      <c r="GR493">
        <v>0</v>
      </c>
      <c r="GS493">
        <v>1</v>
      </c>
      <c r="GT493">
        <v>0</v>
      </c>
      <c r="GU493">
        <v>1</v>
      </c>
      <c r="GV493">
        <v>0</v>
      </c>
      <c r="GW493">
        <v>1</v>
      </c>
      <c r="GX493">
        <v>0</v>
      </c>
      <c r="GY493">
        <v>1</v>
      </c>
      <c r="GZ493">
        <v>0</v>
      </c>
      <c r="HA493" t="s">
        <v>271</v>
      </c>
      <c r="HB493" t="s">
        <v>894</v>
      </c>
      <c r="HC493" t="s">
        <v>895</v>
      </c>
      <c r="HD493" t="s">
        <v>845</v>
      </c>
      <c r="HE493" t="s">
        <v>836</v>
      </c>
      <c r="HF493" t="s">
        <v>873</v>
      </c>
      <c r="HG493" t="s">
        <v>894</v>
      </c>
      <c r="HH493" t="s">
        <v>895</v>
      </c>
      <c r="HI493" t="s">
        <v>845</v>
      </c>
      <c r="HJ493" t="s">
        <v>836</v>
      </c>
      <c r="HK493" t="s">
        <v>1436</v>
      </c>
      <c r="HL493" t="s">
        <v>193</v>
      </c>
      <c r="HM493" t="s">
        <v>854</v>
      </c>
      <c r="HN493">
        <v>36805</v>
      </c>
      <c r="HP493" t="s">
        <v>181</v>
      </c>
      <c r="HQ493" t="s">
        <v>896</v>
      </c>
      <c r="HR493" t="s">
        <v>896</v>
      </c>
      <c r="HS493" t="s">
        <v>896</v>
      </c>
    </row>
    <row r="494" spans="1:227" x14ac:dyDescent="0.2">
      <c r="A494">
        <v>8702</v>
      </c>
      <c r="B494">
        <v>7605300513</v>
      </c>
      <c r="C494" t="s">
        <v>1916</v>
      </c>
      <c r="D494" t="s">
        <v>1917</v>
      </c>
      <c r="E494" t="s">
        <v>831</v>
      </c>
      <c r="F494">
        <v>0</v>
      </c>
      <c r="G494" t="s">
        <v>10118</v>
      </c>
      <c r="H494" t="s">
        <v>10118</v>
      </c>
      <c r="I494">
        <v>0</v>
      </c>
      <c r="J494" t="s">
        <v>833</v>
      </c>
      <c r="K494" t="s">
        <v>834</v>
      </c>
      <c r="L494">
        <v>156046199</v>
      </c>
      <c r="M494" t="s">
        <v>3644</v>
      </c>
      <c r="N494" t="s">
        <v>836</v>
      </c>
      <c r="O494" t="s">
        <v>837</v>
      </c>
      <c r="P494" t="s">
        <v>1920</v>
      </c>
      <c r="Q494" t="s">
        <v>1921</v>
      </c>
      <c r="R494" t="s">
        <v>10119</v>
      </c>
      <c r="S494" t="s">
        <v>10120</v>
      </c>
      <c r="T494">
        <v>30300127006</v>
      </c>
      <c r="V494" t="s">
        <v>187</v>
      </c>
      <c r="W494" s="41">
        <v>46075</v>
      </c>
      <c r="X494" t="s">
        <v>10121</v>
      </c>
      <c r="Y494" t="s">
        <v>10122</v>
      </c>
      <c r="AA494">
        <v>0</v>
      </c>
      <c r="AB494" t="s">
        <v>845</v>
      </c>
      <c r="AC494" t="s">
        <v>846</v>
      </c>
      <c r="AD494" t="s">
        <v>1113</v>
      </c>
      <c r="AE494" t="s">
        <v>1114</v>
      </c>
      <c r="AF494">
        <v>1</v>
      </c>
      <c r="AG494">
        <v>452210</v>
      </c>
      <c r="AH494" t="s">
        <v>849</v>
      </c>
      <c r="AI494" t="s">
        <v>850</v>
      </c>
      <c r="AJ494" t="s">
        <v>851</v>
      </c>
      <c r="AK494" t="s">
        <v>255</v>
      </c>
      <c r="AL494" t="s">
        <v>2605</v>
      </c>
      <c r="AM494" t="s">
        <v>2553</v>
      </c>
      <c r="AN494" t="s">
        <v>854</v>
      </c>
      <c r="AO494">
        <v>36805</v>
      </c>
      <c r="AP494">
        <v>634</v>
      </c>
      <c r="AQ494" t="s">
        <v>855</v>
      </c>
      <c r="AR494">
        <v>66345918</v>
      </c>
      <c r="AS494" t="s">
        <v>856</v>
      </c>
      <c r="AU494" t="s">
        <v>10123</v>
      </c>
      <c r="AV494" t="s">
        <v>10124</v>
      </c>
      <c r="AX494" t="s">
        <v>913</v>
      </c>
      <c r="AY494" t="s">
        <v>861</v>
      </c>
      <c r="AZ494" t="s">
        <v>255</v>
      </c>
      <c r="BA494" t="s">
        <v>256</v>
      </c>
      <c r="BB494">
        <v>0</v>
      </c>
      <c r="BC494">
        <v>1</v>
      </c>
      <c r="BD494">
        <v>0</v>
      </c>
      <c r="BE494" t="s">
        <v>3644</v>
      </c>
      <c r="BF494">
        <v>0</v>
      </c>
      <c r="BG494">
        <v>0</v>
      </c>
      <c r="BH494" t="s">
        <v>862</v>
      </c>
      <c r="BI494">
        <v>0</v>
      </c>
      <c r="BJ494" t="s">
        <v>862</v>
      </c>
      <c r="BK494">
        <v>1</v>
      </c>
      <c r="BL494">
        <v>1</v>
      </c>
      <c r="BM494">
        <v>0</v>
      </c>
      <c r="BN494" t="s">
        <v>596</v>
      </c>
      <c r="BO494">
        <v>156046199</v>
      </c>
      <c r="BP494" t="s">
        <v>10118</v>
      </c>
      <c r="BR494">
        <v>42791756</v>
      </c>
      <c r="BT494">
        <v>2</v>
      </c>
      <c r="BU494" t="s">
        <v>1780</v>
      </c>
      <c r="CE494">
        <v>1</v>
      </c>
      <c r="CI494">
        <v>11</v>
      </c>
      <c r="CJ494" t="s">
        <v>94</v>
      </c>
      <c r="CM494">
        <v>4010</v>
      </c>
      <c r="CO494">
        <v>7360</v>
      </c>
      <c r="CP494">
        <v>6.6699999999999995E-2</v>
      </c>
      <c r="CQ494">
        <v>6.6699999999999995E-2</v>
      </c>
      <c r="CR494">
        <v>2.0667</v>
      </c>
      <c r="CS494">
        <v>11</v>
      </c>
      <c r="CT494" t="s">
        <v>10124</v>
      </c>
      <c r="CU494" t="s">
        <v>10123</v>
      </c>
      <c r="CV494" t="s">
        <v>833</v>
      </c>
      <c r="CW494" t="s">
        <v>834</v>
      </c>
      <c r="CX494" t="s">
        <v>3644</v>
      </c>
      <c r="CY494">
        <v>1</v>
      </c>
      <c r="CZ494">
        <v>1</v>
      </c>
      <c r="DA494" t="s">
        <v>833</v>
      </c>
      <c r="DB494" t="s">
        <v>865</v>
      </c>
      <c r="DC494">
        <v>60435</v>
      </c>
      <c r="DD494">
        <v>5.8</v>
      </c>
      <c r="DE494" t="s">
        <v>866</v>
      </c>
      <c r="DG494" t="s">
        <v>867</v>
      </c>
      <c r="DH494" t="s">
        <v>851</v>
      </c>
      <c r="DI494" t="s">
        <v>984</v>
      </c>
      <c r="DK494" t="s">
        <v>918</v>
      </c>
      <c r="DL494" t="s">
        <v>869</v>
      </c>
      <c r="DM494">
        <v>0</v>
      </c>
      <c r="DN494">
        <v>0</v>
      </c>
      <c r="DO494">
        <v>11</v>
      </c>
      <c r="DP494" t="s">
        <v>1010</v>
      </c>
      <c r="DQ494">
        <v>0</v>
      </c>
      <c r="DR494">
        <v>348</v>
      </c>
      <c r="DS494">
        <v>1068</v>
      </c>
      <c r="DT494">
        <v>5.7332999999999998</v>
      </c>
      <c r="DU494">
        <v>0</v>
      </c>
      <c r="DV494">
        <v>1</v>
      </c>
      <c r="DW494">
        <v>2</v>
      </c>
      <c r="DX494" t="s">
        <v>596</v>
      </c>
      <c r="DY494" t="s">
        <v>3644</v>
      </c>
      <c r="DZ494">
        <v>1</v>
      </c>
      <c r="EA494">
        <v>1</v>
      </c>
      <c r="EB494">
        <v>1</v>
      </c>
      <c r="EC494">
        <v>1</v>
      </c>
      <c r="ED494">
        <v>1</v>
      </c>
      <c r="EE494">
        <v>1</v>
      </c>
      <c r="EF494" t="s">
        <v>871</v>
      </c>
      <c r="EG494" t="s">
        <v>595</v>
      </c>
      <c r="EH494" t="s">
        <v>921</v>
      </c>
      <c r="EI494" t="s">
        <v>921</v>
      </c>
      <c r="EJ494" t="s">
        <v>181</v>
      </c>
      <c r="EK494">
        <v>9090</v>
      </c>
      <c r="EL494">
        <v>0</v>
      </c>
      <c r="EM494" t="s">
        <v>1436</v>
      </c>
      <c r="EN494">
        <v>2.0667</v>
      </c>
      <c r="EO494">
        <v>17.8</v>
      </c>
      <c r="EP494">
        <v>99991120</v>
      </c>
      <c r="EQ494" t="s">
        <v>874</v>
      </c>
      <c r="ER494" t="s">
        <v>875</v>
      </c>
      <c r="ES494" t="s">
        <v>876</v>
      </c>
      <c r="ET494" t="s">
        <v>877</v>
      </c>
      <c r="EU494" t="s">
        <v>877</v>
      </c>
      <c r="EV494" t="s">
        <v>871</v>
      </c>
      <c r="EX494" t="s">
        <v>836</v>
      </c>
      <c r="EY494" t="s">
        <v>873</v>
      </c>
      <c r="EZ494" t="s">
        <v>1437</v>
      </c>
      <c r="FA494" t="s">
        <v>956</v>
      </c>
      <c r="FB494">
        <v>1</v>
      </c>
      <c r="FC494">
        <v>1</v>
      </c>
      <c r="FD494" s="41">
        <v>46081</v>
      </c>
      <c r="FE494" t="s">
        <v>1267</v>
      </c>
      <c r="FF494">
        <v>9</v>
      </c>
      <c r="FG494" t="s">
        <v>10125</v>
      </c>
      <c r="FH494" t="s">
        <v>10126</v>
      </c>
      <c r="FI494">
        <v>1</v>
      </c>
      <c r="FJ494" t="s">
        <v>10127</v>
      </c>
      <c r="FK494" t="s">
        <v>10126</v>
      </c>
      <c r="FL494">
        <v>1</v>
      </c>
      <c r="FM494" t="s">
        <v>3655</v>
      </c>
      <c r="FN494" t="s">
        <v>10128</v>
      </c>
      <c r="FO494">
        <v>1</v>
      </c>
      <c r="FP494" t="s">
        <v>10129</v>
      </c>
      <c r="FQ494" t="s">
        <v>10130</v>
      </c>
      <c r="FR494">
        <v>1</v>
      </c>
      <c r="FS494" t="s">
        <v>1534</v>
      </c>
      <c r="FT494" t="s">
        <v>10131</v>
      </c>
      <c r="FU494">
        <v>1</v>
      </c>
      <c r="FV494" t="s">
        <v>1536</v>
      </c>
      <c r="FW494" t="s">
        <v>10132</v>
      </c>
      <c r="FX494">
        <v>1</v>
      </c>
      <c r="FY494" t="s">
        <v>890</v>
      </c>
      <c r="FZ494" t="s">
        <v>10133</v>
      </c>
      <c r="GA494" t="s">
        <v>10127</v>
      </c>
      <c r="GB494">
        <v>1</v>
      </c>
      <c r="GD494">
        <v>0</v>
      </c>
      <c r="GF494">
        <v>0</v>
      </c>
      <c r="GG494">
        <v>1</v>
      </c>
      <c r="GH494" t="s">
        <v>892</v>
      </c>
      <c r="GI494" t="s">
        <v>893</v>
      </c>
      <c r="GJ494" t="s">
        <v>10126</v>
      </c>
      <c r="GM494">
        <v>1</v>
      </c>
      <c r="GN494">
        <v>1</v>
      </c>
      <c r="GO494">
        <v>0</v>
      </c>
      <c r="GP494">
        <v>1</v>
      </c>
      <c r="GQ494">
        <v>1</v>
      </c>
      <c r="GR494">
        <v>0</v>
      </c>
      <c r="GS494">
        <v>1</v>
      </c>
      <c r="GT494">
        <v>0</v>
      </c>
      <c r="GU494">
        <v>1</v>
      </c>
      <c r="GV494">
        <v>0</v>
      </c>
      <c r="GW494">
        <v>1</v>
      </c>
      <c r="GX494">
        <v>0</v>
      </c>
      <c r="GY494">
        <v>1</v>
      </c>
      <c r="GZ494">
        <v>0</v>
      </c>
      <c r="HA494" t="s">
        <v>255</v>
      </c>
      <c r="HB494" t="s">
        <v>894</v>
      </c>
      <c r="HC494" t="s">
        <v>895</v>
      </c>
      <c r="HD494" t="s">
        <v>845</v>
      </c>
      <c r="HE494" t="s">
        <v>836</v>
      </c>
      <c r="HF494" t="s">
        <v>873</v>
      </c>
      <c r="HG494" t="s">
        <v>894</v>
      </c>
      <c r="HH494" t="s">
        <v>895</v>
      </c>
      <c r="HI494" t="s">
        <v>845</v>
      </c>
      <c r="HJ494" t="s">
        <v>836</v>
      </c>
      <c r="HK494" t="s">
        <v>1436</v>
      </c>
      <c r="HL494" t="s">
        <v>187</v>
      </c>
      <c r="HM494" t="s">
        <v>854</v>
      </c>
      <c r="HN494">
        <v>36805</v>
      </c>
      <c r="HP494" t="s">
        <v>181</v>
      </c>
      <c r="HQ494" t="s">
        <v>896</v>
      </c>
      <c r="HR494" t="s">
        <v>896</v>
      </c>
      <c r="HS494" t="s">
        <v>896</v>
      </c>
    </row>
    <row r="495" spans="1:227" x14ac:dyDescent="0.2">
      <c r="A495">
        <v>8702</v>
      </c>
      <c r="B495">
        <v>7610000145</v>
      </c>
      <c r="C495" t="s">
        <v>829</v>
      </c>
      <c r="D495" t="s">
        <v>830</v>
      </c>
      <c r="E495" t="s">
        <v>831</v>
      </c>
      <c r="F495">
        <v>1</v>
      </c>
      <c r="G495" t="s">
        <v>10134</v>
      </c>
      <c r="H495" t="s">
        <v>10134</v>
      </c>
      <c r="I495">
        <v>0</v>
      </c>
      <c r="J495" t="s">
        <v>833</v>
      </c>
      <c r="K495" t="s">
        <v>834</v>
      </c>
      <c r="L495">
        <v>153402684</v>
      </c>
      <c r="M495" t="s">
        <v>3321</v>
      </c>
      <c r="N495" t="s">
        <v>836</v>
      </c>
      <c r="O495" t="s">
        <v>837</v>
      </c>
      <c r="P495" t="s">
        <v>838</v>
      </c>
      <c r="Q495" t="s">
        <v>901</v>
      </c>
      <c r="R495" t="s">
        <v>10135</v>
      </c>
      <c r="S495" t="s">
        <v>10136</v>
      </c>
      <c r="T495">
        <v>41477011864</v>
      </c>
      <c r="V495" t="s">
        <v>189</v>
      </c>
      <c r="W495" s="41">
        <v>46123</v>
      </c>
      <c r="X495" t="s">
        <v>10137</v>
      </c>
      <c r="Y495" t="s">
        <v>10138</v>
      </c>
      <c r="AA495">
        <v>0</v>
      </c>
      <c r="AB495" t="s">
        <v>845</v>
      </c>
      <c r="AC495" t="s">
        <v>846</v>
      </c>
      <c r="AD495" t="s">
        <v>1113</v>
      </c>
      <c r="AE495" t="s">
        <v>1114</v>
      </c>
      <c r="AF495">
        <v>1</v>
      </c>
      <c r="AG495">
        <v>452210</v>
      </c>
      <c r="AH495" t="s">
        <v>849</v>
      </c>
      <c r="AI495" t="s">
        <v>850</v>
      </c>
      <c r="AJ495" t="s">
        <v>851</v>
      </c>
      <c r="AK495" t="s">
        <v>321</v>
      </c>
      <c r="AL495" t="s">
        <v>3326</v>
      </c>
      <c r="AM495" t="s">
        <v>2646</v>
      </c>
      <c r="AN495" t="s">
        <v>854</v>
      </c>
      <c r="AO495">
        <v>36805</v>
      </c>
      <c r="AP495">
        <v>635</v>
      </c>
      <c r="AQ495" t="s">
        <v>855</v>
      </c>
      <c r="AR495">
        <v>66414852</v>
      </c>
      <c r="AS495" t="s">
        <v>856</v>
      </c>
      <c r="AU495" t="s">
        <v>10139</v>
      </c>
      <c r="AV495" t="s">
        <v>10140</v>
      </c>
      <c r="AX495" t="s">
        <v>913</v>
      </c>
      <c r="AY495" t="s">
        <v>861</v>
      </c>
      <c r="AZ495" t="s">
        <v>321</v>
      </c>
      <c r="BA495" t="s">
        <v>322</v>
      </c>
      <c r="BB495">
        <v>0</v>
      </c>
      <c r="BC495">
        <v>0</v>
      </c>
      <c r="BD495">
        <v>1</v>
      </c>
      <c r="BE495" t="s">
        <v>3321</v>
      </c>
      <c r="BF495">
        <v>0</v>
      </c>
      <c r="BG495">
        <v>0</v>
      </c>
      <c r="BH495" t="s">
        <v>862</v>
      </c>
      <c r="BI495">
        <v>0</v>
      </c>
      <c r="BJ495" t="s">
        <v>862</v>
      </c>
      <c r="BK495">
        <v>1</v>
      </c>
      <c r="BL495">
        <v>1</v>
      </c>
      <c r="BM495">
        <v>0</v>
      </c>
      <c r="BN495" t="s">
        <v>596</v>
      </c>
      <c r="BO495">
        <v>153402684</v>
      </c>
      <c r="BP495" t="s">
        <v>10134</v>
      </c>
      <c r="BR495">
        <v>42791757</v>
      </c>
      <c r="BT495">
        <v>2</v>
      </c>
      <c r="BU495" t="s">
        <v>1119</v>
      </c>
      <c r="BY495">
        <v>16</v>
      </c>
      <c r="CA495">
        <v>7</v>
      </c>
      <c r="CE495">
        <v>1</v>
      </c>
      <c r="CI495">
        <v>11</v>
      </c>
      <c r="CJ495" t="s">
        <v>94</v>
      </c>
      <c r="CM495">
        <v>4010</v>
      </c>
      <c r="CO495">
        <v>7360</v>
      </c>
      <c r="CP495">
        <v>1.1667000000000001</v>
      </c>
      <c r="CQ495">
        <v>1.1667000000000001</v>
      </c>
      <c r="CR495">
        <v>0.86670000000000003</v>
      </c>
      <c r="CS495">
        <v>2</v>
      </c>
      <c r="CT495" t="s">
        <v>10140</v>
      </c>
      <c r="CU495" t="s">
        <v>10139</v>
      </c>
      <c r="CV495" t="s">
        <v>833</v>
      </c>
      <c r="CW495" t="s">
        <v>834</v>
      </c>
      <c r="CX495" t="s">
        <v>3321</v>
      </c>
      <c r="CY495">
        <v>1</v>
      </c>
      <c r="CZ495">
        <v>1</v>
      </c>
      <c r="DA495" t="s">
        <v>833</v>
      </c>
      <c r="DB495" t="s">
        <v>865</v>
      </c>
      <c r="DC495">
        <v>60647</v>
      </c>
      <c r="DD495">
        <v>7.3833000000000002</v>
      </c>
      <c r="DE495" t="s">
        <v>866</v>
      </c>
      <c r="DG495" t="s">
        <v>867</v>
      </c>
      <c r="DH495" t="s">
        <v>851</v>
      </c>
      <c r="DI495" t="s">
        <v>1154</v>
      </c>
      <c r="DK495" t="s">
        <v>918</v>
      </c>
      <c r="DL495" t="s">
        <v>869</v>
      </c>
      <c r="DM495">
        <v>0</v>
      </c>
      <c r="DN495">
        <v>0</v>
      </c>
      <c r="DO495">
        <v>11</v>
      </c>
      <c r="DP495" t="s">
        <v>1010</v>
      </c>
      <c r="DQ495">
        <v>0</v>
      </c>
      <c r="DR495">
        <v>443</v>
      </c>
      <c r="DS495">
        <v>1163</v>
      </c>
      <c r="DT495">
        <v>6.2167000000000003</v>
      </c>
      <c r="DU495">
        <v>0</v>
      </c>
      <c r="DV495">
        <v>1</v>
      </c>
      <c r="DW495">
        <v>2</v>
      </c>
      <c r="DX495" t="s">
        <v>596</v>
      </c>
      <c r="DY495" t="s">
        <v>3321</v>
      </c>
      <c r="DZ495">
        <v>1</v>
      </c>
      <c r="EA495">
        <v>1</v>
      </c>
      <c r="EB495">
        <v>1</v>
      </c>
      <c r="EC495">
        <v>1</v>
      </c>
      <c r="ED495">
        <v>1</v>
      </c>
      <c r="EE495">
        <v>1</v>
      </c>
      <c r="EF495" t="s">
        <v>920</v>
      </c>
      <c r="EG495" t="s">
        <v>595</v>
      </c>
      <c r="EH495" t="s">
        <v>921</v>
      </c>
      <c r="EI495" t="s">
        <v>921</v>
      </c>
      <c r="EJ495" t="s">
        <v>181</v>
      </c>
      <c r="EK495">
        <v>9090</v>
      </c>
      <c r="EL495">
        <v>0</v>
      </c>
      <c r="EM495" t="s">
        <v>1436</v>
      </c>
      <c r="EN495">
        <v>0.86670000000000003</v>
      </c>
      <c r="EO495">
        <v>19.3833333</v>
      </c>
      <c r="EP495">
        <v>99991120</v>
      </c>
      <c r="EQ495" t="s">
        <v>874</v>
      </c>
      <c r="ER495" t="s">
        <v>875</v>
      </c>
      <c r="ES495" t="s">
        <v>876</v>
      </c>
      <c r="ET495" t="s">
        <v>877</v>
      </c>
      <c r="EU495" t="s">
        <v>877</v>
      </c>
      <c r="EV495" t="s">
        <v>920</v>
      </c>
      <c r="EX495" t="s">
        <v>836</v>
      </c>
      <c r="EY495" t="s">
        <v>873</v>
      </c>
      <c r="EZ495" t="s">
        <v>1437</v>
      </c>
      <c r="FA495" t="s">
        <v>956</v>
      </c>
      <c r="FB495">
        <v>1</v>
      </c>
      <c r="FC495">
        <v>1</v>
      </c>
      <c r="FD495" s="41">
        <v>46123</v>
      </c>
      <c r="FE495" t="s">
        <v>1123</v>
      </c>
      <c r="FF495">
        <v>7</v>
      </c>
      <c r="FG495" t="s">
        <v>10141</v>
      </c>
      <c r="FH495" t="s">
        <v>10142</v>
      </c>
      <c r="FI495">
        <v>1</v>
      </c>
      <c r="FJ495" t="s">
        <v>10143</v>
      </c>
      <c r="FK495" t="s">
        <v>10142</v>
      </c>
      <c r="FL495">
        <v>1</v>
      </c>
      <c r="FM495" t="s">
        <v>3329</v>
      </c>
      <c r="FN495" t="s">
        <v>10144</v>
      </c>
      <c r="FO495">
        <v>1</v>
      </c>
      <c r="FP495" t="s">
        <v>10145</v>
      </c>
      <c r="FQ495" t="s">
        <v>10139</v>
      </c>
      <c r="FR495">
        <v>1</v>
      </c>
      <c r="FS495" t="s">
        <v>10146</v>
      </c>
      <c r="FT495" t="s">
        <v>10147</v>
      </c>
      <c r="FU495">
        <v>1</v>
      </c>
      <c r="FV495" t="s">
        <v>10148</v>
      </c>
      <c r="FW495" t="s">
        <v>10149</v>
      </c>
      <c r="FX495">
        <v>1</v>
      </c>
      <c r="FY495" t="s">
        <v>890</v>
      </c>
      <c r="FZ495" t="s">
        <v>10150</v>
      </c>
      <c r="GA495" t="s">
        <v>10143</v>
      </c>
      <c r="GB495">
        <v>1</v>
      </c>
      <c r="GD495">
        <v>0</v>
      </c>
      <c r="GF495">
        <v>0</v>
      </c>
      <c r="GG495">
        <v>1</v>
      </c>
      <c r="GH495" t="s">
        <v>892</v>
      </c>
      <c r="GI495" t="s">
        <v>893</v>
      </c>
      <c r="GJ495" t="s">
        <v>10142</v>
      </c>
      <c r="GM495">
        <v>1</v>
      </c>
      <c r="GN495">
        <v>1</v>
      </c>
      <c r="GO495">
        <v>0</v>
      </c>
      <c r="GP495">
        <v>1</v>
      </c>
      <c r="GQ495">
        <v>1</v>
      </c>
      <c r="GR495">
        <v>0</v>
      </c>
      <c r="GS495">
        <v>1</v>
      </c>
      <c r="GT495">
        <v>0</v>
      </c>
      <c r="GU495">
        <v>1</v>
      </c>
      <c r="GV495">
        <v>0</v>
      </c>
      <c r="GW495">
        <v>1</v>
      </c>
      <c r="GX495">
        <v>0</v>
      </c>
      <c r="GY495">
        <v>1</v>
      </c>
      <c r="GZ495">
        <v>0</v>
      </c>
      <c r="HA495" t="s">
        <v>321</v>
      </c>
      <c r="HB495" t="s">
        <v>894</v>
      </c>
      <c r="HC495" t="s">
        <v>895</v>
      </c>
      <c r="HD495" t="s">
        <v>845</v>
      </c>
      <c r="HE495" t="s">
        <v>836</v>
      </c>
      <c r="HF495" t="s">
        <v>873</v>
      </c>
      <c r="HG495" t="s">
        <v>894</v>
      </c>
      <c r="HH495" t="s">
        <v>895</v>
      </c>
      <c r="HI495" t="s">
        <v>845</v>
      </c>
      <c r="HJ495" t="s">
        <v>836</v>
      </c>
      <c r="HK495" t="s">
        <v>1436</v>
      </c>
      <c r="HL495" t="s">
        <v>189</v>
      </c>
      <c r="HM495" t="s">
        <v>854</v>
      </c>
      <c r="HN495">
        <v>36805</v>
      </c>
      <c r="HP495" t="s">
        <v>181</v>
      </c>
      <c r="HQ495" t="s">
        <v>896</v>
      </c>
      <c r="HR495" t="s">
        <v>896</v>
      </c>
      <c r="HS495" t="s">
        <v>896</v>
      </c>
    </row>
    <row r="496" spans="1:227" x14ac:dyDescent="0.2">
      <c r="A496">
        <v>8702</v>
      </c>
      <c r="B496">
        <v>7528101849</v>
      </c>
      <c r="C496" t="s">
        <v>829</v>
      </c>
      <c r="D496" t="s">
        <v>830</v>
      </c>
      <c r="E496" t="s">
        <v>831</v>
      </c>
      <c r="F496">
        <v>1</v>
      </c>
      <c r="G496" t="s">
        <v>10151</v>
      </c>
      <c r="H496" t="s">
        <v>10151</v>
      </c>
      <c r="I496">
        <v>0</v>
      </c>
      <c r="J496" t="s">
        <v>833</v>
      </c>
      <c r="K496" t="s">
        <v>834</v>
      </c>
      <c r="L496">
        <v>156586323</v>
      </c>
      <c r="M496" t="s">
        <v>8954</v>
      </c>
      <c r="N496" t="s">
        <v>836</v>
      </c>
      <c r="O496" t="s">
        <v>837</v>
      </c>
      <c r="P496" t="s">
        <v>838</v>
      </c>
      <c r="Q496" t="s">
        <v>839</v>
      </c>
      <c r="R496" t="s">
        <v>10152</v>
      </c>
      <c r="S496" t="s">
        <v>10153</v>
      </c>
      <c r="T496">
        <v>41477087304</v>
      </c>
      <c r="V496" t="s">
        <v>191</v>
      </c>
      <c r="W496" s="41">
        <v>45938</v>
      </c>
      <c r="X496" t="s">
        <v>10154</v>
      </c>
      <c r="Y496" t="s">
        <v>10155</v>
      </c>
      <c r="AA496">
        <v>0</v>
      </c>
      <c r="AB496" t="s">
        <v>845</v>
      </c>
      <c r="AC496" t="s">
        <v>846</v>
      </c>
      <c r="AD496" t="s">
        <v>847</v>
      </c>
      <c r="AE496" t="s">
        <v>848</v>
      </c>
      <c r="AF496">
        <v>1</v>
      </c>
      <c r="AG496">
        <v>452210</v>
      </c>
      <c r="AH496" t="s">
        <v>849</v>
      </c>
      <c r="AI496" t="s">
        <v>850</v>
      </c>
      <c r="AJ496" t="s">
        <v>851</v>
      </c>
      <c r="AK496" t="s">
        <v>352</v>
      </c>
      <c r="AL496" t="s">
        <v>3223</v>
      </c>
      <c r="AM496" t="s">
        <v>2252</v>
      </c>
      <c r="AN496" t="s">
        <v>854</v>
      </c>
      <c r="AO496">
        <v>36805</v>
      </c>
      <c r="AP496">
        <v>636</v>
      </c>
      <c r="AQ496" t="s">
        <v>855</v>
      </c>
      <c r="AR496">
        <v>66148712</v>
      </c>
      <c r="AS496" t="s">
        <v>856</v>
      </c>
      <c r="AU496" t="s">
        <v>10156</v>
      </c>
      <c r="AV496" t="s">
        <v>10157</v>
      </c>
      <c r="AX496" t="s">
        <v>913</v>
      </c>
      <c r="AY496" t="s">
        <v>861</v>
      </c>
      <c r="AZ496" t="s">
        <v>352</v>
      </c>
      <c r="BA496" t="s">
        <v>353</v>
      </c>
      <c r="BB496">
        <v>0</v>
      </c>
      <c r="BC496">
        <v>0</v>
      </c>
      <c r="BD496">
        <v>1</v>
      </c>
      <c r="BE496" t="s">
        <v>8954</v>
      </c>
      <c r="BF496">
        <v>0</v>
      </c>
      <c r="BG496">
        <v>0</v>
      </c>
      <c r="BH496" t="s">
        <v>862</v>
      </c>
      <c r="BI496">
        <v>0</v>
      </c>
      <c r="BJ496" t="s">
        <v>862</v>
      </c>
      <c r="BK496">
        <v>1</v>
      </c>
      <c r="BL496">
        <v>1</v>
      </c>
      <c r="BM496">
        <v>0</v>
      </c>
      <c r="BN496" t="s">
        <v>596</v>
      </c>
      <c r="BO496">
        <v>156586323</v>
      </c>
      <c r="BP496" t="s">
        <v>10151</v>
      </c>
      <c r="BR496">
        <v>42791762</v>
      </c>
      <c r="BT496">
        <v>0</v>
      </c>
      <c r="CM496">
        <v>4010</v>
      </c>
      <c r="CO496">
        <v>7360</v>
      </c>
      <c r="CP496">
        <v>1.2666999999999999</v>
      </c>
      <c r="CQ496">
        <v>1.2666999999999999</v>
      </c>
      <c r="CR496">
        <v>0.4667</v>
      </c>
      <c r="CS496">
        <v>34</v>
      </c>
      <c r="CT496" t="s">
        <v>10158</v>
      </c>
      <c r="CU496" t="s">
        <v>10159</v>
      </c>
      <c r="CV496" t="s">
        <v>833</v>
      </c>
      <c r="CW496" t="s">
        <v>834</v>
      </c>
      <c r="CX496" t="s">
        <v>8954</v>
      </c>
      <c r="CY496">
        <v>1</v>
      </c>
      <c r="CZ496">
        <v>1</v>
      </c>
      <c r="DA496" t="s">
        <v>833</v>
      </c>
      <c r="DB496" t="s">
        <v>865</v>
      </c>
      <c r="DC496">
        <v>60305</v>
      </c>
      <c r="DD496">
        <v>6.7832999999999997</v>
      </c>
      <c r="DE496" t="s">
        <v>866</v>
      </c>
      <c r="DG496" t="s">
        <v>867</v>
      </c>
      <c r="DH496" t="s">
        <v>851</v>
      </c>
      <c r="DL496" t="s">
        <v>869</v>
      </c>
      <c r="DM496">
        <v>0</v>
      </c>
      <c r="DN496">
        <v>0</v>
      </c>
      <c r="DO496">
        <v>11</v>
      </c>
      <c r="DP496" t="s">
        <v>1010</v>
      </c>
      <c r="DQ496">
        <v>16</v>
      </c>
      <c r="DR496">
        <v>407</v>
      </c>
      <c r="DS496">
        <v>407</v>
      </c>
      <c r="DT496">
        <v>5.5167000000000002</v>
      </c>
      <c r="DU496">
        <v>4</v>
      </c>
      <c r="DW496">
        <v>2</v>
      </c>
      <c r="DX496" t="s">
        <v>596</v>
      </c>
      <c r="DY496" t="s">
        <v>8954</v>
      </c>
      <c r="DZ496">
        <v>1</v>
      </c>
      <c r="EA496">
        <v>1</v>
      </c>
      <c r="EB496">
        <v>1</v>
      </c>
      <c r="EC496">
        <v>0</v>
      </c>
      <c r="ED496">
        <v>0</v>
      </c>
      <c r="EE496">
        <v>1</v>
      </c>
      <c r="EF496" t="s">
        <v>920</v>
      </c>
      <c r="EG496" t="s">
        <v>595</v>
      </c>
      <c r="EH496" t="s">
        <v>921</v>
      </c>
      <c r="EI496" t="s">
        <v>921</v>
      </c>
      <c r="EJ496" t="s">
        <v>181</v>
      </c>
      <c r="EK496">
        <v>9090</v>
      </c>
      <c r="EL496">
        <v>0</v>
      </c>
      <c r="EM496" t="s">
        <v>1436</v>
      </c>
      <c r="EN496">
        <v>0.4667</v>
      </c>
      <c r="EO496">
        <v>6.7833332999999998</v>
      </c>
      <c r="EP496">
        <v>99991120</v>
      </c>
      <c r="EQ496" t="s">
        <v>874</v>
      </c>
      <c r="ER496" t="s">
        <v>875</v>
      </c>
      <c r="ES496" t="s">
        <v>876</v>
      </c>
      <c r="ET496" t="s">
        <v>877</v>
      </c>
      <c r="EU496" t="s">
        <v>877</v>
      </c>
      <c r="EV496" t="s">
        <v>920</v>
      </c>
      <c r="EX496" t="s">
        <v>836</v>
      </c>
      <c r="EY496" t="s">
        <v>873</v>
      </c>
      <c r="EZ496" t="s">
        <v>1437</v>
      </c>
      <c r="FA496" t="s">
        <v>956</v>
      </c>
      <c r="FB496">
        <v>1</v>
      </c>
      <c r="FC496">
        <v>1</v>
      </c>
      <c r="FD496" s="41">
        <v>45941</v>
      </c>
      <c r="FE496" t="s">
        <v>1039</v>
      </c>
      <c r="FF496">
        <v>5</v>
      </c>
      <c r="FI496">
        <v>0</v>
      </c>
      <c r="FJ496" t="s">
        <v>10160</v>
      </c>
      <c r="FK496" t="s">
        <v>10161</v>
      </c>
      <c r="FL496">
        <v>1</v>
      </c>
      <c r="FM496" t="s">
        <v>10162</v>
      </c>
      <c r="FN496" t="s">
        <v>10163</v>
      </c>
      <c r="FO496">
        <v>1</v>
      </c>
      <c r="FP496" t="s">
        <v>10164</v>
      </c>
      <c r="FQ496" t="s">
        <v>10159</v>
      </c>
      <c r="FR496">
        <v>1</v>
      </c>
      <c r="FS496" t="s">
        <v>2260</v>
      </c>
      <c r="FT496" t="s">
        <v>10165</v>
      </c>
      <c r="FU496">
        <v>1</v>
      </c>
      <c r="FV496" t="s">
        <v>10166</v>
      </c>
      <c r="FW496" t="s">
        <v>10161</v>
      </c>
      <c r="FX496">
        <v>1</v>
      </c>
      <c r="FY496" t="s">
        <v>890</v>
      </c>
      <c r="FZ496" t="s">
        <v>10167</v>
      </c>
      <c r="GA496" t="s">
        <v>10160</v>
      </c>
      <c r="GB496">
        <v>1</v>
      </c>
      <c r="GD496">
        <v>0</v>
      </c>
      <c r="GF496">
        <v>0</v>
      </c>
      <c r="GG496">
        <v>1</v>
      </c>
      <c r="GH496" t="s">
        <v>892</v>
      </c>
      <c r="GI496" t="s">
        <v>893</v>
      </c>
      <c r="GJ496" t="s">
        <v>10161</v>
      </c>
      <c r="GM496">
        <v>1</v>
      </c>
      <c r="GN496">
        <v>1</v>
      </c>
      <c r="GO496">
        <v>0</v>
      </c>
      <c r="GP496">
        <v>1</v>
      </c>
      <c r="GQ496">
        <v>1</v>
      </c>
      <c r="GR496">
        <v>0</v>
      </c>
      <c r="GS496">
        <v>1</v>
      </c>
      <c r="GT496">
        <v>0</v>
      </c>
      <c r="GU496">
        <v>1</v>
      </c>
      <c r="GV496">
        <v>0</v>
      </c>
      <c r="GW496">
        <v>1</v>
      </c>
      <c r="GX496">
        <v>0</v>
      </c>
      <c r="GY496">
        <v>1</v>
      </c>
      <c r="GZ496">
        <v>0</v>
      </c>
      <c r="HA496" t="s">
        <v>352</v>
      </c>
      <c r="HB496" t="s">
        <v>894</v>
      </c>
      <c r="HC496" t="s">
        <v>895</v>
      </c>
      <c r="HD496" t="s">
        <v>845</v>
      </c>
      <c r="HE496" t="s">
        <v>836</v>
      </c>
      <c r="HF496" t="s">
        <v>873</v>
      </c>
      <c r="HG496" t="s">
        <v>894</v>
      </c>
      <c r="HH496" t="s">
        <v>895</v>
      </c>
      <c r="HI496" t="s">
        <v>845</v>
      </c>
      <c r="HJ496" t="s">
        <v>836</v>
      </c>
      <c r="HK496" t="s">
        <v>1436</v>
      </c>
      <c r="HL496" t="s">
        <v>191</v>
      </c>
      <c r="HM496" t="s">
        <v>854</v>
      </c>
      <c r="HN496">
        <v>36805</v>
      </c>
      <c r="HP496" t="s">
        <v>181</v>
      </c>
      <c r="HQ496" t="s">
        <v>896</v>
      </c>
      <c r="HR496" t="s">
        <v>896</v>
      </c>
      <c r="HS496" t="s">
        <v>896</v>
      </c>
    </row>
    <row r="497" spans="1:227" x14ac:dyDescent="0.2">
      <c r="A497">
        <v>8702</v>
      </c>
      <c r="B497">
        <v>7604600160</v>
      </c>
      <c r="C497" t="s">
        <v>829</v>
      </c>
      <c r="D497" t="s">
        <v>830</v>
      </c>
      <c r="E497" t="s">
        <v>831</v>
      </c>
      <c r="F497">
        <v>0</v>
      </c>
      <c r="G497" t="s">
        <v>10168</v>
      </c>
      <c r="H497" t="s">
        <v>10168</v>
      </c>
      <c r="I497">
        <v>0</v>
      </c>
      <c r="J497" t="s">
        <v>833</v>
      </c>
      <c r="K497" t="s">
        <v>834</v>
      </c>
      <c r="L497">
        <v>153008251</v>
      </c>
      <c r="M497" t="s">
        <v>2076</v>
      </c>
      <c r="N497" t="s">
        <v>836</v>
      </c>
      <c r="O497" t="s">
        <v>837</v>
      </c>
      <c r="P497" t="s">
        <v>838</v>
      </c>
      <c r="Q497" t="s">
        <v>1279</v>
      </c>
      <c r="R497" t="s">
        <v>10169</v>
      </c>
      <c r="S497" t="s">
        <v>10170</v>
      </c>
      <c r="T497">
        <v>41477086390</v>
      </c>
      <c r="V497" t="s">
        <v>117</v>
      </c>
      <c r="W497" s="41">
        <v>46069</v>
      </c>
      <c r="X497" t="s">
        <v>10171</v>
      </c>
      <c r="Y497" t="s">
        <v>10172</v>
      </c>
      <c r="AA497">
        <v>0</v>
      </c>
      <c r="AB497" t="s">
        <v>845</v>
      </c>
      <c r="AC497" t="s">
        <v>846</v>
      </c>
      <c r="AD497" t="s">
        <v>1113</v>
      </c>
      <c r="AE497" t="s">
        <v>1114</v>
      </c>
      <c r="AF497">
        <v>1</v>
      </c>
      <c r="AG497">
        <v>452210</v>
      </c>
      <c r="AH497" t="s">
        <v>849</v>
      </c>
      <c r="AI497" t="s">
        <v>850</v>
      </c>
      <c r="AJ497" t="s">
        <v>851</v>
      </c>
      <c r="AK497" t="s">
        <v>301</v>
      </c>
      <c r="AL497" t="s">
        <v>1086</v>
      </c>
      <c r="AM497" t="s">
        <v>1364</v>
      </c>
      <c r="AN497" t="s">
        <v>854</v>
      </c>
      <c r="AO497">
        <v>36805</v>
      </c>
      <c r="AP497">
        <v>493</v>
      </c>
      <c r="AQ497" t="s">
        <v>855</v>
      </c>
      <c r="AR497">
        <v>66337055</v>
      </c>
      <c r="AS497" t="s">
        <v>856</v>
      </c>
      <c r="AU497" t="s">
        <v>10173</v>
      </c>
      <c r="AV497" t="s">
        <v>10174</v>
      </c>
      <c r="AW497" t="s">
        <v>1261</v>
      </c>
      <c r="AX497" t="s">
        <v>1262</v>
      </c>
      <c r="AY497" t="s">
        <v>861</v>
      </c>
      <c r="AZ497" t="s">
        <v>301</v>
      </c>
      <c r="BA497" t="s">
        <v>302</v>
      </c>
      <c r="BB497">
        <v>0</v>
      </c>
      <c r="BC497">
        <v>0</v>
      </c>
      <c r="BD497">
        <v>0</v>
      </c>
      <c r="BE497" t="s">
        <v>2076</v>
      </c>
      <c r="BF497">
        <v>0</v>
      </c>
      <c r="BG497">
        <v>0</v>
      </c>
      <c r="BH497" t="s">
        <v>862</v>
      </c>
      <c r="BI497">
        <v>0</v>
      </c>
      <c r="BJ497" t="s">
        <v>862</v>
      </c>
      <c r="BK497">
        <v>1</v>
      </c>
      <c r="BL497">
        <v>0</v>
      </c>
      <c r="BM497">
        <v>0</v>
      </c>
      <c r="BN497" t="s">
        <v>596</v>
      </c>
      <c r="BO497">
        <v>153008251</v>
      </c>
      <c r="BP497" t="s">
        <v>10168</v>
      </c>
      <c r="BR497">
        <v>42789054</v>
      </c>
      <c r="BT497">
        <v>2</v>
      </c>
      <c r="BU497" t="s">
        <v>1780</v>
      </c>
      <c r="CE497">
        <v>1</v>
      </c>
      <c r="CI497">
        <v>11</v>
      </c>
      <c r="CJ497" t="s">
        <v>94</v>
      </c>
      <c r="CM497">
        <v>4010</v>
      </c>
      <c r="CO497">
        <v>7360</v>
      </c>
      <c r="CP497">
        <v>0.2167</v>
      </c>
      <c r="CQ497">
        <v>0.2167</v>
      </c>
      <c r="CR497">
        <v>0.3</v>
      </c>
      <c r="CS497">
        <v>21</v>
      </c>
      <c r="CT497" t="s">
        <v>10174</v>
      </c>
      <c r="CU497" t="s">
        <v>10173</v>
      </c>
      <c r="CV497" t="s">
        <v>833</v>
      </c>
      <c r="CW497" t="s">
        <v>834</v>
      </c>
      <c r="CX497" t="s">
        <v>2076</v>
      </c>
      <c r="CY497">
        <v>0</v>
      </c>
      <c r="CZ497">
        <v>0</v>
      </c>
      <c r="DA497" t="s">
        <v>833</v>
      </c>
      <c r="DB497" t="s">
        <v>865</v>
      </c>
      <c r="DC497">
        <v>63368</v>
      </c>
      <c r="DD497">
        <v>6.9333</v>
      </c>
      <c r="DE497" t="s">
        <v>866</v>
      </c>
      <c r="DG497" t="s">
        <v>867</v>
      </c>
      <c r="DH497" t="s">
        <v>851</v>
      </c>
      <c r="DI497" t="s">
        <v>2085</v>
      </c>
      <c r="DK497" t="s">
        <v>918</v>
      </c>
      <c r="DL497" t="s">
        <v>869</v>
      </c>
      <c r="DM497">
        <v>0</v>
      </c>
      <c r="DN497">
        <v>0</v>
      </c>
      <c r="DO497">
        <v>3</v>
      </c>
      <c r="DP497" t="s">
        <v>919</v>
      </c>
      <c r="DQ497">
        <v>0</v>
      </c>
      <c r="DR497">
        <v>416</v>
      </c>
      <c r="DS497">
        <v>1136</v>
      </c>
      <c r="DT497">
        <v>6.7167000000000003</v>
      </c>
      <c r="DU497">
        <v>0</v>
      </c>
      <c r="DV497">
        <v>1</v>
      </c>
      <c r="DW497">
        <v>2</v>
      </c>
      <c r="DX497" t="s">
        <v>594</v>
      </c>
      <c r="DY497" t="s">
        <v>2076</v>
      </c>
      <c r="DZ497">
        <v>1</v>
      </c>
      <c r="EA497">
        <v>1</v>
      </c>
      <c r="EB497">
        <v>1</v>
      </c>
      <c r="EC497">
        <v>1</v>
      </c>
      <c r="ED497">
        <v>1</v>
      </c>
      <c r="EE497">
        <v>1</v>
      </c>
      <c r="EF497" t="s">
        <v>920</v>
      </c>
      <c r="EG497" t="s">
        <v>595</v>
      </c>
      <c r="EH497" t="s">
        <v>872</v>
      </c>
      <c r="EI497" t="s">
        <v>872</v>
      </c>
      <c r="EJ497" t="s">
        <v>111</v>
      </c>
      <c r="EK497">
        <v>9090</v>
      </c>
      <c r="EL497">
        <v>0</v>
      </c>
      <c r="EM497" t="s">
        <v>1037</v>
      </c>
      <c r="EN497">
        <v>0.3</v>
      </c>
      <c r="EO497">
        <v>18.933333300000001</v>
      </c>
      <c r="EP497">
        <v>99991120</v>
      </c>
      <c r="EQ497" t="s">
        <v>874</v>
      </c>
      <c r="ER497" t="s">
        <v>875</v>
      </c>
      <c r="ES497" t="s">
        <v>876</v>
      </c>
      <c r="ET497" t="s">
        <v>877</v>
      </c>
      <c r="EU497" t="s">
        <v>877</v>
      </c>
      <c r="EV497" t="s">
        <v>920</v>
      </c>
      <c r="EX497" t="s">
        <v>900</v>
      </c>
      <c r="EY497" t="s">
        <v>923</v>
      </c>
      <c r="EZ497" t="s">
        <v>1038</v>
      </c>
      <c r="FA497" t="s">
        <v>925</v>
      </c>
      <c r="FB497">
        <v>1</v>
      </c>
      <c r="FC497">
        <v>1</v>
      </c>
      <c r="FD497" s="41">
        <v>46074</v>
      </c>
      <c r="FE497" t="s">
        <v>1267</v>
      </c>
      <c r="FF497">
        <v>7</v>
      </c>
      <c r="FG497" t="s">
        <v>10175</v>
      </c>
      <c r="FH497" t="s">
        <v>10176</v>
      </c>
      <c r="FI497">
        <v>1</v>
      </c>
      <c r="FJ497" t="s">
        <v>10175</v>
      </c>
      <c r="FK497" t="s">
        <v>10176</v>
      </c>
      <c r="FL497">
        <v>1</v>
      </c>
      <c r="FM497" t="s">
        <v>10177</v>
      </c>
      <c r="FN497" t="s">
        <v>10178</v>
      </c>
      <c r="FO497">
        <v>1</v>
      </c>
      <c r="FP497" t="s">
        <v>10179</v>
      </c>
      <c r="FQ497" t="s">
        <v>10180</v>
      </c>
      <c r="FR497">
        <v>1</v>
      </c>
      <c r="FS497" t="s">
        <v>1376</v>
      </c>
      <c r="FT497" t="s">
        <v>10181</v>
      </c>
      <c r="FU497">
        <v>1</v>
      </c>
      <c r="FV497" t="s">
        <v>4720</v>
      </c>
      <c r="FW497" t="s">
        <v>10182</v>
      </c>
      <c r="FX497">
        <v>1</v>
      </c>
      <c r="FY497" t="s">
        <v>890</v>
      </c>
      <c r="FZ497" t="s">
        <v>10183</v>
      </c>
      <c r="GA497" t="s">
        <v>10175</v>
      </c>
      <c r="GB497">
        <v>1</v>
      </c>
      <c r="GD497">
        <v>0</v>
      </c>
      <c r="GF497">
        <v>0</v>
      </c>
      <c r="GG497">
        <v>1</v>
      </c>
      <c r="GH497" t="s">
        <v>892</v>
      </c>
      <c r="GI497" t="s">
        <v>893</v>
      </c>
      <c r="GJ497" t="s">
        <v>10176</v>
      </c>
      <c r="GM497">
        <v>1</v>
      </c>
      <c r="GN497">
        <v>1</v>
      </c>
      <c r="GO497">
        <v>0</v>
      </c>
      <c r="GP497">
        <v>1</v>
      </c>
      <c r="GQ497">
        <v>1</v>
      </c>
      <c r="GR497">
        <v>0</v>
      </c>
      <c r="GS497">
        <v>1</v>
      </c>
      <c r="GT497">
        <v>0</v>
      </c>
      <c r="GU497">
        <v>1</v>
      </c>
      <c r="GV497">
        <v>0</v>
      </c>
      <c r="GW497">
        <v>1</v>
      </c>
      <c r="GX497">
        <v>0</v>
      </c>
      <c r="GY497">
        <v>1</v>
      </c>
      <c r="GZ497">
        <v>0</v>
      </c>
      <c r="HA497" t="s">
        <v>301</v>
      </c>
      <c r="HB497" t="s">
        <v>894</v>
      </c>
      <c r="HC497" t="s">
        <v>895</v>
      </c>
      <c r="HD497" t="s">
        <v>845</v>
      </c>
      <c r="HE497" t="s">
        <v>836</v>
      </c>
      <c r="HF497" t="s">
        <v>1051</v>
      </c>
      <c r="HG497" t="s">
        <v>894</v>
      </c>
      <c r="HH497" t="s">
        <v>895</v>
      </c>
      <c r="HI497" t="s">
        <v>845</v>
      </c>
      <c r="HJ497" t="s">
        <v>836</v>
      </c>
      <c r="HK497" t="s">
        <v>1037</v>
      </c>
      <c r="HL497" t="s">
        <v>117</v>
      </c>
      <c r="HM497" t="s">
        <v>854</v>
      </c>
      <c r="HN497">
        <v>36805</v>
      </c>
      <c r="HP497" t="s">
        <v>111</v>
      </c>
      <c r="HQ497" t="s">
        <v>896</v>
      </c>
      <c r="HR497" t="s">
        <v>896</v>
      </c>
      <c r="HS497" t="s">
        <v>896</v>
      </c>
    </row>
    <row r="498" spans="1:227" x14ac:dyDescent="0.2">
      <c r="A498">
        <v>8702</v>
      </c>
      <c r="B498">
        <v>7533904928</v>
      </c>
      <c r="C498" t="s">
        <v>936</v>
      </c>
      <c r="D498" t="s">
        <v>937</v>
      </c>
      <c r="E498" t="s">
        <v>897</v>
      </c>
      <c r="F498">
        <v>1</v>
      </c>
      <c r="G498" t="s">
        <v>10184</v>
      </c>
      <c r="H498" t="s">
        <v>10184</v>
      </c>
      <c r="I498">
        <v>0</v>
      </c>
      <c r="J498" t="s">
        <v>833</v>
      </c>
      <c r="K498" t="s">
        <v>834</v>
      </c>
      <c r="L498">
        <v>153406493</v>
      </c>
      <c r="M498" t="s">
        <v>9320</v>
      </c>
      <c r="N498" t="s">
        <v>900</v>
      </c>
      <c r="O498" t="s">
        <v>837</v>
      </c>
      <c r="P498" t="s">
        <v>940</v>
      </c>
      <c r="Q498" t="s">
        <v>2404</v>
      </c>
      <c r="R498" t="s">
        <v>10185</v>
      </c>
      <c r="S498" t="s">
        <v>10186</v>
      </c>
      <c r="T498">
        <v>41477054425</v>
      </c>
      <c r="V498" t="s">
        <v>133</v>
      </c>
      <c r="W498" s="41">
        <v>45996</v>
      </c>
      <c r="X498" t="s">
        <v>10187</v>
      </c>
      <c r="Y498" t="s">
        <v>10188</v>
      </c>
      <c r="AA498">
        <v>0</v>
      </c>
      <c r="AB498" t="s">
        <v>845</v>
      </c>
      <c r="AC498" t="s">
        <v>846</v>
      </c>
      <c r="AD498" t="s">
        <v>847</v>
      </c>
      <c r="AE498" t="s">
        <v>848</v>
      </c>
      <c r="AF498">
        <v>1</v>
      </c>
      <c r="AG498">
        <v>452210</v>
      </c>
      <c r="AH498" t="s">
        <v>849</v>
      </c>
      <c r="AI498" t="s">
        <v>850</v>
      </c>
      <c r="AJ498" t="s">
        <v>851</v>
      </c>
      <c r="AK498" t="s">
        <v>309</v>
      </c>
      <c r="AL498" t="s">
        <v>3287</v>
      </c>
      <c r="AM498" t="s">
        <v>1970</v>
      </c>
      <c r="AN498" t="s">
        <v>854</v>
      </c>
      <c r="AO498">
        <v>36805</v>
      </c>
      <c r="AP498">
        <v>532</v>
      </c>
      <c r="AQ498" t="s">
        <v>855</v>
      </c>
      <c r="AR498">
        <v>66232057</v>
      </c>
      <c r="AS498" t="s">
        <v>856</v>
      </c>
      <c r="AU498" t="s">
        <v>10189</v>
      </c>
      <c r="AV498" t="s">
        <v>10190</v>
      </c>
      <c r="AX498" t="s">
        <v>913</v>
      </c>
      <c r="AY498" t="s">
        <v>861</v>
      </c>
      <c r="AZ498" t="s">
        <v>309</v>
      </c>
      <c r="BA498" t="s">
        <v>310</v>
      </c>
      <c r="BB498">
        <v>0</v>
      </c>
      <c r="BC498">
        <v>0</v>
      </c>
      <c r="BD498">
        <v>0</v>
      </c>
      <c r="BE498" t="s">
        <v>9320</v>
      </c>
      <c r="BF498">
        <v>0</v>
      </c>
      <c r="BG498">
        <v>0</v>
      </c>
      <c r="BH498" t="s">
        <v>862</v>
      </c>
      <c r="BI498">
        <v>0</v>
      </c>
      <c r="BJ498" t="s">
        <v>862</v>
      </c>
      <c r="BK498">
        <v>1</v>
      </c>
      <c r="BL498">
        <v>1</v>
      </c>
      <c r="BM498">
        <v>0</v>
      </c>
      <c r="BN498" t="s">
        <v>596</v>
      </c>
      <c r="BO498">
        <v>153406493</v>
      </c>
      <c r="BP498" t="s">
        <v>10184</v>
      </c>
      <c r="BQ498">
        <v>39.764920199999999</v>
      </c>
      <c r="BR498">
        <v>42791447</v>
      </c>
      <c r="BS498">
        <v>-86.322656600000002</v>
      </c>
      <c r="BT498">
        <v>0</v>
      </c>
      <c r="CM498">
        <v>4010</v>
      </c>
      <c r="CO498">
        <v>7360</v>
      </c>
      <c r="CP498">
        <v>0.8</v>
      </c>
      <c r="CQ498">
        <v>0.8</v>
      </c>
      <c r="CR498">
        <v>0.8</v>
      </c>
      <c r="CS498">
        <v>1</v>
      </c>
      <c r="CT498" t="s">
        <v>10190</v>
      </c>
      <c r="CU498" t="s">
        <v>10189</v>
      </c>
      <c r="CV498" t="s">
        <v>833</v>
      </c>
      <c r="CW498" t="s">
        <v>834</v>
      </c>
      <c r="CX498" t="s">
        <v>9320</v>
      </c>
      <c r="CY498">
        <v>0</v>
      </c>
      <c r="CZ498">
        <v>0</v>
      </c>
      <c r="DA498" t="s">
        <v>833</v>
      </c>
      <c r="DB498" t="s">
        <v>865</v>
      </c>
      <c r="DC498">
        <v>46234</v>
      </c>
      <c r="DD498">
        <v>1.6333</v>
      </c>
      <c r="DE498" t="s">
        <v>866</v>
      </c>
      <c r="DG498" t="s">
        <v>867</v>
      </c>
      <c r="DH498" t="s">
        <v>851</v>
      </c>
      <c r="DL498" t="s">
        <v>869</v>
      </c>
      <c r="DM498">
        <v>0</v>
      </c>
      <c r="DN498">
        <v>0</v>
      </c>
      <c r="DO498">
        <v>3</v>
      </c>
      <c r="DP498" t="s">
        <v>919</v>
      </c>
      <c r="DQ498">
        <v>16</v>
      </c>
      <c r="DR498">
        <v>98</v>
      </c>
      <c r="DS498">
        <v>98</v>
      </c>
      <c r="DT498">
        <v>0.83330000000000004</v>
      </c>
      <c r="DU498">
        <v>4</v>
      </c>
      <c r="DW498">
        <v>2</v>
      </c>
      <c r="DX498" t="s">
        <v>596</v>
      </c>
      <c r="DY498" t="s">
        <v>9320</v>
      </c>
      <c r="DZ498">
        <v>1</v>
      </c>
      <c r="EA498">
        <v>1</v>
      </c>
      <c r="EB498">
        <v>1</v>
      </c>
      <c r="EC498">
        <v>1</v>
      </c>
      <c r="ED498">
        <v>1</v>
      </c>
      <c r="EE498">
        <v>1</v>
      </c>
      <c r="EF498" t="s">
        <v>920</v>
      </c>
      <c r="EG498" t="s">
        <v>595</v>
      </c>
      <c r="EH498" t="s">
        <v>921</v>
      </c>
      <c r="EI498" t="s">
        <v>921</v>
      </c>
      <c r="EJ498" t="s">
        <v>134</v>
      </c>
      <c r="EK498">
        <v>9090</v>
      </c>
      <c r="EL498">
        <v>0</v>
      </c>
      <c r="EM498" t="s">
        <v>1011</v>
      </c>
      <c r="EN498">
        <v>0.8</v>
      </c>
      <c r="EO498">
        <v>1.6333333000000001</v>
      </c>
      <c r="EP498">
        <v>99991120</v>
      </c>
      <c r="EQ498" t="s">
        <v>874</v>
      </c>
      <c r="ER498" t="s">
        <v>875</v>
      </c>
      <c r="ES498" t="s">
        <v>876</v>
      </c>
      <c r="ET498" t="s">
        <v>877</v>
      </c>
      <c r="EU498" t="s">
        <v>877</v>
      </c>
      <c r="EV498" t="s">
        <v>920</v>
      </c>
      <c r="EX498" t="s">
        <v>953</v>
      </c>
      <c r="EY498" t="s">
        <v>1555</v>
      </c>
      <c r="EZ498" t="s">
        <v>1013</v>
      </c>
      <c r="FA498" t="s">
        <v>925</v>
      </c>
      <c r="FB498">
        <v>1</v>
      </c>
      <c r="FC498">
        <v>1</v>
      </c>
      <c r="FD498" s="41">
        <v>45997</v>
      </c>
      <c r="FE498" t="s">
        <v>957</v>
      </c>
      <c r="FF498">
        <v>4</v>
      </c>
      <c r="FI498">
        <v>0</v>
      </c>
      <c r="FL498">
        <v>0</v>
      </c>
      <c r="FM498" t="s">
        <v>9330</v>
      </c>
      <c r="FN498" t="s">
        <v>10191</v>
      </c>
      <c r="FO498">
        <v>1</v>
      </c>
      <c r="FP498" t="s">
        <v>10192</v>
      </c>
      <c r="FQ498" t="s">
        <v>10189</v>
      </c>
      <c r="FR498">
        <v>1</v>
      </c>
      <c r="FS498" t="s">
        <v>1563</v>
      </c>
      <c r="FT498" t="s">
        <v>10193</v>
      </c>
      <c r="FU498">
        <v>1</v>
      </c>
      <c r="FV498" t="s">
        <v>10194</v>
      </c>
      <c r="FW498" t="s">
        <v>10195</v>
      </c>
      <c r="FX498">
        <v>1</v>
      </c>
      <c r="FY498" t="s">
        <v>890</v>
      </c>
      <c r="FZ498" t="s">
        <v>10196</v>
      </c>
      <c r="GA498" t="s">
        <v>10194</v>
      </c>
      <c r="GB498">
        <v>1</v>
      </c>
      <c r="GD498">
        <v>0</v>
      </c>
      <c r="GF498">
        <v>0</v>
      </c>
      <c r="GG498">
        <v>1</v>
      </c>
      <c r="GH498" t="s">
        <v>892</v>
      </c>
      <c r="GI498" t="s">
        <v>893</v>
      </c>
      <c r="GJ498" t="s">
        <v>10195</v>
      </c>
      <c r="GM498">
        <v>1</v>
      </c>
      <c r="GN498">
        <v>0</v>
      </c>
      <c r="GO498">
        <v>1</v>
      </c>
      <c r="GP498">
        <v>1</v>
      </c>
      <c r="GQ498">
        <v>1</v>
      </c>
      <c r="GR498">
        <v>1</v>
      </c>
      <c r="GS498">
        <v>1</v>
      </c>
      <c r="GT498">
        <v>1</v>
      </c>
      <c r="GU498">
        <v>1</v>
      </c>
      <c r="GV498">
        <v>1</v>
      </c>
      <c r="GW498">
        <v>1</v>
      </c>
      <c r="GX498">
        <v>1</v>
      </c>
      <c r="GY498">
        <v>1</v>
      </c>
      <c r="GZ498">
        <v>1</v>
      </c>
      <c r="HA498" t="s">
        <v>309</v>
      </c>
      <c r="HB498" t="s">
        <v>894</v>
      </c>
      <c r="HC498" t="s">
        <v>935</v>
      </c>
      <c r="HD498" t="s">
        <v>845</v>
      </c>
      <c r="HE498" t="s">
        <v>900</v>
      </c>
      <c r="HF498" t="s">
        <v>1012</v>
      </c>
      <c r="HG498" t="s">
        <v>894</v>
      </c>
      <c r="HH498" t="s">
        <v>935</v>
      </c>
      <c r="HI498" t="s">
        <v>845</v>
      </c>
      <c r="HJ498" t="s">
        <v>900</v>
      </c>
      <c r="HK498" t="s">
        <v>1011</v>
      </c>
      <c r="HL498" t="s">
        <v>133</v>
      </c>
      <c r="HM498" t="s">
        <v>854</v>
      </c>
      <c r="HN498">
        <v>36805</v>
      </c>
      <c r="HP498" t="s">
        <v>134</v>
      </c>
      <c r="HQ498" t="s">
        <v>896</v>
      </c>
      <c r="HR498" t="s">
        <v>896</v>
      </c>
      <c r="HS498" t="s">
        <v>896</v>
      </c>
    </row>
    <row r="499" spans="1:227" x14ac:dyDescent="0.2">
      <c r="A499">
        <v>8702</v>
      </c>
      <c r="B499">
        <v>7534008583</v>
      </c>
      <c r="C499" t="s">
        <v>936</v>
      </c>
      <c r="D499" t="s">
        <v>937</v>
      </c>
      <c r="E499" t="s">
        <v>831</v>
      </c>
      <c r="F499">
        <v>0</v>
      </c>
      <c r="G499" t="s">
        <v>10197</v>
      </c>
      <c r="H499" t="s">
        <v>10197</v>
      </c>
      <c r="I499">
        <v>0</v>
      </c>
      <c r="J499" t="s">
        <v>833</v>
      </c>
      <c r="K499" t="s">
        <v>834</v>
      </c>
      <c r="L499">
        <v>153294184</v>
      </c>
      <c r="M499" t="s">
        <v>2029</v>
      </c>
      <c r="N499" t="s">
        <v>836</v>
      </c>
      <c r="O499" t="s">
        <v>837</v>
      </c>
      <c r="P499" t="s">
        <v>940</v>
      </c>
      <c r="Q499" t="s">
        <v>1080</v>
      </c>
      <c r="R499" t="s">
        <v>10198</v>
      </c>
      <c r="S499" t="s">
        <v>10199</v>
      </c>
      <c r="T499">
        <v>41477094299</v>
      </c>
      <c r="V499" t="s">
        <v>2032</v>
      </c>
      <c r="W499" s="41">
        <v>45998</v>
      </c>
      <c r="X499" t="s">
        <v>10200</v>
      </c>
      <c r="Y499" t="s">
        <v>10201</v>
      </c>
      <c r="AA499">
        <v>0</v>
      </c>
      <c r="AB499" t="s">
        <v>845</v>
      </c>
      <c r="AC499" t="s">
        <v>846</v>
      </c>
      <c r="AD499" t="s">
        <v>847</v>
      </c>
      <c r="AE499" t="s">
        <v>848</v>
      </c>
      <c r="AF499">
        <v>1</v>
      </c>
      <c r="AG499">
        <v>452210</v>
      </c>
      <c r="AH499" t="s">
        <v>849</v>
      </c>
      <c r="AI499" t="s">
        <v>850</v>
      </c>
      <c r="AJ499" t="s">
        <v>851</v>
      </c>
      <c r="AK499" t="s">
        <v>354</v>
      </c>
      <c r="AL499" t="s">
        <v>1206</v>
      </c>
      <c r="AM499" t="s">
        <v>2036</v>
      </c>
      <c r="AN499" t="s">
        <v>854</v>
      </c>
      <c r="AO499">
        <v>36805</v>
      </c>
      <c r="AP499">
        <v>537</v>
      </c>
      <c r="AQ499" t="s">
        <v>855</v>
      </c>
      <c r="AR499">
        <v>66235039</v>
      </c>
      <c r="AS499" t="s">
        <v>856</v>
      </c>
      <c r="AU499" t="s">
        <v>10202</v>
      </c>
      <c r="AV499" t="s">
        <v>10203</v>
      </c>
      <c r="AX499" t="s">
        <v>913</v>
      </c>
      <c r="AY499" t="s">
        <v>861</v>
      </c>
      <c r="AZ499" t="s">
        <v>354</v>
      </c>
      <c r="BA499" t="s">
        <v>355</v>
      </c>
      <c r="BB499">
        <v>0</v>
      </c>
      <c r="BC499">
        <v>0</v>
      </c>
      <c r="BD499">
        <v>0</v>
      </c>
      <c r="BE499" t="s">
        <v>2029</v>
      </c>
      <c r="BF499">
        <v>0</v>
      </c>
      <c r="BG499">
        <v>0</v>
      </c>
      <c r="BH499" t="s">
        <v>862</v>
      </c>
      <c r="BI499">
        <v>0</v>
      </c>
      <c r="BJ499" t="s">
        <v>862</v>
      </c>
      <c r="BK499">
        <v>1</v>
      </c>
      <c r="BL499">
        <v>1</v>
      </c>
      <c r="BM499">
        <v>0</v>
      </c>
      <c r="BN499" t="s">
        <v>596</v>
      </c>
      <c r="BO499">
        <v>153294184</v>
      </c>
      <c r="BP499" t="s">
        <v>10197</v>
      </c>
      <c r="BQ499">
        <v>40.4519989</v>
      </c>
      <c r="BR499">
        <v>42791480</v>
      </c>
      <c r="BS499">
        <v>-86.914823900000002</v>
      </c>
      <c r="BT499">
        <v>0</v>
      </c>
      <c r="CM499">
        <v>4010</v>
      </c>
      <c r="CO499">
        <v>7360</v>
      </c>
      <c r="CP499">
        <v>0.4667</v>
      </c>
      <c r="CQ499">
        <v>0.4667</v>
      </c>
      <c r="CR499">
        <v>2.1</v>
      </c>
      <c r="CS499">
        <v>2</v>
      </c>
      <c r="CT499" t="s">
        <v>10203</v>
      </c>
      <c r="CU499" t="s">
        <v>10202</v>
      </c>
      <c r="CV499" t="s">
        <v>833</v>
      </c>
      <c r="CW499" t="s">
        <v>834</v>
      </c>
      <c r="CX499" t="s">
        <v>2029</v>
      </c>
      <c r="CY499">
        <v>0</v>
      </c>
      <c r="CZ499">
        <v>0</v>
      </c>
      <c r="DA499" t="s">
        <v>833</v>
      </c>
      <c r="DB499" t="s">
        <v>865</v>
      </c>
      <c r="DC499">
        <v>47906</v>
      </c>
      <c r="DD499">
        <v>9.4332999999999991</v>
      </c>
      <c r="DE499" t="s">
        <v>866</v>
      </c>
      <c r="DG499" t="s">
        <v>867</v>
      </c>
      <c r="DH499" t="s">
        <v>851</v>
      </c>
      <c r="DI499" t="s">
        <v>2041</v>
      </c>
      <c r="DL499" t="s">
        <v>869</v>
      </c>
      <c r="DM499">
        <v>0</v>
      </c>
      <c r="DN499">
        <v>0</v>
      </c>
      <c r="DO499">
        <v>12</v>
      </c>
      <c r="DP499" t="s">
        <v>1190</v>
      </c>
      <c r="DQ499">
        <v>16</v>
      </c>
      <c r="DR499">
        <v>566</v>
      </c>
      <c r="DS499">
        <v>1286</v>
      </c>
      <c r="DT499">
        <v>8.9666999999999994</v>
      </c>
      <c r="DU499">
        <v>4</v>
      </c>
      <c r="DW499">
        <v>2</v>
      </c>
      <c r="DX499" t="s">
        <v>596</v>
      </c>
      <c r="DY499" t="s">
        <v>2029</v>
      </c>
      <c r="DZ499">
        <v>1</v>
      </c>
      <c r="EA499">
        <v>1</v>
      </c>
      <c r="EB499">
        <v>1</v>
      </c>
      <c r="EC499">
        <v>0</v>
      </c>
      <c r="ED499">
        <v>0</v>
      </c>
      <c r="EE499">
        <v>1</v>
      </c>
      <c r="EF499" t="s">
        <v>920</v>
      </c>
      <c r="EG499" t="s">
        <v>595</v>
      </c>
      <c r="EH499" t="s">
        <v>921</v>
      </c>
      <c r="EI499" t="s">
        <v>921</v>
      </c>
      <c r="EJ499" t="s">
        <v>134</v>
      </c>
      <c r="EK499">
        <v>9090</v>
      </c>
      <c r="EL499">
        <v>0</v>
      </c>
      <c r="EM499" t="s">
        <v>1436</v>
      </c>
      <c r="EN499">
        <v>2.1</v>
      </c>
      <c r="EO499">
        <v>21.433333300000001</v>
      </c>
      <c r="EP499">
        <v>99991120</v>
      </c>
      <c r="EQ499" t="s">
        <v>874</v>
      </c>
      <c r="ER499" t="s">
        <v>875</v>
      </c>
      <c r="ES499" t="s">
        <v>876</v>
      </c>
      <c r="ET499" t="s">
        <v>877</v>
      </c>
      <c r="EU499" t="s">
        <v>877</v>
      </c>
      <c r="EV499" t="s">
        <v>920</v>
      </c>
      <c r="EX499" t="s">
        <v>953</v>
      </c>
      <c r="EY499" t="s">
        <v>1555</v>
      </c>
      <c r="EZ499" t="s">
        <v>1211</v>
      </c>
      <c r="FA499" t="s">
        <v>1212</v>
      </c>
      <c r="FB499">
        <v>1</v>
      </c>
      <c r="FC499">
        <v>1</v>
      </c>
      <c r="FD499" s="41">
        <v>46004</v>
      </c>
      <c r="FE499" t="s">
        <v>957</v>
      </c>
      <c r="FF499">
        <v>6</v>
      </c>
      <c r="FG499" t="s">
        <v>5938</v>
      </c>
      <c r="FH499" t="s">
        <v>10204</v>
      </c>
      <c r="FI499">
        <v>1</v>
      </c>
      <c r="FJ499" t="s">
        <v>10205</v>
      </c>
      <c r="FK499" t="s">
        <v>10206</v>
      </c>
      <c r="FL499">
        <v>1</v>
      </c>
      <c r="FM499" t="s">
        <v>2045</v>
      </c>
      <c r="FN499" t="s">
        <v>10207</v>
      </c>
      <c r="FO499">
        <v>1</v>
      </c>
      <c r="FP499" t="s">
        <v>10208</v>
      </c>
      <c r="FQ499" t="s">
        <v>10209</v>
      </c>
      <c r="FR499">
        <v>1</v>
      </c>
      <c r="FS499" t="s">
        <v>2048</v>
      </c>
      <c r="FT499" t="s">
        <v>10210</v>
      </c>
      <c r="FU499">
        <v>1</v>
      </c>
      <c r="FV499" t="s">
        <v>10211</v>
      </c>
      <c r="FW499" t="s">
        <v>10212</v>
      </c>
      <c r="FX499">
        <v>1</v>
      </c>
      <c r="FY499" t="s">
        <v>890</v>
      </c>
      <c r="FZ499" t="s">
        <v>10213</v>
      </c>
      <c r="GA499" t="s">
        <v>10205</v>
      </c>
      <c r="GB499">
        <v>1</v>
      </c>
      <c r="GD499">
        <v>0</v>
      </c>
      <c r="GF499">
        <v>0</v>
      </c>
      <c r="GG499">
        <v>1</v>
      </c>
      <c r="GH499" t="s">
        <v>892</v>
      </c>
      <c r="GI499" t="s">
        <v>893</v>
      </c>
      <c r="GJ499" t="s">
        <v>10206</v>
      </c>
      <c r="GM499">
        <v>1</v>
      </c>
      <c r="GN499">
        <v>1</v>
      </c>
      <c r="GO499">
        <v>0</v>
      </c>
      <c r="GP499">
        <v>1</v>
      </c>
      <c r="GQ499">
        <v>1</v>
      </c>
      <c r="GR499">
        <v>0</v>
      </c>
      <c r="GS499">
        <v>1</v>
      </c>
      <c r="GT499">
        <v>1</v>
      </c>
      <c r="GU499">
        <v>1</v>
      </c>
      <c r="GV499">
        <v>1</v>
      </c>
      <c r="GW499">
        <v>1</v>
      </c>
      <c r="GX499">
        <v>1</v>
      </c>
      <c r="GY499">
        <v>1</v>
      </c>
      <c r="GZ499">
        <v>1</v>
      </c>
      <c r="HA499" t="s">
        <v>354</v>
      </c>
      <c r="HB499" t="s">
        <v>894</v>
      </c>
      <c r="HC499" t="s">
        <v>895</v>
      </c>
      <c r="HD499" t="s">
        <v>845</v>
      </c>
      <c r="HE499" t="s">
        <v>836</v>
      </c>
      <c r="HF499" t="s">
        <v>873</v>
      </c>
      <c r="HG499" t="s">
        <v>894</v>
      </c>
      <c r="HH499" t="s">
        <v>895</v>
      </c>
      <c r="HI499" t="s">
        <v>845</v>
      </c>
      <c r="HJ499" t="s">
        <v>836</v>
      </c>
      <c r="HK499" t="s">
        <v>1436</v>
      </c>
      <c r="HL499" t="s">
        <v>2032</v>
      </c>
      <c r="HM499" t="s">
        <v>854</v>
      </c>
      <c r="HN499">
        <v>36805</v>
      </c>
      <c r="HP499" t="s">
        <v>134</v>
      </c>
      <c r="HQ499" t="s">
        <v>896</v>
      </c>
      <c r="HR499" t="s">
        <v>896</v>
      </c>
      <c r="HS499" t="s">
        <v>896</v>
      </c>
    </row>
    <row r="500" spans="1:227" x14ac:dyDescent="0.2">
      <c r="A500">
        <v>8702</v>
      </c>
      <c r="B500">
        <v>7615305033</v>
      </c>
      <c r="C500">
        <v>34</v>
      </c>
      <c r="D500" t="s">
        <v>996</v>
      </c>
      <c r="E500" t="s">
        <v>831</v>
      </c>
      <c r="F500">
        <v>2</v>
      </c>
      <c r="G500" t="s">
        <v>10214</v>
      </c>
      <c r="H500" t="s">
        <v>10214</v>
      </c>
      <c r="I500">
        <v>0</v>
      </c>
      <c r="J500" t="s">
        <v>833</v>
      </c>
      <c r="K500" t="s">
        <v>834</v>
      </c>
      <c r="L500">
        <v>152858771</v>
      </c>
      <c r="M500" t="s">
        <v>1516</v>
      </c>
      <c r="N500" t="s">
        <v>836</v>
      </c>
      <c r="O500" t="s">
        <v>837</v>
      </c>
      <c r="P500" t="s">
        <v>999</v>
      </c>
      <c r="Q500" t="s">
        <v>10215</v>
      </c>
      <c r="R500" t="s">
        <v>10216</v>
      </c>
      <c r="S500" t="s">
        <v>10217</v>
      </c>
      <c r="T500">
        <v>30300127006</v>
      </c>
      <c r="V500" t="s">
        <v>185</v>
      </c>
      <c r="W500" s="41">
        <v>46175</v>
      </c>
      <c r="X500" t="s">
        <v>10218</v>
      </c>
      <c r="Y500" t="s">
        <v>10219</v>
      </c>
      <c r="AA500">
        <v>0</v>
      </c>
      <c r="AB500" t="s">
        <v>845</v>
      </c>
      <c r="AC500" t="s">
        <v>846</v>
      </c>
      <c r="AD500" t="s">
        <v>907</v>
      </c>
      <c r="AE500" t="s">
        <v>908</v>
      </c>
      <c r="AF500">
        <v>1</v>
      </c>
      <c r="AG500">
        <v>452210</v>
      </c>
      <c r="AH500" t="s">
        <v>849</v>
      </c>
      <c r="AI500" t="s">
        <v>850</v>
      </c>
      <c r="AJ500" t="s">
        <v>851</v>
      </c>
      <c r="AK500" t="s">
        <v>255</v>
      </c>
      <c r="AL500" t="s">
        <v>2605</v>
      </c>
      <c r="AM500" t="s">
        <v>1522</v>
      </c>
      <c r="AN500" t="s">
        <v>854</v>
      </c>
      <c r="AO500">
        <v>36805</v>
      </c>
      <c r="AP500">
        <v>633</v>
      </c>
      <c r="AQ500" t="s">
        <v>855</v>
      </c>
      <c r="AR500">
        <v>66489897</v>
      </c>
      <c r="AS500" t="s">
        <v>856</v>
      </c>
      <c r="AU500" t="s">
        <v>10220</v>
      </c>
      <c r="AV500" t="s">
        <v>10221</v>
      </c>
      <c r="AX500" t="s">
        <v>913</v>
      </c>
      <c r="AY500" t="s">
        <v>861</v>
      </c>
      <c r="AZ500" t="s">
        <v>255</v>
      </c>
      <c r="BA500" t="s">
        <v>256</v>
      </c>
      <c r="BB500">
        <v>0</v>
      </c>
      <c r="BC500">
        <v>0</v>
      </c>
      <c r="BD500">
        <v>0</v>
      </c>
      <c r="BE500" t="s">
        <v>1516</v>
      </c>
      <c r="BF500">
        <v>0</v>
      </c>
      <c r="BG500">
        <v>0</v>
      </c>
      <c r="BH500" t="s">
        <v>862</v>
      </c>
      <c r="BI500">
        <v>0</v>
      </c>
      <c r="BJ500" t="s">
        <v>862</v>
      </c>
      <c r="BK500">
        <v>1</v>
      </c>
      <c r="BL500">
        <v>1</v>
      </c>
      <c r="BM500">
        <v>0</v>
      </c>
      <c r="BN500" t="s">
        <v>596</v>
      </c>
      <c r="BO500">
        <v>152858771</v>
      </c>
      <c r="BP500" t="s">
        <v>10214</v>
      </c>
      <c r="BR500">
        <v>42791751</v>
      </c>
      <c r="BT500">
        <v>2</v>
      </c>
      <c r="BU500" t="s">
        <v>1314</v>
      </c>
      <c r="BY500">
        <v>12</v>
      </c>
      <c r="CA500">
        <v>7</v>
      </c>
      <c r="CE500">
        <v>1</v>
      </c>
      <c r="CI500">
        <v>11</v>
      </c>
      <c r="CJ500" t="s">
        <v>94</v>
      </c>
      <c r="CM500">
        <v>4010</v>
      </c>
      <c r="CO500">
        <v>7360</v>
      </c>
      <c r="CP500">
        <v>3.3332999999999999</v>
      </c>
      <c r="CQ500">
        <v>3.3332999999999999</v>
      </c>
      <c r="CR500">
        <v>2.3666999999999998</v>
      </c>
      <c r="CS500">
        <v>0</v>
      </c>
      <c r="CT500" t="s">
        <v>10221</v>
      </c>
      <c r="CU500" t="s">
        <v>10220</v>
      </c>
      <c r="CV500" t="s">
        <v>833</v>
      </c>
      <c r="CW500" t="s">
        <v>834</v>
      </c>
      <c r="CX500" t="s">
        <v>1516</v>
      </c>
      <c r="CY500">
        <v>0</v>
      </c>
      <c r="CZ500">
        <v>0</v>
      </c>
      <c r="DA500" t="s">
        <v>833</v>
      </c>
      <c r="DB500" t="s">
        <v>865</v>
      </c>
      <c r="DC500">
        <v>60563</v>
      </c>
      <c r="DD500">
        <v>6.8333000000000004</v>
      </c>
      <c r="DE500" t="s">
        <v>866</v>
      </c>
      <c r="DG500" t="s">
        <v>867</v>
      </c>
      <c r="DH500" t="s">
        <v>851</v>
      </c>
      <c r="DI500" t="s">
        <v>1525</v>
      </c>
      <c r="DK500" t="s">
        <v>918</v>
      </c>
      <c r="DL500" t="s">
        <v>869</v>
      </c>
      <c r="DM500">
        <v>0</v>
      </c>
      <c r="DN500">
        <v>0</v>
      </c>
      <c r="DO500">
        <v>59</v>
      </c>
      <c r="DP500" t="s">
        <v>2770</v>
      </c>
      <c r="DQ500">
        <v>12</v>
      </c>
      <c r="DR500">
        <v>410</v>
      </c>
      <c r="DS500">
        <v>1089</v>
      </c>
      <c r="DT500">
        <v>0.41670000000000001</v>
      </c>
      <c r="DU500">
        <v>4</v>
      </c>
      <c r="DV500">
        <v>1</v>
      </c>
      <c r="DW500">
        <v>1</v>
      </c>
      <c r="DX500" t="s">
        <v>596</v>
      </c>
      <c r="DY500" t="s">
        <v>1516</v>
      </c>
      <c r="DZ500">
        <v>1</v>
      </c>
      <c r="EA500">
        <v>1</v>
      </c>
      <c r="EB500">
        <v>1</v>
      </c>
      <c r="EC500">
        <v>1</v>
      </c>
      <c r="ED500">
        <v>1</v>
      </c>
      <c r="EE500">
        <v>1</v>
      </c>
      <c r="EF500" t="s">
        <v>871</v>
      </c>
      <c r="EG500" t="s">
        <v>595</v>
      </c>
      <c r="EH500" t="s">
        <v>1036</v>
      </c>
      <c r="EI500" t="s">
        <v>1036</v>
      </c>
      <c r="EJ500" t="s">
        <v>181</v>
      </c>
      <c r="EK500">
        <v>9090</v>
      </c>
      <c r="EL500">
        <v>1</v>
      </c>
      <c r="EM500" t="s">
        <v>1436</v>
      </c>
      <c r="EN500">
        <v>2.3666999999999998</v>
      </c>
      <c r="EO500">
        <v>18.149999999999999</v>
      </c>
      <c r="EP500">
        <v>99991120</v>
      </c>
      <c r="EQ500" t="s">
        <v>874</v>
      </c>
      <c r="ER500" t="s">
        <v>875</v>
      </c>
      <c r="ES500" t="s">
        <v>876</v>
      </c>
      <c r="ET500" t="s">
        <v>877</v>
      </c>
      <c r="EU500" t="s">
        <v>877</v>
      </c>
      <c r="EV500" t="s">
        <v>871</v>
      </c>
      <c r="EX500" t="s">
        <v>836</v>
      </c>
      <c r="EY500" t="s">
        <v>873</v>
      </c>
      <c r="EZ500" t="s">
        <v>1437</v>
      </c>
      <c r="FA500" t="s">
        <v>956</v>
      </c>
      <c r="FB500">
        <v>1</v>
      </c>
      <c r="FC500">
        <v>2</v>
      </c>
      <c r="FD500" s="41">
        <v>46179</v>
      </c>
      <c r="FE500" t="s">
        <v>1315</v>
      </c>
      <c r="FF500">
        <v>11</v>
      </c>
      <c r="FG500" t="s">
        <v>10222</v>
      </c>
      <c r="FH500" t="s">
        <v>10223</v>
      </c>
      <c r="FI500">
        <v>1</v>
      </c>
      <c r="FJ500" t="s">
        <v>1531</v>
      </c>
      <c r="FK500" t="s">
        <v>10224</v>
      </c>
      <c r="FL500">
        <v>1</v>
      </c>
      <c r="FM500" t="s">
        <v>10225</v>
      </c>
      <c r="FN500" t="s">
        <v>10226</v>
      </c>
      <c r="FO500">
        <v>1</v>
      </c>
      <c r="FP500" t="s">
        <v>10227</v>
      </c>
      <c r="FQ500" t="s">
        <v>10220</v>
      </c>
      <c r="FR500">
        <v>1</v>
      </c>
      <c r="FS500" t="s">
        <v>1534</v>
      </c>
      <c r="FT500" t="s">
        <v>10228</v>
      </c>
      <c r="FU500">
        <v>1</v>
      </c>
      <c r="FV500" t="s">
        <v>1536</v>
      </c>
      <c r="FW500" t="s">
        <v>10229</v>
      </c>
      <c r="FX500">
        <v>1</v>
      </c>
      <c r="FY500" t="s">
        <v>890</v>
      </c>
      <c r="FZ500" t="s">
        <v>10230</v>
      </c>
      <c r="GA500" t="s">
        <v>10222</v>
      </c>
      <c r="GB500">
        <v>1</v>
      </c>
      <c r="GD500">
        <v>0</v>
      </c>
      <c r="GF500">
        <v>0</v>
      </c>
      <c r="GG500">
        <v>1</v>
      </c>
      <c r="GH500" t="s">
        <v>892</v>
      </c>
      <c r="GI500" t="s">
        <v>893</v>
      </c>
      <c r="GJ500" t="s">
        <v>10223</v>
      </c>
      <c r="GM500">
        <v>1</v>
      </c>
      <c r="GN500">
        <v>0</v>
      </c>
      <c r="GO500">
        <v>0</v>
      </c>
      <c r="GP500">
        <v>1</v>
      </c>
      <c r="GQ500">
        <v>1</v>
      </c>
      <c r="GR500">
        <v>0</v>
      </c>
      <c r="GS500">
        <v>1</v>
      </c>
      <c r="GT500">
        <v>0</v>
      </c>
      <c r="GU500">
        <v>1</v>
      </c>
      <c r="GV500">
        <v>0</v>
      </c>
      <c r="GW500">
        <v>1</v>
      </c>
      <c r="GX500">
        <v>0</v>
      </c>
      <c r="GY500">
        <v>1</v>
      </c>
      <c r="GZ500">
        <v>0</v>
      </c>
      <c r="HA500" t="s">
        <v>255</v>
      </c>
      <c r="HB500" t="s">
        <v>894</v>
      </c>
      <c r="HC500" t="s">
        <v>895</v>
      </c>
      <c r="HD500" t="s">
        <v>845</v>
      </c>
      <c r="HE500" t="s">
        <v>836</v>
      </c>
      <c r="HF500" t="s">
        <v>873</v>
      </c>
      <c r="HG500" t="s">
        <v>894</v>
      </c>
      <c r="HH500" t="s">
        <v>895</v>
      </c>
      <c r="HI500" t="s">
        <v>845</v>
      </c>
      <c r="HJ500" t="s">
        <v>836</v>
      </c>
      <c r="HK500" t="s">
        <v>1436</v>
      </c>
      <c r="HL500" t="s">
        <v>185</v>
      </c>
      <c r="HM500" t="s">
        <v>854</v>
      </c>
      <c r="HN500">
        <v>36805</v>
      </c>
      <c r="HP500" t="s">
        <v>181</v>
      </c>
      <c r="HQ500" t="s">
        <v>896</v>
      </c>
      <c r="HR500" t="s">
        <v>896</v>
      </c>
      <c r="HS500" t="s">
        <v>896</v>
      </c>
    </row>
    <row r="501" spans="1:227" x14ac:dyDescent="0.2">
      <c r="A501">
        <v>8702</v>
      </c>
      <c r="B501">
        <v>7534010112</v>
      </c>
      <c r="C501" t="s">
        <v>829</v>
      </c>
      <c r="D501" t="s">
        <v>830</v>
      </c>
      <c r="E501" t="s">
        <v>897</v>
      </c>
      <c r="F501">
        <v>0</v>
      </c>
      <c r="G501" t="s">
        <v>10231</v>
      </c>
      <c r="H501" t="s">
        <v>10231</v>
      </c>
      <c r="I501">
        <v>0</v>
      </c>
      <c r="J501" t="s">
        <v>833</v>
      </c>
      <c r="K501" t="s">
        <v>834</v>
      </c>
      <c r="L501">
        <v>153406617</v>
      </c>
      <c r="M501" t="s">
        <v>7600</v>
      </c>
      <c r="N501" t="s">
        <v>900</v>
      </c>
      <c r="O501" t="s">
        <v>837</v>
      </c>
      <c r="P501" t="s">
        <v>838</v>
      </c>
      <c r="Q501" t="s">
        <v>839</v>
      </c>
      <c r="R501" t="s">
        <v>10232</v>
      </c>
      <c r="S501" t="s">
        <v>10233</v>
      </c>
      <c r="T501">
        <v>30300086330</v>
      </c>
      <c r="V501" t="s">
        <v>198</v>
      </c>
      <c r="W501" s="41">
        <v>45998</v>
      </c>
      <c r="X501" t="s">
        <v>10234</v>
      </c>
      <c r="Y501" t="s">
        <v>10235</v>
      </c>
      <c r="AA501">
        <v>0</v>
      </c>
      <c r="AB501" t="s">
        <v>845</v>
      </c>
      <c r="AC501" t="s">
        <v>846</v>
      </c>
      <c r="AD501" t="s">
        <v>847</v>
      </c>
      <c r="AE501" t="s">
        <v>848</v>
      </c>
      <c r="AF501">
        <v>1</v>
      </c>
      <c r="AG501">
        <v>452210</v>
      </c>
      <c r="AH501" t="s">
        <v>849</v>
      </c>
      <c r="AI501" t="s">
        <v>850</v>
      </c>
      <c r="AJ501" t="s">
        <v>851</v>
      </c>
      <c r="AK501" t="s">
        <v>403</v>
      </c>
      <c r="AL501" t="s">
        <v>7605</v>
      </c>
      <c r="AM501" t="s">
        <v>1619</v>
      </c>
      <c r="AN501" t="s">
        <v>854</v>
      </c>
      <c r="AO501">
        <v>36805</v>
      </c>
      <c r="AP501">
        <v>640</v>
      </c>
      <c r="AQ501" t="s">
        <v>855</v>
      </c>
      <c r="AR501">
        <v>66235015</v>
      </c>
      <c r="AS501" t="s">
        <v>856</v>
      </c>
      <c r="AU501" t="s">
        <v>10236</v>
      </c>
      <c r="AV501" t="s">
        <v>10237</v>
      </c>
      <c r="AX501" t="s">
        <v>913</v>
      </c>
      <c r="AY501" t="s">
        <v>861</v>
      </c>
      <c r="AZ501" t="s">
        <v>403</v>
      </c>
      <c r="BA501" t="s">
        <v>404</v>
      </c>
      <c r="BB501">
        <v>0</v>
      </c>
      <c r="BC501">
        <v>0</v>
      </c>
      <c r="BD501">
        <v>1</v>
      </c>
      <c r="BE501" t="s">
        <v>7600</v>
      </c>
      <c r="BF501">
        <v>0</v>
      </c>
      <c r="BG501">
        <v>0</v>
      </c>
      <c r="BH501" t="s">
        <v>862</v>
      </c>
      <c r="BI501">
        <v>0</v>
      </c>
      <c r="BJ501" t="s">
        <v>862</v>
      </c>
      <c r="BK501">
        <v>1</v>
      </c>
      <c r="BL501">
        <v>1</v>
      </c>
      <c r="BM501">
        <v>0</v>
      </c>
      <c r="BN501" t="s">
        <v>596</v>
      </c>
      <c r="BO501">
        <v>153406617</v>
      </c>
      <c r="BP501" t="s">
        <v>10231</v>
      </c>
      <c r="BR501">
        <v>42791772</v>
      </c>
      <c r="BT501">
        <v>0</v>
      </c>
      <c r="CM501">
        <v>4010</v>
      </c>
      <c r="CO501">
        <v>7360</v>
      </c>
      <c r="CP501">
        <v>0.4667</v>
      </c>
      <c r="CQ501">
        <v>0.4667</v>
      </c>
      <c r="CR501">
        <v>0.56669999999999998</v>
      </c>
      <c r="CS501">
        <v>3</v>
      </c>
      <c r="CT501" t="s">
        <v>10238</v>
      </c>
      <c r="CU501" t="s">
        <v>10239</v>
      </c>
      <c r="CV501" t="s">
        <v>833</v>
      </c>
      <c r="CW501" t="s">
        <v>834</v>
      </c>
      <c r="CX501" t="s">
        <v>7600</v>
      </c>
      <c r="CY501">
        <v>1</v>
      </c>
      <c r="CZ501">
        <v>1</v>
      </c>
      <c r="DA501" t="s">
        <v>833</v>
      </c>
      <c r="DB501" t="s">
        <v>865</v>
      </c>
      <c r="DC501">
        <v>48823</v>
      </c>
      <c r="DD501">
        <v>6.4166999999999996</v>
      </c>
      <c r="DE501" t="s">
        <v>866</v>
      </c>
      <c r="DG501" t="s">
        <v>867</v>
      </c>
      <c r="DH501" t="s">
        <v>851</v>
      </c>
      <c r="DL501" t="s">
        <v>869</v>
      </c>
      <c r="DM501">
        <v>0</v>
      </c>
      <c r="DN501">
        <v>0</v>
      </c>
      <c r="DO501">
        <v>11</v>
      </c>
      <c r="DP501" t="s">
        <v>1010</v>
      </c>
      <c r="DQ501">
        <v>16</v>
      </c>
      <c r="DR501">
        <v>385</v>
      </c>
      <c r="DS501">
        <v>1105</v>
      </c>
      <c r="DT501">
        <v>5.95</v>
      </c>
      <c r="DU501">
        <v>4</v>
      </c>
      <c r="DW501">
        <v>2</v>
      </c>
      <c r="DX501" t="s">
        <v>596</v>
      </c>
      <c r="DY501" t="s">
        <v>7600</v>
      </c>
      <c r="DZ501">
        <v>1</v>
      </c>
      <c r="EA501">
        <v>1</v>
      </c>
      <c r="EB501">
        <v>1</v>
      </c>
      <c r="EC501">
        <v>0</v>
      </c>
      <c r="ED501">
        <v>0</v>
      </c>
      <c r="EE501">
        <v>1</v>
      </c>
      <c r="EF501" t="s">
        <v>920</v>
      </c>
      <c r="EG501" t="s">
        <v>595</v>
      </c>
      <c r="EH501" t="s">
        <v>921</v>
      </c>
      <c r="EI501" t="s">
        <v>921</v>
      </c>
      <c r="EJ501" t="s">
        <v>178</v>
      </c>
      <c r="EK501">
        <v>9090</v>
      </c>
      <c r="EL501">
        <v>0</v>
      </c>
      <c r="EM501" t="s">
        <v>922</v>
      </c>
      <c r="EN501">
        <v>0.56669999999999998</v>
      </c>
      <c r="EO501">
        <v>18.416666599999999</v>
      </c>
      <c r="EP501">
        <v>99991120</v>
      </c>
      <c r="EQ501" t="s">
        <v>874</v>
      </c>
      <c r="ER501" t="s">
        <v>875</v>
      </c>
      <c r="ES501" t="s">
        <v>876</v>
      </c>
      <c r="ET501" t="s">
        <v>877</v>
      </c>
      <c r="EU501" t="s">
        <v>877</v>
      </c>
      <c r="EV501" t="s">
        <v>920</v>
      </c>
      <c r="EX501" t="s">
        <v>953</v>
      </c>
      <c r="EY501" t="s">
        <v>986</v>
      </c>
      <c r="EZ501" t="s">
        <v>1625</v>
      </c>
      <c r="FA501" t="s">
        <v>879</v>
      </c>
      <c r="FB501">
        <v>1</v>
      </c>
      <c r="FC501">
        <v>1</v>
      </c>
      <c r="FD501" s="41">
        <v>46004</v>
      </c>
      <c r="FE501" t="s">
        <v>957</v>
      </c>
      <c r="FF501">
        <v>8</v>
      </c>
      <c r="FG501" t="s">
        <v>10240</v>
      </c>
      <c r="FH501" t="s">
        <v>10241</v>
      </c>
      <c r="FI501">
        <v>1</v>
      </c>
      <c r="FJ501" t="s">
        <v>10242</v>
      </c>
      <c r="FK501" t="s">
        <v>10243</v>
      </c>
      <c r="FL501">
        <v>1</v>
      </c>
      <c r="FM501" t="s">
        <v>10244</v>
      </c>
      <c r="FN501" t="s">
        <v>10245</v>
      </c>
      <c r="FO501">
        <v>1</v>
      </c>
      <c r="FP501" t="s">
        <v>6709</v>
      </c>
      <c r="FQ501" t="s">
        <v>10239</v>
      </c>
      <c r="FR501">
        <v>1</v>
      </c>
      <c r="FS501" t="s">
        <v>4346</v>
      </c>
      <c r="FT501" t="s">
        <v>10246</v>
      </c>
      <c r="FU501">
        <v>1</v>
      </c>
      <c r="FV501" t="s">
        <v>4917</v>
      </c>
      <c r="FW501" t="s">
        <v>10247</v>
      </c>
      <c r="FX501">
        <v>1</v>
      </c>
      <c r="FY501" t="s">
        <v>890</v>
      </c>
      <c r="FZ501" t="s">
        <v>10248</v>
      </c>
      <c r="GA501" t="s">
        <v>10242</v>
      </c>
      <c r="GB501">
        <v>1</v>
      </c>
      <c r="GD501">
        <v>0</v>
      </c>
      <c r="GF501">
        <v>0</v>
      </c>
      <c r="GG501">
        <v>1</v>
      </c>
      <c r="GH501" t="s">
        <v>892</v>
      </c>
      <c r="GI501" t="s">
        <v>893</v>
      </c>
      <c r="GJ501" t="s">
        <v>10243</v>
      </c>
      <c r="GM501">
        <v>1</v>
      </c>
      <c r="GN501">
        <v>1</v>
      </c>
      <c r="GO501">
        <v>0</v>
      </c>
      <c r="GP501">
        <v>1</v>
      </c>
      <c r="GQ501">
        <v>1</v>
      </c>
      <c r="GR501">
        <v>0</v>
      </c>
      <c r="GS501">
        <v>1</v>
      </c>
      <c r="GT501">
        <v>0</v>
      </c>
      <c r="GU501">
        <v>1</v>
      </c>
      <c r="GV501">
        <v>0</v>
      </c>
      <c r="GW501">
        <v>1</v>
      </c>
      <c r="GX501">
        <v>0</v>
      </c>
      <c r="GY501">
        <v>1</v>
      </c>
      <c r="GZ501">
        <v>0</v>
      </c>
      <c r="HA501" t="s">
        <v>403</v>
      </c>
      <c r="HB501" t="s">
        <v>894</v>
      </c>
      <c r="HC501" t="s">
        <v>935</v>
      </c>
      <c r="HD501" t="s">
        <v>845</v>
      </c>
      <c r="HE501" t="s">
        <v>900</v>
      </c>
      <c r="HF501" t="s">
        <v>923</v>
      </c>
      <c r="HG501" t="s">
        <v>894</v>
      </c>
      <c r="HH501" t="s">
        <v>935</v>
      </c>
      <c r="HI501" t="s">
        <v>845</v>
      </c>
      <c r="HJ501" t="s">
        <v>900</v>
      </c>
      <c r="HK501" t="s">
        <v>922</v>
      </c>
      <c r="HL501" t="s">
        <v>198</v>
      </c>
      <c r="HM501" t="s">
        <v>854</v>
      </c>
      <c r="HN501">
        <v>36805</v>
      </c>
      <c r="HP501" t="s">
        <v>178</v>
      </c>
      <c r="HQ501" t="s">
        <v>896</v>
      </c>
      <c r="HR501" t="s">
        <v>896</v>
      </c>
      <c r="HS501" t="s">
        <v>896</v>
      </c>
    </row>
    <row r="502" spans="1:227" x14ac:dyDescent="0.2">
      <c r="A502">
        <v>8702</v>
      </c>
      <c r="B502">
        <v>7523807302</v>
      </c>
      <c r="C502">
        <v>36</v>
      </c>
      <c r="D502" t="s">
        <v>1302</v>
      </c>
      <c r="E502" t="s">
        <v>897</v>
      </c>
      <c r="F502">
        <v>0</v>
      </c>
      <c r="G502" t="s">
        <v>10249</v>
      </c>
      <c r="H502" t="s">
        <v>10249</v>
      </c>
      <c r="I502">
        <v>0</v>
      </c>
      <c r="J502" t="s">
        <v>833</v>
      </c>
      <c r="K502" t="s">
        <v>834</v>
      </c>
      <c r="L502">
        <v>152832708</v>
      </c>
      <c r="M502" t="s">
        <v>10250</v>
      </c>
      <c r="N502" t="s">
        <v>900</v>
      </c>
      <c r="O502" t="s">
        <v>837</v>
      </c>
      <c r="P502" t="s">
        <v>1302</v>
      </c>
      <c r="Q502" t="s">
        <v>1517</v>
      </c>
      <c r="R502" t="s">
        <v>10251</v>
      </c>
      <c r="S502" t="s">
        <v>10252</v>
      </c>
      <c r="T502">
        <v>41477125989</v>
      </c>
      <c r="V502" t="s">
        <v>1141</v>
      </c>
      <c r="W502" s="41">
        <v>45896</v>
      </c>
      <c r="X502" t="s">
        <v>10253</v>
      </c>
      <c r="Y502" t="s">
        <v>10254</v>
      </c>
      <c r="AA502">
        <v>0</v>
      </c>
      <c r="AB502" t="s">
        <v>845</v>
      </c>
      <c r="AC502" t="s">
        <v>846</v>
      </c>
      <c r="AD502" t="s">
        <v>847</v>
      </c>
      <c r="AE502" t="s">
        <v>848</v>
      </c>
      <c r="AF502">
        <v>1</v>
      </c>
      <c r="AG502">
        <v>452210</v>
      </c>
      <c r="AH502" t="s">
        <v>849</v>
      </c>
      <c r="AI502" t="s">
        <v>850</v>
      </c>
      <c r="AJ502" t="s">
        <v>851</v>
      </c>
      <c r="AK502" t="s">
        <v>334</v>
      </c>
      <c r="AL502" t="s">
        <v>1145</v>
      </c>
      <c r="AM502" t="s">
        <v>1146</v>
      </c>
      <c r="AN502" t="s">
        <v>854</v>
      </c>
      <c r="AO502">
        <v>36805</v>
      </c>
      <c r="AP502">
        <v>926</v>
      </c>
      <c r="AQ502" t="s">
        <v>855</v>
      </c>
      <c r="AR502">
        <v>66088420</v>
      </c>
      <c r="AS502" t="s">
        <v>856</v>
      </c>
      <c r="AU502" t="s">
        <v>10255</v>
      </c>
      <c r="AV502" t="s">
        <v>10256</v>
      </c>
      <c r="AX502" t="s">
        <v>913</v>
      </c>
      <c r="AY502" t="s">
        <v>861</v>
      </c>
      <c r="AZ502" t="s">
        <v>334</v>
      </c>
      <c r="BA502" t="s">
        <v>335</v>
      </c>
      <c r="BB502">
        <v>0</v>
      </c>
      <c r="BC502">
        <v>0</v>
      </c>
      <c r="BD502">
        <v>0</v>
      </c>
      <c r="BE502" t="s">
        <v>10250</v>
      </c>
      <c r="BF502">
        <v>0</v>
      </c>
      <c r="BG502">
        <v>0</v>
      </c>
      <c r="BH502" t="s">
        <v>862</v>
      </c>
      <c r="BI502">
        <v>0</v>
      </c>
      <c r="BJ502" t="s">
        <v>862</v>
      </c>
      <c r="BK502">
        <v>1</v>
      </c>
      <c r="BL502">
        <v>1</v>
      </c>
      <c r="BM502">
        <v>0</v>
      </c>
      <c r="BN502" t="s">
        <v>596</v>
      </c>
      <c r="BO502">
        <v>152832708</v>
      </c>
      <c r="BP502" t="s">
        <v>10249</v>
      </c>
      <c r="BQ502">
        <v>40.144051500000003</v>
      </c>
      <c r="BR502">
        <v>42793651</v>
      </c>
      <c r="BS502">
        <v>-82.958924100000004</v>
      </c>
      <c r="BT502">
        <v>0</v>
      </c>
      <c r="CM502">
        <v>4010</v>
      </c>
      <c r="CO502">
        <v>7360</v>
      </c>
      <c r="CP502">
        <v>0.25</v>
      </c>
      <c r="CQ502">
        <v>0.25</v>
      </c>
      <c r="CR502">
        <v>0.25</v>
      </c>
      <c r="CS502">
        <v>0</v>
      </c>
      <c r="CT502" t="s">
        <v>10256</v>
      </c>
      <c r="CU502" t="s">
        <v>10255</v>
      </c>
      <c r="CV502" t="s">
        <v>833</v>
      </c>
      <c r="CW502" t="s">
        <v>834</v>
      </c>
      <c r="CX502" t="s">
        <v>10250</v>
      </c>
      <c r="CY502">
        <v>0</v>
      </c>
      <c r="CZ502">
        <v>0</v>
      </c>
      <c r="DA502" t="s">
        <v>833</v>
      </c>
      <c r="DB502" t="s">
        <v>865</v>
      </c>
      <c r="DC502">
        <v>43240</v>
      </c>
      <c r="DD502">
        <v>15.033300000000001</v>
      </c>
      <c r="DE502" t="s">
        <v>866</v>
      </c>
      <c r="DG502" t="s">
        <v>867</v>
      </c>
      <c r="DH502" t="s">
        <v>851</v>
      </c>
      <c r="DI502" t="s">
        <v>7713</v>
      </c>
      <c r="DL502" t="s">
        <v>869</v>
      </c>
      <c r="DM502">
        <v>0</v>
      </c>
      <c r="DN502">
        <v>0</v>
      </c>
      <c r="DO502">
        <v>1</v>
      </c>
      <c r="DP502" t="s">
        <v>985</v>
      </c>
      <c r="DQ502">
        <v>16</v>
      </c>
      <c r="DR502">
        <v>902</v>
      </c>
      <c r="DS502">
        <v>1622</v>
      </c>
      <c r="DT502">
        <v>14.783300000000001</v>
      </c>
      <c r="DU502">
        <v>4</v>
      </c>
      <c r="DW502">
        <v>2</v>
      </c>
      <c r="DX502" t="s">
        <v>596</v>
      </c>
      <c r="DY502" t="s">
        <v>10250</v>
      </c>
      <c r="DZ502">
        <v>1</v>
      </c>
      <c r="EA502">
        <v>1</v>
      </c>
      <c r="EB502">
        <v>1</v>
      </c>
      <c r="EC502">
        <v>0</v>
      </c>
      <c r="ED502">
        <v>0</v>
      </c>
      <c r="EE502">
        <v>1</v>
      </c>
      <c r="EF502" t="s">
        <v>920</v>
      </c>
      <c r="EG502" t="s">
        <v>595</v>
      </c>
      <c r="EH502" t="s">
        <v>921</v>
      </c>
      <c r="EI502" t="s">
        <v>921</v>
      </c>
      <c r="EJ502" t="s">
        <v>226</v>
      </c>
      <c r="EK502">
        <v>9090</v>
      </c>
      <c r="EL502">
        <v>0</v>
      </c>
      <c r="EM502" t="s">
        <v>1157</v>
      </c>
      <c r="EN502">
        <v>0.25</v>
      </c>
      <c r="EO502">
        <v>27.033333299999999</v>
      </c>
      <c r="EP502">
        <v>99991120</v>
      </c>
      <c r="EQ502" t="s">
        <v>874</v>
      </c>
      <c r="ER502" t="s">
        <v>875</v>
      </c>
      <c r="ES502" t="s">
        <v>876</v>
      </c>
      <c r="ET502" t="s">
        <v>877</v>
      </c>
      <c r="EU502" t="s">
        <v>877</v>
      </c>
      <c r="EV502" t="s">
        <v>920</v>
      </c>
      <c r="EX502" t="s">
        <v>953</v>
      </c>
      <c r="EY502" t="s">
        <v>986</v>
      </c>
      <c r="EZ502" t="s">
        <v>1158</v>
      </c>
      <c r="FA502" t="s">
        <v>925</v>
      </c>
      <c r="FB502">
        <v>1</v>
      </c>
      <c r="FC502">
        <v>1</v>
      </c>
      <c r="FD502" s="41">
        <v>45899</v>
      </c>
      <c r="FE502" t="s">
        <v>987</v>
      </c>
      <c r="FF502">
        <v>6</v>
      </c>
      <c r="FG502" t="s">
        <v>5010</v>
      </c>
      <c r="FH502" t="s">
        <v>10257</v>
      </c>
      <c r="FI502">
        <v>1</v>
      </c>
      <c r="FJ502" t="s">
        <v>10258</v>
      </c>
      <c r="FK502" t="s">
        <v>10259</v>
      </c>
      <c r="FL502">
        <v>1</v>
      </c>
      <c r="FM502" t="s">
        <v>10260</v>
      </c>
      <c r="FN502" t="s">
        <v>10261</v>
      </c>
      <c r="FO502">
        <v>1</v>
      </c>
      <c r="FP502" t="s">
        <v>10262</v>
      </c>
      <c r="FQ502" t="s">
        <v>10263</v>
      </c>
      <c r="FR502">
        <v>1</v>
      </c>
      <c r="FS502" t="s">
        <v>5999</v>
      </c>
      <c r="FT502" t="s">
        <v>10264</v>
      </c>
      <c r="FU502">
        <v>1</v>
      </c>
      <c r="FV502" t="s">
        <v>6001</v>
      </c>
      <c r="FW502" t="s">
        <v>10265</v>
      </c>
      <c r="FX502">
        <v>1</v>
      </c>
      <c r="FY502" t="s">
        <v>890</v>
      </c>
      <c r="FZ502" t="s">
        <v>10266</v>
      </c>
      <c r="GA502" t="s">
        <v>10258</v>
      </c>
      <c r="GB502">
        <v>1</v>
      </c>
      <c r="GD502">
        <v>0</v>
      </c>
      <c r="GF502">
        <v>0</v>
      </c>
      <c r="GG502">
        <v>1</v>
      </c>
      <c r="GH502" t="s">
        <v>892</v>
      </c>
      <c r="GI502" t="s">
        <v>893</v>
      </c>
      <c r="GJ502" t="s">
        <v>10259</v>
      </c>
      <c r="GM502">
        <v>1</v>
      </c>
      <c r="GN502">
        <v>1</v>
      </c>
      <c r="GO502">
        <v>0</v>
      </c>
      <c r="GP502">
        <v>1</v>
      </c>
      <c r="GQ502">
        <v>1</v>
      </c>
      <c r="GR502">
        <v>0</v>
      </c>
      <c r="GS502">
        <v>1</v>
      </c>
      <c r="GT502">
        <v>0</v>
      </c>
      <c r="GU502">
        <v>1</v>
      </c>
      <c r="GV502">
        <v>0</v>
      </c>
      <c r="GW502">
        <v>1</v>
      </c>
      <c r="GX502">
        <v>0</v>
      </c>
      <c r="GY502">
        <v>1</v>
      </c>
      <c r="GZ502">
        <v>0</v>
      </c>
      <c r="HA502" t="s">
        <v>334</v>
      </c>
      <c r="HB502" t="s">
        <v>894</v>
      </c>
      <c r="HC502" t="s">
        <v>935</v>
      </c>
      <c r="HD502" t="s">
        <v>845</v>
      </c>
      <c r="HE502" t="s">
        <v>900</v>
      </c>
      <c r="HF502" t="s">
        <v>923</v>
      </c>
      <c r="HG502" t="s">
        <v>894</v>
      </c>
      <c r="HH502" t="s">
        <v>935</v>
      </c>
      <c r="HI502" t="s">
        <v>845</v>
      </c>
      <c r="HJ502" t="s">
        <v>900</v>
      </c>
      <c r="HK502" t="s">
        <v>922</v>
      </c>
      <c r="HL502" t="s">
        <v>1141</v>
      </c>
      <c r="HM502" t="s">
        <v>854</v>
      </c>
      <c r="HN502">
        <v>36805</v>
      </c>
      <c r="HP502" t="s">
        <v>226</v>
      </c>
      <c r="HQ502" t="s">
        <v>896</v>
      </c>
      <c r="HR502" t="s">
        <v>896</v>
      </c>
      <c r="HS502" t="s">
        <v>896</v>
      </c>
    </row>
    <row r="503" spans="1:227" x14ac:dyDescent="0.2">
      <c r="A503">
        <v>8702</v>
      </c>
      <c r="B503">
        <v>7525805238</v>
      </c>
      <c r="C503" t="s">
        <v>829</v>
      </c>
      <c r="D503" t="s">
        <v>830</v>
      </c>
      <c r="E503" t="s">
        <v>897</v>
      </c>
      <c r="F503">
        <v>1</v>
      </c>
      <c r="G503" t="s">
        <v>10267</v>
      </c>
      <c r="H503" t="s">
        <v>10267</v>
      </c>
      <c r="I503">
        <v>0</v>
      </c>
      <c r="J503" t="s">
        <v>833</v>
      </c>
      <c r="K503" t="s">
        <v>834</v>
      </c>
      <c r="L503">
        <v>149860696</v>
      </c>
      <c r="M503" t="s">
        <v>1329</v>
      </c>
      <c r="N503" t="s">
        <v>900</v>
      </c>
      <c r="O503" t="s">
        <v>837</v>
      </c>
      <c r="P503" t="s">
        <v>838</v>
      </c>
      <c r="Q503" t="s">
        <v>839</v>
      </c>
      <c r="R503" t="s">
        <v>10268</v>
      </c>
      <c r="S503" t="s">
        <v>10269</v>
      </c>
      <c r="T503">
        <v>41477128348</v>
      </c>
      <c r="V503" t="s">
        <v>1332</v>
      </c>
      <c r="W503" s="41">
        <v>45916</v>
      </c>
      <c r="X503" t="s">
        <v>10270</v>
      </c>
      <c r="Y503" t="s">
        <v>10271</v>
      </c>
      <c r="AA503">
        <v>0</v>
      </c>
      <c r="AB503" t="s">
        <v>845</v>
      </c>
      <c r="AC503" t="s">
        <v>846</v>
      </c>
      <c r="AD503" t="s">
        <v>1335</v>
      </c>
      <c r="AE503" t="s">
        <v>1336</v>
      </c>
      <c r="AF503">
        <v>1</v>
      </c>
      <c r="AG503">
        <v>452210</v>
      </c>
      <c r="AH503" t="s">
        <v>849</v>
      </c>
      <c r="AI503" t="s">
        <v>850</v>
      </c>
      <c r="AJ503" t="s">
        <v>851</v>
      </c>
      <c r="AK503" t="s">
        <v>338</v>
      </c>
      <c r="AL503" t="s">
        <v>1337</v>
      </c>
      <c r="AM503" t="s">
        <v>1338</v>
      </c>
      <c r="AN503" t="s">
        <v>854</v>
      </c>
      <c r="AO503">
        <v>36805</v>
      </c>
      <c r="AP503">
        <v>929</v>
      </c>
      <c r="AQ503" t="s">
        <v>855</v>
      </c>
      <c r="AR503">
        <v>66116722</v>
      </c>
      <c r="AS503" t="s">
        <v>856</v>
      </c>
      <c r="AU503" t="s">
        <v>10272</v>
      </c>
      <c r="AV503" t="s">
        <v>10273</v>
      </c>
      <c r="AW503" t="s">
        <v>5223</v>
      </c>
      <c r="AX503" t="s">
        <v>5224</v>
      </c>
      <c r="AY503" t="s">
        <v>861</v>
      </c>
      <c r="AZ503" t="s">
        <v>338</v>
      </c>
      <c r="BA503" t="s">
        <v>339</v>
      </c>
      <c r="BB503">
        <v>0</v>
      </c>
      <c r="BC503">
        <v>0</v>
      </c>
      <c r="BD503">
        <v>0</v>
      </c>
      <c r="BE503" t="s">
        <v>1329</v>
      </c>
      <c r="BF503">
        <v>0</v>
      </c>
      <c r="BG503">
        <v>0</v>
      </c>
      <c r="BH503" t="s">
        <v>862</v>
      </c>
      <c r="BI503">
        <v>0</v>
      </c>
      <c r="BJ503" t="s">
        <v>862</v>
      </c>
      <c r="BK503">
        <v>1</v>
      </c>
      <c r="BL503">
        <v>0</v>
      </c>
      <c r="BM503">
        <v>0</v>
      </c>
      <c r="BN503" t="s">
        <v>596</v>
      </c>
      <c r="BP503" t="s">
        <v>10267</v>
      </c>
      <c r="BQ503">
        <v>41.699711800000003</v>
      </c>
      <c r="BR503">
        <v>42793654</v>
      </c>
      <c r="BS503">
        <v>-83.647892900000002</v>
      </c>
      <c r="BT503">
        <v>0</v>
      </c>
      <c r="CM503">
        <v>4010</v>
      </c>
      <c r="CO503">
        <v>7360</v>
      </c>
      <c r="CP503">
        <v>0.91669999999999996</v>
      </c>
      <c r="CQ503">
        <v>0.91669999999999996</v>
      </c>
      <c r="CR503">
        <v>0.61670000000000003</v>
      </c>
      <c r="CS503">
        <v>1</v>
      </c>
      <c r="CT503" t="s">
        <v>10274</v>
      </c>
      <c r="CU503" t="s">
        <v>10275</v>
      </c>
      <c r="CV503" t="s">
        <v>833</v>
      </c>
      <c r="CW503" t="s">
        <v>834</v>
      </c>
      <c r="CX503" t="s">
        <v>6540</v>
      </c>
      <c r="CY503">
        <v>0</v>
      </c>
      <c r="CZ503">
        <v>0</v>
      </c>
      <c r="DA503" t="s">
        <v>833</v>
      </c>
      <c r="DB503" t="s">
        <v>865</v>
      </c>
      <c r="DC503">
        <v>43623</v>
      </c>
      <c r="DD503">
        <v>8.9167000000000005</v>
      </c>
      <c r="DE503" t="s">
        <v>866</v>
      </c>
      <c r="DG503" t="s">
        <v>867</v>
      </c>
      <c r="DH503" t="s">
        <v>851</v>
      </c>
      <c r="DL503" t="s">
        <v>869</v>
      </c>
      <c r="DM503">
        <v>0</v>
      </c>
      <c r="DN503">
        <v>0</v>
      </c>
      <c r="DO503">
        <v>48</v>
      </c>
      <c r="DP503" t="s">
        <v>3651</v>
      </c>
      <c r="DQ503">
        <v>16</v>
      </c>
      <c r="DR503">
        <v>535</v>
      </c>
      <c r="DS503">
        <v>1255</v>
      </c>
      <c r="DT503">
        <v>8</v>
      </c>
      <c r="DU503">
        <v>4</v>
      </c>
      <c r="DW503">
        <v>2</v>
      </c>
      <c r="DX503" t="s">
        <v>594</v>
      </c>
      <c r="DY503" t="s">
        <v>1329</v>
      </c>
      <c r="DZ503">
        <v>0</v>
      </c>
      <c r="EA503">
        <v>0</v>
      </c>
      <c r="EB503">
        <v>0</v>
      </c>
      <c r="EC503">
        <v>0</v>
      </c>
      <c r="ED503">
        <v>0</v>
      </c>
      <c r="EE503">
        <v>0</v>
      </c>
      <c r="EF503" t="s">
        <v>920</v>
      </c>
      <c r="EG503" t="s">
        <v>595</v>
      </c>
      <c r="EH503" t="s">
        <v>872</v>
      </c>
      <c r="EI503" t="s">
        <v>872</v>
      </c>
      <c r="EJ503" t="s">
        <v>226</v>
      </c>
      <c r="EK503">
        <v>9090</v>
      </c>
      <c r="EL503">
        <v>0</v>
      </c>
      <c r="EM503" t="s">
        <v>1157</v>
      </c>
      <c r="EN503">
        <v>0.61670000000000003</v>
      </c>
      <c r="EO503">
        <v>20.916666599999999</v>
      </c>
      <c r="EP503">
        <v>99991120</v>
      </c>
      <c r="EQ503" t="s">
        <v>874</v>
      </c>
      <c r="ER503" t="s">
        <v>875</v>
      </c>
      <c r="ES503" t="s">
        <v>876</v>
      </c>
      <c r="ET503" t="s">
        <v>877</v>
      </c>
      <c r="EU503" t="s">
        <v>877</v>
      </c>
      <c r="EV503" t="s">
        <v>920</v>
      </c>
      <c r="EX503" t="s">
        <v>953</v>
      </c>
      <c r="EY503" t="s">
        <v>986</v>
      </c>
      <c r="EZ503" t="s">
        <v>1342</v>
      </c>
      <c r="FA503" t="s">
        <v>879</v>
      </c>
      <c r="FB503">
        <v>1</v>
      </c>
      <c r="FC503">
        <v>1</v>
      </c>
      <c r="FD503" s="41">
        <v>45920</v>
      </c>
      <c r="FE503" t="s">
        <v>880</v>
      </c>
      <c r="FF503">
        <v>7</v>
      </c>
      <c r="FG503" t="s">
        <v>10276</v>
      </c>
      <c r="FH503" t="s">
        <v>10277</v>
      </c>
      <c r="FI503">
        <v>1</v>
      </c>
      <c r="FJ503" t="s">
        <v>10278</v>
      </c>
      <c r="FK503" t="s">
        <v>10277</v>
      </c>
      <c r="FL503">
        <v>1</v>
      </c>
      <c r="FM503" t="s">
        <v>6544</v>
      </c>
      <c r="FN503" t="s">
        <v>10279</v>
      </c>
      <c r="FO503">
        <v>1</v>
      </c>
      <c r="FP503" t="s">
        <v>10280</v>
      </c>
      <c r="FQ503" t="s">
        <v>10281</v>
      </c>
      <c r="FR503">
        <v>1</v>
      </c>
      <c r="FS503" t="s">
        <v>9385</v>
      </c>
      <c r="FT503" t="s">
        <v>10282</v>
      </c>
      <c r="FU503">
        <v>1</v>
      </c>
      <c r="FV503" t="s">
        <v>9387</v>
      </c>
      <c r="FW503" t="s">
        <v>10283</v>
      </c>
      <c r="FX503">
        <v>1</v>
      </c>
      <c r="FY503" t="s">
        <v>890</v>
      </c>
      <c r="FZ503" t="s">
        <v>10284</v>
      </c>
      <c r="GA503" t="s">
        <v>10278</v>
      </c>
      <c r="GB503">
        <v>1</v>
      </c>
      <c r="GD503">
        <v>0</v>
      </c>
      <c r="GF503">
        <v>0</v>
      </c>
      <c r="GG503">
        <v>1</v>
      </c>
      <c r="GH503" t="s">
        <v>892</v>
      </c>
      <c r="GI503" t="s">
        <v>893</v>
      </c>
      <c r="GJ503" t="s">
        <v>10277</v>
      </c>
      <c r="GM503">
        <v>1</v>
      </c>
      <c r="GN503">
        <v>1</v>
      </c>
      <c r="GO503">
        <v>0</v>
      </c>
      <c r="GP503">
        <v>1</v>
      </c>
      <c r="GQ503">
        <v>1</v>
      </c>
      <c r="GR503">
        <v>0</v>
      </c>
      <c r="GS503">
        <v>1</v>
      </c>
      <c r="GT503">
        <v>0</v>
      </c>
      <c r="GU503">
        <v>1</v>
      </c>
      <c r="GV503">
        <v>0</v>
      </c>
      <c r="GW503">
        <v>1</v>
      </c>
      <c r="GX503">
        <v>0</v>
      </c>
      <c r="GY503">
        <v>1</v>
      </c>
      <c r="GZ503">
        <v>0</v>
      </c>
      <c r="HA503" t="s">
        <v>338</v>
      </c>
      <c r="HB503" t="s">
        <v>894</v>
      </c>
      <c r="HC503" t="s">
        <v>935</v>
      </c>
      <c r="HD503" t="s">
        <v>845</v>
      </c>
      <c r="HE503" t="s">
        <v>900</v>
      </c>
      <c r="HF503" t="s">
        <v>923</v>
      </c>
      <c r="HG503" t="s">
        <v>894</v>
      </c>
      <c r="HH503" t="s">
        <v>935</v>
      </c>
      <c r="HI503" t="s">
        <v>845</v>
      </c>
      <c r="HJ503" t="s">
        <v>900</v>
      </c>
      <c r="HK503" t="s">
        <v>922</v>
      </c>
      <c r="HL503" t="s">
        <v>1332</v>
      </c>
      <c r="HM503" t="s">
        <v>854</v>
      </c>
      <c r="HN503">
        <v>36805</v>
      </c>
      <c r="HP503" t="s">
        <v>226</v>
      </c>
      <c r="HQ503" t="s">
        <v>896</v>
      </c>
      <c r="HR503" t="s">
        <v>896</v>
      </c>
      <c r="HS503" t="s">
        <v>896</v>
      </c>
    </row>
    <row r="504" spans="1:227" x14ac:dyDescent="0.2">
      <c r="A504">
        <v>8702</v>
      </c>
      <c r="B504">
        <v>7535708952</v>
      </c>
      <c r="C504" t="s">
        <v>936</v>
      </c>
      <c r="D504" t="s">
        <v>937</v>
      </c>
      <c r="E504" t="s">
        <v>897</v>
      </c>
      <c r="F504">
        <v>1</v>
      </c>
      <c r="G504" t="s">
        <v>10285</v>
      </c>
      <c r="H504" t="s">
        <v>10285</v>
      </c>
      <c r="I504">
        <v>0</v>
      </c>
      <c r="J504" t="s">
        <v>833</v>
      </c>
      <c r="K504" t="s">
        <v>834</v>
      </c>
      <c r="L504">
        <v>153402721</v>
      </c>
      <c r="M504" t="s">
        <v>7972</v>
      </c>
      <c r="N504" t="s">
        <v>900</v>
      </c>
      <c r="O504" t="s">
        <v>837</v>
      </c>
      <c r="P504" t="s">
        <v>940</v>
      </c>
      <c r="Q504" t="s">
        <v>1080</v>
      </c>
      <c r="R504" t="s">
        <v>10286</v>
      </c>
      <c r="S504" t="s">
        <v>10287</v>
      </c>
      <c r="T504">
        <v>41477053562</v>
      </c>
      <c r="V504" t="s">
        <v>154</v>
      </c>
      <c r="W504" s="41">
        <v>46015</v>
      </c>
      <c r="X504" t="s">
        <v>10288</v>
      </c>
      <c r="Y504" t="s">
        <v>10289</v>
      </c>
      <c r="AA504">
        <v>0</v>
      </c>
      <c r="AB504" t="s">
        <v>845</v>
      </c>
      <c r="AC504" t="s">
        <v>846</v>
      </c>
      <c r="AD504" t="s">
        <v>847</v>
      </c>
      <c r="AE504" t="s">
        <v>848</v>
      </c>
      <c r="AF504">
        <v>1</v>
      </c>
      <c r="AG504">
        <v>452210</v>
      </c>
      <c r="AH504" t="s">
        <v>849</v>
      </c>
      <c r="AI504" t="s">
        <v>850</v>
      </c>
      <c r="AJ504" t="s">
        <v>851</v>
      </c>
      <c r="AK504" t="s">
        <v>295</v>
      </c>
      <c r="AL504" t="s">
        <v>4729</v>
      </c>
      <c r="AM504" t="s">
        <v>2409</v>
      </c>
      <c r="AN504" t="s">
        <v>854</v>
      </c>
      <c r="AO504">
        <v>36805</v>
      </c>
      <c r="AP504">
        <v>535</v>
      </c>
      <c r="AQ504" t="s">
        <v>855</v>
      </c>
      <c r="AR504">
        <v>66259631</v>
      </c>
      <c r="AS504" t="s">
        <v>856</v>
      </c>
      <c r="AU504" t="s">
        <v>10290</v>
      </c>
      <c r="AV504" t="s">
        <v>10291</v>
      </c>
      <c r="AX504" t="s">
        <v>913</v>
      </c>
      <c r="AY504" t="s">
        <v>861</v>
      </c>
      <c r="AZ504" t="s">
        <v>295</v>
      </c>
      <c r="BA504" t="s">
        <v>296</v>
      </c>
      <c r="BB504">
        <v>0</v>
      </c>
      <c r="BC504">
        <v>0</v>
      </c>
      <c r="BD504">
        <v>0</v>
      </c>
      <c r="BE504" t="s">
        <v>7972</v>
      </c>
      <c r="BF504">
        <v>0</v>
      </c>
      <c r="BG504">
        <v>0</v>
      </c>
      <c r="BH504" t="s">
        <v>862</v>
      </c>
      <c r="BI504">
        <v>0</v>
      </c>
      <c r="BJ504" t="s">
        <v>862</v>
      </c>
      <c r="BK504">
        <v>1</v>
      </c>
      <c r="BL504">
        <v>1</v>
      </c>
      <c r="BM504">
        <v>0</v>
      </c>
      <c r="BN504" t="s">
        <v>596</v>
      </c>
      <c r="BO504">
        <v>153402721</v>
      </c>
      <c r="BP504" t="s">
        <v>10285</v>
      </c>
      <c r="BR504">
        <v>42791452</v>
      </c>
      <c r="BT504">
        <v>0</v>
      </c>
      <c r="CM504">
        <v>4010</v>
      </c>
      <c r="CO504">
        <v>7360</v>
      </c>
      <c r="CP504">
        <v>1.1167</v>
      </c>
      <c r="CQ504">
        <v>1.1167</v>
      </c>
      <c r="CR504">
        <v>3.9167000000000001</v>
      </c>
      <c r="CS504">
        <v>1</v>
      </c>
      <c r="CT504" t="s">
        <v>10292</v>
      </c>
      <c r="CU504" t="s">
        <v>10293</v>
      </c>
      <c r="CV504" t="s">
        <v>833</v>
      </c>
      <c r="CW504" t="s">
        <v>834</v>
      </c>
      <c r="CX504" t="s">
        <v>7972</v>
      </c>
      <c r="CY504">
        <v>0</v>
      </c>
      <c r="CZ504">
        <v>0</v>
      </c>
      <c r="DA504" t="s">
        <v>833</v>
      </c>
      <c r="DB504" t="s">
        <v>865</v>
      </c>
      <c r="DC504">
        <v>47303</v>
      </c>
      <c r="DD504">
        <v>12.1333</v>
      </c>
      <c r="DE504" t="s">
        <v>866</v>
      </c>
      <c r="DG504" t="s">
        <v>867</v>
      </c>
      <c r="DH504" t="s">
        <v>851</v>
      </c>
      <c r="DI504" t="s">
        <v>1154</v>
      </c>
      <c r="DL504" t="s">
        <v>869</v>
      </c>
      <c r="DM504">
        <v>0</v>
      </c>
      <c r="DN504">
        <v>0</v>
      </c>
      <c r="DO504">
        <v>3</v>
      </c>
      <c r="DP504" t="s">
        <v>919</v>
      </c>
      <c r="DQ504">
        <v>16</v>
      </c>
      <c r="DR504">
        <v>728</v>
      </c>
      <c r="DS504">
        <v>1448</v>
      </c>
      <c r="DT504">
        <v>11.0167</v>
      </c>
      <c r="DU504">
        <v>4</v>
      </c>
      <c r="DW504">
        <v>2</v>
      </c>
      <c r="DX504" t="s">
        <v>596</v>
      </c>
      <c r="DY504" t="s">
        <v>7972</v>
      </c>
      <c r="DZ504">
        <v>1</v>
      </c>
      <c r="EA504">
        <v>1</v>
      </c>
      <c r="EB504">
        <v>1</v>
      </c>
      <c r="EC504">
        <v>0</v>
      </c>
      <c r="ED504">
        <v>0</v>
      </c>
      <c r="EE504">
        <v>1</v>
      </c>
      <c r="EF504" t="s">
        <v>871</v>
      </c>
      <c r="EG504" t="s">
        <v>595</v>
      </c>
      <c r="EH504" t="s">
        <v>921</v>
      </c>
      <c r="EI504" t="s">
        <v>921</v>
      </c>
      <c r="EJ504" t="s">
        <v>134</v>
      </c>
      <c r="EK504">
        <v>9090</v>
      </c>
      <c r="EL504">
        <v>0</v>
      </c>
      <c r="EM504" t="s">
        <v>1011</v>
      </c>
      <c r="EN504">
        <v>3.9167000000000001</v>
      </c>
      <c r="EO504">
        <v>24.1333333</v>
      </c>
      <c r="EP504">
        <v>99991120</v>
      </c>
      <c r="EQ504" t="s">
        <v>874</v>
      </c>
      <c r="ER504" t="s">
        <v>875</v>
      </c>
      <c r="ES504" t="s">
        <v>876</v>
      </c>
      <c r="ET504" t="s">
        <v>877</v>
      </c>
      <c r="EU504" t="s">
        <v>877</v>
      </c>
      <c r="EV504" t="s">
        <v>871</v>
      </c>
      <c r="EX504" t="s">
        <v>953</v>
      </c>
      <c r="EY504" t="s">
        <v>1555</v>
      </c>
      <c r="EZ504" t="s">
        <v>1013</v>
      </c>
      <c r="FA504" t="s">
        <v>925</v>
      </c>
      <c r="FB504">
        <v>1</v>
      </c>
      <c r="FC504">
        <v>1</v>
      </c>
      <c r="FD504" s="41">
        <v>46018</v>
      </c>
      <c r="FE504" t="s">
        <v>957</v>
      </c>
      <c r="FF504">
        <v>4</v>
      </c>
      <c r="FI504">
        <v>0</v>
      </c>
      <c r="FL504">
        <v>0</v>
      </c>
      <c r="FM504" t="s">
        <v>7979</v>
      </c>
      <c r="FN504" t="s">
        <v>10294</v>
      </c>
      <c r="FO504">
        <v>1</v>
      </c>
      <c r="FP504" t="s">
        <v>10295</v>
      </c>
      <c r="FQ504" t="s">
        <v>10293</v>
      </c>
      <c r="FR504">
        <v>1</v>
      </c>
      <c r="FS504" t="s">
        <v>1976</v>
      </c>
      <c r="FT504" t="s">
        <v>10296</v>
      </c>
      <c r="FU504">
        <v>1</v>
      </c>
      <c r="FV504" t="s">
        <v>10297</v>
      </c>
      <c r="FW504" t="s">
        <v>10298</v>
      </c>
      <c r="FX504">
        <v>1</v>
      </c>
      <c r="FY504" t="s">
        <v>890</v>
      </c>
      <c r="FZ504" t="s">
        <v>10299</v>
      </c>
      <c r="GA504" t="s">
        <v>10297</v>
      </c>
      <c r="GB504">
        <v>1</v>
      </c>
      <c r="GD504">
        <v>0</v>
      </c>
      <c r="GF504">
        <v>0</v>
      </c>
      <c r="GG504">
        <v>1</v>
      </c>
      <c r="GH504" t="s">
        <v>892</v>
      </c>
      <c r="GI504" t="s">
        <v>893</v>
      </c>
      <c r="GJ504" t="s">
        <v>10298</v>
      </c>
      <c r="GM504">
        <v>1</v>
      </c>
      <c r="GN504">
        <v>1</v>
      </c>
      <c r="GO504">
        <v>0</v>
      </c>
      <c r="GP504">
        <v>1</v>
      </c>
      <c r="GQ504">
        <v>1</v>
      </c>
      <c r="GR504">
        <v>0</v>
      </c>
      <c r="GS504">
        <v>1</v>
      </c>
      <c r="GT504">
        <v>0</v>
      </c>
      <c r="GU504">
        <v>1</v>
      </c>
      <c r="GV504">
        <v>0</v>
      </c>
      <c r="GW504">
        <v>1</v>
      </c>
      <c r="GX504">
        <v>0</v>
      </c>
      <c r="GY504">
        <v>1</v>
      </c>
      <c r="GZ504">
        <v>0</v>
      </c>
      <c r="HA504" t="s">
        <v>295</v>
      </c>
      <c r="HB504" t="s">
        <v>894</v>
      </c>
      <c r="HC504" t="s">
        <v>935</v>
      </c>
      <c r="HD504" t="s">
        <v>845</v>
      </c>
      <c r="HE504" t="s">
        <v>900</v>
      </c>
      <c r="HF504" t="s">
        <v>1012</v>
      </c>
      <c r="HG504" t="s">
        <v>894</v>
      </c>
      <c r="HH504" t="s">
        <v>935</v>
      </c>
      <c r="HI504" t="s">
        <v>845</v>
      </c>
      <c r="HJ504" t="s">
        <v>900</v>
      </c>
      <c r="HK504" t="s">
        <v>1011</v>
      </c>
      <c r="HL504" t="s">
        <v>154</v>
      </c>
      <c r="HM504" t="s">
        <v>854</v>
      </c>
      <c r="HN504">
        <v>36805</v>
      </c>
      <c r="HP504" t="s">
        <v>134</v>
      </c>
      <c r="HQ504" t="s">
        <v>896</v>
      </c>
      <c r="HR504" t="s">
        <v>896</v>
      </c>
      <c r="HS504" t="s">
        <v>896</v>
      </c>
    </row>
    <row r="505" spans="1:227" x14ac:dyDescent="0.2">
      <c r="A505">
        <v>8702</v>
      </c>
      <c r="B505">
        <v>7535201583</v>
      </c>
      <c r="C505">
        <v>36</v>
      </c>
      <c r="D505" t="s">
        <v>1302</v>
      </c>
      <c r="E505" t="s">
        <v>897</v>
      </c>
      <c r="F505">
        <v>0</v>
      </c>
      <c r="G505" t="s">
        <v>10300</v>
      </c>
      <c r="H505" t="s">
        <v>10300</v>
      </c>
      <c r="I505">
        <v>0</v>
      </c>
      <c r="J505" t="s">
        <v>833</v>
      </c>
      <c r="K505" t="s">
        <v>834</v>
      </c>
      <c r="L505">
        <v>153406486</v>
      </c>
      <c r="M505" t="s">
        <v>5782</v>
      </c>
      <c r="N505" t="s">
        <v>900</v>
      </c>
      <c r="O505" t="s">
        <v>837</v>
      </c>
      <c r="P505" t="s">
        <v>1302</v>
      </c>
      <c r="Q505" t="s">
        <v>1517</v>
      </c>
      <c r="R505" t="s">
        <v>10301</v>
      </c>
      <c r="S505" t="s">
        <v>10302</v>
      </c>
      <c r="T505">
        <v>41477093182</v>
      </c>
      <c r="V505" t="s">
        <v>202</v>
      </c>
      <c r="W505" s="41">
        <v>46009</v>
      </c>
      <c r="X505" t="s">
        <v>10303</v>
      </c>
      <c r="Y505" t="s">
        <v>10304</v>
      </c>
      <c r="AA505">
        <v>0</v>
      </c>
      <c r="AB505" t="s">
        <v>845</v>
      </c>
      <c r="AC505" t="s">
        <v>846</v>
      </c>
      <c r="AD505" t="s">
        <v>847</v>
      </c>
      <c r="AE505" t="s">
        <v>848</v>
      </c>
      <c r="AF505">
        <v>1</v>
      </c>
      <c r="AG505">
        <v>452210</v>
      </c>
      <c r="AH505" t="s">
        <v>849</v>
      </c>
      <c r="AI505" t="s">
        <v>850</v>
      </c>
      <c r="AJ505" t="s">
        <v>851</v>
      </c>
      <c r="AK505" t="s">
        <v>283</v>
      </c>
      <c r="AL505" t="s">
        <v>2802</v>
      </c>
      <c r="AM505" t="s">
        <v>947</v>
      </c>
      <c r="AN505" t="s">
        <v>854</v>
      </c>
      <c r="AO505">
        <v>36805</v>
      </c>
      <c r="AP505">
        <v>643</v>
      </c>
      <c r="AQ505" t="s">
        <v>855</v>
      </c>
      <c r="AR505">
        <v>66251093</v>
      </c>
      <c r="AS505" t="s">
        <v>856</v>
      </c>
      <c r="AU505" t="s">
        <v>10305</v>
      </c>
      <c r="AV505" t="s">
        <v>10306</v>
      </c>
      <c r="AX505" t="s">
        <v>913</v>
      </c>
      <c r="AY505" t="s">
        <v>861</v>
      </c>
      <c r="AZ505" t="s">
        <v>283</v>
      </c>
      <c r="BA505" t="s">
        <v>284</v>
      </c>
      <c r="BB505">
        <v>0</v>
      </c>
      <c r="BC505">
        <v>0</v>
      </c>
      <c r="BD505">
        <v>0</v>
      </c>
      <c r="BE505" t="s">
        <v>5782</v>
      </c>
      <c r="BF505">
        <v>0</v>
      </c>
      <c r="BG505">
        <v>0</v>
      </c>
      <c r="BH505" t="s">
        <v>862</v>
      </c>
      <c r="BI505">
        <v>0</v>
      </c>
      <c r="BJ505" t="s">
        <v>862</v>
      </c>
      <c r="BK505">
        <v>1</v>
      </c>
      <c r="BL505">
        <v>1</v>
      </c>
      <c r="BM505">
        <v>0</v>
      </c>
      <c r="BN505" t="s">
        <v>596</v>
      </c>
      <c r="BO505">
        <v>153406486</v>
      </c>
      <c r="BP505" t="s">
        <v>10300</v>
      </c>
      <c r="BQ505">
        <v>42.564011000000001</v>
      </c>
      <c r="BR505">
        <v>42791774</v>
      </c>
      <c r="BS505">
        <v>-83.130462199999997</v>
      </c>
      <c r="BT505">
        <v>0</v>
      </c>
      <c r="CM505">
        <v>4010</v>
      </c>
      <c r="CO505">
        <v>7360</v>
      </c>
      <c r="CP505">
        <v>0.41670000000000001</v>
      </c>
      <c r="CQ505">
        <v>0.41670000000000001</v>
      </c>
      <c r="CR505">
        <v>0.5</v>
      </c>
      <c r="CS505">
        <v>5</v>
      </c>
      <c r="CT505" t="s">
        <v>10306</v>
      </c>
      <c r="CU505" t="s">
        <v>10305</v>
      </c>
      <c r="CV505" t="s">
        <v>833</v>
      </c>
      <c r="CW505" t="s">
        <v>834</v>
      </c>
      <c r="CX505" t="s">
        <v>5782</v>
      </c>
      <c r="CY505">
        <v>0</v>
      </c>
      <c r="CZ505">
        <v>0</v>
      </c>
      <c r="DA505" t="s">
        <v>833</v>
      </c>
      <c r="DB505" t="s">
        <v>865</v>
      </c>
      <c r="DC505">
        <v>48083</v>
      </c>
      <c r="DD505">
        <v>1.5</v>
      </c>
      <c r="DE505" t="s">
        <v>866</v>
      </c>
      <c r="DG505" t="s">
        <v>867</v>
      </c>
      <c r="DH505" t="s">
        <v>851</v>
      </c>
      <c r="DJ505" t="s">
        <v>5789</v>
      </c>
      <c r="DL505" t="s">
        <v>869</v>
      </c>
      <c r="DM505">
        <v>0</v>
      </c>
      <c r="DN505">
        <v>0</v>
      </c>
      <c r="DO505">
        <v>2</v>
      </c>
      <c r="DP505" t="s">
        <v>870</v>
      </c>
      <c r="DQ505">
        <v>16</v>
      </c>
      <c r="DR505">
        <v>90</v>
      </c>
      <c r="DS505">
        <v>90</v>
      </c>
      <c r="DT505">
        <v>1.0832999999999999</v>
      </c>
      <c r="DU505">
        <v>4</v>
      </c>
      <c r="DW505">
        <v>2</v>
      </c>
      <c r="DX505" t="s">
        <v>596</v>
      </c>
      <c r="DY505" t="s">
        <v>5782</v>
      </c>
      <c r="DZ505">
        <v>1</v>
      </c>
      <c r="EA505">
        <v>1</v>
      </c>
      <c r="EB505">
        <v>1</v>
      </c>
      <c r="EC505">
        <v>1</v>
      </c>
      <c r="ED505">
        <v>1</v>
      </c>
      <c r="EE505">
        <v>1</v>
      </c>
      <c r="EF505" t="s">
        <v>920</v>
      </c>
      <c r="EG505" t="s">
        <v>595</v>
      </c>
      <c r="EH505" t="s">
        <v>921</v>
      </c>
      <c r="EI505" t="s">
        <v>921</v>
      </c>
      <c r="EJ505" t="s">
        <v>178</v>
      </c>
      <c r="EK505">
        <v>9090</v>
      </c>
      <c r="EL505">
        <v>0</v>
      </c>
      <c r="EM505" t="s">
        <v>952</v>
      </c>
      <c r="EN505">
        <v>0.5</v>
      </c>
      <c r="EO505">
        <v>1.5</v>
      </c>
      <c r="EP505">
        <v>99991120</v>
      </c>
      <c r="EQ505" t="s">
        <v>874</v>
      </c>
      <c r="ER505" t="s">
        <v>875</v>
      </c>
      <c r="ES505" t="s">
        <v>876</v>
      </c>
      <c r="ET505" t="s">
        <v>877</v>
      </c>
      <c r="EU505" t="s">
        <v>877</v>
      </c>
      <c r="EV505" t="s">
        <v>920</v>
      </c>
      <c r="EX505" t="s">
        <v>953</v>
      </c>
      <c r="EY505" t="s">
        <v>954</v>
      </c>
      <c r="EZ505" t="s">
        <v>955</v>
      </c>
      <c r="FA505" t="s">
        <v>956</v>
      </c>
      <c r="FB505">
        <v>1</v>
      </c>
      <c r="FC505">
        <v>1</v>
      </c>
      <c r="FD505" s="41">
        <v>46011</v>
      </c>
      <c r="FE505" t="s">
        <v>957</v>
      </c>
      <c r="FF505">
        <v>4</v>
      </c>
      <c r="FI505">
        <v>0</v>
      </c>
      <c r="FL505">
        <v>0</v>
      </c>
      <c r="FM505" t="s">
        <v>8982</v>
      </c>
      <c r="FN505" t="s">
        <v>10307</v>
      </c>
      <c r="FO505">
        <v>1</v>
      </c>
      <c r="FP505" t="s">
        <v>10308</v>
      </c>
      <c r="FQ505" t="s">
        <v>10305</v>
      </c>
      <c r="FR505">
        <v>1</v>
      </c>
      <c r="FS505" t="s">
        <v>964</v>
      </c>
      <c r="FT505" t="s">
        <v>10309</v>
      </c>
      <c r="FU505">
        <v>1</v>
      </c>
      <c r="FV505" t="s">
        <v>10310</v>
      </c>
      <c r="FW505" t="s">
        <v>10311</v>
      </c>
      <c r="FX505">
        <v>1</v>
      </c>
      <c r="FY505" t="s">
        <v>890</v>
      </c>
      <c r="FZ505" t="s">
        <v>10312</v>
      </c>
      <c r="GA505" t="s">
        <v>10310</v>
      </c>
      <c r="GB505">
        <v>1</v>
      </c>
      <c r="GD505">
        <v>0</v>
      </c>
      <c r="GF505">
        <v>0</v>
      </c>
      <c r="GG505">
        <v>1</v>
      </c>
      <c r="GH505" t="s">
        <v>892</v>
      </c>
      <c r="GI505" t="s">
        <v>893</v>
      </c>
      <c r="GJ505" t="s">
        <v>10311</v>
      </c>
      <c r="GM505">
        <v>1</v>
      </c>
      <c r="GN505">
        <v>1</v>
      </c>
      <c r="GO505">
        <v>0</v>
      </c>
      <c r="GP505">
        <v>1</v>
      </c>
      <c r="GQ505">
        <v>1</v>
      </c>
      <c r="GR505">
        <v>0</v>
      </c>
      <c r="GS505">
        <v>1</v>
      </c>
      <c r="GT505">
        <v>0</v>
      </c>
      <c r="GU505">
        <v>1</v>
      </c>
      <c r="GV505">
        <v>0</v>
      </c>
      <c r="GW505">
        <v>1</v>
      </c>
      <c r="GX505">
        <v>0</v>
      </c>
      <c r="GY505">
        <v>1</v>
      </c>
      <c r="GZ505">
        <v>0</v>
      </c>
      <c r="HA505" t="s">
        <v>283</v>
      </c>
      <c r="HB505" t="s">
        <v>894</v>
      </c>
      <c r="HC505" t="s">
        <v>935</v>
      </c>
      <c r="HD505" t="s">
        <v>845</v>
      </c>
      <c r="HE505" t="s">
        <v>900</v>
      </c>
      <c r="HF505" t="s">
        <v>923</v>
      </c>
      <c r="HG505" t="s">
        <v>894</v>
      </c>
      <c r="HH505" t="s">
        <v>935</v>
      </c>
      <c r="HI505" t="s">
        <v>845</v>
      </c>
      <c r="HJ505" t="s">
        <v>900</v>
      </c>
      <c r="HK505" t="s">
        <v>952</v>
      </c>
      <c r="HL505" t="s">
        <v>202</v>
      </c>
      <c r="HM505" t="s">
        <v>854</v>
      </c>
      <c r="HN505">
        <v>36805</v>
      </c>
      <c r="HP505" t="s">
        <v>178</v>
      </c>
      <c r="HQ505" t="s">
        <v>896</v>
      </c>
      <c r="HR505" t="s">
        <v>896</v>
      </c>
      <c r="HS505" t="s">
        <v>896</v>
      </c>
    </row>
    <row r="506" spans="1:227" x14ac:dyDescent="0.2">
      <c r="A506">
        <v>8702</v>
      </c>
      <c r="B506">
        <v>7619111818</v>
      </c>
      <c r="C506" t="s">
        <v>936</v>
      </c>
      <c r="D506" t="s">
        <v>937</v>
      </c>
      <c r="E506" t="s">
        <v>831</v>
      </c>
      <c r="F506">
        <v>1</v>
      </c>
      <c r="G506" t="s">
        <v>10313</v>
      </c>
      <c r="H506" t="s">
        <v>10313</v>
      </c>
      <c r="I506">
        <v>0</v>
      </c>
      <c r="J506" t="s">
        <v>833</v>
      </c>
      <c r="K506" t="s">
        <v>834</v>
      </c>
      <c r="L506">
        <v>153406437</v>
      </c>
      <c r="M506" t="s">
        <v>4764</v>
      </c>
      <c r="N506" t="s">
        <v>836</v>
      </c>
      <c r="O506" t="s">
        <v>837</v>
      </c>
      <c r="P506" t="s">
        <v>940</v>
      </c>
      <c r="Q506" t="s">
        <v>1080</v>
      </c>
      <c r="R506" t="s">
        <v>10314</v>
      </c>
      <c r="S506" t="s">
        <v>10315</v>
      </c>
      <c r="T506">
        <v>30300134878</v>
      </c>
      <c r="V506" t="s">
        <v>1109</v>
      </c>
      <c r="W506" s="41">
        <v>46214</v>
      </c>
      <c r="X506" t="s">
        <v>10316</v>
      </c>
      <c r="Y506" t="s">
        <v>10317</v>
      </c>
      <c r="AA506">
        <v>0</v>
      </c>
      <c r="AB506" t="s">
        <v>845</v>
      </c>
      <c r="AC506" t="s">
        <v>846</v>
      </c>
      <c r="AD506" t="s">
        <v>907</v>
      </c>
      <c r="AE506" t="s">
        <v>908</v>
      </c>
      <c r="AF506">
        <v>1</v>
      </c>
      <c r="AG506">
        <v>452210</v>
      </c>
      <c r="AH506" t="s">
        <v>849</v>
      </c>
      <c r="AI506" t="s">
        <v>850</v>
      </c>
      <c r="AJ506" t="s">
        <v>851</v>
      </c>
      <c r="AK506" t="s">
        <v>521</v>
      </c>
      <c r="AL506" t="s">
        <v>1667</v>
      </c>
      <c r="AM506" t="s">
        <v>1116</v>
      </c>
      <c r="AN506" t="s">
        <v>854</v>
      </c>
      <c r="AO506">
        <v>36805</v>
      </c>
      <c r="AP506">
        <v>545</v>
      </c>
      <c r="AQ506" t="s">
        <v>855</v>
      </c>
      <c r="AR506">
        <v>66545781</v>
      </c>
      <c r="AS506" t="s">
        <v>856</v>
      </c>
      <c r="AU506" t="s">
        <v>10318</v>
      </c>
      <c r="AV506" t="s">
        <v>10319</v>
      </c>
      <c r="AX506" t="s">
        <v>913</v>
      </c>
      <c r="AY506" t="s">
        <v>861</v>
      </c>
      <c r="AZ506" t="s">
        <v>521</v>
      </c>
      <c r="BA506" t="s">
        <v>286</v>
      </c>
      <c r="BB506">
        <v>0</v>
      </c>
      <c r="BC506">
        <v>0</v>
      </c>
      <c r="BD506">
        <v>0</v>
      </c>
      <c r="BE506" t="s">
        <v>4764</v>
      </c>
      <c r="BF506">
        <v>0</v>
      </c>
      <c r="BG506">
        <v>0</v>
      </c>
      <c r="BH506" t="s">
        <v>862</v>
      </c>
      <c r="BI506">
        <v>0</v>
      </c>
      <c r="BJ506" t="s">
        <v>862</v>
      </c>
      <c r="BK506">
        <v>1</v>
      </c>
      <c r="BL506">
        <v>1</v>
      </c>
      <c r="BM506">
        <v>0</v>
      </c>
      <c r="BN506" t="s">
        <v>596</v>
      </c>
      <c r="BO506">
        <v>153406437</v>
      </c>
      <c r="BP506" t="s">
        <v>10313</v>
      </c>
      <c r="BR506">
        <v>42791461</v>
      </c>
      <c r="BT506">
        <v>2</v>
      </c>
      <c r="BU506" t="s">
        <v>1062</v>
      </c>
      <c r="BY506">
        <v>16</v>
      </c>
      <c r="CA506">
        <v>13</v>
      </c>
      <c r="CE506">
        <v>1</v>
      </c>
      <c r="CI506">
        <v>11</v>
      </c>
      <c r="CJ506" t="s">
        <v>94</v>
      </c>
      <c r="CM506">
        <v>4010</v>
      </c>
      <c r="CO506">
        <v>7360</v>
      </c>
      <c r="CP506">
        <v>0.86670000000000003</v>
      </c>
      <c r="CQ506">
        <v>0.86670000000000003</v>
      </c>
      <c r="CR506">
        <v>0.61670000000000003</v>
      </c>
      <c r="CS506">
        <v>1</v>
      </c>
      <c r="CT506" t="s">
        <v>10319</v>
      </c>
      <c r="CU506" t="s">
        <v>10318</v>
      </c>
      <c r="CV506" t="s">
        <v>833</v>
      </c>
      <c r="CW506" t="s">
        <v>834</v>
      </c>
      <c r="CX506" t="s">
        <v>4764</v>
      </c>
      <c r="CY506">
        <v>0</v>
      </c>
      <c r="CZ506">
        <v>0</v>
      </c>
      <c r="DA506" t="s">
        <v>833</v>
      </c>
      <c r="DB506" t="s">
        <v>865</v>
      </c>
      <c r="DC506">
        <v>55127</v>
      </c>
      <c r="DD506">
        <v>13.066700000000001</v>
      </c>
      <c r="DE506" t="s">
        <v>866</v>
      </c>
      <c r="DG506" t="s">
        <v>867</v>
      </c>
      <c r="DH506" t="s">
        <v>851</v>
      </c>
      <c r="DK506" t="s">
        <v>918</v>
      </c>
      <c r="DL506" t="s">
        <v>869</v>
      </c>
      <c r="DM506">
        <v>0</v>
      </c>
      <c r="DN506">
        <v>0</v>
      </c>
      <c r="DO506">
        <v>2</v>
      </c>
      <c r="DP506" t="s">
        <v>870</v>
      </c>
      <c r="DQ506">
        <v>16</v>
      </c>
      <c r="DR506">
        <v>784</v>
      </c>
      <c r="DS506">
        <v>1504</v>
      </c>
      <c r="DT506">
        <v>12.2</v>
      </c>
      <c r="DU506">
        <v>4</v>
      </c>
      <c r="DV506">
        <v>1</v>
      </c>
      <c r="DW506">
        <v>2</v>
      </c>
      <c r="DX506" t="s">
        <v>596</v>
      </c>
      <c r="DY506" t="s">
        <v>4764</v>
      </c>
      <c r="DZ506">
        <v>1</v>
      </c>
      <c r="EA506">
        <v>1</v>
      </c>
      <c r="EB506">
        <v>1</v>
      </c>
      <c r="EC506">
        <v>0</v>
      </c>
      <c r="ED506">
        <v>0</v>
      </c>
      <c r="EE506">
        <v>1</v>
      </c>
      <c r="EF506" t="s">
        <v>871</v>
      </c>
      <c r="EG506" t="s">
        <v>595</v>
      </c>
      <c r="EH506" t="s">
        <v>921</v>
      </c>
      <c r="EI506" t="s">
        <v>921</v>
      </c>
      <c r="EJ506" t="s">
        <v>159</v>
      </c>
      <c r="EK506">
        <v>9090</v>
      </c>
      <c r="EL506">
        <v>0</v>
      </c>
      <c r="EM506" t="s">
        <v>873</v>
      </c>
      <c r="EN506">
        <v>0.61670000000000003</v>
      </c>
      <c r="EO506">
        <v>25.066666699999999</v>
      </c>
      <c r="EP506">
        <v>99991120</v>
      </c>
      <c r="EQ506" t="s">
        <v>874</v>
      </c>
      <c r="ER506" t="s">
        <v>875</v>
      </c>
      <c r="ES506" t="s">
        <v>876</v>
      </c>
      <c r="ET506" t="s">
        <v>877</v>
      </c>
      <c r="EU506" t="s">
        <v>877</v>
      </c>
      <c r="EV506" t="s">
        <v>871</v>
      </c>
      <c r="EX506" t="s">
        <v>836</v>
      </c>
      <c r="EY506" t="s">
        <v>873</v>
      </c>
      <c r="EZ506" t="s">
        <v>1122</v>
      </c>
      <c r="FA506" t="s">
        <v>956</v>
      </c>
      <c r="FB506">
        <v>1</v>
      </c>
      <c r="FC506">
        <v>1</v>
      </c>
      <c r="FD506" s="41">
        <v>46214</v>
      </c>
      <c r="FE506" t="s">
        <v>1066</v>
      </c>
      <c r="FF506">
        <v>9</v>
      </c>
      <c r="FG506" t="s">
        <v>1323</v>
      </c>
      <c r="FH506" t="s">
        <v>10320</v>
      </c>
      <c r="FI506">
        <v>1</v>
      </c>
      <c r="FJ506" t="s">
        <v>10321</v>
      </c>
      <c r="FK506" t="s">
        <v>10322</v>
      </c>
      <c r="FL506">
        <v>1</v>
      </c>
      <c r="FM506" t="s">
        <v>4775</v>
      </c>
      <c r="FN506" t="s">
        <v>10323</v>
      </c>
      <c r="FO506">
        <v>1</v>
      </c>
      <c r="FP506" t="s">
        <v>10324</v>
      </c>
      <c r="FQ506" t="s">
        <v>10325</v>
      </c>
      <c r="FR506">
        <v>1</v>
      </c>
      <c r="FS506" t="s">
        <v>5534</v>
      </c>
      <c r="FT506" t="s">
        <v>10326</v>
      </c>
      <c r="FU506">
        <v>1</v>
      </c>
      <c r="FV506" t="s">
        <v>9790</v>
      </c>
      <c r="FW506" t="s">
        <v>10327</v>
      </c>
      <c r="FX506">
        <v>1</v>
      </c>
      <c r="FY506" t="s">
        <v>890</v>
      </c>
      <c r="FZ506" t="s">
        <v>10328</v>
      </c>
      <c r="GA506" t="s">
        <v>10321</v>
      </c>
      <c r="GB506">
        <v>1</v>
      </c>
      <c r="GD506">
        <v>0</v>
      </c>
      <c r="GF506">
        <v>0</v>
      </c>
      <c r="GG506">
        <v>1</v>
      </c>
      <c r="GH506" t="s">
        <v>892</v>
      </c>
      <c r="GI506" t="s">
        <v>893</v>
      </c>
      <c r="GJ506" t="s">
        <v>10322</v>
      </c>
      <c r="GM506">
        <v>1</v>
      </c>
      <c r="GN506">
        <v>1</v>
      </c>
      <c r="GO506">
        <v>0</v>
      </c>
      <c r="GP506">
        <v>1</v>
      </c>
      <c r="GQ506">
        <v>1</v>
      </c>
      <c r="GR506">
        <v>0</v>
      </c>
      <c r="GS506">
        <v>1</v>
      </c>
      <c r="GT506">
        <v>0</v>
      </c>
      <c r="GU506">
        <v>1</v>
      </c>
      <c r="GV506">
        <v>0</v>
      </c>
      <c r="GW506">
        <v>1</v>
      </c>
      <c r="GX506">
        <v>0</v>
      </c>
      <c r="GY506">
        <v>1</v>
      </c>
      <c r="GZ506">
        <v>0</v>
      </c>
      <c r="HA506" t="s">
        <v>521</v>
      </c>
      <c r="HB506" t="s">
        <v>894</v>
      </c>
      <c r="HC506" t="s">
        <v>895</v>
      </c>
      <c r="HD506" t="s">
        <v>845</v>
      </c>
      <c r="HE506" t="s">
        <v>836</v>
      </c>
      <c r="HF506" t="s">
        <v>873</v>
      </c>
      <c r="HG506" t="s">
        <v>894</v>
      </c>
      <c r="HH506" t="s">
        <v>895</v>
      </c>
      <c r="HI506" t="s">
        <v>845</v>
      </c>
      <c r="HJ506" t="s">
        <v>836</v>
      </c>
      <c r="HK506" t="s">
        <v>873</v>
      </c>
      <c r="HL506" t="s">
        <v>1109</v>
      </c>
      <c r="HM506" t="s">
        <v>854</v>
      </c>
      <c r="HN506">
        <v>36805</v>
      </c>
      <c r="HP506" t="s">
        <v>159</v>
      </c>
      <c r="HQ506" t="s">
        <v>896</v>
      </c>
      <c r="HR506" t="s">
        <v>896</v>
      </c>
      <c r="HS506" t="s">
        <v>896</v>
      </c>
    </row>
    <row r="507" spans="1:227" x14ac:dyDescent="0.2">
      <c r="A507">
        <v>8702</v>
      </c>
      <c r="B507">
        <v>7619405444</v>
      </c>
      <c r="C507" t="s">
        <v>2265</v>
      </c>
      <c r="D507" t="s">
        <v>2266</v>
      </c>
      <c r="E507" t="s">
        <v>897</v>
      </c>
      <c r="F507">
        <v>1</v>
      </c>
      <c r="G507" t="s">
        <v>10329</v>
      </c>
      <c r="H507" t="s">
        <v>10329</v>
      </c>
      <c r="I507">
        <v>0</v>
      </c>
      <c r="J507" t="s">
        <v>833</v>
      </c>
      <c r="K507" t="s">
        <v>834</v>
      </c>
      <c r="L507">
        <v>148743029</v>
      </c>
      <c r="M507" t="s">
        <v>10330</v>
      </c>
      <c r="N507" t="s">
        <v>900</v>
      </c>
      <c r="O507" t="s">
        <v>837</v>
      </c>
      <c r="P507" t="s">
        <v>6141</v>
      </c>
      <c r="Q507" t="s">
        <v>6142</v>
      </c>
      <c r="R507" t="s">
        <v>10331</v>
      </c>
      <c r="S507" t="s">
        <v>10332</v>
      </c>
      <c r="T507">
        <v>41477109811</v>
      </c>
      <c r="V507" t="s">
        <v>198</v>
      </c>
      <c r="W507" s="41">
        <v>46217</v>
      </c>
      <c r="X507" t="s">
        <v>10333</v>
      </c>
      <c r="Y507" t="s">
        <v>10334</v>
      </c>
      <c r="AA507">
        <v>0</v>
      </c>
      <c r="AB507" t="s">
        <v>845</v>
      </c>
      <c r="AC507" t="s">
        <v>846</v>
      </c>
      <c r="AD507" t="s">
        <v>1335</v>
      </c>
      <c r="AE507" t="s">
        <v>1336</v>
      </c>
      <c r="AF507">
        <v>1</v>
      </c>
      <c r="AG507">
        <v>452210</v>
      </c>
      <c r="AH507" t="s">
        <v>849</v>
      </c>
      <c r="AI507" t="s">
        <v>850</v>
      </c>
      <c r="AJ507" t="s">
        <v>851</v>
      </c>
      <c r="AK507" t="s">
        <v>328</v>
      </c>
      <c r="AL507" t="s">
        <v>4788</v>
      </c>
      <c r="AM507" t="s">
        <v>1619</v>
      </c>
      <c r="AN507" t="s">
        <v>854</v>
      </c>
      <c r="AO507">
        <v>36805</v>
      </c>
      <c r="AP507">
        <v>640</v>
      </c>
      <c r="AQ507" t="s">
        <v>855</v>
      </c>
      <c r="AR507">
        <v>66550715</v>
      </c>
      <c r="AS507" t="s">
        <v>856</v>
      </c>
      <c r="AU507" t="s">
        <v>10335</v>
      </c>
      <c r="AV507" t="s">
        <v>10336</v>
      </c>
      <c r="AX507" t="s">
        <v>913</v>
      </c>
      <c r="AY507" t="s">
        <v>861</v>
      </c>
      <c r="AZ507" t="s">
        <v>328</v>
      </c>
      <c r="BA507" t="s">
        <v>329</v>
      </c>
      <c r="BB507">
        <v>0</v>
      </c>
      <c r="BC507">
        <v>1</v>
      </c>
      <c r="BD507">
        <v>0</v>
      </c>
      <c r="BE507" t="s">
        <v>10330</v>
      </c>
      <c r="BF507">
        <v>0</v>
      </c>
      <c r="BG507">
        <v>0</v>
      </c>
      <c r="BH507" t="s">
        <v>862</v>
      </c>
      <c r="BI507">
        <v>0</v>
      </c>
      <c r="BJ507" t="s">
        <v>862</v>
      </c>
      <c r="BK507">
        <v>1</v>
      </c>
      <c r="BL507">
        <v>1</v>
      </c>
      <c r="BM507">
        <v>0</v>
      </c>
      <c r="BN507" t="s">
        <v>596</v>
      </c>
      <c r="BP507" t="s">
        <v>10329</v>
      </c>
      <c r="BR507">
        <v>42791772</v>
      </c>
      <c r="BT507">
        <v>0</v>
      </c>
      <c r="BU507" t="s">
        <v>1062</v>
      </c>
      <c r="BY507">
        <v>16</v>
      </c>
      <c r="CA507">
        <v>22</v>
      </c>
      <c r="CE507">
        <v>0</v>
      </c>
      <c r="CI507">
        <v>11</v>
      </c>
      <c r="CJ507" t="s">
        <v>94</v>
      </c>
      <c r="CM507">
        <v>4010</v>
      </c>
      <c r="CO507">
        <v>7360</v>
      </c>
      <c r="CP507">
        <v>1.3167</v>
      </c>
      <c r="CQ507">
        <v>1.3167</v>
      </c>
      <c r="CR507">
        <v>0.98329999999999995</v>
      </c>
      <c r="CS507">
        <v>0</v>
      </c>
      <c r="CT507" t="s">
        <v>10336</v>
      </c>
      <c r="CU507" t="s">
        <v>10335</v>
      </c>
      <c r="CV507" t="s">
        <v>833</v>
      </c>
      <c r="CW507" t="s">
        <v>834</v>
      </c>
      <c r="CX507" t="s">
        <v>4908</v>
      </c>
      <c r="CY507">
        <v>1</v>
      </c>
      <c r="CZ507">
        <v>1</v>
      </c>
      <c r="DA507" t="s">
        <v>833</v>
      </c>
      <c r="DB507" t="s">
        <v>865</v>
      </c>
      <c r="DC507">
        <v>48823</v>
      </c>
      <c r="DD507">
        <v>22.083300000000001</v>
      </c>
      <c r="DE507" t="s">
        <v>866</v>
      </c>
      <c r="DG507" t="s">
        <v>867</v>
      </c>
      <c r="DH507" t="s">
        <v>851</v>
      </c>
      <c r="DK507" t="s">
        <v>918</v>
      </c>
      <c r="DL507" t="s">
        <v>869</v>
      </c>
      <c r="DM507">
        <v>0</v>
      </c>
      <c r="DN507">
        <v>0</v>
      </c>
      <c r="DO507">
        <v>11</v>
      </c>
      <c r="DP507" t="s">
        <v>1010</v>
      </c>
      <c r="DQ507">
        <v>16</v>
      </c>
      <c r="DR507">
        <v>1325</v>
      </c>
      <c r="DS507">
        <v>2045</v>
      </c>
      <c r="DT507">
        <v>2.7667000000000002</v>
      </c>
      <c r="DU507">
        <v>4</v>
      </c>
      <c r="DV507">
        <v>1</v>
      </c>
      <c r="DW507">
        <v>2</v>
      </c>
      <c r="DX507" t="s">
        <v>596</v>
      </c>
      <c r="DY507" t="s">
        <v>10330</v>
      </c>
      <c r="DZ507">
        <v>0</v>
      </c>
      <c r="EA507">
        <v>0</v>
      </c>
      <c r="EB507">
        <v>1</v>
      </c>
      <c r="EC507">
        <v>1</v>
      </c>
      <c r="ED507">
        <v>1</v>
      </c>
      <c r="EE507">
        <v>1</v>
      </c>
      <c r="EF507" t="s">
        <v>871</v>
      </c>
      <c r="EG507" t="s">
        <v>595</v>
      </c>
      <c r="EH507" t="s">
        <v>921</v>
      </c>
      <c r="EI507" t="s">
        <v>921</v>
      </c>
      <c r="EJ507" t="s">
        <v>178</v>
      </c>
      <c r="EK507">
        <v>9090</v>
      </c>
      <c r="EL507">
        <v>1</v>
      </c>
      <c r="EM507" t="s">
        <v>922</v>
      </c>
      <c r="EN507">
        <v>1.45</v>
      </c>
      <c r="EO507">
        <v>34.0833333</v>
      </c>
      <c r="EP507">
        <v>99991120</v>
      </c>
      <c r="EQ507" t="s">
        <v>874</v>
      </c>
      <c r="ER507" t="s">
        <v>875</v>
      </c>
      <c r="ES507" t="s">
        <v>876</v>
      </c>
      <c r="ET507" t="s">
        <v>877</v>
      </c>
      <c r="EU507" t="s">
        <v>877</v>
      </c>
      <c r="EV507" t="s">
        <v>871</v>
      </c>
      <c r="EX507" t="s">
        <v>900</v>
      </c>
      <c r="EY507" t="s">
        <v>923</v>
      </c>
      <c r="EZ507" t="s">
        <v>1625</v>
      </c>
      <c r="FA507" t="s">
        <v>879</v>
      </c>
      <c r="FB507">
        <v>1</v>
      </c>
      <c r="FC507">
        <v>2</v>
      </c>
      <c r="FD507" s="41">
        <v>46221</v>
      </c>
      <c r="FE507" t="s">
        <v>1066</v>
      </c>
      <c r="FF507">
        <v>9</v>
      </c>
      <c r="FG507" t="s">
        <v>10337</v>
      </c>
      <c r="FH507" t="s">
        <v>10338</v>
      </c>
      <c r="FI507">
        <v>1</v>
      </c>
      <c r="FJ507" t="s">
        <v>10339</v>
      </c>
      <c r="FK507" t="s">
        <v>10338</v>
      </c>
      <c r="FL507">
        <v>1</v>
      </c>
      <c r="FM507" t="s">
        <v>10340</v>
      </c>
      <c r="FN507" t="s">
        <v>10341</v>
      </c>
      <c r="FO507">
        <v>1</v>
      </c>
      <c r="FP507" t="s">
        <v>10342</v>
      </c>
      <c r="FQ507" t="s">
        <v>10335</v>
      </c>
      <c r="FR507">
        <v>1</v>
      </c>
      <c r="FS507" t="s">
        <v>1626</v>
      </c>
      <c r="FT507" t="s">
        <v>10343</v>
      </c>
      <c r="FU507">
        <v>1</v>
      </c>
      <c r="FV507" t="s">
        <v>10344</v>
      </c>
      <c r="FW507" t="s">
        <v>10345</v>
      </c>
      <c r="FX507">
        <v>1</v>
      </c>
      <c r="FY507" t="s">
        <v>890</v>
      </c>
      <c r="FZ507" t="s">
        <v>10346</v>
      </c>
      <c r="GA507" t="s">
        <v>10339</v>
      </c>
      <c r="GB507">
        <v>1</v>
      </c>
      <c r="GD507">
        <v>0</v>
      </c>
      <c r="GF507">
        <v>0</v>
      </c>
      <c r="GG507">
        <v>1</v>
      </c>
      <c r="GH507" t="s">
        <v>892</v>
      </c>
      <c r="GI507" t="s">
        <v>893</v>
      </c>
      <c r="GJ507" t="s">
        <v>10338</v>
      </c>
      <c r="GM507">
        <v>1</v>
      </c>
      <c r="GN507">
        <v>0</v>
      </c>
      <c r="GO507">
        <v>0</v>
      </c>
      <c r="GP507">
        <v>1</v>
      </c>
      <c r="GQ507">
        <v>1</v>
      </c>
      <c r="GR507">
        <v>0</v>
      </c>
      <c r="GS507">
        <v>1</v>
      </c>
      <c r="GT507">
        <v>0</v>
      </c>
      <c r="GU507">
        <v>1</v>
      </c>
      <c r="GV507">
        <v>0</v>
      </c>
      <c r="GW507">
        <v>1</v>
      </c>
      <c r="GX507">
        <v>0</v>
      </c>
      <c r="GY507">
        <v>1</v>
      </c>
      <c r="GZ507">
        <v>0</v>
      </c>
      <c r="HA507" t="s">
        <v>328</v>
      </c>
      <c r="HB507" t="s">
        <v>894</v>
      </c>
      <c r="HC507" t="s">
        <v>935</v>
      </c>
      <c r="HD507" t="s">
        <v>845</v>
      </c>
      <c r="HE507" t="s">
        <v>900</v>
      </c>
      <c r="HF507" t="s">
        <v>923</v>
      </c>
      <c r="HG507" t="s">
        <v>894</v>
      </c>
      <c r="HH507" t="s">
        <v>935</v>
      </c>
      <c r="HI507" t="s">
        <v>845</v>
      </c>
      <c r="HJ507" t="s">
        <v>900</v>
      </c>
      <c r="HK507" t="s">
        <v>922</v>
      </c>
      <c r="HL507" t="s">
        <v>198</v>
      </c>
      <c r="HM507" t="s">
        <v>854</v>
      </c>
      <c r="HN507">
        <v>36805</v>
      </c>
      <c r="HP507" t="s">
        <v>178</v>
      </c>
      <c r="HQ507" t="s">
        <v>896</v>
      </c>
      <c r="HR507" t="s">
        <v>896</v>
      </c>
      <c r="HS507" t="s">
        <v>896</v>
      </c>
    </row>
    <row r="508" spans="1:227" x14ac:dyDescent="0.2">
      <c r="A508">
        <v>8702</v>
      </c>
      <c r="B508">
        <v>7524608831</v>
      </c>
      <c r="C508" t="s">
        <v>829</v>
      </c>
      <c r="D508" t="s">
        <v>830</v>
      </c>
      <c r="E508" t="s">
        <v>831</v>
      </c>
      <c r="F508">
        <v>0</v>
      </c>
      <c r="G508" t="s">
        <v>10347</v>
      </c>
      <c r="H508" t="s">
        <v>10347</v>
      </c>
      <c r="I508">
        <v>0</v>
      </c>
      <c r="J508" t="s">
        <v>833</v>
      </c>
      <c r="K508" t="s">
        <v>834</v>
      </c>
      <c r="L508">
        <v>152946661</v>
      </c>
      <c r="M508" t="s">
        <v>835</v>
      </c>
      <c r="N508" t="s">
        <v>836</v>
      </c>
      <c r="O508" t="s">
        <v>837</v>
      </c>
      <c r="P508" t="s">
        <v>838</v>
      </c>
      <c r="Q508" t="s">
        <v>1593</v>
      </c>
      <c r="R508" t="s">
        <v>10348</v>
      </c>
      <c r="S508" t="s">
        <v>10349</v>
      </c>
      <c r="T508">
        <v>41477126338</v>
      </c>
      <c r="V508" t="s">
        <v>842</v>
      </c>
      <c r="W508" s="41">
        <v>45904</v>
      </c>
      <c r="X508" t="s">
        <v>10350</v>
      </c>
      <c r="Y508" t="s">
        <v>10351</v>
      </c>
      <c r="AA508">
        <v>0</v>
      </c>
      <c r="AB508" t="s">
        <v>845</v>
      </c>
      <c r="AC508" t="s">
        <v>846</v>
      </c>
      <c r="AD508" t="s">
        <v>847</v>
      </c>
      <c r="AE508" t="s">
        <v>848</v>
      </c>
      <c r="AF508">
        <v>1</v>
      </c>
      <c r="AG508">
        <v>452210</v>
      </c>
      <c r="AH508" t="s">
        <v>849</v>
      </c>
      <c r="AI508" t="s">
        <v>850</v>
      </c>
      <c r="AJ508" t="s">
        <v>851</v>
      </c>
      <c r="AK508" t="s">
        <v>529</v>
      </c>
      <c r="AL508" t="s">
        <v>10352</v>
      </c>
      <c r="AM508" t="s">
        <v>853</v>
      </c>
      <c r="AN508" t="s">
        <v>854</v>
      </c>
      <c r="AO508">
        <v>36805</v>
      </c>
      <c r="AP508">
        <v>962</v>
      </c>
      <c r="AQ508" t="s">
        <v>855</v>
      </c>
      <c r="AR508">
        <v>66099872</v>
      </c>
      <c r="AS508" t="s">
        <v>856</v>
      </c>
      <c r="AU508" t="s">
        <v>10353</v>
      </c>
      <c r="AV508" t="s">
        <v>10354</v>
      </c>
      <c r="AX508" t="s">
        <v>913</v>
      </c>
      <c r="AY508" t="s">
        <v>861</v>
      </c>
      <c r="AZ508" t="s">
        <v>529</v>
      </c>
      <c r="BA508" t="s">
        <v>530</v>
      </c>
      <c r="BB508">
        <v>0</v>
      </c>
      <c r="BC508">
        <v>0</v>
      </c>
      <c r="BD508">
        <v>0</v>
      </c>
      <c r="BE508" t="s">
        <v>835</v>
      </c>
      <c r="BF508">
        <v>0</v>
      </c>
      <c r="BG508">
        <v>0</v>
      </c>
      <c r="BH508" t="s">
        <v>862</v>
      </c>
      <c r="BI508">
        <v>0</v>
      </c>
      <c r="BJ508" t="s">
        <v>862</v>
      </c>
      <c r="BK508">
        <v>1</v>
      </c>
      <c r="BL508">
        <v>1</v>
      </c>
      <c r="BM508">
        <v>0</v>
      </c>
      <c r="BN508" t="s">
        <v>596</v>
      </c>
      <c r="BO508">
        <v>152946661</v>
      </c>
      <c r="BP508" t="s">
        <v>10347</v>
      </c>
      <c r="BR508">
        <v>42793657</v>
      </c>
      <c r="BT508">
        <v>0</v>
      </c>
      <c r="CM508">
        <v>4010</v>
      </c>
      <c r="CO508">
        <v>7360</v>
      </c>
      <c r="CP508">
        <v>0.55000000000000004</v>
      </c>
      <c r="CQ508">
        <v>0.55000000000000004</v>
      </c>
      <c r="CR508">
        <v>0.1167</v>
      </c>
      <c r="CS508">
        <v>19</v>
      </c>
      <c r="CT508" t="s">
        <v>10355</v>
      </c>
      <c r="CU508" t="s">
        <v>10356</v>
      </c>
      <c r="CV508" t="s">
        <v>833</v>
      </c>
      <c r="CW508" t="s">
        <v>834</v>
      </c>
      <c r="CX508" t="s">
        <v>835</v>
      </c>
      <c r="CY508">
        <v>0</v>
      </c>
      <c r="CZ508">
        <v>0</v>
      </c>
      <c r="DA508" t="s">
        <v>833</v>
      </c>
      <c r="DB508" t="s">
        <v>865</v>
      </c>
      <c r="DC508">
        <v>50266</v>
      </c>
      <c r="DD508">
        <v>12.5167</v>
      </c>
      <c r="DE508" t="s">
        <v>866</v>
      </c>
      <c r="DG508" t="s">
        <v>867</v>
      </c>
      <c r="DH508" t="s">
        <v>851</v>
      </c>
      <c r="DI508" t="s">
        <v>868</v>
      </c>
      <c r="DL508" t="s">
        <v>869</v>
      </c>
      <c r="DM508">
        <v>0</v>
      </c>
      <c r="DN508">
        <v>0</v>
      </c>
      <c r="DO508">
        <v>3</v>
      </c>
      <c r="DP508" t="s">
        <v>919</v>
      </c>
      <c r="DQ508">
        <v>16</v>
      </c>
      <c r="DR508">
        <v>751</v>
      </c>
      <c r="DS508">
        <v>1471</v>
      </c>
      <c r="DT508">
        <v>11.966699999999999</v>
      </c>
      <c r="DU508">
        <v>4</v>
      </c>
      <c r="DW508">
        <v>2</v>
      </c>
      <c r="DX508" t="s">
        <v>596</v>
      </c>
      <c r="DY508" t="s">
        <v>835</v>
      </c>
      <c r="DZ508">
        <v>1</v>
      </c>
      <c r="EA508">
        <v>1</v>
      </c>
      <c r="EB508">
        <v>1</v>
      </c>
      <c r="EC508">
        <v>0</v>
      </c>
      <c r="ED508">
        <v>0</v>
      </c>
      <c r="EE508">
        <v>1</v>
      </c>
      <c r="EF508" t="s">
        <v>871</v>
      </c>
      <c r="EG508" t="s">
        <v>595</v>
      </c>
      <c r="EH508" t="s">
        <v>921</v>
      </c>
      <c r="EI508" t="s">
        <v>921</v>
      </c>
      <c r="EJ508" t="s">
        <v>246</v>
      </c>
      <c r="EK508">
        <v>9090</v>
      </c>
      <c r="EL508">
        <v>0</v>
      </c>
      <c r="EM508" t="s">
        <v>873</v>
      </c>
      <c r="EN508">
        <v>0.1167</v>
      </c>
      <c r="EO508">
        <v>24.516666600000001</v>
      </c>
      <c r="EP508">
        <v>99991120</v>
      </c>
      <c r="EQ508" t="s">
        <v>874</v>
      </c>
      <c r="ER508" t="s">
        <v>875</v>
      </c>
      <c r="ES508" t="s">
        <v>876</v>
      </c>
      <c r="ET508" t="s">
        <v>877</v>
      </c>
      <c r="EU508" t="s">
        <v>877</v>
      </c>
      <c r="EV508" t="s">
        <v>871</v>
      </c>
      <c r="EX508" t="s">
        <v>836</v>
      </c>
      <c r="EY508" t="s">
        <v>873</v>
      </c>
      <c r="EZ508" t="s">
        <v>878</v>
      </c>
      <c r="FA508" t="s">
        <v>879</v>
      </c>
      <c r="FB508">
        <v>1</v>
      </c>
      <c r="FC508">
        <v>1</v>
      </c>
      <c r="FD508" s="41">
        <v>45906</v>
      </c>
      <c r="FE508" t="s">
        <v>880</v>
      </c>
      <c r="FF508">
        <v>6</v>
      </c>
      <c r="FG508" t="s">
        <v>10357</v>
      </c>
      <c r="FH508" t="s">
        <v>10358</v>
      </c>
      <c r="FI508">
        <v>1</v>
      </c>
      <c r="FJ508" t="s">
        <v>10359</v>
      </c>
      <c r="FK508" t="s">
        <v>10360</v>
      </c>
      <c r="FL508">
        <v>1</v>
      </c>
      <c r="FM508" t="s">
        <v>883</v>
      </c>
      <c r="FN508" t="s">
        <v>10361</v>
      </c>
      <c r="FO508">
        <v>1</v>
      </c>
      <c r="FP508" t="s">
        <v>10362</v>
      </c>
      <c r="FQ508" t="s">
        <v>10363</v>
      </c>
      <c r="FR508">
        <v>1</v>
      </c>
      <c r="FS508" t="s">
        <v>887</v>
      </c>
      <c r="FT508" t="s">
        <v>10364</v>
      </c>
      <c r="FU508">
        <v>1</v>
      </c>
      <c r="FV508" t="s">
        <v>9248</v>
      </c>
      <c r="FW508" t="s">
        <v>10365</v>
      </c>
      <c r="FX508">
        <v>1</v>
      </c>
      <c r="FY508" t="s">
        <v>890</v>
      </c>
      <c r="FZ508" t="s">
        <v>10366</v>
      </c>
      <c r="GA508" t="s">
        <v>10359</v>
      </c>
      <c r="GB508">
        <v>1</v>
      </c>
      <c r="GD508">
        <v>0</v>
      </c>
      <c r="GF508">
        <v>0</v>
      </c>
      <c r="GG508">
        <v>1</v>
      </c>
      <c r="GH508" t="s">
        <v>892</v>
      </c>
      <c r="GI508" t="s">
        <v>893</v>
      </c>
      <c r="GJ508" t="s">
        <v>10360</v>
      </c>
      <c r="GM508">
        <v>1</v>
      </c>
      <c r="GN508">
        <v>1</v>
      </c>
      <c r="GO508">
        <v>0</v>
      </c>
      <c r="GP508">
        <v>1</v>
      </c>
      <c r="GQ508">
        <v>1</v>
      </c>
      <c r="GR508">
        <v>0</v>
      </c>
      <c r="GS508">
        <v>1</v>
      </c>
      <c r="GT508">
        <v>0</v>
      </c>
      <c r="GU508">
        <v>1</v>
      </c>
      <c r="GV508">
        <v>0</v>
      </c>
      <c r="GW508">
        <v>1</v>
      </c>
      <c r="GX508">
        <v>0</v>
      </c>
      <c r="GY508">
        <v>1</v>
      </c>
      <c r="GZ508">
        <v>0</v>
      </c>
      <c r="HA508" t="s">
        <v>529</v>
      </c>
      <c r="HB508" t="s">
        <v>894</v>
      </c>
      <c r="HC508" t="s">
        <v>895</v>
      </c>
      <c r="HD508" t="s">
        <v>845</v>
      </c>
      <c r="HE508" t="s">
        <v>836</v>
      </c>
      <c r="HF508" t="s">
        <v>873</v>
      </c>
      <c r="HG508" t="s">
        <v>894</v>
      </c>
      <c r="HH508" t="s">
        <v>895</v>
      </c>
      <c r="HI508" t="s">
        <v>845</v>
      </c>
      <c r="HJ508" t="s">
        <v>836</v>
      </c>
      <c r="HK508" t="s">
        <v>873</v>
      </c>
      <c r="HL508" t="s">
        <v>842</v>
      </c>
      <c r="HM508" t="s">
        <v>854</v>
      </c>
      <c r="HN508">
        <v>36805</v>
      </c>
      <c r="HP508" t="s">
        <v>246</v>
      </c>
      <c r="HQ508" t="s">
        <v>896</v>
      </c>
      <c r="HR508" t="s">
        <v>896</v>
      </c>
      <c r="HS508" t="s">
        <v>896</v>
      </c>
    </row>
    <row r="509" spans="1:227" x14ac:dyDescent="0.2">
      <c r="A509">
        <v>8702</v>
      </c>
      <c r="B509">
        <v>7526201850</v>
      </c>
      <c r="C509" t="s">
        <v>829</v>
      </c>
      <c r="D509" t="s">
        <v>830</v>
      </c>
      <c r="E509" t="s">
        <v>831</v>
      </c>
      <c r="F509">
        <v>1</v>
      </c>
      <c r="G509" t="s">
        <v>10367</v>
      </c>
      <c r="H509" t="s">
        <v>10367</v>
      </c>
      <c r="I509">
        <v>0</v>
      </c>
      <c r="J509" t="s">
        <v>833</v>
      </c>
      <c r="K509" t="s">
        <v>834</v>
      </c>
      <c r="L509">
        <v>156586345</v>
      </c>
      <c r="M509" t="s">
        <v>1053</v>
      </c>
      <c r="N509" t="s">
        <v>836</v>
      </c>
      <c r="O509" t="s">
        <v>837</v>
      </c>
      <c r="P509" t="s">
        <v>838</v>
      </c>
      <c r="Q509" t="s">
        <v>839</v>
      </c>
      <c r="R509" t="s">
        <v>10368</v>
      </c>
      <c r="S509" t="s">
        <v>10369</v>
      </c>
      <c r="T509">
        <v>41477094379</v>
      </c>
      <c r="V509" t="s">
        <v>1003</v>
      </c>
      <c r="W509" s="41">
        <v>45919</v>
      </c>
      <c r="X509" t="s">
        <v>10370</v>
      </c>
      <c r="Y509" t="s">
        <v>10371</v>
      </c>
      <c r="AA509">
        <v>0</v>
      </c>
      <c r="AB509" t="s">
        <v>845</v>
      </c>
      <c r="AC509" t="s">
        <v>846</v>
      </c>
      <c r="AD509" t="s">
        <v>847</v>
      </c>
      <c r="AE509" t="s">
        <v>848</v>
      </c>
      <c r="AF509">
        <v>1</v>
      </c>
      <c r="AG509">
        <v>452210</v>
      </c>
      <c r="AH509" t="s">
        <v>849</v>
      </c>
      <c r="AI509" t="s">
        <v>850</v>
      </c>
      <c r="AJ509" t="s">
        <v>851</v>
      </c>
      <c r="AK509" t="s">
        <v>435</v>
      </c>
      <c r="AL509" t="s">
        <v>6009</v>
      </c>
      <c r="AM509" t="s">
        <v>1059</v>
      </c>
      <c r="AN509" t="s">
        <v>854</v>
      </c>
      <c r="AO509">
        <v>36805</v>
      </c>
      <c r="AP509">
        <v>638</v>
      </c>
      <c r="AQ509" t="s">
        <v>855</v>
      </c>
      <c r="AR509">
        <v>66121101</v>
      </c>
      <c r="AS509" t="s">
        <v>856</v>
      </c>
      <c r="AU509" t="s">
        <v>10372</v>
      </c>
      <c r="AV509" t="s">
        <v>10373</v>
      </c>
      <c r="AW509" t="s">
        <v>1185</v>
      </c>
      <c r="AX509" t="s">
        <v>1186</v>
      </c>
      <c r="AY509" t="s">
        <v>861</v>
      </c>
      <c r="AZ509" t="s">
        <v>435</v>
      </c>
      <c r="BA509" t="s">
        <v>436</v>
      </c>
      <c r="BB509">
        <v>0</v>
      </c>
      <c r="BC509">
        <v>0</v>
      </c>
      <c r="BD509">
        <v>1</v>
      </c>
      <c r="BE509" t="s">
        <v>1053</v>
      </c>
      <c r="BF509">
        <v>0</v>
      </c>
      <c r="BG509">
        <v>0</v>
      </c>
      <c r="BH509" t="s">
        <v>862</v>
      </c>
      <c r="BI509">
        <v>0</v>
      </c>
      <c r="BJ509" t="s">
        <v>862</v>
      </c>
      <c r="BK509">
        <v>1</v>
      </c>
      <c r="BL509">
        <v>0</v>
      </c>
      <c r="BM509">
        <v>0</v>
      </c>
      <c r="BN509" t="s">
        <v>596</v>
      </c>
      <c r="BO509">
        <v>156586345</v>
      </c>
      <c r="BP509" t="s">
        <v>10367</v>
      </c>
      <c r="BR509">
        <v>42791770</v>
      </c>
      <c r="BT509">
        <v>0</v>
      </c>
      <c r="CM509">
        <v>4010</v>
      </c>
      <c r="CO509">
        <v>7360</v>
      </c>
      <c r="CP509">
        <v>1.3167</v>
      </c>
      <c r="CQ509">
        <v>1.3167</v>
      </c>
      <c r="CR509">
        <v>1.8167</v>
      </c>
      <c r="CS509">
        <v>4</v>
      </c>
      <c r="CT509" t="s">
        <v>10374</v>
      </c>
      <c r="CU509" t="s">
        <v>10375</v>
      </c>
      <c r="CV509" t="s">
        <v>833</v>
      </c>
      <c r="CW509" t="s">
        <v>834</v>
      </c>
      <c r="CX509" t="s">
        <v>1053</v>
      </c>
      <c r="CY509">
        <v>1</v>
      </c>
      <c r="CZ509">
        <v>1</v>
      </c>
      <c r="DA509" t="s">
        <v>833</v>
      </c>
      <c r="DB509" t="s">
        <v>865</v>
      </c>
      <c r="DC509">
        <v>61704</v>
      </c>
      <c r="DD509">
        <v>3.6833</v>
      </c>
      <c r="DE509" t="s">
        <v>866</v>
      </c>
      <c r="DG509" t="s">
        <v>867</v>
      </c>
      <c r="DH509" t="s">
        <v>851</v>
      </c>
      <c r="DL509" t="s">
        <v>869</v>
      </c>
      <c r="DM509">
        <v>0</v>
      </c>
      <c r="DN509">
        <v>0</v>
      </c>
      <c r="DO509">
        <v>11</v>
      </c>
      <c r="DP509" t="s">
        <v>1010</v>
      </c>
      <c r="DQ509">
        <v>16</v>
      </c>
      <c r="DR509">
        <v>221</v>
      </c>
      <c r="DS509">
        <v>827</v>
      </c>
      <c r="DT509">
        <v>2.3666999999999998</v>
      </c>
      <c r="DU509">
        <v>4</v>
      </c>
      <c r="DW509">
        <v>2</v>
      </c>
      <c r="DX509" t="s">
        <v>594</v>
      </c>
      <c r="DY509" t="s">
        <v>1053</v>
      </c>
      <c r="DZ509">
        <v>0</v>
      </c>
      <c r="EA509">
        <v>0</v>
      </c>
      <c r="EB509">
        <v>0</v>
      </c>
      <c r="EC509">
        <v>0</v>
      </c>
      <c r="ED509">
        <v>0</v>
      </c>
      <c r="EE509">
        <v>0</v>
      </c>
      <c r="EF509" t="s">
        <v>871</v>
      </c>
      <c r="EG509" t="s">
        <v>595</v>
      </c>
      <c r="EH509" t="s">
        <v>872</v>
      </c>
      <c r="EI509" t="s">
        <v>872</v>
      </c>
      <c r="EJ509" t="s">
        <v>181</v>
      </c>
      <c r="EK509">
        <v>9090</v>
      </c>
      <c r="EL509">
        <v>0</v>
      </c>
      <c r="EM509" t="s">
        <v>1037</v>
      </c>
      <c r="EN509">
        <v>1.8167</v>
      </c>
      <c r="EO509">
        <v>13.783333300000001</v>
      </c>
      <c r="EP509">
        <v>99991120</v>
      </c>
      <c r="EQ509" t="s">
        <v>874</v>
      </c>
      <c r="ER509" t="s">
        <v>875</v>
      </c>
      <c r="ES509" t="s">
        <v>876</v>
      </c>
      <c r="ET509" t="s">
        <v>877</v>
      </c>
      <c r="EU509" t="s">
        <v>877</v>
      </c>
      <c r="EV509" t="s">
        <v>871</v>
      </c>
      <c r="EX509" t="s">
        <v>836</v>
      </c>
      <c r="EY509" t="s">
        <v>873</v>
      </c>
      <c r="EZ509" t="s">
        <v>1065</v>
      </c>
      <c r="FA509" t="s">
        <v>879</v>
      </c>
      <c r="FB509">
        <v>1</v>
      </c>
      <c r="FC509">
        <v>1</v>
      </c>
      <c r="FD509" s="41">
        <v>45920</v>
      </c>
      <c r="FE509" t="s">
        <v>880</v>
      </c>
      <c r="FF509">
        <v>8</v>
      </c>
      <c r="FG509" t="s">
        <v>10376</v>
      </c>
      <c r="FH509" t="s">
        <v>10377</v>
      </c>
      <c r="FI509">
        <v>1</v>
      </c>
      <c r="FJ509" t="s">
        <v>10378</v>
      </c>
      <c r="FK509" t="s">
        <v>10377</v>
      </c>
      <c r="FL509">
        <v>1</v>
      </c>
      <c r="FM509" t="s">
        <v>1071</v>
      </c>
      <c r="FN509" t="s">
        <v>10379</v>
      </c>
      <c r="FO509">
        <v>1</v>
      </c>
      <c r="FP509" t="s">
        <v>10380</v>
      </c>
      <c r="FQ509" t="s">
        <v>10375</v>
      </c>
      <c r="FR509">
        <v>1</v>
      </c>
      <c r="FS509" t="s">
        <v>7345</v>
      </c>
      <c r="FT509" t="s">
        <v>10381</v>
      </c>
      <c r="FU509">
        <v>1</v>
      </c>
      <c r="FV509" t="s">
        <v>10382</v>
      </c>
      <c r="FW509" t="s">
        <v>10383</v>
      </c>
      <c r="FX509">
        <v>1</v>
      </c>
      <c r="FY509" t="s">
        <v>890</v>
      </c>
      <c r="FZ509" t="s">
        <v>10384</v>
      </c>
      <c r="GA509" t="s">
        <v>10378</v>
      </c>
      <c r="GB509">
        <v>1</v>
      </c>
      <c r="GD509">
        <v>0</v>
      </c>
      <c r="GF509">
        <v>0</v>
      </c>
      <c r="GG509">
        <v>1</v>
      </c>
      <c r="GH509" t="s">
        <v>892</v>
      </c>
      <c r="GI509" t="s">
        <v>893</v>
      </c>
      <c r="GJ509" t="s">
        <v>10377</v>
      </c>
      <c r="GM509">
        <v>1</v>
      </c>
      <c r="GN509">
        <v>1</v>
      </c>
      <c r="GO509">
        <v>0</v>
      </c>
      <c r="GP509">
        <v>1</v>
      </c>
      <c r="GQ509">
        <v>1</v>
      </c>
      <c r="GR509">
        <v>0</v>
      </c>
      <c r="GS509">
        <v>1</v>
      </c>
      <c r="GT509">
        <v>0</v>
      </c>
      <c r="GU509">
        <v>1</v>
      </c>
      <c r="GV509">
        <v>0</v>
      </c>
      <c r="GW509">
        <v>1</v>
      </c>
      <c r="GX509">
        <v>0</v>
      </c>
      <c r="GY509">
        <v>1</v>
      </c>
      <c r="GZ509">
        <v>0</v>
      </c>
      <c r="HA509" t="s">
        <v>435</v>
      </c>
      <c r="HB509" t="s">
        <v>894</v>
      </c>
      <c r="HC509" t="s">
        <v>895</v>
      </c>
      <c r="HD509" t="s">
        <v>845</v>
      </c>
      <c r="HE509" t="s">
        <v>836</v>
      </c>
      <c r="HF509" t="s">
        <v>1051</v>
      </c>
      <c r="HG509" t="s">
        <v>894</v>
      </c>
      <c r="HH509" t="s">
        <v>895</v>
      </c>
      <c r="HI509" t="s">
        <v>845</v>
      </c>
      <c r="HJ509" t="s">
        <v>836</v>
      </c>
      <c r="HK509" t="s">
        <v>1037</v>
      </c>
      <c r="HL509" t="s">
        <v>1003</v>
      </c>
      <c r="HM509" t="s">
        <v>854</v>
      </c>
      <c r="HN509">
        <v>36805</v>
      </c>
      <c r="HP509" t="s">
        <v>181</v>
      </c>
      <c r="HQ509" t="s">
        <v>896</v>
      </c>
      <c r="HR509" t="s">
        <v>896</v>
      </c>
      <c r="HS509" t="s">
        <v>896</v>
      </c>
    </row>
    <row r="510" spans="1:227" x14ac:dyDescent="0.2">
      <c r="A510">
        <v>8702</v>
      </c>
      <c r="B510">
        <v>7526203398</v>
      </c>
      <c r="C510" t="s">
        <v>1171</v>
      </c>
      <c r="D510" t="s">
        <v>1172</v>
      </c>
      <c r="E510" t="s">
        <v>831</v>
      </c>
      <c r="F510">
        <v>0</v>
      </c>
      <c r="G510" t="s">
        <v>10385</v>
      </c>
      <c r="H510" t="s">
        <v>10385</v>
      </c>
      <c r="I510">
        <v>0</v>
      </c>
      <c r="J510" t="s">
        <v>833</v>
      </c>
      <c r="K510" t="s">
        <v>834</v>
      </c>
      <c r="L510">
        <v>156586337</v>
      </c>
      <c r="M510" t="s">
        <v>10386</v>
      </c>
      <c r="N510" t="s">
        <v>836</v>
      </c>
      <c r="O510" t="s">
        <v>837</v>
      </c>
      <c r="P510" t="s">
        <v>1175</v>
      </c>
      <c r="Q510" t="s">
        <v>1176</v>
      </c>
      <c r="R510" t="s">
        <v>10387</v>
      </c>
      <c r="S510" t="s">
        <v>10388</v>
      </c>
      <c r="T510">
        <v>41477009164</v>
      </c>
      <c r="V510" t="s">
        <v>115</v>
      </c>
      <c r="W510" s="41">
        <v>45919</v>
      </c>
      <c r="X510" t="s">
        <v>10389</v>
      </c>
      <c r="Y510" t="s">
        <v>10390</v>
      </c>
      <c r="AA510">
        <v>0</v>
      </c>
      <c r="AB510" t="s">
        <v>845</v>
      </c>
      <c r="AC510" t="s">
        <v>846</v>
      </c>
      <c r="AD510" t="s">
        <v>847</v>
      </c>
      <c r="AE510" t="s">
        <v>848</v>
      </c>
      <c r="AF510">
        <v>1</v>
      </c>
      <c r="AG510">
        <v>452210</v>
      </c>
      <c r="AH510" t="s">
        <v>849</v>
      </c>
      <c r="AI510" t="s">
        <v>850</v>
      </c>
      <c r="AJ510" t="s">
        <v>851</v>
      </c>
      <c r="AK510" t="s">
        <v>357</v>
      </c>
      <c r="AL510" t="s">
        <v>1735</v>
      </c>
      <c r="AM510" t="s">
        <v>8294</v>
      </c>
      <c r="AN510" t="s">
        <v>854</v>
      </c>
      <c r="AO510">
        <v>36805</v>
      </c>
      <c r="AP510">
        <v>492</v>
      </c>
      <c r="AQ510" t="s">
        <v>855</v>
      </c>
      <c r="AR510">
        <v>66121194</v>
      </c>
      <c r="AS510" t="s">
        <v>856</v>
      </c>
      <c r="AU510" t="s">
        <v>10391</v>
      </c>
      <c r="AV510" t="s">
        <v>10392</v>
      </c>
      <c r="AW510" t="s">
        <v>1261</v>
      </c>
      <c r="AX510" t="s">
        <v>1262</v>
      </c>
      <c r="AY510" t="s">
        <v>861</v>
      </c>
      <c r="AZ510" t="s">
        <v>357</v>
      </c>
      <c r="BA510" t="s">
        <v>358</v>
      </c>
      <c r="BB510">
        <v>0</v>
      </c>
      <c r="BC510">
        <v>0</v>
      </c>
      <c r="BD510">
        <v>0</v>
      </c>
      <c r="BE510" t="s">
        <v>10386</v>
      </c>
      <c r="BF510">
        <v>0</v>
      </c>
      <c r="BG510">
        <v>0</v>
      </c>
      <c r="BH510" t="s">
        <v>862</v>
      </c>
      <c r="BI510">
        <v>0</v>
      </c>
      <c r="BJ510" t="s">
        <v>862</v>
      </c>
      <c r="BK510">
        <v>1</v>
      </c>
      <c r="BL510">
        <v>0</v>
      </c>
      <c r="BM510">
        <v>0</v>
      </c>
      <c r="BN510" t="s">
        <v>596</v>
      </c>
      <c r="BO510">
        <v>156586337</v>
      </c>
      <c r="BP510" t="s">
        <v>10385</v>
      </c>
      <c r="BQ510">
        <v>38.598134299999998</v>
      </c>
      <c r="BR510">
        <v>42789020</v>
      </c>
      <c r="BS510">
        <v>-90.487782899999999</v>
      </c>
      <c r="BT510">
        <v>0</v>
      </c>
      <c r="CM510">
        <v>4010</v>
      </c>
      <c r="CO510">
        <v>7360</v>
      </c>
      <c r="CP510">
        <v>0.16669999999999999</v>
      </c>
      <c r="CQ510">
        <v>0.16669999999999999</v>
      </c>
      <c r="CR510">
        <v>1.35</v>
      </c>
      <c r="CS510">
        <v>7</v>
      </c>
      <c r="CT510" t="s">
        <v>10393</v>
      </c>
      <c r="CU510" t="s">
        <v>10394</v>
      </c>
      <c r="CV510" t="s">
        <v>8299</v>
      </c>
      <c r="CW510" t="s">
        <v>8300</v>
      </c>
      <c r="CX510" t="s">
        <v>10386</v>
      </c>
      <c r="CY510">
        <v>0</v>
      </c>
      <c r="CZ510">
        <v>0</v>
      </c>
      <c r="DA510" t="s">
        <v>833</v>
      </c>
      <c r="DB510" t="s">
        <v>865</v>
      </c>
      <c r="DC510">
        <v>63011</v>
      </c>
      <c r="DD510">
        <v>3.6333000000000002</v>
      </c>
      <c r="DE510" t="s">
        <v>866</v>
      </c>
      <c r="DG510" t="s">
        <v>867</v>
      </c>
      <c r="DH510" t="s">
        <v>851</v>
      </c>
      <c r="DL510" t="s">
        <v>869</v>
      </c>
      <c r="DM510">
        <v>0</v>
      </c>
      <c r="DN510">
        <v>0</v>
      </c>
      <c r="DO510">
        <v>3</v>
      </c>
      <c r="DP510" t="s">
        <v>919</v>
      </c>
      <c r="DQ510">
        <v>16</v>
      </c>
      <c r="DR510">
        <v>218</v>
      </c>
      <c r="DS510">
        <v>218</v>
      </c>
      <c r="DT510">
        <v>3.4666999999999999</v>
      </c>
      <c r="DU510">
        <v>4</v>
      </c>
      <c r="DW510">
        <v>2</v>
      </c>
      <c r="DX510" t="s">
        <v>594</v>
      </c>
      <c r="DY510" t="s">
        <v>10386</v>
      </c>
      <c r="DZ510">
        <v>0</v>
      </c>
      <c r="EA510">
        <v>0</v>
      </c>
      <c r="EB510">
        <v>0</v>
      </c>
      <c r="EC510">
        <v>0</v>
      </c>
      <c r="ED510">
        <v>0</v>
      </c>
      <c r="EE510">
        <v>0</v>
      </c>
      <c r="EF510" t="s">
        <v>920</v>
      </c>
      <c r="EG510" t="s">
        <v>595</v>
      </c>
      <c r="EH510" t="s">
        <v>872</v>
      </c>
      <c r="EI510" t="s">
        <v>872</v>
      </c>
      <c r="EJ510" t="s">
        <v>111</v>
      </c>
      <c r="EK510">
        <v>9090</v>
      </c>
      <c r="EL510">
        <v>0</v>
      </c>
      <c r="EM510" t="s">
        <v>1037</v>
      </c>
      <c r="EN510">
        <v>1.35</v>
      </c>
      <c r="EO510">
        <v>3.6333332999999999</v>
      </c>
      <c r="EP510">
        <v>99991120</v>
      </c>
      <c r="EQ510" t="s">
        <v>874</v>
      </c>
      <c r="ER510" t="s">
        <v>875</v>
      </c>
      <c r="ES510" t="s">
        <v>876</v>
      </c>
      <c r="ET510" t="s">
        <v>877</v>
      </c>
      <c r="EU510" t="s">
        <v>877</v>
      </c>
      <c r="EV510" t="s">
        <v>920</v>
      </c>
      <c r="EX510" t="s">
        <v>900</v>
      </c>
      <c r="EY510" t="s">
        <v>923</v>
      </c>
      <c r="EZ510" t="s">
        <v>1038</v>
      </c>
      <c r="FA510" t="s">
        <v>925</v>
      </c>
      <c r="FB510">
        <v>1</v>
      </c>
      <c r="FC510">
        <v>1</v>
      </c>
      <c r="FD510" s="41">
        <v>45920</v>
      </c>
      <c r="FE510" t="s">
        <v>880</v>
      </c>
      <c r="FF510">
        <v>5</v>
      </c>
      <c r="FI510">
        <v>0</v>
      </c>
      <c r="FJ510" t="s">
        <v>10395</v>
      </c>
      <c r="FK510" t="s">
        <v>10396</v>
      </c>
      <c r="FL510">
        <v>1</v>
      </c>
      <c r="FM510" t="s">
        <v>10397</v>
      </c>
      <c r="FN510" t="s">
        <v>10398</v>
      </c>
      <c r="FO510">
        <v>1</v>
      </c>
      <c r="FP510" t="s">
        <v>10399</v>
      </c>
      <c r="FQ510" t="s">
        <v>10394</v>
      </c>
      <c r="FR510">
        <v>1</v>
      </c>
      <c r="FS510" t="s">
        <v>10400</v>
      </c>
      <c r="FT510" t="s">
        <v>10401</v>
      </c>
      <c r="FU510">
        <v>1</v>
      </c>
      <c r="FV510" t="s">
        <v>10395</v>
      </c>
      <c r="FW510" t="s">
        <v>10396</v>
      </c>
      <c r="FX510">
        <v>1</v>
      </c>
      <c r="FY510" t="s">
        <v>890</v>
      </c>
      <c r="FZ510" t="s">
        <v>10402</v>
      </c>
      <c r="GA510" t="s">
        <v>10395</v>
      </c>
      <c r="GB510">
        <v>1</v>
      </c>
      <c r="GD510">
        <v>0</v>
      </c>
      <c r="GF510">
        <v>0</v>
      </c>
      <c r="GG510">
        <v>1</v>
      </c>
      <c r="GH510" t="s">
        <v>892</v>
      </c>
      <c r="GI510" t="s">
        <v>893</v>
      </c>
      <c r="GJ510" t="s">
        <v>10396</v>
      </c>
      <c r="GM510">
        <v>1</v>
      </c>
      <c r="GN510">
        <v>1</v>
      </c>
      <c r="GO510">
        <v>0</v>
      </c>
      <c r="GP510">
        <v>1</v>
      </c>
      <c r="GQ510">
        <v>1</v>
      </c>
      <c r="GR510">
        <v>0</v>
      </c>
      <c r="GS510">
        <v>1</v>
      </c>
      <c r="GT510">
        <v>0</v>
      </c>
      <c r="GU510">
        <v>1</v>
      </c>
      <c r="GV510">
        <v>0</v>
      </c>
      <c r="GW510">
        <v>1</v>
      </c>
      <c r="GX510">
        <v>0</v>
      </c>
      <c r="GY510">
        <v>1</v>
      </c>
      <c r="GZ510">
        <v>0</v>
      </c>
      <c r="HA510" t="s">
        <v>357</v>
      </c>
      <c r="HB510" t="s">
        <v>894</v>
      </c>
      <c r="HC510" t="s">
        <v>895</v>
      </c>
      <c r="HD510" t="s">
        <v>845</v>
      </c>
      <c r="HE510" t="s">
        <v>836</v>
      </c>
      <c r="HF510" t="s">
        <v>1051</v>
      </c>
      <c r="HG510" t="s">
        <v>894</v>
      </c>
      <c r="HH510" t="s">
        <v>895</v>
      </c>
      <c r="HI510" t="s">
        <v>845</v>
      </c>
      <c r="HJ510" t="s">
        <v>836</v>
      </c>
      <c r="HK510" t="s">
        <v>1037</v>
      </c>
      <c r="HL510" t="s">
        <v>115</v>
      </c>
      <c r="HM510" t="s">
        <v>854</v>
      </c>
      <c r="HN510">
        <v>36805</v>
      </c>
      <c r="HP510" t="s">
        <v>111</v>
      </c>
      <c r="HQ510" t="s">
        <v>896</v>
      </c>
      <c r="HR510" t="s">
        <v>896</v>
      </c>
      <c r="HS510" t="s">
        <v>896</v>
      </c>
    </row>
    <row r="511" spans="1:227" x14ac:dyDescent="0.2">
      <c r="A511">
        <v>8702</v>
      </c>
      <c r="B511">
        <v>7617013554</v>
      </c>
      <c r="C511">
        <v>34</v>
      </c>
      <c r="D511" t="s">
        <v>996</v>
      </c>
      <c r="E511" t="s">
        <v>831</v>
      </c>
      <c r="F511">
        <v>0</v>
      </c>
      <c r="G511" t="s">
        <v>10403</v>
      </c>
      <c r="H511" t="s">
        <v>10403</v>
      </c>
      <c r="I511">
        <v>0</v>
      </c>
      <c r="J511" t="s">
        <v>833</v>
      </c>
      <c r="K511" t="s">
        <v>834</v>
      </c>
      <c r="L511">
        <v>142427763</v>
      </c>
      <c r="M511" t="s">
        <v>10404</v>
      </c>
      <c r="N511" t="s">
        <v>836</v>
      </c>
      <c r="O511" t="s">
        <v>837</v>
      </c>
      <c r="P511" t="s">
        <v>999</v>
      </c>
      <c r="Q511" t="s">
        <v>1027</v>
      </c>
      <c r="R511" t="s">
        <v>10405</v>
      </c>
      <c r="S511" t="s">
        <v>10406</v>
      </c>
      <c r="T511">
        <v>41477047363</v>
      </c>
      <c r="V511" t="s">
        <v>1083</v>
      </c>
      <c r="W511" s="41">
        <v>46192</v>
      </c>
      <c r="X511" t="s">
        <v>10407</v>
      </c>
      <c r="Y511" t="s">
        <v>10408</v>
      </c>
      <c r="AA511">
        <v>0</v>
      </c>
      <c r="AB511" t="s">
        <v>845</v>
      </c>
      <c r="AC511" t="s">
        <v>846</v>
      </c>
      <c r="AD511" t="s">
        <v>907</v>
      </c>
      <c r="AE511" t="s">
        <v>908</v>
      </c>
      <c r="AF511">
        <v>1</v>
      </c>
      <c r="AG511">
        <v>452210</v>
      </c>
      <c r="AH511" t="s">
        <v>849</v>
      </c>
      <c r="AI511" t="s">
        <v>850</v>
      </c>
      <c r="AJ511" t="s">
        <v>851</v>
      </c>
      <c r="AK511" t="s">
        <v>261</v>
      </c>
      <c r="AL511" t="s">
        <v>1363</v>
      </c>
      <c r="AM511" t="s">
        <v>1087</v>
      </c>
      <c r="AN511" t="s">
        <v>854</v>
      </c>
      <c r="AO511">
        <v>36805</v>
      </c>
      <c r="AP511">
        <v>448</v>
      </c>
      <c r="AQ511" t="s">
        <v>855</v>
      </c>
      <c r="AR511">
        <v>66514882</v>
      </c>
      <c r="AS511" t="s">
        <v>856</v>
      </c>
      <c r="AU511" t="s">
        <v>10409</v>
      </c>
      <c r="AV511" t="s">
        <v>10410</v>
      </c>
      <c r="AX511" t="s">
        <v>913</v>
      </c>
      <c r="AY511" t="s">
        <v>861</v>
      </c>
      <c r="AZ511" t="s">
        <v>261</v>
      </c>
      <c r="BA511" t="s">
        <v>262</v>
      </c>
      <c r="BB511">
        <v>0</v>
      </c>
      <c r="BC511">
        <v>0</v>
      </c>
      <c r="BD511">
        <v>1</v>
      </c>
      <c r="BE511" t="s">
        <v>10404</v>
      </c>
      <c r="BF511">
        <v>0</v>
      </c>
      <c r="BG511">
        <v>0</v>
      </c>
      <c r="BH511" t="s">
        <v>862</v>
      </c>
      <c r="BI511">
        <v>0</v>
      </c>
      <c r="BJ511" t="s">
        <v>862</v>
      </c>
      <c r="BK511">
        <v>1</v>
      </c>
      <c r="BL511">
        <v>1</v>
      </c>
      <c r="BM511">
        <v>0</v>
      </c>
      <c r="BN511" t="s">
        <v>596</v>
      </c>
      <c r="BO511">
        <v>142427763</v>
      </c>
      <c r="BP511" t="s">
        <v>10403</v>
      </c>
      <c r="BR511">
        <v>42511030</v>
      </c>
      <c r="BT511">
        <v>2</v>
      </c>
      <c r="BU511" t="s">
        <v>1314</v>
      </c>
      <c r="BY511">
        <v>16</v>
      </c>
      <c r="CA511">
        <v>7</v>
      </c>
      <c r="CE511">
        <v>1</v>
      </c>
      <c r="CI511">
        <v>11</v>
      </c>
      <c r="CJ511" t="s">
        <v>94</v>
      </c>
      <c r="CM511">
        <v>4010</v>
      </c>
      <c r="CO511">
        <v>7360</v>
      </c>
      <c r="CP511">
        <v>0.4</v>
      </c>
      <c r="CQ511">
        <v>0.4</v>
      </c>
      <c r="CR511">
        <v>1.0166999999999999</v>
      </c>
      <c r="CS511">
        <v>5</v>
      </c>
      <c r="CT511" t="s">
        <v>10411</v>
      </c>
      <c r="CU511" t="s">
        <v>10412</v>
      </c>
      <c r="CV511" t="s">
        <v>833</v>
      </c>
      <c r="CW511" t="s">
        <v>834</v>
      </c>
      <c r="CX511" t="s">
        <v>10404</v>
      </c>
      <c r="CY511">
        <v>1</v>
      </c>
      <c r="CZ511">
        <v>1</v>
      </c>
      <c r="DA511" t="s">
        <v>833</v>
      </c>
      <c r="DB511" t="s">
        <v>865</v>
      </c>
      <c r="DC511">
        <v>63110</v>
      </c>
      <c r="DD511">
        <v>7.1166999999999998</v>
      </c>
      <c r="DE511" t="s">
        <v>866</v>
      </c>
      <c r="DG511" t="s">
        <v>867</v>
      </c>
      <c r="DH511" t="s">
        <v>851</v>
      </c>
      <c r="DI511" t="s">
        <v>1092</v>
      </c>
      <c r="DK511" t="s">
        <v>918</v>
      </c>
      <c r="DL511" t="s">
        <v>869</v>
      </c>
      <c r="DM511">
        <v>0</v>
      </c>
      <c r="DN511">
        <v>0</v>
      </c>
      <c r="DO511">
        <v>11</v>
      </c>
      <c r="DP511" t="s">
        <v>1010</v>
      </c>
      <c r="DQ511">
        <v>16</v>
      </c>
      <c r="DR511">
        <v>427</v>
      </c>
      <c r="DS511">
        <v>534</v>
      </c>
      <c r="DT511">
        <v>7.1166999999999998</v>
      </c>
      <c r="DU511">
        <v>4</v>
      </c>
      <c r="DV511">
        <v>1</v>
      </c>
      <c r="DW511">
        <v>2</v>
      </c>
      <c r="DX511" t="s">
        <v>596</v>
      </c>
      <c r="DY511" t="s">
        <v>10404</v>
      </c>
      <c r="DZ511">
        <v>1</v>
      </c>
      <c r="EA511">
        <v>1</v>
      </c>
      <c r="EB511">
        <v>1</v>
      </c>
      <c r="EC511">
        <v>0</v>
      </c>
      <c r="ED511">
        <v>0</v>
      </c>
      <c r="EE511">
        <v>1</v>
      </c>
      <c r="EF511" t="s">
        <v>920</v>
      </c>
      <c r="EG511" t="s">
        <v>595</v>
      </c>
      <c r="EH511" t="s">
        <v>921</v>
      </c>
      <c r="EI511" t="s">
        <v>921</v>
      </c>
      <c r="EJ511" t="s">
        <v>111</v>
      </c>
      <c r="EK511">
        <v>9090</v>
      </c>
      <c r="EL511">
        <v>0</v>
      </c>
      <c r="EM511" t="s">
        <v>1037</v>
      </c>
      <c r="EN511">
        <v>1.0166999999999999</v>
      </c>
      <c r="EO511">
        <v>8.9</v>
      </c>
      <c r="EP511">
        <v>99991120</v>
      </c>
      <c r="EQ511" t="s">
        <v>874</v>
      </c>
      <c r="ER511" t="s">
        <v>875</v>
      </c>
      <c r="ES511" t="s">
        <v>876</v>
      </c>
      <c r="ET511" t="s">
        <v>877</v>
      </c>
      <c r="EU511" t="s">
        <v>877</v>
      </c>
      <c r="EV511" t="s">
        <v>920</v>
      </c>
      <c r="EX511" t="s">
        <v>836</v>
      </c>
      <c r="EY511" t="s">
        <v>1051</v>
      </c>
      <c r="EZ511" t="s">
        <v>1038</v>
      </c>
      <c r="FA511" t="s">
        <v>925</v>
      </c>
      <c r="FB511">
        <v>1</v>
      </c>
      <c r="FC511">
        <v>1</v>
      </c>
      <c r="FD511" s="41">
        <v>46193</v>
      </c>
      <c r="FE511" t="s">
        <v>1315</v>
      </c>
      <c r="FF511">
        <v>7</v>
      </c>
      <c r="FG511" t="s">
        <v>1376</v>
      </c>
      <c r="FH511" t="s">
        <v>10413</v>
      </c>
      <c r="FI511">
        <v>1</v>
      </c>
      <c r="FJ511" t="s">
        <v>10414</v>
      </c>
      <c r="FK511" t="s">
        <v>10415</v>
      </c>
      <c r="FL511">
        <v>1</v>
      </c>
      <c r="FM511" t="s">
        <v>10416</v>
      </c>
      <c r="FN511" t="s">
        <v>10417</v>
      </c>
      <c r="FO511">
        <v>1</v>
      </c>
      <c r="FP511" t="s">
        <v>10418</v>
      </c>
      <c r="FQ511" t="s">
        <v>10419</v>
      </c>
      <c r="FR511">
        <v>1</v>
      </c>
      <c r="FS511" t="s">
        <v>1100</v>
      </c>
      <c r="FT511" t="s">
        <v>10420</v>
      </c>
      <c r="FU511">
        <v>1</v>
      </c>
      <c r="FV511" t="s">
        <v>1102</v>
      </c>
      <c r="FW511" t="s">
        <v>10421</v>
      </c>
      <c r="FX511">
        <v>1</v>
      </c>
      <c r="FY511" t="s">
        <v>890</v>
      </c>
      <c r="FZ511" t="s">
        <v>10422</v>
      </c>
      <c r="GA511" t="s">
        <v>10414</v>
      </c>
      <c r="GB511">
        <v>1</v>
      </c>
      <c r="GD511">
        <v>0</v>
      </c>
      <c r="GF511">
        <v>0</v>
      </c>
      <c r="GG511">
        <v>1</v>
      </c>
      <c r="GH511" t="s">
        <v>892</v>
      </c>
      <c r="GI511" t="s">
        <v>893</v>
      </c>
      <c r="GJ511" t="s">
        <v>10415</v>
      </c>
      <c r="GM511">
        <v>1</v>
      </c>
      <c r="GN511">
        <v>1</v>
      </c>
      <c r="GO511">
        <v>0</v>
      </c>
      <c r="GP511">
        <v>1</v>
      </c>
      <c r="GQ511">
        <v>1</v>
      </c>
      <c r="GR511">
        <v>0</v>
      </c>
      <c r="GS511">
        <v>1</v>
      </c>
      <c r="GT511">
        <v>0</v>
      </c>
      <c r="GU511">
        <v>1</v>
      </c>
      <c r="GV511">
        <v>0</v>
      </c>
      <c r="GW511">
        <v>1</v>
      </c>
      <c r="GX511">
        <v>0</v>
      </c>
      <c r="GY511">
        <v>1</v>
      </c>
      <c r="GZ511">
        <v>0</v>
      </c>
      <c r="HA511" t="s">
        <v>261</v>
      </c>
      <c r="HB511" t="s">
        <v>894</v>
      </c>
      <c r="HC511" t="s">
        <v>895</v>
      </c>
      <c r="HD511" t="s">
        <v>845</v>
      </c>
      <c r="HE511" t="s">
        <v>836</v>
      </c>
      <c r="HF511" t="s">
        <v>1051</v>
      </c>
      <c r="HG511" t="s">
        <v>894</v>
      </c>
      <c r="HH511" t="s">
        <v>895</v>
      </c>
      <c r="HI511" t="s">
        <v>845</v>
      </c>
      <c r="HJ511" t="s">
        <v>836</v>
      </c>
      <c r="HK511" t="s">
        <v>1037</v>
      </c>
      <c r="HL511" t="s">
        <v>1083</v>
      </c>
      <c r="HM511" t="s">
        <v>854</v>
      </c>
      <c r="HN511">
        <v>36805</v>
      </c>
      <c r="HP511" t="s">
        <v>111</v>
      </c>
      <c r="HQ511" t="s">
        <v>896</v>
      </c>
      <c r="HR511" t="s">
        <v>896</v>
      </c>
      <c r="HS511" t="s">
        <v>896</v>
      </c>
    </row>
    <row r="512" spans="1:227" x14ac:dyDescent="0.2">
      <c r="A512">
        <v>8702</v>
      </c>
      <c r="B512">
        <v>7522100025</v>
      </c>
      <c r="C512" t="s">
        <v>829</v>
      </c>
      <c r="D512" t="s">
        <v>830</v>
      </c>
      <c r="E512" t="s">
        <v>897</v>
      </c>
      <c r="F512">
        <v>1</v>
      </c>
      <c r="G512" t="s">
        <v>10423</v>
      </c>
      <c r="H512" t="s">
        <v>10423</v>
      </c>
      <c r="I512">
        <v>0</v>
      </c>
      <c r="J512" t="s">
        <v>833</v>
      </c>
      <c r="K512" t="s">
        <v>834</v>
      </c>
      <c r="L512">
        <v>152858777</v>
      </c>
      <c r="M512" t="s">
        <v>6060</v>
      </c>
      <c r="N512" t="s">
        <v>900</v>
      </c>
      <c r="O512" t="s">
        <v>837</v>
      </c>
      <c r="P512" t="s">
        <v>838</v>
      </c>
      <c r="Q512" t="s">
        <v>839</v>
      </c>
      <c r="R512" t="s">
        <v>10424</v>
      </c>
      <c r="S512" t="s">
        <v>10425</v>
      </c>
      <c r="T512">
        <v>41477090543</v>
      </c>
      <c r="V512" t="s">
        <v>1226</v>
      </c>
      <c r="W512" s="41">
        <v>45880</v>
      </c>
      <c r="X512" t="s">
        <v>10426</v>
      </c>
      <c r="Y512" t="s">
        <v>10427</v>
      </c>
      <c r="AA512">
        <v>0</v>
      </c>
      <c r="AB512" t="s">
        <v>845</v>
      </c>
      <c r="AC512" t="s">
        <v>846</v>
      </c>
      <c r="AD512" t="s">
        <v>847</v>
      </c>
      <c r="AE512" t="s">
        <v>848</v>
      </c>
      <c r="AF512">
        <v>1</v>
      </c>
      <c r="AG512">
        <v>452210</v>
      </c>
      <c r="AH512" t="s">
        <v>849</v>
      </c>
      <c r="AI512" t="s">
        <v>850</v>
      </c>
      <c r="AJ512" t="s">
        <v>851</v>
      </c>
      <c r="AK512" t="s">
        <v>371</v>
      </c>
      <c r="AL512" t="s">
        <v>4598</v>
      </c>
      <c r="AM512" t="s">
        <v>1230</v>
      </c>
      <c r="AN512" t="s">
        <v>854</v>
      </c>
      <c r="AO512">
        <v>36805</v>
      </c>
      <c r="AP512">
        <v>925</v>
      </c>
      <c r="AQ512" t="s">
        <v>855</v>
      </c>
      <c r="AR512">
        <v>66065124</v>
      </c>
      <c r="AS512" t="s">
        <v>856</v>
      </c>
      <c r="AU512" t="s">
        <v>10428</v>
      </c>
      <c r="AV512" t="s">
        <v>10429</v>
      </c>
      <c r="AX512" t="s">
        <v>913</v>
      </c>
      <c r="AY512" t="s">
        <v>861</v>
      </c>
      <c r="AZ512" t="s">
        <v>371</v>
      </c>
      <c r="BA512" t="s">
        <v>372</v>
      </c>
      <c r="BB512">
        <v>1</v>
      </c>
      <c r="BC512">
        <v>0</v>
      </c>
      <c r="BD512">
        <v>0</v>
      </c>
      <c r="BE512" t="s">
        <v>6060</v>
      </c>
      <c r="BF512">
        <v>0</v>
      </c>
      <c r="BG512">
        <v>0</v>
      </c>
      <c r="BH512" t="s">
        <v>862</v>
      </c>
      <c r="BI512">
        <v>0</v>
      </c>
      <c r="BJ512" t="s">
        <v>862</v>
      </c>
      <c r="BK512">
        <v>1</v>
      </c>
      <c r="BL512">
        <v>1</v>
      </c>
      <c r="BM512">
        <v>0</v>
      </c>
      <c r="BN512" t="s">
        <v>596</v>
      </c>
      <c r="BO512">
        <v>152858777</v>
      </c>
      <c r="BP512" t="s">
        <v>10423</v>
      </c>
      <c r="BQ512">
        <v>41.518167300000002</v>
      </c>
      <c r="BR512">
        <v>42793649</v>
      </c>
      <c r="BS512">
        <v>-81.449500999999998</v>
      </c>
      <c r="BT512">
        <v>0</v>
      </c>
      <c r="CM512">
        <v>4010</v>
      </c>
      <c r="CO512">
        <v>7360</v>
      </c>
      <c r="CP512">
        <v>2.1333000000000002</v>
      </c>
      <c r="CQ512">
        <v>2.1333000000000002</v>
      </c>
      <c r="CR512">
        <v>0.6</v>
      </c>
      <c r="CS512">
        <v>0</v>
      </c>
      <c r="CT512" t="s">
        <v>10429</v>
      </c>
      <c r="CU512" t="s">
        <v>10428</v>
      </c>
      <c r="CV512" t="s">
        <v>833</v>
      </c>
      <c r="CW512" t="s">
        <v>834</v>
      </c>
      <c r="CX512" t="s">
        <v>6060</v>
      </c>
      <c r="CY512">
        <v>1</v>
      </c>
      <c r="CZ512">
        <v>1</v>
      </c>
      <c r="DA512" t="s">
        <v>833</v>
      </c>
      <c r="DB512" t="s">
        <v>865</v>
      </c>
      <c r="DC512">
        <v>44124</v>
      </c>
      <c r="DD512">
        <v>23.383299999999998</v>
      </c>
      <c r="DE512" t="s">
        <v>866</v>
      </c>
      <c r="DG512" t="s">
        <v>867</v>
      </c>
      <c r="DH512" t="s">
        <v>851</v>
      </c>
      <c r="DI512" t="s">
        <v>1846</v>
      </c>
      <c r="DL512" t="s">
        <v>869</v>
      </c>
      <c r="DM512">
        <v>0</v>
      </c>
      <c r="DN512">
        <v>0</v>
      </c>
      <c r="DO512">
        <v>11</v>
      </c>
      <c r="DP512" t="s">
        <v>1010</v>
      </c>
      <c r="DQ512">
        <v>16</v>
      </c>
      <c r="DR512">
        <v>1403</v>
      </c>
      <c r="DS512">
        <v>2843</v>
      </c>
      <c r="DT512">
        <v>3.1</v>
      </c>
      <c r="DU512">
        <v>4</v>
      </c>
      <c r="DW512">
        <v>2</v>
      </c>
      <c r="DX512" t="s">
        <v>596</v>
      </c>
      <c r="DY512" t="s">
        <v>6060</v>
      </c>
      <c r="DZ512">
        <v>0</v>
      </c>
      <c r="EA512">
        <v>0</v>
      </c>
      <c r="EB512">
        <v>1</v>
      </c>
      <c r="EC512">
        <v>1</v>
      </c>
      <c r="ED512">
        <v>1</v>
      </c>
      <c r="EE512">
        <v>1</v>
      </c>
      <c r="EF512" t="s">
        <v>871</v>
      </c>
      <c r="EG512" t="s">
        <v>595</v>
      </c>
      <c r="EH512" t="s">
        <v>921</v>
      </c>
      <c r="EI512" t="s">
        <v>921</v>
      </c>
      <c r="EJ512" t="s">
        <v>226</v>
      </c>
      <c r="EK512">
        <v>9090</v>
      </c>
      <c r="EL512">
        <v>0</v>
      </c>
      <c r="EM512" t="s">
        <v>1157</v>
      </c>
      <c r="EN512">
        <v>0.6</v>
      </c>
      <c r="EO512">
        <v>47.383333299999997</v>
      </c>
      <c r="EP512">
        <v>99991120</v>
      </c>
      <c r="EQ512" t="s">
        <v>874</v>
      </c>
      <c r="ER512" t="s">
        <v>875</v>
      </c>
      <c r="ES512" t="s">
        <v>876</v>
      </c>
      <c r="ET512" t="s">
        <v>877</v>
      </c>
      <c r="EU512" t="s">
        <v>877</v>
      </c>
      <c r="EV512" t="s">
        <v>871</v>
      </c>
      <c r="EX512" t="s">
        <v>953</v>
      </c>
      <c r="EY512" t="s">
        <v>986</v>
      </c>
      <c r="EZ512" t="s">
        <v>1236</v>
      </c>
      <c r="FA512" t="s">
        <v>956</v>
      </c>
      <c r="FB512">
        <v>1</v>
      </c>
      <c r="FC512">
        <v>2</v>
      </c>
      <c r="FD512" s="41">
        <v>45885</v>
      </c>
      <c r="FE512" t="s">
        <v>987</v>
      </c>
      <c r="FF512">
        <v>13</v>
      </c>
      <c r="FG512" t="s">
        <v>10430</v>
      </c>
      <c r="FH512" t="s">
        <v>10431</v>
      </c>
      <c r="FI512">
        <v>1</v>
      </c>
      <c r="FJ512" t="s">
        <v>10432</v>
      </c>
      <c r="FK512" t="s">
        <v>10433</v>
      </c>
      <c r="FL512">
        <v>1</v>
      </c>
      <c r="FM512" t="s">
        <v>6069</v>
      </c>
      <c r="FN512" t="s">
        <v>10434</v>
      </c>
      <c r="FO512">
        <v>1</v>
      </c>
      <c r="FP512" t="s">
        <v>10435</v>
      </c>
      <c r="FQ512" t="s">
        <v>10436</v>
      </c>
      <c r="FR512">
        <v>1</v>
      </c>
      <c r="FS512" t="s">
        <v>1244</v>
      </c>
      <c r="FT512" t="s">
        <v>10437</v>
      </c>
      <c r="FU512">
        <v>1</v>
      </c>
      <c r="FV512" t="s">
        <v>10438</v>
      </c>
      <c r="FW512" t="s">
        <v>10439</v>
      </c>
      <c r="FX512">
        <v>1</v>
      </c>
      <c r="FY512" t="s">
        <v>890</v>
      </c>
      <c r="FZ512" t="s">
        <v>10440</v>
      </c>
      <c r="GA512" t="s">
        <v>10432</v>
      </c>
      <c r="GB512">
        <v>1</v>
      </c>
      <c r="GD512">
        <v>0</v>
      </c>
      <c r="GF512">
        <v>0</v>
      </c>
      <c r="GG512">
        <v>1</v>
      </c>
      <c r="GH512" t="s">
        <v>892</v>
      </c>
      <c r="GI512" t="s">
        <v>893</v>
      </c>
      <c r="GJ512" t="s">
        <v>10433</v>
      </c>
      <c r="GM512">
        <v>1</v>
      </c>
      <c r="GN512">
        <v>0</v>
      </c>
      <c r="GO512">
        <v>0</v>
      </c>
      <c r="GP512">
        <v>1</v>
      </c>
      <c r="GQ512">
        <v>1</v>
      </c>
      <c r="GR512">
        <v>0</v>
      </c>
      <c r="GS512">
        <v>1</v>
      </c>
      <c r="GT512">
        <v>0</v>
      </c>
      <c r="GU512">
        <v>1</v>
      </c>
      <c r="GV512">
        <v>0</v>
      </c>
      <c r="GW512">
        <v>1</v>
      </c>
      <c r="GX512">
        <v>0</v>
      </c>
      <c r="GY512">
        <v>1</v>
      </c>
      <c r="GZ512">
        <v>0</v>
      </c>
      <c r="HA512" t="s">
        <v>371</v>
      </c>
      <c r="HB512" t="s">
        <v>894</v>
      </c>
      <c r="HC512" t="s">
        <v>935</v>
      </c>
      <c r="HD512" t="s">
        <v>845</v>
      </c>
      <c r="HE512" t="s">
        <v>900</v>
      </c>
      <c r="HF512" t="s">
        <v>923</v>
      </c>
      <c r="HG512" t="s">
        <v>894</v>
      </c>
      <c r="HH512" t="s">
        <v>935</v>
      </c>
      <c r="HI512" t="s">
        <v>845</v>
      </c>
      <c r="HJ512" t="s">
        <v>900</v>
      </c>
      <c r="HK512" t="s">
        <v>922</v>
      </c>
      <c r="HL512" t="s">
        <v>1226</v>
      </c>
      <c r="HM512" t="s">
        <v>854</v>
      </c>
      <c r="HN512">
        <v>36805</v>
      </c>
      <c r="HP512" t="s">
        <v>226</v>
      </c>
      <c r="HQ512" t="s">
        <v>896</v>
      </c>
      <c r="HR512" t="s">
        <v>896</v>
      </c>
      <c r="HS512" t="s">
        <v>896</v>
      </c>
    </row>
    <row r="513" spans="1:227" x14ac:dyDescent="0.2">
      <c r="A513">
        <v>8702</v>
      </c>
      <c r="B513">
        <v>7609204410</v>
      </c>
      <c r="C513" t="s">
        <v>829</v>
      </c>
      <c r="D513" t="s">
        <v>830</v>
      </c>
      <c r="E513" t="s">
        <v>831</v>
      </c>
      <c r="F513">
        <v>1</v>
      </c>
      <c r="G513" t="s">
        <v>10441</v>
      </c>
      <c r="H513" t="s">
        <v>10441</v>
      </c>
      <c r="I513">
        <v>0</v>
      </c>
      <c r="J513" t="s">
        <v>833</v>
      </c>
      <c r="K513" t="s">
        <v>834</v>
      </c>
      <c r="L513">
        <v>153294166</v>
      </c>
      <c r="M513" t="s">
        <v>5633</v>
      </c>
      <c r="N513" t="s">
        <v>836</v>
      </c>
      <c r="O513" t="s">
        <v>837</v>
      </c>
      <c r="P513" t="s">
        <v>838</v>
      </c>
      <c r="Q513" t="s">
        <v>1251</v>
      </c>
      <c r="R513" t="s">
        <v>10442</v>
      </c>
      <c r="S513" t="s">
        <v>10443</v>
      </c>
      <c r="T513">
        <v>41477091739</v>
      </c>
      <c r="V513" t="s">
        <v>3701</v>
      </c>
      <c r="W513" s="41">
        <v>46115</v>
      </c>
      <c r="X513" t="s">
        <v>10444</v>
      </c>
      <c r="Y513" t="s">
        <v>10445</v>
      </c>
      <c r="AA513">
        <v>0</v>
      </c>
      <c r="AB513" t="s">
        <v>845</v>
      </c>
      <c r="AC513" t="s">
        <v>846</v>
      </c>
      <c r="AD513" t="s">
        <v>1113</v>
      </c>
      <c r="AE513" t="s">
        <v>1114</v>
      </c>
      <c r="AF513">
        <v>1</v>
      </c>
      <c r="AG513">
        <v>452210</v>
      </c>
      <c r="AH513" t="s">
        <v>849</v>
      </c>
      <c r="AI513" t="s">
        <v>850</v>
      </c>
      <c r="AJ513" t="s">
        <v>851</v>
      </c>
      <c r="AK513" t="s">
        <v>523</v>
      </c>
      <c r="AL513" t="s">
        <v>4866</v>
      </c>
      <c r="AM513" t="s">
        <v>3705</v>
      </c>
      <c r="AN513" t="s">
        <v>854</v>
      </c>
      <c r="AO513">
        <v>36805</v>
      </c>
      <c r="AP513">
        <v>968</v>
      </c>
      <c r="AQ513" t="s">
        <v>855</v>
      </c>
      <c r="AR513">
        <v>66403350</v>
      </c>
      <c r="AS513" t="s">
        <v>856</v>
      </c>
      <c r="AU513" t="s">
        <v>10446</v>
      </c>
      <c r="AV513" t="s">
        <v>10447</v>
      </c>
      <c r="AW513" t="s">
        <v>1185</v>
      </c>
      <c r="AX513" t="s">
        <v>1186</v>
      </c>
      <c r="AY513" t="s">
        <v>861</v>
      </c>
      <c r="AZ513" t="s">
        <v>523</v>
      </c>
      <c r="BA513" t="s">
        <v>453</v>
      </c>
      <c r="BB513">
        <v>0</v>
      </c>
      <c r="BC513">
        <v>1</v>
      </c>
      <c r="BD513">
        <v>0</v>
      </c>
      <c r="BE513" t="s">
        <v>5633</v>
      </c>
      <c r="BF513">
        <v>0</v>
      </c>
      <c r="BG513">
        <v>0</v>
      </c>
      <c r="BH513" t="s">
        <v>862</v>
      </c>
      <c r="BI513">
        <v>0</v>
      </c>
      <c r="BJ513" t="s">
        <v>862</v>
      </c>
      <c r="BK513">
        <v>1</v>
      </c>
      <c r="BL513">
        <v>0</v>
      </c>
      <c r="BM513">
        <v>0</v>
      </c>
      <c r="BN513" t="s">
        <v>596</v>
      </c>
      <c r="BO513">
        <v>153294166</v>
      </c>
      <c r="BP513" t="s">
        <v>10441</v>
      </c>
      <c r="BR513">
        <v>42793658</v>
      </c>
      <c r="BT513">
        <v>2</v>
      </c>
      <c r="BU513" t="s">
        <v>1119</v>
      </c>
      <c r="BY513">
        <v>16</v>
      </c>
      <c r="CA513">
        <v>16</v>
      </c>
      <c r="CE513">
        <v>1</v>
      </c>
      <c r="CI513">
        <v>11</v>
      </c>
      <c r="CJ513" t="s">
        <v>94</v>
      </c>
      <c r="CM513">
        <v>4010</v>
      </c>
      <c r="CO513">
        <v>7360</v>
      </c>
      <c r="CP513">
        <v>1.4167000000000001</v>
      </c>
      <c r="CQ513">
        <v>1.4167000000000001</v>
      </c>
      <c r="CR513">
        <v>0.36670000000000003</v>
      </c>
      <c r="CS513">
        <v>0</v>
      </c>
      <c r="CT513" t="s">
        <v>10448</v>
      </c>
      <c r="CU513" t="s">
        <v>10449</v>
      </c>
      <c r="CV513" t="s">
        <v>833</v>
      </c>
      <c r="CW513" t="s">
        <v>834</v>
      </c>
      <c r="CX513" t="s">
        <v>5633</v>
      </c>
      <c r="CY513">
        <v>1</v>
      </c>
      <c r="CZ513">
        <v>1</v>
      </c>
      <c r="DA513" t="s">
        <v>833</v>
      </c>
      <c r="DB513" t="s">
        <v>865</v>
      </c>
      <c r="DC513">
        <v>52807</v>
      </c>
      <c r="DD513">
        <v>15.7667</v>
      </c>
      <c r="DE513" t="s">
        <v>866</v>
      </c>
      <c r="DG513" t="s">
        <v>867</v>
      </c>
      <c r="DH513" t="s">
        <v>851</v>
      </c>
      <c r="DI513" t="s">
        <v>5642</v>
      </c>
      <c r="DK513" t="s">
        <v>918</v>
      </c>
      <c r="DL513" t="s">
        <v>869</v>
      </c>
      <c r="DM513">
        <v>0</v>
      </c>
      <c r="DN513">
        <v>0.4667</v>
      </c>
      <c r="DO513">
        <v>11</v>
      </c>
      <c r="DP513" t="s">
        <v>1010</v>
      </c>
      <c r="DQ513">
        <v>0</v>
      </c>
      <c r="DR513">
        <v>946</v>
      </c>
      <c r="DS513">
        <v>1666</v>
      </c>
      <c r="DT513">
        <v>4.4832999999999998</v>
      </c>
      <c r="DU513">
        <v>0</v>
      </c>
      <c r="DV513">
        <v>1</v>
      </c>
      <c r="DW513">
        <v>2</v>
      </c>
      <c r="DX513" t="s">
        <v>594</v>
      </c>
      <c r="DY513" t="s">
        <v>5633</v>
      </c>
      <c r="DZ513">
        <v>1</v>
      </c>
      <c r="EA513">
        <v>1</v>
      </c>
      <c r="EB513">
        <v>1</v>
      </c>
      <c r="EC513">
        <v>1</v>
      </c>
      <c r="ED513">
        <v>1</v>
      </c>
      <c r="EE513">
        <v>1</v>
      </c>
      <c r="EF513" t="s">
        <v>871</v>
      </c>
      <c r="EG513" t="s">
        <v>595</v>
      </c>
      <c r="EH513" t="s">
        <v>872</v>
      </c>
      <c r="EI513" t="s">
        <v>872</v>
      </c>
      <c r="EJ513" t="s">
        <v>246</v>
      </c>
      <c r="EK513">
        <v>9090</v>
      </c>
      <c r="EL513">
        <v>1</v>
      </c>
      <c r="EM513" t="s">
        <v>873</v>
      </c>
      <c r="EN513">
        <v>0.36670000000000003</v>
      </c>
      <c r="EO513">
        <v>27.766666699999998</v>
      </c>
      <c r="EP513">
        <v>99991120</v>
      </c>
      <c r="EQ513" t="s">
        <v>874</v>
      </c>
      <c r="ER513" t="s">
        <v>875</v>
      </c>
      <c r="ES513" t="s">
        <v>876</v>
      </c>
      <c r="ET513" t="s">
        <v>877</v>
      </c>
      <c r="EU513" t="s">
        <v>877</v>
      </c>
      <c r="EV513" t="s">
        <v>871</v>
      </c>
      <c r="EX513" t="s">
        <v>836</v>
      </c>
      <c r="EY513" t="s">
        <v>873</v>
      </c>
      <c r="EZ513" t="s">
        <v>3709</v>
      </c>
      <c r="FA513" t="s">
        <v>879</v>
      </c>
      <c r="FB513">
        <v>1</v>
      </c>
      <c r="FC513">
        <v>1</v>
      </c>
      <c r="FD513" s="41">
        <v>46116</v>
      </c>
      <c r="FE513" t="s">
        <v>1123</v>
      </c>
      <c r="FF513">
        <v>13</v>
      </c>
      <c r="FG513" t="s">
        <v>10450</v>
      </c>
      <c r="FH513" t="s">
        <v>10451</v>
      </c>
      <c r="FI513">
        <v>1</v>
      </c>
      <c r="FJ513" t="s">
        <v>10452</v>
      </c>
      <c r="FK513" t="s">
        <v>10451</v>
      </c>
      <c r="FL513">
        <v>1</v>
      </c>
      <c r="FM513" t="s">
        <v>8531</v>
      </c>
      <c r="FN513" t="s">
        <v>10453</v>
      </c>
      <c r="FO513">
        <v>1</v>
      </c>
      <c r="FP513" t="s">
        <v>10454</v>
      </c>
      <c r="FQ513" t="s">
        <v>10449</v>
      </c>
      <c r="FR513">
        <v>1</v>
      </c>
      <c r="FS513" t="s">
        <v>10455</v>
      </c>
      <c r="FT513" t="s">
        <v>10456</v>
      </c>
      <c r="FU513">
        <v>1</v>
      </c>
      <c r="FV513" t="s">
        <v>10457</v>
      </c>
      <c r="FW513" t="s">
        <v>10458</v>
      </c>
      <c r="FX513">
        <v>1</v>
      </c>
      <c r="FY513" t="s">
        <v>890</v>
      </c>
      <c r="FZ513" t="s">
        <v>10459</v>
      </c>
      <c r="GA513" t="s">
        <v>10452</v>
      </c>
      <c r="GB513">
        <v>1</v>
      </c>
      <c r="GD513">
        <v>0</v>
      </c>
      <c r="GF513">
        <v>0</v>
      </c>
      <c r="GG513">
        <v>1</v>
      </c>
      <c r="GH513" t="s">
        <v>892</v>
      </c>
      <c r="GI513" t="s">
        <v>893</v>
      </c>
      <c r="GJ513" t="s">
        <v>10451</v>
      </c>
      <c r="GM513">
        <v>1</v>
      </c>
      <c r="GN513">
        <v>1</v>
      </c>
      <c r="GO513">
        <v>0</v>
      </c>
      <c r="GP513">
        <v>1</v>
      </c>
      <c r="GQ513">
        <v>1</v>
      </c>
      <c r="GR513">
        <v>0</v>
      </c>
      <c r="GS513">
        <v>1</v>
      </c>
      <c r="GT513">
        <v>0</v>
      </c>
      <c r="GU513">
        <v>1</v>
      </c>
      <c r="GV513">
        <v>0</v>
      </c>
      <c r="GW513">
        <v>1</v>
      </c>
      <c r="GX513">
        <v>0</v>
      </c>
      <c r="GY513">
        <v>1</v>
      </c>
      <c r="GZ513">
        <v>0</v>
      </c>
      <c r="HA513" t="s">
        <v>523</v>
      </c>
      <c r="HB513" t="s">
        <v>894</v>
      </c>
      <c r="HC513" t="s">
        <v>895</v>
      </c>
      <c r="HD513" t="s">
        <v>845</v>
      </c>
      <c r="HE513" t="s">
        <v>836</v>
      </c>
      <c r="HF513" t="s">
        <v>873</v>
      </c>
      <c r="HG513" t="s">
        <v>894</v>
      </c>
      <c r="HH513" t="s">
        <v>895</v>
      </c>
      <c r="HI513" t="s">
        <v>845</v>
      </c>
      <c r="HJ513" t="s">
        <v>836</v>
      </c>
      <c r="HK513" t="s">
        <v>873</v>
      </c>
      <c r="HL513" t="s">
        <v>3701</v>
      </c>
      <c r="HM513" t="s">
        <v>854</v>
      </c>
      <c r="HN513">
        <v>36805</v>
      </c>
      <c r="HP513" t="s">
        <v>246</v>
      </c>
      <c r="HQ513" t="s">
        <v>896</v>
      </c>
      <c r="HR513" t="s">
        <v>896</v>
      </c>
      <c r="HS513" t="s">
        <v>896</v>
      </c>
    </row>
    <row r="514" spans="1:227" x14ac:dyDescent="0.2">
      <c r="A514">
        <v>8702</v>
      </c>
      <c r="B514">
        <v>7606712789</v>
      </c>
      <c r="C514">
        <v>34</v>
      </c>
      <c r="D514" t="s">
        <v>996</v>
      </c>
      <c r="E514" t="s">
        <v>897</v>
      </c>
      <c r="F514">
        <v>1</v>
      </c>
      <c r="G514" t="s">
        <v>10460</v>
      </c>
      <c r="H514" t="s">
        <v>10460</v>
      </c>
      <c r="I514">
        <v>0</v>
      </c>
      <c r="J514" t="s">
        <v>833</v>
      </c>
      <c r="K514" t="s">
        <v>834</v>
      </c>
      <c r="L514">
        <v>152946723</v>
      </c>
      <c r="M514" t="s">
        <v>2684</v>
      </c>
      <c r="N514" t="s">
        <v>900</v>
      </c>
      <c r="O514" t="s">
        <v>837</v>
      </c>
      <c r="P514" t="s">
        <v>999</v>
      </c>
      <c r="Q514" t="s">
        <v>1027</v>
      </c>
      <c r="R514" t="s">
        <v>10461</v>
      </c>
      <c r="S514" t="s">
        <v>10462</v>
      </c>
      <c r="T514">
        <v>41477050287</v>
      </c>
      <c r="V514" t="s">
        <v>212</v>
      </c>
      <c r="W514" s="41">
        <v>46089</v>
      </c>
      <c r="X514" t="s">
        <v>10463</v>
      </c>
      <c r="Y514" t="s">
        <v>10464</v>
      </c>
      <c r="AA514">
        <v>0</v>
      </c>
      <c r="AB514" t="s">
        <v>845</v>
      </c>
      <c r="AC514" t="s">
        <v>846</v>
      </c>
      <c r="AD514" t="s">
        <v>1113</v>
      </c>
      <c r="AE514" t="s">
        <v>1114</v>
      </c>
      <c r="AF514">
        <v>1</v>
      </c>
      <c r="AG514">
        <v>452210</v>
      </c>
      <c r="AH514" t="s">
        <v>849</v>
      </c>
      <c r="AI514" t="s">
        <v>850</v>
      </c>
      <c r="AJ514" t="s">
        <v>851</v>
      </c>
      <c r="AK514" t="s">
        <v>346</v>
      </c>
      <c r="AL514" t="s">
        <v>3308</v>
      </c>
      <c r="AM514" t="s">
        <v>2689</v>
      </c>
      <c r="AN514" t="s">
        <v>854</v>
      </c>
      <c r="AO514">
        <v>36805</v>
      </c>
      <c r="AP514">
        <v>649</v>
      </c>
      <c r="AQ514" t="s">
        <v>855</v>
      </c>
      <c r="AR514">
        <v>66365961</v>
      </c>
      <c r="AS514" t="s">
        <v>856</v>
      </c>
      <c r="AU514" t="s">
        <v>10465</v>
      </c>
      <c r="AV514" t="s">
        <v>10466</v>
      </c>
      <c r="AW514" t="s">
        <v>950</v>
      </c>
      <c r="AX514" t="s">
        <v>951</v>
      </c>
      <c r="AY514" t="s">
        <v>861</v>
      </c>
      <c r="AZ514" t="s">
        <v>346</v>
      </c>
      <c r="BA514" t="s">
        <v>347</v>
      </c>
      <c r="BB514">
        <v>0</v>
      </c>
      <c r="BC514">
        <v>0</v>
      </c>
      <c r="BD514">
        <v>0</v>
      </c>
      <c r="BE514" t="s">
        <v>2684</v>
      </c>
      <c r="BF514">
        <v>0</v>
      </c>
      <c r="BG514">
        <v>0</v>
      </c>
      <c r="BH514" t="s">
        <v>862</v>
      </c>
      <c r="BI514">
        <v>0</v>
      </c>
      <c r="BJ514" t="s">
        <v>862</v>
      </c>
      <c r="BK514">
        <v>1</v>
      </c>
      <c r="BL514">
        <v>0</v>
      </c>
      <c r="BM514">
        <v>0</v>
      </c>
      <c r="BN514" t="s">
        <v>596</v>
      </c>
      <c r="BO514">
        <v>152946723</v>
      </c>
      <c r="BP514" t="s">
        <v>10460</v>
      </c>
      <c r="BQ514">
        <v>42.325093299999999</v>
      </c>
      <c r="BR514">
        <v>42791782</v>
      </c>
      <c r="BS514">
        <v>-83.351034400000003</v>
      </c>
      <c r="BT514">
        <v>2</v>
      </c>
      <c r="BU514" t="s">
        <v>1715</v>
      </c>
      <c r="CE514">
        <v>1</v>
      </c>
      <c r="CI514">
        <v>11</v>
      </c>
      <c r="CJ514" t="s">
        <v>94</v>
      </c>
      <c r="CM514">
        <v>4010</v>
      </c>
      <c r="CO514">
        <v>7360</v>
      </c>
      <c r="CP514">
        <v>0.75</v>
      </c>
      <c r="CQ514">
        <v>0.75</v>
      </c>
      <c r="CR514">
        <v>0.4667</v>
      </c>
      <c r="CS514">
        <v>14</v>
      </c>
      <c r="CT514" t="s">
        <v>10466</v>
      </c>
      <c r="CU514" t="s">
        <v>10465</v>
      </c>
      <c r="CV514" t="s">
        <v>833</v>
      </c>
      <c r="CW514" t="s">
        <v>834</v>
      </c>
      <c r="CX514" t="s">
        <v>2684</v>
      </c>
      <c r="CY514">
        <v>0</v>
      </c>
      <c r="CZ514">
        <v>0</v>
      </c>
      <c r="DA514" t="s">
        <v>833</v>
      </c>
      <c r="DB514" t="s">
        <v>865</v>
      </c>
      <c r="DC514">
        <v>48187</v>
      </c>
      <c r="DD514">
        <v>1.8833</v>
      </c>
      <c r="DE514" t="s">
        <v>866</v>
      </c>
      <c r="DG514" t="s">
        <v>867</v>
      </c>
      <c r="DH514" t="s">
        <v>851</v>
      </c>
      <c r="DI514" t="s">
        <v>2692</v>
      </c>
      <c r="DK514" t="s">
        <v>918</v>
      </c>
      <c r="DL514" t="s">
        <v>869</v>
      </c>
      <c r="DM514">
        <v>0</v>
      </c>
      <c r="DN514">
        <v>0</v>
      </c>
      <c r="DO514">
        <v>59</v>
      </c>
      <c r="DP514" t="s">
        <v>2770</v>
      </c>
      <c r="DQ514">
        <v>0</v>
      </c>
      <c r="DR514">
        <v>113</v>
      </c>
      <c r="DS514">
        <v>113</v>
      </c>
      <c r="DT514">
        <v>1.1333</v>
      </c>
      <c r="DU514">
        <v>0</v>
      </c>
      <c r="DV514">
        <v>1</v>
      </c>
      <c r="DW514">
        <v>2</v>
      </c>
      <c r="DX514" t="s">
        <v>594</v>
      </c>
      <c r="DY514" t="s">
        <v>2684</v>
      </c>
      <c r="DZ514">
        <v>1</v>
      </c>
      <c r="EA514">
        <v>1</v>
      </c>
      <c r="EB514">
        <v>1</v>
      </c>
      <c r="EC514">
        <v>1</v>
      </c>
      <c r="ED514">
        <v>1</v>
      </c>
      <c r="EE514">
        <v>1</v>
      </c>
      <c r="EF514" t="s">
        <v>920</v>
      </c>
      <c r="EG514" t="s">
        <v>595</v>
      </c>
      <c r="EH514" t="s">
        <v>872</v>
      </c>
      <c r="EI514" t="s">
        <v>872</v>
      </c>
      <c r="EJ514" t="s">
        <v>178</v>
      </c>
      <c r="EK514">
        <v>9090</v>
      </c>
      <c r="EL514">
        <v>0</v>
      </c>
      <c r="EM514" t="s">
        <v>952</v>
      </c>
      <c r="EN514">
        <v>0.4667</v>
      </c>
      <c r="EO514">
        <v>1.8833333000000001</v>
      </c>
      <c r="EP514">
        <v>99991120</v>
      </c>
      <c r="EQ514" t="s">
        <v>874</v>
      </c>
      <c r="ER514" t="s">
        <v>875</v>
      </c>
      <c r="ES514" t="s">
        <v>876</v>
      </c>
      <c r="ET514" t="s">
        <v>877</v>
      </c>
      <c r="EU514" t="s">
        <v>877</v>
      </c>
      <c r="EV514" t="s">
        <v>920</v>
      </c>
      <c r="EX514" t="s">
        <v>953</v>
      </c>
      <c r="EY514" t="s">
        <v>954</v>
      </c>
      <c r="EZ514" t="s">
        <v>955</v>
      </c>
      <c r="FA514" t="s">
        <v>956</v>
      </c>
      <c r="FB514">
        <v>1</v>
      </c>
      <c r="FC514">
        <v>1</v>
      </c>
      <c r="FD514" s="41">
        <v>46095</v>
      </c>
      <c r="FE514" t="s">
        <v>1719</v>
      </c>
      <c r="FF514">
        <v>5</v>
      </c>
      <c r="FI514">
        <v>0</v>
      </c>
      <c r="FJ514" t="s">
        <v>10467</v>
      </c>
      <c r="FK514" t="s">
        <v>10468</v>
      </c>
      <c r="FL514">
        <v>1</v>
      </c>
      <c r="FM514" t="s">
        <v>2696</v>
      </c>
      <c r="FN514" t="s">
        <v>10469</v>
      </c>
      <c r="FO514">
        <v>1</v>
      </c>
      <c r="FP514" t="s">
        <v>10470</v>
      </c>
      <c r="FQ514" t="s">
        <v>10465</v>
      </c>
      <c r="FR514">
        <v>1</v>
      </c>
      <c r="FS514" t="s">
        <v>3316</v>
      </c>
      <c r="FT514" t="s">
        <v>10471</v>
      </c>
      <c r="FU514">
        <v>1</v>
      </c>
      <c r="FV514" t="s">
        <v>10472</v>
      </c>
      <c r="FW514" t="s">
        <v>10468</v>
      </c>
      <c r="FX514">
        <v>1</v>
      </c>
      <c r="FY514" t="s">
        <v>890</v>
      </c>
      <c r="FZ514" t="s">
        <v>10473</v>
      </c>
      <c r="GA514" t="s">
        <v>10467</v>
      </c>
      <c r="GB514">
        <v>1</v>
      </c>
      <c r="GD514">
        <v>0</v>
      </c>
      <c r="GF514">
        <v>0</v>
      </c>
      <c r="GG514">
        <v>1</v>
      </c>
      <c r="GH514" t="s">
        <v>892</v>
      </c>
      <c r="GI514" t="s">
        <v>893</v>
      </c>
      <c r="GJ514" t="s">
        <v>10468</v>
      </c>
      <c r="GM514">
        <v>1</v>
      </c>
      <c r="GN514">
        <v>1</v>
      </c>
      <c r="GO514">
        <v>0</v>
      </c>
      <c r="GP514">
        <v>1</v>
      </c>
      <c r="GQ514">
        <v>1</v>
      </c>
      <c r="GR514">
        <v>0</v>
      </c>
      <c r="GS514">
        <v>1</v>
      </c>
      <c r="GT514">
        <v>0</v>
      </c>
      <c r="GU514">
        <v>1</v>
      </c>
      <c r="GV514">
        <v>0</v>
      </c>
      <c r="GW514">
        <v>1</v>
      </c>
      <c r="GX514">
        <v>0</v>
      </c>
      <c r="GY514">
        <v>1</v>
      </c>
      <c r="GZ514">
        <v>0</v>
      </c>
      <c r="HA514" t="s">
        <v>346</v>
      </c>
      <c r="HB514" t="s">
        <v>894</v>
      </c>
      <c r="HC514" t="s">
        <v>935</v>
      </c>
      <c r="HD514" t="s">
        <v>845</v>
      </c>
      <c r="HE514" t="s">
        <v>900</v>
      </c>
      <c r="HF514" t="s">
        <v>923</v>
      </c>
      <c r="HG514" t="s">
        <v>894</v>
      </c>
      <c r="HH514" t="s">
        <v>935</v>
      </c>
      <c r="HI514" t="s">
        <v>845</v>
      </c>
      <c r="HJ514" t="s">
        <v>900</v>
      </c>
      <c r="HK514" t="s">
        <v>952</v>
      </c>
      <c r="HL514" t="s">
        <v>212</v>
      </c>
      <c r="HM514" t="s">
        <v>854</v>
      </c>
      <c r="HN514">
        <v>36805</v>
      </c>
      <c r="HP514" t="s">
        <v>178</v>
      </c>
      <c r="HQ514" t="s">
        <v>896</v>
      </c>
      <c r="HR514" t="s">
        <v>896</v>
      </c>
      <c r="HS514" t="s">
        <v>896</v>
      </c>
    </row>
    <row r="515" spans="1:227" x14ac:dyDescent="0.2">
      <c r="A515">
        <v>8702</v>
      </c>
      <c r="B515">
        <v>7603605415</v>
      </c>
      <c r="C515" t="s">
        <v>829</v>
      </c>
      <c r="D515" t="s">
        <v>830</v>
      </c>
      <c r="E515" t="s">
        <v>897</v>
      </c>
      <c r="F515">
        <v>0</v>
      </c>
      <c r="G515" t="s">
        <v>10474</v>
      </c>
      <c r="H515" t="s">
        <v>10474</v>
      </c>
      <c r="I515">
        <v>0</v>
      </c>
      <c r="J515" t="s">
        <v>833</v>
      </c>
      <c r="K515" t="s">
        <v>834</v>
      </c>
      <c r="L515">
        <v>153195484</v>
      </c>
      <c r="M515" t="s">
        <v>1174</v>
      </c>
      <c r="N515" t="s">
        <v>900</v>
      </c>
      <c r="O515" t="s">
        <v>837</v>
      </c>
      <c r="P515" t="s">
        <v>838</v>
      </c>
      <c r="Q515" t="s">
        <v>1279</v>
      </c>
      <c r="R515" t="s">
        <v>10475</v>
      </c>
      <c r="S515" t="s">
        <v>10476</v>
      </c>
      <c r="T515">
        <v>41477122910</v>
      </c>
      <c r="V515" t="s">
        <v>133</v>
      </c>
      <c r="W515" s="41">
        <v>46059</v>
      </c>
      <c r="X515" t="s">
        <v>10477</v>
      </c>
      <c r="Y515" t="s">
        <v>10478</v>
      </c>
      <c r="Z515" t="s">
        <v>10479</v>
      </c>
      <c r="AA515">
        <v>0</v>
      </c>
      <c r="AB515" t="s">
        <v>845</v>
      </c>
      <c r="AC515" t="s">
        <v>846</v>
      </c>
      <c r="AD515" t="s">
        <v>1113</v>
      </c>
      <c r="AE515" t="s">
        <v>1114</v>
      </c>
      <c r="AF515">
        <v>1</v>
      </c>
      <c r="AG515">
        <v>452210</v>
      </c>
      <c r="AH515" t="s">
        <v>849</v>
      </c>
      <c r="AI515" t="s">
        <v>850</v>
      </c>
      <c r="AJ515" t="s">
        <v>851</v>
      </c>
      <c r="AK515" t="s">
        <v>259</v>
      </c>
      <c r="AL515" t="s">
        <v>1547</v>
      </c>
      <c r="AM515" t="s">
        <v>1182</v>
      </c>
      <c r="AN515" t="s">
        <v>854</v>
      </c>
      <c r="AO515">
        <v>36805</v>
      </c>
      <c r="AP515">
        <v>526</v>
      </c>
      <c r="AQ515" t="s">
        <v>855</v>
      </c>
      <c r="AR515">
        <v>66323227</v>
      </c>
      <c r="AS515" t="s">
        <v>856</v>
      </c>
      <c r="AU515" t="s">
        <v>10480</v>
      </c>
      <c r="AV515" t="s">
        <v>10481</v>
      </c>
      <c r="AW515" t="s">
        <v>1149</v>
      </c>
      <c r="AX515" t="s">
        <v>1150</v>
      </c>
      <c r="AY515" t="s">
        <v>861</v>
      </c>
      <c r="AZ515" t="s">
        <v>259</v>
      </c>
      <c r="BA515" t="s">
        <v>260</v>
      </c>
      <c r="BB515">
        <v>0</v>
      </c>
      <c r="BC515">
        <v>0</v>
      </c>
      <c r="BD515">
        <v>0</v>
      </c>
      <c r="BE515" t="s">
        <v>1174</v>
      </c>
      <c r="BF515">
        <v>0</v>
      </c>
      <c r="BG515">
        <v>0</v>
      </c>
      <c r="BH515" t="s">
        <v>862</v>
      </c>
      <c r="BI515">
        <v>0</v>
      </c>
      <c r="BJ515" t="s">
        <v>862</v>
      </c>
      <c r="BK515">
        <v>1</v>
      </c>
      <c r="BL515">
        <v>0</v>
      </c>
      <c r="BM515">
        <v>0</v>
      </c>
      <c r="BN515" t="s">
        <v>596</v>
      </c>
      <c r="BO515">
        <v>153195484</v>
      </c>
      <c r="BP515" t="s">
        <v>10474</v>
      </c>
      <c r="BR515">
        <v>42791437</v>
      </c>
      <c r="BT515">
        <v>1</v>
      </c>
      <c r="BU515" t="s">
        <v>1263</v>
      </c>
      <c r="CI515">
        <v>11</v>
      </c>
      <c r="CJ515" t="s">
        <v>94</v>
      </c>
      <c r="CM515">
        <v>4010</v>
      </c>
      <c r="CO515">
        <v>7360</v>
      </c>
      <c r="CP515">
        <v>0.2167</v>
      </c>
      <c r="CQ515">
        <v>0.2167</v>
      </c>
      <c r="CR515">
        <v>0.3</v>
      </c>
      <c r="CS515">
        <v>2</v>
      </c>
      <c r="CT515" t="s">
        <v>10482</v>
      </c>
      <c r="CU515" t="s">
        <v>10483</v>
      </c>
      <c r="CV515" t="s">
        <v>833</v>
      </c>
      <c r="CW515" t="s">
        <v>834</v>
      </c>
      <c r="CX515" t="s">
        <v>1174</v>
      </c>
      <c r="CY515">
        <v>0</v>
      </c>
      <c r="CZ515">
        <v>0</v>
      </c>
      <c r="DA515" t="s">
        <v>833</v>
      </c>
      <c r="DB515" t="s">
        <v>865</v>
      </c>
      <c r="DC515">
        <v>46260</v>
      </c>
      <c r="DD515">
        <v>21.5167</v>
      </c>
      <c r="DE515" t="s">
        <v>866</v>
      </c>
      <c r="DG515" t="s">
        <v>867</v>
      </c>
      <c r="DH515" t="s">
        <v>851</v>
      </c>
      <c r="DI515" t="s">
        <v>1189</v>
      </c>
      <c r="DK515" t="s">
        <v>918</v>
      </c>
      <c r="DL515" t="s">
        <v>869</v>
      </c>
      <c r="DM515">
        <v>0</v>
      </c>
      <c r="DN515">
        <v>0</v>
      </c>
      <c r="DO515">
        <v>2</v>
      </c>
      <c r="DP515" t="s">
        <v>870</v>
      </c>
      <c r="DQ515">
        <v>0</v>
      </c>
      <c r="DR515">
        <v>1291</v>
      </c>
      <c r="DS515">
        <v>2011</v>
      </c>
      <c r="DT515">
        <v>21.3</v>
      </c>
      <c r="DU515">
        <v>0</v>
      </c>
      <c r="DV515">
        <v>1</v>
      </c>
      <c r="DW515">
        <v>2</v>
      </c>
      <c r="DX515" t="s">
        <v>594</v>
      </c>
      <c r="DY515" t="s">
        <v>1174</v>
      </c>
      <c r="DZ515">
        <v>1</v>
      </c>
      <c r="EA515">
        <v>1</v>
      </c>
      <c r="EB515">
        <v>1</v>
      </c>
      <c r="EC515">
        <v>1</v>
      </c>
      <c r="ED515">
        <v>1</v>
      </c>
      <c r="EE515">
        <v>1</v>
      </c>
      <c r="EF515" t="s">
        <v>871</v>
      </c>
      <c r="EG515" t="s">
        <v>595</v>
      </c>
      <c r="EH515" t="s">
        <v>872</v>
      </c>
      <c r="EI515" t="s">
        <v>872</v>
      </c>
      <c r="EJ515" t="s">
        <v>134</v>
      </c>
      <c r="EK515">
        <v>9090</v>
      </c>
      <c r="EL515">
        <v>0</v>
      </c>
      <c r="EM515" t="s">
        <v>1011</v>
      </c>
      <c r="EN515">
        <v>0.3</v>
      </c>
      <c r="EO515">
        <v>33.516666600000001</v>
      </c>
      <c r="EP515">
        <v>99991120</v>
      </c>
      <c r="EQ515" t="s">
        <v>874</v>
      </c>
      <c r="ER515" t="s">
        <v>875</v>
      </c>
      <c r="ES515" t="s">
        <v>876</v>
      </c>
      <c r="ET515" t="s">
        <v>877</v>
      </c>
      <c r="EU515" t="s">
        <v>877</v>
      </c>
      <c r="EV515" t="s">
        <v>871</v>
      </c>
      <c r="EX515" t="s">
        <v>953</v>
      </c>
      <c r="EY515" t="s">
        <v>1555</v>
      </c>
      <c r="EZ515" t="s">
        <v>1013</v>
      </c>
      <c r="FA515" t="s">
        <v>925</v>
      </c>
      <c r="FB515">
        <v>1</v>
      </c>
      <c r="FC515">
        <v>1</v>
      </c>
      <c r="FD515" s="41">
        <v>46060</v>
      </c>
      <c r="FE515" t="s">
        <v>1267</v>
      </c>
      <c r="FF515">
        <v>5</v>
      </c>
      <c r="FI515">
        <v>0</v>
      </c>
      <c r="FJ515" t="s">
        <v>10484</v>
      </c>
      <c r="FK515" t="s">
        <v>10485</v>
      </c>
      <c r="FL515">
        <v>1</v>
      </c>
      <c r="FM515" t="s">
        <v>3193</v>
      </c>
      <c r="FN515" t="s">
        <v>10486</v>
      </c>
      <c r="FO515">
        <v>1</v>
      </c>
      <c r="FP515" t="s">
        <v>10487</v>
      </c>
      <c r="FQ515" t="s">
        <v>10483</v>
      </c>
      <c r="FR515">
        <v>1</v>
      </c>
      <c r="FS515" t="s">
        <v>1934</v>
      </c>
      <c r="FT515" t="s">
        <v>10488</v>
      </c>
      <c r="FU515">
        <v>1</v>
      </c>
      <c r="FV515" t="s">
        <v>10489</v>
      </c>
      <c r="FW515" t="s">
        <v>10485</v>
      </c>
      <c r="FX515">
        <v>1</v>
      </c>
      <c r="FY515" t="s">
        <v>890</v>
      </c>
      <c r="FZ515" t="s">
        <v>10490</v>
      </c>
      <c r="GA515" t="s">
        <v>10484</v>
      </c>
      <c r="GB515">
        <v>1</v>
      </c>
      <c r="GD515">
        <v>0</v>
      </c>
      <c r="GF515">
        <v>0</v>
      </c>
      <c r="GG515">
        <v>1</v>
      </c>
      <c r="GH515" t="s">
        <v>892</v>
      </c>
      <c r="GI515" t="s">
        <v>893</v>
      </c>
      <c r="GJ515" t="s">
        <v>10485</v>
      </c>
      <c r="GM515">
        <v>1</v>
      </c>
      <c r="GN515">
        <v>1</v>
      </c>
      <c r="GO515">
        <v>0</v>
      </c>
      <c r="GP515">
        <v>1</v>
      </c>
      <c r="GQ515">
        <v>1</v>
      </c>
      <c r="GR515">
        <v>0</v>
      </c>
      <c r="GS515">
        <v>1</v>
      </c>
      <c r="GT515">
        <v>0</v>
      </c>
      <c r="GU515">
        <v>1</v>
      </c>
      <c r="GV515">
        <v>0</v>
      </c>
      <c r="GW515">
        <v>1</v>
      </c>
      <c r="GX515">
        <v>0</v>
      </c>
      <c r="GY515">
        <v>1</v>
      </c>
      <c r="GZ515">
        <v>0</v>
      </c>
      <c r="HA515" t="s">
        <v>259</v>
      </c>
      <c r="HB515" t="s">
        <v>894</v>
      </c>
      <c r="HC515" t="s">
        <v>935</v>
      </c>
      <c r="HD515" t="s">
        <v>845</v>
      </c>
      <c r="HE515" t="s">
        <v>900</v>
      </c>
      <c r="HF515" t="s">
        <v>1012</v>
      </c>
      <c r="HG515" t="s">
        <v>894</v>
      </c>
      <c r="HH515" t="s">
        <v>935</v>
      </c>
      <c r="HI515" t="s">
        <v>845</v>
      </c>
      <c r="HJ515" t="s">
        <v>900</v>
      </c>
      <c r="HK515" t="s">
        <v>1011</v>
      </c>
      <c r="HL515" t="s">
        <v>133</v>
      </c>
      <c r="HM515" t="s">
        <v>854</v>
      </c>
      <c r="HN515">
        <v>36805</v>
      </c>
      <c r="HO515">
        <v>1</v>
      </c>
      <c r="HP515" t="s">
        <v>134</v>
      </c>
      <c r="HQ515" t="s">
        <v>896</v>
      </c>
      <c r="HR515" t="s">
        <v>896</v>
      </c>
      <c r="HS515" t="s">
        <v>896</v>
      </c>
    </row>
    <row r="516" spans="1:227" x14ac:dyDescent="0.2">
      <c r="A516">
        <v>8702</v>
      </c>
      <c r="B516">
        <v>7603304905</v>
      </c>
      <c r="C516" t="s">
        <v>829</v>
      </c>
      <c r="D516" t="s">
        <v>830</v>
      </c>
      <c r="E516" t="s">
        <v>897</v>
      </c>
      <c r="F516">
        <v>1</v>
      </c>
      <c r="G516" t="s">
        <v>10491</v>
      </c>
      <c r="H516" t="s">
        <v>10491</v>
      </c>
      <c r="I516">
        <v>0</v>
      </c>
      <c r="J516" t="s">
        <v>833</v>
      </c>
      <c r="K516" t="s">
        <v>834</v>
      </c>
      <c r="L516">
        <v>153524559</v>
      </c>
      <c r="M516" t="s">
        <v>10492</v>
      </c>
      <c r="N516" t="s">
        <v>900</v>
      </c>
      <c r="O516" t="s">
        <v>837</v>
      </c>
      <c r="P516" t="s">
        <v>838</v>
      </c>
      <c r="Q516" t="s">
        <v>3835</v>
      </c>
      <c r="R516" t="s">
        <v>10493</v>
      </c>
      <c r="S516" t="s">
        <v>10494</v>
      </c>
      <c r="T516">
        <v>41477124629</v>
      </c>
      <c r="V516" t="s">
        <v>123</v>
      </c>
      <c r="W516" s="41">
        <v>46057</v>
      </c>
      <c r="X516" t="s">
        <v>10495</v>
      </c>
      <c r="Y516" t="s">
        <v>10496</v>
      </c>
      <c r="AA516">
        <v>0</v>
      </c>
      <c r="AB516" t="s">
        <v>845</v>
      </c>
      <c r="AC516" t="s">
        <v>846</v>
      </c>
      <c r="AD516" t="s">
        <v>1113</v>
      </c>
      <c r="AE516" t="s">
        <v>1114</v>
      </c>
      <c r="AF516">
        <v>1</v>
      </c>
      <c r="AG516">
        <v>452210</v>
      </c>
      <c r="AH516" t="s">
        <v>849</v>
      </c>
      <c r="AI516" t="s">
        <v>850</v>
      </c>
      <c r="AJ516" t="s">
        <v>851</v>
      </c>
      <c r="AK516" t="s">
        <v>269</v>
      </c>
      <c r="AL516" t="s">
        <v>2928</v>
      </c>
      <c r="AM516" t="s">
        <v>3964</v>
      </c>
      <c r="AN516" t="s">
        <v>854</v>
      </c>
      <c r="AO516">
        <v>36805</v>
      </c>
      <c r="AP516">
        <v>496</v>
      </c>
      <c r="AQ516" t="s">
        <v>855</v>
      </c>
      <c r="AR516">
        <v>66319678</v>
      </c>
      <c r="AS516" t="s">
        <v>856</v>
      </c>
      <c r="AU516" t="s">
        <v>10497</v>
      </c>
      <c r="AV516" t="s">
        <v>10498</v>
      </c>
      <c r="AX516" t="s">
        <v>913</v>
      </c>
      <c r="AY516" t="s">
        <v>861</v>
      </c>
      <c r="AZ516" t="s">
        <v>269</v>
      </c>
      <c r="BA516" t="s">
        <v>270</v>
      </c>
      <c r="BB516">
        <v>0</v>
      </c>
      <c r="BC516">
        <v>0</v>
      </c>
      <c r="BD516">
        <v>0</v>
      </c>
      <c r="BE516" t="s">
        <v>10492</v>
      </c>
      <c r="BF516">
        <v>0</v>
      </c>
      <c r="BG516">
        <v>0</v>
      </c>
      <c r="BH516" t="s">
        <v>862</v>
      </c>
      <c r="BI516">
        <v>0</v>
      </c>
      <c r="BJ516" t="s">
        <v>862</v>
      </c>
      <c r="BK516">
        <v>1</v>
      </c>
      <c r="BL516">
        <v>1</v>
      </c>
      <c r="BM516">
        <v>0</v>
      </c>
      <c r="BN516" t="s">
        <v>596</v>
      </c>
      <c r="BO516">
        <v>153524559</v>
      </c>
      <c r="BP516" t="s">
        <v>10491</v>
      </c>
      <c r="BQ516">
        <v>40.369707099999999</v>
      </c>
      <c r="BR516">
        <v>42789074</v>
      </c>
      <c r="BS516">
        <v>-80.104556000000002</v>
      </c>
      <c r="BT516">
        <v>2</v>
      </c>
      <c r="BU516" t="s">
        <v>1263</v>
      </c>
      <c r="CE516">
        <v>1</v>
      </c>
      <c r="CI516">
        <v>11</v>
      </c>
      <c r="CJ516" t="s">
        <v>94</v>
      </c>
      <c r="CM516">
        <v>4010</v>
      </c>
      <c r="CO516">
        <v>7360</v>
      </c>
      <c r="CP516">
        <v>0.7167</v>
      </c>
      <c r="CQ516">
        <v>0.7167</v>
      </c>
      <c r="CR516">
        <v>0.36670000000000003</v>
      </c>
      <c r="CS516">
        <v>24</v>
      </c>
      <c r="CT516" t="s">
        <v>10498</v>
      </c>
      <c r="CU516" t="s">
        <v>10497</v>
      </c>
      <c r="CV516" t="s">
        <v>833</v>
      </c>
      <c r="CW516" t="s">
        <v>834</v>
      </c>
      <c r="CX516" t="s">
        <v>10492</v>
      </c>
      <c r="CY516">
        <v>0</v>
      </c>
      <c r="CZ516">
        <v>0</v>
      </c>
      <c r="DA516" t="s">
        <v>833</v>
      </c>
      <c r="DB516" t="s">
        <v>865</v>
      </c>
      <c r="DC516">
        <v>15017</v>
      </c>
      <c r="DD516">
        <v>13.75</v>
      </c>
      <c r="DE516" t="s">
        <v>866</v>
      </c>
      <c r="DG516" t="s">
        <v>867</v>
      </c>
      <c r="DH516" t="s">
        <v>851</v>
      </c>
      <c r="DI516" t="s">
        <v>1266</v>
      </c>
      <c r="DK516" t="s">
        <v>918</v>
      </c>
      <c r="DL516" t="s">
        <v>869</v>
      </c>
      <c r="DM516">
        <v>0</v>
      </c>
      <c r="DN516">
        <v>0</v>
      </c>
      <c r="DO516">
        <v>53</v>
      </c>
      <c r="DP516" t="s">
        <v>1156</v>
      </c>
      <c r="DQ516">
        <v>0</v>
      </c>
      <c r="DR516">
        <v>825</v>
      </c>
      <c r="DS516">
        <v>2265</v>
      </c>
      <c r="DT516">
        <v>13.05</v>
      </c>
      <c r="DU516">
        <v>0</v>
      </c>
      <c r="DV516">
        <v>1</v>
      </c>
      <c r="DW516">
        <v>2</v>
      </c>
      <c r="DX516" t="s">
        <v>596</v>
      </c>
      <c r="DY516" t="s">
        <v>10492</v>
      </c>
      <c r="DZ516">
        <v>1</v>
      </c>
      <c r="EA516">
        <v>1</v>
      </c>
      <c r="EB516">
        <v>1</v>
      </c>
      <c r="EC516">
        <v>1</v>
      </c>
      <c r="ED516">
        <v>1</v>
      </c>
      <c r="EE516">
        <v>1</v>
      </c>
      <c r="EF516" t="s">
        <v>920</v>
      </c>
      <c r="EG516" t="s">
        <v>595</v>
      </c>
      <c r="EH516" t="s">
        <v>921</v>
      </c>
      <c r="EI516" t="s">
        <v>921</v>
      </c>
      <c r="EJ516" t="s">
        <v>124</v>
      </c>
      <c r="EK516">
        <v>9090</v>
      </c>
      <c r="EL516">
        <v>0</v>
      </c>
      <c r="EM516" t="s">
        <v>923</v>
      </c>
      <c r="EN516">
        <v>0.36670000000000003</v>
      </c>
      <c r="EO516">
        <v>37.75</v>
      </c>
      <c r="EP516">
        <v>99991120</v>
      </c>
      <c r="EQ516" t="s">
        <v>874</v>
      </c>
      <c r="ER516" t="s">
        <v>875</v>
      </c>
      <c r="ES516" t="s">
        <v>876</v>
      </c>
      <c r="ET516" t="s">
        <v>877</v>
      </c>
      <c r="EU516" t="s">
        <v>877</v>
      </c>
      <c r="EV516" t="s">
        <v>920</v>
      </c>
      <c r="EX516" t="s">
        <v>953</v>
      </c>
      <c r="EY516" t="s">
        <v>1292</v>
      </c>
      <c r="EZ516" t="s">
        <v>1293</v>
      </c>
      <c r="FA516" t="s">
        <v>925</v>
      </c>
      <c r="FB516">
        <v>1</v>
      </c>
      <c r="FC516">
        <v>1</v>
      </c>
      <c r="FD516" s="41">
        <v>46060</v>
      </c>
      <c r="FE516" t="s">
        <v>1267</v>
      </c>
      <c r="FF516">
        <v>4</v>
      </c>
      <c r="FI516">
        <v>0</v>
      </c>
      <c r="FL516">
        <v>0</v>
      </c>
      <c r="FM516" t="s">
        <v>10499</v>
      </c>
      <c r="FN516" t="s">
        <v>10500</v>
      </c>
      <c r="FO516">
        <v>1</v>
      </c>
      <c r="FP516" t="s">
        <v>10501</v>
      </c>
      <c r="FQ516" t="s">
        <v>10497</v>
      </c>
      <c r="FR516">
        <v>1</v>
      </c>
      <c r="FS516" t="s">
        <v>2938</v>
      </c>
      <c r="FT516" t="s">
        <v>10502</v>
      </c>
      <c r="FU516">
        <v>1</v>
      </c>
      <c r="FV516" t="s">
        <v>10503</v>
      </c>
      <c r="FW516" t="s">
        <v>10504</v>
      </c>
      <c r="FX516">
        <v>1</v>
      </c>
      <c r="FY516" t="s">
        <v>890</v>
      </c>
      <c r="FZ516" t="s">
        <v>10505</v>
      </c>
      <c r="GA516" t="s">
        <v>10503</v>
      </c>
      <c r="GB516">
        <v>1</v>
      </c>
      <c r="GD516">
        <v>0</v>
      </c>
      <c r="GF516">
        <v>0</v>
      </c>
      <c r="GG516">
        <v>1</v>
      </c>
      <c r="GH516" t="s">
        <v>892</v>
      </c>
      <c r="GI516" t="s">
        <v>893</v>
      </c>
      <c r="GJ516" t="s">
        <v>10504</v>
      </c>
      <c r="GM516">
        <v>1</v>
      </c>
      <c r="GN516">
        <v>1</v>
      </c>
      <c r="GO516">
        <v>0</v>
      </c>
      <c r="GP516">
        <v>1</v>
      </c>
      <c r="GQ516">
        <v>1</v>
      </c>
      <c r="GR516">
        <v>0</v>
      </c>
      <c r="GS516">
        <v>1</v>
      </c>
      <c r="GT516">
        <v>0</v>
      </c>
      <c r="GU516">
        <v>1</v>
      </c>
      <c r="GV516">
        <v>0</v>
      </c>
      <c r="GW516">
        <v>1</v>
      </c>
      <c r="GX516">
        <v>0</v>
      </c>
      <c r="GY516">
        <v>1</v>
      </c>
      <c r="GZ516">
        <v>0</v>
      </c>
      <c r="HA516" t="s">
        <v>269</v>
      </c>
      <c r="HB516" t="s">
        <v>894</v>
      </c>
      <c r="HC516" t="s">
        <v>935</v>
      </c>
      <c r="HD516" t="s">
        <v>845</v>
      </c>
      <c r="HE516" t="s">
        <v>900</v>
      </c>
      <c r="HF516" t="s">
        <v>923</v>
      </c>
      <c r="HG516" t="s">
        <v>894</v>
      </c>
      <c r="HH516" t="s">
        <v>935</v>
      </c>
      <c r="HI516" t="s">
        <v>845</v>
      </c>
      <c r="HJ516" t="s">
        <v>900</v>
      </c>
      <c r="HK516" t="s">
        <v>923</v>
      </c>
      <c r="HL516" t="s">
        <v>123</v>
      </c>
      <c r="HM516" t="s">
        <v>854</v>
      </c>
      <c r="HN516">
        <v>36805</v>
      </c>
      <c r="HP516" t="s">
        <v>124</v>
      </c>
      <c r="HQ516" t="s">
        <v>896</v>
      </c>
      <c r="HR516" t="s">
        <v>896</v>
      </c>
      <c r="HS516" t="s">
        <v>896</v>
      </c>
    </row>
    <row r="517" spans="1:227" x14ac:dyDescent="0.2">
      <c r="A517">
        <v>8702</v>
      </c>
      <c r="B517">
        <v>7609100449</v>
      </c>
      <c r="C517" t="s">
        <v>936</v>
      </c>
      <c r="D517" t="s">
        <v>937</v>
      </c>
      <c r="E517" t="s">
        <v>897</v>
      </c>
      <c r="F517">
        <v>1</v>
      </c>
      <c r="G517" t="s">
        <v>10506</v>
      </c>
      <c r="H517" t="s">
        <v>10506</v>
      </c>
      <c r="I517">
        <v>0</v>
      </c>
      <c r="J517" t="s">
        <v>833</v>
      </c>
      <c r="K517" t="s">
        <v>834</v>
      </c>
      <c r="L517">
        <v>153517111</v>
      </c>
      <c r="M517" t="s">
        <v>10507</v>
      </c>
      <c r="N517" t="s">
        <v>900</v>
      </c>
      <c r="O517" t="s">
        <v>837</v>
      </c>
      <c r="P517" t="s">
        <v>940</v>
      </c>
      <c r="Q517" t="s">
        <v>1080</v>
      </c>
      <c r="R517" t="s">
        <v>10508</v>
      </c>
      <c r="S517" t="s">
        <v>10509</v>
      </c>
      <c r="T517">
        <v>41477127063</v>
      </c>
      <c r="V517" t="s">
        <v>228</v>
      </c>
      <c r="W517" s="41">
        <v>46113</v>
      </c>
      <c r="X517" t="s">
        <v>10510</v>
      </c>
      <c r="Y517" t="s">
        <v>10511</v>
      </c>
      <c r="AA517">
        <v>0</v>
      </c>
      <c r="AB517" t="s">
        <v>845</v>
      </c>
      <c r="AC517" t="s">
        <v>846</v>
      </c>
      <c r="AD517" t="s">
        <v>1113</v>
      </c>
      <c r="AE517" t="s">
        <v>1114</v>
      </c>
      <c r="AF517">
        <v>1</v>
      </c>
      <c r="AG517">
        <v>452210</v>
      </c>
      <c r="AH517" t="s">
        <v>849</v>
      </c>
      <c r="AI517" t="s">
        <v>850</v>
      </c>
      <c r="AJ517" t="s">
        <v>851</v>
      </c>
      <c r="AK517" t="s">
        <v>336</v>
      </c>
      <c r="AL517" t="s">
        <v>4317</v>
      </c>
      <c r="AM517" t="s">
        <v>6479</v>
      </c>
      <c r="AN517" t="s">
        <v>854</v>
      </c>
      <c r="AO517">
        <v>36805</v>
      </c>
      <c r="AP517">
        <v>920</v>
      </c>
      <c r="AQ517" t="s">
        <v>855</v>
      </c>
      <c r="AR517">
        <v>66400457</v>
      </c>
      <c r="AS517" t="s">
        <v>856</v>
      </c>
      <c r="AU517" t="s">
        <v>10512</v>
      </c>
      <c r="AV517" t="s">
        <v>10513</v>
      </c>
      <c r="AX517" t="s">
        <v>913</v>
      </c>
      <c r="AY517" t="s">
        <v>861</v>
      </c>
      <c r="AZ517" t="s">
        <v>336</v>
      </c>
      <c r="BA517" t="s">
        <v>337</v>
      </c>
      <c r="BB517">
        <v>0</v>
      </c>
      <c r="BC517">
        <v>0</v>
      </c>
      <c r="BD517">
        <v>1</v>
      </c>
      <c r="BE517" t="s">
        <v>10507</v>
      </c>
      <c r="BF517">
        <v>0</v>
      </c>
      <c r="BG517">
        <v>0</v>
      </c>
      <c r="BH517" t="s">
        <v>862</v>
      </c>
      <c r="BI517">
        <v>0</v>
      </c>
      <c r="BJ517" t="s">
        <v>862</v>
      </c>
      <c r="BK517">
        <v>1</v>
      </c>
      <c r="BL517">
        <v>1</v>
      </c>
      <c r="BM517">
        <v>0</v>
      </c>
      <c r="BN517" t="s">
        <v>596</v>
      </c>
      <c r="BO517">
        <v>153517111</v>
      </c>
      <c r="BP517" t="s">
        <v>10506</v>
      </c>
      <c r="BQ517">
        <v>39.7719041</v>
      </c>
      <c r="BR517">
        <v>42793644</v>
      </c>
      <c r="BS517">
        <v>-84.046761399999994</v>
      </c>
      <c r="BT517">
        <v>2</v>
      </c>
      <c r="BU517" t="s">
        <v>1119</v>
      </c>
      <c r="BY517">
        <v>16</v>
      </c>
      <c r="CA517">
        <v>3</v>
      </c>
      <c r="CE517">
        <v>1</v>
      </c>
      <c r="CI517">
        <v>11</v>
      </c>
      <c r="CJ517" t="s">
        <v>94</v>
      </c>
      <c r="CM517">
        <v>4010</v>
      </c>
      <c r="CO517">
        <v>7360</v>
      </c>
      <c r="CP517">
        <v>1.0667</v>
      </c>
      <c r="CQ517">
        <v>1.0667</v>
      </c>
      <c r="CR517">
        <v>0.61670000000000003</v>
      </c>
      <c r="CS517">
        <v>584</v>
      </c>
      <c r="CT517" t="s">
        <v>10513</v>
      </c>
      <c r="CU517" t="s">
        <v>10512</v>
      </c>
      <c r="CV517" t="s">
        <v>833</v>
      </c>
      <c r="CW517" t="s">
        <v>834</v>
      </c>
      <c r="CX517" t="s">
        <v>10507</v>
      </c>
      <c r="CY517">
        <v>1</v>
      </c>
      <c r="CZ517">
        <v>1</v>
      </c>
      <c r="DA517" t="s">
        <v>833</v>
      </c>
      <c r="DB517" t="s">
        <v>865</v>
      </c>
      <c r="DC517">
        <v>45324</v>
      </c>
      <c r="DD517">
        <v>3.3666999999999998</v>
      </c>
      <c r="DE517" t="s">
        <v>866</v>
      </c>
      <c r="DG517" t="s">
        <v>867</v>
      </c>
      <c r="DH517" t="s">
        <v>851</v>
      </c>
      <c r="DI517" t="s">
        <v>3967</v>
      </c>
      <c r="DK517" t="s">
        <v>918</v>
      </c>
      <c r="DL517" t="s">
        <v>869</v>
      </c>
      <c r="DM517">
        <v>0</v>
      </c>
      <c r="DN517">
        <v>0</v>
      </c>
      <c r="DO517">
        <v>11</v>
      </c>
      <c r="DP517" t="s">
        <v>1010</v>
      </c>
      <c r="DQ517">
        <v>0</v>
      </c>
      <c r="DR517">
        <v>202</v>
      </c>
      <c r="DS517">
        <v>850</v>
      </c>
      <c r="DT517">
        <v>2.2999999999999998</v>
      </c>
      <c r="DU517">
        <v>0</v>
      </c>
      <c r="DV517">
        <v>1</v>
      </c>
      <c r="DW517">
        <v>2</v>
      </c>
      <c r="DX517" t="s">
        <v>596</v>
      </c>
      <c r="DY517" t="s">
        <v>10507</v>
      </c>
      <c r="DZ517">
        <v>1</v>
      </c>
      <c r="EA517">
        <v>1</v>
      </c>
      <c r="EB517">
        <v>1</v>
      </c>
      <c r="EC517">
        <v>1</v>
      </c>
      <c r="ED517">
        <v>1</v>
      </c>
      <c r="EE517">
        <v>1</v>
      </c>
      <c r="EF517" t="s">
        <v>920</v>
      </c>
      <c r="EG517" t="s">
        <v>595</v>
      </c>
      <c r="EH517" t="s">
        <v>921</v>
      </c>
      <c r="EI517" t="s">
        <v>921</v>
      </c>
      <c r="EJ517" t="s">
        <v>226</v>
      </c>
      <c r="EK517">
        <v>9090</v>
      </c>
      <c r="EL517">
        <v>0</v>
      </c>
      <c r="EM517" t="s">
        <v>1157</v>
      </c>
      <c r="EN517">
        <v>0.61670000000000003</v>
      </c>
      <c r="EO517">
        <v>14.1666667</v>
      </c>
      <c r="EP517">
        <v>99991120</v>
      </c>
      <c r="EQ517" t="s">
        <v>874</v>
      </c>
      <c r="ER517" t="s">
        <v>875</v>
      </c>
      <c r="ES517" t="s">
        <v>876</v>
      </c>
      <c r="ET517" t="s">
        <v>877</v>
      </c>
      <c r="EU517" t="s">
        <v>877</v>
      </c>
      <c r="EV517" t="s">
        <v>920</v>
      </c>
      <c r="EX517" t="s">
        <v>953</v>
      </c>
      <c r="EY517" t="s">
        <v>1555</v>
      </c>
      <c r="EZ517" t="s">
        <v>6483</v>
      </c>
      <c r="FA517" t="s">
        <v>925</v>
      </c>
      <c r="FB517">
        <v>1</v>
      </c>
      <c r="FC517">
        <v>1</v>
      </c>
      <c r="FD517" s="41">
        <v>46116</v>
      </c>
      <c r="FE517" t="s">
        <v>1123</v>
      </c>
      <c r="FF517">
        <v>7</v>
      </c>
      <c r="FG517" t="s">
        <v>10514</v>
      </c>
      <c r="FH517" t="s">
        <v>10515</v>
      </c>
      <c r="FI517">
        <v>1</v>
      </c>
      <c r="FJ517" t="s">
        <v>10516</v>
      </c>
      <c r="FK517" t="s">
        <v>10515</v>
      </c>
      <c r="FL517">
        <v>1</v>
      </c>
      <c r="FM517" t="s">
        <v>10517</v>
      </c>
      <c r="FN517" t="s">
        <v>10518</v>
      </c>
      <c r="FO517">
        <v>1</v>
      </c>
      <c r="FP517" t="s">
        <v>10519</v>
      </c>
      <c r="FQ517" t="s">
        <v>10512</v>
      </c>
      <c r="FR517">
        <v>1</v>
      </c>
      <c r="FS517" t="s">
        <v>6492</v>
      </c>
      <c r="FT517" t="s">
        <v>10520</v>
      </c>
      <c r="FU517">
        <v>1</v>
      </c>
      <c r="FV517" t="s">
        <v>6494</v>
      </c>
      <c r="FW517" t="s">
        <v>10521</v>
      </c>
      <c r="FX517">
        <v>1</v>
      </c>
      <c r="FY517" t="s">
        <v>890</v>
      </c>
      <c r="FZ517" t="s">
        <v>10522</v>
      </c>
      <c r="GA517" t="s">
        <v>10516</v>
      </c>
      <c r="GB517">
        <v>1</v>
      </c>
      <c r="GD517">
        <v>0</v>
      </c>
      <c r="GF517">
        <v>0</v>
      </c>
      <c r="GG517">
        <v>1</v>
      </c>
      <c r="GH517" t="s">
        <v>892</v>
      </c>
      <c r="GI517" t="s">
        <v>893</v>
      </c>
      <c r="GJ517" t="s">
        <v>10515</v>
      </c>
      <c r="GM517">
        <v>1</v>
      </c>
      <c r="GN517">
        <v>1</v>
      </c>
      <c r="GO517">
        <v>0</v>
      </c>
      <c r="GP517">
        <v>1</v>
      </c>
      <c r="GQ517">
        <v>1</v>
      </c>
      <c r="GR517">
        <v>0</v>
      </c>
      <c r="GS517">
        <v>1</v>
      </c>
      <c r="GT517">
        <v>0</v>
      </c>
      <c r="GU517">
        <v>1</v>
      </c>
      <c r="GV517">
        <v>0</v>
      </c>
      <c r="GW517">
        <v>1</v>
      </c>
      <c r="GX517">
        <v>0</v>
      </c>
      <c r="GY517">
        <v>1</v>
      </c>
      <c r="GZ517">
        <v>0</v>
      </c>
      <c r="HA517" t="s">
        <v>336</v>
      </c>
      <c r="HB517" t="s">
        <v>894</v>
      </c>
      <c r="HC517" t="s">
        <v>935</v>
      </c>
      <c r="HD517" t="s">
        <v>845</v>
      </c>
      <c r="HE517" t="s">
        <v>900</v>
      </c>
      <c r="HF517" t="s">
        <v>923</v>
      </c>
      <c r="HG517" t="s">
        <v>894</v>
      </c>
      <c r="HH517" t="s">
        <v>935</v>
      </c>
      <c r="HI517" t="s">
        <v>845</v>
      </c>
      <c r="HJ517" t="s">
        <v>900</v>
      </c>
      <c r="HK517" t="s">
        <v>922</v>
      </c>
      <c r="HL517" t="s">
        <v>228</v>
      </c>
      <c r="HM517" t="s">
        <v>854</v>
      </c>
      <c r="HN517">
        <v>36805</v>
      </c>
      <c r="HP517" t="s">
        <v>226</v>
      </c>
      <c r="HQ517" t="s">
        <v>896</v>
      </c>
      <c r="HR517" t="s">
        <v>896</v>
      </c>
      <c r="HS517" t="s">
        <v>896</v>
      </c>
    </row>
    <row r="518" spans="1:227" x14ac:dyDescent="0.2">
      <c r="A518">
        <v>8702</v>
      </c>
      <c r="B518">
        <v>7602602003</v>
      </c>
      <c r="C518">
        <v>34</v>
      </c>
      <c r="D518" t="s">
        <v>996</v>
      </c>
      <c r="E518" t="s">
        <v>831</v>
      </c>
      <c r="F518">
        <v>1</v>
      </c>
      <c r="G518" t="s">
        <v>10523</v>
      </c>
      <c r="H518" t="s">
        <v>10523</v>
      </c>
      <c r="I518">
        <v>0</v>
      </c>
      <c r="J518" t="s">
        <v>833</v>
      </c>
      <c r="K518" t="s">
        <v>834</v>
      </c>
      <c r="L518">
        <v>152946649</v>
      </c>
      <c r="M518" t="s">
        <v>10524</v>
      </c>
      <c r="N518" t="s">
        <v>836</v>
      </c>
      <c r="O518" t="s">
        <v>837</v>
      </c>
      <c r="P518" t="s">
        <v>999</v>
      </c>
      <c r="Q518" t="s">
        <v>1857</v>
      </c>
      <c r="R518" t="s">
        <v>10525</v>
      </c>
      <c r="S518" t="s">
        <v>10526</v>
      </c>
      <c r="T518">
        <v>41477063346</v>
      </c>
      <c r="V518" t="s">
        <v>842</v>
      </c>
      <c r="W518" s="41">
        <v>46048</v>
      </c>
      <c r="X518" t="s">
        <v>10527</v>
      </c>
      <c r="Y518" t="s">
        <v>10528</v>
      </c>
      <c r="Z518">
        <v>1</v>
      </c>
      <c r="AA518">
        <v>0</v>
      </c>
      <c r="AB518" t="s">
        <v>845</v>
      </c>
      <c r="AC518" t="s">
        <v>846</v>
      </c>
      <c r="AD518" t="s">
        <v>847</v>
      </c>
      <c r="AE518" t="s">
        <v>848</v>
      </c>
      <c r="AF518">
        <v>1</v>
      </c>
      <c r="AG518">
        <v>452210</v>
      </c>
      <c r="AH518" t="s">
        <v>849</v>
      </c>
      <c r="AI518" t="s">
        <v>850</v>
      </c>
      <c r="AJ518" t="s">
        <v>851</v>
      </c>
      <c r="AK518" t="s">
        <v>393</v>
      </c>
      <c r="AL518" t="s">
        <v>4142</v>
      </c>
      <c r="AM518" t="s">
        <v>853</v>
      </c>
      <c r="AN518" t="s">
        <v>854</v>
      </c>
      <c r="AO518">
        <v>36805</v>
      </c>
      <c r="AP518">
        <v>962</v>
      </c>
      <c r="AQ518" t="s">
        <v>855</v>
      </c>
      <c r="AR518">
        <v>66306817</v>
      </c>
      <c r="AS518" t="s">
        <v>856</v>
      </c>
      <c r="AU518" t="s">
        <v>10529</v>
      </c>
      <c r="AV518" t="s">
        <v>10530</v>
      </c>
      <c r="AX518" t="s">
        <v>913</v>
      </c>
      <c r="AY518" t="s">
        <v>861</v>
      </c>
      <c r="AZ518" t="s">
        <v>393</v>
      </c>
      <c r="BA518" t="s">
        <v>394</v>
      </c>
      <c r="BB518">
        <v>0</v>
      </c>
      <c r="BC518">
        <v>0</v>
      </c>
      <c r="BD518">
        <v>0</v>
      </c>
      <c r="BE518" t="s">
        <v>10524</v>
      </c>
      <c r="BF518">
        <v>0</v>
      </c>
      <c r="BG518">
        <v>0</v>
      </c>
      <c r="BH518" t="s">
        <v>862</v>
      </c>
      <c r="BI518">
        <v>0</v>
      </c>
      <c r="BJ518" t="s">
        <v>862</v>
      </c>
      <c r="BK518">
        <v>1</v>
      </c>
      <c r="BL518">
        <v>1</v>
      </c>
      <c r="BM518">
        <v>0</v>
      </c>
      <c r="BN518" t="s">
        <v>596</v>
      </c>
      <c r="BO518">
        <v>152946649</v>
      </c>
      <c r="BP518" t="s">
        <v>10523</v>
      </c>
      <c r="BQ518">
        <v>41.599454399999999</v>
      </c>
      <c r="BR518">
        <v>42793657</v>
      </c>
      <c r="BS518">
        <v>-93.744167500000003</v>
      </c>
      <c r="BT518">
        <v>2</v>
      </c>
      <c r="BU518" t="s">
        <v>1367</v>
      </c>
      <c r="CE518">
        <v>1</v>
      </c>
      <c r="CI518">
        <v>11</v>
      </c>
      <c r="CJ518" t="s">
        <v>94</v>
      </c>
      <c r="CM518">
        <v>4010</v>
      </c>
      <c r="CO518">
        <v>7360</v>
      </c>
      <c r="CP518">
        <v>0.76670000000000005</v>
      </c>
      <c r="CQ518">
        <v>0.76670000000000005</v>
      </c>
      <c r="CR518">
        <v>0.66669999999999996</v>
      </c>
      <c r="CS518">
        <v>3</v>
      </c>
      <c r="CT518" t="s">
        <v>10530</v>
      </c>
      <c r="CU518" t="s">
        <v>10529</v>
      </c>
      <c r="CV518" t="s">
        <v>833</v>
      </c>
      <c r="CW518" t="s">
        <v>834</v>
      </c>
      <c r="CX518" t="s">
        <v>10524</v>
      </c>
      <c r="CY518">
        <v>0</v>
      </c>
      <c r="CZ518">
        <v>0</v>
      </c>
      <c r="DA518" t="s">
        <v>833</v>
      </c>
      <c r="DB518" t="s">
        <v>865</v>
      </c>
      <c r="DC518">
        <v>50266</v>
      </c>
      <c r="DD518">
        <v>1.6333</v>
      </c>
      <c r="DE518" t="s">
        <v>866</v>
      </c>
      <c r="DG518" t="s">
        <v>867</v>
      </c>
      <c r="DH518" t="s">
        <v>851</v>
      </c>
      <c r="DI518" t="s">
        <v>2828</v>
      </c>
      <c r="DK518" t="s">
        <v>918</v>
      </c>
      <c r="DL518" t="s">
        <v>869</v>
      </c>
      <c r="DM518">
        <v>0</v>
      </c>
      <c r="DN518">
        <v>0</v>
      </c>
      <c r="DO518">
        <v>12</v>
      </c>
      <c r="DP518" t="s">
        <v>1190</v>
      </c>
      <c r="DQ518">
        <v>16</v>
      </c>
      <c r="DR518">
        <v>98</v>
      </c>
      <c r="DS518">
        <v>98</v>
      </c>
      <c r="DT518">
        <v>0.86670000000000003</v>
      </c>
      <c r="DU518">
        <v>4</v>
      </c>
      <c r="DV518">
        <v>1</v>
      </c>
      <c r="DW518">
        <v>2</v>
      </c>
      <c r="DX518" t="s">
        <v>596</v>
      </c>
      <c r="DY518" t="s">
        <v>10524</v>
      </c>
      <c r="DZ518">
        <v>1</v>
      </c>
      <c r="EA518">
        <v>1</v>
      </c>
      <c r="EB518">
        <v>1</v>
      </c>
      <c r="EC518">
        <v>1</v>
      </c>
      <c r="ED518">
        <v>1</v>
      </c>
      <c r="EE518">
        <v>1</v>
      </c>
      <c r="EF518" t="s">
        <v>920</v>
      </c>
      <c r="EG518" t="s">
        <v>595</v>
      </c>
      <c r="EH518" t="s">
        <v>921</v>
      </c>
      <c r="EI518" t="s">
        <v>921</v>
      </c>
      <c r="EJ518" t="s">
        <v>246</v>
      </c>
      <c r="EK518">
        <v>9090</v>
      </c>
      <c r="EL518">
        <v>0</v>
      </c>
      <c r="EM518" t="s">
        <v>873</v>
      </c>
      <c r="EN518">
        <v>0.66669999999999996</v>
      </c>
      <c r="EO518">
        <v>1.6333333000000001</v>
      </c>
      <c r="EP518">
        <v>99991120</v>
      </c>
      <c r="EQ518" t="s">
        <v>874</v>
      </c>
      <c r="ER518" t="s">
        <v>875</v>
      </c>
      <c r="ES518" t="s">
        <v>876</v>
      </c>
      <c r="ET518" t="s">
        <v>877</v>
      </c>
      <c r="EU518" t="s">
        <v>877</v>
      </c>
      <c r="EV518" t="s">
        <v>920</v>
      </c>
      <c r="EX518" t="s">
        <v>836</v>
      </c>
      <c r="EY518" t="s">
        <v>873</v>
      </c>
      <c r="EZ518" t="s">
        <v>878</v>
      </c>
      <c r="FA518" t="s">
        <v>879</v>
      </c>
      <c r="FB518">
        <v>1</v>
      </c>
      <c r="FC518">
        <v>1</v>
      </c>
      <c r="FD518" s="41">
        <v>46053</v>
      </c>
      <c r="FE518" t="s">
        <v>1370</v>
      </c>
      <c r="FF518">
        <v>4</v>
      </c>
      <c r="FI518">
        <v>0</v>
      </c>
      <c r="FL518">
        <v>0</v>
      </c>
      <c r="FM518" t="s">
        <v>10531</v>
      </c>
      <c r="FN518" t="s">
        <v>10532</v>
      </c>
      <c r="FO518">
        <v>1</v>
      </c>
      <c r="FP518" t="s">
        <v>10533</v>
      </c>
      <c r="FQ518" t="s">
        <v>10534</v>
      </c>
      <c r="FR518">
        <v>1</v>
      </c>
      <c r="FS518" t="s">
        <v>4151</v>
      </c>
      <c r="FT518" t="s">
        <v>10535</v>
      </c>
      <c r="FU518">
        <v>1</v>
      </c>
      <c r="FV518" t="s">
        <v>10536</v>
      </c>
      <c r="FW518" t="s">
        <v>10537</v>
      </c>
      <c r="FX518">
        <v>1</v>
      </c>
      <c r="FY518" t="s">
        <v>890</v>
      </c>
      <c r="FZ518" t="s">
        <v>10538</v>
      </c>
      <c r="GA518" t="s">
        <v>10536</v>
      </c>
      <c r="GB518">
        <v>1</v>
      </c>
      <c r="GD518">
        <v>0</v>
      </c>
      <c r="GF518">
        <v>0</v>
      </c>
      <c r="GG518">
        <v>1</v>
      </c>
      <c r="GH518" t="s">
        <v>892</v>
      </c>
      <c r="GI518" t="s">
        <v>893</v>
      </c>
      <c r="GJ518" t="s">
        <v>10537</v>
      </c>
      <c r="GM518">
        <v>1</v>
      </c>
      <c r="GN518">
        <v>1</v>
      </c>
      <c r="GO518">
        <v>0</v>
      </c>
      <c r="GP518">
        <v>1</v>
      </c>
      <c r="GQ518">
        <v>1</v>
      </c>
      <c r="GR518">
        <v>0</v>
      </c>
      <c r="GS518">
        <v>1</v>
      </c>
      <c r="GT518">
        <v>0</v>
      </c>
      <c r="GU518">
        <v>1</v>
      </c>
      <c r="GV518">
        <v>0</v>
      </c>
      <c r="GW518">
        <v>1</v>
      </c>
      <c r="GX518">
        <v>0</v>
      </c>
      <c r="GY518">
        <v>1</v>
      </c>
      <c r="GZ518">
        <v>0</v>
      </c>
      <c r="HA518" t="s">
        <v>393</v>
      </c>
      <c r="HB518" t="s">
        <v>894</v>
      </c>
      <c r="HC518" t="s">
        <v>895</v>
      </c>
      <c r="HD518" t="s">
        <v>845</v>
      </c>
      <c r="HE518" t="s">
        <v>836</v>
      </c>
      <c r="HF518" t="s">
        <v>873</v>
      </c>
      <c r="HG518" t="s">
        <v>894</v>
      </c>
      <c r="HH518" t="s">
        <v>895</v>
      </c>
      <c r="HI518" t="s">
        <v>845</v>
      </c>
      <c r="HJ518" t="s">
        <v>836</v>
      </c>
      <c r="HK518" t="s">
        <v>873</v>
      </c>
      <c r="HL518" t="s">
        <v>842</v>
      </c>
      <c r="HM518" t="s">
        <v>854</v>
      </c>
      <c r="HN518">
        <v>36805</v>
      </c>
      <c r="HP518" t="s">
        <v>246</v>
      </c>
      <c r="HQ518" t="s">
        <v>896</v>
      </c>
      <c r="HR518" t="s">
        <v>896</v>
      </c>
      <c r="HS518" t="s">
        <v>896</v>
      </c>
    </row>
    <row r="519" spans="1:227" x14ac:dyDescent="0.2">
      <c r="A519">
        <v>8702</v>
      </c>
      <c r="B519">
        <v>7533004779</v>
      </c>
      <c r="C519">
        <v>34</v>
      </c>
      <c r="D519" t="s">
        <v>996</v>
      </c>
      <c r="E519" t="s">
        <v>897</v>
      </c>
      <c r="F519">
        <v>0</v>
      </c>
      <c r="G519" t="s">
        <v>10539</v>
      </c>
      <c r="H519" t="s">
        <v>10539</v>
      </c>
      <c r="I519">
        <v>0</v>
      </c>
      <c r="J519" t="s">
        <v>833</v>
      </c>
      <c r="K519" t="s">
        <v>834</v>
      </c>
      <c r="L519">
        <v>155403191</v>
      </c>
      <c r="M519" t="s">
        <v>10540</v>
      </c>
      <c r="N519" t="s">
        <v>900</v>
      </c>
      <c r="O519" t="s">
        <v>837</v>
      </c>
      <c r="P519" t="s">
        <v>999</v>
      </c>
      <c r="Q519" t="s">
        <v>1027</v>
      </c>
      <c r="R519" t="s">
        <v>10541</v>
      </c>
      <c r="S519" t="s">
        <v>10542</v>
      </c>
      <c r="T519">
        <v>41477123263</v>
      </c>
      <c r="V519" t="s">
        <v>904</v>
      </c>
      <c r="W519" s="41">
        <v>45987</v>
      </c>
      <c r="X519" t="s">
        <v>10543</v>
      </c>
      <c r="Y519" t="s">
        <v>10544</v>
      </c>
      <c r="AA519">
        <v>0</v>
      </c>
      <c r="AB519" t="s">
        <v>845</v>
      </c>
      <c r="AC519" t="s">
        <v>846</v>
      </c>
      <c r="AD519" t="s">
        <v>847</v>
      </c>
      <c r="AE519" t="s">
        <v>848</v>
      </c>
      <c r="AF519">
        <v>1</v>
      </c>
      <c r="AG519">
        <v>452210</v>
      </c>
      <c r="AH519" t="s">
        <v>849</v>
      </c>
      <c r="AI519" t="s">
        <v>850</v>
      </c>
      <c r="AJ519" t="s">
        <v>851</v>
      </c>
      <c r="AK519" t="s">
        <v>332</v>
      </c>
      <c r="AL519" t="s">
        <v>7819</v>
      </c>
      <c r="AM519" t="s">
        <v>910</v>
      </c>
      <c r="AN519" t="s">
        <v>854</v>
      </c>
      <c r="AO519">
        <v>36805</v>
      </c>
      <c r="AP519">
        <v>606</v>
      </c>
      <c r="AQ519" t="s">
        <v>855</v>
      </c>
      <c r="AR519">
        <v>66219362</v>
      </c>
      <c r="AS519" t="s">
        <v>856</v>
      </c>
      <c r="AU519" t="s">
        <v>10545</v>
      </c>
      <c r="AV519" t="s">
        <v>10546</v>
      </c>
      <c r="AW519" t="s">
        <v>8663</v>
      </c>
      <c r="AX519" t="s">
        <v>8664</v>
      </c>
      <c r="AY519" t="s">
        <v>861</v>
      </c>
      <c r="AZ519" t="s">
        <v>332</v>
      </c>
      <c r="BA519" t="s">
        <v>333</v>
      </c>
      <c r="BB519">
        <v>0</v>
      </c>
      <c r="BC519">
        <v>0</v>
      </c>
      <c r="BD519">
        <v>0</v>
      </c>
      <c r="BE519" t="s">
        <v>10540</v>
      </c>
      <c r="BF519">
        <v>0</v>
      </c>
      <c r="BG519">
        <v>0</v>
      </c>
      <c r="BH519" t="s">
        <v>862</v>
      </c>
      <c r="BI519">
        <v>0</v>
      </c>
      <c r="BJ519" t="s">
        <v>862</v>
      </c>
      <c r="BK519">
        <v>1</v>
      </c>
      <c r="BL519">
        <v>0</v>
      </c>
      <c r="BM519">
        <v>0</v>
      </c>
      <c r="BN519" t="s">
        <v>596</v>
      </c>
      <c r="BO519">
        <v>155403191</v>
      </c>
      <c r="BP519" t="s">
        <v>10539</v>
      </c>
      <c r="BQ519">
        <v>42.926015</v>
      </c>
      <c r="BR519">
        <v>42810759</v>
      </c>
      <c r="BS519">
        <v>-85.606031299999998</v>
      </c>
      <c r="BT519">
        <v>0</v>
      </c>
      <c r="CM519">
        <v>4010</v>
      </c>
      <c r="CO519">
        <v>7360</v>
      </c>
      <c r="CP519">
        <v>6.6699999999999995E-2</v>
      </c>
      <c r="CQ519">
        <v>6.6699999999999995E-2</v>
      </c>
      <c r="CR519">
        <v>0</v>
      </c>
      <c r="CS519">
        <v>8</v>
      </c>
      <c r="CT519" t="s">
        <v>10547</v>
      </c>
      <c r="CU519" t="s">
        <v>10548</v>
      </c>
      <c r="CV519" t="s">
        <v>833</v>
      </c>
      <c r="CW519" t="s">
        <v>834</v>
      </c>
      <c r="CX519" t="s">
        <v>10540</v>
      </c>
      <c r="CY519">
        <v>0</v>
      </c>
      <c r="CZ519">
        <v>0</v>
      </c>
      <c r="DA519" t="s">
        <v>833</v>
      </c>
      <c r="DB519" t="s">
        <v>865</v>
      </c>
      <c r="DC519">
        <v>49546</v>
      </c>
      <c r="DD519">
        <v>2.0333000000000001</v>
      </c>
      <c r="DE519" t="s">
        <v>866</v>
      </c>
      <c r="DG519" t="s">
        <v>867</v>
      </c>
      <c r="DH519" t="s">
        <v>851</v>
      </c>
      <c r="DI519" t="s">
        <v>10549</v>
      </c>
      <c r="DL519" t="s">
        <v>869</v>
      </c>
      <c r="DM519">
        <v>0</v>
      </c>
      <c r="DN519">
        <v>0</v>
      </c>
      <c r="DO519">
        <v>53</v>
      </c>
      <c r="DP519" t="s">
        <v>1156</v>
      </c>
      <c r="DQ519">
        <v>16</v>
      </c>
      <c r="DR519">
        <v>122</v>
      </c>
      <c r="DS519">
        <v>122</v>
      </c>
      <c r="DT519">
        <v>1.9666999999999999</v>
      </c>
      <c r="DU519">
        <v>4</v>
      </c>
      <c r="DW519">
        <v>2</v>
      </c>
      <c r="DX519" t="s">
        <v>594</v>
      </c>
      <c r="DY519" t="s">
        <v>10540</v>
      </c>
      <c r="DZ519">
        <v>0</v>
      </c>
      <c r="EA519">
        <v>0</v>
      </c>
      <c r="EB519">
        <v>0</v>
      </c>
      <c r="EC519">
        <v>0</v>
      </c>
      <c r="ED519">
        <v>0</v>
      </c>
      <c r="EE519">
        <v>0</v>
      </c>
      <c r="EF519" t="s">
        <v>920</v>
      </c>
      <c r="EG519" t="s">
        <v>595</v>
      </c>
      <c r="EH519" t="s">
        <v>872</v>
      </c>
      <c r="EI519" t="s">
        <v>872</v>
      </c>
      <c r="EJ519" t="s">
        <v>178</v>
      </c>
      <c r="EK519">
        <v>9090</v>
      </c>
      <c r="EL519">
        <v>0</v>
      </c>
      <c r="EM519" t="s">
        <v>922</v>
      </c>
      <c r="EN519">
        <v>0</v>
      </c>
      <c r="EO519">
        <v>2.0333332999999998</v>
      </c>
      <c r="EP519">
        <v>99991120</v>
      </c>
      <c r="EQ519" t="s">
        <v>874</v>
      </c>
      <c r="ER519" t="s">
        <v>875</v>
      </c>
      <c r="ES519" t="s">
        <v>876</v>
      </c>
      <c r="ET519" t="s">
        <v>877</v>
      </c>
      <c r="EU519" t="s">
        <v>877</v>
      </c>
      <c r="EV519" t="s">
        <v>920</v>
      </c>
      <c r="EX519" t="s">
        <v>953</v>
      </c>
      <c r="EY519" t="s">
        <v>986</v>
      </c>
      <c r="EZ519" t="s">
        <v>924</v>
      </c>
      <c r="FA519" t="s">
        <v>925</v>
      </c>
      <c r="FB519">
        <v>1</v>
      </c>
      <c r="FC519">
        <v>1</v>
      </c>
      <c r="FD519" s="41">
        <v>45990</v>
      </c>
      <c r="FE519" t="s">
        <v>1438</v>
      </c>
      <c r="FF519">
        <v>5</v>
      </c>
      <c r="FI519">
        <v>0</v>
      </c>
      <c r="FJ519" t="s">
        <v>10550</v>
      </c>
      <c r="FK519" t="s">
        <v>10551</v>
      </c>
      <c r="FL519">
        <v>1</v>
      </c>
      <c r="FM519" t="s">
        <v>10552</v>
      </c>
      <c r="FN519" t="s">
        <v>10551</v>
      </c>
      <c r="FO519">
        <v>1</v>
      </c>
      <c r="FP519" t="s">
        <v>10553</v>
      </c>
      <c r="FQ519" t="s">
        <v>10548</v>
      </c>
      <c r="FR519">
        <v>1</v>
      </c>
      <c r="FS519" t="s">
        <v>7578</v>
      </c>
      <c r="FT519" t="s">
        <v>10554</v>
      </c>
      <c r="FU519">
        <v>1</v>
      </c>
      <c r="FV519" t="s">
        <v>10550</v>
      </c>
      <c r="FW519" t="s">
        <v>10551</v>
      </c>
      <c r="FX519">
        <v>1</v>
      </c>
      <c r="FY519" t="s">
        <v>890</v>
      </c>
      <c r="FZ519" t="s">
        <v>10555</v>
      </c>
      <c r="GA519" t="s">
        <v>10550</v>
      </c>
      <c r="GB519">
        <v>1</v>
      </c>
      <c r="GD519">
        <v>0</v>
      </c>
      <c r="GF519">
        <v>0</v>
      </c>
      <c r="GG519">
        <v>1</v>
      </c>
      <c r="GH519" t="s">
        <v>892</v>
      </c>
      <c r="GI519" t="s">
        <v>893</v>
      </c>
      <c r="GJ519" t="s">
        <v>10551</v>
      </c>
      <c r="GM519">
        <v>1</v>
      </c>
      <c r="GN519">
        <v>1</v>
      </c>
      <c r="GO519">
        <v>0</v>
      </c>
      <c r="GP519">
        <v>1</v>
      </c>
      <c r="GQ519">
        <v>1</v>
      </c>
      <c r="GR519">
        <v>0</v>
      </c>
      <c r="GS519">
        <v>1</v>
      </c>
      <c r="GT519">
        <v>0</v>
      </c>
      <c r="GU519">
        <v>1</v>
      </c>
      <c r="GV519">
        <v>0</v>
      </c>
      <c r="GW519">
        <v>1</v>
      </c>
      <c r="GX519">
        <v>0</v>
      </c>
      <c r="GY519">
        <v>1</v>
      </c>
      <c r="GZ519">
        <v>0</v>
      </c>
      <c r="HA519" t="s">
        <v>332</v>
      </c>
      <c r="HB519" t="s">
        <v>894</v>
      </c>
      <c r="HC519" t="s">
        <v>935</v>
      </c>
      <c r="HD519" t="s">
        <v>845</v>
      </c>
      <c r="HE519" t="s">
        <v>900</v>
      </c>
      <c r="HF519" t="s">
        <v>923</v>
      </c>
      <c r="HG519" t="s">
        <v>894</v>
      </c>
      <c r="HH519" t="s">
        <v>935</v>
      </c>
      <c r="HI519" t="s">
        <v>845</v>
      </c>
      <c r="HJ519" t="s">
        <v>900</v>
      </c>
      <c r="HK519" t="s">
        <v>922</v>
      </c>
      <c r="HL519" t="s">
        <v>904</v>
      </c>
      <c r="HM519" t="s">
        <v>854</v>
      </c>
      <c r="HN519">
        <v>36805</v>
      </c>
      <c r="HP519" t="s">
        <v>178</v>
      </c>
      <c r="HQ519" t="s">
        <v>896</v>
      </c>
      <c r="HR519" t="s">
        <v>896</v>
      </c>
      <c r="HS519" t="s">
        <v>896</v>
      </c>
    </row>
    <row r="520" spans="1:227" x14ac:dyDescent="0.2">
      <c r="A520">
        <v>8702</v>
      </c>
      <c r="B520">
        <v>7618413195</v>
      </c>
      <c r="C520" t="s">
        <v>829</v>
      </c>
      <c r="D520" t="s">
        <v>830</v>
      </c>
      <c r="E520" t="s">
        <v>897</v>
      </c>
      <c r="F520">
        <v>1</v>
      </c>
      <c r="G520" t="s">
        <v>10556</v>
      </c>
      <c r="H520" t="s">
        <v>10556</v>
      </c>
      <c r="I520">
        <v>0</v>
      </c>
      <c r="J520" t="s">
        <v>833</v>
      </c>
      <c r="K520" t="s">
        <v>834</v>
      </c>
      <c r="L520">
        <v>153406560</v>
      </c>
      <c r="M520" t="s">
        <v>4649</v>
      </c>
      <c r="N520" t="s">
        <v>900</v>
      </c>
      <c r="O520" t="s">
        <v>837</v>
      </c>
      <c r="P520" t="s">
        <v>838</v>
      </c>
      <c r="Q520" t="s">
        <v>1251</v>
      </c>
      <c r="R520" t="s">
        <v>10557</v>
      </c>
      <c r="S520" t="s">
        <v>10558</v>
      </c>
      <c r="T520">
        <v>41477066624</v>
      </c>
      <c r="V520" t="s">
        <v>133</v>
      </c>
      <c r="W520" s="41">
        <v>46207</v>
      </c>
      <c r="X520" t="s">
        <v>10559</v>
      </c>
      <c r="Y520" t="s">
        <v>10560</v>
      </c>
      <c r="AA520">
        <v>0</v>
      </c>
      <c r="AB520" t="s">
        <v>845</v>
      </c>
      <c r="AC520" t="s">
        <v>846</v>
      </c>
      <c r="AD520" t="s">
        <v>907</v>
      </c>
      <c r="AE520" t="s">
        <v>908</v>
      </c>
      <c r="AF520">
        <v>1</v>
      </c>
      <c r="AG520">
        <v>452210</v>
      </c>
      <c r="AH520" t="s">
        <v>849</v>
      </c>
      <c r="AI520" t="s">
        <v>850</v>
      </c>
      <c r="AJ520" t="s">
        <v>851</v>
      </c>
      <c r="AK520" t="s">
        <v>307</v>
      </c>
      <c r="AL520" t="s">
        <v>2207</v>
      </c>
      <c r="AM520" t="s">
        <v>1182</v>
      </c>
      <c r="AN520" t="s">
        <v>854</v>
      </c>
      <c r="AO520">
        <v>36805</v>
      </c>
      <c r="AP520">
        <v>526</v>
      </c>
      <c r="AQ520" t="s">
        <v>855</v>
      </c>
      <c r="AR520">
        <v>66535716</v>
      </c>
      <c r="AS520" t="s">
        <v>856</v>
      </c>
      <c r="AU520" t="s">
        <v>10561</v>
      </c>
      <c r="AV520" t="s">
        <v>10562</v>
      </c>
      <c r="AX520" t="s">
        <v>913</v>
      </c>
      <c r="AY520" t="s">
        <v>861</v>
      </c>
      <c r="AZ520" t="s">
        <v>307</v>
      </c>
      <c r="BA520" t="s">
        <v>308</v>
      </c>
      <c r="BB520">
        <v>0</v>
      </c>
      <c r="BC520">
        <v>0</v>
      </c>
      <c r="BD520">
        <v>0</v>
      </c>
      <c r="BE520" t="s">
        <v>4649</v>
      </c>
      <c r="BF520">
        <v>0</v>
      </c>
      <c r="BG520">
        <v>0</v>
      </c>
      <c r="BH520" t="s">
        <v>862</v>
      </c>
      <c r="BI520">
        <v>0</v>
      </c>
      <c r="BJ520" t="s">
        <v>862</v>
      </c>
      <c r="BK520">
        <v>1</v>
      </c>
      <c r="BL520">
        <v>1</v>
      </c>
      <c r="BM520">
        <v>0</v>
      </c>
      <c r="BN520" t="s">
        <v>596</v>
      </c>
      <c r="BO520">
        <v>153406560</v>
      </c>
      <c r="BP520" t="s">
        <v>10556</v>
      </c>
      <c r="BR520">
        <v>42791437</v>
      </c>
      <c r="BT520">
        <v>2</v>
      </c>
      <c r="BU520" t="s">
        <v>1062</v>
      </c>
      <c r="BY520">
        <v>16</v>
      </c>
      <c r="CA520">
        <v>9</v>
      </c>
      <c r="CE520">
        <v>1</v>
      </c>
      <c r="CI520">
        <v>11</v>
      </c>
      <c r="CJ520" t="s">
        <v>94</v>
      </c>
      <c r="CM520">
        <v>4010</v>
      </c>
      <c r="CO520">
        <v>7360</v>
      </c>
      <c r="CP520">
        <v>1.4666999999999999</v>
      </c>
      <c r="CQ520">
        <v>1.4666999999999999</v>
      </c>
      <c r="CR520">
        <v>1.0667</v>
      </c>
      <c r="CS520">
        <v>19</v>
      </c>
      <c r="CT520" t="s">
        <v>10562</v>
      </c>
      <c r="CU520" t="s">
        <v>10561</v>
      </c>
      <c r="CV520" t="s">
        <v>833</v>
      </c>
      <c r="CW520" t="s">
        <v>834</v>
      </c>
      <c r="CX520" t="s">
        <v>4649</v>
      </c>
      <c r="CY520">
        <v>0</v>
      </c>
      <c r="CZ520">
        <v>0</v>
      </c>
      <c r="DA520" t="s">
        <v>833</v>
      </c>
      <c r="DB520" t="s">
        <v>865</v>
      </c>
      <c r="DC520">
        <v>46260</v>
      </c>
      <c r="DD520">
        <v>9.4332999999999991</v>
      </c>
      <c r="DE520" t="s">
        <v>866</v>
      </c>
      <c r="DG520" t="s">
        <v>867</v>
      </c>
      <c r="DH520" t="s">
        <v>851</v>
      </c>
      <c r="DK520" t="s">
        <v>918</v>
      </c>
      <c r="DL520" t="s">
        <v>869</v>
      </c>
      <c r="DM520">
        <v>0</v>
      </c>
      <c r="DN520">
        <v>0</v>
      </c>
      <c r="DO520">
        <v>2</v>
      </c>
      <c r="DP520" t="s">
        <v>870</v>
      </c>
      <c r="DQ520">
        <v>16</v>
      </c>
      <c r="DR520">
        <v>566</v>
      </c>
      <c r="DS520">
        <v>1286</v>
      </c>
      <c r="DT520">
        <v>7.9667000000000003</v>
      </c>
      <c r="DU520">
        <v>4</v>
      </c>
      <c r="DV520">
        <v>1</v>
      </c>
      <c r="DW520">
        <v>2</v>
      </c>
      <c r="DX520" t="s">
        <v>596</v>
      </c>
      <c r="DY520" t="s">
        <v>4649</v>
      </c>
      <c r="DZ520">
        <v>1</v>
      </c>
      <c r="EA520">
        <v>1</v>
      </c>
      <c r="EB520">
        <v>1</v>
      </c>
      <c r="EC520">
        <v>0</v>
      </c>
      <c r="ED520">
        <v>0</v>
      </c>
      <c r="EE520">
        <v>1</v>
      </c>
      <c r="EF520" t="s">
        <v>920</v>
      </c>
      <c r="EG520" t="s">
        <v>595</v>
      </c>
      <c r="EH520" t="s">
        <v>921</v>
      </c>
      <c r="EI520" t="s">
        <v>921</v>
      </c>
      <c r="EJ520" t="s">
        <v>134</v>
      </c>
      <c r="EK520">
        <v>9090</v>
      </c>
      <c r="EL520">
        <v>0</v>
      </c>
      <c r="EM520" t="s">
        <v>1011</v>
      </c>
      <c r="EN520">
        <v>1.0667</v>
      </c>
      <c r="EO520">
        <v>21.433333300000001</v>
      </c>
      <c r="EP520">
        <v>99991120</v>
      </c>
      <c r="EQ520" t="s">
        <v>874</v>
      </c>
      <c r="ER520" t="s">
        <v>875</v>
      </c>
      <c r="ES520" t="s">
        <v>876</v>
      </c>
      <c r="ET520" t="s">
        <v>877</v>
      </c>
      <c r="EU520" t="s">
        <v>877</v>
      </c>
      <c r="EV520" t="s">
        <v>920</v>
      </c>
      <c r="EX520" t="s">
        <v>900</v>
      </c>
      <c r="EY520" t="s">
        <v>1012</v>
      </c>
      <c r="EZ520" t="s">
        <v>1013</v>
      </c>
      <c r="FA520" t="s">
        <v>925</v>
      </c>
      <c r="FB520">
        <v>1</v>
      </c>
      <c r="FC520">
        <v>1</v>
      </c>
      <c r="FD520" s="41">
        <v>46207</v>
      </c>
      <c r="FE520" t="s">
        <v>1066</v>
      </c>
      <c r="FF520">
        <v>4</v>
      </c>
      <c r="FI520">
        <v>0</v>
      </c>
      <c r="FL520">
        <v>0</v>
      </c>
      <c r="FM520" t="s">
        <v>10563</v>
      </c>
      <c r="FN520" t="s">
        <v>10564</v>
      </c>
      <c r="FO520">
        <v>1</v>
      </c>
      <c r="FP520" t="s">
        <v>10565</v>
      </c>
      <c r="FQ520" t="s">
        <v>10561</v>
      </c>
      <c r="FR520">
        <v>1</v>
      </c>
      <c r="FS520" t="s">
        <v>2417</v>
      </c>
      <c r="FT520" t="s">
        <v>10566</v>
      </c>
      <c r="FU520">
        <v>1</v>
      </c>
      <c r="FV520" t="s">
        <v>10567</v>
      </c>
      <c r="FW520" t="s">
        <v>10568</v>
      </c>
      <c r="FX520">
        <v>1</v>
      </c>
      <c r="FY520" t="s">
        <v>890</v>
      </c>
      <c r="FZ520" t="s">
        <v>10569</v>
      </c>
      <c r="GA520" t="s">
        <v>10567</v>
      </c>
      <c r="GB520">
        <v>1</v>
      </c>
      <c r="GD520">
        <v>0</v>
      </c>
      <c r="GF520">
        <v>0</v>
      </c>
      <c r="GG520">
        <v>1</v>
      </c>
      <c r="GH520" t="s">
        <v>892</v>
      </c>
      <c r="GI520" t="s">
        <v>893</v>
      </c>
      <c r="GJ520" t="s">
        <v>10568</v>
      </c>
      <c r="GM520">
        <v>1</v>
      </c>
      <c r="GN520">
        <v>1</v>
      </c>
      <c r="GO520">
        <v>0</v>
      </c>
      <c r="GP520">
        <v>1</v>
      </c>
      <c r="GQ520">
        <v>1</v>
      </c>
      <c r="GR520">
        <v>0</v>
      </c>
      <c r="GS520">
        <v>1</v>
      </c>
      <c r="GT520">
        <v>1</v>
      </c>
      <c r="GU520">
        <v>1</v>
      </c>
      <c r="GV520">
        <v>1</v>
      </c>
      <c r="GW520">
        <v>1</v>
      </c>
      <c r="GX520">
        <v>1</v>
      </c>
      <c r="GY520">
        <v>1</v>
      </c>
      <c r="GZ520">
        <v>1</v>
      </c>
      <c r="HA520" t="s">
        <v>307</v>
      </c>
      <c r="HB520" t="s">
        <v>894</v>
      </c>
      <c r="HC520" t="s">
        <v>935</v>
      </c>
      <c r="HD520" t="s">
        <v>845</v>
      </c>
      <c r="HE520" t="s">
        <v>900</v>
      </c>
      <c r="HF520" t="s">
        <v>1012</v>
      </c>
      <c r="HG520" t="s">
        <v>894</v>
      </c>
      <c r="HH520" t="s">
        <v>935</v>
      </c>
      <c r="HI520" t="s">
        <v>845</v>
      </c>
      <c r="HJ520" t="s">
        <v>900</v>
      </c>
      <c r="HK520" t="s">
        <v>1011</v>
      </c>
      <c r="HL520" t="s">
        <v>133</v>
      </c>
      <c r="HM520" t="s">
        <v>854</v>
      </c>
      <c r="HN520">
        <v>36805</v>
      </c>
      <c r="HP520" t="s">
        <v>134</v>
      </c>
      <c r="HQ520" t="s">
        <v>896</v>
      </c>
      <c r="HR520" t="s">
        <v>896</v>
      </c>
      <c r="HS520" t="s">
        <v>896</v>
      </c>
    </row>
    <row r="521" spans="1:227" x14ac:dyDescent="0.2">
      <c r="A521">
        <v>8702</v>
      </c>
      <c r="B521">
        <v>7601515365</v>
      </c>
      <c r="C521" t="s">
        <v>829</v>
      </c>
      <c r="D521" t="s">
        <v>830</v>
      </c>
      <c r="E521" t="s">
        <v>831</v>
      </c>
      <c r="F521">
        <v>3</v>
      </c>
      <c r="G521" t="s">
        <v>10570</v>
      </c>
      <c r="H521" t="s">
        <v>10570</v>
      </c>
      <c r="I521">
        <v>0</v>
      </c>
      <c r="J521" t="s">
        <v>833</v>
      </c>
      <c r="K521" t="s">
        <v>834</v>
      </c>
      <c r="L521">
        <v>153524533</v>
      </c>
      <c r="M521" t="s">
        <v>9212</v>
      </c>
      <c r="N521" t="s">
        <v>836</v>
      </c>
      <c r="O521" t="s">
        <v>837</v>
      </c>
      <c r="P521" t="s">
        <v>838</v>
      </c>
      <c r="Q521" t="s">
        <v>1251</v>
      </c>
      <c r="R521" t="s">
        <v>10571</v>
      </c>
      <c r="S521" t="s">
        <v>10572</v>
      </c>
      <c r="T521">
        <v>30300111330</v>
      </c>
      <c r="V521" t="s">
        <v>193</v>
      </c>
      <c r="W521" s="41">
        <v>46038</v>
      </c>
      <c r="X521" t="s">
        <v>10573</v>
      </c>
      <c r="Y521" t="s">
        <v>10574</v>
      </c>
      <c r="Z521">
        <v>1</v>
      </c>
      <c r="AA521">
        <v>0</v>
      </c>
      <c r="AB521" t="s">
        <v>845</v>
      </c>
      <c r="AC521" t="s">
        <v>846</v>
      </c>
      <c r="AD521" t="s">
        <v>847</v>
      </c>
      <c r="AE521" t="s">
        <v>848</v>
      </c>
      <c r="AF521">
        <v>1</v>
      </c>
      <c r="AG521">
        <v>452210</v>
      </c>
      <c r="AH521" t="s">
        <v>849</v>
      </c>
      <c r="AI521" t="s">
        <v>850</v>
      </c>
      <c r="AJ521" t="s">
        <v>851</v>
      </c>
      <c r="AK521" t="s">
        <v>271</v>
      </c>
      <c r="AL521" t="s">
        <v>2363</v>
      </c>
      <c r="AM521" t="s">
        <v>2364</v>
      </c>
      <c r="AN521" t="s">
        <v>854</v>
      </c>
      <c r="AO521">
        <v>36805</v>
      </c>
      <c r="AP521">
        <v>637</v>
      </c>
      <c r="AQ521" t="s">
        <v>855</v>
      </c>
      <c r="AR521">
        <v>66292555</v>
      </c>
      <c r="AS521" t="s">
        <v>856</v>
      </c>
      <c r="AU521" t="s">
        <v>10575</v>
      </c>
      <c r="AV521" t="s">
        <v>10576</v>
      </c>
      <c r="AX521" t="s">
        <v>913</v>
      </c>
      <c r="AY521" t="s">
        <v>861</v>
      </c>
      <c r="AZ521" t="s">
        <v>271</v>
      </c>
      <c r="BA521" t="s">
        <v>272</v>
      </c>
      <c r="BB521">
        <v>0</v>
      </c>
      <c r="BC521">
        <v>0</v>
      </c>
      <c r="BD521">
        <v>0</v>
      </c>
      <c r="BE521" t="s">
        <v>9212</v>
      </c>
      <c r="BF521">
        <v>0</v>
      </c>
      <c r="BG521">
        <v>0</v>
      </c>
      <c r="BH521" t="s">
        <v>862</v>
      </c>
      <c r="BI521">
        <v>0</v>
      </c>
      <c r="BJ521" t="s">
        <v>862</v>
      </c>
      <c r="BK521">
        <v>1</v>
      </c>
      <c r="BL521">
        <v>1</v>
      </c>
      <c r="BM521">
        <v>0</v>
      </c>
      <c r="BN521" t="s">
        <v>596</v>
      </c>
      <c r="BO521">
        <v>153524533</v>
      </c>
      <c r="BP521" t="s">
        <v>10570</v>
      </c>
      <c r="BR521">
        <v>42791765</v>
      </c>
      <c r="BT521">
        <v>2</v>
      </c>
      <c r="BU521" t="s">
        <v>1367</v>
      </c>
      <c r="CE521">
        <v>1</v>
      </c>
      <c r="CI521">
        <v>11</v>
      </c>
      <c r="CJ521" t="s">
        <v>94</v>
      </c>
      <c r="CM521">
        <v>4010</v>
      </c>
      <c r="CO521">
        <v>7360</v>
      </c>
      <c r="CP521">
        <v>4.3167</v>
      </c>
      <c r="CQ521">
        <v>4.3167</v>
      </c>
      <c r="CR521">
        <v>2.9</v>
      </c>
      <c r="CS521">
        <v>0</v>
      </c>
      <c r="CT521" t="s">
        <v>10576</v>
      </c>
      <c r="CU521" t="s">
        <v>10575</v>
      </c>
      <c r="CV521" t="s">
        <v>833</v>
      </c>
      <c r="CW521" t="s">
        <v>834</v>
      </c>
      <c r="CX521" t="s">
        <v>9212</v>
      </c>
      <c r="CY521">
        <v>0</v>
      </c>
      <c r="CZ521">
        <v>0</v>
      </c>
      <c r="DA521" t="s">
        <v>833</v>
      </c>
      <c r="DB521" t="s">
        <v>865</v>
      </c>
      <c r="DC521">
        <v>60014</v>
      </c>
      <c r="DD521">
        <v>15.25</v>
      </c>
      <c r="DE521" t="s">
        <v>866</v>
      </c>
      <c r="DG521" t="s">
        <v>867</v>
      </c>
      <c r="DH521" t="s">
        <v>851</v>
      </c>
      <c r="DI521" t="s">
        <v>1291</v>
      </c>
      <c r="DK521" t="s">
        <v>918</v>
      </c>
      <c r="DL521" t="s">
        <v>869</v>
      </c>
      <c r="DM521">
        <v>0</v>
      </c>
      <c r="DN521">
        <v>0</v>
      </c>
      <c r="DO521">
        <v>12</v>
      </c>
      <c r="DP521" t="s">
        <v>1190</v>
      </c>
      <c r="DQ521">
        <v>16</v>
      </c>
      <c r="DR521">
        <v>915</v>
      </c>
      <c r="DS521">
        <v>1635</v>
      </c>
      <c r="DT521">
        <v>9.75</v>
      </c>
      <c r="DU521">
        <v>4</v>
      </c>
      <c r="DV521">
        <v>1</v>
      </c>
      <c r="DW521">
        <v>2</v>
      </c>
      <c r="DX521" t="s">
        <v>596</v>
      </c>
      <c r="DY521" t="s">
        <v>9212</v>
      </c>
      <c r="DZ521">
        <v>1</v>
      </c>
      <c r="EA521">
        <v>1</v>
      </c>
      <c r="EB521">
        <v>1</v>
      </c>
      <c r="EC521">
        <v>0</v>
      </c>
      <c r="ED521">
        <v>0</v>
      </c>
      <c r="EE521">
        <v>1</v>
      </c>
      <c r="EF521" t="s">
        <v>920</v>
      </c>
      <c r="EG521" t="s">
        <v>595</v>
      </c>
      <c r="EH521" t="s">
        <v>921</v>
      </c>
      <c r="EI521" t="s">
        <v>921</v>
      </c>
      <c r="EJ521" t="s">
        <v>181</v>
      </c>
      <c r="EK521">
        <v>9090</v>
      </c>
      <c r="EL521">
        <v>1</v>
      </c>
      <c r="EM521" t="s">
        <v>1436</v>
      </c>
      <c r="EN521">
        <v>2.9</v>
      </c>
      <c r="EO521">
        <v>27.25</v>
      </c>
      <c r="EP521">
        <v>99991120</v>
      </c>
      <c r="EQ521" t="s">
        <v>874</v>
      </c>
      <c r="ER521" t="s">
        <v>875</v>
      </c>
      <c r="ES521" t="s">
        <v>876</v>
      </c>
      <c r="ET521" t="s">
        <v>877</v>
      </c>
      <c r="EU521" t="s">
        <v>877</v>
      </c>
      <c r="EV521" t="s">
        <v>920</v>
      </c>
      <c r="EX521" t="s">
        <v>836</v>
      </c>
      <c r="EY521" t="s">
        <v>873</v>
      </c>
      <c r="EZ521" t="s">
        <v>1437</v>
      </c>
      <c r="FA521" t="s">
        <v>956</v>
      </c>
      <c r="FB521">
        <v>1</v>
      </c>
      <c r="FC521">
        <v>2</v>
      </c>
      <c r="FD521" s="41">
        <v>46039</v>
      </c>
      <c r="FE521" t="s">
        <v>1370</v>
      </c>
      <c r="FF521">
        <v>7</v>
      </c>
      <c r="FG521" t="s">
        <v>10577</v>
      </c>
      <c r="FH521" t="s">
        <v>10578</v>
      </c>
      <c r="FI521">
        <v>1</v>
      </c>
      <c r="FJ521" t="s">
        <v>10579</v>
      </c>
      <c r="FK521" t="s">
        <v>10580</v>
      </c>
      <c r="FL521">
        <v>1</v>
      </c>
      <c r="FM521" t="s">
        <v>10581</v>
      </c>
      <c r="FN521" t="s">
        <v>10582</v>
      </c>
      <c r="FO521">
        <v>1</v>
      </c>
      <c r="FP521" t="s">
        <v>10583</v>
      </c>
      <c r="FQ521" t="s">
        <v>10575</v>
      </c>
      <c r="FR521">
        <v>1</v>
      </c>
      <c r="FS521" t="s">
        <v>10584</v>
      </c>
      <c r="FT521" t="s">
        <v>10585</v>
      </c>
      <c r="FU521">
        <v>1</v>
      </c>
      <c r="FV521" t="s">
        <v>10586</v>
      </c>
      <c r="FW521" t="s">
        <v>10587</v>
      </c>
      <c r="FX521">
        <v>1</v>
      </c>
      <c r="FY521" t="s">
        <v>890</v>
      </c>
      <c r="FZ521" t="s">
        <v>10588</v>
      </c>
      <c r="GA521" t="s">
        <v>10579</v>
      </c>
      <c r="GB521">
        <v>1</v>
      </c>
      <c r="GD521">
        <v>0</v>
      </c>
      <c r="GF521">
        <v>0</v>
      </c>
      <c r="GG521">
        <v>1</v>
      </c>
      <c r="GH521" t="s">
        <v>892</v>
      </c>
      <c r="GI521" t="s">
        <v>893</v>
      </c>
      <c r="GJ521" t="s">
        <v>10580</v>
      </c>
      <c r="GM521">
        <v>1</v>
      </c>
      <c r="GN521">
        <v>0</v>
      </c>
      <c r="GO521">
        <v>0</v>
      </c>
      <c r="GP521">
        <v>1</v>
      </c>
      <c r="GQ521">
        <v>1</v>
      </c>
      <c r="GR521">
        <v>0</v>
      </c>
      <c r="GS521">
        <v>1</v>
      </c>
      <c r="GT521">
        <v>0</v>
      </c>
      <c r="GU521">
        <v>1</v>
      </c>
      <c r="GV521">
        <v>0</v>
      </c>
      <c r="GW521">
        <v>1</v>
      </c>
      <c r="GX521">
        <v>0</v>
      </c>
      <c r="GY521">
        <v>1</v>
      </c>
      <c r="GZ521">
        <v>0</v>
      </c>
      <c r="HA521" t="s">
        <v>271</v>
      </c>
      <c r="HB521" t="s">
        <v>894</v>
      </c>
      <c r="HC521" t="s">
        <v>895</v>
      </c>
      <c r="HD521" t="s">
        <v>845</v>
      </c>
      <c r="HE521" t="s">
        <v>836</v>
      </c>
      <c r="HF521" t="s">
        <v>873</v>
      </c>
      <c r="HG521" t="s">
        <v>894</v>
      </c>
      <c r="HH521" t="s">
        <v>895</v>
      </c>
      <c r="HI521" t="s">
        <v>845</v>
      </c>
      <c r="HJ521" t="s">
        <v>836</v>
      </c>
      <c r="HK521" t="s">
        <v>1436</v>
      </c>
      <c r="HL521" t="s">
        <v>193</v>
      </c>
      <c r="HM521" t="s">
        <v>854</v>
      </c>
      <c r="HN521">
        <v>36805</v>
      </c>
      <c r="HP521" t="s">
        <v>181</v>
      </c>
      <c r="HQ521" t="s">
        <v>896</v>
      </c>
      <c r="HR521" t="s">
        <v>896</v>
      </c>
      <c r="HS521" t="s">
        <v>896</v>
      </c>
    </row>
    <row r="522" spans="1:227" x14ac:dyDescent="0.2">
      <c r="A522">
        <v>8702</v>
      </c>
      <c r="B522">
        <v>7601802024</v>
      </c>
      <c r="C522" t="s">
        <v>829</v>
      </c>
      <c r="D522" t="s">
        <v>830</v>
      </c>
      <c r="E522" t="s">
        <v>897</v>
      </c>
      <c r="F522">
        <v>0</v>
      </c>
      <c r="G522" t="s">
        <v>10589</v>
      </c>
      <c r="H522" t="s">
        <v>10589</v>
      </c>
      <c r="I522">
        <v>0</v>
      </c>
      <c r="J522" t="s">
        <v>833</v>
      </c>
      <c r="K522" t="s">
        <v>834</v>
      </c>
      <c r="L522">
        <v>153195500</v>
      </c>
      <c r="M522" t="s">
        <v>2225</v>
      </c>
      <c r="N522" t="s">
        <v>900</v>
      </c>
      <c r="O522" t="s">
        <v>837</v>
      </c>
      <c r="P522" t="s">
        <v>838</v>
      </c>
      <c r="Q522" t="s">
        <v>901</v>
      </c>
      <c r="R522" t="s">
        <v>10590</v>
      </c>
      <c r="S522" t="s">
        <v>10591</v>
      </c>
      <c r="T522">
        <v>41477056288</v>
      </c>
      <c r="V522" t="s">
        <v>133</v>
      </c>
      <c r="W522" s="41">
        <v>46040</v>
      </c>
      <c r="X522" t="s">
        <v>10592</v>
      </c>
      <c r="Y522" t="s">
        <v>10593</v>
      </c>
      <c r="Z522">
        <v>1</v>
      </c>
      <c r="AA522">
        <v>0</v>
      </c>
      <c r="AB522" t="s">
        <v>845</v>
      </c>
      <c r="AC522" t="s">
        <v>846</v>
      </c>
      <c r="AD522" t="s">
        <v>847</v>
      </c>
      <c r="AE522" t="s">
        <v>848</v>
      </c>
      <c r="AF522">
        <v>1</v>
      </c>
      <c r="AG522">
        <v>452210</v>
      </c>
      <c r="AH522" t="s">
        <v>849</v>
      </c>
      <c r="AI522" t="s">
        <v>850</v>
      </c>
      <c r="AJ522" t="s">
        <v>851</v>
      </c>
      <c r="AK522" t="s">
        <v>279</v>
      </c>
      <c r="AL522" t="s">
        <v>1181</v>
      </c>
      <c r="AM522" t="s">
        <v>1182</v>
      </c>
      <c r="AN522" t="s">
        <v>854</v>
      </c>
      <c r="AO522">
        <v>36805</v>
      </c>
      <c r="AP522">
        <v>526</v>
      </c>
      <c r="AQ522" t="s">
        <v>855</v>
      </c>
      <c r="AR522">
        <v>66295504</v>
      </c>
      <c r="AS522" t="s">
        <v>856</v>
      </c>
      <c r="AU522" t="s">
        <v>10594</v>
      </c>
      <c r="AV522" t="s">
        <v>10595</v>
      </c>
      <c r="AX522" t="s">
        <v>913</v>
      </c>
      <c r="AY522" t="s">
        <v>861</v>
      </c>
      <c r="AZ522" t="s">
        <v>279</v>
      </c>
      <c r="BA522" t="s">
        <v>280</v>
      </c>
      <c r="BB522">
        <v>0</v>
      </c>
      <c r="BC522">
        <v>0</v>
      </c>
      <c r="BD522">
        <v>1</v>
      </c>
      <c r="BE522" t="s">
        <v>2225</v>
      </c>
      <c r="BF522">
        <v>0</v>
      </c>
      <c r="BG522">
        <v>0</v>
      </c>
      <c r="BH522" t="s">
        <v>862</v>
      </c>
      <c r="BI522">
        <v>0</v>
      </c>
      <c r="BJ522" t="s">
        <v>862</v>
      </c>
      <c r="BK522">
        <v>1</v>
      </c>
      <c r="BL522">
        <v>1</v>
      </c>
      <c r="BM522">
        <v>0</v>
      </c>
      <c r="BN522" t="s">
        <v>596</v>
      </c>
      <c r="BO522">
        <v>153195500</v>
      </c>
      <c r="BP522" t="s">
        <v>10589</v>
      </c>
      <c r="BQ522">
        <v>39.913454899999998</v>
      </c>
      <c r="BR522">
        <v>42791437</v>
      </c>
      <c r="BS522">
        <v>-86.201855600000002</v>
      </c>
      <c r="BT522">
        <v>2</v>
      </c>
      <c r="BU522" t="s">
        <v>1367</v>
      </c>
      <c r="CE522">
        <v>1</v>
      </c>
      <c r="CI522">
        <v>11</v>
      </c>
      <c r="CJ522" t="s">
        <v>94</v>
      </c>
      <c r="CM522">
        <v>4010</v>
      </c>
      <c r="CO522">
        <v>7360</v>
      </c>
      <c r="CP522">
        <v>1.4666999999999999</v>
      </c>
      <c r="CQ522">
        <v>1.4666999999999999</v>
      </c>
      <c r="CR522">
        <v>0.9</v>
      </c>
      <c r="CS522">
        <v>3</v>
      </c>
      <c r="CT522" t="s">
        <v>10595</v>
      </c>
      <c r="CU522" t="s">
        <v>10594</v>
      </c>
      <c r="CV522" t="s">
        <v>833</v>
      </c>
      <c r="CW522" t="s">
        <v>834</v>
      </c>
      <c r="CX522" t="s">
        <v>2225</v>
      </c>
      <c r="CY522">
        <v>1</v>
      </c>
      <c r="CZ522">
        <v>1</v>
      </c>
      <c r="DA522" t="s">
        <v>833</v>
      </c>
      <c r="DB522" t="s">
        <v>865</v>
      </c>
      <c r="DC522">
        <v>46260</v>
      </c>
      <c r="DD522">
        <v>3.6</v>
      </c>
      <c r="DE522" t="s">
        <v>866</v>
      </c>
      <c r="DG522" t="s">
        <v>867</v>
      </c>
      <c r="DH522" t="s">
        <v>851</v>
      </c>
      <c r="DI522" t="s">
        <v>1554</v>
      </c>
      <c r="DK522" t="s">
        <v>918</v>
      </c>
      <c r="DL522" t="s">
        <v>869</v>
      </c>
      <c r="DM522">
        <v>0</v>
      </c>
      <c r="DN522">
        <v>0</v>
      </c>
      <c r="DO522">
        <v>11</v>
      </c>
      <c r="DP522" t="s">
        <v>1010</v>
      </c>
      <c r="DQ522">
        <v>16</v>
      </c>
      <c r="DR522">
        <v>216</v>
      </c>
      <c r="DS522">
        <v>216</v>
      </c>
      <c r="DT522">
        <v>2.1333000000000002</v>
      </c>
      <c r="DU522">
        <v>4</v>
      </c>
      <c r="DV522">
        <v>1</v>
      </c>
      <c r="DW522">
        <v>2</v>
      </c>
      <c r="DX522" t="s">
        <v>596</v>
      </c>
      <c r="DY522" t="s">
        <v>2225</v>
      </c>
      <c r="DZ522">
        <v>1</v>
      </c>
      <c r="EA522">
        <v>1</v>
      </c>
      <c r="EB522">
        <v>1</v>
      </c>
      <c r="EC522">
        <v>1</v>
      </c>
      <c r="ED522">
        <v>1</v>
      </c>
      <c r="EE522">
        <v>1</v>
      </c>
      <c r="EF522" t="s">
        <v>920</v>
      </c>
      <c r="EG522" t="s">
        <v>595</v>
      </c>
      <c r="EH522" t="s">
        <v>921</v>
      </c>
      <c r="EI522" t="s">
        <v>921</v>
      </c>
      <c r="EJ522" t="s">
        <v>134</v>
      </c>
      <c r="EK522">
        <v>9090</v>
      </c>
      <c r="EL522">
        <v>0</v>
      </c>
      <c r="EM522" t="s">
        <v>1011</v>
      </c>
      <c r="EN522">
        <v>0.9</v>
      </c>
      <c r="EO522">
        <v>3.6</v>
      </c>
      <c r="EP522">
        <v>99991120</v>
      </c>
      <c r="EQ522" t="s">
        <v>874</v>
      </c>
      <c r="ER522" t="s">
        <v>875</v>
      </c>
      <c r="ES522" t="s">
        <v>876</v>
      </c>
      <c r="ET522" t="s">
        <v>877</v>
      </c>
      <c r="EU522" t="s">
        <v>877</v>
      </c>
      <c r="EV522" t="s">
        <v>920</v>
      </c>
      <c r="EX522" t="s">
        <v>953</v>
      </c>
      <c r="EY522" t="s">
        <v>1555</v>
      </c>
      <c r="EZ522" t="s">
        <v>1013</v>
      </c>
      <c r="FA522" t="s">
        <v>925</v>
      </c>
      <c r="FB522">
        <v>1</v>
      </c>
      <c r="FC522">
        <v>1</v>
      </c>
      <c r="FD522" s="41">
        <v>46046</v>
      </c>
      <c r="FE522" t="s">
        <v>1370</v>
      </c>
      <c r="FF522">
        <v>7</v>
      </c>
      <c r="FG522" t="s">
        <v>10596</v>
      </c>
      <c r="FH522" t="s">
        <v>10597</v>
      </c>
      <c r="FI522">
        <v>1</v>
      </c>
      <c r="FJ522" t="s">
        <v>10598</v>
      </c>
      <c r="FK522" t="s">
        <v>10599</v>
      </c>
      <c r="FL522">
        <v>1</v>
      </c>
      <c r="FM522" t="s">
        <v>7501</v>
      </c>
      <c r="FN522" t="s">
        <v>10599</v>
      </c>
      <c r="FO522">
        <v>1</v>
      </c>
      <c r="FP522" t="s">
        <v>10600</v>
      </c>
      <c r="FQ522" t="s">
        <v>10594</v>
      </c>
      <c r="FR522">
        <v>1</v>
      </c>
      <c r="FS522" t="s">
        <v>1020</v>
      </c>
      <c r="FT522" t="s">
        <v>10601</v>
      </c>
      <c r="FU522">
        <v>1</v>
      </c>
      <c r="FV522" t="s">
        <v>1022</v>
      </c>
      <c r="FW522" t="s">
        <v>10602</v>
      </c>
      <c r="FX522">
        <v>1</v>
      </c>
      <c r="FY522" t="s">
        <v>890</v>
      </c>
      <c r="FZ522" t="s">
        <v>10603</v>
      </c>
      <c r="GA522" t="s">
        <v>10598</v>
      </c>
      <c r="GB522">
        <v>1</v>
      </c>
      <c r="GD522">
        <v>0</v>
      </c>
      <c r="GF522">
        <v>0</v>
      </c>
      <c r="GG522">
        <v>1</v>
      </c>
      <c r="GH522" t="s">
        <v>892</v>
      </c>
      <c r="GI522" t="s">
        <v>893</v>
      </c>
      <c r="GJ522" t="s">
        <v>10599</v>
      </c>
      <c r="GM522">
        <v>1</v>
      </c>
      <c r="GN522">
        <v>1</v>
      </c>
      <c r="GO522">
        <v>0</v>
      </c>
      <c r="GP522">
        <v>1</v>
      </c>
      <c r="GQ522">
        <v>1</v>
      </c>
      <c r="GR522">
        <v>0</v>
      </c>
      <c r="GS522">
        <v>1</v>
      </c>
      <c r="GT522">
        <v>0</v>
      </c>
      <c r="GU522">
        <v>1</v>
      </c>
      <c r="GV522">
        <v>0</v>
      </c>
      <c r="GW522">
        <v>1</v>
      </c>
      <c r="GX522">
        <v>0</v>
      </c>
      <c r="GY522">
        <v>1</v>
      </c>
      <c r="GZ522">
        <v>0</v>
      </c>
      <c r="HA522" t="s">
        <v>279</v>
      </c>
      <c r="HB522" t="s">
        <v>894</v>
      </c>
      <c r="HC522" t="s">
        <v>935</v>
      </c>
      <c r="HD522" t="s">
        <v>845</v>
      </c>
      <c r="HE522" t="s">
        <v>900</v>
      </c>
      <c r="HF522" t="s">
        <v>1012</v>
      </c>
      <c r="HG522" t="s">
        <v>894</v>
      </c>
      <c r="HH522" t="s">
        <v>935</v>
      </c>
      <c r="HI522" t="s">
        <v>845</v>
      </c>
      <c r="HJ522" t="s">
        <v>900</v>
      </c>
      <c r="HK522" t="s">
        <v>1011</v>
      </c>
      <c r="HL522" t="s">
        <v>133</v>
      </c>
      <c r="HM522" t="s">
        <v>854</v>
      </c>
      <c r="HN522">
        <v>36805</v>
      </c>
      <c r="HP522" t="s">
        <v>134</v>
      </c>
      <c r="HQ522" t="s">
        <v>896</v>
      </c>
      <c r="HR522" t="s">
        <v>896</v>
      </c>
      <c r="HS522" t="s">
        <v>896</v>
      </c>
    </row>
    <row r="523" spans="1:227" x14ac:dyDescent="0.2">
      <c r="A523">
        <v>8702</v>
      </c>
      <c r="B523">
        <v>7534402567</v>
      </c>
      <c r="C523" t="s">
        <v>1171</v>
      </c>
      <c r="D523" t="s">
        <v>1172</v>
      </c>
      <c r="E523" t="s">
        <v>897</v>
      </c>
      <c r="F523">
        <v>1</v>
      </c>
      <c r="G523" t="s">
        <v>10604</v>
      </c>
      <c r="H523" t="s">
        <v>10604</v>
      </c>
      <c r="I523">
        <v>0</v>
      </c>
      <c r="J523" t="s">
        <v>833</v>
      </c>
      <c r="K523" t="s">
        <v>834</v>
      </c>
      <c r="L523">
        <v>156046180</v>
      </c>
      <c r="M523" t="s">
        <v>10605</v>
      </c>
      <c r="N523" t="s">
        <v>900</v>
      </c>
      <c r="O523" t="s">
        <v>837</v>
      </c>
      <c r="P523" t="s">
        <v>1175</v>
      </c>
      <c r="Q523" t="s">
        <v>1176</v>
      </c>
      <c r="R523" t="s">
        <v>10606</v>
      </c>
      <c r="S523" t="s">
        <v>10607</v>
      </c>
      <c r="T523">
        <v>41477123263</v>
      </c>
      <c r="V523" t="s">
        <v>208</v>
      </c>
      <c r="W523" s="41">
        <v>46004</v>
      </c>
      <c r="X523" t="s">
        <v>10608</v>
      </c>
      <c r="Y523" t="s">
        <v>10609</v>
      </c>
      <c r="AA523">
        <v>0</v>
      </c>
      <c r="AB523" t="s">
        <v>845</v>
      </c>
      <c r="AC523" t="s">
        <v>846</v>
      </c>
      <c r="AD523" t="s">
        <v>847</v>
      </c>
      <c r="AE523" t="s">
        <v>848</v>
      </c>
      <c r="AF523">
        <v>1</v>
      </c>
      <c r="AG523">
        <v>452210</v>
      </c>
      <c r="AH523" t="s">
        <v>849</v>
      </c>
      <c r="AI523" t="s">
        <v>850</v>
      </c>
      <c r="AJ523" t="s">
        <v>851</v>
      </c>
      <c r="AK523" t="s">
        <v>332</v>
      </c>
      <c r="AL523" t="s">
        <v>7819</v>
      </c>
      <c r="AM523" t="s">
        <v>979</v>
      </c>
      <c r="AN523" t="s">
        <v>854</v>
      </c>
      <c r="AO523">
        <v>36805</v>
      </c>
      <c r="AP523">
        <v>647</v>
      </c>
      <c r="AQ523" t="s">
        <v>855</v>
      </c>
      <c r="AR523">
        <v>66243691</v>
      </c>
      <c r="AS523" t="s">
        <v>856</v>
      </c>
      <c r="AU523" t="s">
        <v>10610</v>
      </c>
      <c r="AV523" t="s">
        <v>10611</v>
      </c>
      <c r="AX523" t="s">
        <v>913</v>
      </c>
      <c r="AY523" t="s">
        <v>861</v>
      </c>
      <c r="AZ523" t="s">
        <v>332</v>
      </c>
      <c r="BA523" t="s">
        <v>333</v>
      </c>
      <c r="BB523">
        <v>0</v>
      </c>
      <c r="BC523">
        <v>0</v>
      </c>
      <c r="BD523">
        <v>1</v>
      </c>
      <c r="BE523" t="s">
        <v>10605</v>
      </c>
      <c r="BF523">
        <v>0</v>
      </c>
      <c r="BG523">
        <v>0</v>
      </c>
      <c r="BH523" t="s">
        <v>862</v>
      </c>
      <c r="BI523">
        <v>0</v>
      </c>
      <c r="BJ523" t="s">
        <v>862</v>
      </c>
      <c r="BK523">
        <v>1</v>
      </c>
      <c r="BL523">
        <v>1</v>
      </c>
      <c r="BM523">
        <v>0</v>
      </c>
      <c r="BN523" t="s">
        <v>596</v>
      </c>
      <c r="BO523">
        <v>156046180</v>
      </c>
      <c r="BP523" t="s">
        <v>10604</v>
      </c>
      <c r="BQ523">
        <v>42.226436999999997</v>
      </c>
      <c r="BR523">
        <v>42791779</v>
      </c>
      <c r="BS523">
        <v>-85.590464900000001</v>
      </c>
      <c r="BT523">
        <v>0</v>
      </c>
      <c r="CM523">
        <v>4010</v>
      </c>
      <c r="CO523">
        <v>7360</v>
      </c>
      <c r="CP523">
        <v>1.7333000000000001</v>
      </c>
      <c r="CQ523">
        <v>1.7333000000000001</v>
      </c>
      <c r="CR523">
        <v>2.65</v>
      </c>
      <c r="CS523">
        <v>0</v>
      </c>
      <c r="CT523" t="s">
        <v>10611</v>
      </c>
      <c r="CU523" t="s">
        <v>10610</v>
      </c>
      <c r="CV523" t="s">
        <v>833</v>
      </c>
      <c r="CW523" t="s">
        <v>834</v>
      </c>
      <c r="CX523" t="s">
        <v>10605</v>
      </c>
      <c r="CY523">
        <v>1</v>
      </c>
      <c r="CZ523">
        <v>1</v>
      </c>
      <c r="DA523" t="s">
        <v>833</v>
      </c>
      <c r="DB523" t="s">
        <v>865</v>
      </c>
      <c r="DC523">
        <v>49002</v>
      </c>
      <c r="DD523">
        <v>36.116700000000002</v>
      </c>
      <c r="DE523" t="s">
        <v>866</v>
      </c>
      <c r="DG523" t="s">
        <v>867</v>
      </c>
      <c r="DH523" t="s">
        <v>851</v>
      </c>
      <c r="DI523" t="s">
        <v>984</v>
      </c>
      <c r="DL523" t="s">
        <v>869</v>
      </c>
      <c r="DM523">
        <v>0</v>
      </c>
      <c r="DN523">
        <v>0</v>
      </c>
      <c r="DO523">
        <v>11</v>
      </c>
      <c r="DP523" t="s">
        <v>1010</v>
      </c>
      <c r="DQ523">
        <v>16</v>
      </c>
      <c r="DR523">
        <v>2167</v>
      </c>
      <c r="DS523">
        <v>4327</v>
      </c>
      <c r="DT523">
        <v>23.883299999999998</v>
      </c>
      <c r="DU523">
        <v>4</v>
      </c>
      <c r="DW523">
        <v>2</v>
      </c>
      <c r="DX523" t="s">
        <v>596</v>
      </c>
      <c r="DY523" t="s">
        <v>10605</v>
      </c>
      <c r="DZ523">
        <v>0</v>
      </c>
      <c r="EA523">
        <v>0</v>
      </c>
      <c r="EB523">
        <v>1</v>
      </c>
      <c r="EC523">
        <v>0</v>
      </c>
      <c r="ED523">
        <v>0</v>
      </c>
      <c r="EE523">
        <v>1</v>
      </c>
      <c r="EF523" t="s">
        <v>920</v>
      </c>
      <c r="EG523" t="s">
        <v>595</v>
      </c>
      <c r="EH523" t="s">
        <v>921</v>
      </c>
      <c r="EI523" t="s">
        <v>921</v>
      </c>
      <c r="EJ523" t="s">
        <v>178</v>
      </c>
      <c r="EK523">
        <v>9090</v>
      </c>
      <c r="EL523">
        <v>0</v>
      </c>
      <c r="EM523" t="s">
        <v>922</v>
      </c>
      <c r="EN523">
        <v>2.65</v>
      </c>
      <c r="EO523">
        <v>72.116666600000002</v>
      </c>
      <c r="EP523">
        <v>99991120</v>
      </c>
      <c r="EQ523" t="s">
        <v>874</v>
      </c>
      <c r="ER523" t="s">
        <v>875</v>
      </c>
      <c r="ES523" t="s">
        <v>876</v>
      </c>
      <c r="ET523" t="s">
        <v>877</v>
      </c>
      <c r="EU523" t="s">
        <v>877</v>
      </c>
      <c r="EV523" t="s">
        <v>920</v>
      </c>
      <c r="EX523" t="s">
        <v>953</v>
      </c>
      <c r="EY523" t="s">
        <v>986</v>
      </c>
      <c r="EZ523" t="s">
        <v>924</v>
      </c>
      <c r="FA523" t="s">
        <v>925</v>
      </c>
      <c r="FB523">
        <v>1</v>
      </c>
      <c r="FC523">
        <v>2</v>
      </c>
      <c r="FD523" s="41">
        <v>46004</v>
      </c>
      <c r="FE523" t="s">
        <v>957</v>
      </c>
      <c r="FF523">
        <v>9</v>
      </c>
      <c r="FG523" t="s">
        <v>10612</v>
      </c>
      <c r="FH523" t="s">
        <v>10613</v>
      </c>
      <c r="FI523">
        <v>1</v>
      </c>
      <c r="FJ523" t="s">
        <v>10614</v>
      </c>
      <c r="FK523" t="s">
        <v>10613</v>
      </c>
      <c r="FL523">
        <v>1</v>
      </c>
      <c r="FM523" t="s">
        <v>10615</v>
      </c>
      <c r="FN523" t="s">
        <v>10616</v>
      </c>
      <c r="FO523">
        <v>1</v>
      </c>
      <c r="FP523" t="s">
        <v>10617</v>
      </c>
      <c r="FQ523" t="s">
        <v>10618</v>
      </c>
      <c r="FR523">
        <v>1</v>
      </c>
      <c r="FS523" t="s">
        <v>993</v>
      </c>
      <c r="FT523" t="s">
        <v>10619</v>
      </c>
      <c r="FU523">
        <v>1</v>
      </c>
      <c r="FV523" t="s">
        <v>2758</v>
      </c>
      <c r="FW523" t="s">
        <v>10620</v>
      </c>
      <c r="FX523">
        <v>1</v>
      </c>
      <c r="FY523" t="s">
        <v>890</v>
      </c>
      <c r="FZ523" t="s">
        <v>10621</v>
      </c>
      <c r="GA523" t="s">
        <v>10614</v>
      </c>
      <c r="GB523">
        <v>1</v>
      </c>
      <c r="GD523">
        <v>0</v>
      </c>
      <c r="GF523">
        <v>0</v>
      </c>
      <c r="GG523">
        <v>1</v>
      </c>
      <c r="GH523" t="s">
        <v>892</v>
      </c>
      <c r="GI523" t="s">
        <v>893</v>
      </c>
      <c r="GJ523" t="s">
        <v>10613</v>
      </c>
      <c r="GM523">
        <v>1</v>
      </c>
      <c r="GN523">
        <v>0</v>
      </c>
      <c r="GO523">
        <v>0</v>
      </c>
      <c r="GP523">
        <v>1</v>
      </c>
      <c r="GQ523">
        <v>1</v>
      </c>
      <c r="GR523">
        <v>0</v>
      </c>
      <c r="GS523">
        <v>1</v>
      </c>
      <c r="GT523">
        <v>0</v>
      </c>
      <c r="GU523">
        <v>1</v>
      </c>
      <c r="GV523">
        <v>0</v>
      </c>
      <c r="GW523">
        <v>1</v>
      </c>
      <c r="GX523">
        <v>0</v>
      </c>
      <c r="GY523">
        <v>1</v>
      </c>
      <c r="GZ523">
        <v>0</v>
      </c>
      <c r="HA523" t="s">
        <v>332</v>
      </c>
      <c r="HB523" t="s">
        <v>894</v>
      </c>
      <c r="HC523" t="s">
        <v>935</v>
      </c>
      <c r="HD523" t="s">
        <v>845</v>
      </c>
      <c r="HE523" t="s">
        <v>900</v>
      </c>
      <c r="HF523" t="s">
        <v>923</v>
      </c>
      <c r="HG523" t="s">
        <v>894</v>
      </c>
      <c r="HH523" t="s">
        <v>935</v>
      </c>
      <c r="HI523" t="s">
        <v>845</v>
      </c>
      <c r="HJ523" t="s">
        <v>900</v>
      </c>
      <c r="HK523" t="s">
        <v>922</v>
      </c>
      <c r="HL523" t="s">
        <v>208</v>
      </c>
      <c r="HM523" t="s">
        <v>854</v>
      </c>
      <c r="HN523">
        <v>36805</v>
      </c>
      <c r="HP523" t="s">
        <v>178</v>
      </c>
      <c r="HQ523" t="s">
        <v>896</v>
      </c>
      <c r="HR523" t="s">
        <v>896</v>
      </c>
      <c r="HS523" t="s">
        <v>896</v>
      </c>
    </row>
    <row r="524" spans="1:227" x14ac:dyDescent="0.2">
      <c r="A524">
        <v>8702</v>
      </c>
      <c r="B524">
        <v>7523901210</v>
      </c>
      <c r="C524" t="s">
        <v>829</v>
      </c>
      <c r="D524" t="s">
        <v>830</v>
      </c>
      <c r="E524" t="s">
        <v>897</v>
      </c>
      <c r="F524">
        <v>0</v>
      </c>
      <c r="G524" t="s">
        <v>10622</v>
      </c>
      <c r="H524" t="s">
        <v>10622</v>
      </c>
      <c r="I524">
        <v>0</v>
      </c>
      <c r="J524" t="s">
        <v>833</v>
      </c>
      <c r="K524" t="s">
        <v>834</v>
      </c>
      <c r="L524">
        <v>153589123</v>
      </c>
      <c r="M524" t="s">
        <v>9126</v>
      </c>
      <c r="N524" t="s">
        <v>900</v>
      </c>
      <c r="O524" t="s">
        <v>837</v>
      </c>
      <c r="P524" t="s">
        <v>838</v>
      </c>
      <c r="Q524" t="s">
        <v>1877</v>
      </c>
      <c r="R524" t="s">
        <v>10623</v>
      </c>
      <c r="S524" t="s">
        <v>10624</v>
      </c>
      <c r="T524">
        <v>41477056615</v>
      </c>
      <c r="V524" t="s">
        <v>3107</v>
      </c>
      <c r="W524" s="41">
        <v>45896</v>
      </c>
      <c r="X524" t="s">
        <v>10625</v>
      </c>
      <c r="Y524" t="s">
        <v>10626</v>
      </c>
      <c r="AA524">
        <v>0</v>
      </c>
      <c r="AB524" t="s">
        <v>845</v>
      </c>
      <c r="AC524" t="s">
        <v>846</v>
      </c>
      <c r="AD524" t="s">
        <v>847</v>
      </c>
      <c r="AE524" t="s">
        <v>848</v>
      </c>
      <c r="AF524">
        <v>1</v>
      </c>
      <c r="AG524">
        <v>452210</v>
      </c>
      <c r="AH524" t="s">
        <v>849</v>
      </c>
      <c r="AI524" t="s">
        <v>850</v>
      </c>
      <c r="AJ524" t="s">
        <v>851</v>
      </c>
      <c r="AK524" t="s">
        <v>275</v>
      </c>
      <c r="AL524" t="s">
        <v>3110</v>
      </c>
      <c r="AM524" t="s">
        <v>3111</v>
      </c>
      <c r="AN524" t="s">
        <v>854</v>
      </c>
      <c r="AO524">
        <v>36805</v>
      </c>
      <c r="AP524">
        <v>921</v>
      </c>
      <c r="AQ524" t="s">
        <v>855</v>
      </c>
      <c r="AR524">
        <v>66088342</v>
      </c>
      <c r="AS524" t="s">
        <v>856</v>
      </c>
      <c r="AU524" t="s">
        <v>10627</v>
      </c>
      <c r="AV524" t="s">
        <v>10628</v>
      </c>
      <c r="AX524" t="s">
        <v>913</v>
      </c>
      <c r="AY524" t="s">
        <v>861</v>
      </c>
      <c r="AZ524" t="s">
        <v>275</v>
      </c>
      <c r="BA524" t="s">
        <v>276</v>
      </c>
      <c r="BB524">
        <v>0</v>
      </c>
      <c r="BC524">
        <v>0</v>
      </c>
      <c r="BD524">
        <v>0</v>
      </c>
      <c r="BE524" t="s">
        <v>9126</v>
      </c>
      <c r="BF524">
        <v>0</v>
      </c>
      <c r="BG524">
        <v>0</v>
      </c>
      <c r="BH524" t="s">
        <v>862</v>
      </c>
      <c r="BI524">
        <v>0</v>
      </c>
      <c r="BJ524" t="s">
        <v>862</v>
      </c>
      <c r="BK524">
        <v>1</v>
      </c>
      <c r="BL524">
        <v>1</v>
      </c>
      <c r="BM524">
        <v>0</v>
      </c>
      <c r="BN524" t="s">
        <v>596</v>
      </c>
      <c r="BO524">
        <v>153589123</v>
      </c>
      <c r="BP524" t="s">
        <v>10622</v>
      </c>
      <c r="BQ524">
        <v>39.2722883</v>
      </c>
      <c r="BR524">
        <v>42793646</v>
      </c>
      <c r="BS524">
        <v>-84.3307492</v>
      </c>
      <c r="BT524">
        <v>0</v>
      </c>
      <c r="CM524">
        <v>4010</v>
      </c>
      <c r="CO524">
        <v>7360</v>
      </c>
      <c r="CP524">
        <v>0.2</v>
      </c>
      <c r="CQ524">
        <v>0.2</v>
      </c>
      <c r="CR524">
        <v>0</v>
      </c>
      <c r="CS524">
        <v>1</v>
      </c>
      <c r="CT524" t="s">
        <v>10629</v>
      </c>
      <c r="CU524" t="s">
        <v>10630</v>
      </c>
      <c r="CV524" t="s">
        <v>833</v>
      </c>
      <c r="CW524" t="s">
        <v>834</v>
      </c>
      <c r="CX524" t="s">
        <v>9126</v>
      </c>
      <c r="CY524">
        <v>0</v>
      </c>
      <c r="CZ524">
        <v>0</v>
      </c>
      <c r="DA524" t="s">
        <v>833</v>
      </c>
      <c r="DB524" t="s">
        <v>865</v>
      </c>
      <c r="DC524">
        <v>45249</v>
      </c>
      <c r="DD524">
        <v>1.1667000000000001</v>
      </c>
      <c r="DE524" t="s">
        <v>866</v>
      </c>
      <c r="DG524" t="s">
        <v>867</v>
      </c>
      <c r="DH524" t="s">
        <v>851</v>
      </c>
      <c r="DI524" t="s">
        <v>2534</v>
      </c>
      <c r="DL524" t="s">
        <v>869</v>
      </c>
      <c r="DM524">
        <v>0</v>
      </c>
      <c r="DN524">
        <v>0</v>
      </c>
      <c r="DO524">
        <v>30</v>
      </c>
      <c r="DP524" t="s">
        <v>2064</v>
      </c>
      <c r="DQ524">
        <v>16</v>
      </c>
      <c r="DR524">
        <v>70</v>
      </c>
      <c r="DS524">
        <v>70</v>
      </c>
      <c r="DT524">
        <v>0.9667</v>
      </c>
      <c r="DU524">
        <v>4</v>
      </c>
      <c r="DW524">
        <v>2</v>
      </c>
      <c r="DX524" t="s">
        <v>596</v>
      </c>
      <c r="DY524" t="s">
        <v>9126</v>
      </c>
      <c r="DZ524">
        <v>1</v>
      </c>
      <c r="EA524">
        <v>1</v>
      </c>
      <c r="EB524">
        <v>1</v>
      </c>
      <c r="EC524">
        <v>1</v>
      </c>
      <c r="ED524">
        <v>1</v>
      </c>
      <c r="EE524">
        <v>1</v>
      </c>
      <c r="EF524" t="s">
        <v>920</v>
      </c>
      <c r="EG524" t="s">
        <v>595</v>
      </c>
      <c r="EH524" t="s">
        <v>921</v>
      </c>
      <c r="EI524" t="s">
        <v>921</v>
      </c>
      <c r="EJ524" t="s">
        <v>226</v>
      </c>
      <c r="EK524">
        <v>9090</v>
      </c>
      <c r="EL524">
        <v>0</v>
      </c>
      <c r="EM524" t="s">
        <v>1157</v>
      </c>
      <c r="EN524">
        <v>0</v>
      </c>
      <c r="EO524">
        <v>1.1666666000000001</v>
      </c>
      <c r="EP524">
        <v>99991120</v>
      </c>
      <c r="EQ524" t="s">
        <v>874</v>
      </c>
      <c r="ER524" t="s">
        <v>875</v>
      </c>
      <c r="ES524" t="s">
        <v>876</v>
      </c>
      <c r="ET524" t="s">
        <v>877</v>
      </c>
      <c r="EU524" t="s">
        <v>877</v>
      </c>
      <c r="EV524" t="s">
        <v>920</v>
      </c>
      <c r="EX524" t="s">
        <v>953</v>
      </c>
      <c r="EY524" t="s">
        <v>1555</v>
      </c>
      <c r="EZ524" t="s">
        <v>3116</v>
      </c>
      <c r="FA524" t="s">
        <v>925</v>
      </c>
      <c r="FB524">
        <v>1</v>
      </c>
      <c r="FC524">
        <v>1</v>
      </c>
      <c r="FD524" s="41">
        <v>45899</v>
      </c>
      <c r="FE524" t="s">
        <v>987</v>
      </c>
      <c r="FF524">
        <v>4</v>
      </c>
      <c r="FI524">
        <v>0</v>
      </c>
      <c r="FL524">
        <v>0</v>
      </c>
      <c r="FM524" t="s">
        <v>9135</v>
      </c>
      <c r="FN524" t="s">
        <v>10631</v>
      </c>
      <c r="FO524">
        <v>1</v>
      </c>
      <c r="FP524" t="s">
        <v>10632</v>
      </c>
      <c r="FQ524" t="s">
        <v>10630</v>
      </c>
      <c r="FR524">
        <v>1</v>
      </c>
      <c r="FS524" t="s">
        <v>3120</v>
      </c>
      <c r="FT524" t="s">
        <v>10633</v>
      </c>
      <c r="FU524">
        <v>1</v>
      </c>
      <c r="FV524" t="s">
        <v>10634</v>
      </c>
      <c r="FW524" t="s">
        <v>10635</v>
      </c>
      <c r="FX524">
        <v>1</v>
      </c>
      <c r="FY524" t="s">
        <v>890</v>
      </c>
      <c r="FZ524" t="s">
        <v>10636</v>
      </c>
      <c r="GA524" t="s">
        <v>10634</v>
      </c>
      <c r="GB524">
        <v>1</v>
      </c>
      <c r="GD524">
        <v>0</v>
      </c>
      <c r="GF524">
        <v>0</v>
      </c>
      <c r="GG524">
        <v>1</v>
      </c>
      <c r="GH524" t="s">
        <v>892</v>
      </c>
      <c r="GI524" t="s">
        <v>893</v>
      </c>
      <c r="GJ524" t="s">
        <v>10635</v>
      </c>
      <c r="GM524">
        <v>1</v>
      </c>
      <c r="GN524">
        <v>1</v>
      </c>
      <c r="GO524">
        <v>0</v>
      </c>
      <c r="GP524">
        <v>1</v>
      </c>
      <c r="GQ524">
        <v>1</v>
      </c>
      <c r="GR524">
        <v>0</v>
      </c>
      <c r="GS524">
        <v>1</v>
      </c>
      <c r="GT524">
        <v>0</v>
      </c>
      <c r="GU524">
        <v>1</v>
      </c>
      <c r="GV524">
        <v>0</v>
      </c>
      <c r="GW524">
        <v>1</v>
      </c>
      <c r="GX524">
        <v>0</v>
      </c>
      <c r="GY524">
        <v>1</v>
      </c>
      <c r="GZ524">
        <v>0</v>
      </c>
      <c r="HA524" t="s">
        <v>275</v>
      </c>
      <c r="HB524" t="s">
        <v>894</v>
      </c>
      <c r="HC524" t="s">
        <v>935</v>
      </c>
      <c r="HD524" t="s">
        <v>845</v>
      </c>
      <c r="HE524" t="s">
        <v>900</v>
      </c>
      <c r="HF524" t="s">
        <v>923</v>
      </c>
      <c r="HG524" t="s">
        <v>894</v>
      </c>
      <c r="HH524" t="s">
        <v>935</v>
      </c>
      <c r="HI524" t="s">
        <v>845</v>
      </c>
      <c r="HJ524" t="s">
        <v>900</v>
      </c>
      <c r="HK524" t="s">
        <v>922</v>
      </c>
      <c r="HL524" t="s">
        <v>3107</v>
      </c>
      <c r="HM524" t="s">
        <v>854</v>
      </c>
      <c r="HN524">
        <v>36805</v>
      </c>
      <c r="HP524" t="s">
        <v>226</v>
      </c>
      <c r="HQ524" t="s">
        <v>896</v>
      </c>
      <c r="HR524" t="s">
        <v>896</v>
      </c>
      <c r="HS524" t="s">
        <v>896</v>
      </c>
    </row>
    <row r="525" spans="1:227" x14ac:dyDescent="0.2">
      <c r="A525">
        <v>8702</v>
      </c>
      <c r="B525">
        <v>7620307067</v>
      </c>
      <c r="C525" t="s">
        <v>936</v>
      </c>
      <c r="D525" t="s">
        <v>937</v>
      </c>
      <c r="E525" t="s">
        <v>897</v>
      </c>
      <c r="F525">
        <v>0</v>
      </c>
      <c r="G525" t="s">
        <v>10637</v>
      </c>
      <c r="H525" t="s">
        <v>10637</v>
      </c>
      <c r="I525">
        <v>0</v>
      </c>
      <c r="J525" t="s">
        <v>833</v>
      </c>
      <c r="K525" t="s">
        <v>834</v>
      </c>
      <c r="L525">
        <v>152946690</v>
      </c>
      <c r="M525" t="s">
        <v>2797</v>
      </c>
      <c r="N525" t="s">
        <v>900</v>
      </c>
      <c r="O525" t="s">
        <v>837</v>
      </c>
      <c r="P525" t="s">
        <v>940</v>
      </c>
      <c r="Q525" t="s">
        <v>2404</v>
      </c>
      <c r="R525" t="s">
        <v>10638</v>
      </c>
      <c r="S525" t="s">
        <v>10639</v>
      </c>
      <c r="T525">
        <v>41477115259</v>
      </c>
      <c r="V525" t="s">
        <v>212</v>
      </c>
      <c r="W525" s="41">
        <v>46225</v>
      </c>
      <c r="X525" t="s">
        <v>10640</v>
      </c>
      <c r="Y525" t="s">
        <v>10641</v>
      </c>
      <c r="AA525">
        <v>0</v>
      </c>
      <c r="AB525" t="s">
        <v>845</v>
      </c>
      <c r="AC525" t="s">
        <v>846</v>
      </c>
      <c r="AD525" t="s">
        <v>907</v>
      </c>
      <c r="AE525" t="s">
        <v>908</v>
      </c>
      <c r="AF525">
        <v>1</v>
      </c>
      <c r="AG525">
        <v>452210</v>
      </c>
      <c r="AH525" t="s">
        <v>849</v>
      </c>
      <c r="AI525" t="s">
        <v>850</v>
      </c>
      <c r="AJ525" t="s">
        <v>851</v>
      </c>
      <c r="AK525" t="s">
        <v>297</v>
      </c>
      <c r="AL525" t="s">
        <v>2184</v>
      </c>
      <c r="AM525" t="s">
        <v>2689</v>
      </c>
      <c r="AN525" t="s">
        <v>854</v>
      </c>
      <c r="AO525">
        <v>36805</v>
      </c>
      <c r="AP525">
        <v>649</v>
      </c>
      <c r="AQ525" t="s">
        <v>855</v>
      </c>
      <c r="AR525">
        <v>66562181</v>
      </c>
      <c r="AS525" t="s">
        <v>856</v>
      </c>
      <c r="AU525" t="s">
        <v>10642</v>
      </c>
      <c r="AV525" t="s">
        <v>10643</v>
      </c>
      <c r="AX525" t="s">
        <v>913</v>
      </c>
      <c r="AY525" t="s">
        <v>861</v>
      </c>
      <c r="AZ525" t="s">
        <v>297</v>
      </c>
      <c r="BA525" t="s">
        <v>298</v>
      </c>
      <c r="BB525">
        <v>0</v>
      </c>
      <c r="BC525">
        <v>0</v>
      </c>
      <c r="BD525">
        <v>0</v>
      </c>
      <c r="BE525" t="s">
        <v>2797</v>
      </c>
      <c r="BF525">
        <v>0</v>
      </c>
      <c r="BG525">
        <v>0</v>
      </c>
      <c r="BH525" t="s">
        <v>862</v>
      </c>
      <c r="BI525">
        <v>0</v>
      </c>
      <c r="BJ525" t="s">
        <v>862</v>
      </c>
      <c r="BK525">
        <v>1</v>
      </c>
      <c r="BL525">
        <v>1</v>
      </c>
      <c r="BM525">
        <v>0</v>
      </c>
      <c r="BN525" t="s">
        <v>596</v>
      </c>
      <c r="BO525">
        <v>152946690</v>
      </c>
      <c r="BP525" t="s">
        <v>10637</v>
      </c>
      <c r="BQ525">
        <v>42.323544300000002</v>
      </c>
      <c r="BR525">
        <v>42791782</v>
      </c>
      <c r="BS525">
        <v>-83.469530199999994</v>
      </c>
      <c r="BT525">
        <v>2</v>
      </c>
      <c r="BU525" t="s">
        <v>1062</v>
      </c>
      <c r="BY525">
        <v>16</v>
      </c>
      <c r="CA525">
        <v>3</v>
      </c>
      <c r="CE525">
        <v>1</v>
      </c>
      <c r="CI525">
        <v>11</v>
      </c>
      <c r="CJ525" t="s">
        <v>94</v>
      </c>
      <c r="CM525">
        <v>4010</v>
      </c>
      <c r="CO525">
        <v>7360</v>
      </c>
      <c r="CP525">
        <v>0.31669999999999998</v>
      </c>
      <c r="CQ525">
        <v>0.31669999999999998</v>
      </c>
      <c r="CR525">
        <v>0.91669999999999996</v>
      </c>
      <c r="CS525">
        <v>13</v>
      </c>
      <c r="CT525" t="s">
        <v>10643</v>
      </c>
      <c r="CU525" t="s">
        <v>10642</v>
      </c>
      <c r="CV525" t="s">
        <v>833</v>
      </c>
      <c r="CW525" t="s">
        <v>834</v>
      </c>
      <c r="CX525" t="s">
        <v>2797</v>
      </c>
      <c r="CY525">
        <v>0</v>
      </c>
      <c r="CZ525">
        <v>0</v>
      </c>
      <c r="DA525" t="s">
        <v>833</v>
      </c>
      <c r="DB525" t="s">
        <v>865</v>
      </c>
      <c r="DC525">
        <v>48187</v>
      </c>
      <c r="DD525">
        <v>3.45</v>
      </c>
      <c r="DE525" t="s">
        <v>866</v>
      </c>
      <c r="DG525" t="s">
        <v>867</v>
      </c>
      <c r="DH525" t="s">
        <v>851</v>
      </c>
      <c r="DI525" t="s">
        <v>2323</v>
      </c>
      <c r="DK525" t="s">
        <v>918</v>
      </c>
      <c r="DL525" t="s">
        <v>869</v>
      </c>
      <c r="DM525">
        <v>0</v>
      </c>
      <c r="DN525">
        <v>0</v>
      </c>
      <c r="DO525">
        <v>2</v>
      </c>
      <c r="DP525" t="s">
        <v>870</v>
      </c>
      <c r="DQ525">
        <v>16</v>
      </c>
      <c r="DR525">
        <v>207</v>
      </c>
      <c r="DS525">
        <v>207</v>
      </c>
      <c r="DT525">
        <v>3.1333000000000002</v>
      </c>
      <c r="DU525">
        <v>4</v>
      </c>
      <c r="DV525">
        <v>1</v>
      </c>
      <c r="DW525">
        <v>2</v>
      </c>
      <c r="DX525" t="s">
        <v>596</v>
      </c>
      <c r="DY525" t="s">
        <v>2797</v>
      </c>
      <c r="DZ525">
        <v>1</v>
      </c>
      <c r="EA525">
        <v>1</v>
      </c>
      <c r="EB525">
        <v>1</v>
      </c>
      <c r="EC525">
        <v>1</v>
      </c>
      <c r="ED525">
        <v>1</v>
      </c>
      <c r="EE525">
        <v>1</v>
      </c>
      <c r="EF525" t="s">
        <v>920</v>
      </c>
      <c r="EG525" t="s">
        <v>595</v>
      </c>
      <c r="EH525" t="s">
        <v>921</v>
      </c>
      <c r="EI525" t="s">
        <v>921</v>
      </c>
      <c r="EJ525" t="s">
        <v>178</v>
      </c>
      <c r="EK525">
        <v>9090</v>
      </c>
      <c r="EL525">
        <v>0</v>
      </c>
      <c r="EM525" t="s">
        <v>952</v>
      </c>
      <c r="EN525">
        <v>0.91669999999999996</v>
      </c>
      <c r="EO525">
        <v>3.45</v>
      </c>
      <c r="EP525">
        <v>99991120</v>
      </c>
      <c r="EQ525" t="s">
        <v>874</v>
      </c>
      <c r="ER525" t="s">
        <v>875</v>
      </c>
      <c r="ES525" t="s">
        <v>876</v>
      </c>
      <c r="ET525" t="s">
        <v>877</v>
      </c>
      <c r="EU525" t="s">
        <v>877</v>
      </c>
      <c r="EV525" t="s">
        <v>920</v>
      </c>
      <c r="EX525" t="s">
        <v>900</v>
      </c>
      <c r="EY525" t="s">
        <v>923</v>
      </c>
      <c r="EZ525" t="s">
        <v>955</v>
      </c>
      <c r="FA525" t="s">
        <v>956</v>
      </c>
      <c r="FB525">
        <v>1</v>
      </c>
      <c r="FC525">
        <v>1</v>
      </c>
      <c r="FD525" s="41">
        <v>46228</v>
      </c>
      <c r="FE525" t="s">
        <v>1066</v>
      </c>
      <c r="FF525">
        <v>4</v>
      </c>
      <c r="FI525">
        <v>0</v>
      </c>
      <c r="FL525">
        <v>0</v>
      </c>
      <c r="FM525" t="s">
        <v>10644</v>
      </c>
      <c r="FN525" t="s">
        <v>10645</v>
      </c>
      <c r="FO525">
        <v>1</v>
      </c>
      <c r="FP525" t="s">
        <v>10646</v>
      </c>
      <c r="FQ525" t="s">
        <v>10647</v>
      </c>
      <c r="FR525">
        <v>1</v>
      </c>
      <c r="FS525" t="s">
        <v>2196</v>
      </c>
      <c r="FT525" t="s">
        <v>10648</v>
      </c>
      <c r="FU525">
        <v>1</v>
      </c>
      <c r="FV525" t="s">
        <v>10649</v>
      </c>
      <c r="FW525" t="s">
        <v>10650</v>
      </c>
      <c r="FX525">
        <v>1</v>
      </c>
      <c r="FY525" t="s">
        <v>890</v>
      </c>
      <c r="FZ525" t="s">
        <v>10651</v>
      </c>
      <c r="GA525" t="s">
        <v>10649</v>
      </c>
      <c r="GB525">
        <v>1</v>
      </c>
      <c r="GD525">
        <v>0</v>
      </c>
      <c r="GF525">
        <v>0</v>
      </c>
      <c r="GG525">
        <v>1</v>
      </c>
      <c r="GH525" t="s">
        <v>892</v>
      </c>
      <c r="GI525" t="s">
        <v>893</v>
      </c>
      <c r="GJ525" t="s">
        <v>10650</v>
      </c>
      <c r="GM525">
        <v>1</v>
      </c>
      <c r="GN525">
        <v>1</v>
      </c>
      <c r="GO525">
        <v>0</v>
      </c>
      <c r="GP525">
        <v>1</v>
      </c>
      <c r="GQ525">
        <v>1</v>
      </c>
      <c r="GR525">
        <v>0</v>
      </c>
      <c r="GS525">
        <v>1</v>
      </c>
      <c r="GT525">
        <v>0</v>
      </c>
      <c r="GU525">
        <v>1</v>
      </c>
      <c r="GV525">
        <v>0</v>
      </c>
      <c r="GW525">
        <v>1</v>
      </c>
      <c r="GX525">
        <v>0</v>
      </c>
      <c r="GY525">
        <v>1</v>
      </c>
      <c r="GZ525">
        <v>0</v>
      </c>
      <c r="HA525" t="s">
        <v>297</v>
      </c>
      <c r="HB525" t="s">
        <v>894</v>
      </c>
      <c r="HC525" t="s">
        <v>935</v>
      </c>
      <c r="HD525" t="s">
        <v>845</v>
      </c>
      <c r="HE525" t="s">
        <v>900</v>
      </c>
      <c r="HF525" t="s">
        <v>923</v>
      </c>
      <c r="HG525" t="s">
        <v>894</v>
      </c>
      <c r="HH525" t="s">
        <v>935</v>
      </c>
      <c r="HI525" t="s">
        <v>845</v>
      </c>
      <c r="HJ525" t="s">
        <v>900</v>
      </c>
      <c r="HK525" t="s">
        <v>952</v>
      </c>
      <c r="HL525" t="s">
        <v>212</v>
      </c>
      <c r="HM525" t="s">
        <v>854</v>
      </c>
      <c r="HN525">
        <v>36805</v>
      </c>
      <c r="HP525" t="s">
        <v>178</v>
      </c>
      <c r="HQ525" t="s">
        <v>896</v>
      </c>
      <c r="HR525" t="s">
        <v>896</v>
      </c>
      <c r="HS525" t="s">
        <v>896</v>
      </c>
    </row>
    <row r="526" spans="1:227" x14ac:dyDescent="0.2">
      <c r="A526">
        <v>8702</v>
      </c>
      <c r="B526">
        <v>7603802462</v>
      </c>
      <c r="C526">
        <v>36</v>
      </c>
      <c r="D526" t="s">
        <v>1302</v>
      </c>
      <c r="E526" t="s">
        <v>831</v>
      </c>
      <c r="F526">
        <v>1</v>
      </c>
      <c r="G526" t="s">
        <v>10652</v>
      </c>
      <c r="H526" t="s">
        <v>10652</v>
      </c>
      <c r="I526">
        <v>0</v>
      </c>
      <c r="J526" t="s">
        <v>833</v>
      </c>
      <c r="K526" t="s">
        <v>834</v>
      </c>
      <c r="L526">
        <v>153524610</v>
      </c>
      <c r="M526" t="s">
        <v>1493</v>
      </c>
      <c r="N526" t="s">
        <v>836</v>
      </c>
      <c r="O526" t="s">
        <v>837</v>
      </c>
      <c r="P526" t="s">
        <v>1302</v>
      </c>
      <c r="Q526" t="s">
        <v>1517</v>
      </c>
      <c r="R526" t="s">
        <v>10653</v>
      </c>
      <c r="S526" t="s">
        <v>10654</v>
      </c>
      <c r="T526">
        <v>41477092613</v>
      </c>
      <c r="V526" t="s">
        <v>165</v>
      </c>
      <c r="W526" s="41">
        <v>46060</v>
      </c>
      <c r="X526" t="s">
        <v>10655</v>
      </c>
      <c r="Y526" t="s">
        <v>10656</v>
      </c>
      <c r="AA526">
        <v>0</v>
      </c>
      <c r="AB526" t="s">
        <v>845</v>
      </c>
      <c r="AC526" t="s">
        <v>846</v>
      </c>
      <c r="AD526" t="s">
        <v>1113</v>
      </c>
      <c r="AE526" t="s">
        <v>1114</v>
      </c>
      <c r="AF526">
        <v>1</v>
      </c>
      <c r="AG526">
        <v>452210</v>
      </c>
      <c r="AH526" t="s">
        <v>849</v>
      </c>
      <c r="AI526" t="s">
        <v>850</v>
      </c>
      <c r="AJ526" t="s">
        <v>851</v>
      </c>
      <c r="AK526" t="s">
        <v>253</v>
      </c>
      <c r="AL526" t="s">
        <v>1257</v>
      </c>
      <c r="AM526" t="s">
        <v>1499</v>
      </c>
      <c r="AN526" t="s">
        <v>854</v>
      </c>
      <c r="AO526">
        <v>36805</v>
      </c>
      <c r="AP526">
        <v>544</v>
      </c>
      <c r="AQ526" t="s">
        <v>855</v>
      </c>
      <c r="AR526">
        <v>66324301</v>
      </c>
      <c r="AS526" t="s">
        <v>856</v>
      </c>
      <c r="AU526" t="s">
        <v>10657</v>
      </c>
      <c r="AV526" t="s">
        <v>10658</v>
      </c>
      <c r="AX526" t="s">
        <v>913</v>
      </c>
      <c r="AY526" t="s">
        <v>861</v>
      </c>
      <c r="AZ526" t="s">
        <v>253</v>
      </c>
      <c r="BA526" t="s">
        <v>254</v>
      </c>
      <c r="BB526">
        <v>0</v>
      </c>
      <c r="BC526">
        <v>0</v>
      </c>
      <c r="BD526">
        <v>0</v>
      </c>
      <c r="BE526" t="s">
        <v>1493</v>
      </c>
      <c r="BF526">
        <v>0</v>
      </c>
      <c r="BG526">
        <v>0</v>
      </c>
      <c r="BH526" t="s">
        <v>862</v>
      </c>
      <c r="BI526">
        <v>0</v>
      </c>
      <c r="BJ526" t="s">
        <v>862</v>
      </c>
      <c r="BK526">
        <v>1</v>
      </c>
      <c r="BL526">
        <v>1</v>
      </c>
      <c r="BM526">
        <v>0</v>
      </c>
      <c r="BN526" t="s">
        <v>596</v>
      </c>
      <c r="BO526">
        <v>153524610</v>
      </c>
      <c r="BP526" t="s">
        <v>10652</v>
      </c>
      <c r="BR526">
        <v>42791459</v>
      </c>
      <c r="BT526">
        <v>2</v>
      </c>
      <c r="BU526" t="s">
        <v>1263</v>
      </c>
      <c r="CE526">
        <v>1</v>
      </c>
      <c r="CI526">
        <v>11</v>
      </c>
      <c r="CJ526" t="s">
        <v>94</v>
      </c>
      <c r="CM526">
        <v>4010</v>
      </c>
      <c r="CO526">
        <v>7360</v>
      </c>
      <c r="CP526">
        <v>0.7167</v>
      </c>
      <c r="CQ526">
        <v>0.7167</v>
      </c>
      <c r="CR526">
        <v>0.41670000000000001</v>
      </c>
      <c r="CS526">
        <v>5</v>
      </c>
      <c r="CT526" t="s">
        <v>10658</v>
      </c>
      <c r="CU526" t="s">
        <v>10657</v>
      </c>
      <c r="CV526" t="s">
        <v>833</v>
      </c>
      <c r="CW526" t="s">
        <v>834</v>
      </c>
      <c r="CX526" t="s">
        <v>1493</v>
      </c>
      <c r="CY526">
        <v>0</v>
      </c>
      <c r="CZ526">
        <v>0</v>
      </c>
      <c r="DA526" t="s">
        <v>833</v>
      </c>
      <c r="DB526" t="s">
        <v>865</v>
      </c>
      <c r="DC526">
        <v>55378</v>
      </c>
      <c r="DD526">
        <v>4.05</v>
      </c>
      <c r="DE526" t="s">
        <v>866</v>
      </c>
      <c r="DG526" t="s">
        <v>867</v>
      </c>
      <c r="DH526" t="s">
        <v>851</v>
      </c>
      <c r="DI526" t="s">
        <v>1266</v>
      </c>
      <c r="DK526" t="s">
        <v>918</v>
      </c>
      <c r="DL526" t="s">
        <v>869</v>
      </c>
      <c r="DM526">
        <v>0</v>
      </c>
      <c r="DN526">
        <v>0</v>
      </c>
      <c r="DO526">
        <v>12</v>
      </c>
      <c r="DP526" t="s">
        <v>1190</v>
      </c>
      <c r="DQ526">
        <v>0</v>
      </c>
      <c r="DR526">
        <v>243</v>
      </c>
      <c r="DS526">
        <v>243</v>
      </c>
      <c r="DT526">
        <v>3.3332999999999999</v>
      </c>
      <c r="DU526">
        <v>0</v>
      </c>
      <c r="DV526">
        <v>1</v>
      </c>
      <c r="DW526">
        <v>2</v>
      </c>
      <c r="DX526" t="s">
        <v>596</v>
      </c>
      <c r="DY526" t="s">
        <v>1493</v>
      </c>
      <c r="DZ526">
        <v>1</v>
      </c>
      <c r="EA526">
        <v>1</v>
      </c>
      <c r="EB526">
        <v>1</v>
      </c>
      <c r="EC526">
        <v>1</v>
      </c>
      <c r="ED526">
        <v>1</v>
      </c>
      <c r="EE526">
        <v>1</v>
      </c>
      <c r="EF526" t="s">
        <v>871</v>
      </c>
      <c r="EG526" t="s">
        <v>595</v>
      </c>
      <c r="EH526" t="s">
        <v>921</v>
      </c>
      <c r="EI526" t="s">
        <v>921</v>
      </c>
      <c r="EJ526" t="s">
        <v>159</v>
      </c>
      <c r="EK526">
        <v>9090</v>
      </c>
      <c r="EL526">
        <v>0</v>
      </c>
      <c r="EM526" t="s">
        <v>873</v>
      </c>
      <c r="EN526">
        <v>0.41670000000000001</v>
      </c>
      <c r="EO526">
        <v>4.05</v>
      </c>
      <c r="EP526">
        <v>99991120</v>
      </c>
      <c r="EQ526" t="s">
        <v>874</v>
      </c>
      <c r="ER526" t="s">
        <v>875</v>
      </c>
      <c r="ES526" t="s">
        <v>876</v>
      </c>
      <c r="ET526" t="s">
        <v>877</v>
      </c>
      <c r="EU526" t="s">
        <v>877</v>
      </c>
      <c r="EV526" t="s">
        <v>871</v>
      </c>
      <c r="EX526" t="s">
        <v>836</v>
      </c>
      <c r="EY526" t="s">
        <v>1121</v>
      </c>
      <c r="EZ526" t="s">
        <v>1122</v>
      </c>
      <c r="FA526" t="s">
        <v>956</v>
      </c>
      <c r="FB526">
        <v>1</v>
      </c>
      <c r="FC526">
        <v>1</v>
      </c>
      <c r="FD526" s="41">
        <v>46060</v>
      </c>
      <c r="FE526" t="s">
        <v>1267</v>
      </c>
      <c r="FF526">
        <v>8</v>
      </c>
      <c r="FG526" t="s">
        <v>1273</v>
      </c>
      <c r="FH526" t="s">
        <v>10659</v>
      </c>
      <c r="FI526">
        <v>1</v>
      </c>
      <c r="FJ526" t="s">
        <v>10660</v>
      </c>
      <c r="FK526" t="s">
        <v>10661</v>
      </c>
      <c r="FL526">
        <v>1</v>
      </c>
      <c r="FM526" t="s">
        <v>9051</v>
      </c>
      <c r="FN526" t="s">
        <v>10662</v>
      </c>
      <c r="FO526">
        <v>1</v>
      </c>
      <c r="FP526" t="s">
        <v>10663</v>
      </c>
      <c r="FQ526" t="s">
        <v>10657</v>
      </c>
      <c r="FR526">
        <v>1</v>
      </c>
      <c r="FS526" t="s">
        <v>1273</v>
      </c>
      <c r="FT526" t="s">
        <v>10664</v>
      </c>
      <c r="FU526">
        <v>1</v>
      </c>
      <c r="FV526" t="s">
        <v>1835</v>
      </c>
      <c r="FW526" t="s">
        <v>10665</v>
      </c>
      <c r="FX526">
        <v>1</v>
      </c>
      <c r="FY526" t="s">
        <v>890</v>
      </c>
      <c r="FZ526" t="s">
        <v>10666</v>
      </c>
      <c r="GA526" t="s">
        <v>10660</v>
      </c>
      <c r="GB526">
        <v>1</v>
      </c>
      <c r="GD526">
        <v>0</v>
      </c>
      <c r="GF526">
        <v>0</v>
      </c>
      <c r="GG526">
        <v>1</v>
      </c>
      <c r="GH526" t="s">
        <v>892</v>
      </c>
      <c r="GI526" t="s">
        <v>893</v>
      </c>
      <c r="GJ526" t="s">
        <v>10661</v>
      </c>
      <c r="GM526">
        <v>1</v>
      </c>
      <c r="GN526">
        <v>1</v>
      </c>
      <c r="GO526">
        <v>0</v>
      </c>
      <c r="GP526">
        <v>1</v>
      </c>
      <c r="GQ526">
        <v>1</v>
      </c>
      <c r="GR526">
        <v>0</v>
      </c>
      <c r="GS526">
        <v>1</v>
      </c>
      <c r="GT526">
        <v>0</v>
      </c>
      <c r="GU526">
        <v>1</v>
      </c>
      <c r="GV526">
        <v>0</v>
      </c>
      <c r="GW526">
        <v>1</v>
      </c>
      <c r="GX526">
        <v>0</v>
      </c>
      <c r="GY526">
        <v>1</v>
      </c>
      <c r="GZ526">
        <v>0</v>
      </c>
      <c r="HA526" t="s">
        <v>253</v>
      </c>
      <c r="HB526" t="s">
        <v>894</v>
      </c>
      <c r="HC526" t="s">
        <v>895</v>
      </c>
      <c r="HD526" t="s">
        <v>845</v>
      </c>
      <c r="HE526" t="s">
        <v>836</v>
      </c>
      <c r="HF526" t="s">
        <v>873</v>
      </c>
      <c r="HG526" t="s">
        <v>894</v>
      </c>
      <c r="HH526" t="s">
        <v>895</v>
      </c>
      <c r="HI526" t="s">
        <v>845</v>
      </c>
      <c r="HJ526" t="s">
        <v>836</v>
      </c>
      <c r="HK526" t="s">
        <v>873</v>
      </c>
      <c r="HL526" t="s">
        <v>165</v>
      </c>
      <c r="HM526" t="s">
        <v>854</v>
      </c>
      <c r="HN526">
        <v>36805</v>
      </c>
      <c r="HP526" t="s">
        <v>159</v>
      </c>
      <c r="HQ526" t="s">
        <v>896</v>
      </c>
      <c r="HR526" t="s">
        <v>896</v>
      </c>
      <c r="HS526" t="s">
        <v>896</v>
      </c>
    </row>
    <row r="527" spans="1:227" x14ac:dyDescent="0.2">
      <c r="A527">
        <v>8702</v>
      </c>
      <c r="B527">
        <v>7604801108</v>
      </c>
      <c r="C527">
        <v>36</v>
      </c>
      <c r="D527" t="s">
        <v>1302</v>
      </c>
      <c r="E527" t="s">
        <v>831</v>
      </c>
      <c r="F527">
        <v>0</v>
      </c>
      <c r="G527" t="s">
        <v>10667</v>
      </c>
      <c r="H527" t="s">
        <v>10667</v>
      </c>
      <c r="I527">
        <v>0</v>
      </c>
      <c r="J527" t="s">
        <v>833</v>
      </c>
      <c r="K527" t="s">
        <v>834</v>
      </c>
      <c r="L527">
        <v>153406451</v>
      </c>
      <c r="M527" t="s">
        <v>1818</v>
      </c>
      <c r="N527" t="s">
        <v>836</v>
      </c>
      <c r="O527" t="s">
        <v>837</v>
      </c>
      <c r="P527" t="s">
        <v>1302</v>
      </c>
      <c r="Q527" t="s">
        <v>1305</v>
      </c>
      <c r="R527" t="s">
        <v>10668</v>
      </c>
      <c r="S527" t="s">
        <v>10669</v>
      </c>
      <c r="T527">
        <v>41477092613</v>
      </c>
      <c r="V527" t="s">
        <v>1254</v>
      </c>
      <c r="W527" s="41">
        <v>46070</v>
      </c>
      <c r="X527" t="s">
        <v>10670</v>
      </c>
      <c r="Y527" t="s">
        <v>10671</v>
      </c>
      <c r="AA527">
        <v>0</v>
      </c>
      <c r="AB527" t="s">
        <v>845</v>
      </c>
      <c r="AC527" t="s">
        <v>846</v>
      </c>
      <c r="AD527" t="s">
        <v>1113</v>
      </c>
      <c r="AE527" t="s">
        <v>1114</v>
      </c>
      <c r="AF527">
        <v>1</v>
      </c>
      <c r="AG527">
        <v>452210</v>
      </c>
      <c r="AH527" t="s">
        <v>849</v>
      </c>
      <c r="AI527" t="s">
        <v>850</v>
      </c>
      <c r="AJ527" t="s">
        <v>851</v>
      </c>
      <c r="AK527" t="s">
        <v>253</v>
      </c>
      <c r="AL527" t="s">
        <v>1257</v>
      </c>
      <c r="AM527" t="s">
        <v>1258</v>
      </c>
      <c r="AN527" t="s">
        <v>854</v>
      </c>
      <c r="AO527">
        <v>36805</v>
      </c>
      <c r="AP527">
        <v>546</v>
      </c>
      <c r="AQ527" t="s">
        <v>855</v>
      </c>
      <c r="AR527">
        <v>66338790</v>
      </c>
      <c r="AS527" t="s">
        <v>856</v>
      </c>
      <c r="AU527" t="s">
        <v>10672</v>
      </c>
      <c r="AV527" t="s">
        <v>10673</v>
      </c>
      <c r="AX527" t="s">
        <v>913</v>
      </c>
      <c r="AY527" t="s">
        <v>861</v>
      </c>
      <c r="AZ527" t="s">
        <v>253</v>
      </c>
      <c r="BA527" t="s">
        <v>254</v>
      </c>
      <c r="BB527">
        <v>0</v>
      </c>
      <c r="BC527">
        <v>0</v>
      </c>
      <c r="BD527">
        <v>0</v>
      </c>
      <c r="BE527" t="s">
        <v>1818</v>
      </c>
      <c r="BF527">
        <v>0</v>
      </c>
      <c r="BG527">
        <v>0</v>
      </c>
      <c r="BH527" t="s">
        <v>862</v>
      </c>
      <c r="BI527">
        <v>0</v>
      </c>
      <c r="BJ527" t="s">
        <v>862</v>
      </c>
      <c r="BK527">
        <v>1</v>
      </c>
      <c r="BL527">
        <v>1</v>
      </c>
      <c r="BM527">
        <v>0</v>
      </c>
      <c r="BN527" t="s">
        <v>596</v>
      </c>
      <c r="BO527">
        <v>153406451</v>
      </c>
      <c r="BP527" t="s">
        <v>10667</v>
      </c>
      <c r="BR527">
        <v>42791462</v>
      </c>
      <c r="BT527">
        <v>2</v>
      </c>
      <c r="BU527" t="s">
        <v>1780</v>
      </c>
      <c r="CE527">
        <v>1</v>
      </c>
      <c r="CI527">
        <v>11</v>
      </c>
      <c r="CJ527" t="s">
        <v>94</v>
      </c>
      <c r="CM527">
        <v>4010</v>
      </c>
      <c r="CO527">
        <v>7360</v>
      </c>
      <c r="CP527">
        <v>6.6699999999999995E-2</v>
      </c>
      <c r="CQ527">
        <v>6.6699999999999995E-2</v>
      </c>
      <c r="CR527">
        <v>0.26669999999999999</v>
      </c>
      <c r="CS527">
        <v>0</v>
      </c>
      <c r="CT527" t="s">
        <v>10673</v>
      </c>
      <c r="CU527" t="s">
        <v>10672</v>
      </c>
      <c r="CV527" t="s">
        <v>833</v>
      </c>
      <c r="CW527" t="s">
        <v>834</v>
      </c>
      <c r="CX527" t="s">
        <v>1818</v>
      </c>
      <c r="CY527">
        <v>0</v>
      </c>
      <c r="CZ527">
        <v>0</v>
      </c>
      <c r="DA527" t="s">
        <v>833</v>
      </c>
      <c r="DB527" t="s">
        <v>865</v>
      </c>
      <c r="DC527">
        <v>55447</v>
      </c>
      <c r="DD527">
        <v>1.1000000000000001</v>
      </c>
      <c r="DE527" t="s">
        <v>866</v>
      </c>
      <c r="DG527" t="s">
        <v>867</v>
      </c>
      <c r="DH527" t="s">
        <v>851</v>
      </c>
      <c r="DK527" t="s">
        <v>918</v>
      </c>
      <c r="DL527" t="s">
        <v>869</v>
      </c>
      <c r="DM527">
        <v>0</v>
      </c>
      <c r="DN527">
        <v>0</v>
      </c>
      <c r="DO527">
        <v>12</v>
      </c>
      <c r="DP527" t="s">
        <v>1190</v>
      </c>
      <c r="DQ527">
        <v>0</v>
      </c>
      <c r="DR527">
        <v>66</v>
      </c>
      <c r="DS527">
        <v>66</v>
      </c>
      <c r="DT527">
        <v>1.0333000000000001</v>
      </c>
      <c r="DU527">
        <v>0</v>
      </c>
      <c r="DV527">
        <v>1</v>
      </c>
      <c r="DW527">
        <v>2</v>
      </c>
      <c r="DX527" t="s">
        <v>596</v>
      </c>
      <c r="DY527" t="s">
        <v>1818</v>
      </c>
      <c r="DZ527">
        <v>1</v>
      </c>
      <c r="EA527">
        <v>1</v>
      </c>
      <c r="EB527">
        <v>1</v>
      </c>
      <c r="EC527">
        <v>1</v>
      </c>
      <c r="ED527">
        <v>1</v>
      </c>
      <c r="EE527">
        <v>1</v>
      </c>
      <c r="EF527" t="s">
        <v>871</v>
      </c>
      <c r="EG527" t="s">
        <v>595</v>
      </c>
      <c r="EH527" t="s">
        <v>921</v>
      </c>
      <c r="EI527" t="s">
        <v>921</v>
      </c>
      <c r="EJ527" t="s">
        <v>159</v>
      </c>
      <c r="EK527">
        <v>9090</v>
      </c>
      <c r="EL527">
        <v>0</v>
      </c>
      <c r="EM527" t="s">
        <v>873</v>
      </c>
      <c r="EN527">
        <v>0.26669999999999999</v>
      </c>
      <c r="EO527">
        <v>1.1000000000000001</v>
      </c>
      <c r="EP527">
        <v>99991120</v>
      </c>
      <c r="EQ527" t="s">
        <v>874</v>
      </c>
      <c r="ER527" t="s">
        <v>875</v>
      </c>
      <c r="ES527" t="s">
        <v>876</v>
      </c>
      <c r="ET527" t="s">
        <v>877</v>
      </c>
      <c r="EU527" t="s">
        <v>877</v>
      </c>
      <c r="EV527" t="s">
        <v>871</v>
      </c>
      <c r="EX527" t="s">
        <v>836</v>
      </c>
      <c r="EY527" t="s">
        <v>1121</v>
      </c>
      <c r="EZ527" t="s">
        <v>1122</v>
      </c>
      <c r="FA527" t="s">
        <v>956</v>
      </c>
      <c r="FB527">
        <v>1</v>
      </c>
      <c r="FC527">
        <v>1</v>
      </c>
      <c r="FD527" s="41">
        <v>46074</v>
      </c>
      <c r="FE527" t="s">
        <v>1267</v>
      </c>
      <c r="FF527">
        <v>6</v>
      </c>
      <c r="FG527" t="s">
        <v>1273</v>
      </c>
      <c r="FH527" t="s">
        <v>10674</v>
      </c>
      <c r="FI527">
        <v>1</v>
      </c>
      <c r="FJ527" t="s">
        <v>10675</v>
      </c>
      <c r="FK527" t="s">
        <v>10676</v>
      </c>
      <c r="FL527">
        <v>1</v>
      </c>
      <c r="FM527" t="s">
        <v>1830</v>
      </c>
      <c r="FN527" t="s">
        <v>10677</v>
      </c>
      <c r="FO527">
        <v>1</v>
      </c>
      <c r="FP527" t="s">
        <v>10678</v>
      </c>
      <c r="FQ527" t="s">
        <v>10672</v>
      </c>
      <c r="FR527">
        <v>1</v>
      </c>
      <c r="FS527" t="s">
        <v>1672</v>
      </c>
      <c r="FT527" t="s">
        <v>10679</v>
      </c>
      <c r="FU527">
        <v>1</v>
      </c>
      <c r="FV527" t="s">
        <v>6315</v>
      </c>
      <c r="FW527" t="s">
        <v>10680</v>
      </c>
      <c r="FX527">
        <v>1</v>
      </c>
      <c r="FY527" t="s">
        <v>890</v>
      </c>
      <c r="FZ527" t="s">
        <v>10681</v>
      </c>
      <c r="GA527" t="s">
        <v>10675</v>
      </c>
      <c r="GB527">
        <v>1</v>
      </c>
      <c r="GD527">
        <v>0</v>
      </c>
      <c r="GF527">
        <v>0</v>
      </c>
      <c r="GG527">
        <v>1</v>
      </c>
      <c r="GH527" t="s">
        <v>892</v>
      </c>
      <c r="GI527" t="s">
        <v>893</v>
      </c>
      <c r="GJ527" t="s">
        <v>10676</v>
      </c>
      <c r="GM527">
        <v>1</v>
      </c>
      <c r="GN527">
        <v>1</v>
      </c>
      <c r="GO527">
        <v>0</v>
      </c>
      <c r="GP527">
        <v>1</v>
      </c>
      <c r="GQ527">
        <v>1</v>
      </c>
      <c r="GR527">
        <v>0</v>
      </c>
      <c r="GS527">
        <v>1</v>
      </c>
      <c r="GT527">
        <v>0</v>
      </c>
      <c r="GU527">
        <v>1</v>
      </c>
      <c r="GV527">
        <v>0</v>
      </c>
      <c r="GW527">
        <v>1</v>
      </c>
      <c r="GX527">
        <v>0</v>
      </c>
      <c r="GY527">
        <v>1</v>
      </c>
      <c r="GZ527">
        <v>0</v>
      </c>
      <c r="HA527" t="s">
        <v>253</v>
      </c>
      <c r="HB527" t="s">
        <v>894</v>
      </c>
      <c r="HC527" t="s">
        <v>895</v>
      </c>
      <c r="HD527" t="s">
        <v>845</v>
      </c>
      <c r="HE527" t="s">
        <v>836</v>
      </c>
      <c r="HF527" t="s">
        <v>873</v>
      </c>
      <c r="HG527" t="s">
        <v>894</v>
      </c>
      <c r="HH527" t="s">
        <v>895</v>
      </c>
      <c r="HI527" t="s">
        <v>845</v>
      </c>
      <c r="HJ527" t="s">
        <v>836</v>
      </c>
      <c r="HK527" t="s">
        <v>873</v>
      </c>
      <c r="HL527" t="s">
        <v>1254</v>
      </c>
      <c r="HM527" t="s">
        <v>854</v>
      </c>
      <c r="HN527">
        <v>36805</v>
      </c>
      <c r="HP527" t="s">
        <v>159</v>
      </c>
      <c r="HQ527" t="s">
        <v>896</v>
      </c>
      <c r="HR527" t="s">
        <v>896</v>
      </c>
      <c r="HS527" t="s">
        <v>896</v>
      </c>
    </row>
    <row r="528" spans="1:227" x14ac:dyDescent="0.2">
      <c r="A528">
        <v>8702</v>
      </c>
      <c r="B528">
        <v>7604005664</v>
      </c>
      <c r="C528">
        <v>82</v>
      </c>
      <c r="D528" t="s">
        <v>969</v>
      </c>
      <c r="E528" t="s">
        <v>897</v>
      </c>
      <c r="F528">
        <v>3</v>
      </c>
      <c r="G528" t="s">
        <v>10682</v>
      </c>
      <c r="H528" t="s">
        <v>10682</v>
      </c>
      <c r="I528">
        <v>0</v>
      </c>
      <c r="J528" t="s">
        <v>833</v>
      </c>
      <c r="K528" t="s">
        <v>834</v>
      </c>
      <c r="L528">
        <v>152858764</v>
      </c>
      <c r="M528" t="s">
        <v>10683</v>
      </c>
      <c r="N528" t="s">
        <v>900</v>
      </c>
      <c r="O528" t="s">
        <v>837</v>
      </c>
      <c r="P528" t="s">
        <v>972</v>
      </c>
      <c r="Q528" t="s">
        <v>973</v>
      </c>
      <c r="R528" t="s">
        <v>10684</v>
      </c>
      <c r="S528" t="s">
        <v>10685</v>
      </c>
      <c r="T528">
        <v>41477008397</v>
      </c>
      <c r="V528" t="s">
        <v>232</v>
      </c>
      <c r="W528" s="41">
        <v>46062</v>
      </c>
      <c r="X528" t="s">
        <v>10686</v>
      </c>
      <c r="Y528" t="s">
        <v>10687</v>
      </c>
      <c r="AA528">
        <v>0</v>
      </c>
      <c r="AB528" t="s">
        <v>845</v>
      </c>
      <c r="AC528" t="s">
        <v>846</v>
      </c>
      <c r="AD528" t="s">
        <v>1113</v>
      </c>
      <c r="AE528" t="s">
        <v>1114</v>
      </c>
      <c r="AF528">
        <v>1</v>
      </c>
      <c r="AG528">
        <v>452210</v>
      </c>
      <c r="AH528" t="s">
        <v>849</v>
      </c>
      <c r="AI528" t="s">
        <v>850</v>
      </c>
      <c r="AJ528" t="s">
        <v>851</v>
      </c>
      <c r="AK528" t="s">
        <v>470</v>
      </c>
      <c r="AL528" t="s">
        <v>10688</v>
      </c>
      <c r="AM528" t="s">
        <v>3403</v>
      </c>
      <c r="AN528" t="s">
        <v>854</v>
      </c>
      <c r="AO528">
        <v>36805</v>
      </c>
      <c r="AP528">
        <v>923</v>
      </c>
      <c r="AQ528" t="s">
        <v>855</v>
      </c>
      <c r="AR528">
        <v>66327241</v>
      </c>
      <c r="AS528" t="s">
        <v>856</v>
      </c>
      <c r="AU528" t="s">
        <v>10689</v>
      </c>
      <c r="AV528" t="s">
        <v>10690</v>
      </c>
      <c r="AX528" t="s">
        <v>913</v>
      </c>
      <c r="AY528" t="s">
        <v>861</v>
      </c>
      <c r="AZ528" t="s">
        <v>470</v>
      </c>
      <c r="BA528" t="s">
        <v>471</v>
      </c>
      <c r="BB528">
        <v>0</v>
      </c>
      <c r="BC528">
        <v>0</v>
      </c>
      <c r="BD528">
        <v>0</v>
      </c>
      <c r="BE528" t="s">
        <v>10683</v>
      </c>
      <c r="BF528">
        <v>0</v>
      </c>
      <c r="BG528">
        <v>0</v>
      </c>
      <c r="BH528" t="s">
        <v>862</v>
      </c>
      <c r="BI528">
        <v>0</v>
      </c>
      <c r="BJ528" t="s">
        <v>862</v>
      </c>
      <c r="BK528">
        <v>1</v>
      </c>
      <c r="BL528">
        <v>1</v>
      </c>
      <c r="BM528">
        <v>0</v>
      </c>
      <c r="BN528" t="s">
        <v>596</v>
      </c>
      <c r="BO528">
        <v>152858764</v>
      </c>
      <c r="BP528" t="s">
        <v>10682</v>
      </c>
      <c r="BQ528">
        <v>40.093826800000002</v>
      </c>
      <c r="BR528">
        <v>42793647</v>
      </c>
      <c r="BS528">
        <v>-83.018608799999996</v>
      </c>
      <c r="BT528">
        <v>2</v>
      </c>
      <c r="BU528" t="s">
        <v>1263</v>
      </c>
      <c r="CE528">
        <v>1</v>
      </c>
      <c r="CI528">
        <v>11</v>
      </c>
      <c r="CJ528" t="s">
        <v>94</v>
      </c>
      <c r="CM528">
        <v>4010</v>
      </c>
      <c r="CO528">
        <v>7360</v>
      </c>
      <c r="CP528">
        <v>2.95</v>
      </c>
      <c r="CQ528">
        <v>2.95</v>
      </c>
      <c r="CR528">
        <v>0.9</v>
      </c>
      <c r="CS528">
        <v>52</v>
      </c>
      <c r="CT528" t="s">
        <v>10691</v>
      </c>
      <c r="CU528" t="s">
        <v>10692</v>
      </c>
      <c r="CV528" t="s">
        <v>833</v>
      </c>
      <c r="CW528" t="s">
        <v>834</v>
      </c>
      <c r="CX528" t="s">
        <v>10683</v>
      </c>
      <c r="CY528">
        <v>0</v>
      </c>
      <c r="CZ528">
        <v>0</v>
      </c>
      <c r="DA528" t="s">
        <v>833</v>
      </c>
      <c r="DB528" t="s">
        <v>865</v>
      </c>
      <c r="DC528">
        <v>43085</v>
      </c>
      <c r="DD528">
        <v>6.15</v>
      </c>
      <c r="DE528" t="s">
        <v>866</v>
      </c>
      <c r="DG528" t="s">
        <v>867</v>
      </c>
      <c r="DH528" t="s">
        <v>851</v>
      </c>
      <c r="DI528" t="s">
        <v>2105</v>
      </c>
      <c r="DJ528" t="s">
        <v>9084</v>
      </c>
      <c r="DK528" t="s">
        <v>918</v>
      </c>
      <c r="DL528" t="s">
        <v>869</v>
      </c>
      <c r="DM528">
        <v>0</v>
      </c>
      <c r="DN528">
        <v>0</v>
      </c>
      <c r="DO528">
        <v>2</v>
      </c>
      <c r="DP528" t="s">
        <v>870</v>
      </c>
      <c r="DQ528">
        <v>0</v>
      </c>
      <c r="DR528">
        <v>369</v>
      </c>
      <c r="DS528">
        <v>369</v>
      </c>
      <c r="DT528">
        <v>3.2</v>
      </c>
      <c r="DU528">
        <v>0</v>
      </c>
      <c r="DV528">
        <v>1</v>
      </c>
      <c r="DW528">
        <v>2</v>
      </c>
      <c r="DX528" t="s">
        <v>596</v>
      </c>
      <c r="DY528" t="s">
        <v>10683</v>
      </c>
      <c r="DZ528">
        <v>1</v>
      </c>
      <c r="EA528">
        <v>1</v>
      </c>
      <c r="EB528">
        <v>1</v>
      </c>
      <c r="EC528">
        <v>1</v>
      </c>
      <c r="ED528">
        <v>1</v>
      </c>
      <c r="EE528">
        <v>1</v>
      </c>
      <c r="EF528" t="s">
        <v>920</v>
      </c>
      <c r="EG528" t="s">
        <v>595</v>
      </c>
      <c r="EH528" t="s">
        <v>921</v>
      </c>
      <c r="EI528" t="s">
        <v>921</v>
      </c>
      <c r="EJ528" t="s">
        <v>226</v>
      </c>
      <c r="EK528">
        <v>9090</v>
      </c>
      <c r="EL528">
        <v>0</v>
      </c>
      <c r="EM528" t="s">
        <v>1157</v>
      </c>
      <c r="EN528">
        <v>0.9</v>
      </c>
      <c r="EO528">
        <v>6.15</v>
      </c>
      <c r="EP528">
        <v>99991120</v>
      </c>
      <c r="EQ528" t="s">
        <v>874</v>
      </c>
      <c r="ER528" t="s">
        <v>875</v>
      </c>
      <c r="ES528" t="s">
        <v>876</v>
      </c>
      <c r="ET528" t="s">
        <v>877</v>
      </c>
      <c r="EU528" t="s">
        <v>877</v>
      </c>
      <c r="EV528" t="s">
        <v>920</v>
      </c>
      <c r="EX528" t="s">
        <v>953</v>
      </c>
      <c r="EY528" t="s">
        <v>986</v>
      </c>
      <c r="EZ528" t="s">
        <v>1158</v>
      </c>
      <c r="FA528" t="s">
        <v>925</v>
      </c>
      <c r="FB528">
        <v>1</v>
      </c>
      <c r="FC528">
        <v>1</v>
      </c>
      <c r="FD528" s="41">
        <v>46067</v>
      </c>
      <c r="FE528" t="s">
        <v>1267</v>
      </c>
      <c r="FF528">
        <v>6</v>
      </c>
      <c r="FG528" t="s">
        <v>10693</v>
      </c>
      <c r="FH528" t="s">
        <v>10694</v>
      </c>
      <c r="FI528">
        <v>1</v>
      </c>
      <c r="FJ528" t="s">
        <v>10693</v>
      </c>
      <c r="FK528" t="s">
        <v>10694</v>
      </c>
      <c r="FL528">
        <v>1</v>
      </c>
      <c r="FM528" t="s">
        <v>10695</v>
      </c>
      <c r="FN528" t="s">
        <v>10696</v>
      </c>
      <c r="FO528">
        <v>1</v>
      </c>
      <c r="FP528" t="s">
        <v>10697</v>
      </c>
      <c r="FQ528" t="s">
        <v>10692</v>
      </c>
      <c r="FR528">
        <v>1</v>
      </c>
      <c r="FS528" t="s">
        <v>3416</v>
      </c>
      <c r="FT528" t="s">
        <v>10698</v>
      </c>
      <c r="FU528">
        <v>1</v>
      </c>
      <c r="FV528" t="s">
        <v>10699</v>
      </c>
      <c r="FW528" t="s">
        <v>10700</v>
      </c>
      <c r="FX528">
        <v>1</v>
      </c>
      <c r="FY528" t="s">
        <v>890</v>
      </c>
      <c r="FZ528" t="s">
        <v>10701</v>
      </c>
      <c r="GA528" t="s">
        <v>10693</v>
      </c>
      <c r="GB528">
        <v>1</v>
      </c>
      <c r="GD528">
        <v>0</v>
      </c>
      <c r="GF528">
        <v>0</v>
      </c>
      <c r="GG528">
        <v>1</v>
      </c>
      <c r="GH528" t="s">
        <v>892</v>
      </c>
      <c r="GI528" t="s">
        <v>893</v>
      </c>
      <c r="GJ528" t="s">
        <v>10694</v>
      </c>
      <c r="GM528">
        <v>1</v>
      </c>
      <c r="GN528">
        <v>1</v>
      </c>
      <c r="GO528">
        <v>0</v>
      </c>
      <c r="GP528">
        <v>1</v>
      </c>
      <c r="GQ528">
        <v>1</v>
      </c>
      <c r="GR528">
        <v>0</v>
      </c>
      <c r="GS528">
        <v>1</v>
      </c>
      <c r="GT528">
        <v>0</v>
      </c>
      <c r="GU528">
        <v>1</v>
      </c>
      <c r="GV528">
        <v>0</v>
      </c>
      <c r="GW528">
        <v>1</v>
      </c>
      <c r="GX528">
        <v>0</v>
      </c>
      <c r="GY528">
        <v>1</v>
      </c>
      <c r="GZ528">
        <v>0</v>
      </c>
      <c r="HA528" t="s">
        <v>470</v>
      </c>
      <c r="HB528" t="s">
        <v>894</v>
      </c>
      <c r="HC528" t="s">
        <v>935</v>
      </c>
      <c r="HD528" t="s">
        <v>845</v>
      </c>
      <c r="HE528" t="s">
        <v>900</v>
      </c>
      <c r="HF528" t="s">
        <v>923</v>
      </c>
      <c r="HG528" t="s">
        <v>894</v>
      </c>
      <c r="HH528" t="s">
        <v>935</v>
      </c>
      <c r="HI528" t="s">
        <v>845</v>
      </c>
      <c r="HJ528" t="s">
        <v>900</v>
      </c>
      <c r="HK528" t="s">
        <v>922</v>
      </c>
      <c r="HL528" t="s">
        <v>232</v>
      </c>
      <c r="HM528" t="s">
        <v>854</v>
      </c>
      <c r="HN528">
        <v>36805</v>
      </c>
      <c r="HP528" t="s">
        <v>226</v>
      </c>
      <c r="HQ528" t="s">
        <v>896</v>
      </c>
      <c r="HR528" t="s">
        <v>896</v>
      </c>
      <c r="HS528" t="s">
        <v>896</v>
      </c>
    </row>
    <row r="529" spans="1:227" x14ac:dyDescent="0.2">
      <c r="A529">
        <v>8702</v>
      </c>
      <c r="B529">
        <v>7600505555</v>
      </c>
      <c r="C529">
        <v>34</v>
      </c>
      <c r="D529" t="s">
        <v>996</v>
      </c>
      <c r="E529" t="s">
        <v>897</v>
      </c>
      <c r="F529">
        <v>0</v>
      </c>
      <c r="G529" t="s">
        <v>10702</v>
      </c>
      <c r="H529" t="s">
        <v>10702</v>
      </c>
      <c r="I529">
        <v>0</v>
      </c>
      <c r="J529" t="s">
        <v>833</v>
      </c>
      <c r="K529" t="s">
        <v>834</v>
      </c>
      <c r="L529">
        <v>148722482</v>
      </c>
      <c r="M529" t="s">
        <v>10703</v>
      </c>
      <c r="N529" t="s">
        <v>900</v>
      </c>
      <c r="O529" t="s">
        <v>837</v>
      </c>
      <c r="P529" t="s">
        <v>999</v>
      </c>
      <c r="Q529" t="s">
        <v>2661</v>
      </c>
      <c r="R529" t="s">
        <v>10704</v>
      </c>
      <c r="S529" t="s">
        <v>10705</v>
      </c>
      <c r="T529">
        <v>41477130640</v>
      </c>
      <c r="V529" t="s">
        <v>239</v>
      </c>
      <c r="W529" s="41">
        <v>46027</v>
      </c>
      <c r="X529" t="s">
        <v>10706</v>
      </c>
      <c r="Y529" t="s">
        <v>10707</v>
      </c>
      <c r="Z529">
        <v>1</v>
      </c>
      <c r="AA529">
        <v>0</v>
      </c>
      <c r="AB529" t="s">
        <v>845</v>
      </c>
      <c r="AC529" t="s">
        <v>846</v>
      </c>
      <c r="AD529" t="s">
        <v>1335</v>
      </c>
      <c r="AE529" t="s">
        <v>1336</v>
      </c>
      <c r="AF529">
        <v>1</v>
      </c>
      <c r="AG529">
        <v>452210</v>
      </c>
      <c r="AH529" t="s">
        <v>849</v>
      </c>
      <c r="AI529" t="s">
        <v>850</v>
      </c>
      <c r="AJ529" t="s">
        <v>851</v>
      </c>
      <c r="AK529" t="s">
        <v>265</v>
      </c>
      <c r="AL529" t="s">
        <v>1644</v>
      </c>
      <c r="AM529" t="s">
        <v>1645</v>
      </c>
      <c r="AN529" t="s">
        <v>854</v>
      </c>
      <c r="AO529">
        <v>36805</v>
      </c>
      <c r="AP529">
        <v>928</v>
      </c>
      <c r="AQ529" t="s">
        <v>855</v>
      </c>
      <c r="AR529">
        <v>66276806</v>
      </c>
      <c r="AS529" t="s">
        <v>856</v>
      </c>
      <c r="AU529" t="s">
        <v>10708</v>
      </c>
      <c r="AV529" t="s">
        <v>10709</v>
      </c>
      <c r="AX529" t="s">
        <v>913</v>
      </c>
      <c r="AY529" t="s">
        <v>861</v>
      </c>
      <c r="AZ529" t="s">
        <v>265</v>
      </c>
      <c r="BA529" t="s">
        <v>266</v>
      </c>
      <c r="BB529">
        <v>0</v>
      </c>
      <c r="BC529">
        <v>0</v>
      </c>
      <c r="BD529">
        <v>0</v>
      </c>
      <c r="BE529" t="s">
        <v>10703</v>
      </c>
      <c r="BF529">
        <v>0</v>
      </c>
      <c r="BG529">
        <v>0</v>
      </c>
      <c r="BH529" t="s">
        <v>862</v>
      </c>
      <c r="BI529">
        <v>0</v>
      </c>
      <c r="BJ529" t="s">
        <v>862</v>
      </c>
      <c r="BK529">
        <v>1</v>
      </c>
      <c r="BL529">
        <v>1</v>
      </c>
      <c r="BM529">
        <v>0</v>
      </c>
      <c r="BN529" t="s">
        <v>596</v>
      </c>
      <c r="BP529" t="s">
        <v>10702</v>
      </c>
      <c r="BQ529">
        <v>41.465722</v>
      </c>
      <c r="BR529">
        <v>42793653</v>
      </c>
      <c r="BS529">
        <v>-81.952579099999994</v>
      </c>
      <c r="BT529">
        <v>2</v>
      </c>
      <c r="BU529" t="s">
        <v>1367</v>
      </c>
      <c r="CE529">
        <v>1</v>
      </c>
      <c r="CI529">
        <v>11</v>
      </c>
      <c r="CJ529" t="s">
        <v>94</v>
      </c>
      <c r="CM529">
        <v>4010</v>
      </c>
      <c r="CO529">
        <v>7360</v>
      </c>
      <c r="CP529">
        <v>0.1167</v>
      </c>
      <c r="CQ529">
        <v>0.1167</v>
      </c>
      <c r="CR529">
        <v>1.67E-2</v>
      </c>
      <c r="CS529">
        <v>0</v>
      </c>
      <c r="CT529" t="s">
        <v>10709</v>
      </c>
      <c r="CU529" t="s">
        <v>10708</v>
      </c>
      <c r="CV529" t="s">
        <v>833</v>
      </c>
      <c r="CW529" t="s">
        <v>834</v>
      </c>
      <c r="CX529" t="s">
        <v>2097</v>
      </c>
      <c r="CY529">
        <v>0</v>
      </c>
      <c r="CZ529">
        <v>0</v>
      </c>
      <c r="DA529" t="s">
        <v>833</v>
      </c>
      <c r="DB529" t="s">
        <v>865</v>
      </c>
      <c r="DC529">
        <v>44145</v>
      </c>
      <c r="DD529">
        <v>4.1333000000000002</v>
      </c>
      <c r="DE529" t="s">
        <v>866</v>
      </c>
      <c r="DG529" t="s">
        <v>867</v>
      </c>
      <c r="DH529" t="s">
        <v>851</v>
      </c>
      <c r="DK529" t="s">
        <v>918</v>
      </c>
      <c r="DL529" t="s">
        <v>869</v>
      </c>
      <c r="DM529">
        <v>0</v>
      </c>
      <c r="DN529">
        <v>0</v>
      </c>
      <c r="DO529">
        <v>1</v>
      </c>
      <c r="DP529" t="s">
        <v>985</v>
      </c>
      <c r="DQ529">
        <v>16</v>
      </c>
      <c r="DR529">
        <v>248</v>
      </c>
      <c r="DS529">
        <v>248</v>
      </c>
      <c r="DT529">
        <v>4.0167000000000002</v>
      </c>
      <c r="DU529">
        <v>4</v>
      </c>
      <c r="DV529">
        <v>1</v>
      </c>
      <c r="DW529">
        <v>2</v>
      </c>
      <c r="DX529" t="s">
        <v>596</v>
      </c>
      <c r="DY529" t="s">
        <v>10703</v>
      </c>
      <c r="DZ529">
        <v>1</v>
      </c>
      <c r="EA529">
        <v>1</v>
      </c>
      <c r="EB529">
        <v>1</v>
      </c>
      <c r="EC529">
        <v>0</v>
      </c>
      <c r="ED529">
        <v>0</v>
      </c>
      <c r="EE529">
        <v>1</v>
      </c>
      <c r="EF529" t="s">
        <v>920</v>
      </c>
      <c r="EG529" t="s">
        <v>595</v>
      </c>
      <c r="EH529" t="s">
        <v>921</v>
      </c>
      <c r="EI529" t="s">
        <v>921</v>
      </c>
      <c r="EJ529" t="s">
        <v>226</v>
      </c>
      <c r="EK529">
        <v>9090</v>
      </c>
      <c r="EL529">
        <v>0</v>
      </c>
      <c r="EM529" t="s">
        <v>1157</v>
      </c>
      <c r="EN529">
        <v>1.67E-2</v>
      </c>
      <c r="EO529">
        <v>4.1333333000000003</v>
      </c>
      <c r="EP529">
        <v>99991120</v>
      </c>
      <c r="EQ529" t="s">
        <v>874</v>
      </c>
      <c r="ER529" t="s">
        <v>875</v>
      </c>
      <c r="ES529" t="s">
        <v>876</v>
      </c>
      <c r="ET529" t="s">
        <v>877</v>
      </c>
      <c r="EU529" t="s">
        <v>877</v>
      </c>
      <c r="EV529" t="s">
        <v>920</v>
      </c>
      <c r="EX529" t="s">
        <v>953</v>
      </c>
      <c r="EY529" t="s">
        <v>986</v>
      </c>
      <c r="EZ529" t="s">
        <v>1236</v>
      </c>
      <c r="FA529" t="s">
        <v>956</v>
      </c>
      <c r="FB529">
        <v>1</v>
      </c>
      <c r="FC529">
        <v>1</v>
      </c>
      <c r="FD529" s="41">
        <v>46032</v>
      </c>
      <c r="FE529" t="s">
        <v>1370</v>
      </c>
      <c r="FF529">
        <v>6</v>
      </c>
      <c r="FG529" t="s">
        <v>1649</v>
      </c>
      <c r="FH529" t="s">
        <v>10710</v>
      </c>
      <c r="FI529">
        <v>1</v>
      </c>
      <c r="FJ529" t="s">
        <v>1651</v>
      </c>
      <c r="FK529" t="s">
        <v>10711</v>
      </c>
      <c r="FL529">
        <v>1</v>
      </c>
      <c r="FM529" t="s">
        <v>10712</v>
      </c>
      <c r="FN529" t="s">
        <v>10713</v>
      </c>
      <c r="FO529">
        <v>1</v>
      </c>
      <c r="FP529" t="s">
        <v>10714</v>
      </c>
      <c r="FQ529" t="s">
        <v>10715</v>
      </c>
      <c r="FR529">
        <v>1</v>
      </c>
      <c r="FS529" t="s">
        <v>1656</v>
      </c>
      <c r="FT529" t="s">
        <v>10716</v>
      </c>
      <c r="FU529">
        <v>1</v>
      </c>
      <c r="FV529" t="s">
        <v>1658</v>
      </c>
      <c r="FW529" t="s">
        <v>10717</v>
      </c>
      <c r="FX529">
        <v>1</v>
      </c>
      <c r="FY529" t="s">
        <v>890</v>
      </c>
      <c r="FZ529" t="s">
        <v>10718</v>
      </c>
      <c r="GA529" t="s">
        <v>1651</v>
      </c>
      <c r="GB529">
        <v>1</v>
      </c>
      <c r="GD529">
        <v>0</v>
      </c>
      <c r="GF529">
        <v>0</v>
      </c>
      <c r="GG529">
        <v>1</v>
      </c>
      <c r="GH529" t="s">
        <v>892</v>
      </c>
      <c r="GI529" t="s">
        <v>893</v>
      </c>
      <c r="GJ529" t="s">
        <v>10711</v>
      </c>
      <c r="GM529">
        <v>1</v>
      </c>
      <c r="GN529">
        <v>1</v>
      </c>
      <c r="GO529">
        <v>0</v>
      </c>
      <c r="GP529">
        <v>1</v>
      </c>
      <c r="GQ529">
        <v>1</v>
      </c>
      <c r="GR529">
        <v>0</v>
      </c>
      <c r="GS529">
        <v>1</v>
      </c>
      <c r="GT529">
        <v>0</v>
      </c>
      <c r="GU529">
        <v>1</v>
      </c>
      <c r="GV529">
        <v>0</v>
      </c>
      <c r="GW529">
        <v>1</v>
      </c>
      <c r="GX529">
        <v>0</v>
      </c>
      <c r="GY529">
        <v>1</v>
      </c>
      <c r="GZ529">
        <v>0</v>
      </c>
      <c r="HA529" t="s">
        <v>265</v>
      </c>
      <c r="HB529" t="s">
        <v>894</v>
      </c>
      <c r="HC529" t="s">
        <v>935</v>
      </c>
      <c r="HD529" t="s">
        <v>845</v>
      </c>
      <c r="HE529" t="s">
        <v>900</v>
      </c>
      <c r="HF529" t="s">
        <v>923</v>
      </c>
      <c r="HG529" t="s">
        <v>894</v>
      </c>
      <c r="HH529" t="s">
        <v>935</v>
      </c>
      <c r="HI529" t="s">
        <v>845</v>
      </c>
      <c r="HJ529" t="s">
        <v>900</v>
      </c>
      <c r="HK529" t="s">
        <v>922</v>
      </c>
      <c r="HL529" t="s">
        <v>239</v>
      </c>
      <c r="HM529" t="s">
        <v>854</v>
      </c>
      <c r="HN529">
        <v>36805</v>
      </c>
      <c r="HP529" t="s">
        <v>226</v>
      </c>
      <c r="HQ529" t="s">
        <v>896</v>
      </c>
      <c r="HR529" t="s">
        <v>896</v>
      </c>
      <c r="HS529" t="s">
        <v>896</v>
      </c>
    </row>
    <row r="530" spans="1:227" x14ac:dyDescent="0.2">
      <c r="A530">
        <v>8702</v>
      </c>
      <c r="B530">
        <v>7536201717</v>
      </c>
      <c r="C530" t="s">
        <v>829</v>
      </c>
      <c r="D530" t="s">
        <v>830</v>
      </c>
      <c r="E530" t="s">
        <v>831</v>
      </c>
      <c r="F530">
        <v>1</v>
      </c>
      <c r="G530" t="s">
        <v>10719</v>
      </c>
      <c r="H530" t="s">
        <v>10719</v>
      </c>
      <c r="I530">
        <v>0</v>
      </c>
      <c r="J530" t="s">
        <v>833</v>
      </c>
      <c r="K530" t="s">
        <v>834</v>
      </c>
      <c r="L530">
        <v>152949084</v>
      </c>
      <c r="M530" t="s">
        <v>3422</v>
      </c>
      <c r="N530" t="s">
        <v>836</v>
      </c>
      <c r="O530" t="s">
        <v>837</v>
      </c>
      <c r="P530" t="s">
        <v>838</v>
      </c>
      <c r="Q530" t="s">
        <v>1279</v>
      </c>
      <c r="R530" t="s">
        <v>10720</v>
      </c>
      <c r="S530" t="s">
        <v>10721</v>
      </c>
      <c r="T530">
        <v>41477122213</v>
      </c>
      <c r="V530" t="s">
        <v>121</v>
      </c>
      <c r="W530" s="41">
        <v>46019</v>
      </c>
      <c r="X530" t="s">
        <v>10722</v>
      </c>
      <c r="Y530" t="s">
        <v>10723</v>
      </c>
      <c r="AA530">
        <v>0</v>
      </c>
      <c r="AB530" t="s">
        <v>845</v>
      </c>
      <c r="AC530" t="s">
        <v>846</v>
      </c>
      <c r="AD530" t="s">
        <v>847</v>
      </c>
      <c r="AE530" t="s">
        <v>848</v>
      </c>
      <c r="AF530">
        <v>1</v>
      </c>
      <c r="AG530">
        <v>452210</v>
      </c>
      <c r="AH530" t="s">
        <v>849</v>
      </c>
      <c r="AI530" t="s">
        <v>850</v>
      </c>
      <c r="AJ530" t="s">
        <v>851</v>
      </c>
      <c r="AK530" t="s">
        <v>441</v>
      </c>
      <c r="AL530" t="s">
        <v>3265</v>
      </c>
      <c r="AM530" t="s">
        <v>3266</v>
      </c>
      <c r="AN530" t="s">
        <v>854</v>
      </c>
      <c r="AO530">
        <v>36805</v>
      </c>
      <c r="AP530">
        <v>495</v>
      </c>
      <c r="AQ530" t="s">
        <v>855</v>
      </c>
      <c r="AR530">
        <v>66265471</v>
      </c>
      <c r="AS530" t="s">
        <v>856</v>
      </c>
      <c r="AU530" t="s">
        <v>10724</v>
      </c>
      <c r="AV530" t="s">
        <v>10725</v>
      </c>
      <c r="AX530" t="s">
        <v>913</v>
      </c>
      <c r="AY530" t="s">
        <v>861</v>
      </c>
      <c r="AZ530" t="s">
        <v>441</v>
      </c>
      <c r="BA530" t="s">
        <v>442</v>
      </c>
      <c r="BB530">
        <v>0</v>
      </c>
      <c r="BC530">
        <v>0</v>
      </c>
      <c r="BD530">
        <v>0</v>
      </c>
      <c r="BE530" t="s">
        <v>3422</v>
      </c>
      <c r="BF530">
        <v>0</v>
      </c>
      <c r="BG530">
        <v>0</v>
      </c>
      <c r="BH530" t="s">
        <v>862</v>
      </c>
      <c r="BI530">
        <v>0</v>
      </c>
      <c r="BJ530" t="s">
        <v>862</v>
      </c>
      <c r="BK530">
        <v>1</v>
      </c>
      <c r="BL530">
        <v>1</v>
      </c>
      <c r="BM530">
        <v>0</v>
      </c>
      <c r="BN530" t="s">
        <v>596</v>
      </c>
      <c r="BO530">
        <v>152949084</v>
      </c>
      <c r="BP530" t="s">
        <v>10719</v>
      </c>
      <c r="BR530">
        <v>42789062</v>
      </c>
      <c r="BT530">
        <v>0</v>
      </c>
      <c r="CM530">
        <v>4010</v>
      </c>
      <c r="CO530">
        <v>7360</v>
      </c>
      <c r="CP530">
        <v>1</v>
      </c>
      <c r="CQ530">
        <v>1</v>
      </c>
      <c r="CR530">
        <v>0.91669999999999996</v>
      </c>
      <c r="CS530">
        <v>10</v>
      </c>
      <c r="CT530" t="s">
        <v>10725</v>
      </c>
      <c r="CU530" t="s">
        <v>10724</v>
      </c>
      <c r="CV530" t="s">
        <v>833</v>
      </c>
      <c r="CW530" t="s">
        <v>834</v>
      </c>
      <c r="CX530" t="s">
        <v>3422</v>
      </c>
      <c r="CY530">
        <v>0</v>
      </c>
      <c r="CZ530">
        <v>0</v>
      </c>
      <c r="DA530" t="s">
        <v>833</v>
      </c>
      <c r="DB530" t="s">
        <v>865</v>
      </c>
      <c r="DC530">
        <v>63304</v>
      </c>
      <c r="DD530">
        <v>2.1166999999999998</v>
      </c>
      <c r="DE530" t="s">
        <v>866</v>
      </c>
      <c r="DG530" t="s">
        <v>867</v>
      </c>
      <c r="DH530" t="s">
        <v>851</v>
      </c>
      <c r="DI530" t="s">
        <v>2828</v>
      </c>
      <c r="DJ530" t="s">
        <v>3429</v>
      </c>
      <c r="DL530" t="s">
        <v>869</v>
      </c>
      <c r="DM530">
        <v>0</v>
      </c>
      <c r="DN530">
        <v>0</v>
      </c>
      <c r="DO530">
        <v>1</v>
      </c>
      <c r="DP530" t="s">
        <v>985</v>
      </c>
      <c r="DQ530">
        <v>16</v>
      </c>
      <c r="DR530">
        <v>127</v>
      </c>
      <c r="DS530">
        <v>127</v>
      </c>
      <c r="DT530">
        <v>1.1167</v>
      </c>
      <c r="DU530">
        <v>4</v>
      </c>
      <c r="DW530">
        <v>2</v>
      </c>
      <c r="DX530" t="s">
        <v>596</v>
      </c>
      <c r="DY530" t="s">
        <v>3422</v>
      </c>
      <c r="DZ530">
        <v>1</v>
      </c>
      <c r="EA530">
        <v>1</v>
      </c>
      <c r="EB530">
        <v>1</v>
      </c>
      <c r="EC530">
        <v>1</v>
      </c>
      <c r="ED530">
        <v>1</v>
      </c>
      <c r="EE530">
        <v>1</v>
      </c>
      <c r="EF530" t="s">
        <v>920</v>
      </c>
      <c r="EG530" t="s">
        <v>595</v>
      </c>
      <c r="EH530" t="s">
        <v>921</v>
      </c>
      <c r="EI530" t="s">
        <v>921</v>
      </c>
      <c r="EJ530" t="s">
        <v>111</v>
      </c>
      <c r="EK530">
        <v>9090</v>
      </c>
      <c r="EL530">
        <v>0</v>
      </c>
      <c r="EM530" t="s">
        <v>1037</v>
      </c>
      <c r="EN530">
        <v>0.91669999999999996</v>
      </c>
      <c r="EO530">
        <v>2.1166665999999998</v>
      </c>
      <c r="EP530">
        <v>99991120</v>
      </c>
      <c r="EQ530" t="s">
        <v>874</v>
      </c>
      <c r="ER530" t="s">
        <v>875</v>
      </c>
      <c r="ES530" t="s">
        <v>876</v>
      </c>
      <c r="ET530" t="s">
        <v>877</v>
      </c>
      <c r="EU530" t="s">
        <v>877</v>
      </c>
      <c r="EV530" t="s">
        <v>920</v>
      </c>
      <c r="EX530" t="s">
        <v>900</v>
      </c>
      <c r="EY530" t="s">
        <v>923</v>
      </c>
      <c r="EZ530" t="s">
        <v>1038</v>
      </c>
      <c r="FA530" t="s">
        <v>925</v>
      </c>
      <c r="FB530">
        <v>1</v>
      </c>
      <c r="FC530">
        <v>1</v>
      </c>
      <c r="FD530" s="41">
        <v>46025</v>
      </c>
      <c r="FE530" t="s">
        <v>957</v>
      </c>
      <c r="FF530">
        <v>4</v>
      </c>
      <c r="FI530">
        <v>0</v>
      </c>
      <c r="FL530">
        <v>0</v>
      </c>
      <c r="FM530" t="s">
        <v>3430</v>
      </c>
      <c r="FN530" t="s">
        <v>10726</v>
      </c>
      <c r="FO530">
        <v>1</v>
      </c>
      <c r="FP530" t="s">
        <v>10727</v>
      </c>
      <c r="FQ530" t="s">
        <v>10724</v>
      </c>
      <c r="FR530">
        <v>1</v>
      </c>
      <c r="FS530" t="s">
        <v>2397</v>
      </c>
      <c r="FT530" t="s">
        <v>10728</v>
      </c>
      <c r="FU530">
        <v>1</v>
      </c>
      <c r="FV530" t="s">
        <v>10729</v>
      </c>
      <c r="FW530" t="s">
        <v>10730</v>
      </c>
      <c r="FX530">
        <v>1</v>
      </c>
      <c r="FY530" t="s">
        <v>890</v>
      </c>
      <c r="FZ530" t="s">
        <v>10731</v>
      </c>
      <c r="GA530" t="s">
        <v>10729</v>
      </c>
      <c r="GB530">
        <v>1</v>
      </c>
      <c r="GD530">
        <v>0</v>
      </c>
      <c r="GF530">
        <v>0</v>
      </c>
      <c r="GG530">
        <v>1</v>
      </c>
      <c r="GH530" t="s">
        <v>892</v>
      </c>
      <c r="GI530" t="s">
        <v>893</v>
      </c>
      <c r="GJ530" t="s">
        <v>10730</v>
      </c>
      <c r="GM530">
        <v>1</v>
      </c>
      <c r="GN530">
        <v>1</v>
      </c>
      <c r="GO530">
        <v>0</v>
      </c>
      <c r="GP530">
        <v>1</v>
      </c>
      <c r="GQ530">
        <v>1</v>
      </c>
      <c r="GR530">
        <v>0</v>
      </c>
      <c r="GS530">
        <v>1</v>
      </c>
      <c r="GT530">
        <v>0</v>
      </c>
      <c r="GU530">
        <v>1</v>
      </c>
      <c r="GV530">
        <v>0</v>
      </c>
      <c r="GW530">
        <v>1</v>
      </c>
      <c r="GX530">
        <v>0</v>
      </c>
      <c r="GY530">
        <v>1</v>
      </c>
      <c r="GZ530">
        <v>0</v>
      </c>
      <c r="HA530" t="s">
        <v>441</v>
      </c>
      <c r="HB530" t="s">
        <v>894</v>
      </c>
      <c r="HC530" t="s">
        <v>895</v>
      </c>
      <c r="HD530" t="s">
        <v>845</v>
      </c>
      <c r="HE530" t="s">
        <v>836</v>
      </c>
      <c r="HF530" t="s">
        <v>1051</v>
      </c>
      <c r="HG530" t="s">
        <v>894</v>
      </c>
      <c r="HH530" t="s">
        <v>895</v>
      </c>
      <c r="HI530" t="s">
        <v>845</v>
      </c>
      <c r="HJ530" t="s">
        <v>836</v>
      </c>
      <c r="HK530" t="s">
        <v>1037</v>
      </c>
      <c r="HL530" t="s">
        <v>121</v>
      </c>
      <c r="HM530" t="s">
        <v>854</v>
      </c>
      <c r="HN530">
        <v>36805</v>
      </c>
      <c r="HP530" t="s">
        <v>111</v>
      </c>
      <c r="HQ530" t="s">
        <v>896</v>
      </c>
      <c r="HR530" t="s">
        <v>896</v>
      </c>
      <c r="HS530" t="s">
        <v>896</v>
      </c>
    </row>
    <row r="531" spans="1:227" x14ac:dyDescent="0.2">
      <c r="A531">
        <v>8702</v>
      </c>
      <c r="B531">
        <v>7620804965</v>
      </c>
      <c r="C531">
        <v>34</v>
      </c>
      <c r="D531" t="s">
        <v>996</v>
      </c>
      <c r="E531" t="s">
        <v>897</v>
      </c>
      <c r="F531">
        <v>0</v>
      </c>
      <c r="G531" t="s">
        <v>10732</v>
      </c>
      <c r="H531" t="s">
        <v>10732</v>
      </c>
      <c r="I531">
        <v>0</v>
      </c>
      <c r="J531" t="s">
        <v>833</v>
      </c>
      <c r="K531" t="s">
        <v>834</v>
      </c>
      <c r="L531">
        <v>156057615</v>
      </c>
      <c r="M531" t="s">
        <v>3104</v>
      </c>
      <c r="N531" t="s">
        <v>900</v>
      </c>
      <c r="O531" t="s">
        <v>837</v>
      </c>
      <c r="P531" t="s">
        <v>999</v>
      </c>
      <c r="Q531" t="s">
        <v>1027</v>
      </c>
      <c r="R531" t="s">
        <v>10733</v>
      </c>
      <c r="S531" t="s">
        <v>10734</v>
      </c>
      <c r="T531">
        <v>41477056615</v>
      </c>
      <c r="V531" t="s">
        <v>3107</v>
      </c>
      <c r="W531" s="41">
        <v>46230</v>
      </c>
      <c r="X531" t="s">
        <v>10735</v>
      </c>
      <c r="Y531" t="s">
        <v>10736</v>
      </c>
      <c r="AA531">
        <v>0</v>
      </c>
      <c r="AB531" t="s">
        <v>845</v>
      </c>
      <c r="AC531" t="s">
        <v>846</v>
      </c>
      <c r="AD531" t="s">
        <v>907</v>
      </c>
      <c r="AE531" t="s">
        <v>908</v>
      </c>
      <c r="AF531">
        <v>1</v>
      </c>
      <c r="AG531">
        <v>452210</v>
      </c>
      <c r="AH531" t="s">
        <v>849</v>
      </c>
      <c r="AI531" t="s">
        <v>850</v>
      </c>
      <c r="AJ531" t="s">
        <v>851</v>
      </c>
      <c r="AK531" t="s">
        <v>275</v>
      </c>
      <c r="AL531" t="s">
        <v>3110</v>
      </c>
      <c r="AM531" t="s">
        <v>3111</v>
      </c>
      <c r="AN531" t="s">
        <v>854</v>
      </c>
      <c r="AO531">
        <v>36805</v>
      </c>
      <c r="AP531">
        <v>921</v>
      </c>
      <c r="AQ531" t="s">
        <v>855</v>
      </c>
      <c r="AR531">
        <v>66569174</v>
      </c>
      <c r="AS531" t="s">
        <v>856</v>
      </c>
      <c r="AU531" t="s">
        <v>10737</v>
      </c>
      <c r="AV531" t="s">
        <v>10738</v>
      </c>
      <c r="AW531" t="s">
        <v>859</v>
      </c>
      <c r="AX531" t="s">
        <v>860</v>
      </c>
      <c r="AY531" t="s">
        <v>861</v>
      </c>
      <c r="AZ531" t="s">
        <v>275</v>
      </c>
      <c r="BA531" t="s">
        <v>276</v>
      </c>
      <c r="BB531">
        <v>0</v>
      </c>
      <c r="BC531">
        <v>0</v>
      </c>
      <c r="BD531">
        <v>1</v>
      </c>
      <c r="BE531" t="s">
        <v>3104</v>
      </c>
      <c r="BF531">
        <v>0</v>
      </c>
      <c r="BG531">
        <v>0</v>
      </c>
      <c r="BH531" t="s">
        <v>862</v>
      </c>
      <c r="BI531">
        <v>0</v>
      </c>
      <c r="BJ531" t="s">
        <v>862</v>
      </c>
      <c r="BK531">
        <v>1</v>
      </c>
      <c r="BL531">
        <v>0</v>
      </c>
      <c r="BM531">
        <v>0</v>
      </c>
      <c r="BN531" t="s">
        <v>596</v>
      </c>
      <c r="BO531">
        <v>156057615</v>
      </c>
      <c r="BP531" t="s">
        <v>10732</v>
      </c>
      <c r="BR531">
        <v>42793646</v>
      </c>
      <c r="BT531">
        <v>2</v>
      </c>
      <c r="BU531" t="s">
        <v>1062</v>
      </c>
      <c r="BY531">
        <v>12</v>
      </c>
      <c r="CA531">
        <v>4</v>
      </c>
      <c r="CE531">
        <v>1</v>
      </c>
      <c r="CI531">
        <v>11</v>
      </c>
      <c r="CJ531" t="s">
        <v>94</v>
      </c>
      <c r="CM531">
        <v>4010</v>
      </c>
      <c r="CO531">
        <v>7360</v>
      </c>
      <c r="CP531">
        <v>0.2</v>
      </c>
      <c r="CQ531">
        <v>0.2</v>
      </c>
      <c r="CR531">
        <v>0</v>
      </c>
      <c r="CS531">
        <v>0</v>
      </c>
      <c r="CT531" t="s">
        <v>10738</v>
      </c>
      <c r="CU531" t="s">
        <v>10737</v>
      </c>
      <c r="CV531" t="s">
        <v>833</v>
      </c>
      <c r="CW531" t="s">
        <v>834</v>
      </c>
      <c r="CX531" t="s">
        <v>3104</v>
      </c>
      <c r="CY531">
        <v>1</v>
      </c>
      <c r="CZ531">
        <v>1</v>
      </c>
      <c r="DA531" t="s">
        <v>833</v>
      </c>
      <c r="DB531" t="s">
        <v>865</v>
      </c>
      <c r="DC531">
        <v>45249</v>
      </c>
      <c r="DD531">
        <v>3.5167000000000002</v>
      </c>
      <c r="DE531" t="s">
        <v>866</v>
      </c>
      <c r="DG531" t="s">
        <v>867</v>
      </c>
      <c r="DH531" t="s">
        <v>851</v>
      </c>
      <c r="DJ531" t="s">
        <v>4987</v>
      </c>
      <c r="DK531" t="s">
        <v>918</v>
      </c>
      <c r="DL531" t="s">
        <v>869</v>
      </c>
      <c r="DM531">
        <v>0</v>
      </c>
      <c r="DN531">
        <v>0</v>
      </c>
      <c r="DO531">
        <v>11</v>
      </c>
      <c r="DP531" t="s">
        <v>1010</v>
      </c>
      <c r="DQ531">
        <v>12</v>
      </c>
      <c r="DR531">
        <v>211</v>
      </c>
      <c r="DS531">
        <v>211</v>
      </c>
      <c r="DT531">
        <v>3.3167</v>
      </c>
      <c r="DU531">
        <v>4</v>
      </c>
      <c r="DV531">
        <v>1</v>
      </c>
      <c r="DW531">
        <v>1</v>
      </c>
      <c r="DX531" t="s">
        <v>594</v>
      </c>
      <c r="DY531" t="s">
        <v>3104</v>
      </c>
      <c r="DZ531">
        <v>0</v>
      </c>
      <c r="EA531">
        <v>0</v>
      </c>
      <c r="EB531">
        <v>0</v>
      </c>
      <c r="EC531">
        <v>0</v>
      </c>
      <c r="ED531">
        <v>0</v>
      </c>
      <c r="EE531">
        <v>0</v>
      </c>
      <c r="EF531" t="s">
        <v>871</v>
      </c>
      <c r="EG531" t="s">
        <v>595</v>
      </c>
      <c r="EH531" t="s">
        <v>1695</v>
      </c>
      <c r="EI531" t="s">
        <v>1695</v>
      </c>
      <c r="EJ531" t="s">
        <v>226</v>
      </c>
      <c r="EK531">
        <v>9090</v>
      </c>
      <c r="EL531">
        <v>0</v>
      </c>
      <c r="EM531" t="s">
        <v>1157</v>
      </c>
      <c r="EN531">
        <v>0</v>
      </c>
      <c r="EO531">
        <v>3.5166667</v>
      </c>
      <c r="EP531">
        <v>99991120</v>
      </c>
      <c r="EQ531" t="s">
        <v>874</v>
      </c>
      <c r="ER531" t="s">
        <v>875</v>
      </c>
      <c r="ES531" t="s">
        <v>876</v>
      </c>
      <c r="ET531" t="s">
        <v>877</v>
      </c>
      <c r="EU531" t="s">
        <v>877</v>
      </c>
      <c r="EV531" t="s">
        <v>871</v>
      </c>
      <c r="EX531" t="s">
        <v>900</v>
      </c>
      <c r="EY531" t="s">
        <v>923</v>
      </c>
      <c r="EZ531" t="s">
        <v>3116</v>
      </c>
      <c r="FA531" t="s">
        <v>925</v>
      </c>
      <c r="FB531">
        <v>1</v>
      </c>
      <c r="FC531">
        <v>1</v>
      </c>
      <c r="FD531" s="41">
        <v>46235</v>
      </c>
      <c r="FE531" t="s">
        <v>1066</v>
      </c>
      <c r="FF531">
        <v>7</v>
      </c>
      <c r="FG531" t="s">
        <v>9133</v>
      </c>
      <c r="FH531" t="s">
        <v>10739</v>
      </c>
      <c r="FI531">
        <v>1</v>
      </c>
      <c r="FJ531" t="s">
        <v>9133</v>
      </c>
      <c r="FK531" t="s">
        <v>10739</v>
      </c>
      <c r="FL531">
        <v>1</v>
      </c>
      <c r="FM531" t="s">
        <v>3117</v>
      </c>
      <c r="FN531" t="s">
        <v>10740</v>
      </c>
      <c r="FO531">
        <v>1</v>
      </c>
      <c r="FP531" t="s">
        <v>10741</v>
      </c>
      <c r="FQ531" t="s">
        <v>10737</v>
      </c>
      <c r="FR531">
        <v>1</v>
      </c>
      <c r="FS531" t="s">
        <v>9138</v>
      </c>
      <c r="FT531" t="s">
        <v>10742</v>
      </c>
      <c r="FU531">
        <v>1</v>
      </c>
      <c r="FV531" t="s">
        <v>9140</v>
      </c>
      <c r="FW531" t="s">
        <v>10743</v>
      </c>
      <c r="FX531">
        <v>1</v>
      </c>
      <c r="FY531" t="s">
        <v>890</v>
      </c>
      <c r="FZ531" t="s">
        <v>10744</v>
      </c>
      <c r="GA531" t="s">
        <v>9133</v>
      </c>
      <c r="GB531">
        <v>1</v>
      </c>
      <c r="GD531">
        <v>0</v>
      </c>
      <c r="GF531">
        <v>0</v>
      </c>
      <c r="GG531">
        <v>1</v>
      </c>
      <c r="GH531" t="s">
        <v>892</v>
      </c>
      <c r="GI531" t="s">
        <v>893</v>
      </c>
      <c r="GJ531" t="s">
        <v>10739</v>
      </c>
      <c r="GM531">
        <v>1</v>
      </c>
      <c r="GN531">
        <v>1</v>
      </c>
      <c r="GO531">
        <v>0</v>
      </c>
      <c r="GP531">
        <v>1</v>
      </c>
      <c r="GQ531">
        <v>1</v>
      </c>
      <c r="GR531">
        <v>0</v>
      </c>
      <c r="GS531">
        <v>1</v>
      </c>
      <c r="GT531">
        <v>0</v>
      </c>
      <c r="GU531">
        <v>1</v>
      </c>
      <c r="GV531">
        <v>0</v>
      </c>
      <c r="GW531">
        <v>1</v>
      </c>
      <c r="GX531">
        <v>0</v>
      </c>
      <c r="GY531">
        <v>1</v>
      </c>
      <c r="GZ531">
        <v>0</v>
      </c>
      <c r="HA531" t="s">
        <v>275</v>
      </c>
      <c r="HB531" t="s">
        <v>894</v>
      </c>
      <c r="HC531" t="s">
        <v>935</v>
      </c>
      <c r="HD531" t="s">
        <v>845</v>
      </c>
      <c r="HE531" t="s">
        <v>900</v>
      </c>
      <c r="HF531" t="s">
        <v>923</v>
      </c>
      <c r="HG531" t="s">
        <v>894</v>
      </c>
      <c r="HH531" t="s">
        <v>935</v>
      </c>
      <c r="HI531" t="s">
        <v>845</v>
      </c>
      <c r="HJ531" t="s">
        <v>900</v>
      </c>
      <c r="HK531" t="s">
        <v>922</v>
      </c>
      <c r="HL531" t="s">
        <v>3107</v>
      </c>
      <c r="HM531" t="s">
        <v>854</v>
      </c>
      <c r="HN531">
        <v>36805</v>
      </c>
      <c r="HP531" t="s">
        <v>226</v>
      </c>
      <c r="HQ531" t="s">
        <v>896</v>
      </c>
      <c r="HR531" t="s">
        <v>896</v>
      </c>
      <c r="HS531" t="s">
        <v>896</v>
      </c>
    </row>
    <row r="532" spans="1:227" x14ac:dyDescent="0.2">
      <c r="A532">
        <v>8702</v>
      </c>
      <c r="B532">
        <v>7525600424</v>
      </c>
      <c r="C532" t="s">
        <v>936</v>
      </c>
      <c r="D532" t="s">
        <v>937</v>
      </c>
      <c r="E532" t="s">
        <v>897</v>
      </c>
      <c r="F532">
        <v>1</v>
      </c>
      <c r="G532" t="s">
        <v>10745</v>
      </c>
      <c r="H532" t="s">
        <v>10745</v>
      </c>
      <c r="I532">
        <v>0</v>
      </c>
      <c r="J532" t="s">
        <v>833</v>
      </c>
      <c r="K532" t="s">
        <v>834</v>
      </c>
      <c r="L532">
        <v>152858787</v>
      </c>
      <c r="M532" t="s">
        <v>1839</v>
      </c>
      <c r="N532" t="s">
        <v>900</v>
      </c>
      <c r="O532" t="s">
        <v>837</v>
      </c>
      <c r="P532" t="s">
        <v>940</v>
      </c>
      <c r="Q532" t="s">
        <v>1080</v>
      </c>
      <c r="R532" t="s">
        <v>10746</v>
      </c>
      <c r="S532" t="s">
        <v>10747</v>
      </c>
      <c r="T532">
        <v>41477085454</v>
      </c>
      <c r="V532" t="s">
        <v>210</v>
      </c>
      <c r="W532" s="41">
        <v>45914</v>
      </c>
      <c r="X532" t="s">
        <v>10748</v>
      </c>
      <c r="Y532" t="s">
        <v>10749</v>
      </c>
      <c r="AA532">
        <v>0</v>
      </c>
      <c r="AB532" t="s">
        <v>845</v>
      </c>
      <c r="AC532" t="s">
        <v>846</v>
      </c>
      <c r="AD532" t="s">
        <v>847</v>
      </c>
      <c r="AE532" t="s">
        <v>848</v>
      </c>
      <c r="AF532">
        <v>1</v>
      </c>
      <c r="AG532">
        <v>452210</v>
      </c>
      <c r="AH532" t="s">
        <v>849</v>
      </c>
      <c r="AI532" t="s">
        <v>850</v>
      </c>
      <c r="AJ532" t="s">
        <v>851</v>
      </c>
      <c r="AK532" t="s">
        <v>281</v>
      </c>
      <c r="AL532" t="s">
        <v>1407</v>
      </c>
      <c r="AM532" t="s">
        <v>1408</v>
      </c>
      <c r="AN532" t="s">
        <v>854</v>
      </c>
      <c r="AO532">
        <v>36805</v>
      </c>
      <c r="AP532">
        <v>648</v>
      </c>
      <c r="AQ532" t="s">
        <v>855</v>
      </c>
      <c r="AR532">
        <v>66113657</v>
      </c>
      <c r="AS532" t="s">
        <v>856</v>
      </c>
      <c r="AU532" t="s">
        <v>10750</v>
      </c>
      <c r="AV532" t="s">
        <v>10751</v>
      </c>
      <c r="AW532" t="s">
        <v>859</v>
      </c>
      <c r="AX532" t="s">
        <v>860</v>
      </c>
      <c r="AY532" t="s">
        <v>861</v>
      </c>
      <c r="AZ532" t="s">
        <v>281</v>
      </c>
      <c r="BA532" t="s">
        <v>282</v>
      </c>
      <c r="BB532">
        <v>0</v>
      </c>
      <c r="BC532">
        <v>0</v>
      </c>
      <c r="BD532">
        <v>0</v>
      </c>
      <c r="BE532" t="s">
        <v>1839</v>
      </c>
      <c r="BF532">
        <v>0</v>
      </c>
      <c r="BG532">
        <v>0</v>
      </c>
      <c r="BH532" t="s">
        <v>862</v>
      </c>
      <c r="BI532">
        <v>0</v>
      </c>
      <c r="BJ532" t="s">
        <v>862</v>
      </c>
      <c r="BK532">
        <v>1</v>
      </c>
      <c r="BL532">
        <v>0</v>
      </c>
      <c r="BM532">
        <v>0</v>
      </c>
      <c r="BN532" t="s">
        <v>596</v>
      </c>
      <c r="BO532">
        <v>152858787</v>
      </c>
      <c r="BP532" t="s">
        <v>10745</v>
      </c>
      <c r="BQ532">
        <v>42.249572200000003</v>
      </c>
      <c r="BR532">
        <v>42791781</v>
      </c>
      <c r="BS532">
        <v>-83.660074100000003</v>
      </c>
      <c r="BT532">
        <v>0</v>
      </c>
      <c r="CM532">
        <v>4010</v>
      </c>
      <c r="CO532">
        <v>7360</v>
      </c>
      <c r="CP532">
        <v>0.9667</v>
      </c>
      <c r="CQ532">
        <v>0.9667</v>
      </c>
      <c r="CR532">
        <v>0.8</v>
      </c>
      <c r="CS532">
        <v>38</v>
      </c>
      <c r="CT532" t="s">
        <v>10752</v>
      </c>
      <c r="CU532" t="s">
        <v>10753</v>
      </c>
      <c r="CV532" t="s">
        <v>833</v>
      </c>
      <c r="CW532" t="s">
        <v>834</v>
      </c>
      <c r="CX532" t="s">
        <v>1839</v>
      </c>
      <c r="CY532">
        <v>0</v>
      </c>
      <c r="CZ532">
        <v>0</v>
      </c>
      <c r="DA532" t="s">
        <v>833</v>
      </c>
      <c r="DB532" t="s">
        <v>865</v>
      </c>
      <c r="DC532">
        <v>48197</v>
      </c>
      <c r="DD532">
        <v>0.68330000000000002</v>
      </c>
      <c r="DE532" t="s">
        <v>866</v>
      </c>
      <c r="DG532" t="s">
        <v>867</v>
      </c>
      <c r="DH532" t="s">
        <v>851</v>
      </c>
      <c r="DI532" t="s">
        <v>1846</v>
      </c>
      <c r="DL532" t="s">
        <v>869</v>
      </c>
      <c r="DM532">
        <v>0</v>
      </c>
      <c r="DN532">
        <v>0</v>
      </c>
      <c r="DO532">
        <v>53</v>
      </c>
      <c r="DP532" t="s">
        <v>1156</v>
      </c>
      <c r="DQ532">
        <v>16</v>
      </c>
      <c r="DR532">
        <v>41</v>
      </c>
      <c r="DS532">
        <v>717</v>
      </c>
      <c r="DT532">
        <v>0.68330000000000002</v>
      </c>
      <c r="DU532">
        <v>4</v>
      </c>
      <c r="DW532">
        <v>2</v>
      </c>
      <c r="DX532" t="s">
        <v>594</v>
      </c>
      <c r="DY532" t="s">
        <v>1839</v>
      </c>
      <c r="DZ532">
        <v>0</v>
      </c>
      <c r="EA532">
        <v>0</v>
      </c>
      <c r="EB532">
        <v>0</v>
      </c>
      <c r="EC532">
        <v>0</v>
      </c>
      <c r="ED532">
        <v>0</v>
      </c>
      <c r="EE532">
        <v>0</v>
      </c>
      <c r="EF532" t="s">
        <v>920</v>
      </c>
      <c r="EG532" t="s">
        <v>595</v>
      </c>
      <c r="EH532" t="s">
        <v>872</v>
      </c>
      <c r="EI532" t="s">
        <v>872</v>
      </c>
      <c r="EJ532" t="s">
        <v>178</v>
      </c>
      <c r="EK532">
        <v>9090</v>
      </c>
      <c r="EL532">
        <v>0</v>
      </c>
      <c r="EM532" t="s">
        <v>952</v>
      </c>
      <c r="EN532">
        <v>0.8</v>
      </c>
      <c r="EO532">
        <v>11.95</v>
      </c>
      <c r="EP532">
        <v>99991120</v>
      </c>
      <c r="EQ532" t="s">
        <v>874</v>
      </c>
      <c r="ER532" t="s">
        <v>875</v>
      </c>
      <c r="ES532" t="s">
        <v>876</v>
      </c>
      <c r="ET532" t="s">
        <v>877</v>
      </c>
      <c r="EU532" t="s">
        <v>877</v>
      </c>
      <c r="EV532" t="s">
        <v>920</v>
      </c>
      <c r="EX532" t="s">
        <v>953</v>
      </c>
      <c r="EY532" t="s">
        <v>954</v>
      </c>
      <c r="EZ532" t="s">
        <v>955</v>
      </c>
      <c r="FA532" t="s">
        <v>956</v>
      </c>
      <c r="FB532">
        <v>1</v>
      </c>
      <c r="FC532">
        <v>1</v>
      </c>
      <c r="FD532" s="41">
        <v>45920</v>
      </c>
      <c r="FE532" t="s">
        <v>880</v>
      </c>
      <c r="FF532">
        <v>7</v>
      </c>
      <c r="FG532" t="s">
        <v>10754</v>
      </c>
      <c r="FH532" t="s">
        <v>10755</v>
      </c>
      <c r="FI532">
        <v>1</v>
      </c>
      <c r="FJ532" t="s">
        <v>10756</v>
      </c>
      <c r="FK532" t="s">
        <v>10755</v>
      </c>
      <c r="FL532">
        <v>1</v>
      </c>
      <c r="FM532" t="s">
        <v>1849</v>
      </c>
      <c r="FN532" t="s">
        <v>10757</v>
      </c>
      <c r="FO532">
        <v>1</v>
      </c>
      <c r="FP532" t="s">
        <v>10758</v>
      </c>
      <c r="FQ532" t="s">
        <v>10753</v>
      </c>
      <c r="FR532">
        <v>1</v>
      </c>
      <c r="FS532" t="s">
        <v>3316</v>
      </c>
      <c r="FT532" t="s">
        <v>10759</v>
      </c>
      <c r="FU532">
        <v>1</v>
      </c>
      <c r="FV532" t="s">
        <v>5869</v>
      </c>
      <c r="FW532" t="s">
        <v>10760</v>
      </c>
      <c r="FX532">
        <v>1</v>
      </c>
      <c r="FY532" t="s">
        <v>890</v>
      </c>
      <c r="FZ532" t="s">
        <v>10761</v>
      </c>
      <c r="GA532" t="s">
        <v>10756</v>
      </c>
      <c r="GB532">
        <v>1</v>
      </c>
      <c r="GD532">
        <v>0</v>
      </c>
      <c r="GF532">
        <v>0</v>
      </c>
      <c r="GG532">
        <v>1</v>
      </c>
      <c r="GH532" t="s">
        <v>892</v>
      </c>
      <c r="GI532" t="s">
        <v>893</v>
      </c>
      <c r="GJ532" t="s">
        <v>10755</v>
      </c>
      <c r="GM532">
        <v>1</v>
      </c>
      <c r="GN532">
        <v>1</v>
      </c>
      <c r="GO532">
        <v>0</v>
      </c>
      <c r="GP532">
        <v>1</v>
      </c>
      <c r="GQ532">
        <v>1</v>
      </c>
      <c r="GR532">
        <v>0</v>
      </c>
      <c r="GS532">
        <v>1</v>
      </c>
      <c r="GT532">
        <v>0</v>
      </c>
      <c r="GU532">
        <v>1</v>
      </c>
      <c r="GV532">
        <v>0</v>
      </c>
      <c r="GW532">
        <v>1</v>
      </c>
      <c r="GX532">
        <v>0</v>
      </c>
      <c r="GY532">
        <v>1</v>
      </c>
      <c r="GZ532">
        <v>0</v>
      </c>
      <c r="HA532" t="s">
        <v>281</v>
      </c>
      <c r="HB532" t="s">
        <v>894</v>
      </c>
      <c r="HC532" t="s">
        <v>935</v>
      </c>
      <c r="HD532" t="s">
        <v>845</v>
      </c>
      <c r="HE532" t="s">
        <v>900</v>
      </c>
      <c r="HF532" t="s">
        <v>923</v>
      </c>
      <c r="HG532" t="s">
        <v>894</v>
      </c>
      <c r="HH532" t="s">
        <v>935</v>
      </c>
      <c r="HI532" t="s">
        <v>845</v>
      </c>
      <c r="HJ532" t="s">
        <v>900</v>
      </c>
      <c r="HK532" t="s">
        <v>952</v>
      </c>
      <c r="HL532" t="s">
        <v>210</v>
      </c>
      <c r="HM532" t="s">
        <v>854</v>
      </c>
      <c r="HN532">
        <v>36805</v>
      </c>
      <c r="HP532" t="s">
        <v>178</v>
      </c>
      <c r="HQ532" t="s">
        <v>896</v>
      </c>
      <c r="HR532" t="s">
        <v>896</v>
      </c>
      <c r="HS532" t="s">
        <v>896</v>
      </c>
    </row>
    <row r="533" spans="1:227" x14ac:dyDescent="0.2">
      <c r="A533">
        <v>8702</v>
      </c>
      <c r="B533">
        <v>7533406192</v>
      </c>
      <c r="C533" t="s">
        <v>829</v>
      </c>
      <c r="D533" t="s">
        <v>830</v>
      </c>
      <c r="E533" t="s">
        <v>831</v>
      </c>
      <c r="F533">
        <v>1</v>
      </c>
      <c r="G533" t="s">
        <v>10762</v>
      </c>
      <c r="H533" t="s">
        <v>10762</v>
      </c>
      <c r="I533">
        <v>0</v>
      </c>
      <c r="J533" t="s">
        <v>833</v>
      </c>
      <c r="K533" t="s">
        <v>834</v>
      </c>
      <c r="L533">
        <v>153008251</v>
      </c>
      <c r="M533" t="s">
        <v>2076</v>
      </c>
      <c r="N533" t="s">
        <v>836</v>
      </c>
      <c r="O533" t="s">
        <v>837</v>
      </c>
      <c r="P533" t="s">
        <v>838</v>
      </c>
      <c r="Q533" t="s">
        <v>1593</v>
      </c>
      <c r="R533" t="s">
        <v>10763</v>
      </c>
      <c r="S533" t="s">
        <v>10764</v>
      </c>
      <c r="T533">
        <v>41477009259</v>
      </c>
      <c r="V533" t="s">
        <v>117</v>
      </c>
      <c r="W533" s="41">
        <v>45991</v>
      </c>
      <c r="X533" t="s">
        <v>10765</v>
      </c>
      <c r="Y533" t="s">
        <v>10766</v>
      </c>
      <c r="AA533">
        <v>0</v>
      </c>
      <c r="AB533" t="s">
        <v>845</v>
      </c>
      <c r="AC533" t="s">
        <v>846</v>
      </c>
      <c r="AD533" t="s">
        <v>847</v>
      </c>
      <c r="AE533" t="s">
        <v>848</v>
      </c>
      <c r="AF533">
        <v>1</v>
      </c>
      <c r="AG533">
        <v>452210</v>
      </c>
      <c r="AH533" t="s">
        <v>849</v>
      </c>
      <c r="AI533" t="s">
        <v>850</v>
      </c>
      <c r="AJ533" t="s">
        <v>851</v>
      </c>
      <c r="AK533" t="s">
        <v>257</v>
      </c>
      <c r="AL533" t="s">
        <v>2012</v>
      </c>
      <c r="AM533" t="s">
        <v>1364</v>
      </c>
      <c r="AN533" t="s">
        <v>854</v>
      </c>
      <c r="AO533">
        <v>36805</v>
      </c>
      <c r="AP533">
        <v>493</v>
      </c>
      <c r="AQ533" t="s">
        <v>855</v>
      </c>
      <c r="AR533">
        <v>66224951</v>
      </c>
      <c r="AS533" t="s">
        <v>856</v>
      </c>
      <c r="AU533" t="s">
        <v>10767</v>
      </c>
      <c r="AV533" t="s">
        <v>10768</v>
      </c>
      <c r="AW533" t="s">
        <v>2669</v>
      </c>
      <c r="AX533" t="s">
        <v>2670</v>
      </c>
      <c r="AY533" t="s">
        <v>861</v>
      </c>
      <c r="AZ533" t="s">
        <v>257</v>
      </c>
      <c r="BA533" t="s">
        <v>258</v>
      </c>
      <c r="BB533">
        <v>0</v>
      </c>
      <c r="BC533">
        <v>0</v>
      </c>
      <c r="BD533">
        <v>0</v>
      </c>
      <c r="BE533" t="s">
        <v>2076</v>
      </c>
      <c r="BF533">
        <v>0</v>
      </c>
      <c r="BG533">
        <v>0</v>
      </c>
      <c r="BH533" t="s">
        <v>862</v>
      </c>
      <c r="BI533">
        <v>0</v>
      </c>
      <c r="BJ533" t="s">
        <v>862</v>
      </c>
      <c r="BK533">
        <v>1</v>
      </c>
      <c r="BL533">
        <v>0</v>
      </c>
      <c r="BM533">
        <v>0</v>
      </c>
      <c r="BN533" t="s">
        <v>596</v>
      </c>
      <c r="BO533">
        <v>153008251</v>
      </c>
      <c r="BP533" t="s">
        <v>10762</v>
      </c>
      <c r="BQ533">
        <v>38.779359100000001</v>
      </c>
      <c r="BR533">
        <v>42789054</v>
      </c>
      <c r="BS533">
        <v>-90.702775299999999</v>
      </c>
      <c r="BT533">
        <v>0</v>
      </c>
      <c r="CM533">
        <v>4010</v>
      </c>
      <c r="CO533">
        <v>7360</v>
      </c>
      <c r="CP533">
        <v>0.9</v>
      </c>
      <c r="CQ533">
        <v>0.9</v>
      </c>
      <c r="CR533">
        <v>0.36670000000000003</v>
      </c>
      <c r="CS533">
        <v>1</v>
      </c>
      <c r="CT533" t="s">
        <v>10769</v>
      </c>
      <c r="CU533" t="s">
        <v>10770</v>
      </c>
      <c r="CV533" t="s">
        <v>833</v>
      </c>
      <c r="CW533" t="s">
        <v>834</v>
      </c>
      <c r="CX533" t="s">
        <v>2076</v>
      </c>
      <c r="CY533">
        <v>0</v>
      </c>
      <c r="CZ533">
        <v>0</v>
      </c>
      <c r="DA533" t="s">
        <v>833</v>
      </c>
      <c r="DB533" t="s">
        <v>865</v>
      </c>
      <c r="DC533">
        <v>63368</v>
      </c>
      <c r="DD533">
        <v>1.6</v>
      </c>
      <c r="DE533" t="s">
        <v>866</v>
      </c>
      <c r="DG533" t="s">
        <v>867</v>
      </c>
      <c r="DH533" t="s">
        <v>851</v>
      </c>
      <c r="DI533" t="s">
        <v>2085</v>
      </c>
      <c r="DL533" t="s">
        <v>869</v>
      </c>
      <c r="DM533">
        <v>0</v>
      </c>
      <c r="DN533">
        <v>0</v>
      </c>
      <c r="DO533">
        <v>59</v>
      </c>
      <c r="DP533" t="s">
        <v>2770</v>
      </c>
      <c r="DQ533">
        <v>12</v>
      </c>
      <c r="DR533">
        <v>96</v>
      </c>
      <c r="DS533">
        <v>96</v>
      </c>
      <c r="DT533">
        <v>0.7</v>
      </c>
      <c r="DU533">
        <v>4</v>
      </c>
      <c r="DW533">
        <v>1</v>
      </c>
      <c r="DX533" t="s">
        <v>594</v>
      </c>
      <c r="DY533" t="s">
        <v>2076</v>
      </c>
      <c r="DZ533">
        <v>0</v>
      </c>
      <c r="EA533">
        <v>0</v>
      </c>
      <c r="EB533">
        <v>0</v>
      </c>
      <c r="EC533">
        <v>0</v>
      </c>
      <c r="ED533">
        <v>0</v>
      </c>
      <c r="EE533">
        <v>0</v>
      </c>
      <c r="EF533" t="s">
        <v>920</v>
      </c>
      <c r="EG533" t="s">
        <v>595</v>
      </c>
      <c r="EH533" t="s">
        <v>1695</v>
      </c>
      <c r="EI533" t="s">
        <v>1695</v>
      </c>
      <c r="EJ533" t="s">
        <v>111</v>
      </c>
      <c r="EK533">
        <v>9090</v>
      </c>
      <c r="EL533">
        <v>0</v>
      </c>
      <c r="EM533" t="s">
        <v>1037</v>
      </c>
      <c r="EN533">
        <v>0.36670000000000003</v>
      </c>
      <c r="EO533">
        <v>1.6</v>
      </c>
      <c r="EP533">
        <v>99991120</v>
      </c>
      <c r="EQ533" t="s">
        <v>874</v>
      </c>
      <c r="ER533" t="s">
        <v>875</v>
      </c>
      <c r="ES533" t="s">
        <v>876</v>
      </c>
      <c r="ET533" t="s">
        <v>877</v>
      </c>
      <c r="EU533" t="s">
        <v>877</v>
      </c>
      <c r="EV533" t="s">
        <v>920</v>
      </c>
      <c r="EX533" t="s">
        <v>900</v>
      </c>
      <c r="EY533" t="s">
        <v>923</v>
      </c>
      <c r="EZ533" t="s">
        <v>1038</v>
      </c>
      <c r="FA533" t="s">
        <v>925</v>
      </c>
      <c r="FB533">
        <v>1</v>
      </c>
      <c r="FC533">
        <v>1</v>
      </c>
      <c r="FD533" s="41">
        <v>45997</v>
      </c>
      <c r="FE533" t="s">
        <v>1438</v>
      </c>
      <c r="FF533">
        <v>5</v>
      </c>
      <c r="FI533">
        <v>0</v>
      </c>
      <c r="FJ533" t="s">
        <v>10771</v>
      </c>
      <c r="FK533" t="s">
        <v>10772</v>
      </c>
      <c r="FL533">
        <v>1</v>
      </c>
      <c r="FM533" t="s">
        <v>7660</v>
      </c>
      <c r="FN533" t="s">
        <v>10773</v>
      </c>
      <c r="FO533">
        <v>1</v>
      </c>
      <c r="FP533" t="s">
        <v>10774</v>
      </c>
      <c r="FQ533" t="s">
        <v>10770</v>
      </c>
      <c r="FR533">
        <v>1</v>
      </c>
      <c r="FS533" t="s">
        <v>1100</v>
      </c>
      <c r="FT533" t="s">
        <v>10775</v>
      </c>
      <c r="FU533">
        <v>1</v>
      </c>
      <c r="FV533" t="s">
        <v>10776</v>
      </c>
      <c r="FW533" t="s">
        <v>10772</v>
      </c>
      <c r="FX533">
        <v>1</v>
      </c>
      <c r="FY533" t="s">
        <v>890</v>
      </c>
      <c r="FZ533" t="s">
        <v>10777</v>
      </c>
      <c r="GA533" t="s">
        <v>10771</v>
      </c>
      <c r="GB533">
        <v>1</v>
      </c>
      <c r="GD533">
        <v>0</v>
      </c>
      <c r="GF533">
        <v>0</v>
      </c>
      <c r="GG533">
        <v>1</v>
      </c>
      <c r="GH533" t="s">
        <v>892</v>
      </c>
      <c r="GI533" t="s">
        <v>893</v>
      </c>
      <c r="GJ533" t="s">
        <v>10772</v>
      </c>
      <c r="GM533">
        <v>1</v>
      </c>
      <c r="GN533">
        <v>1</v>
      </c>
      <c r="GO533">
        <v>0</v>
      </c>
      <c r="GP533">
        <v>1</v>
      </c>
      <c r="GQ533">
        <v>1</v>
      </c>
      <c r="GR533">
        <v>0</v>
      </c>
      <c r="GS533">
        <v>1</v>
      </c>
      <c r="GT533">
        <v>0</v>
      </c>
      <c r="GU533">
        <v>1</v>
      </c>
      <c r="GV533">
        <v>0</v>
      </c>
      <c r="GW533">
        <v>1</v>
      </c>
      <c r="GX533">
        <v>0</v>
      </c>
      <c r="GY533">
        <v>1</v>
      </c>
      <c r="GZ533">
        <v>0</v>
      </c>
      <c r="HA533" t="s">
        <v>257</v>
      </c>
      <c r="HB533" t="s">
        <v>894</v>
      </c>
      <c r="HC533" t="s">
        <v>895</v>
      </c>
      <c r="HD533" t="s">
        <v>845</v>
      </c>
      <c r="HE533" t="s">
        <v>836</v>
      </c>
      <c r="HF533" t="s">
        <v>1051</v>
      </c>
      <c r="HG533" t="s">
        <v>894</v>
      </c>
      <c r="HH533" t="s">
        <v>895</v>
      </c>
      <c r="HI533" t="s">
        <v>845</v>
      </c>
      <c r="HJ533" t="s">
        <v>836</v>
      </c>
      <c r="HK533" t="s">
        <v>1037</v>
      </c>
      <c r="HL533" t="s">
        <v>117</v>
      </c>
      <c r="HM533" t="s">
        <v>854</v>
      </c>
      <c r="HN533">
        <v>36805</v>
      </c>
      <c r="HP533" t="s">
        <v>111</v>
      </c>
      <c r="HQ533" t="s">
        <v>896</v>
      </c>
      <c r="HR533" t="s">
        <v>896</v>
      </c>
      <c r="HS533" t="s">
        <v>896</v>
      </c>
    </row>
    <row r="534" spans="1:227" x14ac:dyDescent="0.2">
      <c r="A534">
        <v>8702</v>
      </c>
      <c r="B534">
        <v>7620312132</v>
      </c>
      <c r="C534">
        <v>34</v>
      </c>
      <c r="D534" t="s">
        <v>996</v>
      </c>
      <c r="E534" t="s">
        <v>831</v>
      </c>
      <c r="F534">
        <v>0</v>
      </c>
      <c r="G534" t="s">
        <v>10778</v>
      </c>
      <c r="H534" t="s">
        <v>10778</v>
      </c>
      <c r="I534">
        <v>0</v>
      </c>
      <c r="J534" t="s">
        <v>833</v>
      </c>
      <c r="K534" t="s">
        <v>834</v>
      </c>
      <c r="L534">
        <v>152946719</v>
      </c>
      <c r="M534" t="s">
        <v>10779</v>
      </c>
      <c r="N534" t="s">
        <v>836</v>
      </c>
      <c r="O534" t="s">
        <v>837</v>
      </c>
      <c r="P534" t="s">
        <v>999</v>
      </c>
      <c r="Q534" t="s">
        <v>1027</v>
      </c>
      <c r="R534" t="s">
        <v>10780</v>
      </c>
      <c r="S534" t="s">
        <v>10781</v>
      </c>
      <c r="T534">
        <v>30300105423</v>
      </c>
      <c r="V534" t="s">
        <v>1796</v>
      </c>
      <c r="W534" s="41">
        <v>46225</v>
      </c>
      <c r="X534" t="s">
        <v>10782</v>
      </c>
      <c r="Y534" t="s">
        <v>10783</v>
      </c>
      <c r="AA534">
        <v>0</v>
      </c>
      <c r="AB534" t="s">
        <v>845</v>
      </c>
      <c r="AC534" t="s">
        <v>846</v>
      </c>
      <c r="AD534" t="s">
        <v>907</v>
      </c>
      <c r="AE534" t="s">
        <v>908</v>
      </c>
      <c r="AF534">
        <v>1</v>
      </c>
      <c r="AG534">
        <v>452210</v>
      </c>
      <c r="AH534" t="s">
        <v>849</v>
      </c>
      <c r="AI534" t="s">
        <v>850</v>
      </c>
      <c r="AJ534" t="s">
        <v>851</v>
      </c>
      <c r="AK534" t="s">
        <v>356</v>
      </c>
      <c r="AL534" t="s">
        <v>1799</v>
      </c>
      <c r="AM534" t="s">
        <v>1800</v>
      </c>
      <c r="AN534" t="s">
        <v>854</v>
      </c>
      <c r="AO534">
        <v>36805</v>
      </c>
      <c r="AP534">
        <v>710</v>
      </c>
      <c r="AQ534" t="s">
        <v>855</v>
      </c>
      <c r="AR534">
        <v>66562194</v>
      </c>
      <c r="AS534" t="s">
        <v>856</v>
      </c>
      <c r="AU534" t="s">
        <v>10784</v>
      </c>
      <c r="AV534" t="s">
        <v>10785</v>
      </c>
      <c r="AX534" t="s">
        <v>913</v>
      </c>
      <c r="AY534" t="s">
        <v>861</v>
      </c>
      <c r="AZ534" t="s">
        <v>356</v>
      </c>
      <c r="BA534" t="s">
        <v>324</v>
      </c>
      <c r="BB534">
        <v>0</v>
      </c>
      <c r="BC534">
        <v>0</v>
      </c>
      <c r="BD534">
        <v>1</v>
      </c>
      <c r="BE534" t="s">
        <v>10779</v>
      </c>
      <c r="BF534">
        <v>0</v>
      </c>
      <c r="BG534">
        <v>0</v>
      </c>
      <c r="BH534" t="s">
        <v>862</v>
      </c>
      <c r="BI534">
        <v>0</v>
      </c>
      <c r="BJ534" t="s">
        <v>862</v>
      </c>
      <c r="BK534">
        <v>1</v>
      </c>
      <c r="BL534">
        <v>1</v>
      </c>
      <c r="BM534">
        <v>0</v>
      </c>
      <c r="BN534" t="s">
        <v>596</v>
      </c>
      <c r="BO534">
        <v>152946719</v>
      </c>
      <c r="BP534" t="s">
        <v>10778</v>
      </c>
      <c r="BQ534">
        <v>42.961100199999997</v>
      </c>
      <c r="BR534">
        <v>42791788</v>
      </c>
      <c r="BS534">
        <v>-88.021054000000007</v>
      </c>
      <c r="BT534">
        <v>2</v>
      </c>
      <c r="BU534" t="s">
        <v>1062</v>
      </c>
      <c r="BY534">
        <v>16</v>
      </c>
      <c r="CA534">
        <v>3</v>
      </c>
      <c r="CE534">
        <v>1</v>
      </c>
      <c r="CI534">
        <v>11</v>
      </c>
      <c r="CJ534" t="s">
        <v>94</v>
      </c>
      <c r="CM534">
        <v>4010</v>
      </c>
      <c r="CO534">
        <v>7360</v>
      </c>
      <c r="CP534">
        <v>0.31669999999999998</v>
      </c>
      <c r="CQ534">
        <v>0.31669999999999998</v>
      </c>
      <c r="CR534">
        <v>1.6167</v>
      </c>
      <c r="CS534">
        <v>1</v>
      </c>
      <c r="CT534" t="s">
        <v>10785</v>
      </c>
      <c r="CU534" t="s">
        <v>10784</v>
      </c>
      <c r="CV534" t="s">
        <v>833</v>
      </c>
      <c r="CW534" t="s">
        <v>834</v>
      </c>
      <c r="CX534" t="s">
        <v>10779</v>
      </c>
      <c r="CY534">
        <v>1</v>
      </c>
      <c r="CZ534">
        <v>1</v>
      </c>
      <c r="DA534" t="s">
        <v>833</v>
      </c>
      <c r="DB534" t="s">
        <v>865</v>
      </c>
      <c r="DC534">
        <v>53228</v>
      </c>
      <c r="DD534">
        <v>2.7</v>
      </c>
      <c r="DE534" t="s">
        <v>866</v>
      </c>
      <c r="DG534" t="s">
        <v>867</v>
      </c>
      <c r="DH534" t="s">
        <v>851</v>
      </c>
      <c r="DI534" t="s">
        <v>3384</v>
      </c>
      <c r="DK534" t="s">
        <v>918</v>
      </c>
      <c r="DL534" t="s">
        <v>869</v>
      </c>
      <c r="DM534">
        <v>0</v>
      </c>
      <c r="DN534">
        <v>0</v>
      </c>
      <c r="DO534">
        <v>11</v>
      </c>
      <c r="DP534" t="s">
        <v>1010</v>
      </c>
      <c r="DQ534">
        <v>16</v>
      </c>
      <c r="DR534">
        <v>162</v>
      </c>
      <c r="DS534">
        <v>162</v>
      </c>
      <c r="DT534">
        <v>2.3833000000000002</v>
      </c>
      <c r="DU534">
        <v>4</v>
      </c>
      <c r="DV534">
        <v>1</v>
      </c>
      <c r="DW534">
        <v>2</v>
      </c>
      <c r="DX534" t="s">
        <v>596</v>
      </c>
      <c r="DY534" t="s">
        <v>10779</v>
      </c>
      <c r="DZ534">
        <v>1</v>
      </c>
      <c r="EA534">
        <v>1</v>
      </c>
      <c r="EB534">
        <v>1</v>
      </c>
      <c r="EC534">
        <v>1</v>
      </c>
      <c r="ED534">
        <v>1</v>
      </c>
      <c r="EE534">
        <v>1</v>
      </c>
      <c r="EF534" t="s">
        <v>920</v>
      </c>
      <c r="EG534" t="s">
        <v>595</v>
      </c>
      <c r="EH534" t="s">
        <v>921</v>
      </c>
      <c r="EI534" t="s">
        <v>921</v>
      </c>
      <c r="EJ534" t="s">
        <v>215</v>
      </c>
      <c r="EK534">
        <v>9090</v>
      </c>
      <c r="EL534">
        <v>0</v>
      </c>
      <c r="EM534" t="s">
        <v>1436</v>
      </c>
      <c r="EN534">
        <v>1.6167</v>
      </c>
      <c r="EO534">
        <v>2.7</v>
      </c>
      <c r="EP534">
        <v>99991120</v>
      </c>
      <c r="EQ534" t="s">
        <v>874</v>
      </c>
      <c r="ER534" t="s">
        <v>875</v>
      </c>
      <c r="ES534" t="s">
        <v>876</v>
      </c>
      <c r="ET534" t="s">
        <v>877</v>
      </c>
      <c r="EU534" t="s">
        <v>877</v>
      </c>
      <c r="EV534" t="s">
        <v>920</v>
      </c>
      <c r="EX534" t="s">
        <v>836</v>
      </c>
      <c r="EY534" t="s">
        <v>873</v>
      </c>
      <c r="EZ534" t="s">
        <v>1807</v>
      </c>
      <c r="FA534" t="s">
        <v>925</v>
      </c>
      <c r="FB534">
        <v>1</v>
      </c>
      <c r="FC534">
        <v>1</v>
      </c>
      <c r="FD534" s="41">
        <v>46228</v>
      </c>
      <c r="FE534" t="s">
        <v>1066</v>
      </c>
      <c r="FF534">
        <v>4</v>
      </c>
      <c r="FI534">
        <v>0</v>
      </c>
      <c r="FL534">
        <v>0</v>
      </c>
      <c r="FM534" t="s">
        <v>10786</v>
      </c>
      <c r="FN534" t="s">
        <v>10787</v>
      </c>
      <c r="FO534">
        <v>1</v>
      </c>
      <c r="FP534" t="s">
        <v>10788</v>
      </c>
      <c r="FQ534" t="s">
        <v>10784</v>
      </c>
      <c r="FR534">
        <v>1</v>
      </c>
      <c r="FS534" t="s">
        <v>1812</v>
      </c>
      <c r="FT534" t="s">
        <v>10789</v>
      </c>
      <c r="FU534">
        <v>1</v>
      </c>
      <c r="FV534" t="s">
        <v>10790</v>
      </c>
      <c r="FW534" t="s">
        <v>10791</v>
      </c>
      <c r="FX534">
        <v>1</v>
      </c>
      <c r="FY534" t="s">
        <v>890</v>
      </c>
      <c r="FZ534" t="s">
        <v>10792</v>
      </c>
      <c r="GA534" t="s">
        <v>10790</v>
      </c>
      <c r="GB534">
        <v>1</v>
      </c>
      <c r="GD534">
        <v>0</v>
      </c>
      <c r="GF534">
        <v>0</v>
      </c>
      <c r="GG534">
        <v>1</v>
      </c>
      <c r="GH534" t="s">
        <v>892</v>
      </c>
      <c r="GI534" t="s">
        <v>893</v>
      </c>
      <c r="GJ534" t="s">
        <v>10791</v>
      </c>
      <c r="GM534">
        <v>1</v>
      </c>
      <c r="GN534">
        <v>1</v>
      </c>
      <c r="GO534">
        <v>0</v>
      </c>
      <c r="GP534">
        <v>1</v>
      </c>
      <c r="GQ534">
        <v>1</v>
      </c>
      <c r="GR534">
        <v>0</v>
      </c>
      <c r="GS534">
        <v>1</v>
      </c>
      <c r="GT534">
        <v>0</v>
      </c>
      <c r="GU534">
        <v>1</v>
      </c>
      <c r="GV534">
        <v>0</v>
      </c>
      <c r="GW534">
        <v>1</v>
      </c>
      <c r="GX534">
        <v>0</v>
      </c>
      <c r="GY534">
        <v>1</v>
      </c>
      <c r="GZ534">
        <v>0</v>
      </c>
      <c r="HA534" t="s">
        <v>356</v>
      </c>
      <c r="HB534" t="s">
        <v>894</v>
      </c>
      <c r="HC534" t="s">
        <v>895</v>
      </c>
      <c r="HD534" t="s">
        <v>845</v>
      </c>
      <c r="HE534" t="s">
        <v>836</v>
      </c>
      <c r="HF534" t="s">
        <v>873</v>
      </c>
      <c r="HG534" t="s">
        <v>894</v>
      </c>
      <c r="HH534" t="s">
        <v>895</v>
      </c>
      <c r="HI534" t="s">
        <v>845</v>
      </c>
      <c r="HJ534" t="s">
        <v>836</v>
      </c>
      <c r="HK534" t="s">
        <v>1436</v>
      </c>
      <c r="HL534" t="s">
        <v>1796</v>
      </c>
      <c r="HM534" t="s">
        <v>854</v>
      </c>
      <c r="HN534">
        <v>36805</v>
      </c>
      <c r="HP534" t="s">
        <v>215</v>
      </c>
      <c r="HQ534" t="s">
        <v>896</v>
      </c>
      <c r="HR534" t="s">
        <v>896</v>
      </c>
      <c r="HS534" t="s">
        <v>896</v>
      </c>
    </row>
    <row r="535" spans="1:227" x14ac:dyDescent="0.2">
      <c r="A535">
        <v>8702</v>
      </c>
      <c r="B535">
        <v>7531703306</v>
      </c>
      <c r="C535">
        <v>36</v>
      </c>
      <c r="D535" t="s">
        <v>1302</v>
      </c>
      <c r="E535" t="s">
        <v>897</v>
      </c>
      <c r="F535">
        <v>3</v>
      </c>
      <c r="G535" t="s">
        <v>10793</v>
      </c>
      <c r="H535" t="s">
        <v>10793</v>
      </c>
      <c r="I535">
        <v>0</v>
      </c>
      <c r="J535" t="s">
        <v>833</v>
      </c>
      <c r="K535" t="s">
        <v>834</v>
      </c>
      <c r="L535">
        <v>156057615</v>
      </c>
      <c r="M535" t="s">
        <v>3104</v>
      </c>
      <c r="N535" t="s">
        <v>900</v>
      </c>
      <c r="O535" t="s">
        <v>837</v>
      </c>
      <c r="P535" t="s">
        <v>1302</v>
      </c>
      <c r="Q535" t="s">
        <v>1305</v>
      </c>
      <c r="R535" t="s">
        <v>10794</v>
      </c>
      <c r="S535" t="s">
        <v>10795</v>
      </c>
      <c r="T535">
        <v>30300092831</v>
      </c>
      <c r="V535" t="s">
        <v>3107</v>
      </c>
      <c r="W535" s="41">
        <v>45974</v>
      </c>
      <c r="X535" t="s">
        <v>10796</v>
      </c>
      <c r="Y535" t="s">
        <v>10797</v>
      </c>
      <c r="AA535">
        <v>0</v>
      </c>
      <c r="AB535" t="s">
        <v>845</v>
      </c>
      <c r="AC535" t="s">
        <v>846</v>
      </c>
      <c r="AD535" t="s">
        <v>847</v>
      </c>
      <c r="AE535" t="s">
        <v>848</v>
      </c>
      <c r="AF535">
        <v>1</v>
      </c>
      <c r="AG535">
        <v>452210</v>
      </c>
      <c r="AH535" t="s">
        <v>849</v>
      </c>
      <c r="AI535" t="s">
        <v>850</v>
      </c>
      <c r="AJ535" t="s">
        <v>851</v>
      </c>
      <c r="AK535" t="s">
        <v>482</v>
      </c>
      <c r="AL535" t="s">
        <v>10798</v>
      </c>
      <c r="AM535" t="s">
        <v>3111</v>
      </c>
      <c r="AN535" t="s">
        <v>854</v>
      </c>
      <c r="AO535">
        <v>36805</v>
      </c>
      <c r="AP535">
        <v>921</v>
      </c>
      <c r="AQ535" t="s">
        <v>855</v>
      </c>
      <c r="AR535">
        <v>66200519</v>
      </c>
      <c r="AS535" t="s">
        <v>856</v>
      </c>
      <c r="AU535" t="s">
        <v>10799</v>
      </c>
      <c r="AV535" t="s">
        <v>10800</v>
      </c>
      <c r="AW535" t="s">
        <v>1185</v>
      </c>
      <c r="AX535" t="s">
        <v>1186</v>
      </c>
      <c r="AY535" t="s">
        <v>861</v>
      </c>
      <c r="AZ535" t="s">
        <v>482</v>
      </c>
      <c r="BA535" t="s">
        <v>483</v>
      </c>
      <c r="BB535">
        <v>1</v>
      </c>
      <c r="BC535">
        <v>0</v>
      </c>
      <c r="BD535">
        <v>0</v>
      </c>
      <c r="BE535" t="s">
        <v>3104</v>
      </c>
      <c r="BF535">
        <v>0</v>
      </c>
      <c r="BG535">
        <v>0</v>
      </c>
      <c r="BH535" t="s">
        <v>862</v>
      </c>
      <c r="BI535">
        <v>0</v>
      </c>
      <c r="BJ535" t="s">
        <v>862</v>
      </c>
      <c r="BK535">
        <v>1</v>
      </c>
      <c r="BL535">
        <v>0</v>
      </c>
      <c r="BM535">
        <v>0</v>
      </c>
      <c r="BN535" t="s">
        <v>596</v>
      </c>
      <c r="BO535">
        <v>156057615</v>
      </c>
      <c r="BP535" t="s">
        <v>10793</v>
      </c>
      <c r="BQ535">
        <v>39.272150400000001</v>
      </c>
      <c r="BR535">
        <v>42793646</v>
      </c>
      <c r="BS535">
        <v>-84.330708999999999</v>
      </c>
      <c r="BT535">
        <v>0</v>
      </c>
      <c r="CM535">
        <v>4010</v>
      </c>
      <c r="CO535">
        <v>7360</v>
      </c>
      <c r="CP535">
        <v>3.8666999999999998</v>
      </c>
      <c r="CQ535">
        <v>3.8666999999999998</v>
      </c>
      <c r="CR535">
        <v>1.3833</v>
      </c>
      <c r="CS535">
        <v>0</v>
      </c>
      <c r="CT535" t="s">
        <v>10801</v>
      </c>
      <c r="CU535" t="s">
        <v>10802</v>
      </c>
      <c r="CV535" t="s">
        <v>833</v>
      </c>
      <c r="CW535" t="s">
        <v>834</v>
      </c>
      <c r="CX535" t="s">
        <v>3104</v>
      </c>
      <c r="CY535">
        <v>1</v>
      </c>
      <c r="CZ535">
        <v>1</v>
      </c>
      <c r="DA535" t="s">
        <v>833</v>
      </c>
      <c r="DB535" t="s">
        <v>865</v>
      </c>
      <c r="DC535">
        <v>45249</v>
      </c>
      <c r="DD535">
        <v>8.9332999999999991</v>
      </c>
      <c r="DE535" t="s">
        <v>866</v>
      </c>
      <c r="DG535" t="s">
        <v>867</v>
      </c>
      <c r="DH535" t="s">
        <v>851</v>
      </c>
      <c r="DJ535" t="s">
        <v>4987</v>
      </c>
      <c r="DL535" t="s">
        <v>869</v>
      </c>
      <c r="DM535">
        <v>0</v>
      </c>
      <c r="DN535">
        <v>0</v>
      </c>
      <c r="DO535">
        <v>11</v>
      </c>
      <c r="DP535" t="s">
        <v>1010</v>
      </c>
      <c r="DQ535">
        <v>16</v>
      </c>
      <c r="DR535">
        <v>312</v>
      </c>
      <c r="DS535">
        <v>536</v>
      </c>
      <c r="DT535">
        <v>1.3332999999999999</v>
      </c>
      <c r="DU535">
        <v>4</v>
      </c>
      <c r="DW535">
        <v>2</v>
      </c>
      <c r="DX535" t="s">
        <v>594</v>
      </c>
      <c r="DY535" t="s">
        <v>3104</v>
      </c>
      <c r="DZ535">
        <v>0</v>
      </c>
      <c r="EA535">
        <v>0</v>
      </c>
      <c r="EB535">
        <v>0</v>
      </c>
      <c r="EC535">
        <v>0</v>
      </c>
      <c r="ED535">
        <v>0</v>
      </c>
      <c r="EE535">
        <v>0</v>
      </c>
      <c r="EF535" t="s">
        <v>920</v>
      </c>
      <c r="EG535" t="s">
        <v>595</v>
      </c>
      <c r="EH535" t="s">
        <v>872</v>
      </c>
      <c r="EI535" t="s">
        <v>872</v>
      </c>
      <c r="EJ535" t="s">
        <v>226</v>
      </c>
      <c r="EK535">
        <v>9090</v>
      </c>
      <c r="EL535">
        <v>0</v>
      </c>
      <c r="EM535" t="s">
        <v>1157</v>
      </c>
      <c r="EN535">
        <v>1.3833</v>
      </c>
      <c r="EO535">
        <v>8.9333332999999993</v>
      </c>
      <c r="EP535">
        <v>99991120</v>
      </c>
      <c r="EQ535" t="s">
        <v>874</v>
      </c>
      <c r="ER535" t="s">
        <v>875</v>
      </c>
      <c r="ES535" t="s">
        <v>876</v>
      </c>
      <c r="ET535" t="s">
        <v>877</v>
      </c>
      <c r="EU535" t="s">
        <v>877</v>
      </c>
      <c r="EV535" t="s">
        <v>920</v>
      </c>
      <c r="EX535" t="s">
        <v>953</v>
      </c>
      <c r="EY535" t="s">
        <v>1555</v>
      </c>
      <c r="EZ535" t="s">
        <v>3116</v>
      </c>
      <c r="FA535" t="s">
        <v>925</v>
      </c>
      <c r="FB535">
        <v>1</v>
      </c>
      <c r="FC535">
        <v>2</v>
      </c>
      <c r="FD535" s="41">
        <v>45976</v>
      </c>
      <c r="FE535" t="s">
        <v>1438</v>
      </c>
      <c r="FF535">
        <v>10</v>
      </c>
      <c r="FG535" t="s">
        <v>10803</v>
      </c>
      <c r="FH535" t="s">
        <v>10804</v>
      </c>
      <c r="FI535">
        <v>1</v>
      </c>
      <c r="FJ535" t="s">
        <v>10805</v>
      </c>
      <c r="FK535" t="s">
        <v>10804</v>
      </c>
      <c r="FL535">
        <v>1</v>
      </c>
      <c r="FM535" t="s">
        <v>3117</v>
      </c>
      <c r="FN535" t="s">
        <v>10806</v>
      </c>
      <c r="FO535">
        <v>1</v>
      </c>
      <c r="FP535" t="s">
        <v>10807</v>
      </c>
      <c r="FQ535" t="s">
        <v>10802</v>
      </c>
      <c r="FR535">
        <v>1</v>
      </c>
      <c r="FS535" t="s">
        <v>9138</v>
      </c>
      <c r="FT535" t="s">
        <v>10808</v>
      </c>
      <c r="FU535">
        <v>1</v>
      </c>
      <c r="FV535" t="s">
        <v>10809</v>
      </c>
      <c r="FW535" t="s">
        <v>10810</v>
      </c>
      <c r="FX535">
        <v>1</v>
      </c>
      <c r="FY535" t="s">
        <v>890</v>
      </c>
      <c r="FZ535" t="s">
        <v>10811</v>
      </c>
      <c r="GA535" t="s">
        <v>10805</v>
      </c>
      <c r="GB535">
        <v>1</v>
      </c>
      <c r="GC535" t="s">
        <v>10809</v>
      </c>
      <c r="GD535">
        <v>1</v>
      </c>
      <c r="GF535">
        <v>0</v>
      </c>
      <c r="GG535">
        <v>1</v>
      </c>
      <c r="GH535" t="s">
        <v>892</v>
      </c>
      <c r="GI535" t="s">
        <v>893</v>
      </c>
      <c r="GJ535" t="s">
        <v>10804</v>
      </c>
      <c r="GK535" t="s">
        <v>10812</v>
      </c>
      <c r="GM535">
        <v>1</v>
      </c>
      <c r="GN535">
        <v>0</v>
      </c>
      <c r="GO535">
        <v>0</v>
      </c>
      <c r="GP535">
        <v>1</v>
      </c>
      <c r="GQ535">
        <v>1</v>
      </c>
      <c r="GR535">
        <v>0</v>
      </c>
      <c r="GS535">
        <v>1</v>
      </c>
      <c r="GT535">
        <v>0</v>
      </c>
      <c r="GU535">
        <v>1</v>
      </c>
      <c r="GV535">
        <v>0</v>
      </c>
      <c r="GW535">
        <v>1</v>
      </c>
      <c r="GX535">
        <v>0</v>
      </c>
      <c r="GY535">
        <v>1</v>
      </c>
      <c r="GZ535">
        <v>0</v>
      </c>
      <c r="HA535" t="s">
        <v>482</v>
      </c>
      <c r="HB535" t="s">
        <v>894</v>
      </c>
      <c r="HC535" t="s">
        <v>935</v>
      </c>
      <c r="HD535" t="s">
        <v>845</v>
      </c>
      <c r="HE535" t="s">
        <v>900</v>
      </c>
      <c r="HF535" t="s">
        <v>923</v>
      </c>
      <c r="HG535" t="s">
        <v>894</v>
      </c>
      <c r="HH535" t="s">
        <v>935</v>
      </c>
      <c r="HI535" t="s">
        <v>845</v>
      </c>
      <c r="HJ535" t="s">
        <v>900</v>
      </c>
      <c r="HK535" t="s">
        <v>922</v>
      </c>
      <c r="HL535" t="s">
        <v>3107</v>
      </c>
      <c r="HM535" t="s">
        <v>854</v>
      </c>
      <c r="HN535">
        <v>36805</v>
      </c>
      <c r="HP535" t="s">
        <v>226</v>
      </c>
      <c r="HQ535" t="s">
        <v>896</v>
      </c>
      <c r="HR535" t="s">
        <v>896</v>
      </c>
      <c r="HS535" t="s">
        <v>896</v>
      </c>
    </row>
    <row r="536" spans="1:227" x14ac:dyDescent="0.2">
      <c r="A536">
        <v>8702</v>
      </c>
      <c r="B536">
        <v>7618403346</v>
      </c>
      <c r="C536">
        <v>34</v>
      </c>
      <c r="D536" t="s">
        <v>996</v>
      </c>
      <c r="E536" t="s">
        <v>831</v>
      </c>
      <c r="F536">
        <v>0</v>
      </c>
      <c r="G536" t="s">
        <v>10813</v>
      </c>
      <c r="H536" t="s">
        <v>10813</v>
      </c>
      <c r="I536">
        <v>0</v>
      </c>
      <c r="J536" t="s">
        <v>833</v>
      </c>
      <c r="K536" t="s">
        <v>834</v>
      </c>
      <c r="L536">
        <v>156586329</v>
      </c>
      <c r="M536" t="s">
        <v>10814</v>
      </c>
      <c r="N536" t="s">
        <v>836</v>
      </c>
      <c r="O536" t="s">
        <v>837</v>
      </c>
      <c r="P536" t="s">
        <v>999</v>
      </c>
      <c r="Q536" t="s">
        <v>1027</v>
      </c>
      <c r="R536" t="s">
        <v>10815</v>
      </c>
      <c r="S536" t="s">
        <v>10816</v>
      </c>
      <c r="T536">
        <v>41477129116</v>
      </c>
      <c r="V536" t="s">
        <v>1003</v>
      </c>
      <c r="W536" s="41">
        <v>46209</v>
      </c>
      <c r="X536" t="s">
        <v>10817</v>
      </c>
      <c r="Y536" t="s">
        <v>10818</v>
      </c>
      <c r="AA536">
        <v>0</v>
      </c>
      <c r="AB536" t="s">
        <v>845</v>
      </c>
      <c r="AC536" t="s">
        <v>846</v>
      </c>
      <c r="AD536" t="s">
        <v>907</v>
      </c>
      <c r="AE536" t="s">
        <v>908</v>
      </c>
      <c r="AF536">
        <v>1</v>
      </c>
      <c r="AG536">
        <v>452210</v>
      </c>
      <c r="AH536" t="s">
        <v>849</v>
      </c>
      <c r="AI536" t="s">
        <v>850</v>
      </c>
      <c r="AJ536" t="s">
        <v>851</v>
      </c>
      <c r="AK536" t="s">
        <v>360</v>
      </c>
      <c r="AL536" t="s">
        <v>1058</v>
      </c>
      <c r="AM536" t="s">
        <v>1059</v>
      </c>
      <c r="AN536" t="s">
        <v>854</v>
      </c>
      <c r="AO536">
        <v>36805</v>
      </c>
      <c r="AP536">
        <v>638</v>
      </c>
      <c r="AQ536" t="s">
        <v>855</v>
      </c>
      <c r="AR536">
        <v>66538811</v>
      </c>
      <c r="AS536" t="s">
        <v>856</v>
      </c>
      <c r="AU536" t="s">
        <v>10819</v>
      </c>
      <c r="AV536" t="s">
        <v>10820</v>
      </c>
      <c r="AX536" t="s">
        <v>913</v>
      </c>
      <c r="AY536" t="s">
        <v>861</v>
      </c>
      <c r="AZ536" t="s">
        <v>360</v>
      </c>
      <c r="BA536" t="s">
        <v>361</v>
      </c>
      <c r="BB536">
        <v>1</v>
      </c>
      <c r="BC536">
        <v>0</v>
      </c>
      <c r="BD536">
        <v>0</v>
      </c>
      <c r="BE536" t="s">
        <v>10814</v>
      </c>
      <c r="BF536">
        <v>0</v>
      </c>
      <c r="BG536">
        <v>0</v>
      </c>
      <c r="BH536" t="s">
        <v>862</v>
      </c>
      <c r="BI536">
        <v>0</v>
      </c>
      <c r="BJ536" t="s">
        <v>862</v>
      </c>
      <c r="BK536">
        <v>1</v>
      </c>
      <c r="BL536">
        <v>1</v>
      </c>
      <c r="BM536">
        <v>0</v>
      </c>
      <c r="BN536" t="s">
        <v>596</v>
      </c>
      <c r="BO536">
        <v>156586329</v>
      </c>
      <c r="BP536" t="s">
        <v>10813</v>
      </c>
      <c r="BR536">
        <v>42791770</v>
      </c>
      <c r="BT536">
        <v>0</v>
      </c>
      <c r="BU536" t="s">
        <v>1062</v>
      </c>
      <c r="BY536">
        <v>16</v>
      </c>
      <c r="CA536">
        <v>32</v>
      </c>
      <c r="CE536">
        <v>0</v>
      </c>
      <c r="CI536">
        <v>11</v>
      </c>
      <c r="CJ536" t="s">
        <v>94</v>
      </c>
      <c r="CM536">
        <v>4010</v>
      </c>
      <c r="CO536">
        <v>7360</v>
      </c>
      <c r="CP536">
        <v>0.33329999999999999</v>
      </c>
      <c r="CQ536">
        <v>0.33329999999999999</v>
      </c>
      <c r="CR536">
        <v>0.2</v>
      </c>
      <c r="CS536">
        <v>0</v>
      </c>
      <c r="CT536" t="s">
        <v>10820</v>
      </c>
      <c r="CU536" t="s">
        <v>10819</v>
      </c>
      <c r="CV536" t="s">
        <v>833</v>
      </c>
      <c r="CW536" t="s">
        <v>834</v>
      </c>
      <c r="CX536" t="s">
        <v>10814</v>
      </c>
      <c r="CY536">
        <v>1</v>
      </c>
      <c r="CZ536">
        <v>1</v>
      </c>
      <c r="DA536" t="s">
        <v>833</v>
      </c>
      <c r="DB536" t="s">
        <v>865</v>
      </c>
      <c r="DC536">
        <v>61704</v>
      </c>
      <c r="DD536">
        <v>32.133299999999998</v>
      </c>
      <c r="DE536" t="s">
        <v>866</v>
      </c>
      <c r="DG536" t="s">
        <v>867</v>
      </c>
      <c r="DH536" t="s">
        <v>851</v>
      </c>
      <c r="DK536" t="s">
        <v>918</v>
      </c>
      <c r="DL536" t="s">
        <v>869</v>
      </c>
      <c r="DM536">
        <v>0</v>
      </c>
      <c r="DN536">
        <v>0</v>
      </c>
      <c r="DO536">
        <v>11</v>
      </c>
      <c r="DP536" t="s">
        <v>1010</v>
      </c>
      <c r="DQ536">
        <v>16</v>
      </c>
      <c r="DR536">
        <v>1928</v>
      </c>
      <c r="DS536">
        <v>4088</v>
      </c>
      <c r="DT536">
        <v>0.26669999999999999</v>
      </c>
      <c r="DU536">
        <v>4</v>
      </c>
      <c r="DV536">
        <v>1</v>
      </c>
      <c r="DW536">
        <v>2</v>
      </c>
      <c r="DX536" t="s">
        <v>596</v>
      </c>
      <c r="DY536" t="s">
        <v>10814</v>
      </c>
      <c r="DZ536">
        <v>0</v>
      </c>
      <c r="EA536">
        <v>0</v>
      </c>
      <c r="EB536">
        <v>1</v>
      </c>
      <c r="EC536">
        <v>1</v>
      </c>
      <c r="ED536">
        <v>1</v>
      </c>
      <c r="EE536">
        <v>1</v>
      </c>
      <c r="EF536" t="s">
        <v>920</v>
      </c>
      <c r="EG536" t="s">
        <v>595</v>
      </c>
      <c r="EH536" t="s">
        <v>921</v>
      </c>
      <c r="EI536" t="s">
        <v>921</v>
      </c>
      <c r="EJ536" t="s">
        <v>181</v>
      </c>
      <c r="EK536">
        <v>9090</v>
      </c>
      <c r="EL536">
        <v>1</v>
      </c>
      <c r="EM536" t="s">
        <v>873</v>
      </c>
      <c r="EN536">
        <v>0.2</v>
      </c>
      <c r="EO536">
        <v>68.133333300000004</v>
      </c>
      <c r="EP536">
        <v>99991120</v>
      </c>
      <c r="EQ536" t="s">
        <v>874</v>
      </c>
      <c r="ER536" t="s">
        <v>875</v>
      </c>
      <c r="ES536" t="s">
        <v>876</v>
      </c>
      <c r="ET536" t="s">
        <v>877</v>
      </c>
      <c r="EU536" t="s">
        <v>877</v>
      </c>
      <c r="EV536" t="s">
        <v>920</v>
      </c>
      <c r="EX536" t="s">
        <v>836</v>
      </c>
      <c r="EY536" t="s">
        <v>873</v>
      </c>
      <c r="EZ536" t="s">
        <v>1065</v>
      </c>
      <c r="FA536" t="s">
        <v>879</v>
      </c>
      <c r="FB536">
        <v>1</v>
      </c>
      <c r="FC536">
        <v>2</v>
      </c>
      <c r="FD536" s="41">
        <v>46214</v>
      </c>
      <c r="FE536" t="s">
        <v>1066</v>
      </c>
      <c r="FF536">
        <v>9</v>
      </c>
      <c r="FG536" t="s">
        <v>1067</v>
      </c>
      <c r="FH536" t="s">
        <v>10821</v>
      </c>
      <c r="FI536">
        <v>1</v>
      </c>
      <c r="FJ536" t="s">
        <v>1069</v>
      </c>
      <c r="FK536" t="s">
        <v>10822</v>
      </c>
      <c r="FL536">
        <v>1</v>
      </c>
      <c r="FM536" t="s">
        <v>10823</v>
      </c>
      <c r="FN536" t="s">
        <v>10824</v>
      </c>
      <c r="FO536">
        <v>1</v>
      </c>
      <c r="FP536" t="s">
        <v>9536</v>
      </c>
      <c r="FQ536" t="s">
        <v>10819</v>
      </c>
      <c r="FR536">
        <v>1</v>
      </c>
      <c r="FS536" t="s">
        <v>5667</v>
      </c>
      <c r="FT536" t="s">
        <v>9537</v>
      </c>
      <c r="FU536">
        <v>1</v>
      </c>
      <c r="FV536" t="s">
        <v>9538</v>
      </c>
      <c r="FW536" t="s">
        <v>10825</v>
      </c>
      <c r="FX536">
        <v>1</v>
      </c>
      <c r="FY536" t="s">
        <v>890</v>
      </c>
      <c r="FZ536" t="s">
        <v>10826</v>
      </c>
      <c r="GA536" t="s">
        <v>1069</v>
      </c>
      <c r="GB536">
        <v>1</v>
      </c>
      <c r="GD536">
        <v>0</v>
      </c>
      <c r="GF536">
        <v>0</v>
      </c>
      <c r="GG536">
        <v>1</v>
      </c>
      <c r="GH536" t="s">
        <v>892</v>
      </c>
      <c r="GI536" t="s">
        <v>893</v>
      </c>
      <c r="GJ536" t="s">
        <v>10822</v>
      </c>
      <c r="GM536">
        <v>1</v>
      </c>
      <c r="GN536">
        <v>0</v>
      </c>
      <c r="GO536">
        <v>0</v>
      </c>
      <c r="GP536">
        <v>1</v>
      </c>
      <c r="GQ536">
        <v>1</v>
      </c>
      <c r="GR536">
        <v>0</v>
      </c>
      <c r="GS536">
        <v>1</v>
      </c>
      <c r="GT536">
        <v>0</v>
      </c>
      <c r="GU536">
        <v>1</v>
      </c>
      <c r="GV536">
        <v>0</v>
      </c>
      <c r="GW536">
        <v>1</v>
      </c>
      <c r="GX536">
        <v>0</v>
      </c>
      <c r="GY536">
        <v>1</v>
      </c>
      <c r="GZ536">
        <v>0</v>
      </c>
      <c r="HA536" t="s">
        <v>360</v>
      </c>
      <c r="HB536" t="s">
        <v>894</v>
      </c>
      <c r="HC536" t="s">
        <v>895</v>
      </c>
      <c r="HD536" t="s">
        <v>845</v>
      </c>
      <c r="HE536" t="s">
        <v>836</v>
      </c>
      <c r="HF536" t="s">
        <v>873</v>
      </c>
      <c r="HG536" t="s">
        <v>894</v>
      </c>
      <c r="HH536" t="s">
        <v>895</v>
      </c>
      <c r="HI536" t="s">
        <v>845</v>
      </c>
      <c r="HJ536" t="s">
        <v>836</v>
      </c>
      <c r="HK536" t="s">
        <v>873</v>
      </c>
      <c r="HL536" t="s">
        <v>1003</v>
      </c>
      <c r="HM536" t="s">
        <v>854</v>
      </c>
      <c r="HN536">
        <v>36805</v>
      </c>
      <c r="HP536" t="s">
        <v>181</v>
      </c>
      <c r="HQ536" t="s">
        <v>896</v>
      </c>
      <c r="HR536" t="s">
        <v>896</v>
      </c>
      <c r="HS536" t="s">
        <v>896</v>
      </c>
    </row>
    <row r="537" spans="1:227" x14ac:dyDescent="0.2">
      <c r="A537">
        <v>8702</v>
      </c>
      <c r="B537">
        <v>7528800528</v>
      </c>
      <c r="C537" t="s">
        <v>829</v>
      </c>
      <c r="D537" t="s">
        <v>830</v>
      </c>
      <c r="E537" t="s">
        <v>897</v>
      </c>
      <c r="F537">
        <v>0</v>
      </c>
      <c r="G537" t="s">
        <v>10827</v>
      </c>
      <c r="H537" t="s">
        <v>10827</v>
      </c>
      <c r="I537">
        <v>0</v>
      </c>
      <c r="J537" t="s">
        <v>833</v>
      </c>
      <c r="K537" t="s">
        <v>834</v>
      </c>
      <c r="L537">
        <v>152946637</v>
      </c>
      <c r="M537" t="s">
        <v>8725</v>
      </c>
      <c r="N537" t="s">
        <v>900</v>
      </c>
      <c r="O537" t="s">
        <v>837</v>
      </c>
      <c r="P537" t="s">
        <v>838</v>
      </c>
      <c r="Q537" t="s">
        <v>901</v>
      </c>
      <c r="R537" t="s">
        <v>10828</v>
      </c>
      <c r="S537" t="s">
        <v>10829</v>
      </c>
      <c r="T537">
        <v>41477122128</v>
      </c>
      <c r="V537" t="s">
        <v>142</v>
      </c>
      <c r="W537" s="41">
        <v>45945</v>
      </c>
      <c r="X537" t="s">
        <v>10830</v>
      </c>
      <c r="Y537" t="s">
        <v>10831</v>
      </c>
      <c r="AA537">
        <v>0</v>
      </c>
      <c r="AB537" t="s">
        <v>845</v>
      </c>
      <c r="AC537" t="s">
        <v>846</v>
      </c>
      <c r="AD537" t="s">
        <v>847</v>
      </c>
      <c r="AE537" t="s">
        <v>848</v>
      </c>
      <c r="AF537">
        <v>1</v>
      </c>
      <c r="AG537">
        <v>452210</v>
      </c>
      <c r="AH537" t="s">
        <v>849</v>
      </c>
      <c r="AI537" t="s">
        <v>850</v>
      </c>
      <c r="AJ537" t="s">
        <v>851</v>
      </c>
      <c r="AK537" t="s">
        <v>263</v>
      </c>
      <c r="AL537" t="s">
        <v>2230</v>
      </c>
      <c r="AM537" t="s">
        <v>3288</v>
      </c>
      <c r="AN537" t="s">
        <v>854</v>
      </c>
      <c r="AO537">
        <v>36805</v>
      </c>
      <c r="AP537">
        <v>527</v>
      </c>
      <c r="AQ537" t="s">
        <v>855</v>
      </c>
      <c r="AR537">
        <v>66158432</v>
      </c>
      <c r="AS537" t="s">
        <v>856</v>
      </c>
      <c r="AU537" t="s">
        <v>10832</v>
      </c>
      <c r="AV537" t="s">
        <v>10833</v>
      </c>
      <c r="AX537" t="s">
        <v>913</v>
      </c>
      <c r="AY537" t="s">
        <v>861</v>
      </c>
      <c r="AZ537" t="s">
        <v>263</v>
      </c>
      <c r="BA537" t="s">
        <v>264</v>
      </c>
      <c r="BB537">
        <v>0</v>
      </c>
      <c r="BC537">
        <v>0</v>
      </c>
      <c r="BD537">
        <v>1</v>
      </c>
      <c r="BE537" t="s">
        <v>8725</v>
      </c>
      <c r="BF537">
        <v>0</v>
      </c>
      <c r="BG537">
        <v>0</v>
      </c>
      <c r="BH537" t="s">
        <v>862</v>
      </c>
      <c r="BI537">
        <v>0</v>
      </c>
      <c r="BJ537" t="s">
        <v>862</v>
      </c>
      <c r="BK537">
        <v>1</v>
      </c>
      <c r="BL537">
        <v>1</v>
      </c>
      <c r="BM537">
        <v>0</v>
      </c>
      <c r="BN537" t="s">
        <v>596</v>
      </c>
      <c r="BO537">
        <v>152946637</v>
      </c>
      <c r="BP537" t="s">
        <v>10827</v>
      </c>
      <c r="BQ537">
        <v>39.956854</v>
      </c>
      <c r="BR537">
        <v>42791440</v>
      </c>
      <c r="BS537">
        <v>-85.960790900000006</v>
      </c>
      <c r="BT537">
        <v>0</v>
      </c>
      <c r="CM537">
        <v>4010</v>
      </c>
      <c r="CO537">
        <v>7360</v>
      </c>
      <c r="CP537">
        <v>0.61670000000000003</v>
      </c>
      <c r="CQ537">
        <v>0.61670000000000003</v>
      </c>
      <c r="CR537">
        <v>0.35</v>
      </c>
      <c r="CS537">
        <v>6</v>
      </c>
      <c r="CT537" t="s">
        <v>10833</v>
      </c>
      <c r="CU537" t="s">
        <v>10832</v>
      </c>
      <c r="CV537" t="s">
        <v>833</v>
      </c>
      <c r="CW537" t="s">
        <v>834</v>
      </c>
      <c r="CX537" t="s">
        <v>8725</v>
      </c>
      <c r="CY537">
        <v>1</v>
      </c>
      <c r="CZ537">
        <v>1</v>
      </c>
      <c r="DA537" t="s">
        <v>833</v>
      </c>
      <c r="DB537" t="s">
        <v>865</v>
      </c>
      <c r="DC537">
        <v>46037</v>
      </c>
      <c r="DD537">
        <v>1.1667000000000001</v>
      </c>
      <c r="DE537" t="s">
        <v>866</v>
      </c>
      <c r="DG537" t="s">
        <v>867</v>
      </c>
      <c r="DH537" t="s">
        <v>851</v>
      </c>
      <c r="DI537" t="s">
        <v>3384</v>
      </c>
      <c r="DL537" t="s">
        <v>869</v>
      </c>
      <c r="DM537">
        <v>0</v>
      </c>
      <c r="DN537">
        <v>0</v>
      </c>
      <c r="DO537">
        <v>11</v>
      </c>
      <c r="DP537" t="s">
        <v>1010</v>
      </c>
      <c r="DQ537">
        <v>16</v>
      </c>
      <c r="DR537">
        <v>70</v>
      </c>
      <c r="DS537">
        <v>771</v>
      </c>
      <c r="DT537">
        <v>0.55000000000000004</v>
      </c>
      <c r="DU537">
        <v>4</v>
      </c>
      <c r="DW537">
        <v>2</v>
      </c>
      <c r="DX537" t="s">
        <v>596</v>
      </c>
      <c r="DY537" t="s">
        <v>8725</v>
      </c>
      <c r="DZ537">
        <v>1</v>
      </c>
      <c r="EA537">
        <v>1</v>
      </c>
      <c r="EB537">
        <v>1</v>
      </c>
      <c r="EC537">
        <v>1</v>
      </c>
      <c r="ED537">
        <v>1</v>
      </c>
      <c r="EE537">
        <v>1</v>
      </c>
      <c r="EF537" t="s">
        <v>920</v>
      </c>
      <c r="EG537" t="s">
        <v>595</v>
      </c>
      <c r="EH537" t="s">
        <v>921</v>
      </c>
      <c r="EI537" t="s">
        <v>921</v>
      </c>
      <c r="EJ537" t="s">
        <v>134</v>
      </c>
      <c r="EK537">
        <v>9090</v>
      </c>
      <c r="EL537">
        <v>0</v>
      </c>
      <c r="EM537" t="s">
        <v>1011</v>
      </c>
      <c r="EN537">
        <v>0.35</v>
      </c>
      <c r="EO537">
        <v>12.85</v>
      </c>
      <c r="EP537">
        <v>99991120</v>
      </c>
      <c r="EQ537" t="s">
        <v>874</v>
      </c>
      <c r="ER537" t="s">
        <v>875</v>
      </c>
      <c r="ES537" t="s">
        <v>876</v>
      </c>
      <c r="ET537" t="s">
        <v>877</v>
      </c>
      <c r="EU537" t="s">
        <v>877</v>
      </c>
      <c r="EV537" t="s">
        <v>920</v>
      </c>
      <c r="EX537" t="s">
        <v>953</v>
      </c>
      <c r="EY537" t="s">
        <v>1555</v>
      </c>
      <c r="EZ537" t="s">
        <v>1013</v>
      </c>
      <c r="FA537" t="s">
        <v>925</v>
      </c>
      <c r="FB537">
        <v>1</v>
      </c>
      <c r="FC537">
        <v>1</v>
      </c>
      <c r="FD537" s="41">
        <v>45948</v>
      </c>
      <c r="FE537" t="s">
        <v>1039</v>
      </c>
      <c r="FF537">
        <v>9</v>
      </c>
      <c r="FG537" t="s">
        <v>10834</v>
      </c>
      <c r="FH537" t="s">
        <v>10835</v>
      </c>
      <c r="FI537">
        <v>1</v>
      </c>
      <c r="FJ537" t="s">
        <v>10836</v>
      </c>
      <c r="FK537" t="s">
        <v>10835</v>
      </c>
      <c r="FL537">
        <v>1</v>
      </c>
      <c r="FM537" t="s">
        <v>8737</v>
      </c>
      <c r="FN537" t="s">
        <v>10837</v>
      </c>
      <c r="FO537">
        <v>1</v>
      </c>
      <c r="FP537" t="s">
        <v>10838</v>
      </c>
      <c r="FQ537" t="s">
        <v>10839</v>
      </c>
      <c r="FR537">
        <v>1</v>
      </c>
      <c r="FS537" t="s">
        <v>1976</v>
      </c>
      <c r="FT537" t="s">
        <v>10840</v>
      </c>
      <c r="FU537">
        <v>1</v>
      </c>
      <c r="FV537" t="s">
        <v>5629</v>
      </c>
      <c r="FW537" t="s">
        <v>10841</v>
      </c>
      <c r="FX537">
        <v>1</v>
      </c>
      <c r="FY537" t="s">
        <v>890</v>
      </c>
      <c r="FZ537" t="s">
        <v>10842</v>
      </c>
      <c r="GA537" t="s">
        <v>10836</v>
      </c>
      <c r="GB537">
        <v>1</v>
      </c>
      <c r="GD537">
        <v>0</v>
      </c>
      <c r="GF537">
        <v>0</v>
      </c>
      <c r="GG537">
        <v>1</v>
      </c>
      <c r="GH537" t="s">
        <v>892</v>
      </c>
      <c r="GI537" t="s">
        <v>893</v>
      </c>
      <c r="GJ537" t="s">
        <v>10835</v>
      </c>
      <c r="GM537">
        <v>1</v>
      </c>
      <c r="GN537">
        <v>1</v>
      </c>
      <c r="GO537">
        <v>0</v>
      </c>
      <c r="GP537">
        <v>1</v>
      </c>
      <c r="GQ537">
        <v>1</v>
      </c>
      <c r="GR537">
        <v>0</v>
      </c>
      <c r="GS537">
        <v>1</v>
      </c>
      <c r="GT537">
        <v>0</v>
      </c>
      <c r="GU537">
        <v>1</v>
      </c>
      <c r="GV537">
        <v>0</v>
      </c>
      <c r="GW537">
        <v>1</v>
      </c>
      <c r="GX537">
        <v>0</v>
      </c>
      <c r="GY537">
        <v>1</v>
      </c>
      <c r="GZ537">
        <v>0</v>
      </c>
      <c r="HA537" t="s">
        <v>263</v>
      </c>
      <c r="HB537" t="s">
        <v>894</v>
      </c>
      <c r="HC537" t="s">
        <v>935</v>
      </c>
      <c r="HD537" t="s">
        <v>845</v>
      </c>
      <c r="HE537" t="s">
        <v>900</v>
      </c>
      <c r="HF537" t="s">
        <v>1012</v>
      </c>
      <c r="HG537" t="s">
        <v>894</v>
      </c>
      <c r="HH537" t="s">
        <v>935</v>
      </c>
      <c r="HI537" t="s">
        <v>845</v>
      </c>
      <c r="HJ537" t="s">
        <v>900</v>
      </c>
      <c r="HK537" t="s">
        <v>1011</v>
      </c>
      <c r="HL537" t="s">
        <v>142</v>
      </c>
      <c r="HM537" t="s">
        <v>854</v>
      </c>
      <c r="HN537">
        <v>36805</v>
      </c>
      <c r="HP537" t="s">
        <v>134</v>
      </c>
      <c r="HQ537" t="s">
        <v>896</v>
      </c>
      <c r="HR537" t="s">
        <v>896</v>
      </c>
      <c r="HS537" t="s">
        <v>896</v>
      </c>
    </row>
    <row r="538" spans="1:227" x14ac:dyDescent="0.2">
      <c r="A538">
        <v>8702</v>
      </c>
      <c r="B538">
        <v>7609301022</v>
      </c>
      <c r="C538">
        <v>34</v>
      </c>
      <c r="D538" t="s">
        <v>996</v>
      </c>
      <c r="E538" t="s">
        <v>831</v>
      </c>
      <c r="F538">
        <v>1</v>
      </c>
      <c r="G538" t="s">
        <v>10843</v>
      </c>
      <c r="H538" t="s">
        <v>10843</v>
      </c>
      <c r="I538">
        <v>0</v>
      </c>
      <c r="J538" t="s">
        <v>8299</v>
      </c>
      <c r="K538" t="s">
        <v>8300</v>
      </c>
      <c r="L538">
        <v>162969938</v>
      </c>
      <c r="M538" t="s">
        <v>10844</v>
      </c>
      <c r="N538" t="s">
        <v>836</v>
      </c>
      <c r="O538" t="s">
        <v>837</v>
      </c>
      <c r="P538" t="s">
        <v>999</v>
      </c>
      <c r="Q538" t="s">
        <v>1027</v>
      </c>
      <c r="R538" t="s">
        <v>10845</v>
      </c>
      <c r="S538" t="s">
        <v>10846</v>
      </c>
      <c r="T538">
        <v>41477075231</v>
      </c>
      <c r="V538" t="s">
        <v>115</v>
      </c>
      <c r="W538" s="41">
        <v>46115</v>
      </c>
      <c r="X538" t="s">
        <v>10847</v>
      </c>
      <c r="Y538" t="s">
        <v>10848</v>
      </c>
      <c r="AA538">
        <v>0</v>
      </c>
      <c r="AB538" t="s">
        <v>845</v>
      </c>
      <c r="AC538" t="s">
        <v>846</v>
      </c>
      <c r="AD538" t="s">
        <v>1335</v>
      </c>
      <c r="AE538" t="s">
        <v>1336</v>
      </c>
      <c r="AF538">
        <v>1</v>
      </c>
      <c r="AG538">
        <v>452210</v>
      </c>
      <c r="AH538" t="s">
        <v>849</v>
      </c>
      <c r="AI538" t="s">
        <v>850</v>
      </c>
      <c r="AJ538" t="s">
        <v>851</v>
      </c>
      <c r="AK538" t="s">
        <v>289</v>
      </c>
      <c r="AL538" t="s">
        <v>2443</v>
      </c>
      <c r="AM538" t="s">
        <v>8294</v>
      </c>
      <c r="AN538" t="s">
        <v>854</v>
      </c>
      <c r="AO538">
        <v>36805</v>
      </c>
      <c r="AP538">
        <v>492</v>
      </c>
      <c r="AQ538" t="s">
        <v>855</v>
      </c>
      <c r="AR538">
        <v>66403826</v>
      </c>
      <c r="AS538" t="s">
        <v>856</v>
      </c>
      <c r="AU538" t="s">
        <v>10849</v>
      </c>
      <c r="AV538" t="s">
        <v>10850</v>
      </c>
      <c r="AX538" t="s">
        <v>913</v>
      </c>
      <c r="AY538" t="s">
        <v>861</v>
      </c>
      <c r="AZ538" t="s">
        <v>289</v>
      </c>
      <c r="BA538" t="s">
        <v>290</v>
      </c>
      <c r="BB538">
        <v>1</v>
      </c>
      <c r="BC538">
        <v>0</v>
      </c>
      <c r="BD538">
        <v>0</v>
      </c>
      <c r="BE538" t="s">
        <v>10844</v>
      </c>
      <c r="BF538">
        <v>0</v>
      </c>
      <c r="BG538">
        <v>0</v>
      </c>
      <c r="BH538" t="s">
        <v>862</v>
      </c>
      <c r="BI538">
        <v>0</v>
      </c>
      <c r="BJ538" t="s">
        <v>862</v>
      </c>
      <c r="BK538">
        <v>1</v>
      </c>
      <c r="BL538">
        <v>1</v>
      </c>
      <c r="BM538">
        <v>0</v>
      </c>
      <c r="BN538" t="s">
        <v>596</v>
      </c>
      <c r="BO538">
        <v>162969938</v>
      </c>
      <c r="BP538" t="s">
        <v>10843</v>
      </c>
      <c r="BR538">
        <v>42789020</v>
      </c>
      <c r="BT538">
        <v>2</v>
      </c>
      <c r="BU538" t="s">
        <v>1119</v>
      </c>
      <c r="BY538">
        <v>12</v>
      </c>
      <c r="CA538">
        <v>5</v>
      </c>
      <c r="CE538">
        <v>1</v>
      </c>
      <c r="CI538">
        <v>11</v>
      </c>
      <c r="CJ538" t="s">
        <v>94</v>
      </c>
      <c r="CM538">
        <v>4310</v>
      </c>
      <c r="CO538">
        <v>7360</v>
      </c>
      <c r="CP538">
        <v>1.0832999999999999</v>
      </c>
      <c r="CQ538">
        <v>1.0832999999999999</v>
      </c>
      <c r="CR538">
        <v>0.23330000000000001</v>
      </c>
      <c r="CS538">
        <v>100</v>
      </c>
      <c r="CT538" t="s">
        <v>10851</v>
      </c>
      <c r="CU538" t="s">
        <v>10852</v>
      </c>
      <c r="CV538" t="s">
        <v>8299</v>
      </c>
      <c r="CW538" t="s">
        <v>8300</v>
      </c>
      <c r="CX538" t="s">
        <v>10844</v>
      </c>
      <c r="CY538">
        <v>1</v>
      </c>
      <c r="CZ538">
        <v>1</v>
      </c>
      <c r="DA538" t="s">
        <v>8299</v>
      </c>
      <c r="DB538" t="s">
        <v>865</v>
      </c>
      <c r="DC538">
        <v>63011</v>
      </c>
      <c r="DD538">
        <v>5.2</v>
      </c>
      <c r="DE538" t="s">
        <v>866</v>
      </c>
      <c r="DG538" t="s">
        <v>867</v>
      </c>
      <c r="DH538" t="s">
        <v>851</v>
      </c>
      <c r="DI538" t="s">
        <v>10853</v>
      </c>
      <c r="DJ538">
        <v>492</v>
      </c>
      <c r="DK538" t="s">
        <v>918</v>
      </c>
      <c r="DL538" t="s">
        <v>869</v>
      </c>
      <c r="DM538">
        <v>0</v>
      </c>
      <c r="DN538">
        <v>0</v>
      </c>
      <c r="DO538">
        <v>11</v>
      </c>
      <c r="DP538" t="s">
        <v>1010</v>
      </c>
      <c r="DQ538">
        <v>12</v>
      </c>
      <c r="DR538">
        <v>104</v>
      </c>
      <c r="DS538">
        <v>312</v>
      </c>
      <c r="DT538">
        <v>0.81669999999999998</v>
      </c>
      <c r="DU538">
        <v>4</v>
      </c>
      <c r="DV538">
        <v>1</v>
      </c>
      <c r="DW538">
        <v>1</v>
      </c>
      <c r="DX538" t="s">
        <v>596</v>
      </c>
      <c r="DY538" t="s">
        <v>10844</v>
      </c>
      <c r="DZ538">
        <v>1</v>
      </c>
      <c r="EA538">
        <v>1</v>
      </c>
      <c r="EB538">
        <v>1</v>
      </c>
      <c r="EC538">
        <v>1</v>
      </c>
      <c r="ED538">
        <v>1</v>
      </c>
      <c r="EE538">
        <v>1</v>
      </c>
      <c r="EF538" t="s">
        <v>920</v>
      </c>
      <c r="EG538" t="s">
        <v>595</v>
      </c>
      <c r="EH538" t="s">
        <v>1036</v>
      </c>
      <c r="EI538" t="s">
        <v>1036</v>
      </c>
      <c r="EJ538" t="s">
        <v>111</v>
      </c>
      <c r="EK538">
        <v>9090</v>
      </c>
      <c r="EL538">
        <v>0</v>
      </c>
      <c r="EM538" t="s">
        <v>1037</v>
      </c>
      <c r="EN538">
        <v>0.23330000000000001</v>
      </c>
      <c r="EO538">
        <v>5.2</v>
      </c>
      <c r="EP538">
        <v>99991120</v>
      </c>
      <c r="EQ538" t="s">
        <v>874</v>
      </c>
      <c r="ER538" t="s">
        <v>875</v>
      </c>
      <c r="ES538" t="s">
        <v>876</v>
      </c>
      <c r="ET538" t="s">
        <v>877</v>
      </c>
      <c r="EU538" t="s">
        <v>877</v>
      </c>
      <c r="EV538" t="s">
        <v>920</v>
      </c>
      <c r="EX538" t="s">
        <v>900</v>
      </c>
      <c r="EY538" t="s">
        <v>923</v>
      </c>
      <c r="EZ538" t="s">
        <v>1038</v>
      </c>
      <c r="FA538" t="s">
        <v>925</v>
      </c>
      <c r="FB538">
        <v>1</v>
      </c>
      <c r="FC538">
        <v>1</v>
      </c>
      <c r="FD538" s="41">
        <v>46116</v>
      </c>
      <c r="FE538" t="s">
        <v>1123</v>
      </c>
      <c r="FF538">
        <v>9</v>
      </c>
      <c r="FG538" t="s">
        <v>10854</v>
      </c>
      <c r="FH538" t="s">
        <v>10855</v>
      </c>
      <c r="FI538">
        <v>1</v>
      </c>
      <c r="FJ538" t="s">
        <v>10856</v>
      </c>
      <c r="FK538" t="s">
        <v>10857</v>
      </c>
      <c r="FL538">
        <v>1</v>
      </c>
      <c r="FM538" t="s">
        <v>10858</v>
      </c>
      <c r="FN538" t="s">
        <v>10859</v>
      </c>
      <c r="FO538">
        <v>1</v>
      </c>
      <c r="FP538" t="s">
        <v>10860</v>
      </c>
      <c r="FQ538" t="s">
        <v>10861</v>
      </c>
      <c r="FR538">
        <v>1</v>
      </c>
      <c r="FS538" t="s">
        <v>3934</v>
      </c>
      <c r="FT538" t="s">
        <v>10862</v>
      </c>
      <c r="FU538">
        <v>1</v>
      </c>
      <c r="FV538" t="s">
        <v>10863</v>
      </c>
      <c r="FW538" t="s">
        <v>10864</v>
      </c>
      <c r="FX538">
        <v>1</v>
      </c>
      <c r="FY538" t="s">
        <v>890</v>
      </c>
      <c r="FZ538" t="s">
        <v>10865</v>
      </c>
      <c r="GA538" t="s">
        <v>10856</v>
      </c>
      <c r="GB538">
        <v>1</v>
      </c>
      <c r="GD538">
        <v>0</v>
      </c>
      <c r="GF538">
        <v>0</v>
      </c>
      <c r="GG538">
        <v>1</v>
      </c>
      <c r="GH538" t="s">
        <v>892</v>
      </c>
      <c r="GI538" t="s">
        <v>893</v>
      </c>
      <c r="GJ538" t="s">
        <v>10857</v>
      </c>
      <c r="GM538">
        <v>1</v>
      </c>
      <c r="GN538">
        <v>1</v>
      </c>
      <c r="GO538">
        <v>0</v>
      </c>
      <c r="GP538">
        <v>1</v>
      </c>
      <c r="GQ538">
        <v>1</v>
      </c>
      <c r="GR538">
        <v>0</v>
      </c>
      <c r="GS538">
        <v>1</v>
      </c>
      <c r="GT538">
        <v>0</v>
      </c>
      <c r="GU538">
        <v>1</v>
      </c>
      <c r="GV538">
        <v>0</v>
      </c>
      <c r="GW538">
        <v>1</v>
      </c>
      <c r="GX538">
        <v>0</v>
      </c>
      <c r="GY538">
        <v>1</v>
      </c>
      <c r="GZ538">
        <v>0</v>
      </c>
      <c r="HA538" t="s">
        <v>289</v>
      </c>
      <c r="HB538" t="s">
        <v>894</v>
      </c>
      <c r="HC538" t="s">
        <v>895</v>
      </c>
      <c r="HD538" t="s">
        <v>845</v>
      </c>
      <c r="HE538" t="s">
        <v>836</v>
      </c>
      <c r="HF538" t="s">
        <v>1051</v>
      </c>
      <c r="HG538" t="s">
        <v>894</v>
      </c>
      <c r="HH538" t="s">
        <v>895</v>
      </c>
      <c r="HI538" t="s">
        <v>845</v>
      </c>
      <c r="HJ538" t="s">
        <v>836</v>
      </c>
      <c r="HK538" t="s">
        <v>1037</v>
      </c>
      <c r="HL538" t="s">
        <v>115</v>
      </c>
      <c r="HM538" t="s">
        <v>854</v>
      </c>
      <c r="HN538">
        <v>36805</v>
      </c>
      <c r="HP538" t="s">
        <v>111</v>
      </c>
      <c r="HQ538" t="s">
        <v>896</v>
      </c>
      <c r="HR538" t="s">
        <v>896</v>
      </c>
      <c r="HS538" t="s">
        <v>896</v>
      </c>
    </row>
    <row r="539" spans="1:227" x14ac:dyDescent="0.2">
      <c r="A539">
        <v>8702</v>
      </c>
      <c r="B539">
        <v>7532701035</v>
      </c>
      <c r="C539" t="s">
        <v>936</v>
      </c>
      <c r="D539" t="s">
        <v>937</v>
      </c>
      <c r="E539" t="s">
        <v>831</v>
      </c>
      <c r="F539">
        <v>0</v>
      </c>
      <c r="G539" t="s">
        <v>10866</v>
      </c>
      <c r="H539" t="s">
        <v>10866</v>
      </c>
      <c r="I539">
        <v>0</v>
      </c>
      <c r="J539" t="s">
        <v>833</v>
      </c>
      <c r="K539" t="s">
        <v>834</v>
      </c>
      <c r="L539">
        <v>156046211</v>
      </c>
      <c r="M539" t="s">
        <v>3218</v>
      </c>
      <c r="N539" t="s">
        <v>836</v>
      </c>
      <c r="O539" t="s">
        <v>837</v>
      </c>
      <c r="P539" t="s">
        <v>940</v>
      </c>
      <c r="Q539" t="s">
        <v>1473</v>
      </c>
      <c r="R539" t="s">
        <v>10867</v>
      </c>
      <c r="S539" t="s">
        <v>10868</v>
      </c>
      <c r="T539">
        <v>41477044637</v>
      </c>
      <c r="V539" t="s">
        <v>187</v>
      </c>
      <c r="W539" s="41">
        <v>45985</v>
      </c>
      <c r="X539" t="s">
        <v>10869</v>
      </c>
      <c r="Y539" t="s">
        <v>10870</v>
      </c>
      <c r="AA539">
        <v>0</v>
      </c>
      <c r="AB539" t="s">
        <v>845</v>
      </c>
      <c r="AC539" t="s">
        <v>846</v>
      </c>
      <c r="AD539" t="s">
        <v>847</v>
      </c>
      <c r="AE539" t="s">
        <v>848</v>
      </c>
      <c r="AF539">
        <v>1</v>
      </c>
      <c r="AG539">
        <v>452210</v>
      </c>
      <c r="AH539" t="s">
        <v>849</v>
      </c>
      <c r="AI539" t="s">
        <v>850</v>
      </c>
      <c r="AJ539" t="s">
        <v>851</v>
      </c>
      <c r="AK539" t="s">
        <v>502</v>
      </c>
      <c r="AL539" t="s">
        <v>10871</v>
      </c>
      <c r="AM539" t="s">
        <v>2553</v>
      </c>
      <c r="AN539" t="s">
        <v>854</v>
      </c>
      <c r="AO539">
        <v>36805</v>
      </c>
      <c r="AP539">
        <v>634</v>
      </c>
      <c r="AQ539" t="s">
        <v>855</v>
      </c>
      <c r="AR539">
        <v>66216328</v>
      </c>
      <c r="AS539" t="s">
        <v>856</v>
      </c>
      <c r="AU539" t="s">
        <v>10872</v>
      </c>
      <c r="AV539" t="s">
        <v>10873</v>
      </c>
      <c r="AX539" t="s">
        <v>913</v>
      </c>
      <c r="AY539" t="s">
        <v>861</v>
      </c>
      <c r="AZ539" t="s">
        <v>502</v>
      </c>
      <c r="BA539" t="s">
        <v>503</v>
      </c>
      <c r="BB539">
        <v>0</v>
      </c>
      <c r="BC539">
        <v>1</v>
      </c>
      <c r="BD539">
        <v>0</v>
      </c>
      <c r="BE539" t="s">
        <v>3218</v>
      </c>
      <c r="BF539">
        <v>0</v>
      </c>
      <c r="BG539">
        <v>0</v>
      </c>
      <c r="BH539" t="s">
        <v>862</v>
      </c>
      <c r="BI539">
        <v>0</v>
      </c>
      <c r="BJ539" t="s">
        <v>862</v>
      </c>
      <c r="BK539">
        <v>1</v>
      </c>
      <c r="BL539">
        <v>1</v>
      </c>
      <c r="BM539">
        <v>0</v>
      </c>
      <c r="BN539" t="s">
        <v>596</v>
      </c>
      <c r="BO539">
        <v>156046211</v>
      </c>
      <c r="BP539" t="s">
        <v>10866</v>
      </c>
      <c r="BR539">
        <v>42791756</v>
      </c>
      <c r="BT539">
        <v>0</v>
      </c>
      <c r="CM539">
        <v>4010</v>
      </c>
      <c r="CO539">
        <v>7360</v>
      </c>
      <c r="CP539">
        <v>1.5832999999999999</v>
      </c>
      <c r="CQ539">
        <v>1.5832999999999999</v>
      </c>
      <c r="CR539">
        <v>2.5667</v>
      </c>
      <c r="CS539">
        <v>0</v>
      </c>
      <c r="CT539" t="s">
        <v>10873</v>
      </c>
      <c r="CU539" t="s">
        <v>10872</v>
      </c>
      <c r="CV539" t="s">
        <v>833</v>
      </c>
      <c r="CW539" t="s">
        <v>834</v>
      </c>
      <c r="CX539" t="s">
        <v>3218</v>
      </c>
      <c r="CY539">
        <v>1</v>
      </c>
      <c r="CZ539">
        <v>1</v>
      </c>
      <c r="DA539" t="s">
        <v>833</v>
      </c>
      <c r="DB539" t="s">
        <v>865</v>
      </c>
      <c r="DC539">
        <v>60435</v>
      </c>
      <c r="DD539">
        <v>12.316700000000001</v>
      </c>
      <c r="DE539" t="s">
        <v>866</v>
      </c>
      <c r="DG539" t="s">
        <v>867</v>
      </c>
      <c r="DH539" t="s">
        <v>851</v>
      </c>
      <c r="DI539" t="s">
        <v>984</v>
      </c>
      <c r="DL539" t="s">
        <v>869</v>
      </c>
      <c r="DM539">
        <v>0</v>
      </c>
      <c r="DN539">
        <v>0</v>
      </c>
      <c r="DO539">
        <v>11</v>
      </c>
      <c r="DP539" t="s">
        <v>1010</v>
      </c>
      <c r="DQ539">
        <v>12</v>
      </c>
      <c r="DR539">
        <v>739</v>
      </c>
      <c r="DS539">
        <v>1459</v>
      </c>
      <c r="DT539">
        <v>1.8833</v>
      </c>
      <c r="DU539">
        <v>4</v>
      </c>
      <c r="DW539">
        <v>1</v>
      </c>
      <c r="DX539" t="s">
        <v>596</v>
      </c>
      <c r="DY539" t="s">
        <v>3218</v>
      </c>
      <c r="DZ539">
        <v>0</v>
      </c>
      <c r="EA539">
        <v>0</v>
      </c>
      <c r="EB539">
        <v>1</v>
      </c>
      <c r="EC539">
        <v>1</v>
      </c>
      <c r="ED539">
        <v>1</v>
      </c>
      <c r="EE539">
        <v>1</v>
      </c>
      <c r="EF539" t="s">
        <v>920</v>
      </c>
      <c r="EG539" t="s">
        <v>595</v>
      </c>
      <c r="EH539" t="s">
        <v>1036</v>
      </c>
      <c r="EI539" t="s">
        <v>1036</v>
      </c>
      <c r="EJ539" t="s">
        <v>181</v>
      </c>
      <c r="EK539">
        <v>9090</v>
      </c>
      <c r="EL539">
        <v>1</v>
      </c>
      <c r="EM539" t="s">
        <v>1436</v>
      </c>
      <c r="EN539">
        <v>3.0832999999999999</v>
      </c>
      <c r="EO539">
        <v>24.316666600000001</v>
      </c>
      <c r="EP539">
        <v>99991120</v>
      </c>
      <c r="EQ539" t="s">
        <v>874</v>
      </c>
      <c r="ER539" t="s">
        <v>875</v>
      </c>
      <c r="ES539" t="s">
        <v>876</v>
      </c>
      <c r="ET539" t="s">
        <v>877</v>
      </c>
      <c r="EU539" t="s">
        <v>877</v>
      </c>
      <c r="EV539" t="s">
        <v>920</v>
      </c>
      <c r="EX539" t="s">
        <v>836</v>
      </c>
      <c r="EY539" t="s">
        <v>873</v>
      </c>
      <c r="EZ539" t="s">
        <v>1437</v>
      </c>
      <c r="FA539" t="s">
        <v>956</v>
      </c>
      <c r="FB539">
        <v>1</v>
      </c>
      <c r="FC539">
        <v>2</v>
      </c>
      <c r="FD539" s="41">
        <v>45990</v>
      </c>
      <c r="FE539" t="s">
        <v>1438</v>
      </c>
      <c r="FF539">
        <v>9</v>
      </c>
      <c r="FG539" t="s">
        <v>10874</v>
      </c>
      <c r="FH539" t="s">
        <v>10875</v>
      </c>
      <c r="FI539">
        <v>1</v>
      </c>
      <c r="FJ539" t="s">
        <v>10876</v>
      </c>
      <c r="FK539" t="s">
        <v>10875</v>
      </c>
      <c r="FL539">
        <v>1</v>
      </c>
      <c r="FM539" t="s">
        <v>3230</v>
      </c>
      <c r="FN539" t="s">
        <v>10877</v>
      </c>
      <c r="FO539">
        <v>1</v>
      </c>
      <c r="FP539" t="s">
        <v>10878</v>
      </c>
      <c r="FQ539" t="s">
        <v>10879</v>
      </c>
      <c r="FR539">
        <v>1</v>
      </c>
      <c r="FS539" t="s">
        <v>10880</v>
      </c>
      <c r="FT539" t="s">
        <v>10881</v>
      </c>
      <c r="FU539">
        <v>1</v>
      </c>
      <c r="FV539" t="s">
        <v>10882</v>
      </c>
      <c r="FW539" t="s">
        <v>10883</v>
      </c>
      <c r="FX539">
        <v>1</v>
      </c>
      <c r="FY539" t="s">
        <v>890</v>
      </c>
      <c r="FZ539" t="s">
        <v>10884</v>
      </c>
      <c r="GA539" t="s">
        <v>10876</v>
      </c>
      <c r="GB539">
        <v>1</v>
      </c>
      <c r="GD539">
        <v>0</v>
      </c>
      <c r="GF539">
        <v>0</v>
      </c>
      <c r="GG539">
        <v>1</v>
      </c>
      <c r="GH539" t="s">
        <v>892</v>
      </c>
      <c r="GI539" t="s">
        <v>893</v>
      </c>
      <c r="GJ539" t="s">
        <v>10875</v>
      </c>
      <c r="GM539">
        <v>1</v>
      </c>
      <c r="GN539">
        <v>0</v>
      </c>
      <c r="GO539">
        <v>0</v>
      </c>
      <c r="GP539">
        <v>1</v>
      </c>
      <c r="GQ539">
        <v>1</v>
      </c>
      <c r="GR539">
        <v>0</v>
      </c>
      <c r="GS539">
        <v>1</v>
      </c>
      <c r="GT539">
        <v>0</v>
      </c>
      <c r="GU539">
        <v>1</v>
      </c>
      <c r="GV539">
        <v>0</v>
      </c>
      <c r="GW539">
        <v>1</v>
      </c>
      <c r="GX539">
        <v>0</v>
      </c>
      <c r="GY539">
        <v>1</v>
      </c>
      <c r="GZ539">
        <v>0</v>
      </c>
      <c r="HA539" t="s">
        <v>502</v>
      </c>
      <c r="HB539" t="s">
        <v>894</v>
      </c>
      <c r="HC539" t="s">
        <v>895</v>
      </c>
      <c r="HD539" t="s">
        <v>845</v>
      </c>
      <c r="HE539" t="s">
        <v>836</v>
      </c>
      <c r="HF539" t="s">
        <v>873</v>
      </c>
      <c r="HG539" t="s">
        <v>894</v>
      </c>
      <c r="HH539" t="s">
        <v>895</v>
      </c>
      <c r="HI539" t="s">
        <v>845</v>
      </c>
      <c r="HJ539" t="s">
        <v>836</v>
      </c>
      <c r="HK539" t="s">
        <v>1436</v>
      </c>
      <c r="HL539" t="s">
        <v>187</v>
      </c>
      <c r="HM539" t="s">
        <v>854</v>
      </c>
      <c r="HN539">
        <v>36805</v>
      </c>
      <c r="HP539" t="s">
        <v>181</v>
      </c>
      <c r="HQ539" t="s">
        <v>896</v>
      </c>
      <c r="HR539" t="s">
        <v>896</v>
      </c>
      <c r="HS539" t="s">
        <v>896</v>
      </c>
    </row>
    <row r="540" spans="1:227" x14ac:dyDescent="0.2">
      <c r="A540">
        <v>8702</v>
      </c>
      <c r="B540">
        <v>7530204472</v>
      </c>
      <c r="C540">
        <v>82</v>
      </c>
      <c r="D540" t="s">
        <v>969</v>
      </c>
      <c r="E540" t="s">
        <v>831</v>
      </c>
      <c r="F540">
        <v>0</v>
      </c>
      <c r="G540" t="s">
        <v>10885</v>
      </c>
      <c r="H540" t="s">
        <v>10885</v>
      </c>
      <c r="I540">
        <v>0</v>
      </c>
      <c r="J540" t="s">
        <v>833</v>
      </c>
      <c r="K540" t="s">
        <v>834</v>
      </c>
      <c r="L540">
        <v>153294190</v>
      </c>
      <c r="M540" t="s">
        <v>3338</v>
      </c>
      <c r="N540" t="s">
        <v>836</v>
      </c>
      <c r="O540" t="s">
        <v>837</v>
      </c>
      <c r="P540" t="s">
        <v>972</v>
      </c>
      <c r="Q540" t="s">
        <v>973</v>
      </c>
      <c r="R540" t="s">
        <v>7231</v>
      </c>
      <c r="S540" t="s">
        <v>10886</v>
      </c>
      <c r="T540">
        <v>41477094299</v>
      </c>
      <c r="V540" t="s">
        <v>136</v>
      </c>
      <c r="W540" s="41">
        <v>45960</v>
      </c>
      <c r="X540" t="s">
        <v>10887</v>
      </c>
      <c r="Y540" t="s">
        <v>10888</v>
      </c>
      <c r="AA540">
        <v>0</v>
      </c>
      <c r="AB540" t="s">
        <v>845</v>
      </c>
      <c r="AC540" t="s">
        <v>846</v>
      </c>
      <c r="AD540" t="s">
        <v>847</v>
      </c>
      <c r="AE540" t="s">
        <v>848</v>
      </c>
      <c r="AF540">
        <v>1</v>
      </c>
      <c r="AG540">
        <v>452210</v>
      </c>
      <c r="AH540" t="s">
        <v>849</v>
      </c>
      <c r="AI540" t="s">
        <v>850</v>
      </c>
      <c r="AJ540" t="s">
        <v>851</v>
      </c>
      <c r="AK540" t="s">
        <v>354</v>
      </c>
      <c r="AL540" t="s">
        <v>1206</v>
      </c>
      <c r="AM540" t="s">
        <v>1207</v>
      </c>
      <c r="AN540" t="s">
        <v>854</v>
      </c>
      <c r="AO540">
        <v>36805</v>
      </c>
      <c r="AP540">
        <v>523</v>
      </c>
      <c r="AQ540" t="s">
        <v>855</v>
      </c>
      <c r="AR540">
        <v>66180469</v>
      </c>
      <c r="AS540" t="s">
        <v>856</v>
      </c>
      <c r="AU540" t="s">
        <v>10889</v>
      </c>
      <c r="AV540" t="s">
        <v>10890</v>
      </c>
      <c r="AX540" t="s">
        <v>913</v>
      </c>
      <c r="AY540" t="s">
        <v>861</v>
      </c>
      <c r="AZ540" t="s">
        <v>354</v>
      </c>
      <c r="BA540" t="s">
        <v>355</v>
      </c>
      <c r="BB540">
        <v>0</v>
      </c>
      <c r="BC540">
        <v>0</v>
      </c>
      <c r="BD540">
        <v>0</v>
      </c>
      <c r="BE540" t="s">
        <v>3338</v>
      </c>
      <c r="BF540">
        <v>0</v>
      </c>
      <c r="BG540">
        <v>0</v>
      </c>
      <c r="BH540" t="s">
        <v>862</v>
      </c>
      <c r="BI540">
        <v>0</v>
      </c>
      <c r="BJ540" t="s">
        <v>862</v>
      </c>
      <c r="BK540">
        <v>1</v>
      </c>
      <c r="BL540">
        <v>1</v>
      </c>
      <c r="BM540">
        <v>0</v>
      </c>
      <c r="BN540" t="s">
        <v>596</v>
      </c>
      <c r="BO540">
        <v>153294190</v>
      </c>
      <c r="BP540" t="s">
        <v>10885</v>
      </c>
      <c r="BQ540">
        <v>40.4131742</v>
      </c>
      <c r="BR540">
        <v>42791433</v>
      </c>
      <c r="BS540">
        <v>-86.839574200000001</v>
      </c>
      <c r="BT540">
        <v>0</v>
      </c>
      <c r="CM540">
        <v>4010</v>
      </c>
      <c r="CO540">
        <v>7360</v>
      </c>
      <c r="CP540">
        <v>0.45</v>
      </c>
      <c r="CQ540">
        <v>0.45</v>
      </c>
      <c r="CR540">
        <v>2.1667000000000001</v>
      </c>
      <c r="CS540">
        <v>3</v>
      </c>
      <c r="CT540" t="s">
        <v>10891</v>
      </c>
      <c r="CU540" t="s">
        <v>10892</v>
      </c>
      <c r="CV540" t="s">
        <v>833</v>
      </c>
      <c r="CW540" t="s">
        <v>834</v>
      </c>
      <c r="CX540" t="s">
        <v>3338</v>
      </c>
      <c r="CY540">
        <v>0</v>
      </c>
      <c r="CZ540">
        <v>0</v>
      </c>
      <c r="DA540" t="s">
        <v>833</v>
      </c>
      <c r="DB540" t="s">
        <v>865</v>
      </c>
      <c r="DC540">
        <v>47905</v>
      </c>
      <c r="DD540">
        <v>13.9</v>
      </c>
      <c r="DE540" t="s">
        <v>866</v>
      </c>
      <c r="DG540" t="s">
        <v>867</v>
      </c>
      <c r="DH540" t="s">
        <v>851</v>
      </c>
      <c r="DI540" t="s">
        <v>3345</v>
      </c>
      <c r="DL540" t="s">
        <v>869</v>
      </c>
      <c r="DM540">
        <v>0</v>
      </c>
      <c r="DN540">
        <v>0</v>
      </c>
      <c r="DO540">
        <v>2</v>
      </c>
      <c r="DP540" t="s">
        <v>870</v>
      </c>
      <c r="DQ540">
        <v>12</v>
      </c>
      <c r="DR540">
        <v>834</v>
      </c>
      <c r="DS540">
        <v>1554</v>
      </c>
      <c r="DT540">
        <v>13.45</v>
      </c>
      <c r="DU540">
        <v>4</v>
      </c>
      <c r="DW540">
        <v>1</v>
      </c>
      <c r="DX540" t="s">
        <v>596</v>
      </c>
      <c r="DY540" t="s">
        <v>3338</v>
      </c>
      <c r="DZ540">
        <v>0</v>
      </c>
      <c r="EA540">
        <v>0</v>
      </c>
      <c r="EB540">
        <v>1</v>
      </c>
      <c r="EC540">
        <v>0</v>
      </c>
      <c r="ED540">
        <v>0</v>
      </c>
      <c r="EE540">
        <v>1</v>
      </c>
      <c r="EF540" t="s">
        <v>920</v>
      </c>
      <c r="EG540" t="s">
        <v>595</v>
      </c>
      <c r="EH540" t="s">
        <v>1036</v>
      </c>
      <c r="EI540" t="s">
        <v>1036</v>
      </c>
      <c r="EJ540" t="s">
        <v>134</v>
      </c>
      <c r="EK540">
        <v>9090</v>
      </c>
      <c r="EL540">
        <v>0</v>
      </c>
      <c r="EM540" t="s">
        <v>1436</v>
      </c>
      <c r="EN540">
        <v>2.1667000000000001</v>
      </c>
      <c r="EO540">
        <v>25.9</v>
      </c>
      <c r="EP540">
        <v>99991120</v>
      </c>
      <c r="EQ540" t="s">
        <v>874</v>
      </c>
      <c r="ER540" t="s">
        <v>875</v>
      </c>
      <c r="ES540" t="s">
        <v>876</v>
      </c>
      <c r="ET540" t="s">
        <v>877</v>
      </c>
      <c r="EU540" t="s">
        <v>877</v>
      </c>
      <c r="EV540" t="s">
        <v>920</v>
      </c>
      <c r="EX540" t="s">
        <v>953</v>
      </c>
      <c r="EY540" t="s">
        <v>1555</v>
      </c>
      <c r="EZ540" t="s">
        <v>1211</v>
      </c>
      <c r="FA540" t="s">
        <v>1212</v>
      </c>
      <c r="FB540">
        <v>1</v>
      </c>
      <c r="FC540">
        <v>1</v>
      </c>
      <c r="FD540" s="41">
        <v>45962</v>
      </c>
      <c r="FE540" t="s">
        <v>1039</v>
      </c>
      <c r="FF540">
        <v>6</v>
      </c>
      <c r="FG540" t="s">
        <v>5938</v>
      </c>
      <c r="FH540" t="s">
        <v>10893</v>
      </c>
      <c r="FI540">
        <v>1</v>
      </c>
      <c r="FJ540" t="s">
        <v>10894</v>
      </c>
      <c r="FK540" t="s">
        <v>10895</v>
      </c>
      <c r="FL540">
        <v>1</v>
      </c>
      <c r="FM540" t="s">
        <v>10896</v>
      </c>
      <c r="FN540" t="s">
        <v>10897</v>
      </c>
      <c r="FO540">
        <v>1</v>
      </c>
      <c r="FP540" t="s">
        <v>10898</v>
      </c>
      <c r="FQ540" t="s">
        <v>10892</v>
      </c>
      <c r="FR540">
        <v>1</v>
      </c>
      <c r="FS540" t="s">
        <v>2048</v>
      </c>
      <c r="FT540" t="s">
        <v>10899</v>
      </c>
      <c r="FU540">
        <v>1</v>
      </c>
      <c r="FV540" t="s">
        <v>10211</v>
      </c>
      <c r="FW540" t="s">
        <v>10900</v>
      </c>
      <c r="FX540">
        <v>1</v>
      </c>
      <c r="FY540" t="s">
        <v>890</v>
      </c>
      <c r="FZ540" t="s">
        <v>10901</v>
      </c>
      <c r="GA540" t="s">
        <v>10894</v>
      </c>
      <c r="GB540">
        <v>1</v>
      </c>
      <c r="GD540">
        <v>0</v>
      </c>
      <c r="GF540">
        <v>0</v>
      </c>
      <c r="GG540">
        <v>1</v>
      </c>
      <c r="GH540" t="s">
        <v>892</v>
      </c>
      <c r="GI540" t="s">
        <v>893</v>
      </c>
      <c r="GJ540" t="s">
        <v>10895</v>
      </c>
      <c r="GM540">
        <v>1</v>
      </c>
      <c r="GN540">
        <v>1</v>
      </c>
      <c r="GO540">
        <v>0</v>
      </c>
      <c r="GP540">
        <v>1</v>
      </c>
      <c r="GQ540">
        <v>1</v>
      </c>
      <c r="GR540">
        <v>0</v>
      </c>
      <c r="GS540">
        <v>1</v>
      </c>
      <c r="GT540">
        <v>0</v>
      </c>
      <c r="GU540">
        <v>1</v>
      </c>
      <c r="GV540">
        <v>0</v>
      </c>
      <c r="GW540">
        <v>1</v>
      </c>
      <c r="GX540">
        <v>0</v>
      </c>
      <c r="GY540">
        <v>1</v>
      </c>
      <c r="GZ540">
        <v>0</v>
      </c>
      <c r="HA540" t="s">
        <v>354</v>
      </c>
      <c r="HB540" t="s">
        <v>894</v>
      </c>
      <c r="HC540" t="s">
        <v>895</v>
      </c>
      <c r="HD540" t="s">
        <v>845</v>
      </c>
      <c r="HE540" t="s">
        <v>836</v>
      </c>
      <c r="HF540" t="s">
        <v>873</v>
      </c>
      <c r="HG540" t="s">
        <v>894</v>
      </c>
      <c r="HH540" t="s">
        <v>895</v>
      </c>
      <c r="HI540" t="s">
        <v>845</v>
      </c>
      <c r="HJ540" t="s">
        <v>836</v>
      </c>
      <c r="HK540" t="s">
        <v>1436</v>
      </c>
      <c r="HL540" t="s">
        <v>136</v>
      </c>
      <c r="HM540" t="s">
        <v>854</v>
      </c>
      <c r="HN540">
        <v>36805</v>
      </c>
      <c r="HP540" t="s">
        <v>134</v>
      </c>
      <c r="HQ540" t="s">
        <v>896</v>
      </c>
      <c r="HR540" t="s">
        <v>896</v>
      </c>
      <c r="HS540" t="s">
        <v>896</v>
      </c>
    </row>
    <row r="541" spans="1:227" x14ac:dyDescent="0.2">
      <c r="A541">
        <v>8702</v>
      </c>
      <c r="B541">
        <v>7614100383</v>
      </c>
      <c r="C541" t="s">
        <v>936</v>
      </c>
      <c r="D541" t="s">
        <v>937</v>
      </c>
      <c r="E541" t="s">
        <v>831</v>
      </c>
      <c r="F541">
        <v>2</v>
      </c>
      <c r="G541" t="s">
        <v>10902</v>
      </c>
      <c r="H541" t="s">
        <v>10902</v>
      </c>
      <c r="I541">
        <v>0</v>
      </c>
      <c r="J541" t="s">
        <v>833</v>
      </c>
      <c r="K541" t="s">
        <v>834</v>
      </c>
      <c r="L541">
        <v>152832711</v>
      </c>
      <c r="M541" t="s">
        <v>10903</v>
      </c>
      <c r="N541" t="s">
        <v>836</v>
      </c>
      <c r="O541" t="s">
        <v>837</v>
      </c>
      <c r="P541" t="s">
        <v>940</v>
      </c>
      <c r="Q541" t="s">
        <v>2404</v>
      </c>
      <c r="R541" t="s">
        <v>10904</v>
      </c>
      <c r="S541" t="s">
        <v>10905</v>
      </c>
      <c r="T541">
        <v>41477050799</v>
      </c>
      <c r="V541" t="s">
        <v>189</v>
      </c>
      <c r="W541" s="41">
        <v>46164</v>
      </c>
      <c r="X541" t="s">
        <v>10906</v>
      </c>
      <c r="Y541" t="s">
        <v>10907</v>
      </c>
      <c r="AA541">
        <v>0</v>
      </c>
      <c r="AB541" t="s">
        <v>845</v>
      </c>
      <c r="AC541" t="s">
        <v>846</v>
      </c>
      <c r="AD541" t="s">
        <v>907</v>
      </c>
      <c r="AE541" t="s">
        <v>908</v>
      </c>
      <c r="AF541">
        <v>1</v>
      </c>
      <c r="AG541">
        <v>452210</v>
      </c>
      <c r="AH541" t="s">
        <v>849</v>
      </c>
      <c r="AI541" t="s">
        <v>850</v>
      </c>
      <c r="AJ541" t="s">
        <v>851</v>
      </c>
      <c r="AK541" t="s">
        <v>504</v>
      </c>
      <c r="AL541" t="s">
        <v>10908</v>
      </c>
      <c r="AM541" t="s">
        <v>2646</v>
      </c>
      <c r="AN541" t="s">
        <v>854</v>
      </c>
      <c r="AO541">
        <v>36805</v>
      </c>
      <c r="AP541">
        <v>635</v>
      </c>
      <c r="AQ541" t="s">
        <v>855</v>
      </c>
      <c r="AR541">
        <v>66473833</v>
      </c>
      <c r="AS541" t="s">
        <v>856</v>
      </c>
      <c r="AU541" t="s">
        <v>10909</v>
      </c>
      <c r="AV541" t="s">
        <v>10910</v>
      </c>
      <c r="AX541" t="s">
        <v>913</v>
      </c>
      <c r="AY541" t="s">
        <v>861</v>
      </c>
      <c r="AZ541" t="s">
        <v>504</v>
      </c>
      <c r="BA541" t="s">
        <v>505</v>
      </c>
      <c r="BB541">
        <v>0</v>
      </c>
      <c r="BC541">
        <v>0</v>
      </c>
      <c r="BD541">
        <v>0</v>
      </c>
      <c r="BE541" t="s">
        <v>10903</v>
      </c>
      <c r="BF541">
        <v>0</v>
      </c>
      <c r="BG541">
        <v>0</v>
      </c>
      <c r="BH541" t="s">
        <v>862</v>
      </c>
      <c r="BI541">
        <v>0</v>
      </c>
      <c r="BJ541" t="s">
        <v>862</v>
      </c>
      <c r="BK541">
        <v>1</v>
      </c>
      <c r="BL541">
        <v>1</v>
      </c>
      <c r="BM541">
        <v>0</v>
      </c>
      <c r="BN541" t="s">
        <v>596</v>
      </c>
      <c r="BO541">
        <v>152832711</v>
      </c>
      <c r="BP541" t="s">
        <v>10902</v>
      </c>
      <c r="BR541">
        <v>42791757</v>
      </c>
      <c r="BT541">
        <v>2</v>
      </c>
      <c r="BU541" t="s">
        <v>1803</v>
      </c>
      <c r="BY541">
        <v>16</v>
      </c>
      <c r="CA541">
        <v>7</v>
      </c>
      <c r="CE541">
        <v>1</v>
      </c>
      <c r="CI541">
        <v>11</v>
      </c>
      <c r="CJ541" t="s">
        <v>94</v>
      </c>
      <c r="CM541">
        <v>4010</v>
      </c>
      <c r="CO541">
        <v>7360</v>
      </c>
      <c r="CP541">
        <v>1.7166999999999999</v>
      </c>
      <c r="CQ541">
        <v>1.7166999999999999</v>
      </c>
      <c r="CR541">
        <v>1.7166999999999999</v>
      </c>
      <c r="CS541">
        <v>2</v>
      </c>
      <c r="CT541" t="s">
        <v>10911</v>
      </c>
      <c r="CU541" t="s">
        <v>10912</v>
      </c>
      <c r="CV541" t="s">
        <v>833</v>
      </c>
      <c r="CW541" t="s">
        <v>834</v>
      </c>
      <c r="CX541" t="s">
        <v>10903</v>
      </c>
      <c r="CY541">
        <v>0</v>
      </c>
      <c r="CZ541">
        <v>0</v>
      </c>
      <c r="DA541" t="s">
        <v>833</v>
      </c>
      <c r="DB541" t="s">
        <v>865</v>
      </c>
      <c r="DC541">
        <v>60647</v>
      </c>
      <c r="DD541">
        <v>6.8333000000000004</v>
      </c>
      <c r="DE541" t="s">
        <v>866</v>
      </c>
      <c r="DG541" t="s">
        <v>867</v>
      </c>
      <c r="DH541" t="s">
        <v>851</v>
      </c>
      <c r="DI541" t="s">
        <v>2105</v>
      </c>
      <c r="DK541" t="s">
        <v>918</v>
      </c>
      <c r="DL541" t="s">
        <v>869</v>
      </c>
      <c r="DM541">
        <v>0</v>
      </c>
      <c r="DN541">
        <v>0</v>
      </c>
      <c r="DO541">
        <v>3</v>
      </c>
      <c r="DP541" t="s">
        <v>919</v>
      </c>
      <c r="DQ541">
        <v>16</v>
      </c>
      <c r="DR541">
        <v>410</v>
      </c>
      <c r="DS541">
        <v>1130</v>
      </c>
      <c r="DT541">
        <v>5.1166999999999998</v>
      </c>
      <c r="DU541">
        <v>4</v>
      </c>
      <c r="DV541">
        <v>1</v>
      </c>
      <c r="DW541">
        <v>2</v>
      </c>
      <c r="DX541" t="s">
        <v>596</v>
      </c>
      <c r="DY541" t="s">
        <v>10903</v>
      </c>
      <c r="DZ541">
        <v>1</v>
      </c>
      <c r="EA541">
        <v>1</v>
      </c>
      <c r="EB541">
        <v>1</v>
      </c>
      <c r="EC541">
        <v>0</v>
      </c>
      <c r="ED541">
        <v>0</v>
      </c>
      <c r="EE541">
        <v>1</v>
      </c>
      <c r="EF541" t="s">
        <v>871</v>
      </c>
      <c r="EG541" t="s">
        <v>595</v>
      </c>
      <c r="EH541" t="s">
        <v>921</v>
      </c>
      <c r="EI541" t="s">
        <v>921</v>
      </c>
      <c r="EJ541" t="s">
        <v>181</v>
      </c>
      <c r="EK541">
        <v>9090</v>
      </c>
      <c r="EL541">
        <v>0</v>
      </c>
      <c r="EM541" t="s">
        <v>1436</v>
      </c>
      <c r="EN541">
        <v>1.7166999999999999</v>
      </c>
      <c r="EO541">
        <v>18.8333333</v>
      </c>
      <c r="EP541">
        <v>99991120</v>
      </c>
      <c r="EQ541" t="s">
        <v>874</v>
      </c>
      <c r="ER541" t="s">
        <v>875</v>
      </c>
      <c r="ES541" t="s">
        <v>876</v>
      </c>
      <c r="ET541" t="s">
        <v>877</v>
      </c>
      <c r="EU541" t="s">
        <v>877</v>
      </c>
      <c r="EV541" t="s">
        <v>871</v>
      </c>
      <c r="EX541" t="s">
        <v>836</v>
      </c>
      <c r="EY541" t="s">
        <v>873</v>
      </c>
      <c r="EZ541" t="s">
        <v>1437</v>
      </c>
      <c r="FA541" t="s">
        <v>956</v>
      </c>
      <c r="FB541">
        <v>1</v>
      </c>
      <c r="FC541">
        <v>1</v>
      </c>
      <c r="FD541" s="41">
        <v>46165</v>
      </c>
      <c r="FE541" t="s">
        <v>1808</v>
      </c>
      <c r="FF541">
        <v>7</v>
      </c>
      <c r="FG541" t="s">
        <v>10913</v>
      </c>
      <c r="FH541" t="s">
        <v>10914</v>
      </c>
      <c r="FI541">
        <v>1</v>
      </c>
      <c r="FJ541" t="s">
        <v>10915</v>
      </c>
      <c r="FK541" t="s">
        <v>10916</v>
      </c>
      <c r="FL541">
        <v>1</v>
      </c>
      <c r="FM541" t="s">
        <v>10917</v>
      </c>
      <c r="FN541" t="s">
        <v>10918</v>
      </c>
      <c r="FO541">
        <v>1</v>
      </c>
      <c r="FP541" t="s">
        <v>10919</v>
      </c>
      <c r="FQ541" t="s">
        <v>10912</v>
      </c>
      <c r="FR541">
        <v>1</v>
      </c>
      <c r="FS541" t="s">
        <v>2616</v>
      </c>
      <c r="FT541" t="s">
        <v>10920</v>
      </c>
      <c r="FU541">
        <v>1</v>
      </c>
      <c r="FV541" t="s">
        <v>7745</v>
      </c>
      <c r="FW541" t="s">
        <v>10921</v>
      </c>
      <c r="FX541">
        <v>1</v>
      </c>
      <c r="FY541" t="s">
        <v>890</v>
      </c>
      <c r="FZ541" t="s">
        <v>10922</v>
      </c>
      <c r="GA541" t="s">
        <v>10915</v>
      </c>
      <c r="GB541">
        <v>1</v>
      </c>
      <c r="GD541">
        <v>0</v>
      </c>
      <c r="GF541">
        <v>0</v>
      </c>
      <c r="GG541">
        <v>1</v>
      </c>
      <c r="GH541" t="s">
        <v>892</v>
      </c>
      <c r="GI541" t="s">
        <v>893</v>
      </c>
      <c r="GJ541" t="s">
        <v>10916</v>
      </c>
      <c r="GM541">
        <v>1</v>
      </c>
      <c r="GN541">
        <v>1</v>
      </c>
      <c r="GO541">
        <v>0</v>
      </c>
      <c r="GP541">
        <v>1</v>
      </c>
      <c r="GQ541">
        <v>1</v>
      </c>
      <c r="GR541">
        <v>0</v>
      </c>
      <c r="GS541">
        <v>1</v>
      </c>
      <c r="GT541">
        <v>0</v>
      </c>
      <c r="GU541">
        <v>1</v>
      </c>
      <c r="GV541">
        <v>0</v>
      </c>
      <c r="GW541">
        <v>1</v>
      </c>
      <c r="GX541">
        <v>0</v>
      </c>
      <c r="GY541">
        <v>1</v>
      </c>
      <c r="GZ541">
        <v>0</v>
      </c>
      <c r="HA541" t="s">
        <v>504</v>
      </c>
      <c r="HB541" t="s">
        <v>894</v>
      </c>
      <c r="HC541" t="s">
        <v>895</v>
      </c>
      <c r="HD541" t="s">
        <v>845</v>
      </c>
      <c r="HE541" t="s">
        <v>836</v>
      </c>
      <c r="HF541" t="s">
        <v>873</v>
      </c>
      <c r="HG541" t="s">
        <v>894</v>
      </c>
      <c r="HH541" t="s">
        <v>895</v>
      </c>
      <c r="HI541" t="s">
        <v>845</v>
      </c>
      <c r="HJ541" t="s">
        <v>836</v>
      </c>
      <c r="HK541" t="s">
        <v>1436</v>
      </c>
      <c r="HL541" t="s">
        <v>189</v>
      </c>
      <c r="HM541" t="s">
        <v>854</v>
      </c>
      <c r="HN541">
        <v>36805</v>
      </c>
      <c r="HP541" t="s">
        <v>181</v>
      </c>
      <c r="HQ541" t="s">
        <v>896</v>
      </c>
      <c r="HR541" t="s">
        <v>896</v>
      </c>
      <c r="HS541" t="s">
        <v>896</v>
      </c>
    </row>
    <row r="542" spans="1:227" x14ac:dyDescent="0.2">
      <c r="A542">
        <v>8702</v>
      </c>
      <c r="B542">
        <v>7534202221</v>
      </c>
      <c r="C542" t="s">
        <v>829</v>
      </c>
      <c r="D542" t="s">
        <v>830</v>
      </c>
      <c r="E542" t="s">
        <v>831</v>
      </c>
      <c r="F542">
        <v>1</v>
      </c>
      <c r="G542" t="s">
        <v>10923</v>
      </c>
      <c r="H542" t="s">
        <v>10923</v>
      </c>
      <c r="I542">
        <v>0</v>
      </c>
      <c r="J542" t="s">
        <v>833</v>
      </c>
      <c r="K542" t="s">
        <v>834</v>
      </c>
      <c r="L542">
        <v>152832719</v>
      </c>
      <c r="M542" t="s">
        <v>2640</v>
      </c>
      <c r="N542" t="s">
        <v>836</v>
      </c>
      <c r="O542" t="s">
        <v>837</v>
      </c>
      <c r="P542" t="s">
        <v>838</v>
      </c>
      <c r="Q542" t="s">
        <v>1279</v>
      </c>
      <c r="R542" t="s">
        <v>10924</v>
      </c>
      <c r="S542" t="s">
        <v>10925</v>
      </c>
      <c r="T542">
        <v>30300122802</v>
      </c>
      <c r="V542" t="s">
        <v>189</v>
      </c>
      <c r="W542" s="41">
        <v>45999</v>
      </c>
      <c r="X542" t="s">
        <v>10926</v>
      </c>
      <c r="Y542" t="s">
        <v>10927</v>
      </c>
      <c r="AA542">
        <v>0</v>
      </c>
      <c r="AB542" t="s">
        <v>845</v>
      </c>
      <c r="AC542" t="s">
        <v>846</v>
      </c>
      <c r="AD542" t="s">
        <v>847</v>
      </c>
      <c r="AE542" t="s">
        <v>848</v>
      </c>
      <c r="AF542">
        <v>1</v>
      </c>
      <c r="AG542">
        <v>452210</v>
      </c>
      <c r="AH542" t="s">
        <v>849</v>
      </c>
      <c r="AI542" t="s">
        <v>850</v>
      </c>
      <c r="AJ542" t="s">
        <v>851</v>
      </c>
      <c r="AK542" t="s">
        <v>385</v>
      </c>
      <c r="AL542" t="s">
        <v>2251</v>
      </c>
      <c r="AM542" t="s">
        <v>2646</v>
      </c>
      <c r="AN542" t="s">
        <v>854</v>
      </c>
      <c r="AO542">
        <v>36805</v>
      </c>
      <c r="AP542">
        <v>635</v>
      </c>
      <c r="AQ542" t="s">
        <v>855</v>
      </c>
      <c r="AR542">
        <v>66236281</v>
      </c>
      <c r="AS542" t="s">
        <v>856</v>
      </c>
      <c r="AU542" t="s">
        <v>10928</v>
      </c>
      <c r="AV542" t="s">
        <v>10929</v>
      </c>
      <c r="AX542" t="s">
        <v>913</v>
      </c>
      <c r="AY542" t="s">
        <v>861</v>
      </c>
      <c r="AZ542" t="s">
        <v>385</v>
      </c>
      <c r="BA542" t="s">
        <v>386</v>
      </c>
      <c r="BB542">
        <v>0</v>
      </c>
      <c r="BC542">
        <v>0</v>
      </c>
      <c r="BD542">
        <v>0</v>
      </c>
      <c r="BE542" t="s">
        <v>2640</v>
      </c>
      <c r="BF542">
        <v>0</v>
      </c>
      <c r="BG542">
        <v>0</v>
      </c>
      <c r="BH542" t="s">
        <v>862</v>
      </c>
      <c r="BI542">
        <v>0</v>
      </c>
      <c r="BJ542" t="s">
        <v>862</v>
      </c>
      <c r="BK542">
        <v>1</v>
      </c>
      <c r="BL542">
        <v>1</v>
      </c>
      <c r="BM542">
        <v>0</v>
      </c>
      <c r="BN542" t="s">
        <v>596</v>
      </c>
      <c r="BO542">
        <v>152832719</v>
      </c>
      <c r="BP542" t="s">
        <v>10923</v>
      </c>
      <c r="BR542">
        <v>42791757</v>
      </c>
      <c r="BT542">
        <v>0</v>
      </c>
      <c r="CM542">
        <v>4010</v>
      </c>
      <c r="CO542">
        <v>7360</v>
      </c>
      <c r="CP542">
        <v>1.4666999999999999</v>
      </c>
      <c r="CQ542">
        <v>1.4666999999999999</v>
      </c>
      <c r="CR542">
        <v>0.55000000000000004</v>
      </c>
      <c r="CS542">
        <v>6</v>
      </c>
      <c r="CT542" t="s">
        <v>10930</v>
      </c>
      <c r="CU542" t="s">
        <v>10931</v>
      </c>
      <c r="CV542" t="s">
        <v>833</v>
      </c>
      <c r="CW542" t="s">
        <v>834</v>
      </c>
      <c r="CX542" t="s">
        <v>2640</v>
      </c>
      <c r="CY542">
        <v>0</v>
      </c>
      <c r="CZ542">
        <v>0</v>
      </c>
      <c r="DA542" t="s">
        <v>833</v>
      </c>
      <c r="DB542" t="s">
        <v>865</v>
      </c>
      <c r="DC542">
        <v>60647</v>
      </c>
      <c r="DD542">
        <v>3.5</v>
      </c>
      <c r="DE542" t="s">
        <v>866</v>
      </c>
      <c r="DG542" t="s">
        <v>867</v>
      </c>
      <c r="DH542" t="s">
        <v>851</v>
      </c>
      <c r="DI542" t="s">
        <v>2105</v>
      </c>
      <c r="DL542" t="s">
        <v>869</v>
      </c>
      <c r="DM542">
        <v>0</v>
      </c>
      <c r="DN542">
        <v>0</v>
      </c>
      <c r="DO542">
        <v>2</v>
      </c>
      <c r="DP542" t="s">
        <v>870</v>
      </c>
      <c r="DQ542">
        <v>16</v>
      </c>
      <c r="DR542">
        <v>210</v>
      </c>
      <c r="DS542">
        <v>265</v>
      </c>
      <c r="DT542">
        <v>2.0333000000000001</v>
      </c>
      <c r="DU542">
        <v>4</v>
      </c>
      <c r="DW542">
        <v>2</v>
      </c>
      <c r="DX542" t="s">
        <v>596</v>
      </c>
      <c r="DY542" t="s">
        <v>2640</v>
      </c>
      <c r="DZ542">
        <v>1</v>
      </c>
      <c r="EA542">
        <v>1</v>
      </c>
      <c r="EB542">
        <v>1</v>
      </c>
      <c r="EC542">
        <v>1</v>
      </c>
      <c r="ED542">
        <v>1</v>
      </c>
      <c r="EE542">
        <v>1</v>
      </c>
      <c r="EF542" t="s">
        <v>871</v>
      </c>
      <c r="EG542" t="s">
        <v>595</v>
      </c>
      <c r="EH542" t="s">
        <v>921</v>
      </c>
      <c r="EI542" t="s">
        <v>921</v>
      </c>
      <c r="EJ542" t="s">
        <v>181</v>
      </c>
      <c r="EK542">
        <v>9090</v>
      </c>
      <c r="EL542">
        <v>0</v>
      </c>
      <c r="EM542" t="s">
        <v>1436</v>
      </c>
      <c r="EN542">
        <v>0.55000000000000004</v>
      </c>
      <c r="EO542">
        <v>4.4166666000000001</v>
      </c>
      <c r="EP542">
        <v>99991120</v>
      </c>
      <c r="EQ542" t="s">
        <v>874</v>
      </c>
      <c r="ER542" t="s">
        <v>875</v>
      </c>
      <c r="ES542" t="s">
        <v>876</v>
      </c>
      <c r="ET542" t="s">
        <v>877</v>
      </c>
      <c r="EU542" t="s">
        <v>877</v>
      </c>
      <c r="EV542" t="s">
        <v>871</v>
      </c>
      <c r="EX542" t="s">
        <v>836</v>
      </c>
      <c r="EY542" t="s">
        <v>873</v>
      </c>
      <c r="EZ542" t="s">
        <v>1437</v>
      </c>
      <c r="FA542" t="s">
        <v>956</v>
      </c>
      <c r="FB542">
        <v>1</v>
      </c>
      <c r="FC542">
        <v>1</v>
      </c>
      <c r="FD542" s="41">
        <v>46004</v>
      </c>
      <c r="FE542" t="s">
        <v>957</v>
      </c>
      <c r="FF542">
        <v>4</v>
      </c>
      <c r="FI542">
        <v>0</v>
      </c>
      <c r="FL542">
        <v>0</v>
      </c>
      <c r="FM542" t="s">
        <v>2652</v>
      </c>
      <c r="FN542" t="s">
        <v>10932</v>
      </c>
      <c r="FO542">
        <v>1</v>
      </c>
      <c r="FP542" t="s">
        <v>10933</v>
      </c>
      <c r="FQ542" t="s">
        <v>10934</v>
      </c>
      <c r="FR542">
        <v>1</v>
      </c>
      <c r="FS542" t="s">
        <v>8967</v>
      </c>
      <c r="FT542" t="s">
        <v>10935</v>
      </c>
      <c r="FU542">
        <v>1</v>
      </c>
      <c r="FV542" t="s">
        <v>10936</v>
      </c>
      <c r="FW542" t="s">
        <v>10937</v>
      </c>
      <c r="FX542">
        <v>1</v>
      </c>
      <c r="FY542" t="s">
        <v>890</v>
      </c>
      <c r="FZ542" t="s">
        <v>10938</v>
      </c>
      <c r="GA542" t="s">
        <v>10936</v>
      </c>
      <c r="GB542">
        <v>1</v>
      </c>
      <c r="GD542">
        <v>0</v>
      </c>
      <c r="GF542">
        <v>0</v>
      </c>
      <c r="GG542">
        <v>1</v>
      </c>
      <c r="GH542" t="s">
        <v>892</v>
      </c>
      <c r="GI542" t="s">
        <v>893</v>
      </c>
      <c r="GJ542" t="s">
        <v>10937</v>
      </c>
      <c r="GM542">
        <v>1</v>
      </c>
      <c r="GN542">
        <v>1</v>
      </c>
      <c r="GO542">
        <v>0</v>
      </c>
      <c r="GP542">
        <v>1</v>
      </c>
      <c r="GQ542">
        <v>1</v>
      </c>
      <c r="GR542">
        <v>0</v>
      </c>
      <c r="GS542">
        <v>1</v>
      </c>
      <c r="GT542">
        <v>0</v>
      </c>
      <c r="GU542">
        <v>1</v>
      </c>
      <c r="GV542">
        <v>0</v>
      </c>
      <c r="GW542">
        <v>1</v>
      </c>
      <c r="GX542">
        <v>0</v>
      </c>
      <c r="GY542">
        <v>1</v>
      </c>
      <c r="GZ542">
        <v>0</v>
      </c>
      <c r="HA542" t="s">
        <v>385</v>
      </c>
      <c r="HB542" t="s">
        <v>894</v>
      </c>
      <c r="HC542" t="s">
        <v>895</v>
      </c>
      <c r="HD542" t="s">
        <v>845</v>
      </c>
      <c r="HE542" t="s">
        <v>836</v>
      </c>
      <c r="HF542" t="s">
        <v>873</v>
      </c>
      <c r="HG542" t="s">
        <v>894</v>
      </c>
      <c r="HH542" t="s">
        <v>895</v>
      </c>
      <c r="HI542" t="s">
        <v>845</v>
      </c>
      <c r="HJ542" t="s">
        <v>836</v>
      </c>
      <c r="HK542" t="s">
        <v>1436</v>
      </c>
      <c r="HL542" t="s">
        <v>189</v>
      </c>
      <c r="HM542" t="s">
        <v>854</v>
      </c>
      <c r="HN542">
        <v>36805</v>
      </c>
      <c r="HP542" t="s">
        <v>181</v>
      </c>
      <c r="HQ542" t="s">
        <v>896</v>
      </c>
      <c r="HR542" t="s">
        <v>896</v>
      </c>
      <c r="HS542" t="s">
        <v>896</v>
      </c>
    </row>
    <row r="543" spans="1:227" x14ac:dyDescent="0.2">
      <c r="A543">
        <v>8702</v>
      </c>
      <c r="B543">
        <v>7531801670</v>
      </c>
      <c r="C543">
        <v>34</v>
      </c>
      <c r="D543" t="s">
        <v>996</v>
      </c>
      <c r="E543" t="s">
        <v>831</v>
      </c>
      <c r="F543">
        <v>1</v>
      </c>
      <c r="G543" t="s">
        <v>10939</v>
      </c>
      <c r="H543" t="s">
        <v>10939</v>
      </c>
      <c r="I543">
        <v>0</v>
      </c>
      <c r="J543" t="s">
        <v>833</v>
      </c>
      <c r="K543" t="s">
        <v>834</v>
      </c>
      <c r="L543">
        <v>156046199</v>
      </c>
      <c r="M543" t="s">
        <v>3644</v>
      </c>
      <c r="N543" t="s">
        <v>836</v>
      </c>
      <c r="O543" t="s">
        <v>837</v>
      </c>
      <c r="P543" t="s">
        <v>999</v>
      </c>
      <c r="Q543" t="s">
        <v>1000</v>
      </c>
      <c r="R543" t="s">
        <v>10940</v>
      </c>
      <c r="S543" t="s">
        <v>10941</v>
      </c>
      <c r="T543">
        <v>41477010333</v>
      </c>
      <c r="V543" t="s">
        <v>187</v>
      </c>
      <c r="W543" s="41">
        <v>45980</v>
      </c>
      <c r="X543" t="s">
        <v>10942</v>
      </c>
      <c r="Y543" t="s">
        <v>10943</v>
      </c>
      <c r="AA543">
        <v>0</v>
      </c>
      <c r="AB543" t="s">
        <v>845</v>
      </c>
      <c r="AC543" t="s">
        <v>846</v>
      </c>
      <c r="AD543" t="s">
        <v>847</v>
      </c>
      <c r="AE543" t="s">
        <v>848</v>
      </c>
      <c r="AF543">
        <v>1</v>
      </c>
      <c r="AG543">
        <v>452210</v>
      </c>
      <c r="AH543" t="s">
        <v>849</v>
      </c>
      <c r="AI543" t="s">
        <v>850</v>
      </c>
      <c r="AJ543" t="s">
        <v>851</v>
      </c>
      <c r="AK543" t="s">
        <v>381</v>
      </c>
      <c r="AL543" t="s">
        <v>1428</v>
      </c>
      <c r="AM543" t="s">
        <v>2553</v>
      </c>
      <c r="AN543" t="s">
        <v>854</v>
      </c>
      <c r="AO543">
        <v>36805</v>
      </c>
      <c r="AP543">
        <v>634</v>
      </c>
      <c r="AQ543" t="s">
        <v>855</v>
      </c>
      <c r="AR543">
        <v>66209021</v>
      </c>
      <c r="AS543" t="s">
        <v>856</v>
      </c>
      <c r="AU543" t="s">
        <v>10944</v>
      </c>
      <c r="AV543" t="s">
        <v>10945</v>
      </c>
      <c r="AX543" t="s">
        <v>913</v>
      </c>
      <c r="AY543" t="s">
        <v>861</v>
      </c>
      <c r="AZ543" t="s">
        <v>381</v>
      </c>
      <c r="BA543" t="s">
        <v>382</v>
      </c>
      <c r="BB543">
        <v>0</v>
      </c>
      <c r="BC543">
        <v>1</v>
      </c>
      <c r="BD543">
        <v>0</v>
      </c>
      <c r="BE543" t="s">
        <v>3644</v>
      </c>
      <c r="BF543">
        <v>0</v>
      </c>
      <c r="BG543">
        <v>0</v>
      </c>
      <c r="BH543" t="s">
        <v>862</v>
      </c>
      <c r="BI543">
        <v>0</v>
      </c>
      <c r="BJ543" t="s">
        <v>862</v>
      </c>
      <c r="BK543">
        <v>1</v>
      </c>
      <c r="BL543">
        <v>1</v>
      </c>
      <c r="BM543">
        <v>0</v>
      </c>
      <c r="BN543" t="s">
        <v>596</v>
      </c>
      <c r="BO543">
        <v>156046199</v>
      </c>
      <c r="BP543" t="s">
        <v>10939</v>
      </c>
      <c r="BR543">
        <v>42791756</v>
      </c>
      <c r="BT543">
        <v>0</v>
      </c>
      <c r="CM543">
        <v>4010</v>
      </c>
      <c r="CO543">
        <v>7360</v>
      </c>
      <c r="CP543">
        <v>1.8667</v>
      </c>
      <c r="CQ543">
        <v>1.8667</v>
      </c>
      <c r="CR543">
        <v>2.4666999999999999</v>
      </c>
      <c r="CS543">
        <v>0</v>
      </c>
      <c r="CT543" t="s">
        <v>10945</v>
      </c>
      <c r="CU543" t="s">
        <v>10944</v>
      </c>
      <c r="CV543" t="s">
        <v>833</v>
      </c>
      <c r="CW543" t="s">
        <v>834</v>
      </c>
      <c r="CX543" t="s">
        <v>3644</v>
      </c>
      <c r="CY543">
        <v>1</v>
      </c>
      <c r="CZ543">
        <v>1</v>
      </c>
      <c r="DA543" t="s">
        <v>833</v>
      </c>
      <c r="DB543" t="s">
        <v>865</v>
      </c>
      <c r="DC543">
        <v>60435</v>
      </c>
      <c r="DD543">
        <v>56.116700000000002</v>
      </c>
      <c r="DE543" t="s">
        <v>866</v>
      </c>
      <c r="DG543" t="s">
        <v>867</v>
      </c>
      <c r="DH543" t="s">
        <v>851</v>
      </c>
      <c r="DI543" t="s">
        <v>984</v>
      </c>
      <c r="DL543" t="s">
        <v>869</v>
      </c>
      <c r="DM543">
        <v>0</v>
      </c>
      <c r="DN543">
        <v>0</v>
      </c>
      <c r="DO543">
        <v>11</v>
      </c>
      <c r="DP543" t="s">
        <v>1010</v>
      </c>
      <c r="DQ543">
        <v>16</v>
      </c>
      <c r="DR543">
        <v>3367</v>
      </c>
      <c r="DS543">
        <v>6967</v>
      </c>
      <c r="DT543">
        <v>3.1166999999999998</v>
      </c>
      <c r="DU543">
        <v>4</v>
      </c>
      <c r="DW543">
        <v>2</v>
      </c>
      <c r="DX543" t="s">
        <v>596</v>
      </c>
      <c r="DY543" t="s">
        <v>3644</v>
      </c>
      <c r="DZ543">
        <v>0</v>
      </c>
      <c r="EA543">
        <v>0</v>
      </c>
      <c r="EB543">
        <v>1</v>
      </c>
      <c r="EC543">
        <v>1</v>
      </c>
      <c r="ED543">
        <v>1</v>
      </c>
      <c r="EE543">
        <v>1</v>
      </c>
      <c r="EF543" t="s">
        <v>871</v>
      </c>
      <c r="EG543" t="s">
        <v>595</v>
      </c>
      <c r="EH543" t="s">
        <v>921</v>
      </c>
      <c r="EI543" t="s">
        <v>921</v>
      </c>
      <c r="EJ543" t="s">
        <v>181</v>
      </c>
      <c r="EK543">
        <v>9090</v>
      </c>
      <c r="EL543">
        <v>1</v>
      </c>
      <c r="EM543" t="s">
        <v>1436</v>
      </c>
      <c r="EN543">
        <v>2.4666999999999999</v>
      </c>
      <c r="EO543">
        <v>116.1166666</v>
      </c>
      <c r="EP543">
        <v>99991120</v>
      </c>
      <c r="EQ543" t="s">
        <v>874</v>
      </c>
      <c r="ER543" t="s">
        <v>875</v>
      </c>
      <c r="ES543" t="s">
        <v>876</v>
      </c>
      <c r="ET543" t="s">
        <v>877</v>
      </c>
      <c r="EU543" t="s">
        <v>877</v>
      </c>
      <c r="EV543" t="s">
        <v>871</v>
      </c>
      <c r="EX543" t="s">
        <v>836</v>
      </c>
      <c r="EY543" t="s">
        <v>873</v>
      </c>
      <c r="EZ543" t="s">
        <v>1437</v>
      </c>
      <c r="FA543" t="s">
        <v>956</v>
      </c>
      <c r="FB543">
        <v>1</v>
      </c>
      <c r="FC543">
        <v>2</v>
      </c>
      <c r="FD543" s="41">
        <v>45983</v>
      </c>
      <c r="FE543" t="s">
        <v>1438</v>
      </c>
      <c r="FF543">
        <v>14</v>
      </c>
      <c r="FG543" t="s">
        <v>10946</v>
      </c>
      <c r="FH543" t="s">
        <v>10947</v>
      </c>
      <c r="FI543">
        <v>1</v>
      </c>
      <c r="FJ543" t="s">
        <v>10948</v>
      </c>
      <c r="FK543" t="s">
        <v>10947</v>
      </c>
      <c r="FL543">
        <v>1</v>
      </c>
      <c r="FM543" t="s">
        <v>3655</v>
      </c>
      <c r="FN543" t="s">
        <v>10949</v>
      </c>
      <c r="FO543">
        <v>1</v>
      </c>
      <c r="FP543" t="s">
        <v>10950</v>
      </c>
      <c r="FQ543" t="s">
        <v>10944</v>
      </c>
      <c r="FR543">
        <v>1</v>
      </c>
      <c r="FS543" t="s">
        <v>1527</v>
      </c>
      <c r="FT543" t="s">
        <v>10951</v>
      </c>
      <c r="FU543">
        <v>1</v>
      </c>
      <c r="FV543" t="s">
        <v>3001</v>
      </c>
      <c r="FW543" t="s">
        <v>10952</v>
      </c>
      <c r="FX543">
        <v>1</v>
      </c>
      <c r="FY543" t="s">
        <v>890</v>
      </c>
      <c r="FZ543" t="s">
        <v>10953</v>
      </c>
      <c r="GA543" t="s">
        <v>10948</v>
      </c>
      <c r="GB543">
        <v>1</v>
      </c>
      <c r="GD543">
        <v>0</v>
      </c>
      <c r="GF543">
        <v>0</v>
      </c>
      <c r="GG543">
        <v>1</v>
      </c>
      <c r="GH543" t="s">
        <v>892</v>
      </c>
      <c r="GI543" t="s">
        <v>893</v>
      </c>
      <c r="GJ543" t="s">
        <v>10947</v>
      </c>
      <c r="GM543">
        <v>1</v>
      </c>
      <c r="GN543">
        <v>0</v>
      </c>
      <c r="GO543">
        <v>0</v>
      </c>
      <c r="GP543">
        <v>1</v>
      </c>
      <c r="GQ543">
        <v>1</v>
      </c>
      <c r="GR543">
        <v>0</v>
      </c>
      <c r="GS543">
        <v>1</v>
      </c>
      <c r="GT543">
        <v>0</v>
      </c>
      <c r="GU543">
        <v>1</v>
      </c>
      <c r="GV543">
        <v>0</v>
      </c>
      <c r="GW543">
        <v>1</v>
      </c>
      <c r="GX543">
        <v>0</v>
      </c>
      <c r="GY543">
        <v>1</v>
      </c>
      <c r="GZ543">
        <v>0</v>
      </c>
      <c r="HA543" t="s">
        <v>381</v>
      </c>
      <c r="HB543" t="s">
        <v>894</v>
      </c>
      <c r="HC543" t="s">
        <v>895</v>
      </c>
      <c r="HD543" t="s">
        <v>845</v>
      </c>
      <c r="HE543" t="s">
        <v>836</v>
      </c>
      <c r="HF543" t="s">
        <v>873</v>
      </c>
      <c r="HG543" t="s">
        <v>894</v>
      </c>
      <c r="HH543" t="s">
        <v>895</v>
      </c>
      <c r="HI543" t="s">
        <v>845</v>
      </c>
      <c r="HJ543" t="s">
        <v>836</v>
      </c>
      <c r="HK543" t="s">
        <v>1436</v>
      </c>
      <c r="HL543" t="s">
        <v>187</v>
      </c>
      <c r="HM543" t="s">
        <v>854</v>
      </c>
      <c r="HN543">
        <v>36805</v>
      </c>
      <c r="HP543" t="s">
        <v>181</v>
      </c>
      <c r="HQ543" t="s">
        <v>896</v>
      </c>
      <c r="HR543" t="s">
        <v>896</v>
      </c>
      <c r="HS543" t="s">
        <v>896</v>
      </c>
    </row>
    <row r="544" spans="1:227" x14ac:dyDescent="0.2">
      <c r="A544">
        <v>8702</v>
      </c>
      <c r="B544">
        <v>7524009848</v>
      </c>
      <c r="C544">
        <v>82</v>
      </c>
      <c r="D544" t="s">
        <v>969</v>
      </c>
      <c r="E544" t="s">
        <v>831</v>
      </c>
      <c r="F544">
        <v>48</v>
      </c>
      <c r="G544" t="s">
        <v>10954</v>
      </c>
      <c r="H544" t="s">
        <v>10954</v>
      </c>
      <c r="I544">
        <v>0</v>
      </c>
      <c r="J544" t="s">
        <v>2105</v>
      </c>
      <c r="K544" t="s">
        <v>10001</v>
      </c>
      <c r="L544">
        <v>148743033</v>
      </c>
      <c r="M544" t="s">
        <v>10955</v>
      </c>
      <c r="N544" t="s">
        <v>836</v>
      </c>
      <c r="O544" t="s">
        <v>837</v>
      </c>
      <c r="P544" t="s">
        <v>2178</v>
      </c>
      <c r="Q544" t="s">
        <v>10956</v>
      </c>
      <c r="R544" t="s">
        <v>10957</v>
      </c>
      <c r="S544" t="s">
        <v>10958</v>
      </c>
      <c r="T544">
        <v>41477009259</v>
      </c>
      <c r="V544" t="s">
        <v>121</v>
      </c>
      <c r="W544" s="41">
        <v>45901</v>
      </c>
      <c r="X544" t="s">
        <v>10959</v>
      </c>
      <c r="Y544" t="s">
        <v>10960</v>
      </c>
      <c r="AA544">
        <v>0</v>
      </c>
      <c r="AB544" t="s">
        <v>845</v>
      </c>
      <c r="AC544" t="s">
        <v>846</v>
      </c>
      <c r="AD544" t="s">
        <v>1335</v>
      </c>
      <c r="AE544" t="s">
        <v>1336</v>
      </c>
      <c r="AF544">
        <v>1</v>
      </c>
      <c r="AG544">
        <v>452210</v>
      </c>
      <c r="AH544" t="s">
        <v>849</v>
      </c>
      <c r="AI544" t="s">
        <v>850</v>
      </c>
      <c r="AJ544" t="s">
        <v>851</v>
      </c>
      <c r="AK544" t="s">
        <v>257</v>
      </c>
      <c r="AL544" t="s">
        <v>2012</v>
      </c>
      <c r="AM544" t="s">
        <v>3266</v>
      </c>
      <c r="AN544" t="s">
        <v>854</v>
      </c>
      <c r="AO544">
        <v>36805</v>
      </c>
      <c r="AP544">
        <v>495</v>
      </c>
      <c r="AQ544" t="s">
        <v>855</v>
      </c>
      <c r="AR544">
        <v>66092631</v>
      </c>
      <c r="AS544" t="s">
        <v>856</v>
      </c>
      <c r="AU544" t="s">
        <v>10961</v>
      </c>
      <c r="AV544" t="s">
        <v>10962</v>
      </c>
      <c r="AX544" t="s">
        <v>913</v>
      </c>
      <c r="AY544" t="s">
        <v>861</v>
      </c>
      <c r="AZ544" t="s">
        <v>257</v>
      </c>
      <c r="BA544" t="s">
        <v>258</v>
      </c>
      <c r="BB544">
        <v>1</v>
      </c>
      <c r="BC544">
        <v>0</v>
      </c>
      <c r="BD544">
        <v>0</v>
      </c>
      <c r="BE544" t="s">
        <v>10955</v>
      </c>
      <c r="BF544">
        <v>0</v>
      </c>
      <c r="BG544">
        <v>0</v>
      </c>
      <c r="BH544" t="s">
        <v>862</v>
      </c>
      <c r="BI544">
        <v>0</v>
      </c>
      <c r="BJ544" t="s">
        <v>862</v>
      </c>
      <c r="BK544">
        <v>1</v>
      </c>
      <c r="BL544">
        <v>1</v>
      </c>
      <c r="BM544">
        <v>0</v>
      </c>
      <c r="BN544" t="s">
        <v>596</v>
      </c>
      <c r="BP544" t="s">
        <v>10954</v>
      </c>
      <c r="BQ544">
        <v>38.746722200000001</v>
      </c>
      <c r="BR544">
        <v>42789062</v>
      </c>
      <c r="BS544">
        <v>-90.584787500000004</v>
      </c>
      <c r="BT544">
        <v>0</v>
      </c>
      <c r="CM544">
        <v>3111</v>
      </c>
      <c r="CO544">
        <v>7895</v>
      </c>
      <c r="CP544">
        <v>2.4832999999999998</v>
      </c>
      <c r="CQ544">
        <v>2.4832999999999998</v>
      </c>
      <c r="CR544">
        <v>4.1166999999999998</v>
      </c>
      <c r="CS544">
        <v>5323</v>
      </c>
      <c r="CT544" t="s">
        <v>10963</v>
      </c>
      <c r="CU544" t="s">
        <v>10964</v>
      </c>
      <c r="CV544" t="s">
        <v>833</v>
      </c>
      <c r="CW544" t="s">
        <v>834</v>
      </c>
      <c r="CX544" t="s">
        <v>3422</v>
      </c>
      <c r="CY544">
        <v>1</v>
      </c>
      <c r="CZ544">
        <v>1</v>
      </c>
      <c r="DA544" t="s">
        <v>2105</v>
      </c>
      <c r="DB544" t="s">
        <v>10965</v>
      </c>
      <c r="DC544">
        <v>63304</v>
      </c>
      <c r="DD544">
        <v>45.466700000000003</v>
      </c>
      <c r="DE544" t="s">
        <v>866</v>
      </c>
      <c r="DL544" t="s">
        <v>869</v>
      </c>
      <c r="DM544">
        <v>0</v>
      </c>
      <c r="DN544">
        <v>0</v>
      </c>
      <c r="DO544">
        <v>11</v>
      </c>
      <c r="DP544" t="s">
        <v>1010</v>
      </c>
      <c r="DQ544">
        <v>16</v>
      </c>
      <c r="DR544">
        <v>2728</v>
      </c>
      <c r="DS544">
        <v>5608</v>
      </c>
      <c r="DT544">
        <v>19.933299999999999</v>
      </c>
      <c r="DU544">
        <v>4</v>
      </c>
      <c r="DW544">
        <v>2</v>
      </c>
      <c r="DX544" t="s">
        <v>596</v>
      </c>
      <c r="DY544" t="s">
        <v>10955</v>
      </c>
      <c r="DZ544">
        <v>0</v>
      </c>
      <c r="EA544">
        <v>0</v>
      </c>
      <c r="EB544">
        <v>1</v>
      </c>
      <c r="EC544">
        <v>0</v>
      </c>
      <c r="ED544">
        <v>0</v>
      </c>
      <c r="EE544">
        <v>1</v>
      </c>
      <c r="EF544" t="s">
        <v>920</v>
      </c>
      <c r="EG544" t="s">
        <v>595</v>
      </c>
      <c r="EH544" t="s">
        <v>921</v>
      </c>
      <c r="EI544" t="s">
        <v>921</v>
      </c>
      <c r="EJ544" t="s">
        <v>111</v>
      </c>
      <c r="EK544">
        <v>1000</v>
      </c>
      <c r="EL544">
        <v>1</v>
      </c>
      <c r="EM544" t="s">
        <v>1037</v>
      </c>
      <c r="EN544">
        <v>4.1166999999999998</v>
      </c>
      <c r="EO544">
        <v>93.466666599999996</v>
      </c>
      <c r="EP544">
        <v>99991094</v>
      </c>
      <c r="EQ544" t="s">
        <v>10966</v>
      </c>
      <c r="ER544" t="s">
        <v>875</v>
      </c>
      <c r="ES544" t="s">
        <v>876</v>
      </c>
      <c r="ET544" t="s">
        <v>10967</v>
      </c>
      <c r="EU544" t="s">
        <v>10968</v>
      </c>
      <c r="EV544" t="s">
        <v>920</v>
      </c>
      <c r="EX544" t="s">
        <v>900</v>
      </c>
      <c r="EY544" t="s">
        <v>923</v>
      </c>
      <c r="EZ544" t="s">
        <v>1038</v>
      </c>
      <c r="FA544" t="s">
        <v>925</v>
      </c>
      <c r="FB544">
        <v>1</v>
      </c>
      <c r="FC544">
        <v>2</v>
      </c>
      <c r="FD544" s="41">
        <v>45906</v>
      </c>
      <c r="FE544" t="s">
        <v>880</v>
      </c>
      <c r="FF544">
        <v>12</v>
      </c>
      <c r="FG544" t="s">
        <v>10969</v>
      </c>
      <c r="FH544" t="s">
        <v>10970</v>
      </c>
      <c r="FI544">
        <v>1</v>
      </c>
      <c r="FJ544" t="s">
        <v>10971</v>
      </c>
      <c r="FK544" t="s">
        <v>10970</v>
      </c>
      <c r="FL544">
        <v>1</v>
      </c>
      <c r="FM544" t="s">
        <v>10972</v>
      </c>
      <c r="FN544" t="s">
        <v>10973</v>
      </c>
      <c r="FO544">
        <v>1</v>
      </c>
      <c r="FP544" t="s">
        <v>10974</v>
      </c>
      <c r="FQ544" t="s">
        <v>10964</v>
      </c>
      <c r="FR544">
        <v>1</v>
      </c>
      <c r="FS544" t="s">
        <v>2453</v>
      </c>
      <c r="FT544" t="s">
        <v>10975</v>
      </c>
      <c r="FU544">
        <v>1</v>
      </c>
      <c r="FV544" t="s">
        <v>10976</v>
      </c>
      <c r="FW544" t="s">
        <v>10977</v>
      </c>
      <c r="FX544">
        <v>1</v>
      </c>
      <c r="FY544" t="s">
        <v>890</v>
      </c>
      <c r="FZ544" t="s">
        <v>10978</v>
      </c>
      <c r="GA544" t="s">
        <v>10971</v>
      </c>
      <c r="GB544">
        <v>1</v>
      </c>
      <c r="GD544">
        <v>0</v>
      </c>
      <c r="GF544">
        <v>0</v>
      </c>
      <c r="GG544">
        <v>1</v>
      </c>
      <c r="GH544" t="s">
        <v>892</v>
      </c>
      <c r="GI544" t="s">
        <v>893</v>
      </c>
      <c r="GJ544" t="s">
        <v>10970</v>
      </c>
      <c r="GM544">
        <v>1</v>
      </c>
      <c r="GN544">
        <v>0</v>
      </c>
      <c r="GO544">
        <v>0</v>
      </c>
      <c r="GP544">
        <v>1</v>
      </c>
      <c r="GQ544">
        <v>1</v>
      </c>
      <c r="GR544">
        <v>0</v>
      </c>
      <c r="GS544">
        <v>1</v>
      </c>
      <c r="GT544">
        <v>0</v>
      </c>
      <c r="GU544">
        <v>1</v>
      </c>
      <c r="GV544">
        <v>0</v>
      </c>
      <c r="GW544">
        <v>1</v>
      </c>
      <c r="GX544">
        <v>0</v>
      </c>
      <c r="GY544">
        <v>1</v>
      </c>
      <c r="GZ544">
        <v>0</v>
      </c>
      <c r="HA544" t="s">
        <v>257</v>
      </c>
      <c r="HB544" t="s">
        <v>894</v>
      </c>
      <c r="HC544" t="s">
        <v>895</v>
      </c>
      <c r="HD544" t="s">
        <v>845</v>
      </c>
      <c r="HE544" t="s">
        <v>836</v>
      </c>
      <c r="HF544" t="s">
        <v>1051</v>
      </c>
      <c r="HG544" t="s">
        <v>894</v>
      </c>
      <c r="HH544" t="s">
        <v>895</v>
      </c>
      <c r="HI544" t="s">
        <v>845</v>
      </c>
      <c r="HJ544" t="s">
        <v>836</v>
      </c>
      <c r="HK544" t="s">
        <v>1037</v>
      </c>
      <c r="HL544" t="s">
        <v>121</v>
      </c>
      <c r="HM544" t="s">
        <v>854</v>
      </c>
      <c r="HN544">
        <v>36805</v>
      </c>
      <c r="HP544" t="s">
        <v>111</v>
      </c>
      <c r="HQ544" t="s">
        <v>896</v>
      </c>
      <c r="HR544" t="s">
        <v>896</v>
      </c>
      <c r="HS544" t="s">
        <v>896</v>
      </c>
    </row>
    <row r="545" spans="1:227" x14ac:dyDescent="0.2">
      <c r="A545">
        <v>8702</v>
      </c>
      <c r="B545">
        <v>7620602902</v>
      </c>
      <c r="C545">
        <v>34</v>
      </c>
      <c r="D545" t="s">
        <v>996</v>
      </c>
      <c r="E545" t="s">
        <v>897</v>
      </c>
      <c r="F545">
        <v>0</v>
      </c>
      <c r="G545" t="s">
        <v>10979</v>
      </c>
      <c r="H545" t="s">
        <v>10979</v>
      </c>
      <c r="I545">
        <v>0</v>
      </c>
      <c r="J545" t="s">
        <v>833</v>
      </c>
      <c r="K545" t="s">
        <v>834</v>
      </c>
      <c r="L545">
        <v>156057615</v>
      </c>
      <c r="M545" t="s">
        <v>3104</v>
      </c>
      <c r="N545" t="s">
        <v>900</v>
      </c>
      <c r="O545" t="s">
        <v>837</v>
      </c>
      <c r="P545" t="s">
        <v>999</v>
      </c>
      <c r="Q545" t="s">
        <v>2459</v>
      </c>
      <c r="R545" t="s">
        <v>10980</v>
      </c>
      <c r="S545" t="s">
        <v>10981</v>
      </c>
      <c r="T545">
        <v>41477092607</v>
      </c>
      <c r="V545" t="s">
        <v>3107</v>
      </c>
      <c r="W545" s="41">
        <v>46229</v>
      </c>
      <c r="X545" t="s">
        <v>10982</v>
      </c>
      <c r="Y545" t="s">
        <v>10983</v>
      </c>
      <c r="AA545">
        <v>0</v>
      </c>
      <c r="AB545" t="s">
        <v>845</v>
      </c>
      <c r="AC545" t="s">
        <v>846</v>
      </c>
      <c r="AD545" t="s">
        <v>907</v>
      </c>
      <c r="AE545" t="s">
        <v>908</v>
      </c>
      <c r="AF545">
        <v>1</v>
      </c>
      <c r="AG545">
        <v>452210</v>
      </c>
      <c r="AH545" t="s">
        <v>849</v>
      </c>
      <c r="AI545" t="s">
        <v>850</v>
      </c>
      <c r="AJ545" t="s">
        <v>851</v>
      </c>
      <c r="AK545" t="s">
        <v>369</v>
      </c>
      <c r="AL545" t="s">
        <v>4236</v>
      </c>
      <c r="AM545" t="s">
        <v>3111</v>
      </c>
      <c r="AN545" t="s">
        <v>854</v>
      </c>
      <c r="AO545">
        <v>36805</v>
      </c>
      <c r="AP545">
        <v>921</v>
      </c>
      <c r="AQ545" t="s">
        <v>855</v>
      </c>
      <c r="AR545">
        <v>66567303</v>
      </c>
      <c r="AS545" t="s">
        <v>856</v>
      </c>
      <c r="AU545" t="s">
        <v>10984</v>
      </c>
      <c r="AV545" t="s">
        <v>10985</v>
      </c>
      <c r="AX545" t="s">
        <v>913</v>
      </c>
      <c r="AY545" t="s">
        <v>861</v>
      </c>
      <c r="AZ545" t="s">
        <v>369</v>
      </c>
      <c r="BA545" t="s">
        <v>370</v>
      </c>
      <c r="BB545">
        <v>0</v>
      </c>
      <c r="BC545">
        <v>0</v>
      </c>
      <c r="BD545">
        <v>0</v>
      </c>
      <c r="BE545" t="s">
        <v>3104</v>
      </c>
      <c r="BF545">
        <v>0</v>
      </c>
      <c r="BG545">
        <v>0</v>
      </c>
      <c r="BH545" t="s">
        <v>862</v>
      </c>
      <c r="BI545">
        <v>0</v>
      </c>
      <c r="BJ545" t="s">
        <v>862</v>
      </c>
      <c r="BK545">
        <v>1</v>
      </c>
      <c r="BL545">
        <v>1</v>
      </c>
      <c r="BM545">
        <v>0</v>
      </c>
      <c r="BN545" t="s">
        <v>596</v>
      </c>
      <c r="BO545">
        <v>156057615</v>
      </c>
      <c r="BP545" t="s">
        <v>10979</v>
      </c>
      <c r="BR545">
        <v>42793646</v>
      </c>
      <c r="BT545">
        <v>2</v>
      </c>
      <c r="BU545" t="s">
        <v>1062</v>
      </c>
      <c r="BY545">
        <v>12</v>
      </c>
      <c r="CA545">
        <v>0</v>
      </c>
      <c r="CE545">
        <v>1</v>
      </c>
      <c r="CI545">
        <v>11</v>
      </c>
      <c r="CJ545" t="s">
        <v>94</v>
      </c>
      <c r="CM545">
        <v>4010</v>
      </c>
      <c r="CO545">
        <v>7360</v>
      </c>
      <c r="CP545">
        <v>0.51670000000000005</v>
      </c>
      <c r="CQ545">
        <v>0.51670000000000005</v>
      </c>
      <c r="CR545">
        <v>0.81669999999999998</v>
      </c>
      <c r="CS545">
        <v>0</v>
      </c>
      <c r="CT545" t="s">
        <v>10985</v>
      </c>
      <c r="CU545" t="s">
        <v>10984</v>
      </c>
      <c r="CV545" t="s">
        <v>833</v>
      </c>
      <c r="CW545" t="s">
        <v>834</v>
      </c>
      <c r="CX545" t="s">
        <v>3104</v>
      </c>
      <c r="CY545">
        <v>0</v>
      </c>
      <c r="CZ545">
        <v>0</v>
      </c>
      <c r="DA545" t="s">
        <v>833</v>
      </c>
      <c r="DB545" t="s">
        <v>865</v>
      </c>
      <c r="DC545">
        <v>45249</v>
      </c>
      <c r="DD545">
        <v>0.36670000000000003</v>
      </c>
      <c r="DE545" t="s">
        <v>866</v>
      </c>
      <c r="DG545" t="s">
        <v>867</v>
      </c>
      <c r="DH545" t="s">
        <v>851</v>
      </c>
      <c r="DJ545">
        <v>921</v>
      </c>
      <c r="DK545" t="s">
        <v>918</v>
      </c>
      <c r="DL545" t="s">
        <v>869</v>
      </c>
      <c r="DM545">
        <v>0</v>
      </c>
      <c r="DN545">
        <v>0</v>
      </c>
      <c r="DO545">
        <v>1</v>
      </c>
      <c r="DP545" t="s">
        <v>985</v>
      </c>
      <c r="DQ545">
        <v>12</v>
      </c>
      <c r="DR545">
        <v>22</v>
      </c>
      <c r="DS545">
        <v>717</v>
      </c>
      <c r="DT545">
        <v>0.36670000000000003</v>
      </c>
      <c r="DU545">
        <v>4</v>
      </c>
      <c r="DV545">
        <v>1</v>
      </c>
      <c r="DW545">
        <v>1</v>
      </c>
      <c r="DX545" t="s">
        <v>596</v>
      </c>
      <c r="DY545" t="s">
        <v>3104</v>
      </c>
      <c r="DZ545">
        <v>1</v>
      </c>
      <c r="EA545">
        <v>1</v>
      </c>
      <c r="EB545">
        <v>1</v>
      </c>
      <c r="EC545">
        <v>1</v>
      </c>
      <c r="ED545">
        <v>1</v>
      </c>
      <c r="EE545">
        <v>1</v>
      </c>
      <c r="EF545" t="s">
        <v>871</v>
      </c>
      <c r="EG545" t="s">
        <v>595</v>
      </c>
      <c r="EH545" t="s">
        <v>1036</v>
      </c>
      <c r="EI545" t="s">
        <v>1036</v>
      </c>
      <c r="EJ545" t="s">
        <v>226</v>
      </c>
      <c r="EK545">
        <v>9090</v>
      </c>
      <c r="EL545">
        <v>0</v>
      </c>
      <c r="EM545" t="s">
        <v>1157</v>
      </c>
      <c r="EN545">
        <v>0.81669999999999998</v>
      </c>
      <c r="EO545">
        <v>11.95</v>
      </c>
      <c r="EP545">
        <v>99991120</v>
      </c>
      <c r="EQ545" t="s">
        <v>874</v>
      </c>
      <c r="ER545" t="s">
        <v>875</v>
      </c>
      <c r="ES545" t="s">
        <v>876</v>
      </c>
      <c r="ET545" t="s">
        <v>877</v>
      </c>
      <c r="EU545" t="s">
        <v>877</v>
      </c>
      <c r="EV545" t="s">
        <v>871</v>
      </c>
      <c r="EX545" t="s">
        <v>900</v>
      </c>
      <c r="EY545" t="s">
        <v>923</v>
      </c>
      <c r="EZ545" t="s">
        <v>3116</v>
      </c>
      <c r="FA545" t="s">
        <v>925</v>
      </c>
      <c r="FB545">
        <v>1</v>
      </c>
      <c r="FC545">
        <v>1</v>
      </c>
      <c r="FD545" s="41">
        <v>46235</v>
      </c>
      <c r="FE545" t="s">
        <v>1066</v>
      </c>
      <c r="FF545">
        <v>4</v>
      </c>
      <c r="FI545">
        <v>0</v>
      </c>
      <c r="FL545">
        <v>0</v>
      </c>
      <c r="FM545" t="s">
        <v>3117</v>
      </c>
      <c r="FN545" t="s">
        <v>10986</v>
      </c>
      <c r="FO545">
        <v>1</v>
      </c>
      <c r="FP545" t="s">
        <v>10987</v>
      </c>
      <c r="FQ545" t="s">
        <v>10984</v>
      </c>
      <c r="FR545">
        <v>1</v>
      </c>
      <c r="FS545" t="s">
        <v>4241</v>
      </c>
      <c r="FT545" t="s">
        <v>10988</v>
      </c>
      <c r="FU545">
        <v>1</v>
      </c>
      <c r="FV545" t="s">
        <v>10989</v>
      </c>
      <c r="FW545" t="s">
        <v>10990</v>
      </c>
      <c r="FX545">
        <v>1</v>
      </c>
      <c r="FY545" t="s">
        <v>890</v>
      </c>
      <c r="FZ545" t="s">
        <v>10991</v>
      </c>
      <c r="GA545" t="s">
        <v>10989</v>
      </c>
      <c r="GB545">
        <v>1</v>
      </c>
      <c r="GD545">
        <v>0</v>
      </c>
      <c r="GF545">
        <v>0</v>
      </c>
      <c r="GG545">
        <v>1</v>
      </c>
      <c r="GH545" t="s">
        <v>892</v>
      </c>
      <c r="GI545" t="s">
        <v>893</v>
      </c>
      <c r="GJ545" t="s">
        <v>10990</v>
      </c>
      <c r="GM545">
        <v>1</v>
      </c>
      <c r="GN545">
        <v>1</v>
      </c>
      <c r="GO545">
        <v>0</v>
      </c>
      <c r="GP545">
        <v>1</v>
      </c>
      <c r="GQ545">
        <v>1</v>
      </c>
      <c r="GR545">
        <v>0</v>
      </c>
      <c r="GS545">
        <v>1</v>
      </c>
      <c r="GT545">
        <v>1</v>
      </c>
      <c r="GU545">
        <v>1</v>
      </c>
      <c r="GV545">
        <v>0</v>
      </c>
      <c r="GW545">
        <v>1</v>
      </c>
      <c r="GX545">
        <v>0</v>
      </c>
      <c r="GY545">
        <v>1</v>
      </c>
      <c r="GZ545">
        <v>0</v>
      </c>
      <c r="HA545" t="s">
        <v>369</v>
      </c>
      <c r="HB545" t="s">
        <v>894</v>
      </c>
      <c r="HC545" t="s">
        <v>935</v>
      </c>
      <c r="HD545" t="s">
        <v>845</v>
      </c>
      <c r="HE545" t="s">
        <v>900</v>
      </c>
      <c r="HF545" t="s">
        <v>923</v>
      </c>
      <c r="HG545" t="s">
        <v>894</v>
      </c>
      <c r="HH545" t="s">
        <v>935</v>
      </c>
      <c r="HI545" t="s">
        <v>845</v>
      </c>
      <c r="HJ545" t="s">
        <v>900</v>
      </c>
      <c r="HK545" t="s">
        <v>922</v>
      </c>
      <c r="HL545" t="s">
        <v>3107</v>
      </c>
      <c r="HM545" t="s">
        <v>854</v>
      </c>
      <c r="HN545">
        <v>36805</v>
      </c>
      <c r="HP545" t="s">
        <v>226</v>
      </c>
      <c r="HQ545" t="s">
        <v>896</v>
      </c>
      <c r="HR545" t="s">
        <v>896</v>
      </c>
      <c r="HS545" t="s">
        <v>896</v>
      </c>
    </row>
    <row r="546" spans="1:227" x14ac:dyDescent="0.2">
      <c r="A546">
        <v>8702</v>
      </c>
      <c r="B546">
        <v>7605405437</v>
      </c>
      <c r="C546">
        <v>34</v>
      </c>
      <c r="D546" t="s">
        <v>996</v>
      </c>
      <c r="E546" t="s">
        <v>831</v>
      </c>
      <c r="F546">
        <v>0</v>
      </c>
      <c r="G546" t="s">
        <v>10992</v>
      </c>
      <c r="H546" t="s">
        <v>10992</v>
      </c>
      <c r="I546">
        <v>0</v>
      </c>
      <c r="J546" t="s">
        <v>833</v>
      </c>
      <c r="K546" t="s">
        <v>834</v>
      </c>
      <c r="L546">
        <v>156586319</v>
      </c>
      <c r="M546" t="s">
        <v>1706</v>
      </c>
      <c r="N546" t="s">
        <v>836</v>
      </c>
      <c r="O546" t="s">
        <v>837</v>
      </c>
      <c r="P546" t="s">
        <v>999</v>
      </c>
      <c r="Q546" t="s">
        <v>1027</v>
      </c>
      <c r="R546" t="s">
        <v>10993</v>
      </c>
      <c r="S546" t="s">
        <v>10994</v>
      </c>
      <c r="T546">
        <v>30300127006</v>
      </c>
      <c r="V546" t="s">
        <v>196</v>
      </c>
      <c r="W546" s="41">
        <v>46076</v>
      </c>
      <c r="X546" t="s">
        <v>10995</v>
      </c>
      <c r="Y546" t="s">
        <v>10996</v>
      </c>
      <c r="AA546">
        <v>0</v>
      </c>
      <c r="AB546" t="s">
        <v>845</v>
      </c>
      <c r="AC546" t="s">
        <v>846</v>
      </c>
      <c r="AD546" t="s">
        <v>1113</v>
      </c>
      <c r="AE546" t="s">
        <v>1114</v>
      </c>
      <c r="AF546">
        <v>1</v>
      </c>
      <c r="AG546">
        <v>452210</v>
      </c>
      <c r="AH546" t="s">
        <v>849</v>
      </c>
      <c r="AI546" t="s">
        <v>850</v>
      </c>
      <c r="AJ546" t="s">
        <v>851</v>
      </c>
      <c r="AK546" t="s">
        <v>255</v>
      </c>
      <c r="AL546" t="s">
        <v>2605</v>
      </c>
      <c r="AM546" t="s">
        <v>1712</v>
      </c>
      <c r="AN546" t="s">
        <v>854</v>
      </c>
      <c r="AO546">
        <v>36805</v>
      </c>
      <c r="AP546">
        <v>639</v>
      </c>
      <c r="AQ546" t="s">
        <v>855</v>
      </c>
      <c r="AR546">
        <v>66347302</v>
      </c>
      <c r="AS546" t="s">
        <v>856</v>
      </c>
      <c r="AU546" t="s">
        <v>10997</v>
      </c>
      <c r="AV546" t="s">
        <v>10998</v>
      </c>
      <c r="AX546" t="s">
        <v>913</v>
      </c>
      <c r="AY546" t="s">
        <v>861</v>
      </c>
      <c r="AZ546" t="s">
        <v>255</v>
      </c>
      <c r="BA546" t="s">
        <v>256</v>
      </c>
      <c r="BB546">
        <v>0</v>
      </c>
      <c r="BC546">
        <v>0</v>
      </c>
      <c r="BD546">
        <v>1</v>
      </c>
      <c r="BE546" t="s">
        <v>1706</v>
      </c>
      <c r="BF546">
        <v>0</v>
      </c>
      <c r="BG546">
        <v>0</v>
      </c>
      <c r="BH546" t="s">
        <v>862</v>
      </c>
      <c r="BI546">
        <v>0</v>
      </c>
      <c r="BJ546" t="s">
        <v>862</v>
      </c>
      <c r="BK546">
        <v>1</v>
      </c>
      <c r="BL546">
        <v>1</v>
      </c>
      <c r="BM546">
        <v>0</v>
      </c>
      <c r="BN546" t="s">
        <v>596</v>
      </c>
      <c r="BO546">
        <v>156586319</v>
      </c>
      <c r="BP546" t="s">
        <v>10992</v>
      </c>
      <c r="BR546">
        <v>42791771</v>
      </c>
      <c r="BT546">
        <v>2</v>
      </c>
      <c r="BU546" t="s">
        <v>1780</v>
      </c>
      <c r="CE546">
        <v>1</v>
      </c>
      <c r="CI546">
        <v>11</v>
      </c>
      <c r="CJ546" t="s">
        <v>94</v>
      </c>
      <c r="CM546">
        <v>4010</v>
      </c>
      <c r="CO546">
        <v>7360</v>
      </c>
      <c r="CP546">
        <v>0.26669999999999999</v>
      </c>
      <c r="CQ546">
        <v>0.26669999999999999</v>
      </c>
      <c r="CR546">
        <v>1.67E-2</v>
      </c>
      <c r="CS546">
        <v>5</v>
      </c>
      <c r="CT546" t="s">
        <v>10998</v>
      </c>
      <c r="CU546" t="s">
        <v>10997</v>
      </c>
      <c r="CV546" t="s">
        <v>833</v>
      </c>
      <c r="CW546" t="s">
        <v>834</v>
      </c>
      <c r="CX546" t="s">
        <v>1706</v>
      </c>
      <c r="CY546">
        <v>1</v>
      </c>
      <c r="CZ546">
        <v>1</v>
      </c>
      <c r="DA546" t="s">
        <v>833</v>
      </c>
      <c r="DB546" t="s">
        <v>865</v>
      </c>
      <c r="DC546">
        <v>60134</v>
      </c>
      <c r="DD546">
        <v>3.7833000000000001</v>
      </c>
      <c r="DE546" t="s">
        <v>866</v>
      </c>
      <c r="DG546" t="s">
        <v>867</v>
      </c>
      <c r="DH546" t="s">
        <v>851</v>
      </c>
      <c r="DJ546" t="s">
        <v>1718</v>
      </c>
      <c r="DK546" t="s">
        <v>918</v>
      </c>
      <c r="DL546" t="s">
        <v>869</v>
      </c>
      <c r="DM546">
        <v>0</v>
      </c>
      <c r="DN546">
        <v>0</v>
      </c>
      <c r="DO546">
        <v>11</v>
      </c>
      <c r="DP546" t="s">
        <v>1010</v>
      </c>
      <c r="DQ546">
        <v>0</v>
      </c>
      <c r="DR546">
        <v>227</v>
      </c>
      <c r="DS546">
        <v>227</v>
      </c>
      <c r="DT546">
        <v>3.5167000000000002</v>
      </c>
      <c r="DU546">
        <v>0</v>
      </c>
      <c r="DV546">
        <v>1</v>
      </c>
      <c r="DW546">
        <v>1</v>
      </c>
      <c r="DX546" t="s">
        <v>596</v>
      </c>
      <c r="DY546" t="s">
        <v>1706</v>
      </c>
      <c r="DZ546">
        <v>1</v>
      </c>
      <c r="EA546">
        <v>1</v>
      </c>
      <c r="EB546">
        <v>1</v>
      </c>
      <c r="EC546">
        <v>1</v>
      </c>
      <c r="ED546">
        <v>1</v>
      </c>
      <c r="EE546">
        <v>1</v>
      </c>
      <c r="EF546" t="s">
        <v>871</v>
      </c>
      <c r="EG546" t="s">
        <v>595</v>
      </c>
      <c r="EH546" t="s">
        <v>1036</v>
      </c>
      <c r="EI546" t="s">
        <v>1036</v>
      </c>
      <c r="EJ546" t="s">
        <v>181</v>
      </c>
      <c r="EK546">
        <v>9090</v>
      </c>
      <c r="EL546">
        <v>0</v>
      </c>
      <c r="EM546" t="s">
        <v>1436</v>
      </c>
      <c r="EN546">
        <v>1.67E-2</v>
      </c>
      <c r="EO546">
        <v>3.7833332999999998</v>
      </c>
      <c r="EP546">
        <v>99991120</v>
      </c>
      <c r="EQ546" t="s">
        <v>874</v>
      </c>
      <c r="ER546" t="s">
        <v>875</v>
      </c>
      <c r="ES546" t="s">
        <v>876</v>
      </c>
      <c r="ET546" t="s">
        <v>877</v>
      </c>
      <c r="EU546" t="s">
        <v>877</v>
      </c>
      <c r="EV546" t="s">
        <v>871</v>
      </c>
      <c r="EX546" t="s">
        <v>836</v>
      </c>
      <c r="EY546" t="s">
        <v>873</v>
      </c>
      <c r="EZ546" t="s">
        <v>1437</v>
      </c>
      <c r="FA546" t="s">
        <v>956</v>
      </c>
      <c r="FB546">
        <v>1</v>
      </c>
      <c r="FC546">
        <v>1</v>
      </c>
      <c r="FD546" s="41">
        <v>46081</v>
      </c>
      <c r="FE546" t="s">
        <v>1267</v>
      </c>
      <c r="FF546">
        <v>7</v>
      </c>
      <c r="FG546" t="s">
        <v>10999</v>
      </c>
      <c r="FH546" t="s">
        <v>2731</v>
      </c>
      <c r="FI546">
        <v>1</v>
      </c>
      <c r="FJ546" t="s">
        <v>11000</v>
      </c>
      <c r="FK546" t="s">
        <v>11001</v>
      </c>
      <c r="FL546">
        <v>1</v>
      </c>
      <c r="FM546" t="s">
        <v>1720</v>
      </c>
      <c r="FN546" t="s">
        <v>11002</v>
      </c>
      <c r="FO546">
        <v>1</v>
      </c>
      <c r="FP546" t="s">
        <v>11003</v>
      </c>
      <c r="FQ546" t="s">
        <v>11004</v>
      </c>
      <c r="FR546">
        <v>1</v>
      </c>
      <c r="FS546" t="s">
        <v>2736</v>
      </c>
      <c r="FT546" t="s">
        <v>11005</v>
      </c>
      <c r="FU546">
        <v>1</v>
      </c>
      <c r="FV546" t="s">
        <v>2738</v>
      </c>
      <c r="FW546" t="s">
        <v>11006</v>
      </c>
      <c r="FX546">
        <v>1</v>
      </c>
      <c r="FY546" t="s">
        <v>890</v>
      </c>
      <c r="FZ546" t="s">
        <v>11007</v>
      </c>
      <c r="GA546" t="s">
        <v>11000</v>
      </c>
      <c r="GB546">
        <v>1</v>
      </c>
      <c r="GD546">
        <v>0</v>
      </c>
      <c r="GF546">
        <v>0</v>
      </c>
      <c r="GG546">
        <v>1</v>
      </c>
      <c r="GH546" t="s">
        <v>892</v>
      </c>
      <c r="GI546" t="s">
        <v>893</v>
      </c>
      <c r="GJ546" t="s">
        <v>11001</v>
      </c>
      <c r="GM546">
        <v>1</v>
      </c>
      <c r="GN546">
        <v>1</v>
      </c>
      <c r="GO546">
        <v>0</v>
      </c>
      <c r="GP546">
        <v>1</v>
      </c>
      <c r="GQ546">
        <v>1</v>
      </c>
      <c r="GR546">
        <v>0</v>
      </c>
      <c r="GS546">
        <v>1</v>
      </c>
      <c r="GT546">
        <v>0</v>
      </c>
      <c r="GU546">
        <v>1</v>
      </c>
      <c r="GV546">
        <v>0</v>
      </c>
      <c r="GW546">
        <v>1</v>
      </c>
      <c r="GX546">
        <v>0</v>
      </c>
      <c r="GY546">
        <v>1</v>
      </c>
      <c r="GZ546">
        <v>0</v>
      </c>
      <c r="HA546" t="s">
        <v>255</v>
      </c>
      <c r="HB546" t="s">
        <v>894</v>
      </c>
      <c r="HC546" t="s">
        <v>895</v>
      </c>
      <c r="HD546" t="s">
        <v>845</v>
      </c>
      <c r="HE546" t="s">
        <v>836</v>
      </c>
      <c r="HF546" t="s">
        <v>873</v>
      </c>
      <c r="HG546" t="s">
        <v>894</v>
      </c>
      <c r="HH546" t="s">
        <v>895</v>
      </c>
      <c r="HI546" t="s">
        <v>845</v>
      </c>
      <c r="HJ546" t="s">
        <v>836</v>
      </c>
      <c r="HK546" t="s">
        <v>1436</v>
      </c>
      <c r="HL546" t="s">
        <v>196</v>
      </c>
      <c r="HM546" t="s">
        <v>854</v>
      </c>
      <c r="HN546">
        <v>36805</v>
      </c>
      <c r="HP546" t="s">
        <v>181</v>
      </c>
      <c r="HQ546" t="s">
        <v>896</v>
      </c>
      <c r="HR546" t="s">
        <v>896</v>
      </c>
      <c r="HS546" t="s">
        <v>896</v>
      </c>
    </row>
    <row r="547" spans="1:227" x14ac:dyDescent="0.2">
      <c r="A547">
        <v>8702</v>
      </c>
      <c r="B547">
        <v>7600204725</v>
      </c>
      <c r="C547" t="s">
        <v>829</v>
      </c>
      <c r="D547" t="s">
        <v>830</v>
      </c>
      <c r="E547" t="s">
        <v>897</v>
      </c>
      <c r="F547">
        <v>0</v>
      </c>
      <c r="G547" t="s">
        <v>11008</v>
      </c>
      <c r="H547" t="s">
        <v>11008</v>
      </c>
      <c r="I547">
        <v>0</v>
      </c>
      <c r="J547" t="s">
        <v>833</v>
      </c>
      <c r="K547" t="s">
        <v>834</v>
      </c>
      <c r="L547">
        <v>153589123</v>
      </c>
      <c r="M547" t="s">
        <v>9126</v>
      </c>
      <c r="N547" t="s">
        <v>900</v>
      </c>
      <c r="O547" t="s">
        <v>837</v>
      </c>
      <c r="P547" t="s">
        <v>838</v>
      </c>
      <c r="Q547" t="s">
        <v>839</v>
      </c>
      <c r="R547" t="s">
        <v>11009</v>
      </c>
      <c r="S547" t="s">
        <v>11010</v>
      </c>
      <c r="T547">
        <v>41477119371</v>
      </c>
      <c r="V547" t="s">
        <v>3107</v>
      </c>
      <c r="W547" s="41">
        <v>46024</v>
      </c>
      <c r="X547" t="s">
        <v>11011</v>
      </c>
      <c r="Y547" t="s">
        <v>11012</v>
      </c>
      <c r="Z547" t="s">
        <v>1144</v>
      </c>
      <c r="AA547">
        <v>0</v>
      </c>
      <c r="AB547" t="s">
        <v>845</v>
      </c>
      <c r="AC547" t="s">
        <v>846</v>
      </c>
      <c r="AD547" t="s">
        <v>847</v>
      </c>
      <c r="AE547" t="s">
        <v>848</v>
      </c>
      <c r="AF547">
        <v>1</v>
      </c>
      <c r="AG547">
        <v>452210</v>
      </c>
      <c r="AH547" t="s">
        <v>849</v>
      </c>
      <c r="AI547" t="s">
        <v>850</v>
      </c>
      <c r="AJ547" t="s">
        <v>851</v>
      </c>
      <c r="AK547" t="s">
        <v>415</v>
      </c>
      <c r="AL547" t="s">
        <v>4984</v>
      </c>
      <c r="AM547" t="s">
        <v>3111</v>
      </c>
      <c r="AN547" t="s">
        <v>854</v>
      </c>
      <c r="AO547">
        <v>36805</v>
      </c>
      <c r="AP547">
        <v>921</v>
      </c>
      <c r="AQ547" t="s">
        <v>855</v>
      </c>
      <c r="AR547">
        <v>66272857</v>
      </c>
      <c r="AS547" t="s">
        <v>856</v>
      </c>
      <c r="AU547" t="s">
        <v>11013</v>
      </c>
      <c r="AV547" t="s">
        <v>11014</v>
      </c>
      <c r="AW547" t="s">
        <v>1149</v>
      </c>
      <c r="AX547" t="s">
        <v>1150</v>
      </c>
      <c r="AY547" t="s">
        <v>861</v>
      </c>
      <c r="AZ547" t="s">
        <v>415</v>
      </c>
      <c r="BA547" t="s">
        <v>416</v>
      </c>
      <c r="BB547">
        <v>0</v>
      </c>
      <c r="BC547">
        <v>0</v>
      </c>
      <c r="BD547">
        <v>0</v>
      </c>
      <c r="BE547" t="s">
        <v>9126</v>
      </c>
      <c r="BF547">
        <v>0</v>
      </c>
      <c r="BG547">
        <v>0</v>
      </c>
      <c r="BH547" t="s">
        <v>862</v>
      </c>
      <c r="BI547">
        <v>0</v>
      </c>
      <c r="BJ547" t="s">
        <v>862</v>
      </c>
      <c r="BK547">
        <v>1</v>
      </c>
      <c r="BL547">
        <v>0</v>
      </c>
      <c r="BM547">
        <v>0</v>
      </c>
      <c r="BN547" t="s">
        <v>596</v>
      </c>
      <c r="BO547">
        <v>153589123</v>
      </c>
      <c r="BP547" t="s">
        <v>11008</v>
      </c>
      <c r="BR547">
        <v>42793646</v>
      </c>
      <c r="BT547">
        <v>1</v>
      </c>
      <c r="BU547" t="s">
        <v>1367</v>
      </c>
      <c r="CI547">
        <v>11</v>
      </c>
      <c r="CJ547" t="s">
        <v>94</v>
      </c>
      <c r="CM547">
        <v>4010</v>
      </c>
      <c r="CO547">
        <v>7360</v>
      </c>
      <c r="CP547">
        <v>0.1</v>
      </c>
      <c r="CQ547">
        <v>0.1</v>
      </c>
      <c r="CR547">
        <v>0.26669999999999999</v>
      </c>
      <c r="CS547">
        <v>4</v>
      </c>
      <c r="CT547" t="s">
        <v>11015</v>
      </c>
      <c r="CU547" t="s">
        <v>11016</v>
      </c>
      <c r="CV547" t="s">
        <v>833</v>
      </c>
      <c r="CW547" t="s">
        <v>834</v>
      </c>
      <c r="CX547" t="s">
        <v>9126</v>
      </c>
      <c r="CY547">
        <v>0</v>
      </c>
      <c r="CZ547">
        <v>0</v>
      </c>
      <c r="DA547" t="s">
        <v>833</v>
      </c>
      <c r="DB547" t="s">
        <v>865</v>
      </c>
      <c r="DC547">
        <v>45249</v>
      </c>
      <c r="DD547">
        <v>6.5167000000000002</v>
      </c>
      <c r="DE547" t="s">
        <v>866</v>
      </c>
      <c r="DG547" t="s">
        <v>867</v>
      </c>
      <c r="DH547" t="s">
        <v>851</v>
      </c>
      <c r="DI547" t="s">
        <v>2534</v>
      </c>
      <c r="DK547" t="s">
        <v>918</v>
      </c>
      <c r="DL547" t="s">
        <v>869</v>
      </c>
      <c r="DM547">
        <v>0</v>
      </c>
      <c r="DN547">
        <v>0</v>
      </c>
      <c r="DO547">
        <v>3</v>
      </c>
      <c r="DP547" t="s">
        <v>919</v>
      </c>
      <c r="DQ547">
        <v>16</v>
      </c>
      <c r="DR547">
        <v>391</v>
      </c>
      <c r="DS547">
        <v>391</v>
      </c>
      <c r="DT547">
        <v>6.4166999999999996</v>
      </c>
      <c r="DU547">
        <v>4</v>
      </c>
      <c r="DV547">
        <v>1</v>
      </c>
      <c r="DW547">
        <v>2</v>
      </c>
      <c r="DX547" t="s">
        <v>594</v>
      </c>
      <c r="DY547" t="s">
        <v>9126</v>
      </c>
      <c r="DZ547">
        <v>0</v>
      </c>
      <c r="EA547">
        <v>0</v>
      </c>
      <c r="EB547">
        <v>0</v>
      </c>
      <c r="EC547">
        <v>0</v>
      </c>
      <c r="ED547">
        <v>0</v>
      </c>
      <c r="EE547">
        <v>0</v>
      </c>
      <c r="EF547" t="s">
        <v>920</v>
      </c>
      <c r="EG547" t="s">
        <v>595</v>
      </c>
      <c r="EH547" t="s">
        <v>872</v>
      </c>
      <c r="EI547" t="s">
        <v>872</v>
      </c>
      <c r="EJ547" t="s">
        <v>226</v>
      </c>
      <c r="EK547">
        <v>9090</v>
      </c>
      <c r="EL547">
        <v>0</v>
      </c>
      <c r="EM547" t="s">
        <v>1157</v>
      </c>
      <c r="EN547">
        <v>0.26669999999999999</v>
      </c>
      <c r="EO547">
        <v>6.5166665999999998</v>
      </c>
      <c r="EP547">
        <v>99991120</v>
      </c>
      <c r="EQ547" t="s">
        <v>874</v>
      </c>
      <c r="ER547" t="s">
        <v>875</v>
      </c>
      <c r="ES547" t="s">
        <v>876</v>
      </c>
      <c r="ET547" t="s">
        <v>877</v>
      </c>
      <c r="EU547" t="s">
        <v>877</v>
      </c>
      <c r="EV547" t="s">
        <v>920</v>
      </c>
      <c r="EX547" t="s">
        <v>953</v>
      </c>
      <c r="EY547" t="s">
        <v>1555</v>
      </c>
      <c r="EZ547" t="s">
        <v>3116</v>
      </c>
      <c r="FA547" t="s">
        <v>925</v>
      </c>
      <c r="FB547">
        <v>1</v>
      </c>
      <c r="FC547">
        <v>1</v>
      </c>
      <c r="FD547" s="41">
        <v>46025</v>
      </c>
      <c r="FE547" t="s">
        <v>1370</v>
      </c>
      <c r="FF547">
        <v>8</v>
      </c>
      <c r="FG547" t="s">
        <v>11017</v>
      </c>
      <c r="FH547" t="s">
        <v>11018</v>
      </c>
      <c r="FI547">
        <v>1</v>
      </c>
      <c r="FJ547" t="s">
        <v>11019</v>
      </c>
      <c r="FK547" t="s">
        <v>11018</v>
      </c>
      <c r="FL547">
        <v>1</v>
      </c>
      <c r="FM547" t="s">
        <v>9135</v>
      </c>
      <c r="FN547" t="s">
        <v>11020</v>
      </c>
      <c r="FO547">
        <v>1</v>
      </c>
      <c r="FP547" t="s">
        <v>11021</v>
      </c>
      <c r="FQ547" t="s">
        <v>11016</v>
      </c>
      <c r="FR547">
        <v>1</v>
      </c>
      <c r="FS547" t="s">
        <v>3120</v>
      </c>
      <c r="FT547" t="s">
        <v>11022</v>
      </c>
      <c r="FU547">
        <v>1</v>
      </c>
      <c r="FV547" t="s">
        <v>7557</v>
      </c>
      <c r="FW547" t="s">
        <v>11023</v>
      </c>
      <c r="FX547">
        <v>1</v>
      </c>
      <c r="FY547" t="s">
        <v>890</v>
      </c>
      <c r="FZ547" t="s">
        <v>11024</v>
      </c>
      <c r="GA547" t="s">
        <v>11019</v>
      </c>
      <c r="GB547">
        <v>1</v>
      </c>
      <c r="GD547">
        <v>0</v>
      </c>
      <c r="GF547">
        <v>0</v>
      </c>
      <c r="GG547">
        <v>1</v>
      </c>
      <c r="GH547" t="s">
        <v>892</v>
      </c>
      <c r="GI547" t="s">
        <v>893</v>
      </c>
      <c r="GJ547" t="s">
        <v>11018</v>
      </c>
      <c r="GM547">
        <v>1</v>
      </c>
      <c r="GN547">
        <v>1</v>
      </c>
      <c r="GO547">
        <v>0</v>
      </c>
      <c r="GP547">
        <v>1</v>
      </c>
      <c r="GQ547">
        <v>1</v>
      </c>
      <c r="GR547">
        <v>0</v>
      </c>
      <c r="GS547">
        <v>1</v>
      </c>
      <c r="GT547">
        <v>0</v>
      </c>
      <c r="GU547">
        <v>1</v>
      </c>
      <c r="GV547">
        <v>0</v>
      </c>
      <c r="GW547">
        <v>1</v>
      </c>
      <c r="GX547">
        <v>0</v>
      </c>
      <c r="GY547">
        <v>1</v>
      </c>
      <c r="GZ547">
        <v>0</v>
      </c>
      <c r="HA547" t="s">
        <v>415</v>
      </c>
      <c r="HB547" t="s">
        <v>894</v>
      </c>
      <c r="HC547" t="s">
        <v>935</v>
      </c>
      <c r="HD547" t="s">
        <v>845</v>
      </c>
      <c r="HE547" t="s">
        <v>900</v>
      </c>
      <c r="HF547" t="s">
        <v>923</v>
      </c>
      <c r="HG547" t="s">
        <v>894</v>
      </c>
      <c r="HH547" t="s">
        <v>935</v>
      </c>
      <c r="HI547" t="s">
        <v>845</v>
      </c>
      <c r="HJ547" t="s">
        <v>900</v>
      </c>
      <c r="HK547" t="s">
        <v>922</v>
      </c>
      <c r="HL547" t="s">
        <v>3107</v>
      </c>
      <c r="HM547" t="s">
        <v>854</v>
      </c>
      <c r="HN547">
        <v>36805</v>
      </c>
      <c r="HO547">
        <v>1</v>
      </c>
      <c r="HP547" t="s">
        <v>226</v>
      </c>
      <c r="HQ547" t="s">
        <v>896</v>
      </c>
      <c r="HR547" t="s">
        <v>896</v>
      </c>
      <c r="HS547" t="s">
        <v>896</v>
      </c>
    </row>
    <row r="548" spans="1:227" x14ac:dyDescent="0.2">
      <c r="A548">
        <v>8702</v>
      </c>
      <c r="B548">
        <v>7604604555</v>
      </c>
      <c r="C548">
        <v>50</v>
      </c>
      <c r="D548" t="s">
        <v>2052</v>
      </c>
      <c r="E548" t="s">
        <v>831</v>
      </c>
      <c r="F548">
        <v>0</v>
      </c>
      <c r="G548" t="s">
        <v>11025</v>
      </c>
      <c r="H548" t="s">
        <v>11025</v>
      </c>
      <c r="I548">
        <v>0</v>
      </c>
      <c r="J548" t="s">
        <v>833</v>
      </c>
      <c r="K548" t="s">
        <v>834</v>
      </c>
      <c r="L548">
        <v>152949098</v>
      </c>
      <c r="M548" t="s">
        <v>6263</v>
      </c>
      <c r="N548" t="s">
        <v>836</v>
      </c>
      <c r="O548" t="s">
        <v>837</v>
      </c>
      <c r="P548" t="s">
        <v>2052</v>
      </c>
      <c r="Q548" t="s">
        <v>2055</v>
      </c>
      <c r="R548" t="s">
        <v>11026</v>
      </c>
      <c r="S548" t="s">
        <v>11027</v>
      </c>
      <c r="T548">
        <v>41477047363</v>
      </c>
      <c r="V548" t="s">
        <v>121</v>
      </c>
      <c r="W548" s="41">
        <v>46068</v>
      </c>
      <c r="X548" t="s">
        <v>11028</v>
      </c>
      <c r="Y548" t="s">
        <v>11029</v>
      </c>
      <c r="AA548">
        <v>0</v>
      </c>
      <c r="AB548" t="s">
        <v>845</v>
      </c>
      <c r="AC548" t="s">
        <v>846</v>
      </c>
      <c r="AD548" t="s">
        <v>1113</v>
      </c>
      <c r="AE548" t="s">
        <v>1114</v>
      </c>
      <c r="AF548">
        <v>1</v>
      </c>
      <c r="AG548">
        <v>452210</v>
      </c>
      <c r="AH548" t="s">
        <v>849</v>
      </c>
      <c r="AI548" t="s">
        <v>850</v>
      </c>
      <c r="AJ548" t="s">
        <v>851</v>
      </c>
      <c r="AK548" t="s">
        <v>261</v>
      </c>
      <c r="AL548" t="s">
        <v>1363</v>
      </c>
      <c r="AM548" t="s">
        <v>3266</v>
      </c>
      <c r="AN548" t="s">
        <v>854</v>
      </c>
      <c r="AO548">
        <v>36805</v>
      </c>
      <c r="AP548">
        <v>495</v>
      </c>
      <c r="AQ548" t="s">
        <v>855</v>
      </c>
      <c r="AR548">
        <v>66335886</v>
      </c>
      <c r="AS548" t="s">
        <v>856</v>
      </c>
      <c r="AU548" t="s">
        <v>11030</v>
      </c>
      <c r="AV548" t="s">
        <v>11031</v>
      </c>
      <c r="AW548" t="s">
        <v>2669</v>
      </c>
      <c r="AX548" t="s">
        <v>2670</v>
      </c>
      <c r="AY548" t="s">
        <v>861</v>
      </c>
      <c r="AZ548" t="s">
        <v>261</v>
      </c>
      <c r="BA548" t="s">
        <v>262</v>
      </c>
      <c r="BB548">
        <v>0</v>
      </c>
      <c r="BC548">
        <v>0</v>
      </c>
      <c r="BD548">
        <v>0</v>
      </c>
      <c r="BE548" t="s">
        <v>6263</v>
      </c>
      <c r="BF548">
        <v>0</v>
      </c>
      <c r="BG548">
        <v>0</v>
      </c>
      <c r="BH548" t="s">
        <v>862</v>
      </c>
      <c r="BI548">
        <v>0</v>
      </c>
      <c r="BJ548" t="s">
        <v>862</v>
      </c>
      <c r="BK548">
        <v>1</v>
      </c>
      <c r="BL548">
        <v>0</v>
      </c>
      <c r="BM548">
        <v>0</v>
      </c>
      <c r="BN548" t="s">
        <v>596</v>
      </c>
      <c r="BO548">
        <v>152949098</v>
      </c>
      <c r="BP548" t="s">
        <v>11025</v>
      </c>
      <c r="BR548">
        <v>42789062</v>
      </c>
      <c r="BT548">
        <v>2</v>
      </c>
      <c r="BU548" t="s">
        <v>1780</v>
      </c>
      <c r="CE548">
        <v>1</v>
      </c>
      <c r="CI548">
        <v>11</v>
      </c>
      <c r="CJ548" t="s">
        <v>94</v>
      </c>
      <c r="CM548">
        <v>4010</v>
      </c>
      <c r="CO548">
        <v>7360</v>
      </c>
      <c r="CP548">
        <v>0.6</v>
      </c>
      <c r="CQ548">
        <v>0.6</v>
      </c>
      <c r="CR548">
        <v>0.31669999999999998</v>
      </c>
      <c r="CS548">
        <v>14</v>
      </c>
      <c r="CT548" t="s">
        <v>11031</v>
      </c>
      <c r="CU548" t="s">
        <v>11030</v>
      </c>
      <c r="CV548" t="s">
        <v>833</v>
      </c>
      <c r="CW548" t="s">
        <v>834</v>
      </c>
      <c r="CX548" t="s">
        <v>6263</v>
      </c>
      <c r="CY548">
        <v>0</v>
      </c>
      <c r="CZ548">
        <v>0</v>
      </c>
      <c r="DA548" t="s">
        <v>833</v>
      </c>
      <c r="DB548" t="s">
        <v>865</v>
      </c>
      <c r="DC548">
        <v>63304</v>
      </c>
      <c r="DD548">
        <v>6.7167000000000003</v>
      </c>
      <c r="DE548" t="s">
        <v>866</v>
      </c>
      <c r="DG548" t="s">
        <v>867</v>
      </c>
      <c r="DH548" t="s">
        <v>851</v>
      </c>
      <c r="DI548" t="s">
        <v>3384</v>
      </c>
      <c r="DK548" t="s">
        <v>918</v>
      </c>
      <c r="DL548" t="s">
        <v>869</v>
      </c>
      <c r="DM548">
        <v>0</v>
      </c>
      <c r="DN548">
        <v>0</v>
      </c>
      <c r="DO548">
        <v>30</v>
      </c>
      <c r="DP548" t="s">
        <v>2064</v>
      </c>
      <c r="DQ548">
        <v>0</v>
      </c>
      <c r="DR548">
        <v>403</v>
      </c>
      <c r="DS548">
        <v>1109</v>
      </c>
      <c r="DT548">
        <v>6.1166999999999998</v>
      </c>
      <c r="DU548">
        <v>0</v>
      </c>
      <c r="DV548">
        <v>1</v>
      </c>
      <c r="DW548">
        <v>1</v>
      </c>
      <c r="DX548" t="s">
        <v>594</v>
      </c>
      <c r="DY548" t="s">
        <v>6263</v>
      </c>
      <c r="DZ548">
        <v>1</v>
      </c>
      <c r="EA548">
        <v>1</v>
      </c>
      <c r="EB548">
        <v>1</v>
      </c>
      <c r="EC548">
        <v>1</v>
      </c>
      <c r="ED548">
        <v>1</v>
      </c>
      <c r="EE548">
        <v>1</v>
      </c>
      <c r="EF548" t="s">
        <v>920</v>
      </c>
      <c r="EG548" t="s">
        <v>595</v>
      </c>
      <c r="EH548" t="s">
        <v>1695</v>
      </c>
      <c r="EI548" t="s">
        <v>1695</v>
      </c>
      <c r="EJ548" t="s">
        <v>111</v>
      </c>
      <c r="EK548">
        <v>9090</v>
      </c>
      <c r="EL548">
        <v>0</v>
      </c>
      <c r="EM548" t="s">
        <v>1037</v>
      </c>
      <c r="EN548">
        <v>0.31669999999999998</v>
      </c>
      <c r="EO548">
        <v>18.483333300000002</v>
      </c>
      <c r="EP548">
        <v>99991120</v>
      </c>
      <c r="EQ548" t="s">
        <v>874</v>
      </c>
      <c r="ER548" t="s">
        <v>875</v>
      </c>
      <c r="ES548" t="s">
        <v>876</v>
      </c>
      <c r="ET548" t="s">
        <v>877</v>
      </c>
      <c r="EU548" t="s">
        <v>877</v>
      </c>
      <c r="EV548" t="s">
        <v>920</v>
      </c>
      <c r="EX548" t="s">
        <v>900</v>
      </c>
      <c r="EY548" t="s">
        <v>923</v>
      </c>
      <c r="EZ548" t="s">
        <v>1038</v>
      </c>
      <c r="FA548" t="s">
        <v>925</v>
      </c>
      <c r="FB548">
        <v>1</v>
      </c>
      <c r="FC548">
        <v>1</v>
      </c>
      <c r="FD548" s="41">
        <v>46074</v>
      </c>
      <c r="FE548" t="s">
        <v>1267</v>
      </c>
      <c r="FF548">
        <v>7</v>
      </c>
      <c r="FG548" t="s">
        <v>11032</v>
      </c>
      <c r="FH548" t="s">
        <v>11033</v>
      </c>
      <c r="FI548">
        <v>1</v>
      </c>
      <c r="FJ548" t="s">
        <v>11034</v>
      </c>
      <c r="FK548" t="s">
        <v>11033</v>
      </c>
      <c r="FL548">
        <v>1</v>
      </c>
      <c r="FM548" t="s">
        <v>6270</v>
      </c>
      <c r="FN548" t="s">
        <v>11035</v>
      </c>
      <c r="FO548">
        <v>1</v>
      </c>
      <c r="FP548" t="s">
        <v>11036</v>
      </c>
      <c r="FQ548" t="s">
        <v>11037</v>
      </c>
      <c r="FR548">
        <v>1</v>
      </c>
      <c r="FS548" t="s">
        <v>3928</v>
      </c>
      <c r="FT548" t="s">
        <v>11038</v>
      </c>
      <c r="FU548">
        <v>1</v>
      </c>
      <c r="FV548" t="s">
        <v>9827</v>
      </c>
      <c r="FW548" t="s">
        <v>11039</v>
      </c>
      <c r="FX548">
        <v>1</v>
      </c>
      <c r="FY548" t="s">
        <v>890</v>
      </c>
      <c r="FZ548" t="s">
        <v>11040</v>
      </c>
      <c r="GA548" t="s">
        <v>11034</v>
      </c>
      <c r="GB548">
        <v>1</v>
      </c>
      <c r="GD548">
        <v>0</v>
      </c>
      <c r="GF548">
        <v>0</v>
      </c>
      <c r="GG548">
        <v>1</v>
      </c>
      <c r="GH548" t="s">
        <v>892</v>
      </c>
      <c r="GI548" t="s">
        <v>893</v>
      </c>
      <c r="GJ548" t="s">
        <v>11033</v>
      </c>
      <c r="GM548">
        <v>1</v>
      </c>
      <c r="GN548">
        <v>1</v>
      </c>
      <c r="GO548">
        <v>0</v>
      </c>
      <c r="GP548">
        <v>1</v>
      </c>
      <c r="GQ548">
        <v>1</v>
      </c>
      <c r="GR548">
        <v>0</v>
      </c>
      <c r="GS548">
        <v>1</v>
      </c>
      <c r="GT548">
        <v>0</v>
      </c>
      <c r="GU548">
        <v>1</v>
      </c>
      <c r="GV548">
        <v>0</v>
      </c>
      <c r="GW548">
        <v>1</v>
      </c>
      <c r="GX548">
        <v>0</v>
      </c>
      <c r="GY548">
        <v>1</v>
      </c>
      <c r="GZ548">
        <v>0</v>
      </c>
      <c r="HA548" t="s">
        <v>261</v>
      </c>
      <c r="HB548" t="s">
        <v>894</v>
      </c>
      <c r="HC548" t="s">
        <v>895</v>
      </c>
      <c r="HD548" t="s">
        <v>845</v>
      </c>
      <c r="HE548" t="s">
        <v>836</v>
      </c>
      <c r="HF548" t="s">
        <v>1051</v>
      </c>
      <c r="HG548" t="s">
        <v>894</v>
      </c>
      <c r="HH548" t="s">
        <v>895</v>
      </c>
      <c r="HI548" t="s">
        <v>845</v>
      </c>
      <c r="HJ548" t="s">
        <v>836</v>
      </c>
      <c r="HK548" t="s">
        <v>1037</v>
      </c>
      <c r="HL548" t="s">
        <v>121</v>
      </c>
      <c r="HM548" t="s">
        <v>854</v>
      </c>
      <c r="HN548">
        <v>36805</v>
      </c>
      <c r="HP548" t="s">
        <v>111</v>
      </c>
      <c r="HQ548" t="s">
        <v>896</v>
      </c>
      <c r="HR548" t="s">
        <v>896</v>
      </c>
      <c r="HS548" t="s">
        <v>896</v>
      </c>
    </row>
    <row r="549" spans="1:227" x14ac:dyDescent="0.2">
      <c r="A549">
        <v>8702</v>
      </c>
      <c r="B549">
        <v>7527407469</v>
      </c>
      <c r="C549" t="s">
        <v>829</v>
      </c>
      <c r="D549" t="s">
        <v>830</v>
      </c>
      <c r="E549" t="s">
        <v>897</v>
      </c>
      <c r="F549">
        <v>3</v>
      </c>
      <c r="G549" t="s">
        <v>11041</v>
      </c>
      <c r="H549" t="s">
        <v>11041</v>
      </c>
      <c r="I549">
        <v>0</v>
      </c>
      <c r="J549" t="s">
        <v>833</v>
      </c>
      <c r="K549" t="s">
        <v>834</v>
      </c>
      <c r="L549">
        <v>152832717</v>
      </c>
      <c r="M549" t="s">
        <v>11042</v>
      </c>
      <c r="N549" t="s">
        <v>900</v>
      </c>
      <c r="O549" t="s">
        <v>837</v>
      </c>
      <c r="P549" t="s">
        <v>838</v>
      </c>
      <c r="Q549" t="s">
        <v>1279</v>
      </c>
      <c r="R549" t="s">
        <v>11043</v>
      </c>
      <c r="S549" t="s">
        <v>11044</v>
      </c>
      <c r="T549">
        <v>41477059287</v>
      </c>
      <c r="V549" t="s">
        <v>239</v>
      </c>
      <c r="W549" s="41">
        <v>45932</v>
      </c>
      <c r="X549" t="s">
        <v>11045</v>
      </c>
      <c r="Y549" t="s">
        <v>11046</v>
      </c>
      <c r="AA549">
        <v>0</v>
      </c>
      <c r="AB549" t="s">
        <v>845</v>
      </c>
      <c r="AC549" t="s">
        <v>846</v>
      </c>
      <c r="AD549" t="s">
        <v>847</v>
      </c>
      <c r="AE549" t="s">
        <v>848</v>
      </c>
      <c r="AF549">
        <v>1</v>
      </c>
      <c r="AG549">
        <v>452210</v>
      </c>
      <c r="AH549" t="s">
        <v>849</v>
      </c>
      <c r="AI549" t="s">
        <v>850</v>
      </c>
      <c r="AJ549" t="s">
        <v>851</v>
      </c>
      <c r="AK549" t="s">
        <v>313</v>
      </c>
      <c r="AL549" t="s">
        <v>3524</v>
      </c>
      <c r="AM549" t="s">
        <v>1645</v>
      </c>
      <c r="AN549" t="s">
        <v>854</v>
      </c>
      <c r="AO549">
        <v>36805</v>
      </c>
      <c r="AP549">
        <v>928</v>
      </c>
      <c r="AQ549" t="s">
        <v>855</v>
      </c>
      <c r="AR549">
        <v>66139688</v>
      </c>
      <c r="AS549" t="s">
        <v>856</v>
      </c>
      <c r="AU549" t="s">
        <v>11047</v>
      </c>
      <c r="AV549" t="s">
        <v>11048</v>
      </c>
      <c r="AW549" t="s">
        <v>1758</v>
      </c>
      <c r="AX549" t="s">
        <v>1759</v>
      </c>
      <c r="AY549" t="s">
        <v>861</v>
      </c>
      <c r="AZ549" t="s">
        <v>313</v>
      </c>
      <c r="BA549" t="s">
        <v>314</v>
      </c>
      <c r="BB549">
        <v>1</v>
      </c>
      <c r="BC549">
        <v>0</v>
      </c>
      <c r="BD549">
        <v>0</v>
      </c>
      <c r="BE549" t="s">
        <v>11042</v>
      </c>
      <c r="BF549">
        <v>0</v>
      </c>
      <c r="BG549">
        <v>0</v>
      </c>
      <c r="BH549" t="s">
        <v>862</v>
      </c>
      <c r="BI549">
        <v>0</v>
      </c>
      <c r="BJ549" t="s">
        <v>862</v>
      </c>
      <c r="BK549">
        <v>1</v>
      </c>
      <c r="BL549">
        <v>0</v>
      </c>
      <c r="BM549">
        <v>0</v>
      </c>
      <c r="BN549" t="s">
        <v>596</v>
      </c>
      <c r="BO549">
        <v>152832717</v>
      </c>
      <c r="BP549" t="s">
        <v>11041</v>
      </c>
      <c r="BR549">
        <v>42793653</v>
      </c>
      <c r="BT549">
        <v>0</v>
      </c>
      <c r="CM549">
        <v>4010</v>
      </c>
      <c r="CO549">
        <v>7360</v>
      </c>
      <c r="CP549">
        <v>2.6166999999999998</v>
      </c>
      <c r="CQ549">
        <v>2.6166999999999998</v>
      </c>
      <c r="CR549">
        <v>1.3167</v>
      </c>
      <c r="CS549">
        <v>14</v>
      </c>
      <c r="CT549" t="s">
        <v>11049</v>
      </c>
      <c r="CU549" t="s">
        <v>11050</v>
      </c>
      <c r="CV549" t="s">
        <v>833</v>
      </c>
      <c r="CW549" t="s">
        <v>834</v>
      </c>
      <c r="CX549" t="s">
        <v>11042</v>
      </c>
      <c r="CY549">
        <v>1</v>
      </c>
      <c r="CZ549">
        <v>1</v>
      </c>
      <c r="DA549" t="s">
        <v>833</v>
      </c>
      <c r="DB549" t="s">
        <v>865</v>
      </c>
      <c r="DC549">
        <v>44145</v>
      </c>
      <c r="DD549">
        <v>8.3000000000000007</v>
      </c>
      <c r="DE549" t="s">
        <v>866</v>
      </c>
      <c r="DG549" t="s">
        <v>867</v>
      </c>
      <c r="DH549" t="s">
        <v>851</v>
      </c>
      <c r="DI549" t="s">
        <v>7713</v>
      </c>
      <c r="DL549" t="s">
        <v>869</v>
      </c>
      <c r="DM549">
        <v>0</v>
      </c>
      <c r="DN549">
        <v>0</v>
      </c>
      <c r="DO549">
        <v>11</v>
      </c>
      <c r="DP549" t="s">
        <v>1010</v>
      </c>
      <c r="DQ549">
        <v>16</v>
      </c>
      <c r="DR549">
        <v>498</v>
      </c>
      <c r="DS549">
        <v>1218</v>
      </c>
      <c r="DT549">
        <v>5.6833</v>
      </c>
      <c r="DU549">
        <v>4</v>
      </c>
      <c r="DW549">
        <v>2</v>
      </c>
      <c r="DX549" t="s">
        <v>594</v>
      </c>
      <c r="DY549" t="s">
        <v>11042</v>
      </c>
      <c r="DZ549">
        <v>0</v>
      </c>
      <c r="EA549">
        <v>0</v>
      </c>
      <c r="EB549">
        <v>0</v>
      </c>
      <c r="EC549">
        <v>0</v>
      </c>
      <c r="ED549">
        <v>0</v>
      </c>
      <c r="EE549">
        <v>0</v>
      </c>
      <c r="EF549" t="s">
        <v>920</v>
      </c>
      <c r="EG549" t="s">
        <v>595</v>
      </c>
      <c r="EH549" t="s">
        <v>872</v>
      </c>
      <c r="EI549" t="s">
        <v>872</v>
      </c>
      <c r="EJ549" t="s">
        <v>226</v>
      </c>
      <c r="EK549">
        <v>9090</v>
      </c>
      <c r="EL549">
        <v>0</v>
      </c>
      <c r="EM549" t="s">
        <v>1157</v>
      </c>
      <c r="EN549">
        <v>1.3167</v>
      </c>
      <c r="EO549">
        <v>20.3</v>
      </c>
      <c r="EP549">
        <v>99991120</v>
      </c>
      <c r="EQ549" t="s">
        <v>874</v>
      </c>
      <c r="ER549" t="s">
        <v>875</v>
      </c>
      <c r="ES549" t="s">
        <v>876</v>
      </c>
      <c r="ET549" t="s">
        <v>877</v>
      </c>
      <c r="EU549" t="s">
        <v>877</v>
      </c>
      <c r="EV549" t="s">
        <v>920</v>
      </c>
      <c r="EX549" t="s">
        <v>953</v>
      </c>
      <c r="EY549" t="s">
        <v>986</v>
      </c>
      <c r="EZ549" t="s">
        <v>1236</v>
      </c>
      <c r="FA549" t="s">
        <v>956</v>
      </c>
      <c r="FB549">
        <v>1</v>
      </c>
      <c r="FC549">
        <v>1</v>
      </c>
      <c r="FD549" s="41">
        <v>45934</v>
      </c>
      <c r="FE549" t="s">
        <v>1039</v>
      </c>
      <c r="FF549">
        <v>9</v>
      </c>
      <c r="FG549" t="s">
        <v>11051</v>
      </c>
      <c r="FH549" t="s">
        <v>11052</v>
      </c>
      <c r="FI549">
        <v>1</v>
      </c>
      <c r="FJ549" t="s">
        <v>11053</v>
      </c>
      <c r="FK549" t="s">
        <v>11054</v>
      </c>
      <c r="FL549">
        <v>1</v>
      </c>
      <c r="FM549" t="s">
        <v>11055</v>
      </c>
      <c r="FN549" t="s">
        <v>11054</v>
      </c>
      <c r="FO549">
        <v>1</v>
      </c>
      <c r="FP549" t="s">
        <v>11056</v>
      </c>
      <c r="FQ549" t="s">
        <v>11050</v>
      </c>
      <c r="FR549">
        <v>1</v>
      </c>
      <c r="FS549" t="s">
        <v>1656</v>
      </c>
      <c r="FT549" t="s">
        <v>11057</v>
      </c>
      <c r="FU549">
        <v>1</v>
      </c>
      <c r="FV549" t="s">
        <v>11058</v>
      </c>
      <c r="FW549" t="s">
        <v>11059</v>
      </c>
      <c r="FX549">
        <v>1</v>
      </c>
      <c r="FY549" t="s">
        <v>890</v>
      </c>
      <c r="FZ549" t="s">
        <v>11060</v>
      </c>
      <c r="GA549" t="s">
        <v>11051</v>
      </c>
      <c r="GB549">
        <v>1</v>
      </c>
      <c r="GD549">
        <v>0</v>
      </c>
      <c r="GF549">
        <v>0</v>
      </c>
      <c r="GG549">
        <v>1</v>
      </c>
      <c r="GH549" t="s">
        <v>892</v>
      </c>
      <c r="GI549" t="s">
        <v>893</v>
      </c>
      <c r="GJ549" t="s">
        <v>11052</v>
      </c>
      <c r="GM549">
        <v>1</v>
      </c>
      <c r="GN549">
        <v>1</v>
      </c>
      <c r="GO549">
        <v>0</v>
      </c>
      <c r="GP549">
        <v>1</v>
      </c>
      <c r="GQ549">
        <v>1</v>
      </c>
      <c r="GR549">
        <v>0</v>
      </c>
      <c r="GS549">
        <v>1</v>
      </c>
      <c r="GT549">
        <v>0</v>
      </c>
      <c r="GU549">
        <v>1</v>
      </c>
      <c r="GV549">
        <v>0</v>
      </c>
      <c r="GW549">
        <v>1</v>
      </c>
      <c r="GX549">
        <v>0</v>
      </c>
      <c r="GY549">
        <v>1</v>
      </c>
      <c r="GZ549">
        <v>0</v>
      </c>
      <c r="HA549" t="s">
        <v>313</v>
      </c>
      <c r="HB549" t="s">
        <v>894</v>
      </c>
      <c r="HC549" t="s">
        <v>935</v>
      </c>
      <c r="HD549" t="s">
        <v>845</v>
      </c>
      <c r="HE549" t="s">
        <v>900</v>
      </c>
      <c r="HF549" t="s">
        <v>923</v>
      </c>
      <c r="HG549" t="s">
        <v>894</v>
      </c>
      <c r="HH549" t="s">
        <v>935</v>
      </c>
      <c r="HI549" t="s">
        <v>845</v>
      </c>
      <c r="HJ549" t="s">
        <v>900</v>
      </c>
      <c r="HK549" t="s">
        <v>922</v>
      </c>
      <c r="HL549" t="s">
        <v>239</v>
      </c>
      <c r="HM549" t="s">
        <v>854</v>
      </c>
      <c r="HN549">
        <v>36805</v>
      </c>
      <c r="HP549" t="s">
        <v>226</v>
      </c>
      <c r="HQ549" t="s">
        <v>896</v>
      </c>
      <c r="HR549" t="s">
        <v>896</v>
      </c>
      <c r="HS549" t="s">
        <v>896</v>
      </c>
    </row>
    <row r="550" spans="1:227" x14ac:dyDescent="0.2">
      <c r="A550">
        <v>8702</v>
      </c>
      <c r="B550">
        <v>7521308950</v>
      </c>
      <c r="C550">
        <v>36</v>
      </c>
      <c r="D550" t="s">
        <v>1302</v>
      </c>
      <c r="E550" t="s">
        <v>897</v>
      </c>
      <c r="F550">
        <v>0</v>
      </c>
      <c r="G550" t="s">
        <v>11061</v>
      </c>
      <c r="H550" t="s">
        <v>11061</v>
      </c>
      <c r="I550">
        <v>0</v>
      </c>
      <c r="J550" t="s">
        <v>833</v>
      </c>
      <c r="K550" t="s">
        <v>834</v>
      </c>
      <c r="L550">
        <v>156057615</v>
      </c>
      <c r="M550" t="s">
        <v>3104</v>
      </c>
      <c r="N550" t="s">
        <v>900</v>
      </c>
      <c r="O550" t="s">
        <v>837</v>
      </c>
      <c r="P550" t="s">
        <v>1302</v>
      </c>
      <c r="Q550" t="s">
        <v>11062</v>
      </c>
      <c r="R550" t="s">
        <v>11063</v>
      </c>
      <c r="S550" t="s">
        <v>11064</v>
      </c>
      <c r="T550">
        <v>41477056615</v>
      </c>
      <c r="V550" t="s">
        <v>3107</v>
      </c>
      <c r="W550" s="41">
        <v>45870</v>
      </c>
      <c r="X550" t="s">
        <v>11065</v>
      </c>
      <c r="Y550" t="s">
        <v>11066</v>
      </c>
      <c r="AA550">
        <v>0</v>
      </c>
      <c r="AB550" t="s">
        <v>845</v>
      </c>
      <c r="AC550" t="s">
        <v>846</v>
      </c>
      <c r="AD550" t="s">
        <v>847</v>
      </c>
      <c r="AE550" t="s">
        <v>848</v>
      </c>
      <c r="AF550">
        <v>1</v>
      </c>
      <c r="AG550">
        <v>452210</v>
      </c>
      <c r="AH550" t="s">
        <v>849</v>
      </c>
      <c r="AI550" t="s">
        <v>850</v>
      </c>
      <c r="AJ550" t="s">
        <v>851</v>
      </c>
      <c r="AK550" t="s">
        <v>275</v>
      </c>
      <c r="AL550" t="s">
        <v>3110</v>
      </c>
      <c r="AM550" t="s">
        <v>3111</v>
      </c>
      <c r="AN550" t="s">
        <v>854</v>
      </c>
      <c r="AO550">
        <v>36805</v>
      </c>
      <c r="AP550">
        <v>921</v>
      </c>
      <c r="AQ550" t="s">
        <v>855</v>
      </c>
      <c r="AR550">
        <v>66050671</v>
      </c>
      <c r="AS550" t="s">
        <v>856</v>
      </c>
      <c r="AU550" t="s">
        <v>11067</v>
      </c>
      <c r="AV550" t="s">
        <v>11068</v>
      </c>
      <c r="AX550" t="s">
        <v>913</v>
      </c>
      <c r="AY550" t="s">
        <v>861</v>
      </c>
      <c r="AZ550" t="s">
        <v>275</v>
      </c>
      <c r="BA550" t="s">
        <v>276</v>
      </c>
      <c r="BB550">
        <v>0</v>
      </c>
      <c r="BC550">
        <v>0</v>
      </c>
      <c r="BD550">
        <v>0</v>
      </c>
      <c r="BE550" t="s">
        <v>3104</v>
      </c>
      <c r="BF550">
        <v>0</v>
      </c>
      <c r="BG550">
        <v>0</v>
      </c>
      <c r="BH550" t="s">
        <v>862</v>
      </c>
      <c r="BI550">
        <v>0</v>
      </c>
      <c r="BJ550" t="s">
        <v>862</v>
      </c>
      <c r="BK550">
        <v>1</v>
      </c>
      <c r="BL550">
        <v>1</v>
      </c>
      <c r="BM550">
        <v>0</v>
      </c>
      <c r="BN550" t="s">
        <v>596</v>
      </c>
      <c r="BO550">
        <v>156057615</v>
      </c>
      <c r="BP550" t="s">
        <v>11061</v>
      </c>
      <c r="BR550">
        <v>42793646</v>
      </c>
      <c r="BT550">
        <v>0</v>
      </c>
      <c r="CM550">
        <v>4010</v>
      </c>
      <c r="CO550">
        <v>7360</v>
      </c>
      <c r="CP550">
        <v>0.15</v>
      </c>
      <c r="CQ550">
        <v>0.15</v>
      </c>
      <c r="CR550">
        <v>0</v>
      </c>
      <c r="CS550">
        <v>0</v>
      </c>
      <c r="CT550" t="s">
        <v>11068</v>
      </c>
      <c r="CU550" t="s">
        <v>11067</v>
      </c>
      <c r="CV550" t="s">
        <v>833</v>
      </c>
      <c r="CW550" t="s">
        <v>834</v>
      </c>
      <c r="CX550" t="s">
        <v>3104</v>
      </c>
      <c r="CY550">
        <v>0</v>
      </c>
      <c r="CZ550">
        <v>0</v>
      </c>
      <c r="DA550" t="s">
        <v>833</v>
      </c>
      <c r="DB550" t="s">
        <v>865</v>
      </c>
      <c r="DC550">
        <v>45249</v>
      </c>
      <c r="DD550">
        <v>2.4500000000000002</v>
      </c>
      <c r="DE550" t="s">
        <v>866</v>
      </c>
      <c r="DG550" t="s">
        <v>867</v>
      </c>
      <c r="DH550" t="s">
        <v>851</v>
      </c>
      <c r="DJ550">
        <v>921</v>
      </c>
      <c r="DL550" t="s">
        <v>869</v>
      </c>
      <c r="DM550">
        <v>0</v>
      </c>
      <c r="DN550">
        <v>0</v>
      </c>
      <c r="DO550">
        <v>2</v>
      </c>
      <c r="DP550" t="s">
        <v>870</v>
      </c>
      <c r="DQ550">
        <v>12</v>
      </c>
      <c r="DR550">
        <v>147</v>
      </c>
      <c r="DS550">
        <v>147</v>
      </c>
      <c r="DT550">
        <v>2.2999999999999998</v>
      </c>
      <c r="DU550">
        <v>4</v>
      </c>
      <c r="DW550">
        <v>1</v>
      </c>
      <c r="DX550" t="s">
        <v>596</v>
      </c>
      <c r="DY550" t="s">
        <v>3104</v>
      </c>
      <c r="DZ550">
        <v>1</v>
      </c>
      <c r="EA550">
        <v>1</v>
      </c>
      <c r="EB550">
        <v>1</v>
      </c>
      <c r="EC550">
        <v>1</v>
      </c>
      <c r="ED550">
        <v>1</v>
      </c>
      <c r="EE550">
        <v>1</v>
      </c>
      <c r="EF550" t="s">
        <v>871</v>
      </c>
      <c r="EG550" t="s">
        <v>595</v>
      </c>
      <c r="EH550" t="s">
        <v>1036</v>
      </c>
      <c r="EI550" t="s">
        <v>1036</v>
      </c>
      <c r="EJ550" t="s">
        <v>226</v>
      </c>
      <c r="EK550">
        <v>9090</v>
      </c>
      <c r="EL550">
        <v>0</v>
      </c>
      <c r="EM550" t="s">
        <v>1157</v>
      </c>
      <c r="EN550">
        <v>0</v>
      </c>
      <c r="EO550">
        <v>2.4500000000000002</v>
      </c>
      <c r="EP550">
        <v>99991120</v>
      </c>
      <c r="EQ550" t="s">
        <v>874</v>
      </c>
      <c r="ER550" t="s">
        <v>875</v>
      </c>
      <c r="ES550" t="s">
        <v>876</v>
      </c>
      <c r="ET550" t="s">
        <v>877</v>
      </c>
      <c r="EU550" t="s">
        <v>877</v>
      </c>
      <c r="EV550" t="s">
        <v>871</v>
      </c>
      <c r="EX550" t="s">
        <v>953</v>
      </c>
      <c r="EY550" t="s">
        <v>1555</v>
      </c>
      <c r="EZ550" t="s">
        <v>3116</v>
      </c>
      <c r="FA550" t="s">
        <v>925</v>
      </c>
      <c r="FB550">
        <v>1</v>
      </c>
      <c r="FC550">
        <v>1</v>
      </c>
      <c r="FD550" s="41">
        <v>45871</v>
      </c>
      <c r="FE550" t="s">
        <v>987</v>
      </c>
      <c r="FF550">
        <v>4</v>
      </c>
      <c r="FI550">
        <v>0</v>
      </c>
      <c r="FL550">
        <v>0</v>
      </c>
      <c r="FM550" t="s">
        <v>3117</v>
      </c>
      <c r="FN550" t="s">
        <v>11069</v>
      </c>
      <c r="FO550">
        <v>1</v>
      </c>
      <c r="FP550" t="s">
        <v>11070</v>
      </c>
      <c r="FQ550" t="s">
        <v>11071</v>
      </c>
      <c r="FR550">
        <v>1</v>
      </c>
      <c r="FS550" t="s">
        <v>3120</v>
      </c>
      <c r="FT550" t="s">
        <v>11072</v>
      </c>
      <c r="FU550">
        <v>1</v>
      </c>
      <c r="FV550" t="s">
        <v>11073</v>
      </c>
      <c r="FW550" t="s">
        <v>11074</v>
      </c>
      <c r="FX550">
        <v>1</v>
      </c>
      <c r="FY550" t="s">
        <v>890</v>
      </c>
      <c r="FZ550" t="s">
        <v>11075</v>
      </c>
      <c r="GA550" t="s">
        <v>11073</v>
      </c>
      <c r="GB550">
        <v>1</v>
      </c>
      <c r="GD550">
        <v>0</v>
      </c>
      <c r="GF550">
        <v>0</v>
      </c>
      <c r="GG550">
        <v>1</v>
      </c>
      <c r="GH550" t="s">
        <v>892</v>
      </c>
      <c r="GI550" t="s">
        <v>893</v>
      </c>
      <c r="GJ550" t="s">
        <v>11074</v>
      </c>
      <c r="GM550">
        <v>1</v>
      </c>
      <c r="GN550">
        <v>1</v>
      </c>
      <c r="GO550">
        <v>0</v>
      </c>
      <c r="GP550">
        <v>1</v>
      </c>
      <c r="GQ550">
        <v>1</v>
      </c>
      <c r="GR550">
        <v>0</v>
      </c>
      <c r="GS550">
        <v>1</v>
      </c>
      <c r="GT550">
        <v>0</v>
      </c>
      <c r="GU550">
        <v>1</v>
      </c>
      <c r="GV550">
        <v>0</v>
      </c>
      <c r="GW550">
        <v>1</v>
      </c>
      <c r="GX550">
        <v>0</v>
      </c>
      <c r="GY550">
        <v>1</v>
      </c>
      <c r="GZ550">
        <v>0</v>
      </c>
      <c r="HA550" t="s">
        <v>275</v>
      </c>
      <c r="HB550" t="s">
        <v>894</v>
      </c>
      <c r="HC550" t="s">
        <v>935</v>
      </c>
      <c r="HD550" t="s">
        <v>845</v>
      </c>
      <c r="HE550" t="s">
        <v>900</v>
      </c>
      <c r="HF550" t="s">
        <v>923</v>
      </c>
      <c r="HG550" t="s">
        <v>894</v>
      </c>
      <c r="HH550" t="s">
        <v>935</v>
      </c>
      <c r="HI550" t="s">
        <v>845</v>
      </c>
      <c r="HJ550" t="s">
        <v>900</v>
      </c>
      <c r="HK550" t="s">
        <v>922</v>
      </c>
      <c r="HL550" t="s">
        <v>3107</v>
      </c>
      <c r="HM550" t="s">
        <v>854</v>
      </c>
      <c r="HN550">
        <v>36805</v>
      </c>
      <c r="HP550" t="s">
        <v>226</v>
      </c>
      <c r="HQ550" t="s">
        <v>896</v>
      </c>
      <c r="HR550" t="s">
        <v>896</v>
      </c>
      <c r="HS550" t="s">
        <v>896</v>
      </c>
    </row>
    <row r="551" spans="1:227" x14ac:dyDescent="0.2">
      <c r="A551">
        <v>8702</v>
      </c>
      <c r="B551">
        <v>7613303072</v>
      </c>
      <c r="C551" t="s">
        <v>829</v>
      </c>
      <c r="D551" t="s">
        <v>830</v>
      </c>
      <c r="E551" t="s">
        <v>897</v>
      </c>
      <c r="F551">
        <v>0</v>
      </c>
      <c r="G551" t="s">
        <v>11076</v>
      </c>
      <c r="H551" t="s">
        <v>11076</v>
      </c>
      <c r="I551">
        <v>0</v>
      </c>
      <c r="J551" t="s">
        <v>833</v>
      </c>
      <c r="K551" t="s">
        <v>834</v>
      </c>
      <c r="L551">
        <v>153517107</v>
      </c>
      <c r="M551" t="s">
        <v>2157</v>
      </c>
      <c r="N551" t="s">
        <v>900</v>
      </c>
      <c r="O551" t="s">
        <v>837</v>
      </c>
      <c r="P551" t="s">
        <v>838</v>
      </c>
      <c r="Q551" t="s">
        <v>1279</v>
      </c>
      <c r="R551" t="s">
        <v>11077</v>
      </c>
      <c r="S551" t="s">
        <v>11078</v>
      </c>
      <c r="T551">
        <v>41477061773</v>
      </c>
      <c r="V551" t="s">
        <v>138</v>
      </c>
      <c r="W551" s="41">
        <v>46155</v>
      </c>
      <c r="X551" t="s">
        <v>11079</v>
      </c>
      <c r="Y551" t="s">
        <v>11080</v>
      </c>
      <c r="AA551">
        <v>0</v>
      </c>
      <c r="AB551" t="s">
        <v>845</v>
      </c>
      <c r="AC551" t="s">
        <v>846</v>
      </c>
      <c r="AD551" t="s">
        <v>1113</v>
      </c>
      <c r="AE551" t="s">
        <v>1114</v>
      </c>
      <c r="AF551">
        <v>1</v>
      </c>
      <c r="AG551">
        <v>452210</v>
      </c>
      <c r="AH551" t="s">
        <v>849</v>
      </c>
      <c r="AI551" t="s">
        <v>850</v>
      </c>
      <c r="AJ551" t="s">
        <v>851</v>
      </c>
      <c r="AK551" t="s">
        <v>293</v>
      </c>
      <c r="AL551" t="s">
        <v>1574</v>
      </c>
      <c r="AM551" t="s">
        <v>1575</v>
      </c>
      <c r="AN551" t="s">
        <v>854</v>
      </c>
      <c r="AO551">
        <v>36805</v>
      </c>
      <c r="AP551">
        <v>524</v>
      </c>
      <c r="AQ551" t="s">
        <v>855</v>
      </c>
      <c r="AR551">
        <v>66461131</v>
      </c>
      <c r="AS551" t="s">
        <v>856</v>
      </c>
      <c r="AU551" t="s">
        <v>11081</v>
      </c>
      <c r="AV551" t="s">
        <v>11082</v>
      </c>
      <c r="AX551" t="s">
        <v>913</v>
      </c>
      <c r="AY551" t="s">
        <v>861</v>
      </c>
      <c r="AZ551" t="s">
        <v>293</v>
      </c>
      <c r="BA551" t="s">
        <v>294</v>
      </c>
      <c r="BB551">
        <v>0</v>
      </c>
      <c r="BC551">
        <v>0</v>
      </c>
      <c r="BD551">
        <v>0</v>
      </c>
      <c r="BE551" t="s">
        <v>2157</v>
      </c>
      <c r="BF551">
        <v>0</v>
      </c>
      <c r="BG551">
        <v>0</v>
      </c>
      <c r="BH551" t="s">
        <v>862</v>
      </c>
      <c r="BI551">
        <v>0</v>
      </c>
      <c r="BJ551" t="s">
        <v>862</v>
      </c>
      <c r="BK551">
        <v>1</v>
      </c>
      <c r="BL551">
        <v>1</v>
      </c>
      <c r="BM551">
        <v>0</v>
      </c>
      <c r="BN551" t="s">
        <v>596</v>
      </c>
      <c r="BO551">
        <v>153517107</v>
      </c>
      <c r="BP551" t="s">
        <v>11076</v>
      </c>
      <c r="BR551">
        <v>42791434</v>
      </c>
      <c r="BT551">
        <v>2</v>
      </c>
      <c r="BU551" t="s">
        <v>1803</v>
      </c>
      <c r="BY551">
        <v>16</v>
      </c>
      <c r="CA551">
        <v>4</v>
      </c>
      <c r="CE551">
        <v>1</v>
      </c>
      <c r="CI551">
        <v>11</v>
      </c>
      <c r="CJ551" t="s">
        <v>94</v>
      </c>
      <c r="CM551">
        <v>4010</v>
      </c>
      <c r="CO551">
        <v>7360</v>
      </c>
      <c r="CP551">
        <v>0.2167</v>
      </c>
      <c r="CQ551">
        <v>0.2167</v>
      </c>
      <c r="CR551">
        <v>0.35</v>
      </c>
      <c r="CS551">
        <v>1</v>
      </c>
      <c r="CT551" t="s">
        <v>11083</v>
      </c>
      <c r="CU551" t="s">
        <v>11084</v>
      </c>
      <c r="CV551" t="s">
        <v>833</v>
      </c>
      <c r="CW551" t="s">
        <v>834</v>
      </c>
      <c r="CX551" t="s">
        <v>2157</v>
      </c>
      <c r="CY551">
        <v>0</v>
      </c>
      <c r="CZ551">
        <v>0</v>
      </c>
      <c r="DA551" t="s">
        <v>833</v>
      </c>
      <c r="DB551" t="s">
        <v>865</v>
      </c>
      <c r="DC551">
        <v>46805</v>
      </c>
      <c r="DD551">
        <v>4.3167</v>
      </c>
      <c r="DE551" t="s">
        <v>866</v>
      </c>
      <c r="DG551" t="s">
        <v>867</v>
      </c>
      <c r="DH551" t="s">
        <v>851</v>
      </c>
      <c r="DI551" t="s">
        <v>2164</v>
      </c>
      <c r="DK551" t="s">
        <v>918</v>
      </c>
      <c r="DL551" t="s">
        <v>869</v>
      </c>
      <c r="DM551">
        <v>0</v>
      </c>
      <c r="DN551">
        <v>0</v>
      </c>
      <c r="DO551">
        <v>54</v>
      </c>
      <c r="DP551" t="s">
        <v>2472</v>
      </c>
      <c r="DQ551">
        <v>0</v>
      </c>
      <c r="DR551">
        <v>259</v>
      </c>
      <c r="DS551">
        <v>259</v>
      </c>
      <c r="DT551">
        <v>4.0999999999999996</v>
      </c>
      <c r="DU551">
        <v>0</v>
      </c>
      <c r="DV551">
        <v>1</v>
      </c>
      <c r="DW551">
        <v>2</v>
      </c>
      <c r="DX551" t="s">
        <v>596</v>
      </c>
      <c r="DY551" t="s">
        <v>2157</v>
      </c>
      <c r="DZ551">
        <v>1</v>
      </c>
      <c r="EA551">
        <v>1</v>
      </c>
      <c r="EB551">
        <v>1</v>
      </c>
      <c r="EC551">
        <v>1</v>
      </c>
      <c r="ED551">
        <v>1</v>
      </c>
      <c r="EE551">
        <v>1</v>
      </c>
      <c r="EF551" t="s">
        <v>920</v>
      </c>
      <c r="EG551" t="s">
        <v>595</v>
      </c>
      <c r="EH551" t="s">
        <v>921</v>
      </c>
      <c r="EI551" t="s">
        <v>921</v>
      </c>
      <c r="EJ551" t="s">
        <v>134</v>
      </c>
      <c r="EK551">
        <v>9090</v>
      </c>
      <c r="EL551">
        <v>0</v>
      </c>
      <c r="EM551" t="s">
        <v>1011</v>
      </c>
      <c r="EN551">
        <v>0.35</v>
      </c>
      <c r="EO551">
        <v>4.3166666999999999</v>
      </c>
      <c r="EP551">
        <v>99991120</v>
      </c>
      <c r="EQ551" t="s">
        <v>874</v>
      </c>
      <c r="ER551" t="s">
        <v>875</v>
      </c>
      <c r="ES551" t="s">
        <v>876</v>
      </c>
      <c r="ET551" t="s">
        <v>877</v>
      </c>
      <c r="EU551" t="s">
        <v>877</v>
      </c>
      <c r="EV551" t="s">
        <v>920</v>
      </c>
      <c r="EX551" t="s">
        <v>953</v>
      </c>
      <c r="EY551" t="s">
        <v>1555</v>
      </c>
      <c r="EZ551" t="s">
        <v>1578</v>
      </c>
      <c r="FA551" t="s">
        <v>879</v>
      </c>
      <c r="FB551">
        <v>1</v>
      </c>
      <c r="FC551">
        <v>1</v>
      </c>
      <c r="FD551" s="41">
        <v>46158</v>
      </c>
      <c r="FE551" t="s">
        <v>1808</v>
      </c>
      <c r="FF551">
        <v>4</v>
      </c>
      <c r="FI551">
        <v>0</v>
      </c>
      <c r="FL551">
        <v>0</v>
      </c>
      <c r="FM551" t="s">
        <v>11085</v>
      </c>
      <c r="FN551" t="s">
        <v>11086</v>
      </c>
      <c r="FO551">
        <v>1</v>
      </c>
      <c r="FP551" t="s">
        <v>11087</v>
      </c>
      <c r="FQ551" t="s">
        <v>11088</v>
      </c>
      <c r="FR551">
        <v>1</v>
      </c>
      <c r="FS551" t="s">
        <v>2171</v>
      </c>
      <c r="FT551" t="s">
        <v>11089</v>
      </c>
      <c r="FU551">
        <v>1</v>
      </c>
      <c r="FV551" t="s">
        <v>11090</v>
      </c>
      <c r="FW551" t="s">
        <v>11091</v>
      </c>
      <c r="FX551">
        <v>1</v>
      </c>
      <c r="FY551" t="s">
        <v>890</v>
      </c>
      <c r="FZ551" t="s">
        <v>11092</v>
      </c>
      <c r="GA551" t="s">
        <v>11090</v>
      </c>
      <c r="GB551">
        <v>1</v>
      </c>
      <c r="GD551">
        <v>0</v>
      </c>
      <c r="GF551">
        <v>0</v>
      </c>
      <c r="GG551">
        <v>1</v>
      </c>
      <c r="GH551" t="s">
        <v>892</v>
      </c>
      <c r="GI551" t="s">
        <v>893</v>
      </c>
      <c r="GJ551" t="s">
        <v>11091</v>
      </c>
      <c r="GM551">
        <v>1</v>
      </c>
      <c r="GN551">
        <v>1</v>
      </c>
      <c r="GO551">
        <v>0</v>
      </c>
      <c r="GP551">
        <v>1</v>
      </c>
      <c r="GQ551">
        <v>1</v>
      </c>
      <c r="GR551">
        <v>0</v>
      </c>
      <c r="GS551">
        <v>1</v>
      </c>
      <c r="GT551">
        <v>0</v>
      </c>
      <c r="GU551">
        <v>1</v>
      </c>
      <c r="GV551">
        <v>0</v>
      </c>
      <c r="GW551">
        <v>1</v>
      </c>
      <c r="GX551">
        <v>0</v>
      </c>
      <c r="GY551">
        <v>1</v>
      </c>
      <c r="GZ551">
        <v>0</v>
      </c>
      <c r="HA551" t="s">
        <v>293</v>
      </c>
      <c r="HB551" t="s">
        <v>894</v>
      </c>
      <c r="HC551" t="s">
        <v>935</v>
      </c>
      <c r="HD551" t="s">
        <v>845</v>
      </c>
      <c r="HE551" t="s">
        <v>900</v>
      </c>
      <c r="HF551" t="s">
        <v>1012</v>
      </c>
      <c r="HG551" t="s">
        <v>894</v>
      </c>
      <c r="HH551" t="s">
        <v>935</v>
      </c>
      <c r="HI551" t="s">
        <v>845</v>
      </c>
      <c r="HJ551" t="s">
        <v>900</v>
      </c>
      <c r="HK551" t="s">
        <v>1011</v>
      </c>
      <c r="HL551" t="s">
        <v>138</v>
      </c>
      <c r="HM551" t="s">
        <v>854</v>
      </c>
      <c r="HN551">
        <v>36805</v>
      </c>
      <c r="HP551" t="s">
        <v>134</v>
      </c>
      <c r="HQ551" t="s">
        <v>896</v>
      </c>
      <c r="HR551" t="s">
        <v>896</v>
      </c>
      <c r="HS551" t="s">
        <v>896</v>
      </c>
    </row>
    <row r="552" spans="1:227" x14ac:dyDescent="0.2">
      <c r="A552">
        <v>8702</v>
      </c>
      <c r="B552">
        <v>7604902425</v>
      </c>
      <c r="C552">
        <v>34</v>
      </c>
      <c r="D552" t="s">
        <v>996</v>
      </c>
      <c r="E552" t="s">
        <v>831</v>
      </c>
      <c r="F552">
        <v>1</v>
      </c>
      <c r="G552" t="s">
        <v>11093</v>
      </c>
      <c r="H552" t="s">
        <v>11093</v>
      </c>
      <c r="I552">
        <v>0</v>
      </c>
      <c r="J552" t="s">
        <v>833</v>
      </c>
      <c r="K552" t="s">
        <v>834</v>
      </c>
      <c r="L552">
        <v>153406480</v>
      </c>
      <c r="M552" t="s">
        <v>1940</v>
      </c>
      <c r="N552" t="s">
        <v>836</v>
      </c>
      <c r="O552" t="s">
        <v>837</v>
      </c>
      <c r="P552" t="s">
        <v>999</v>
      </c>
      <c r="Q552" t="s">
        <v>1027</v>
      </c>
      <c r="R552" t="s">
        <v>11094</v>
      </c>
      <c r="S552" t="s">
        <v>11095</v>
      </c>
      <c r="T552">
        <v>30300099310</v>
      </c>
      <c r="V552" t="s">
        <v>1943</v>
      </c>
      <c r="W552" s="41">
        <v>46071</v>
      </c>
      <c r="X552" t="s">
        <v>11096</v>
      </c>
      <c r="Y552" t="s">
        <v>11097</v>
      </c>
      <c r="AA552">
        <v>0</v>
      </c>
      <c r="AB552" t="s">
        <v>845</v>
      </c>
      <c r="AC552" t="s">
        <v>846</v>
      </c>
      <c r="AD552" t="s">
        <v>1113</v>
      </c>
      <c r="AE552" t="s">
        <v>1114</v>
      </c>
      <c r="AF552">
        <v>1</v>
      </c>
      <c r="AG552">
        <v>452210</v>
      </c>
      <c r="AH552" t="s">
        <v>849</v>
      </c>
      <c r="AI552" t="s">
        <v>850</v>
      </c>
      <c r="AJ552" t="s">
        <v>851</v>
      </c>
      <c r="AK552" t="s">
        <v>399</v>
      </c>
      <c r="AL552" t="s">
        <v>3031</v>
      </c>
      <c r="AM552" t="s">
        <v>1947</v>
      </c>
      <c r="AN552" t="s">
        <v>854</v>
      </c>
      <c r="AO552">
        <v>36805</v>
      </c>
      <c r="AP552">
        <v>562</v>
      </c>
      <c r="AQ552" t="s">
        <v>855</v>
      </c>
      <c r="AR552">
        <v>66339994</v>
      </c>
      <c r="AS552" t="s">
        <v>856</v>
      </c>
      <c r="AU552" t="s">
        <v>11098</v>
      </c>
      <c r="AV552" t="s">
        <v>11099</v>
      </c>
      <c r="AX552" t="s">
        <v>913</v>
      </c>
      <c r="AY552" t="s">
        <v>861</v>
      </c>
      <c r="AZ552" t="s">
        <v>399</v>
      </c>
      <c r="BA552" t="s">
        <v>400</v>
      </c>
      <c r="BB552">
        <v>0</v>
      </c>
      <c r="BC552">
        <v>0</v>
      </c>
      <c r="BD552">
        <v>1</v>
      </c>
      <c r="BE552" t="s">
        <v>1940</v>
      </c>
      <c r="BF552">
        <v>0</v>
      </c>
      <c r="BG552">
        <v>0</v>
      </c>
      <c r="BH552" t="s">
        <v>862</v>
      </c>
      <c r="BI552">
        <v>0</v>
      </c>
      <c r="BJ552" t="s">
        <v>862</v>
      </c>
      <c r="BK552">
        <v>1</v>
      </c>
      <c r="BL552">
        <v>1</v>
      </c>
      <c r="BM552">
        <v>0</v>
      </c>
      <c r="BN552" t="s">
        <v>596</v>
      </c>
      <c r="BO552">
        <v>153406480</v>
      </c>
      <c r="BP552" t="s">
        <v>11093</v>
      </c>
      <c r="BR552">
        <v>42791464</v>
      </c>
      <c r="BT552">
        <v>2</v>
      </c>
      <c r="BU552" t="s">
        <v>1780</v>
      </c>
      <c r="CE552">
        <v>1</v>
      </c>
      <c r="CI552">
        <v>11</v>
      </c>
      <c r="CJ552" t="s">
        <v>94</v>
      </c>
      <c r="CM552">
        <v>4010</v>
      </c>
      <c r="CO552">
        <v>7360</v>
      </c>
      <c r="CP552">
        <v>1.2</v>
      </c>
      <c r="CQ552">
        <v>1.2</v>
      </c>
      <c r="CR552">
        <v>1.8167</v>
      </c>
      <c r="CS552">
        <v>5</v>
      </c>
      <c r="CT552" t="s">
        <v>11099</v>
      </c>
      <c r="CU552" t="s">
        <v>11098</v>
      </c>
      <c r="CV552" t="s">
        <v>833</v>
      </c>
      <c r="CW552" t="s">
        <v>834</v>
      </c>
      <c r="CX552" t="s">
        <v>1940</v>
      </c>
      <c r="CY552">
        <v>1</v>
      </c>
      <c r="CZ552">
        <v>1</v>
      </c>
      <c r="DA552" t="s">
        <v>833</v>
      </c>
      <c r="DB552" t="s">
        <v>865</v>
      </c>
      <c r="DC552">
        <v>56387</v>
      </c>
      <c r="DD552">
        <v>3.3167</v>
      </c>
      <c r="DE552" t="s">
        <v>866</v>
      </c>
      <c r="DG552" t="s">
        <v>867</v>
      </c>
      <c r="DH552" t="s">
        <v>851</v>
      </c>
      <c r="DK552" t="s">
        <v>918</v>
      </c>
      <c r="DL552" t="s">
        <v>869</v>
      </c>
      <c r="DM552">
        <v>0</v>
      </c>
      <c r="DN552">
        <v>0</v>
      </c>
      <c r="DO552">
        <v>11</v>
      </c>
      <c r="DP552" t="s">
        <v>1010</v>
      </c>
      <c r="DQ552">
        <v>0</v>
      </c>
      <c r="DR552">
        <v>199</v>
      </c>
      <c r="DS552">
        <v>199</v>
      </c>
      <c r="DT552">
        <v>2.1166999999999998</v>
      </c>
      <c r="DU552">
        <v>0</v>
      </c>
      <c r="DV552">
        <v>1</v>
      </c>
      <c r="DW552">
        <v>1</v>
      </c>
      <c r="DX552" t="s">
        <v>596</v>
      </c>
      <c r="DY552" t="s">
        <v>1940</v>
      </c>
      <c r="DZ552">
        <v>1</v>
      </c>
      <c r="EA552">
        <v>1</v>
      </c>
      <c r="EB552">
        <v>1</v>
      </c>
      <c r="EC552">
        <v>1</v>
      </c>
      <c r="ED552">
        <v>1</v>
      </c>
      <c r="EE552">
        <v>1</v>
      </c>
      <c r="EF552" t="s">
        <v>920</v>
      </c>
      <c r="EG552" t="s">
        <v>595</v>
      </c>
      <c r="EH552" t="s">
        <v>1036</v>
      </c>
      <c r="EI552" t="s">
        <v>1036</v>
      </c>
      <c r="EJ552" t="s">
        <v>159</v>
      </c>
      <c r="EK552">
        <v>9090</v>
      </c>
      <c r="EL552">
        <v>0</v>
      </c>
      <c r="EM552" t="s">
        <v>873</v>
      </c>
      <c r="EN552">
        <v>1.8167</v>
      </c>
      <c r="EO552">
        <v>3.3166666999999999</v>
      </c>
      <c r="EP552">
        <v>99991120</v>
      </c>
      <c r="EQ552" t="s">
        <v>874</v>
      </c>
      <c r="ER552" t="s">
        <v>875</v>
      </c>
      <c r="ES552" t="s">
        <v>876</v>
      </c>
      <c r="ET552" t="s">
        <v>877</v>
      </c>
      <c r="EU552" t="s">
        <v>877</v>
      </c>
      <c r="EV552" t="s">
        <v>920</v>
      </c>
      <c r="EX552" t="s">
        <v>836</v>
      </c>
      <c r="EY552" t="s">
        <v>1121</v>
      </c>
      <c r="EZ552" t="s">
        <v>1122</v>
      </c>
      <c r="FA552" t="s">
        <v>956</v>
      </c>
      <c r="FB552">
        <v>1</v>
      </c>
      <c r="FC552">
        <v>1</v>
      </c>
      <c r="FD552" s="41">
        <v>46074</v>
      </c>
      <c r="FE552" t="s">
        <v>1267</v>
      </c>
      <c r="FF552">
        <v>4</v>
      </c>
      <c r="FI552">
        <v>0</v>
      </c>
      <c r="FL552">
        <v>0</v>
      </c>
      <c r="FM552" t="s">
        <v>1954</v>
      </c>
      <c r="FN552" t="s">
        <v>11100</v>
      </c>
      <c r="FO552">
        <v>1</v>
      </c>
      <c r="FP552" t="s">
        <v>11101</v>
      </c>
      <c r="FQ552" t="s">
        <v>11098</v>
      </c>
      <c r="FR552">
        <v>1</v>
      </c>
      <c r="FS552" t="s">
        <v>3039</v>
      </c>
      <c r="FT552" t="s">
        <v>11102</v>
      </c>
      <c r="FU552">
        <v>1</v>
      </c>
      <c r="FV552" t="s">
        <v>11103</v>
      </c>
      <c r="FW552" t="s">
        <v>11104</v>
      </c>
      <c r="FX552">
        <v>1</v>
      </c>
      <c r="FY552" t="s">
        <v>890</v>
      </c>
      <c r="FZ552" t="s">
        <v>11105</v>
      </c>
      <c r="GA552" t="s">
        <v>11103</v>
      </c>
      <c r="GB552">
        <v>1</v>
      </c>
      <c r="GD552">
        <v>0</v>
      </c>
      <c r="GF552">
        <v>0</v>
      </c>
      <c r="GG552">
        <v>1</v>
      </c>
      <c r="GH552" t="s">
        <v>892</v>
      </c>
      <c r="GI552" t="s">
        <v>893</v>
      </c>
      <c r="GJ552" t="s">
        <v>11104</v>
      </c>
      <c r="GM552">
        <v>1</v>
      </c>
      <c r="GN552">
        <v>1</v>
      </c>
      <c r="GO552">
        <v>0</v>
      </c>
      <c r="GP552">
        <v>1</v>
      </c>
      <c r="GQ552">
        <v>1</v>
      </c>
      <c r="GR552">
        <v>0</v>
      </c>
      <c r="GS552">
        <v>1</v>
      </c>
      <c r="GT552">
        <v>0</v>
      </c>
      <c r="GU552">
        <v>1</v>
      </c>
      <c r="GV552">
        <v>0</v>
      </c>
      <c r="GW552">
        <v>1</v>
      </c>
      <c r="GX552">
        <v>0</v>
      </c>
      <c r="GY552">
        <v>1</v>
      </c>
      <c r="GZ552">
        <v>0</v>
      </c>
      <c r="HA552" t="s">
        <v>399</v>
      </c>
      <c r="HB552" t="s">
        <v>894</v>
      </c>
      <c r="HC552" t="s">
        <v>895</v>
      </c>
      <c r="HD552" t="s">
        <v>845</v>
      </c>
      <c r="HE552" t="s">
        <v>836</v>
      </c>
      <c r="HF552" t="s">
        <v>873</v>
      </c>
      <c r="HG552" t="s">
        <v>894</v>
      </c>
      <c r="HH552" t="s">
        <v>895</v>
      </c>
      <c r="HI552" t="s">
        <v>845</v>
      </c>
      <c r="HJ552" t="s">
        <v>836</v>
      </c>
      <c r="HK552" t="s">
        <v>873</v>
      </c>
      <c r="HL552" t="s">
        <v>1943</v>
      </c>
      <c r="HM552" t="s">
        <v>854</v>
      </c>
      <c r="HN552">
        <v>36805</v>
      </c>
      <c r="HP552" t="s">
        <v>159</v>
      </c>
      <c r="HQ552" t="s">
        <v>896</v>
      </c>
      <c r="HR552" t="s">
        <v>896</v>
      </c>
      <c r="HS552" t="s">
        <v>896</v>
      </c>
    </row>
    <row r="553" spans="1:227" x14ac:dyDescent="0.2">
      <c r="A553">
        <v>8702</v>
      </c>
      <c r="B553">
        <v>7607401018</v>
      </c>
      <c r="C553" t="s">
        <v>1171</v>
      </c>
      <c r="D553" t="s">
        <v>1172</v>
      </c>
      <c r="E553" t="s">
        <v>897</v>
      </c>
      <c r="F553">
        <v>0</v>
      </c>
      <c r="G553" t="s">
        <v>11106</v>
      </c>
      <c r="H553" t="s">
        <v>11106</v>
      </c>
      <c r="I553">
        <v>0</v>
      </c>
      <c r="J553" t="s">
        <v>833</v>
      </c>
      <c r="K553" t="s">
        <v>834</v>
      </c>
      <c r="L553">
        <v>153008230</v>
      </c>
      <c r="M553" t="s">
        <v>3091</v>
      </c>
      <c r="N553" t="s">
        <v>900</v>
      </c>
      <c r="O553" t="s">
        <v>837</v>
      </c>
      <c r="P553" t="s">
        <v>1175</v>
      </c>
      <c r="Q553" t="s">
        <v>1176</v>
      </c>
      <c r="R553" t="s">
        <v>11107</v>
      </c>
      <c r="S553" t="s">
        <v>11108</v>
      </c>
      <c r="T553">
        <v>30300136030</v>
      </c>
      <c r="V553" t="s">
        <v>1476</v>
      </c>
      <c r="W553" s="41">
        <v>46096</v>
      </c>
      <c r="X553" t="s">
        <v>11109</v>
      </c>
      <c r="Y553" t="s">
        <v>11110</v>
      </c>
      <c r="AA553">
        <v>0</v>
      </c>
      <c r="AB553" t="s">
        <v>845</v>
      </c>
      <c r="AC553" t="s">
        <v>846</v>
      </c>
      <c r="AD553" t="s">
        <v>1113</v>
      </c>
      <c r="AE553" t="s">
        <v>1114</v>
      </c>
      <c r="AF553">
        <v>1</v>
      </c>
      <c r="AG553">
        <v>452210</v>
      </c>
      <c r="AH553" t="s">
        <v>849</v>
      </c>
      <c r="AI553" t="s">
        <v>850</v>
      </c>
      <c r="AJ553" t="s">
        <v>851</v>
      </c>
      <c r="AK553" t="s">
        <v>315</v>
      </c>
      <c r="AL553" t="s">
        <v>1755</v>
      </c>
      <c r="AM553" t="s">
        <v>1480</v>
      </c>
      <c r="AN553" t="s">
        <v>854</v>
      </c>
      <c r="AO553">
        <v>36805</v>
      </c>
      <c r="AP553">
        <v>931</v>
      </c>
      <c r="AQ553" t="s">
        <v>855</v>
      </c>
      <c r="AR553">
        <v>66376375</v>
      </c>
      <c r="AS553" t="s">
        <v>856</v>
      </c>
      <c r="AU553" t="s">
        <v>11111</v>
      </c>
      <c r="AV553" t="s">
        <v>11112</v>
      </c>
      <c r="AX553" t="s">
        <v>913</v>
      </c>
      <c r="AY553" t="s">
        <v>861</v>
      </c>
      <c r="AZ553" t="s">
        <v>315</v>
      </c>
      <c r="BA553" t="s">
        <v>316</v>
      </c>
      <c r="BB553">
        <v>0</v>
      </c>
      <c r="BC553">
        <v>0</v>
      </c>
      <c r="BD553">
        <v>0</v>
      </c>
      <c r="BE553" t="s">
        <v>3091</v>
      </c>
      <c r="BF553">
        <v>0</v>
      </c>
      <c r="BG553">
        <v>0</v>
      </c>
      <c r="BH553" t="s">
        <v>862</v>
      </c>
      <c r="BI553">
        <v>0</v>
      </c>
      <c r="BJ553" t="s">
        <v>862</v>
      </c>
      <c r="BK553">
        <v>1</v>
      </c>
      <c r="BL553">
        <v>1</v>
      </c>
      <c r="BM553">
        <v>0</v>
      </c>
      <c r="BN553" t="s">
        <v>596</v>
      </c>
      <c r="BO553">
        <v>153008230</v>
      </c>
      <c r="BP553" t="s">
        <v>11106</v>
      </c>
      <c r="BR553">
        <v>42793655</v>
      </c>
      <c r="BT553">
        <v>2</v>
      </c>
      <c r="BU553" t="s">
        <v>1715</v>
      </c>
      <c r="BY553">
        <v>16</v>
      </c>
      <c r="CA553">
        <v>1</v>
      </c>
      <c r="CE553">
        <v>1</v>
      </c>
      <c r="CI553">
        <v>11</v>
      </c>
      <c r="CJ553" t="s">
        <v>94</v>
      </c>
      <c r="CM553">
        <v>4010</v>
      </c>
      <c r="CO553">
        <v>7360</v>
      </c>
      <c r="CP553">
        <v>0.16669999999999999</v>
      </c>
      <c r="CQ553">
        <v>0.16669999999999999</v>
      </c>
      <c r="CR553">
        <v>0.76670000000000005</v>
      </c>
      <c r="CS553">
        <v>2</v>
      </c>
      <c r="CT553" t="s">
        <v>11113</v>
      </c>
      <c r="CU553" t="s">
        <v>11114</v>
      </c>
      <c r="CV553" t="s">
        <v>833</v>
      </c>
      <c r="CW553" t="s">
        <v>834</v>
      </c>
      <c r="CX553" t="s">
        <v>3091</v>
      </c>
      <c r="CY553">
        <v>0</v>
      </c>
      <c r="CZ553">
        <v>0</v>
      </c>
      <c r="DA553" t="s">
        <v>833</v>
      </c>
      <c r="DB553" t="s">
        <v>865</v>
      </c>
      <c r="DC553">
        <v>44720</v>
      </c>
      <c r="DD553">
        <v>1.5</v>
      </c>
      <c r="DE553" t="s">
        <v>866</v>
      </c>
      <c r="DG553" t="s">
        <v>867</v>
      </c>
      <c r="DH553" t="s">
        <v>851</v>
      </c>
      <c r="DI553" t="s">
        <v>5259</v>
      </c>
      <c r="DJ553">
        <v>931</v>
      </c>
      <c r="DK553" t="s">
        <v>918</v>
      </c>
      <c r="DL553" t="s">
        <v>869</v>
      </c>
      <c r="DM553">
        <v>0</v>
      </c>
      <c r="DN553">
        <v>0</v>
      </c>
      <c r="DO553">
        <v>12</v>
      </c>
      <c r="DP553" t="s">
        <v>1190</v>
      </c>
      <c r="DQ553">
        <v>0</v>
      </c>
      <c r="DR553">
        <v>90</v>
      </c>
      <c r="DS553">
        <v>90</v>
      </c>
      <c r="DT553">
        <v>1.3332999999999999</v>
      </c>
      <c r="DU553">
        <v>0</v>
      </c>
      <c r="DV553">
        <v>1</v>
      </c>
      <c r="DW553">
        <v>2</v>
      </c>
      <c r="DX553" t="s">
        <v>596</v>
      </c>
      <c r="DY553" t="s">
        <v>3091</v>
      </c>
      <c r="DZ553">
        <v>1</v>
      </c>
      <c r="EA553">
        <v>1</v>
      </c>
      <c r="EB553">
        <v>1</v>
      </c>
      <c r="EC553">
        <v>1</v>
      </c>
      <c r="ED553">
        <v>1</v>
      </c>
      <c r="EE553">
        <v>1</v>
      </c>
      <c r="EF553" t="s">
        <v>871</v>
      </c>
      <c r="EG553" t="s">
        <v>595</v>
      </c>
      <c r="EH553" t="s">
        <v>921</v>
      </c>
      <c r="EI553" t="s">
        <v>921</v>
      </c>
      <c r="EJ553" t="s">
        <v>226</v>
      </c>
      <c r="EK553">
        <v>9090</v>
      </c>
      <c r="EL553">
        <v>0</v>
      </c>
      <c r="EM553" t="s">
        <v>1157</v>
      </c>
      <c r="EN553">
        <v>0.76670000000000005</v>
      </c>
      <c r="EO553">
        <v>1.5</v>
      </c>
      <c r="EP553">
        <v>99991120</v>
      </c>
      <c r="EQ553" t="s">
        <v>874</v>
      </c>
      <c r="ER553" t="s">
        <v>875</v>
      </c>
      <c r="ES553" t="s">
        <v>876</v>
      </c>
      <c r="ET553" t="s">
        <v>877</v>
      </c>
      <c r="EU553" t="s">
        <v>877</v>
      </c>
      <c r="EV553" t="s">
        <v>871</v>
      </c>
      <c r="EX553" t="s">
        <v>953</v>
      </c>
      <c r="EY553" t="s">
        <v>986</v>
      </c>
      <c r="EZ553" t="s">
        <v>1236</v>
      </c>
      <c r="FA553" t="s">
        <v>956</v>
      </c>
      <c r="FB553">
        <v>1</v>
      </c>
      <c r="FC553">
        <v>1</v>
      </c>
      <c r="FD553" s="41">
        <v>46102</v>
      </c>
      <c r="FE553" t="s">
        <v>1719</v>
      </c>
      <c r="FF553">
        <v>4</v>
      </c>
      <c r="FI553">
        <v>0</v>
      </c>
      <c r="FL553">
        <v>0</v>
      </c>
      <c r="FM553" t="s">
        <v>5264</v>
      </c>
      <c r="FN553" t="s">
        <v>11115</v>
      </c>
      <c r="FO553">
        <v>1</v>
      </c>
      <c r="FP553" t="s">
        <v>11116</v>
      </c>
      <c r="FQ553" t="s">
        <v>11114</v>
      </c>
      <c r="FR553">
        <v>1</v>
      </c>
      <c r="FS553" t="s">
        <v>1766</v>
      </c>
      <c r="FT553" t="s">
        <v>11117</v>
      </c>
      <c r="FU553">
        <v>1</v>
      </c>
      <c r="FV553" t="s">
        <v>11118</v>
      </c>
      <c r="FW553" t="s">
        <v>11119</v>
      </c>
      <c r="FX553">
        <v>1</v>
      </c>
      <c r="FY553" t="s">
        <v>890</v>
      </c>
      <c r="FZ553" t="s">
        <v>11120</v>
      </c>
      <c r="GA553" t="s">
        <v>11118</v>
      </c>
      <c r="GB553">
        <v>1</v>
      </c>
      <c r="GD553">
        <v>0</v>
      </c>
      <c r="GF553">
        <v>0</v>
      </c>
      <c r="GG553">
        <v>1</v>
      </c>
      <c r="GH553" t="s">
        <v>892</v>
      </c>
      <c r="GI553" t="s">
        <v>893</v>
      </c>
      <c r="GJ553" t="s">
        <v>11119</v>
      </c>
      <c r="GM553">
        <v>1</v>
      </c>
      <c r="GN553">
        <v>1</v>
      </c>
      <c r="GO553">
        <v>0</v>
      </c>
      <c r="GP553">
        <v>1</v>
      </c>
      <c r="GQ553">
        <v>1</v>
      </c>
      <c r="GR553">
        <v>0</v>
      </c>
      <c r="GS553">
        <v>1</v>
      </c>
      <c r="GT553">
        <v>0</v>
      </c>
      <c r="GU553">
        <v>1</v>
      </c>
      <c r="GV553">
        <v>0</v>
      </c>
      <c r="GW553">
        <v>1</v>
      </c>
      <c r="GX553">
        <v>0</v>
      </c>
      <c r="GY553">
        <v>1</v>
      </c>
      <c r="GZ553">
        <v>0</v>
      </c>
      <c r="HA553" t="s">
        <v>315</v>
      </c>
      <c r="HB553" t="s">
        <v>894</v>
      </c>
      <c r="HC553" t="s">
        <v>935</v>
      </c>
      <c r="HD553" t="s">
        <v>845</v>
      </c>
      <c r="HE553" t="s">
        <v>900</v>
      </c>
      <c r="HF553" t="s">
        <v>923</v>
      </c>
      <c r="HG553" t="s">
        <v>894</v>
      </c>
      <c r="HH553" t="s">
        <v>935</v>
      </c>
      <c r="HI553" t="s">
        <v>845</v>
      </c>
      <c r="HJ553" t="s">
        <v>900</v>
      </c>
      <c r="HK553" t="s">
        <v>922</v>
      </c>
      <c r="HL553" t="s">
        <v>1476</v>
      </c>
      <c r="HM553" t="s">
        <v>854</v>
      </c>
      <c r="HN553">
        <v>36805</v>
      </c>
      <c r="HP553" t="s">
        <v>226</v>
      </c>
      <c r="HQ553" t="s">
        <v>896</v>
      </c>
      <c r="HR553" t="s">
        <v>896</v>
      </c>
      <c r="HS553" t="s">
        <v>896</v>
      </c>
    </row>
    <row r="554" spans="1:227" x14ac:dyDescent="0.2">
      <c r="A554">
        <v>8702</v>
      </c>
      <c r="B554">
        <v>7522707014</v>
      </c>
      <c r="C554" t="s">
        <v>829</v>
      </c>
      <c r="D554" t="s">
        <v>830</v>
      </c>
      <c r="E554" t="s">
        <v>897</v>
      </c>
      <c r="F554">
        <v>0</v>
      </c>
      <c r="G554" t="s">
        <v>11121</v>
      </c>
      <c r="H554" t="s">
        <v>11121</v>
      </c>
      <c r="I554">
        <v>0</v>
      </c>
      <c r="J554" t="s">
        <v>833</v>
      </c>
      <c r="K554" t="s">
        <v>834</v>
      </c>
      <c r="L554">
        <v>156057611</v>
      </c>
      <c r="M554" t="s">
        <v>9358</v>
      </c>
      <c r="N554" t="s">
        <v>900</v>
      </c>
      <c r="O554" t="s">
        <v>837</v>
      </c>
      <c r="P554" t="s">
        <v>838</v>
      </c>
      <c r="Q554" t="s">
        <v>1593</v>
      </c>
      <c r="R554" t="s">
        <v>11122</v>
      </c>
      <c r="S554" t="s">
        <v>11123</v>
      </c>
      <c r="T554">
        <v>41477115259</v>
      </c>
      <c r="V554" t="s">
        <v>1332</v>
      </c>
      <c r="W554" s="41">
        <v>45885</v>
      </c>
      <c r="X554" t="s">
        <v>11124</v>
      </c>
      <c r="Y554" t="s">
        <v>11125</v>
      </c>
      <c r="AA554">
        <v>0</v>
      </c>
      <c r="AB554" t="s">
        <v>845</v>
      </c>
      <c r="AC554" t="s">
        <v>846</v>
      </c>
      <c r="AD554" t="s">
        <v>847</v>
      </c>
      <c r="AE554" t="s">
        <v>848</v>
      </c>
      <c r="AF554">
        <v>1</v>
      </c>
      <c r="AG554">
        <v>452210</v>
      </c>
      <c r="AH554" t="s">
        <v>849</v>
      </c>
      <c r="AI554" t="s">
        <v>850</v>
      </c>
      <c r="AJ554" t="s">
        <v>851</v>
      </c>
      <c r="AK554" t="s">
        <v>297</v>
      </c>
      <c r="AL554" t="s">
        <v>2184</v>
      </c>
      <c r="AM554" t="s">
        <v>1338</v>
      </c>
      <c r="AN554" t="s">
        <v>854</v>
      </c>
      <c r="AO554">
        <v>36805</v>
      </c>
      <c r="AP554">
        <v>929</v>
      </c>
      <c r="AQ554" t="s">
        <v>855</v>
      </c>
      <c r="AR554">
        <v>66072242</v>
      </c>
      <c r="AS554" t="s">
        <v>856</v>
      </c>
      <c r="AU554" t="s">
        <v>11126</v>
      </c>
      <c r="AV554" t="s">
        <v>11127</v>
      </c>
      <c r="AW554" t="s">
        <v>1261</v>
      </c>
      <c r="AX554" t="s">
        <v>1262</v>
      </c>
      <c r="AY554" t="s">
        <v>861</v>
      </c>
      <c r="AZ554" t="s">
        <v>297</v>
      </c>
      <c r="BA554" t="s">
        <v>298</v>
      </c>
      <c r="BB554">
        <v>0</v>
      </c>
      <c r="BC554">
        <v>0</v>
      </c>
      <c r="BD554">
        <v>0</v>
      </c>
      <c r="BE554" t="s">
        <v>9358</v>
      </c>
      <c r="BF554">
        <v>0</v>
      </c>
      <c r="BG554">
        <v>0</v>
      </c>
      <c r="BH554" t="s">
        <v>862</v>
      </c>
      <c r="BI554">
        <v>0</v>
      </c>
      <c r="BJ554" t="s">
        <v>862</v>
      </c>
      <c r="BK554">
        <v>1</v>
      </c>
      <c r="BL554">
        <v>0</v>
      </c>
      <c r="BM554">
        <v>0</v>
      </c>
      <c r="BN554" t="s">
        <v>596</v>
      </c>
      <c r="BO554">
        <v>156057611</v>
      </c>
      <c r="BP554" t="s">
        <v>11121</v>
      </c>
      <c r="BQ554">
        <v>41.699197599999998</v>
      </c>
      <c r="BR554">
        <v>42793654</v>
      </c>
      <c r="BS554">
        <v>-83.647856300000001</v>
      </c>
      <c r="BT554">
        <v>0</v>
      </c>
      <c r="CM554">
        <v>4010</v>
      </c>
      <c r="CO554">
        <v>7360</v>
      </c>
      <c r="CP554">
        <v>0.31669999999999998</v>
      </c>
      <c r="CQ554">
        <v>0.31669999999999998</v>
      </c>
      <c r="CR554">
        <v>0.91669999999999996</v>
      </c>
      <c r="CS554">
        <v>54</v>
      </c>
      <c r="CT554" t="s">
        <v>11127</v>
      </c>
      <c r="CU554" t="s">
        <v>11126</v>
      </c>
      <c r="CV554" t="s">
        <v>833</v>
      </c>
      <c r="CW554" t="s">
        <v>834</v>
      </c>
      <c r="CX554" t="s">
        <v>9358</v>
      </c>
      <c r="CY554">
        <v>0</v>
      </c>
      <c r="CZ554">
        <v>0</v>
      </c>
      <c r="DA554" t="s">
        <v>833</v>
      </c>
      <c r="DB554" t="s">
        <v>865</v>
      </c>
      <c r="DC554">
        <v>43623</v>
      </c>
      <c r="DD554">
        <v>13.433299999999999</v>
      </c>
      <c r="DE554" t="s">
        <v>866</v>
      </c>
      <c r="DG554" t="s">
        <v>867</v>
      </c>
      <c r="DH554" t="s">
        <v>851</v>
      </c>
      <c r="DL554" t="s">
        <v>869</v>
      </c>
      <c r="DM554">
        <v>0</v>
      </c>
      <c r="DN554">
        <v>0</v>
      </c>
      <c r="DO554">
        <v>1</v>
      </c>
      <c r="DP554" t="s">
        <v>985</v>
      </c>
      <c r="DQ554">
        <v>16</v>
      </c>
      <c r="DR554">
        <v>806</v>
      </c>
      <c r="DS554">
        <v>1526</v>
      </c>
      <c r="DT554">
        <v>13.1167</v>
      </c>
      <c r="DU554">
        <v>4</v>
      </c>
      <c r="DW554">
        <v>2</v>
      </c>
      <c r="DX554" t="s">
        <v>594</v>
      </c>
      <c r="DY554" t="s">
        <v>9358</v>
      </c>
      <c r="DZ554">
        <v>0</v>
      </c>
      <c r="EA554">
        <v>0</v>
      </c>
      <c r="EB554">
        <v>0</v>
      </c>
      <c r="EC554">
        <v>0</v>
      </c>
      <c r="ED554">
        <v>0</v>
      </c>
      <c r="EE554">
        <v>0</v>
      </c>
      <c r="EF554" t="s">
        <v>920</v>
      </c>
      <c r="EG554" t="s">
        <v>595</v>
      </c>
      <c r="EH554" t="s">
        <v>872</v>
      </c>
      <c r="EI554" t="s">
        <v>872</v>
      </c>
      <c r="EJ554" t="s">
        <v>226</v>
      </c>
      <c r="EK554">
        <v>9090</v>
      </c>
      <c r="EL554">
        <v>0</v>
      </c>
      <c r="EM554" t="s">
        <v>952</v>
      </c>
      <c r="EN554">
        <v>0.91669999999999996</v>
      </c>
      <c r="EO554">
        <v>25.433333300000001</v>
      </c>
      <c r="EP554">
        <v>99991120</v>
      </c>
      <c r="EQ554" t="s">
        <v>874</v>
      </c>
      <c r="ER554" t="s">
        <v>875</v>
      </c>
      <c r="ES554" t="s">
        <v>876</v>
      </c>
      <c r="ET554" t="s">
        <v>877</v>
      </c>
      <c r="EU554" t="s">
        <v>877</v>
      </c>
      <c r="EV554" t="s">
        <v>920</v>
      </c>
      <c r="EX554" t="s">
        <v>953</v>
      </c>
      <c r="EY554" t="s">
        <v>986</v>
      </c>
      <c r="EZ554" t="s">
        <v>1342</v>
      </c>
      <c r="FA554" t="s">
        <v>879</v>
      </c>
      <c r="FB554">
        <v>1</v>
      </c>
      <c r="FC554">
        <v>1</v>
      </c>
      <c r="FD554" s="41">
        <v>45885</v>
      </c>
      <c r="FE554" t="s">
        <v>987</v>
      </c>
      <c r="FF554">
        <v>7</v>
      </c>
      <c r="FG554" t="s">
        <v>11128</v>
      </c>
      <c r="FH554" t="s">
        <v>11129</v>
      </c>
      <c r="FI554">
        <v>1</v>
      </c>
      <c r="FJ554" t="s">
        <v>11128</v>
      </c>
      <c r="FK554" t="s">
        <v>11129</v>
      </c>
      <c r="FL554">
        <v>1</v>
      </c>
      <c r="FM554" t="s">
        <v>9368</v>
      </c>
      <c r="FN554" t="s">
        <v>11130</v>
      </c>
      <c r="FO554">
        <v>1</v>
      </c>
      <c r="FP554" t="s">
        <v>11131</v>
      </c>
      <c r="FQ554" t="s">
        <v>11132</v>
      </c>
      <c r="FR554">
        <v>1</v>
      </c>
      <c r="FS554" t="s">
        <v>4171</v>
      </c>
      <c r="FT554" t="s">
        <v>11133</v>
      </c>
      <c r="FU554">
        <v>1</v>
      </c>
      <c r="FV554" t="s">
        <v>8221</v>
      </c>
      <c r="FW554" t="s">
        <v>11134</v>
      </c>
      <c r="FX554">
        <v>1</v>
      </c>
      <c r="FY554" t="s">
        <v>890</v>
      </c>
      <c r="FZ554" t="s">
        <v>11135</v>
      </c>
      <c r="GA554" t="s">
        <v>11128</v>
      </c>
      <c r="GB554">
        <v>1</v>
      </c>
      <c r="GD554">
        <v>0</v>
      </c>
      <c r="GF554">
        <v>0</v>
      </c>
      <c r="GG554">
        <v>1</v>
      </c>
      <c r="GH554" t="s">
        <v>892</v>
      </c>
      <c r="GI554" t="s">
        <v>893</v>
      </c>
      <c r="GJ554" t="s">
        <v>11129</v>
      </c>
      <c r="GM554">
        <v>1</v>
      </c>
      <c r="GN554">
        <v>1</v>
      </c>
      <c r="GO554">
        <v>0</v>
      </c>
      <c r="GP554">
        <v>1</v>
      </c>
      <c r="GQ554">
        <v>1</v>
      </c>
      <c r="GR554">
        <v>0</v>
      </c>
      <c r="GS554">
        <v>1</v>
      </c>
      <c r="GT554">
        <v>0</v>
      </c>
      <c r="GU554">
        <v>1</v>
      </c>
      <c r="GV554">
        <v>0</v>
      </c>
      <c r="GW554">
        <v>1</v>
      </c>
      <c r="GX554">
        <v>0</v>
      </c>
      <c r="GY554">
        <v>1</v>
      </c>
      <c r="GZ554">
        <v>0</v>
      </c>
      <c r="HA554" t="s">
        <v>297</v>
      </c>
      <c r="HB554" t="s">
        <v>894</v>
      </c>
      <c r="HC554" t="s">
        <v>935</v>
      </c>
      <c r="HD554" t="s">
        <v>845</v>
      </c>
      <c r="HE554" t="s">
        <v>900</v>
      </c>
      <c r="HF554" t="s">
        <v>923</v>
      </c>
      <c r="HG554" t="s">
        <v>894</v>
      </c>
      <c r="HH554" t="s">
        <v>935</v>
      </c>
      <c r="HI554" t="s">
        <v>845</v>
      </c>
      <c r="HJ554" t="s">
        <v>900</v>
      </c>
      <c r="HK554" t="s">
        <v>952</v>
      </c>
      <c r="HL554" t="s">
        <v>1332</v>
      </c>
      <c r="HM554" t="s">
        <v>854</v>
      </c>
      <c r="HN554">
        <v>36805</v>
      </c>
      <c r="HP554" t="s">
        <v>226</v>
      </c>
      <c r="HQ554" t="s">
        <v>896</v>
      </c>
      <c r="HR554" t="s">
        <v>896</v>
      </c>
      <c r="HS554" t="s">
        <v>896</v>
      </c>
    </row>
    <row r="555" spans="1:227" ht="409.6" x14ac:dyDescent="0.2">
      <c r="A555">
        <v>8702</v>
      </c>
      <c r="B555">
        <v>7616014191</v>
      </c>
      <c r="C555">
        <v>36</v>
      </c>
      <c r="D555" t="s">
        <v>1302</v>
      </c>
      <c r="E555" t="s">
        <v>897</v>
      </c>
      <c r="F555">
        <v>0</v>
      </c>
      <c r="G555" t="s">
        <v>11136</v>
      </c>
      <c r="H555" t="s">
        <v>11136</v>
      </c>
      <c r="I555">
        <v>0</v>
      </c>
      <c r="J555" t="s">
        <v>833</v>
      </c>
      <c r="K555" t="s">
        <v>834</v>
      </c>
      <c r="L555">
        <v>153402680</v>
      </c>
      <c r="M555" t="s">
        <v>1136</v>
      </c>
      <c r="N555" t="s">
        <v>900</v>
      </c>
      <c r="O555" t="s">
        <v>837</v>
      </c>
      <c r="P555" t="s">
        <v>1302</v>
      </c>
      <c r="Q555" t="s">
        <v>1517</v>
      </c>
      <c r="R555" t="s">
        <v>11137</v>
      </c>
      <c r="S555" t="s">
        <v>11138</v>
      </c>
      <c r="T555">
        <v>41477121965</v>
      </c>
      <c r="V555" t="s">
        <v>1141</v>
      </c>
      <c r="W555" s="41">
        <v>46182</v>
      </c>
      <c r="X555" t="s">
        <v>11139</v>
      </c>
      <c r="Y555" t="s">
        <v>11140</v>
      </c>
      <c r="AA555">
        <v>0</v>
      </c>
      <c r="AB555" t="s">
        <v>845</v>
      </c>
      <c r="AC555" t="s">
        <v>846</v>
      </c>
      <c r="AD555" t="s">
        <v>907</v>
      </c>
      <c r="AE555" t="s">
        <v>908</v>
      </c>
      <c r="AF555">
        <v>1</v>
      </c>
      <c r="AG555">
        <v>452210</v>
      </c>
      <c r="AH555" t="s">
        <v>849</v>
      </c>
      <c r="AI555" t="s">
        <v>850</v>
      </c>
      <c r="AJ555" t="s">
        <v>851</v>
      </c>
      <c r="AK555" t="s">
        <v>478</v>
      </c>
      <c r="AL555" t="s">
        <v>11141</v>
      </c>
      <c r="AM555" t="s">
        <v>1146</v>
      </c>
      <c r="AN555" t="s">
        <v>854</v>
      </c>
      <c r="AO555">
        <v>36805</v>
      </c>
      <c r="AP555">
        <v>926</v>
      </c>
      <c r="AQ555" t="s">
        <v>855</v>
      </c>
      <c r="AR555">
        <v>66499917</v>
      </c>
      <c r="AS555" t="s">
        <v>856</v>
      </c>
      <c r="AU555" t="s">
        <v>11142</v>
      </c>
      <c r="AV555" t="s">
        <v>11143</v>
      </c>
      <c r="AX555" t="s">
        <v>913</v>
      </c>
      <c r="AY555" t="s">
        <v>861</v>
      </c>
      <c r="AZ555" t="s">
        <v>478</v>
      </c>
      <c r="BA555" t="s">
        <v>479</v>
      </c>
      <c r="BB555">
        <v>0</v>
      </c>
      <c r="BC555">
        <v>0</v>
      </c>
      <c r="BD555">
        <v>0</v>
      </c>
      <c r="BE555" t="s">
        <v>1136</v>
      </c>
      <c r="BF555">
        <v>0</v>
      </c>
      <c r="BG555">
        <v>0</v>
      </c>
      <c r="BH555" t="s">
        <v>862</v>
      </c>
      <c r="BI555">
        <v>0</v>
      </c>
      <c r="BJ555" t="s">
        <v>862</v>
      </c>
      <c r="BK555">
        <v>1</v>
      </c>
      <c r="BL555">
        <v>1</v>
      </c>
      <c r="BM555">
        <v>0</v>
      </c>
      <c r="BN555" t="s">
        <v>596</v>
      </c>
      <c r="BO555">
        <v>153402680</v>
      </c>
      <c r="BP555" t="s">
        <v>11136</v>
      </c>
      <c r="BR555">
        <v>42793651</v>
      </c>
      <c r="BT555">
        <v>2</v>
      </c>
      <c r="BU555" t="s">
        <v>1314</v>
      </c>
      <c r="BY555">
        <v>16</v>
      </c>
      <c r="CA555">
        <v>1</v>
      </c>
      <c r="CE555">
        <v>1</v>
      </c>
      <c r="CI555">
        <v>11</v>
      </c>
      <c r="CJ555" t="s">
        <v>94</v>
      </c>
      <c r="CM555">
        <v>4010</v>
      </c>
      <c r="CO555">
        <v>7360</v>
      </c>
      <c r="CP555">
        <v>0.6</v>
      </c>
      <c r="CQ555">
        <v>0.6</v>
      </c>
      <c r="CR555">
        <v>0.16669999999999999</v>
      </c>
      <c r="CS555">
        <v>2</v>
      </c>
      <c r="CT555" t="s">
        <v>11144</v>
      </c>
      <c r="CU555" t="s">
        <v>11145</v>
      </c>
      <c r="CV555" t="s">
        <v>833</v>
      </c>
      <c r="CW555" t="s">
        <v>834</v>
      </c>
      <c r="CX555" t="s">
        <v>1136</v>
      </c>
      <c r="CY555">
        <v>0</v>
      </c>
      <c r="CZ555">
        <v>0</v>
      </c>
      <c r="DA555" t="s">
        <v>833</v>
      </c>
      <c r="DB555" t="s">
        <v>865</v>
      </c>
      <c r="DC555">
        <v>43240</v>
      </c>
      <c r="DD555">
        <v>0.98329999999999995</v>
      </c>
      <c r="DE555" t="s">
        <v>866</v>
      </c>
      <c r="DG555" t="s">
        <v>867</v>
      </c>
      <c r="DH555" t="s">
        <v>851</v>
      </c>
      <c r="DI555" t="s">
        <v>1154</v>
      </c>
      <c r="DK555" t="s">
        <v>918</v>
      </c>
      <c r="DL555" t="s">
        <v>869</v>
      </c>
      <c r="DM555">
        <v>0</v>
      </c>
      <c r="DN555">
        <v>0</v>
      </c>
      <c r="DO555">
        <v>1</v>
      </c>
      <c r="DP555" t="s">
        <v>985</v>
      </c>
      <c r="DQ555">
        <v>16</v>
      </c>
      <c r="DR555">
        <v>59</v>
      </c>
      <c r="DS555">
        <v>59</v>
      </c>
      <c r="DT555">
        <v>0.38329999999999997</v>
      </c>
      <c r="DU555">
        <v>4</v>
      </c>
      <c r="DV555">
        <v>1</v>
      </c>
      <c r="DW555">
        <v>2</v>
      </c>
      <c r="DX555" t="s">
        <v>596</v>
      </c>
      <c r="DY555" t="s">
        <v>1136</v>
      </c>
      <c r="DZ555">
        <v>1</v>
      </c>
      <c r="EA555">
        <v>1</v>
      </c>
      <c r="EB555">
        <v>1</v>
      </c>
      <c r="EC555">
        <v>1</v>
      </c>
      <c r="ED555">
        <v>1</v>
      </c>
      <c r="EE555">
        <v>1</v>
      </c>
      <c r="EF555" t="s">
        <v>871</v>
      </c>
      <c r="EG555" t="s">
        <v>595</v>
      </c>
      <c r="EH555" t="s">
        <v>921</v>
      </c>
      <c r="EI555" t="s">
        <v>921</v>
      </c>
      <c r="EJ555" t="s">
        <v>226</v>
      </c>
      <c r="EK555">
        <v>9090</v>
      </c>
      <c r="EL555">
        <v>0</v>
      </c>
      <c r="EM555" t="s">
        <v>1157</v>
      </c>
      <c r="EN555">
        <v>0.16669999999999999</v>
      </c>
      <c r="EO555">
        <v>0.98333329999999997</v>
      </c>
      <c r="EP555">
        <v>99991120</v>
      </c>
      <c r="EQ555" t="s">
        <v>874</v>
      </c>
      <c r="ER555" t="s">
        <v>875</v>
      </c>
      <c r="ES555" t="s">
        <v>876</v>
      </c>
      <c r="ET555" t="s">
        <v>877</v>
      </c>
      <c r="EU555" t="s">
        <v>877</v>
      </c>
      <c r="EV555" t="s">
        <v>871</v>
      </c>
      <c r="EX555" t="s">
        <v>900</v>
      </c>
      <c r="EY555" t="s">
        <v>923</v>
      </c>
      <c r="EZ555" t="s">
        <v>1158</v>
      </c>
      <c r="FA555" t="s">
        <v>925</v>
      </c>
      <c r="FB555">
        <v>1</v>
      </c>
      <c r="FC555">
        <v>1</v>
      </c>
      <c r="FD555" s="41">
        <v>46186</v>
      </c>
      <c r="FE555" t="s">
        <v>1315</v>
      </c>
      <c r="FF555">
        <v>4</v>
      </c>
      <c r="FI555">
        <v>0</v>
      </c>
      <c r="FL555">
        <v>0</v>
      </c>
      <c r="FM555" t="s">
        <v>1163</v>
      </c>
      <c r="FN555" t="s">
        <v>11146</v>
      </c>
      <c r="FO555">
        <v>1</v>
      </c>
      <c r="FP555" s="42" t="s">
        <v>11147</v>
      </c>
      <c r="FQ555" t="s">
        <v>11148</v>
      </c>
      <c r="FR555">
        <v>1</v>
      </c>
      <c r="FS555" t="s">
        <v>9656</v>
      </c>
      <c r="FT555" t="s">
        <v>11149</v>
      </c>
      <c r="FU555">
        <v>1</v>
      </c>
      <c r="FV555" t="s">
        <v>11150</v>
      </c>
      <c r="FW555" t="s">
        <v>11151</v>
      </c>
      <c r="FX555">
        <v>1</v>
      </c>
      <c r="FY555" t="s">
        <v>890</v>
      </c>
      <c r="FZ555" s="42" t="s">
        <v>11152</v>
      </c>
      <c r="GA555" t="s">
        <v>11150</v>
      </c>
      <c r="GB555">
        <v>1</v>
      </c>
      <c r="GD555">
        <v>0</v>
      </c>
      <c r="GF555">
        <v>0</v>
      </c>
      <c r="GG555">
        <v>1</v>
      </c>
      <c r="GH555" t="s">
        <v>892</v>
      </c>
      <c r="GI555" t="s">
        <v>893</v>
      </c>
      <c r="GJ555" t="s">
        <v>11151</v>
      </c>
      <c r="GM555">
        <v>1</v>
      </c>
      <c r="GN555">
        <v>1</v>
      </c>
      <c r="GO555">
        <v>0</v>
      </c>
      <c r="GP555">
        <v>1</v>
      </c>
      <c r="GQ555">
        <v>1</v>
      </c>
      <c r="GR555">
        <v>0</v>
      </c>
      <c r="GS555">
        <v>1</v>
      </c>
      <c r="GT555">
        <v>0</v>
      </c>
      <c r="GU555">
        <v>1</v>
      </c>
      <c r="GV555">
        <v>0</v>
      </c>
      <c r="GW555">
        <v>1</v>
      </c>
      <c r="GX555">
        <v>0</v>
      </c>
      <c r="GY555">
        <v>1</v>
      </c>
      <c r="GZ555">
        <v>0</v>
      </c>
      <c r="HA555" t="s">
        <v>478</v>
      </c>
      <c r="HB555" t="s">
        <v>894</v>
      </c>
      <c r="HC555" t="s">
        <v>935</v>
      </c>
      <c r="HD555" t="s">
        <v>845</v>
      </c>
      <c r="HE555" t="s">
        <v>900</v>
      </c>
      <c r="HF555" t="s">
        <v>923</v>
      </c>
      <c r="HG555" t="s">
        <v>894</v>
      </c>
      <c r="HH555" t="s">
        <v>935</v>
      </c>
      <c r="HI555" t="s">
        <v>845</v>
      </c>
      <c r="HJ555" t="s">
        <v>900</v>
      </c>
      <c r="HK555" t="s">
        <v>922</v>
      </c>
      <c r="HL555" t="s">
        <v>1141</v>
      </c>
      <c r="HM555" t="s">
        <v>854</v>
      </c>
      <c r="HN555">
        <v>36805</v>
      </c>
      <c r="HP555" t="s">
        <v>226</v>
      </c>
      <c r="HQ555" t="s">
        <v>896</v>
      </c>
      <c r="HR555" t="s">
        <v>896</v>
      </c>
      <c r="HS555" t="s">
        <v>896</v>
      </c>
    </row>
    <row r="556" spans="1:227" ht="409.6" x14ac:dyDescent="0.2">
      <c r="A556">
        <v>8702</v>
      </c>
      <c r="B556">
        <v>7528910433</v>
      </c>
      <c r="D556" t="s">
        <v>913</v>
      </c>
      <c r="E556" t="s">
        <v>897</v>
      </c>
      <c r="F556">
        <v>0</v>
      </c>
      <c r="G556" t="s">
        <v>11153</v>
      </c>
      <c r="H556" t="s">
        <v>11153</v>
      </c>
      <c r="I556">
        <v>0</v>
      </c>
      <c r="J556" t="s">
        <v>833</v>
      </c>
      <c r="K556" t="s">
        <v>834</v>
      </c>
      <c r="L556">
        <v>153195484</v>
      </c>
      <c r="M556" t="s">
        <v>1174</v>
      </c>
      <c r="N556" t="s">
        <v>900</v>
      </c>
      <c r="O556" t="s">
        <v>837</v>
      </c>
      <c r="P556" t="s">
        <v>913</v>
      </c>
      <c r="V556" t="s">
        <v>133</v>
      </c>
      <c r="W556" s="41">
        <v>45946</v>
      </c>
      <c r="X556" t="s">
        <v>11154</v>
      </c>
      <c r="Y556" t="s">
        <v>11153</v>
      </c>
      <c r="AA556">
        <v>0</v>
      </c>
      <c r="AB556" t="s">
        <v>845</v>
      </c>
      <c r="AC556" t="s">
        <v>846</v>
      </c>
      <c r="AD556" t="s">
        <v>847</v>
      </c>
      <c r="AE556" t="s">
        <v>848</v>
      </c>
      <c r="AF556">
        <v>1</v>
      </c>
      <c r="AG556">
        <v>452210</v>
      </c>
      <c r="AH556" t="s">
        <v>849</v>
      </c>
      <c r="AI556" t="s">
        <v>850</v>
      </c>
      <c r="AJ556" t="s">
        <v>851</v>
      </c>
      <c r="AM556" t="s">
        <v>1182</v>
      </c>
      <c r="AN556" t="s">
        <v>854</v>
      </c>
      <c r="AO556">
        <v>36805</v>
      </c>
      <c r="AP556">
        <v>526</v>
      </c>
      <c r="AQ556" t="s">
        <v>855</v>
      </c>
      <c r="AR556">
        <v>0</v>
      </c>
      <c r="AS556" t="s">
        <v>856</v>
      </c>
      <c r="AU556" t="s">
        <v>11155</v>
      </c>
      <c r="AV556" t="s">
        <v>11156</v>
      </c>
      <c r="AX556" t="s">
        <v>913</v>
      </c>
      <c r="AY556" t="s">
        <v>861</v>
      </c>
      <c r="BB556">
        <v>0</v>
      </c>
      <c r="BC556">
        <v>0</v>
      </c>
      <c r="BD556">
        <v>0</v>
      </c>
      <c r="BE556" t="s">
        <v>1174</v>
      </c>
      <c r="BF556">
        <v>0</v>
      </c>
      <c r="BG556">
        <v>0</v>
      </c>
      <c r="BH556" t="s">
        <v>862</v>
      </c>
      <c r="BI556">
        <v>0</v>
      </c>
      <c r="BJ556" t="s">
        <v>862</v>
      </c>
      <c r="BK556">
        <v>0</v>
      </c>
      <c r="BL556">
        <v>1</v>
      </c>
      <c r="BM556">
        <v>0</v>
      </c>
      <c r="BN556" t="s">
        <v>596</v>
      </c>
      <c r="BO556">
        <v>153195484</v>
      </c>
      <c r="BP556" t="s">
        <v>11153</v>
      </c>
      <c r="BR556">
        <v>42791437</v>
      </c>
      <c r="BT556">
        <v>0</v>
      </c>
      <c r="CM556">
        <v>4010</v>
      </c>
      <c r="CO556">
        <v>7360</v>
      </c>
      <c r="CP556">
        <v>0</v>
      </c>
      <c r="CQ556">
        <v>0</v>
      </c>
      <c r="CR556">
        <v>0</v>
      </c>
      <c r="CS556">
        <v>0</v>
      </c>
      <c r="CT556" t="s">
        <v>11156</v>
      </c>
      <c r="CU556" t="s">
        <v>11155</v>
      </c>
      <c r="CV556" t="s">
        <v>833</v>
      </c>
      <c r="CW556" t="s">
        <v>834</v>
      </c>
      <c r="CX556" t="s">
        <v>1174</v>
      </c>
      <c r="CY556">
        <v>0</v>
      </c>
      <c r="CZ556">
        <v>0</v>
      </c>
      <c r="DA556" t="s">
        <v>833</v>
      </c>
      <c r="DB556" t="s">
        <v>865</v>
      </c>
      <c r="DC556">
        <v>46260</v>
      </c>
      <c r="DD556">
        <v>2.6333000000000002</v>
      </c>
      <c r="DE556" t="s">
        <v>866</v>
      </c>
      <c r="DG556" t="s">
        <v>867</v>
      </c>
      <c r="DH556" t="s">
        <v>851</v>
      </c>
      <c r="DI556" t="s">
        <v>1189</v>
      </c>
      <c r="DL556" t="s">
        <v>869</v>
      </c>
      <c r="DM556">
        <v>1</v>
      </c>
      <c r="DN556">
        <v>0</v>
      </c>
      <c r="DP556" t="s">
        <v>913</v>
      </c>
      <c r="DQ556">
        <v>16</v>
      </c>
      <c r="DR556">
        <v>158</v>
      </c>
      <c r="DS556">
        <v>158</v>
      </c>
      <c r="DT556">
        <v>0</v>
      </c>
      <c r="DU556">
        <v>4</v>
      </c>
      <c r="DW556">
        <v>2</v>
      </c>
      <c r="DX556" t="s">
        <v>596</v>
      </c>
      <c r="DY556" t="s">
        <v>1174</v>
      </c>
      <c r="DZ556">
        <v>0</v>
      </c>
      <c r="EA556">
        <v>0</v>
      </c>
      <c r="EB556">
        <v>0</v>
      </c>
      <c r="EC556">
        <v>0</v>
      </c>
      <c r="ED556">
        <v>0</v>
      </c>
      <c r="EE556">
        <v>0</v>
      </c>
      <c r="EG556" t="s">
        <v>597</v>
      </c>
      <c r="EH556" t="s">
        <v>921</v>
      </c>
      <c r="EI556" t="s">
        <v>921</v>
      </c>
      <c r="EJ556" t="s">
        <v>134</v>
      </c>
      <c r="EK556">
        <v>9090</v>
      </c>
      <c r="EL556">
        <v>0</v>
      </c>
      <c r="EM556" t="s">
        <v>1012</v>
      </c>
      <c r="EN556">
        <v>0</v>
      </c>
      <c r="EO556">
        <v>2.6333332999999999</v>
      </c>
      <c r="EP556">
        <v>99991120</v>
      </c>
      <c r="EQ556" t="s">
        <v>874</v>
      </c>
      <c r="ER556" t="s">
        <v>875</v>
      </c>
      <c r="ES556" t="s">
        <v>876</v>
      </c>
      <c r="ET556" t="s">
        <v>877</v>
      </c>
      <c r="EU556" t="s">
        <v>877</v>
      </c>
      <c r="EX556" t="s">
        <v>953</v>
      </c>
      <c r="EY556" t="s">
        <v>1555</v>
      </c>
      <c r="EZ556" t="s">
        <v>1013</v>
      </c>
      <c r="FA556" t="s">
        <v>925</v>
      </c>
      <c r="FB556">
        <v>1</v>
      </c>
      <c r="FC556">
        <v>0</v>
      </c>
      <c r="FD556" s="41">
        <v>45948</v>
      </c>
      <c r="FE556" t="s">
        <v>1039</v>
      </c>
      <c r="FF556">
        <v>9</v>
      </c>
      <c r="FG556" t="s">
        <v>2219</v>
      </c>
      <c r="FH556" t="s">
        <v>11157</v>
      </c>
      <c r="FI556">
        <v>1</v>
      </c>
      <c r="FJ556" s="42" t="s">
        <v>11158</v>
      </c>
      <c r="FK556" t="s">
        <v>11154</v>
      </c>
      <c r="FL556">
        <v>1</v>
      </c>
      <c r="FM556" t="s">
        <v>2221</v>
      </c>
      <c r="FN556" t="s">
        <v>11154</v>
      </c>
      <c r="FO556">
        <v>1</v>
      </c>
      <c r="FP556" t="s">
        <v>11159</v>
      </c>
      <c r="FQ556" t="s">
        <v>11160</v>
      </c>
      <c r="FR556">
        <v>1</v>
      </c>
      <c r="FS556" t="s">
        <v>2219</v>
      </c>
      <c r="FT556" t="s">
        <v>11161</v>
      </c>
      <c r="FU556">
        <v>1</v>
      </c>
      <c r="FV556" t="s">
        <v>2221</v>
      </c>
      <c r="FW556" t="s">
        <v>11162</v>
      </c>
      <c r="FX556">
        <v>1</v>
      </c>
      <c r="FY556" t="s">
        <v>890</v>
      </c>
      <c r="FZ556" s="42" t="s">
        <v>11163</v>
      </c>
      <c r="GB556">
        <v>0</v>
      </c>
      <c r="GD556">
        <v>0</v>
      </c>
      <c r="GF556">
        <v>0</v>
      </c>
      <c r="GG556">
        <v>0</v>
      </c>
      <c r="GM556">
        <v>0</v>
      </c>
      <c r="GN556">
        <v>0</v>
      </c>
      <c r="GO556">
        <v>0</v>
      </c>
      <c r="GP556">
        <v>0</v>
      </c>
      <c r="GQ556">
        <v>0</v>
      </c>
      <c r="GR556">
        <v>0</v>
      </c>
      <c r="GS556">
        <v>0</v>
      </c>
      <c r="GT556">
        <v>0</v>
      </c>
      <c r="GU556">
        <v>0</v>
      </c>
      <c r="GV556">
        <v>0</v>
      </c>
      <c r="GW556">
        <v>0</v>
      </c>
      <c r="GX556">
        <v>0</v>
      </c>
      <c r="GY556">
        <v>0</v>
      </c>
      <c r="GZ556">
        <v>0</v>
      </c>
      <c r="HB556" t="s">
        <v>894</v>
      </c>
      <c r="HC556" t="s">
        <v>935</v>
      </c>
      <c r="HD556" t="s">
        <v>845</v>
      </c>
      <c r="HE556" t="s">
        <v>900</v>
      </c>
      <c r="HF556" t="s">
        <v>1012</v>
      </c>
      <c r="HG556" t="s">
        <v>894</v>
      </c>
      <c r="HH556" t="s">
        <v>935</v>
      </c>
      <c r="HI556" t="s">
        <v>845</v>
      </c>
      <c r="HJ556" t="s">
        <v>900</v>
      </c>
      <c r="HK556" t="s">
        <v>1012</v>
      </c>
      <c r="HL556" t="s">
        <v>133</v>
      </c>
      <c r="HM556" t="s">
        <v>854</v>
      </c>
      <c r="HN556">
        <v>36805</v>
      </c>
      <c r="HP556" t="s">
        <v>134</v>
      </c>
      <c r="HQ556" t="s">
        <v>896</v>
      </c>
      <c r="HR556" t="s">
        <v>896</v>
      </c>
      <c r="HS556" t="s">
        <v>896</v>
      </c>
    </row>
    <row r="557" spans="1:227" x14ac:dyDescent="0.2">
      <c r="A557">
        <v>8702</v>
      </c>
      <c r="B557">
        <v>7606900369</v>
      </c>
      <c r="C557" t="s">
        <v>829</v>
      </c>
      <c r="D557" t="s">
        <v>830</v>
      </c>
      <c r="E557" t="s">
        <v>897</v>
      </c>
      <c r="F557">
        <v>0</v>
      </c>
      <c r="G557" t="s">
        <v>11164</v>
      </c>
      <c r="H557" t="s">
        <v>11164</v>
      </c>
      <c r="I557">
        <v>0</v>
      </c>
      <c r="J557" t="s">
        <v>833</v>
      </c>
      <c r="K557" t="s">
        <v>834</v>
      </c>
      <c r="L557">
        <v>152858781</v>
      </c>
      <c r="M557" t="s">
        <v>1223</v>
      </c>
      <c r="N557" t="s">
        <v>900</v>
      </c>
      <c r="O557" t="s">
        <v>837</v>
      </c>
      <c r="P557" t="s">
        <v>838</v>
      </c>
      <c r="Q557" t="s">
        <v>901</v>
      </c>
      <c r="R557" t="s">
        <v>11165</v>
      </c>
      <c r="S557" t="s">
        <v>11166</v>
      </c>
      <c r="T557">
        <v>41477059287</v>
      </c>
      <c r="V557" t="s">
        <v>1226</v>
      </c>
      <c r="W557" s="41">
        <v>46092</v>
      </c>
      <c r="X557" t="s">
        <v>11167</v>
      </c>
      <c r="Y557" t="s">
        <v>11168</v>
      </c>
      <c r="AA557">
        <v>0</v>
      </c>
      <c r="AB557" t="s">
        <v>845</v>
      </c>
      <c r="AC557" t="s">
        <v>846</v>
      </c>
      <c r="AD557" t="s">
        <v>1113</v>
      </c>
      <c r="AE557" t="s">
        <v>1114</v>
      </c>
      <c r="AF557">
        <v>1</v>
      </c>
      <c r="AG557">
        <v>452210</v>
      </c>
      <c r="AH557" t="s">
        <v>849</v>
      </c>
      <c r="AI557" t="s">
        <v>850</v>
      </c>
      <c r="AJ557" t="s">
        <v>851</v>
      </c>
      <c r="AK557" t="s">
        <v>313</v>
      </c>
      <c r="AL557" t="s">
        <v>3524</v>
      </c>
      <c r="AM557" t="s">
        <v>1230</v>
      </c>
      <c r="AN557" t="s">
        <v>854</v>
      </c>
      <c r="AO557">
        <v>36805</v>
      </c>
      <c r="AP557">
        <v>925</v>
      </c>
      <c r="AQ557" t="s">
        <v>855</v>
      </c>
      <c r="AR557">
        <v>66370297</v>
      </c>
      <c r="AS557" t="s">
        <v>856</v>
      </c>
      <c r="AU557" t="s">
        <v>11169</v>
      </c>
      <c r="AV557" t="s">
        <v>11170</v>
      </c>
      <c r="AW557" t="s">
        <v>859</v>
      </c>
      <c r="AX557" t="s">
        <v>860</v>
      </c>
      <c r="AY557" t="s">
        <v>861</v>
      </c>
      <c r="AZ557" t="s">
        <v>313</v>
      </c>
      <c r="BA557" t="s">
        <v>314</v>
      </c>
      <c r="BB557">
        <v>0</v>
      </c>
      <c r="BC557">
        <v>0</v>
      </c>
      <c r="BD557">
        <v>0</v>
      </c>
      <c r="BE557" t="s">
        <v>1223</v>
      </c>
      <c r="BF557">
        <v>0</v>
      </c>
      <c r="BG557">
        <v>0</v>
      </c>
      <c r="BH557" t="s">
        <v>862</v>
      </c>
      <c r="BI557">
        <v>0</v>
      </c>
      <c r="BJ557" t="s">
        <v>862</v>
      </c>
      <c r="BK557">
        <v>1</v>
      </c>
      <c r="BL557">
        <v>0</v>
      </c>
      <c r="BM557">
        <v>0</v>
      </c>
      <c r="BN557" t="s">
        <v>596</v>
      </c>
      <c r="BO557">
        <v>152858781</v>
      </c>
      <c r="BP557" t="s">
        <v>11164</v>
      </c>
      <c r="BR557">
        <v>42793649</v>
      </c>
      <c r="BT557">
        <v>2</v>
      </c>
      <c r="BU557" t="s">
        <v>1715</v>
      </c>
      <c r="BY557">
        <v>16</v>
      </c>
      <c r="CA557">
        <v>6</v>
      </c>
      <c r="CE557">
        <v>1</v>
      </c>
      <c r="CI557">
        <v>11</v>
      </c>
      <c r="CJ557" t="s">
        <v>94</v>
      </c>
      <c r="CM557">
        <v>4010</v>
      </c>
      <c r="CO557">
        <v>7360</v>
      </c>
      <c r="CP557">
        <v>0.26669999999999999</v>
      </c>
      <c r="CQ557">
        <v>0.26669999999999999</v>
      </c>
      <c r="CR557">
        <v>0.81669999999999998</v>
      </c>
      <c r="CS557">
        <v>92</v>
      </c>
      <c r="CT557" t="s">
        <v>11171</v>
      </c>
      <c r="CU557" t="s">
        <v>11172</v>
      </c>
      <c r="CV557" t="s">
        <v>833</v>
      </c>
      <c r="CW557" t="s">
        <v>834</v>
      </c>
      <c r="CX557" t="s">
        <v>1223</v>
      </c>
      <c r="CY557">
        <v>0</v>
      </c>
      <c r="CZ557">
        <v>0</v>
      </c>
      <c r="DA557" t="s">
        <v>833</v>
      </c>
      <c r="DB557" t="s">
        <v>865</v>
      </c>
      <c r="DC557">
        <v>44124</v>
      </c>
      <c r="DD557">
        <v>5.6333000000000002</v>
      </c>
      <c r="DE557" t="s">
        <v>866</v>
      </c>
      <c r="DG557" t="s">
        <v>867</v>
      </c>
      <c r="DH557" t="s">
        <v>851</v>
      </c>
      <c r="DI557" t="s">
        <v>1235</v>
      </c>
      <c r="DK557" t="s">
        <v>918</v>
      </c>
      <c r="DL557" t="s">
        <v>869</v>
      </c>
      <c r="DM557">
        <v>0</v>
      </c>
      <c r="DN557">
        <v>0</v>
      </c>
      <c r="DO557">
        <v>53</v>
      </c>
      <c r="DP557" t="s">
        <v>1156</v>
      </c>
      <c r="DQ557">
        <v>0</v>
      </c>
      <c r="DR557">
        <v>338</v>
      </c>
      <c r="DS557">
        <v>1058</v>
      </c>
      <c r="DT557">
        <v>5.3666999999999998</v>
      </c>
      <c r="DU557">
        <v>0</v>
      </c>
      <c r="DV557">
        <v>1</v>
      </c>
      <c r="DW557">
        <v>2</v>
      </c>
      <c r="DX557" t="s">
        <v>594</v>
      </c>
      <c r="DY557" t="s">
        <v>1223</v>
      </c>
      <c r="DZ557">
        <v>1</v>
      </c>
      <c r="EA557">
        <v>1</v>
      </c>
      <c r="EB557">
        <v>1</v>
      </c>
      <c r="EC557">
        <v>1</v>
      </c>
      <c r="ED557">
        <v>1</v>
      </c>
      <c r="EE557">
        <v>1</v>
      </c>
      <c r="EF557" t="s">
        <v>920</v>
      </c>
      <c r="EG557" t="s">
        <v>595</v>
      </c>
      <c r="EH557" t="s">
        <v>872</v>
      </c>
      <c r="EI557" t="s">
        <v>872</v>
      </c>
      <c r="EJ557" t="s">
        <v>226</v>
      </c>
      <c r="EK557">
        <v>9090</v>
      </c>
      <c r="EL557">
        <v>0</v>
      </c>
      <c r="EM557" t="s">
        <v>1157</v>
      </c>
      <c r="EN557">
        <v>0.81669999999999998</v>
      </c>
      <c r="EO557">
        <v>17.6333333</v>
      </c>
      <c r="EP557">
        <v>99991120</v>
      </c>
      <c r="EQ557" t="s">
        <v>874</v>
      </c>
      <c r="ER557" t="s">
        <v>875</v>
      </c>
      <c r="ES557" t="s">
        <v>876</v>
      </c>
      <c r="ET557" t="s">
        <v>877</v>
      </c>
      <c r="EU557" t="s">
        <v>877</v>
      </c>
      <c r="EV557" t="s">
        <v>920</v>
      </c>
      <c r="EX557" t="s">
        <v>953</v>
      </c>
      <c r="EY557" t="s">
        <v>986</v>
      </c>
      <c r="EZ557" t="s">
        <v>1236</v>
      </c>
      <c r="FA557" t="s">
        <v>956</v>
      </c>
      <c r="FB557">
        <v>1</v>
      </c>
      <c r="FC557">
        <v>1</v>
      </c>
      <c r="FD557" s="41">
        <v>46095</v>
      </c>
      <c r="FE557" t="s">
        <v>1719</v>
      </c>
      <c r="FF557">
        <v>5</v>
      </c>
      <c r="FI557">
        <v>0</v>
      </c>
      <c r="FJ557" t="s">
        <v>11173</v>
      </c>
      <c r="FK557" t="s">
        <v>11174</v>
      </c>
      <c r="FL557">
        <v>1</v>
      </c>
      <c r="FM557" t="s">
        <v>11175</v>
      </c>
      <c r="FN557" t="s">
        <v>11176</v>
      </c>
      <c r="FO557">
        <v>1</v>
      </c>
      <c r="FP557" t="s">
        <v>11177</v>
      </c>
      <c r="FQ557" t="s">
        <v>11172</v>
      </c>
      <c r="FR557">
        <v>1</v>
      </c>
      <c r="FS557" t="s">
        <v>1656</v>
      </c>
      <c r="FT557" t="s">
        <v>11178</v>
      </c>
      <c r="FU557">
        <v>1</v>
      </c>
      <c r="FV557" t="s">
        <v>11179</v>
      </c>
      <c r="FW557" t="s">
        <v>11174</v>
      </c>
      <c r="FX557">
        <v>1</v>
      </c>
      <c r="FY557" t="s">
        <v>890</v>
      </c>
      <c r="FZ557" t="s">
        <v>11180</v>
      </c>
      <c r="GA557" t="s">
        <v>11173</v>
      </c>
      <c r="GB557">
        <v>1</v>
      </c>
      <c r="GD557">
        <v>0</v>
      </c>
      <c r="GF557">
        <v>0</v>
      </c>
      <c r="GG557">
        <v>1</v>
      </c>
      <c r="GH557" t="s">
        <v>892</v>
      </c>
      <c r="GI557" t="s">
        <v>893</v>
      </c>
      <c r="GJ557" t="s">
        <v>11174</v>
      </c>
      <c r="GM557">
        <v>1</v>
      </c>
      <c r="GN557">
        <v>1</v>
      </c>
      <c r="GO557">
        <v>0</v>
      </c>
      <c r="GP557">
        <v>1</v>
      </c>
      <c r="GQ557">
        <v>1</v>
      </c>
      <c r="GR557">
        <v>0</v>
      </c>
      <c r="GS557">
        <v>1</v>
      </c>
      <c r="GT557">
        <v>0</v>
      </c>
      <c r="GU557">
        <v>1</v>
      </c>
      <c r="GV557">
        <v>0</v>
      </c>
      <c r="GW557">
        <v>1</v>
      </c>
      <c r="GX557">
        <v>0</v>
      </c>
      <c r="GY557">
        <v>1</v>
      </c>
      <c r="GZ557">
        <v>0</v>
      </c>
      <c r="HA557" t="s">
        <v>313</v>
      </c>
      <c r="HB557" t="s">
        <v>894</v>
      </c>
      <c r="HC557" t="s">
        <v>935</v>
      </c>
      <c r="HD557" t="s">
        <v>845</v>
      </c>
      <c r="HE557" t="s">
        <v>900</v>
      </c>
      <c r="HF557" t="s">
        <v>923</v>
      </c>
      <c r="HG557" t="s">
        <v>894</v>
      </c>
      <c r="HH557" t="s">
        <v>935</v>
      </c>
      <c r="HI557" t="s">
        <v>845</v>
      </c>
      <c r="HJ557" t="s">
        <v>900</v>
      </c>
      <c r="HK557" t="s">
        <v>922</v>
      </c>
      <c r="HL557" t="s">
        <v>1226</v>
      </c>
      <c r="HM557" t="s">
        <v>854</v>
      </c>
      <c r="HN557">
        <v>36805</v>
      </c>
      <c r="HP557" t="s">
        <v>226</v>
      </c>
      <c r="HQ557" t="s">
        <v>896</v>
      </c>
      <c r="HR557" t="s">
        <v>896</v>
      </c>
      <c r="HS557" t="s">
        <v>896</v>
      </c>
    </row>
    <row r="558" spans="1:227" x14ac:dyDescent="0.2">
      <c r="A558">
        <v>8702</v>
      </c>
      <c r="B558">
        <v>7620103255</v>
      </c>
      <c r="C558" t="s">
        <v>829</v>
      </c>
      <c r="D558" t="s">
        <v>830</v>
      </c>
      <c r="E558" t="s">
        <v>831</v>
      </c>
      <c r="F558">
        <v>1</v>
      </c>
      <c r="G558" t="s">
        <v>11181</v>
      </c>
      <c r="H558" t="s">
        <v>11181</v>
      </c>
      <c r="I558">
        <v>0</v>
      </c>
      <c r="J558" t="s">
        <v>833</v>
      </c>
      <c r="K558" t="s">
        <v>834</v>
      </c>
      <c r="L558">
        <v>153589113</v>
      </c>
      <c r="M558" t="s">
        <v>11182</v>
      </c>
      <c r="N558" t="s">
        <v>836</v>
      </c>
      <c r="O558" t="s">
        <v>837</v>
      </c>
      <c r="P558" t="s">
        <v>838</v>
      </c>
      <c r="Q558" t="s">
        <v>1251</v>
      </c>
      <c r="R558" t="s">
        <v>11183</v>
      </c>
      <c r="S558" t="s">
        <v>11184</v>
      </c>
      <c r="T558">
        <v>30300098479</v>
      </c>
      <c r="V558" t="s">
        <v>217</v>
      </c>
      <c r="W558" s="41">
        <v>46223</v>
      </c>
      <c r="X558" t="s">
        <v>11185</v>
      </c>
      <c r="Y558" t="s">
        <v>11186</v>
      </c>
      <c r="AA558">
        <v>0</v>
      </c>
      <c r="AB558" t="s">
        <v>845</v>
      </c>
      <c r="AC558" t="s">
        <v>846</v>
      </c>
      <c r="AD558" t="s">
        <v>907</v>
      </c>
      <c r="AE558" t="s">
        <v>908</v>
      </c>
      <c r="AF558">
        <v>1</v>
      </c>
      <c r="AG558">
        <v>452210</v>
      </c>
      <c r="AH558" t="s">
        <v>849</v>
      </c>
      <c r="AI558" t="s">
        <v>850</v>
      </c>
      <c r="AJ558" t="s">
        <v>851</v>
      </c>
      <c r="AK558" t="s">
        <v>511</v>
      </c>
      <c r="AL558" t="s">
        <v>7687</v>
      </c>
      <c r="AM558" t="s">
        <v>3010</v>
      </c>
      <c r="AN558" t="s">
        <v>854</v>
      </c>
      <c r="AO558">
        <v>36805</v>
      </c>
      <c r="AP558">
        <v>707</v>
      </c>
      <c r="AQ558" t="s">
        <v>855</v>
      </c>
      <c r="AR558">
        <v>66558904</v>
      </c>
      <c r="AS558" t="s">
        <v>856</v>
      </c>
      <c r="AU558" t="s">
        <v>11187</v>
      </c>
      <c r="AV558" t="s">
        <v>11188</v>
      </c>
      <c r="AX558" t="s">
        <v>913</v>
      </c>
      <c r="AY558" t="s">
        <v>861</v>
      </c>
      <c r="AZ558" t="s">
        <v>511</v>
      </c>
      <c r="BA558" t="s">
        <v>392</v>
      </c>
      <c r="BB558">
        <v>0</v>
      </c>
      <c r="BC558">
        <v>0</v>
      </c>
      <c r="BD558">
        <v>0</v>
      </c>
      <c r="BE558" t="s">
        <v>11182</v>
      </c>
      <c r="BF558">
        <v>0</v>
      </c>
      <c r="BG558">
        <v>0</v>
      </c>
      <c r="BH558" t="s">
        <v>862</v>
      </c>
      <c r="BI558">
        <v>0</v>
      </c>
      <c r="BJ558" t="s">
        <v>862</v>
      </c>
      <c r="BK558">
        <v>1</v>
      </c>
      <c r="BL558">
        <v>1</v>
      </c>
      <c r="BM558">
        <v>0</v>
      </c>
      <c r="BN558" t="s">
        <v>596</v>
      </c>
      <c r="BO558">
        <v>153589113</v>
      </c>
      <c r="BP558" t="s">
        <v>11181</v>
      </c>
      <c r="BR558">
        <v>42791784</v>
      </c>
      <c r="BT558">
        <v>2</v>
      </c>
      <c r="BU558" t="s">
        <v>1062</v>
      </c>
      <c r="BY558">
        <v>16</v>
      </c>
      <c r="CA558">
        <v>4</v>
      </c>
      <c r="CE558">
        <v>1</v>
      </c>
      <c r="CI558">
        <v>11</v>
      </c>
      <c r="CJ558" t="s">
        <v>94</v>
      </c>
      <c r="CM558">
        <v>4010</v>
      </c>
      <c r="CO558">
        <v>7360</v>
      </c>
      <c r="CP558">
        <v>1.4167000000000001</v>
      </c>
      <c r="CQ558">
        <v>1.4167000000000001</v>
      </c>
      <c r="CR558">
        <v>0.9667</v>
      </c>
      <c r="CS558">
        <v>3</v>
      </c>
      <c r="CT558" t="s">
        <v>11188</v>
      </c>
      <c r="CU558" t="s">
        <v>11187</v>
      </c>
      <c r="CV558" t="s">
        <v>833</v>
      </c>
      <c r="CW558" t="s">
        <v>834</v>
      </c>
      <c r="CX558" t="s">
        <v>11182</v>
      </c>
      <c r="CY558">
        <v>0</v>
      </c>
      <c r="CZ558">
        <v>0</v>
      </c>
      <c r="DA558" t="s">
        <v>833</v>
      </c>
      <c r="DB558" t="s">
        <v>865</v>
      </c>
      <c r="DC558">
        <v>53045</v>
      </c>
      <c r="DD558">
        <v>3.9</v>
      </c>
      <c r="DE558" t="s">
        <v>866</v>
      </c>
      <c r="DG558" t="s">
        <v>867</v>
      </c>
      <c r="DH558" t="s">
        <v>851</v>
      </c>
      <c r="DI558" t="s">
        <v>2534</v>
      </c>
      <c r="DK558" t="s">
        <v>918</v>
      </c>
      <c r="DL558" t="s">
        <v>869</v>
      </c>
      <c r="DM558">
        <v>0</v>
      </c>
      <c r="DN558">
        <v>0</v>
      </c>
      <c r="DO558">
        <v>3</v>
      </c>
      <c r="DP558" t="s">
        <v>919</v>
      </c>
      <c r="DQ558">
        <v>16</v>
      </c>
      <c r="DR558">
        <v>234</v>
      </c>
      <c r="DS558">
        <v>234</v>
      </c>
      <c r="DT558">
        <v>2.4832999999999998</v>
      </c>
      <c r="DU558">
        <v>4</v>
      </c>
      <c r="DV558">
        <v>1</v>
      </c>
      <c r="DW558">
        <v>2</v>
      </c>
      <c r="DX558" t="s">
        <v>596</v>
      </c>
      <c r="DY558" t="s">
        <v>11182</v>
      </c>
      <c r="DZ558">
        <v>1</v>
      </c>
      <c r="EA558">
        <v>1</v>
      </c>
      <c r="EB558">
        <v>1</v>
      </c>
      <c r="EC558">
        <v>1</v>
      </c>
      <c r="ED558">
        <v>1</v>
      </c>
      <c r="EE558">
        <v>1</v>
      </c>
      <c r="EF558" t="s">
        <v>920</v>
      </c>
      <c r="EG558" t="s">
        <v>595</v>
      </c>
      <c r="EH558" t="s">
        <v>921</v>
      </c>
      <c r="EI558" t="s">
        <v>921</v>
      </c>
      <c r="EJ558" t="s">
        <v>215</v>
      </c>
      <c r="EK558">
        <v>9090</v>
      </c>
      <c r="EL558">
        <v>0</v>
      </c>
      <c r="EM558" t="s">
        <v>1436</v>
      </c>
      <c r="EN558">
        <v>0.9667</v>
      </c>
      <c r="EO558">
        <v>3.9</v>
      </c>
      <c r="EP558">
        <v>99991120</v>
      </c>
      <c r="EQ558" t="s">
        <v>874</v>
      </c>
      <c r="ER558" t="s">
        <v>875</v>
      </c>
      <c r="ES558" t="s">
        <v>876</v>
      </c>
      <c r="ET558" t="s">
        <v>877</v>
      </c>
      <c r="EU558" t="s">
        <v>877</v>
      </c>
      <c r="EV558" t="s">
        <v>920</v>
      </c>
      <c r="EX558" t="s">
        <v>836</v>
      </c>
      <c r="EY558" t="s">
        <v>873</v>
      </c>
      <c r="EZ558" t="s">
        <v>1807</v>
      </c>
      <c r="FA558" t="s">
        <v>925</v>
      </c>
      <c r="FB558">
        <v>1</v>
      </c>
      <c r="FC558">
        <v>1</v>
      </c>
      <c r="FD558" s="41">
        <v>46228</v>
      </c>
      <c r="FE558" t="s">
        <v>1066</v>
      </c>
      <c r="FF558">
        <v>4</v>
      </c>
      <c r="FI558">
        <v>0</v>
      </c>
      <c r="FL558">
        <v>0</v>
      </c>
      <c r="FM558" t="s">
        <v>11189</v>
      </c>
      <c r="FN558" t="s">
        <v>11190</v>
      </c>
      <c r="FO558">
        <v>1</v>
      </c>
      <c r="FP558" t="s">
        <v>11191</v>
      </c>
      <c r="FQ558" t="s">
        <v>11187</v>
      </c>
      <c r="FR558">
        <v>1</v>
      </c>
      <c r="FS558" t="s">
        <v>11192</v>
      </c>
      <c r="FT558" t="s">
        <v>11193</v>
      </c>
      <c r="FU558">
        <v>1</v>
      </c>
      <c r="FV558" t="s">
        <v>11194</v>
      </c>
      <c r="FW558" t="s">
        <v>11195</v>
      </c>
      <c r="FX558">
        <v>1</v>
      </c>
      <c r="FY558" t="s">
        <v>890</v>
      </c>
      <c r="FZ558" t="s">
        <v>11196</v>
      </c>
      <c r="GA558" t="s">
        <v>11194</v>
      </c>
      <c r="GB558">
        <v>1</v>
      </c>
      <c r="GD558">
        <v>0</v>
      </c>
      <c r="GF558">
        <v>0</v>
      </c>
      <c r="GG558">
        <v>1</v>
      </c>
      <c r="GH558" t="s">
        <v>892</v>
      </c>
      <c r="GI558" t="s">
        <v>893</v>
      </c>
      <c r="GJ558" t="s">
        <v>11195</v>
      </c>
      <c r="GM558">
        <v>1</v>
      </c>
      <c r="GN558">
        <v>1</v>
      </c>
      <c r="GO558">
        <v>0</v>
      </c>
      <c r="GP558">
        <v>1</v>
      </c>
      <c r="GQ558">
        <v>1</v>
      </c>
      <c r="GR558">
        <v>0</v>
      </c>
      <c r="GS558">
        <v>1</v>
      </c>
      <c r="GT558">
        <v>0</v>
      </c>
      <c r="GU558">
        <v>1</v>
      </c>
      <c r="GV558">
        <v>0</v>
      </c>
      <c r="GW558">
        <v>1</v>
      </c>
      <c r="GX558">
        <v>0</v>
      </c>
      <c r="GY558">
        <v>1</v>
      </c>
      <c r="GZ558">
        <v>0</v>
      </c>
      <c r="HA558" t="s">
        <v>511</v>
      </c>
      <c r="HB558" t="s">
        <v>894</v>
      </c>
      <c r="HC558" t="s">
        <v>895</v>
      </c>
      <c r="HD558" t="s">
        <v>845</v>
      </c>
      <c r="HE558" t="s">
        <v>836</v>
      </c>
      <c r="HF558" t="s">
        <v>873</v>
      </c>
      <c r="HG558" t="s">
        <v>894</v>
      </c>
      <c r="HH558" t="s">
        <v>895</v>
      </c>
      <c r="HI558" t="s">
        <v>845</v>
      </c>
      <c r="HJ558" t="s">
        <v>836</v>
      </c>
      <c r="HK558" t="s">
        <v>1436</v>
      </c>
      <c r="HL558" t="s">
        <v>217</v>
      </c>
      <c r="HM558" t="s">
        <v>854</v>
      </c>
      <c r="HN558">
        <v>36805</v>
      </c>
      <c r="HP558" t="s">
        <v>215</v>
      </c>
      <c r="HQ558" t="s">
        <v>896</v>
      </c>
      <c r="HR558" t="s">
        <v>896</v>
      </c>
      <c r="HS558" t="s">
        <v>896</v>
      </c>
    </row>
    <row r="559" spans="1:227" x14ac:dyDescent="0.2">
      <c r="A559">
        <v>8702</v>
      </c>
      <c r="B559">
        <v>7536304939</v>
      </c>
      <c r="C559">
        <v>34</v>
      </c>
      <c r="D559" t="s">
        <v>996</v>
      </c>
      <c r="E559" t="s">
        <v>897</v>
      </c>
      <c r="F559">
        <v>1</v>
      </c>
      <c r="G559" t="s">
        <v>11197</v>
      </c>
      <c r="H559" t="s">
        <v>11197</v>
      </c>
      <c r="I559">
        <v>0</v>
      </c>
      <c r="J559" t="s">
        <v>833</v>
      </c>
      <c r="K559" t="s">
        <v>834</v>
      </c>
      <c r="L559">
        <v>153402675</v>
      </c>
      <c r="M559" t="s">
        <v>11198</v>
      </c>
      <c r="N559" t="s">
        <v>900</v>
      </c>
      <c r="O559" t="s">
        <v>837</v>
      </c>
      <c r="P559" t="s">
        <v>999</v>
      </c>
      <c r="Q559" t="s">
        <v>1027</v>
      </c>
      <c r="R559" t="s">
        <v>11199</v>
      </c>
      <c r="S559" t="s">
        <v>11200</v>
      </c>
      <c r="T559">
        <v>41477122362</v>
      </c>
      <c r="V559" t="s">
        <v>147</v>
      </c>
      <c r="W559" s="41">
        <v>46020</v>
      </c>
      <c r="X559" t="s">
        <v>11201</v>
      </c>
      <c r="Y559" t="s">
        <v>11202</v>
      </c>
      <c r="AA559">
        <v>0</v>
      </c>
      <c r="AB559" t="s">
        <v>845</v>
      </c>
      <c r="AC559" t="s">
        <v>846</v>
      </c>
      <c r="AD559" t="s">
        <v>847</v>
      </c>
      <c r="AE559" t="s">
        <v>848</v>
      </c>
      <c r="AF559">
        <v>1</v>
      </c>
      <c r="AG559">
        <v>452210</v>
      </c>
      <c r="AH559" t="s">
        <v>849</v>
      </c>
      <c r="AI559" t="s">
        <v>850</v>
      </c>
      <c r="AJ559" t="s">
        <v>851</v>
      </c>
      <c r="AK559" t="s">
        <v>317</v>
      </c>
      <c r="AL559" t="s">
        <v>3381</v>
      </c>
      <c r="AM559" t="s">
        <v>6249</v>
      </c>
      <c r="AN559" t="s">
        <v>854</v>
      </c>
      <c r="AO559">
        <v>36805</v>
      </c>
      <c r="AP559">
        <v>530</v>
      </c>
      <c r="AQ559" t="s">
        <v>855</v>
      </c>
      <c r="AR559">
        <v>66266610</v>
      </c>
      <c r="AS559" t="s">
        <v>856</v>
      </c>
      <c r="AU559" t="s">
        <v>11203</v>
      </c>
      <c r="AV559" t="s">
        <v>11204</v>
      </c>
      <c r="AX559" t="s">
        <v>913</v>
      </c>
      <c r="AY559" t="s">
        <v>861</v>
      </c>
      <c r="AZ559" t="s">
        <v>317</v>
      </c>
      <c r="BA559" t="s">
        <v>318</v>
      </c>
      <c r="BB559">
        <v>0</v>
      </c>
      <c r="BC559">
        <v>0</v>
      </c>
      <c r="BD559">
        <v>1</v>
      </c>
      <c r="BE559" t="s">
        <v>11198</v>
      </c>
      <c r="BF559">
        <v>0</v>
      </c>
      <c r="BG559">
        <v>0</v>
      </c>
      <c r="BH559" t="s">
        <v>862</v>
      </c>
      <c r="BI559">
        <v>0</v>
      </c>
      <c r="BJ559" t="s">
        <v>862</v>
      </c>
      <c r="BK559">
        <v>1</v>
      </c>
      <c r="BL559">
        <v>1</v>
      </c>
      <c r="BM559">
        <v>0</v>
      </c>
      <c r="BN559" t="s">
        <v>596</v>
      </c>
      <c r="BO559">
        <v>153402675</v>
      </c>
      <c r="BP559" t="s">
        <v>11197</v>
      </c>
      <c r="BQ559">
        <v>39.166043700000003</v>
      </c>
      <c r="BR559">
        <v>42791445</v>
      </c>
      <c r="BS559">
        <v>-86.579453000000001</v>
      </c>
      <c r="BT559">
        <v>0</v>
      </c>
      <c r="CM559">
        <v>4010</v>
      </c>
      <c r="CO559">
        <v>7360</v>
      </c>
      <c r="CP559">
        <v>0.7167</v>
      </c>
      <c r="CQ559">
        <v>0.7167</v>
      </c>
      <c r="CR559">
        <v>1.3167</v>
      </c>
      <c r="CS559">
        <v>14</v>
      </c>
      <c r="CT559" t="s">
        <v>11204</v>
      </c>
      <c r="CU559" t="s">
        <v>11203</v>
      </c>
      <c r="CV559" t="s">
        <v>833</v>
      </c>
      <c r="CW559" t="s">
        <v>834</v>
      </c>
      <c r="CX559" t="s">
        <v>11198</v>
      </c>
      <c r="CY559">
        <v>1</v>
      </c>
      <c r="CZ559">
        <v>1</v>
      </c>
      <c r="DA559" t="s">
        <v>833</v>
      </c>
      <c r="DB559" t="s">
        <v>865</v>
      </c>
      <c r="DC559">
        <v>47404</v>
      </c>
      <c r="DD559">
        <v>4.0332999999999997</v>
      </c>
      <c r="DE559" t="s">
        <v>866</v>
      </c>
      <c r="DG559" t="s">
        <v>867</v>
      </c>
      <c r="DH559" t="s">
        <v>851</v>
      </c>
      <c r="DI559" t="s">
        <v>1154</v>
      </c>
      <c r="DJ559" t="s">
        <v>11205</v>
      </c>
      <c r="DL559" t="s">
        <v>869</v>
      </c>
      <c r="DM559">
        <v>0</v>
      </c>
      <c r="DN559">
        <v>0</v>
      </c>
      <c r="DO559">
        <v>11</v>
      </c>
      <c r="DP559" t="s">
        <v>1010</v>
      </c>
      <c r="DQ559">
        <v>16</v>
      </c>
      <c r="DR559">
        <v>242</v>
      </c>
      <c r="DS559">
        <v>242</v>
      </c>
      <c r="DT559">
        <v>3.3167</v>
      </c>
      <c r="DU559">
        <v>4</v>
      </c>
      <c r="DW559">
        <v>2</v>
      </c>
      <c r="DX559" t="s">
        <v>596</v>
      </c>
      <c r="DY559" t="s">
        <v>11198</v>
      </c>
      <c r="DZ559">
        <v>1</v>
      </c>
      <c r="EA559">
        <v>1</v>
      </c>
      <c r="EB559">
        <v>1</v>
      </c>
      <c r="EC559">
        <v>1</v>
      </c>
      <c r="ED559">
        <v>1</v>
      </c>
      <c r="EE559">
        <v>1</v>
      </c>
      <c r="EF559" t="s">
        <v>920</v>
      </c>
      <c r="EG559" t="s">
        <v>595</v>
      </c>
      <c r="EH559" t="s">
        <v>921</v>
      </c>
      <c r="EI559" t="s">
        <v>921</v>
      </c>
      <c r="EJ559" t="s">
        <v>134</v>
      </c>
      <c r="EK559">
        <v>9090</v>
      </c>
      <c r="EL559">
        <v>0</v>
      </c>
      <c r="EM559" t="s">
        <v>1011</v>
      </c>
      <c r="EN559">
        <v>1.3167</v>
      </c>
      <c r="EO559">
        <v>4.0333332999999998</v>
      </c>
      <c r="EP559">
        <v>99991120</v>
      </c>
      <c r="EQ559" t="s">
        <v>874</v>
      </c>
      <c r="ER559" t="s">
        <v>875</v>
      </c>
      <c r="ES559" t="s">
        <v>876</v>
      </c>
      <c r="ET559" t="s">
        <v>877</v>
      </c>
      <c r="EU559" t="s">
        <v>877</v>
      </c>
      <c r="EV559" t="s">
        <v>920</v>
      </c>
      <c r="EX559" t="s">
        <v>953</v>
      </c>
      <c r="EY559" t="s">
        <v>1555</v>
      </c>
      <c r="EZ559" t="s">
        <v>1013</v>
      </c>
      <c r="FA559" t="s">
        <v>925</v>
      </c>
      <c r="FB559">
        <v>1</v>
      </c>
      <c r="FC559">
        <v>1</v>
      </c>
      <c r="FD559" s="41">
        <v>46025</v>
      </c>
      <c r="FE559" t="s">
        <v>957</v>
      </c>
      <c r="FF559">
        <v>4</v>
      </c>
      <c r="FI559">
        <v>0</v>
      </c>
      <c r="FL559">
        <v>0</v>
      </c>
      <c r="FM559" t="s">
        <v>11206</v>
      </c>
      <c r="FN559" t="s">
        <v>11207</v>
      </c>
      <c r="FO559">
        <v>1</v>
      </c>
      <c r="FP559" t="s">
        <v>4607</v>
      </c>
      <c r="FQ559" t="s">
        <v>11208</v>
      </c>
      <c r="FR559">
        <v>1</v>
      </c>
      <c r="FS559" t="s">
        <v>1984</v>
      </c>
      <c r="FT559" t="s">
        <v>11209</v>
      </c>
      <c r="FU559">
        <v>1</v>
      </c>
      <c r="FV559" t="s">
        <v>11210</v>
      </c>
      <c r="FW559" t="s">
        <v>11211</v>
      </c>
      <c r="FX559">
        <v>1</v>
      </c>
      <c r="FY559" t="s">
        <v>890</v>
      </c>
      <c r="FZ559" t="s">
        <v>11212</v>
      </c>
      <c r="GA559" t="s">
        <v>11210</v>
      </c>
      <c r="GB559">
        <v>1</v>
      </c>
      <c r="GD559">
        <v>0</v>
      </c>
      <c r="GF559">
        <v>0</v>
      </c>
      <c r="GG559">
        <v>1</v>
      </c>
      <c r="GH559" t="s">
        <v>892</v>
      </c>
      <c r="GI559" t="s">
        <v>893</v>
      </c>
      <c r="GJ559" t="s">
        <v>11211</v>
      </c>
      <c r="GM559">
        <v>1</v>
      </c>
      <c r="GN559">
        <v>1</v>
      </c>
      <c r="GO559">
        <v>0</v>
      </c>
      <c r="GP559">
        <v>1</v>
      </c>
      <c r="GQ559">
        <v>1</v>
      </c>
      <c r="GR559">
        <v>0</v>
      </c>
      <c r="GS559">
        <v>1</v>
      </c>
      <c r="GT559">
        <v>0</v>
      </c>
      <c r="GU559">
        <v>1</v>
      </c>
      <c r="GV559">
        <v>0</v>
      </c>
      <c r="GW559">
        <v>1</v>
      </c>
      <c r="GX559">
        <v>0</v>
      </c>
      <c r="GY559">
        <v>1</v>
      </c>
      <c r="GZ559">
        <v>0</v>
      </c>
      <c r="HA559" t="s">
        <v>317</v>
      </c>
      <c r="HB559" t="s">
        <v>894</v>
      </c>
      <c r="HC559" t="s">
        <v>935</v>
      </c>
      <c r="HD559" t="s">
        <v>845</v>
      </c>
      <c r="HE559" t="s">
        <v>900</v>
      </c>
      <c r="HF559" t="s">
        <v>1012</v>
      </c>
      <c r="HG559" t="s">
        <v>894</v>
      </c>
      <c r="HH559" t="s">
        <v>935</v>
      </c>
      <c r="HI559" t="s">
        <v>845</v>
      </c>
      <c r="HJ559" t="s">
        <v>900</v>
      </c>
      <c r="HK559" t="s">
        <v>1011</v>
      </c>
      <c r="HL559" t="s">
        <v>147</v>
      </c>
      <c r="HM559" t="s">
        <v>854</v>
      </c>
      <c r="HN559">
        <v>36805</v>
      </c>
      <c r="HP559" t="s">
        <v>134</v>
      </c>
      <c r="HQ559" t="s">
        <v>896</v>
      </c>
      <c r="HR559" t="s">
        <v>896</v>
      </c>
      <c r="HS559" t="s">
        <v>896</v>
      </c>
    </row>
    <row r="560" spans="1:227" x14ac:dyDescent="0.2">
      <c r="A560">
        <v>8702</v>
      </c>
      <c r="B560">
        <v>7530703959</v>
      </c>
      <c r="C560">
        <v>34</v>
      </c>
      <c r="D560" t="s">
        <v>996</v>
      </c>
      <c r="E560" t="s">
        <v>897</v>
      </c>
      <c r="F560">
        <v>0</v>
      </c>
      <c r="G560" t="s">
        <v>11213</v>
      </c>
      <c r="H560" t="s">
        <v>11213</v>
      </c>
      <c r="I560">
        <v>0</v>
      </c>
      <c r="J560" t="s">
        <v>833</v>
      </c>
      <c r="K560" t="s">
        <v>834</v>
      </c>
      <c r="L560">
        <v>153195474</v>
      </c>
      <c r="M560" t="s">
        <v>1540</v>
      </c>
      <c r="N560" t="s">
        <v>900</v>
      </c>
      <c r="O560" t="s">
        <v>837</v>
      </c>
      <c r="P560" t="s">
        <v>999</v>
      </c>
      <c r="Q560" t="s">
        <v>1000</v>
      </c>
      <c r="R560" t="s">
        <v>11214</v>
      </c>
      <c r="S560" t="s">
        <v>11215</v>
      </c>
      <c r="T560">
        <v>41477122910</v>
      </c>
      <c r="V560" t="s">
        <v>1543</v>
      </c>
      <c r="W560" s="41">
        <v>45968</v>
      </c>
      <c r="X560" t="s">
        <v>11216</v>
      </c>
      <c r="Y560" t="s">
        <v>11217</v>
      </c>
      <c r="Z560" t="s">
        <v>1546</v>
      </c>
      <c r="AA560">
        <v>0</v>
      </c>
      <c r="AB560" t="s">
        <v>845</v>
      </c>
      <c r="AC560" t="s">
        <v>846</v>
      </c>
      <c r="AD560" t="s">
        <v>847</v>
      </c>
      <c r="AE560" t="s">
        <v>848</v>
      </c>
      <c r="AF560">
        <v>1</v>
      </c>
      <c r="AG560">
        <v>452210</v>
      </c>
      <c r="AH560" t="s">
        <v>849</v>
      </c>
      <c r="AI560" t="s">
        <v>850</v>
      </c>
      <c r="AJ560" t="s">
        <v>851</v>
      </c>
      <c r="AK560" t="s">
        <v>259</v>
      </c>
      <c r="AL560" t="s">
        <v>1547</v>
      </c>
      <c r="AM560" t="s">
        <v>1548</v>
      </c>
      <c r="AN560" t="s">
        <v>854</v>
      </c>
      <c r="AO560">
        <v>36805</v>
      </c>
      <c r="AP560">
        <v>522</v>
      </c>
      <c r="AQ560" t="s">
        <v>855</v>
      </c>
      <c r="AR560">
        <v>66192047</v>
      </c>
      <c r="AS560" t="s">
        <v>856</v>
      </c>
      <c r="AU560" t="s">
        <v>11218</v>
      </c>
      <c r="AV560" t="s">
        <v>11219</v>
      </c>
      <c r="AX560" t="s">
        <v>913</v>
      </c>
      <c r="AY560" t="s">
        <v>861</v>
      </c>
      <c r="AZ560" t="s">
        <v>259</v>
      </c>
      <c r="BA560" t="s">
        <v>260</v>
      </c>
      <c r="BB560">
        <v>0</v>
      </c>
      <c r="BC560">
        <v>1</v>
      </c>
      <c r="BD560">
        <v>0</v>
      </c>
      <c r="BE560" t="s">
        <v>1540</v>
      </c>
      <c r="BF560">
        <v>0</v>
      </c>
      <c r="BG560">
        <v>0</v>
      </c>
      <c r="BH560" t="s">
        <v>862</v>
      </c>
      <c r="BI560">
        <v>0</v>
      </c>
      <c r="BJ560" t="s">
        <v>862</v>
      </c>
      <c r="BK560">
        <v>1</v>
      </c>
      <c r="BL560">
        <v>0</v>
      </c>
      <c r="BM560">
        <v>0</v>
      </c>
      <c r="BN560" t="s">
        <v>596</v>
      </c>
      <c r="BO560">
        <v>153195474</v>
      </c>
      <c r="BP560" t="s">
        <v>11213</v>
      </c>
      <c r="BR560">
        <v>42791431</v>
      </c>
      <c r="BT560">
        <v>1</v>
      </c>
      <c r="BU560" t="s">
        <v>1551</v>
      </c>
      <c r="CI560">
        <v>11</v>
      </c>
      <c r="CJ560" t="s">
        <v>94</v>
      </c>
      <c r="CM560">
        <v>4010</v>
      </c>
      <c r="CO560">
        <v>7360</v>
      </c>
      <c r="CP560">
        <v>1.6833</v>
      </c>
      <c r="CQ560">
        <v>1.6833</v>
      </c>
      <c r="CR560">
        <v>0.86670000000000003</v>
      </c>
      <c r="CS560">
        <v>0</v>
      </c>
      <c r="CT560" t="s">
        <v>11219</v>
      </c>
      <c r="CU560" t="s">
        <v>11218</v>
      </c>
      <c r="CV560" t="s">
        <v>833</v>
      </c>
      <c r="CW560" t="s">
        <v>834</v>
      </c>
      <c r="CX560" t="s">
        <v>1540</v>
      </c>
      <c r="CY560">
        <v>1</v>
      </c>
      <c r="CZ560">
        <v>1</v>
      </c>
      <c r="DA560" t="s">
        <v>833</v>
      </c>
      <c r="DB560" t="s">
        <v>865</v>
      </c>
      <c r="DC560">
        <v>46227</v>
      </c>
      <c r="DD560">
        <v>56.083300000000001</v>
      </c>
      <c r="DE560" t="s">
        <v>866</v>
      </c>
      <c r="DG560" t="s">
        <v>867</v>
      </c>
      <c r="DH560" t="s">
        <v>851</v>
      </c>
      <c r="DI560" t="s">
        <v>1554</v>
      </c>
      <c r="DK560" t="s">
        <v>1155</v>
      </c>
      <c r="DL560" t="s">
        <v>869</v>
      </c>
      <c r="DM560">
        <v>0</v>
      </c>
      <c r="DN560">
        <v>0</v>
      </c>
      <c r="DO560">
        <v>11</v>
      </c>
      <c r="DP560" t="s">
        <v>1010</v>
      </c>
      <c r="DQ560">
        <v>16</v>
      </c>
      <c r="DR560">
        <v>3365</v>
      </c>
      <c r="DS560">
        <v>6245</v>
      </c>
      <c r="DT560">
        <v>18.2333</v>
      </c>
      <c r="DU560">
        <v>4</v>
      </c>
      <c r="DV560">
        <v>1</v>
      </c>
      <c r="DW560">
        <v>2</v>
      </c>
      <c r="DX560" t="s">
        <v>596</v>
      </c>
      <c r="DY560" t="s">
        <v>1540</v>
      </c>
      <c r="DZ560">
        <v>0</v>
      </c>
      <c r="EA560">
        <v>0</v>
      </c>
      <c r="EB560">
        <v>0</v>
      </c>
      <c r="EC560">
        <v>0</v>
      </c>
      <c r="ED560">
        <v>0</v>
      </c>
      <c r="EE560">
        <v>0</v>
      </c>
      <c r="EF560" t="s">
        <v>871</v>
      </c>
      <c r="EG560" t="s">
        <v>595</v>
      </c>
      <c r="EH560" t="s">
        <v>921</v>
      </c>
      <c r="EI560" t="s">
        <v>921</v>
      </c>
      <c r="EJ560" t="s">
        <v>134</v>
      </c>
      <c r="EK560">
        <v>9090</v>
      </c>
      <c r="EL560">
        <v>1</v>
      </c>
      <c r="EM560" t="s">
        <v>1011</v>
      </c>
      <c r="EN560">
        <v>0.86670000000000003</v>
      </c>
      <c r="EO560">
        <v>104.08333330000001</v>
      </c>
      <c r="EP560">
        <v>99991120</v>
      </c>
      <c r="EQ560" t="s">
        <v>874</v>
      </c>
      <c r="ER560" t="s">
        <v>875</v>
      </c>
      <c r="ES560" t="s">
        <v>876</v>
      </c>
      <c r="ET560" t="s">
        <v>877</v>
      </c>
      <c r="EU560" t="s">
        <v>877</v>
      </c>
      <c r="EV560" t="s">
        <v>871</v>
      </c>
      <c r="EX560" t="s">
        <v>953</v>
      </c>
      <c r="EY560" t="s">
        <v>1555</v>
      </c>
      <c r="EZ560" t="s">
        <v>1013</v>
      </c>
      <c r="FA560" t="s">
        <v>925</v>
      </c>
      <c r="FB560">
        <v>1</v>
      </c>
      <c r="FC560">
        <v>2</v>
      </c>
      <c r="FD560" s="41">
        <v>45969</v>
      </c>
      <c r="FE560" t="s">
        <v>1438</v>
      </c>
      <c r="FF560">
        <v>14</v>
      </c>
      <c r="FG560" t="s">
        <v>11220</v>
      </c>
      <c r="FH560" t="s">
        <v>11221</v>
      </c>
      <c r="FI560">
        <v>1</v>
      </c>
      <c r="FJ560" t="s">
        <v>11222</v>
      </c>
      <c r="FK560" t="s">
        <v>11223</v>
      </c>
      <c r="FL560">
        <v>1</v>
      </c>
      <c r="FM560" t="s">
        <v>1559</v>
      </c>
      <c r="FN560" t="s">
        <v>11224</v>
      </c>
      <c r="FO560">
        <v>1</v>
      </c>
      <c r="FP560" t="s">
        <v>11225</v>
      </c>
      <c r="FQ560" t="s">
        <v>11226</v>
      </c>
      <c r="FR560">
        <v>1</v>
      </c>
      <c r="FS560" t="s">
        <v>2872</v>
      </c>
      <c r="FT560" t="s">
        <v>11227</v>
      </c>
      <c r="FU560">
        <v>1</v>
      </c>
      <c r="FV560" t="s">
        <v>4820</v>
      </c>
      <c r="FW560" t="s">
        <v>11228</v>
      </c>
      <c r="FX560">
        <v>1</v>
      </c>
      <c r="FY560" t="s">
        <v>890</v>
      </c>
      <c r="FZ560" t="s">
        <v>11229</v>
      </c>
      <c r="GA560" t="s">
        <v>11220</v>
      </c>
      <c r="GB560">
        <v>1</v>
      </c>
      <c r="GD560">
        <v>0</v>
      </c>
      <c r="GF560">
        <v>0</v>
      </c>
      <c r="GG560">
        <v>1</v>
      </c>
      <c r="GH560" t="s">
        <v>892</v>
      </c>
      <c r="GI560" t="s">
        <v>893</v>
      </c>
      <c r="GJ560" t="s">
        <v>11221</v>
      </c>
      <c r="GM560">
        <v>1</v>
      </c>
      <c r="GN560">
        <v>0</v>
      </c>
      <c r="GO560">
        <v>1</v>
      </c>
      <c r="GP560">
        <v>1</v>
      </c>
      <c r="GQ560">
        <v>1</v>
      </c>
      <c r="GR560">
        <v>1</v>
      </c>
      <c r="GS560">
        <v>1</v>
      </c>
      <c r="GT560">
        <v>1</v>
      </c>
      <c r="GU560">
        <v>1</v>
      </c>
      <c r="GV560">
        <v>1</v>
      </c>
      <c r="GW560">
        <v>1</v>
      </c>
      <c r="GX560">
        <v>1</v>
      </c>
      <c r="GY560">
        <v>1</v>
      </c>
      <c r="GZ560">
        <v>1</v>
      </c>
      <c r="HA560" t="s">
        <v>259</v>
      </c>
      <c r="HB560" t="s">
        <v>894</v>
      </c>
      <c r="HC560" t="s">
        <v>935</v>
      </c>
      <c r="HD560" t="s">
        <v>845</v>
      </c>
      <c r="HE560" t="s">
        <v>900</v>
      </c>
      <c r="HF560" t="s">
        <v>1012</v>
      </c>
      <c r="HG560" t="s">
        <v>894</v>
      </c>
      <c r="HH560" t="s">
        <v>935</v>
      </c>
      <c r="HI560" t="s">
        <v>845</v>
      </c>
      <c r="HJ560" t="s">
        <v>900</v>
      </c>
      <c r="HK560" t="s">
        <v>1011</v>
      </c>
      <c r="HL560" t="s">
        <v>1543</v>
      </c>
      <c r="HM560" t="s">
        <v>854</v>
      </c>
      <c r="HN560">
        <v>36805</v>
      </c>
      <c r="HO560">
        <v>1</v>
      </c>
      <c r="HP560" t="s">
        <v>134</v>
      </c>
      <c r="HQ560" t="s">
        <v>896</v>
      </c>
      <c r="HR560" t="s">
        <v>896</v>
      </c>
      <c r="HS560" t="s">
        <v>896</v>
      </c>
    </row>
    <row r="561" spans="1:227" x14ac:dyDescent="0.2">
      <c r="A561">
        <v>8702</v>
      </c>
      <c r="B561">
        <v>7618905355</v>
      </c>
      <c r="C561" t="s">
        <v>829</v>
      </c>
      <c r="D561" t="s">
        <v>830</v>
      </c>
      <c r="E561" t="s">
        <v>897</v>
      </c>
      <c r="F561">
        <v>1</v>
      </c>
      <c r="G561" t="s">
        <v>11230</v>
      </c>
      <c r="H561" t="s">
        <v>11230</v>
      </c>
      <c r="I561">
        <v>0</v>
      </c>
      <c r="J561" t="s">
        <v>833</v>
      </c>
      <c r="K561" t="s">
        <v>834</v>
      </c>
      <c r="L561">
        <v>153406560</v>
      </c>
      <c r="M561" t="s">
        <v>4649</v>
      </c>
      <c r="N561" t="s">
        <v>900</v>
      </c>
      <c r="O561" t="s">
        <v>837</v>
      </c>
      <c r="P561" t="s">
        <v>838</v>
      </c>
      <c r="Q561" t="s">
        <v>1251</v>
      </c>
      <c r="R561" t="s">
        <v>11231</v>
      </c>
      <c r="S561" t="s">
        <v>11232</v>
      </c>
      <c r="T561">
        <v>41477122128</v>
      </c>
      <c r="V561" t="s">
        <v>133</v>
      </c>
      <c r="W561" s="41">
        <v>46212</v>
      </c>
      <c r="X561" t="s">
        <v>11233</v>
      </c>
      <c r="Y561" t="s">
        <v>11234</v>
      </c>
      <c r="AA561">
        <v>0</v>
      </c>
      <c r="AB561" t="s">
        <v>845</v>
      </c>
      <c r="AC561" t="s">
        <v>846</v>
      </c>
      <c r="AD561" t="s">
        <v>907</v>
      </c>
      <c r="AE561" t="s">
        <v>908</v>
      </c>
      <c r="AF561">
        <v>1</v>
      </c>
      <c r="AG561">
        <v>452210</v>
      </c>
      <c r="AH561" t="s">
        <v>849</v>
      </c>
      <c r="AI561" t="s">
        <v>850</v>
      </c>
      <c r="AJ561" t="s">
        <v>851</v>
      </c>
      <c r="AK561" t="s">
        <v>263</v>
      </c>
      <c r="AL561" t="s">
        <v>2230</v>
      </c>
      <c r="AM561" t="s">
        <v>1182</v>
      </c>
      <c r="AN561" t="s">
        <v>854</v>
      </c>
      <c r="AO561">
        <v>36805</v>
      </c>
      <c r="AP561">
        <v>526</v>
      </c>
      <c r="AQ561" t="s">
        <v>855</v>
      </c>
      <c r="AR561">
        <v>66543117</v>
      </c>
      <c r="AS561" t="s">
        <v>856</v>
      </c>
      <c r="AU561" t="s">
        <v>11235</v>
      </c>
      <c r="AV561" t="s">
        <v>11236</v>
      </c>
      <c r="AX561" t="s">
        <v>913</v>
      </c>
      <c r="AY561" t="s">
        <v>861</v>
      </c>
      <c r="AZ561" t="s">
        <v>263</v>
      </c>
      <c r="BA561" t="s">
        <v>264</v>
      </c>
      <c r="BB561">
        <v>1</v>
      </c>
      <c r="BC561">
        <v>0</v>
      </c>
      <c r="BD561">
        <v>0</v>
      </c>
      <c r="BE561" t="s">
        <v>4649</v>
      </c>
      <c r="BF561">
        <v>0</v>
      </c>
      <c r="BG561">
        <v>0</v>
      </c>
      <c r="BH561" t="s">
        <v>862</v>
      </c>
      <c r="BI561">
        <v>0</v>
      </c>
      <c r="BJ561" t="s">
        <v>862</v>
      </c>
      <c r="BK561">
        <v>1</v>
      </c>
      <c r="BL561">
        <v>1</v>
      </c>
      <c r="BM561">
        <v>0</v>
      </c>
      <c r="BN561" t="s">
        <v>596</v>
      </c>
      <c r="BO561">
        <v>153406560</v>
      </c>
      <c r="BP561" t="s">
        <v>11230</v>
      </c>
      <c r="BQ561">
        <v>39.913443600000001</v>
      </c>
      <c r="BR561">
        <v>42791437</v>
      </c>
      <c r="BS561">
        <v>-86.202019899999996</v>
      </c>
      <c r="BT561">
        <v>2</v>
      </c>
      <c r="BU561" t="s">
        <v>1062</v>
      </c>
      <c r="BY561">
        <v>16</v>
      </c>
      <c r="CA561">
        <v>15</v>
      </c>
      <c r="CE561">
        <v>1</v>
      </c>
      <c r="CI561">
        <v>11</v>
      </c>
      <c r="CJ561" t="s">
        <v>94</v>
      </c>
      <c r="CM561">
        <v>4010</v>
      </c>
      <c r="CO561">
        <v>7360</v>
      </c>
      <c r="CP561">
        <v>1.4167000000000001</v>
      </c>
      <c r="CQ561">
        <v>1.4167000000000001</v>
      </c>
      <c r="CR561">
        <v>1.9333</v>
      </c>
      <c r="CS561">
        <v>0</v>
      </c>
      <c r="CT561" t="s">
        <v>11236</v>
      </c>
      <c r="CU561" t="s">
        <v>11235</v>
      </c>
      <c r="CV561" t="s">
        <v>833</v>
      </c>
      <c r="CW561" t="s">
        <v>834</v>
      </c>
      <c r="CX561" t="s">
        <v>4649</v>
      </c>
      <c r="CY561">
        <v>1</v>
      </c>
      <c r="CZ561">
        <v>1</v>
      </c>
      <c r="DA561" t="s">
        <v>833</v>
      </c>
      <c r="DB561" t="s">
        <v>865</v>
      </c>
      <c r="DC561">
        <v>46260</v>
      </c>
      <c r="DD561">
        <v>15.45</v>
      </c>
      <c r="DE561" t="s">
        <v>866</v>
      </c>
      <c r="DG561" t="s">
        <v>867</v>
      </c>
      <c r="DH561" t="s">
        <v>851</v>
      </c>
      <c r="DK561" t="s">
        <v>918</v>
      </c>
      <c r="DL561" t="s">
        <v>869</v>
      </c>
      <c r="DM561">
        <v>0</v>
      </c>
      <c r="DN561">
        <v>0</v>
      </c>
      <c r="DO561">
        <v>11</v>
      </c>
      <c r="DP561" t="s">
        <v>1010</v>
      </c>
      <c r="DQ561">
        <v>16</v>
      </c>
      <c r="DR561">
        <v>927</v>
      </c>
      <c r="DS561">
        <v>1647</v>
      </c>
      <c r="DT561">
        <v>8.1667000000000005</v>
      </c>
      <c r="DU561">
        <v>4</v>
      </c>
      <c r="DV561">
        <v>1</v>
      </c>
      <c r="DW561">
        <v>2</v>
      </c>
      <c r="DX561" t="s">
        <v>596</v>
      </c>
      <c r="DY561" t="s">
        <v>4649</v>
      </c>
      <c r="DZ561">
        <v>1</v>
      </c>
      <c r="EA561">
        <v>1</v>
      </c>
      <c r="EB561">
        <v>1</v>
      </c>
      <c r="EC561">
        <v>0</v>
      </c>
      <c r="ED561">
        <v>0</v>
      </c>
      <c r="EE561">
        <v>1</v>
      </c>
      <c r="EF561" t="s">
        <v>920</v>
      </c>
      <c r="EG561" t="s">
        <v>595</v>
      </c>
      <c r="EH561" t="s">
        <v>921</v>
      </c>
      <c r="EI561" t="s">
        <v>921</v>
      </c>
      <c r="EJ561" t="s">
        <v>134</v>
      </c>
      <c r="EK561">
        <v>9090</v>
      </c>
      <c r="EL561">
        <v>1</v>
      </c>
      <c r="EM561" t="s">
        <v>1011</v>
      </c>
      <c r="EN561">
        <v>1.9333</v>
      </c>
      <c r="EO561">
        <v>27.45</v>
      </c>
      <c r="EP561">
        <v>99991120</v>
      </c>
      <c r="EQ561" t="s">
        <v>874</v>
      </c>
      <c r="ER561" t="s">
        <v>875</v>
      </c>
      <c r="ES561" t="s">
        <v>876</v>
      </c>
      <c r="ET561" t="s">
        <v>877</v>
      </c>
      <c r="EU561" t="s">
        <v>877</v>
      </c>
      <c r="EV561" t="s">
        <v>920</v>
      </c>
      <c r="EX561" t="s">
        <v>900</v>
      </c>
      <c r="EY561" t="s">
        <v>1012</v>
      </c>
      <c r="EZ561" t="s">
        <v>1013</v>
      </c>
      <c r="FA561" t="s">
        <v>925</v>
      </c>
      <c r="FB561">
        <v>1</v>
      </c>
      <c r="FC561">
        <v>2</v>
      </c>
      <c r="FD561" s="41">
        <v>46214</v>
      </c>
      <c r="FE561" t="s">
        <v>1066</v>
      </c>
      <c r="FF561">
        <v>8</v>
      </c>
      <c r="FG561" t="s">
        <v>11237</v>
      </c>
      <c r="FH561" t="s">
        <v>11238</v>
      </c>
      <c r="FI561">
        <v>1</v>
      </c>
      <c r="FJ561" t="s">
        <v>11239</v>
      </c>
      <c r="FK561" t="s">
        <v>11238</v>
      </c>
      <c r="FL561">
        <v>1</v>
      </c>
      <c r="FM561" t="s">
        <v>11240</v>
      </c>
      <c r="FN561" t="s">
        <v>11241</v>
      </c>
      <c r="FO561">
        <v>1</v>
      </c>
      <c r="FP561" t="s">
        <v>11242</v>
      </c>
      <c r="FQ561" t="s">
        <v>11243</v>
      </c>
      <c r="FR561">
        <v>1</v>
      </c>
      <c r="FS561" t="s">
        <v>2325</v>
      </c>
      <c r="FT561" t="s">
        <v>11244</v>
      </c>
      <c r="FU561">
        <v>1</v>
      </c>
      <c r="FV561" t="s">
        <v>11245</v>
      </c>
      <c r="FW561" t="s">
        <v>11246</v>
      </c>
      <c r="FX561">
        <v>1</v>
      </c>
      <c r="FY561" t="s">
        <v>890</v>
      </c>
      <c r="FZ561" t="s">
        <v>11247</v>
      </c>
      <c r="GA561" t="s">
        <v>11239</v>
      </c>
      <c r="GB561">
        <v>1</v>
      </c>
      <c r="GD561">
        <v>0</v>
      </c>
      <c r="GF561">
        <v>0</v>
      </c>
      <c r="GG561">
        <v>1</v>
      </c>
      <c r="GH561" t="s">
        <v>892</v>
      </c>
      <c r="GI561" t="s">
        <v>893</v>
      </c>
      <c r="GJ561" t="s">
        <v>11238</v>
      </c>
      <c r="GM561">
        <v>1</v>
      </c>
      <c r="GN561">
        <v>0</v>
      </c>
      <c r="GO561">
        <v>0</v>
      </c>
      <c r="GP561">
        <v>1</v>
      </c>
      <c r="GQ561">
        <v>1</v>
      </c>
      <c r="GR561">
        <v>0</v>
      </c>
      <c r="GS561">
        <v>1</v>
      </c>
      <c r="GT561">
        <v>0</v>
      </c>
      <c r="GU561">
        <v>1</v>
      </c>
      <c r="GV561">
        <v>0</v>
      </c>
      <c r="GW561">
        <v>1</v>
      </c>
      <c r="GX561">
        <v>0</v>
      </c>
      <c r="GY561">
        <v>1</v>
      </c>
      <c r="GZ561">
        <v>0</v>
      </c>
      <c r="HA561" t="s">
        <v>263</v>
      </c>
      <c r="HB561" t="s">
        <v>894</v>
      </c>
      <c r="HC561" t="s">
        <v>935</v>
      </c>
      <c r="HD561" t="s">
        <v>845</v>
      </c>
      <c r="HE561" t="s">
        <v>900</v>
      </c>
      <c r="HF561" t="s">
        <v>1012</v>
      </c>
      <c r="HG561" t="s">
        <v>894</v>
      </c>
      <c r="HH561" t="s">
        <v>935</v>
      </c>
      <c r="HI561" t="s">
        <v>845</v>
      </c>
      <c r="HJ561" t="s">
        <v>900</v>
      </c>
      <c r="HK561" t="s">
        <v>1011</v>
      </c>
      <c r="HL561" t="s">
        <v>133</v>
      </c>
      <c r="HM561" t="s">
        <v>854</v>
      </c>
      <c r="HN561">
        <v>36805</v>
      </c>
      <c r="HP561" t="s">
        <v>134</v>
      </c>
      <c r="HQ561" t="s">
        <v>896</v>
      </c>
      <c r="HR561" t="s">
        <v>896</v>
      </c>
      <c r="HS561" t="s">
        <v>896</v>
      </c>
    </row>
    <row r="562" spans="1:227" x14ac:dyDescent="0.2">
      <c r="A562">
        <v>8702</v>
      </c>
      <c r="B562">
        <v>7619009630</v>
      </c>
      <c r="C562" t="s">
        <v>829</v>
      </c>
      <c r="D562" t="s">
        <v>830</v>
      </c>
      <c r="E562" t="s">
        <v>897</v>
      </c>
      <c r="F562">
        <v>0</v>
      </c>
      <c r="G562" t="s">
        <v>11248</v>
      </c>
      <c r="H562" t="s">
        <v>11248</v>
      </c>
      <c r="I562">
        <v>0</v>
      </c>
      <c r="J562" t="s">
        <v>833</v>
      </c>
      <c r="K562" t="s">
        <v>834</v>
      </c>
      <c r="L562">
        <v>153195449</v>
      </c>
      <c r="M562" t="s">
        <v>4997</v>
      </c>
      <c r="N562" t="s">
        <v>900</v>
      </c>
      <c r="O562" t="s">
        <v>837</v>
      </c>
      <c r="P562" t="s">
        <v>838</v>
      </c>
      <c r="Q562" t="s">
        <v>839</v>
      </c>
      <c r="R562" t="s">
        <v>11249</v>
      </c>
      <c r="S562" t="s">
        <v>11250</v>
      </c>
      <c r="T562">
        <v>41477054494</v>
      </c>
      <c r="V562" t="s">
        <v>232</v>
      </c>
      <c r="W562" s="41">
        <v>46213</v>
      </c>
      <c r="X562" t="s">
        <v>11251</v>
      </c>
      <c r="Y562" t="s">
        <v>11252</v>
      </c>
      <c r="AA562">
        <v>0</v>
      </c>
      <c r="AB562" t="s">
        <v>845</v>
      </c>
      <c r="AC562" t="s">
        <v>846</v>
      </c>
      <c r="AD562" t="s">
        <v>907</v>
      </c>
      <c r="AE562" t="s">
        <v>908</v>
      </c>
      <c r="AF562">
        <v>1</v>
      </c>
      <c r="AG562">
        <v>452210</v>
      </c>
      <c r="AH562" t="s">
        <v>849</v>
      </c>
      <c r="AI562" t="s">
        <v>850</v>
      </c>
      <c r="AJ562" t="s">
        <v>851</v>
      </c>
      <c r="AK562" t="s">
        <v>480</v>
      </c>
      <c r="AL562" t="s">
        <v>11253</v>
      </c>
      <c r="AM562" t="s">
        <v>3403</v>
      </c>
      <c r="AN562" t="s">
        <v>854</v>
      </c>
      <c r="AO562">
        <v>36805</v>
      </c>
      <c r="AP562">
        <v>923</v>
      </c>
      <c r="AQ562" t="s">
        <v>855</v>
      </c>
      <c r="AR562">
        <v>66544369</v>
      </c>
      <c r="AS562" t="s">
        <v>856</v>
      </c>
      <c r="AU562" t="s">
        <v>11254</v>
      </c>
      <c r="AV562" t="s">
        <v>11255</v>
      </c>
      <c r="AX562" t="s">
        <v>913</v>
      </c>
      <c r="AY562" t="s">
        <v>861</v>
      </c>
      <c r="AZ562" t="s">
        <v>480</v>
      </c>
      <c r="BA562" t="s">
        <v>481</v>
      </c>
      <c r="BB562">
        <v>0</v>
      </c>
      <c r="BC562">
        <v>0</v>
      </c>
      <c r="BD562">
        <v>1</v>
      </c>
      <c r="BE562" t="s">
        <v>4997</v>
      </c>
      <c r="BF562">
        <v>0</v>
      </c>
      <c r="BG562">
        <v>0</v>
      </c>
      <c r="BH562" t="s">
        <v>862</v>
      </c>
      <c r="BI562">
        <v>0</v>
      </c>
      <c r="BJ562" t="s">
        <v>862</v>
      </c>
      <c r="BK562">
        <v>1</v>
      </c>
      <c r="BL562">
        <v>1</v>
      </c>
      <c r="BM562">
        <v>0</v>
      </c>
      <c r="BN562" t="s">
        <v>596</v>
      </c>
      <c r="BO562">
        <v>153195449</v>
      </c>
      <c r="BP562" t="s">
        <v>11248</v>
      </c>
      <c r="BR562">
        <v>42793647</v>
      </c>
      <c r="BT562">
        <v>2</v>
      </c>
      <c r="BU562" t="s">
        <v>1062</v>
      </c>
      <c r="BY562">
        <v>16</v>
      </c>
      <c r="CA562">
        <v>6</v>
      </c>
      <c r="CE562">
        <v>1</v>
      </c>
      <c r="CI562">
        <v>11</v>
      </c>
      <c r="CJ562" t="s">
        <v>94</v>
      </c>
      <c r="CM562">
        <v>4010</v>
      </c>
      <c r="CO562">
        <v>7360</v>
      </c>
      <c r="CP562">
        <v>0.7167</v>
      </c>
      <c r="CQ562">
        <v>0.7167</v>
      </c>
      <c r="CR562">
        <v>1.3667</v>
      </c>
      <c r="CS562">
        <v>2</v>
      </c>
      <c r="CT562" t="s">
        <v>11255</v>
      </c>
      <c r="CU562" t="s">
        <v>11254</v>
      </c>
      <c r="CV562" t="s">
        <v>833</v>
      </c>
      <c r="CW562" t="s">
        <v>834</v>
      </c>
      <c r="CX562" t="s">
        <v>4997</v>
      </c>
      <c r="CY562">
        <v>1</v>
      </c>
      <c r="CZ562">
        <v>1</v>
      </c>
      <c r="DA562" t="s">
        <v>833</v>
      </c>
      <c r="DB562" t="s">
        <v>865</v>
      </c>
      <c r="DC562">
        <v>43085</v>
      </c>
      <c r="DD562">
        <v>6.2667000000000002</v>
      </c>
      <c r="DE562" t="s">
        <v>866</v>
      </c>
      <c r="DG562" t="s">
        <v>867</v>
      </c>
      <c r="DH562" t="s">
        <v>851</v>
      </c>
      <c r="DI562" t="s">
        <v>3291</v>
      </c>
      <c r="DK562" t="s">
        <v>918</v>
      </c>
      <c r="DL562" t="s">
        <v>869</v>
      </c>
      <c r="DM562">
        <v>0</v>
      </c>
      <c r="DN562">
        <v>0</v>
      </c>
      <c r="DO562">
        <v>11</v>
      </c>
      <c r="DP562" t="s">
        <v>1010</v>
      </c>
      <c r="DQ562">
        <v>16</v>
      </c>
      <c r="DR562">
        <v>376</v>
      </c>
      <c r="DS562">
        <v>1096</v>
      </c>
      <c r="DT562">
        <v>5.55</v>
      </c>
      <c r="DU562">
        <v>4</v>
      </c>
      <c r="DV562">
        <v>1</v>
      </c>
      <c r="DW562">
        <v>2</v>
      </c>
      <c r="DX562" t="s">
        <v>596</v>
      </c>
      <c r="DY562" t="s">
        <v>4997</v>
      </c>
      <c r="DZ562">
        <v>1</v>
      </c>
      <c r="EA562">
        <v>1</v>
      </c>
      <c r="EB562">
        <v>1</v>
      </c>
      <c r="EC562">
        <v>0</v>
      </c>
      <c r="ED562">
        <v>0</v>
      </c>
      <c r="EE562">
        <v>1</v>
      </c>
      <c r="EF562" t="s">
        <v>920</v>
      </c>
      <c r="EG562" t="s">
        <v>595</v>
      </c>
      <c r="EH562" t="s">
        <v>921</v>
      </c>
      <c r="EI562" t="s">
        <v>921</v>
      </c>
      <c r="EJ562" t="s">
        <v>226</v>
      </c>
      <c r="EK562">
        <v>9090</v>
      </c>
      <c r="EL562">
        <v>0</v>
      </c>
      <c r="EM562" t="s">
        <v>1157</v>
      </c>
      <c r="EN562">
        <v>1.3667</v>
      </c>
      <c r="EO562">
        <v>18.266666699999998</v>
      </c>
      <c r="EP562">
        <v>99991120</v>
      </c>
      <c r="EQ562" t="s">
        <v>874</v>
      </c>
      <c r="ER562" t="s">
        <v>875</v>
      </c>
      <c r="ES562" t="s">
        <v>876</v>
      </c>
      <c r="ET562" t="s">
        <v>877</v>
      </c>
      <c r="EU562" t="s">
        <v>877</v>
      </c>
      <c r="EV562" t="s">
        <v>920</v>
      </c>
      <c r="EX562" t="s">
        <v>900</v>
      </c>
      <c r="EY562" t="s">
        <v>923</v>
      </c>
      <c r="EZ562" t="s">
        <v>1158</v>
      </c>
      <c r="FA562" t="s">
        <v>925</v>
      </c>
      <c r="FB562">
        <v>1</v>
      </c>
      <c r="FC562">
        <v>1</v>
      </c>
      <c r="FD562" s="41">
        <v>46214</v>
      </c>
      <c r="FE562" t="s">
        <v>1066</v>
      </c>
      <c r="FF562">
        <v>7</v>
      </c>
      <c r="FG562" t="s">
        <v>11256</v>
      </c>
      <c r="FH562" t="s">
        <v>11257</v>
      </c>
      <c r="FI562">
        <v>1</v>
      </c>
      <c r="FJ562" t="s">
        <v>11258</v>
      </c>
      <c r="FK562" t="s">
        <v>11257</v>
      </c>
      <c r="FL562">
        <v>1</v>
      </c>
      <c r="FM562" t="s">
        <v>5007</v>
      </c>
      <c r="FN562" t="s">
        <v>11259</v>
      </c>
      <c r="FO562">
        <v>1</v>
      </c>
      <c r="FP562" t="s">
        <v>11260</v>
      </c>
      <c r="FQ562" t="s">
        <v>11254</v>
      </c>
      <c r="FR562">
        <v>1</v>
      </c>
      <c r="FS562" t="s">
        <v>1166</v>
      </c>
      <c r="FT562" t="s">
        <v>11261</v>
      </c>
      <c r="FU562">
        <v>1</v>
      </c>
      <c r="FV562" t="s">
        <v>1168</v>
      </c>
      <c r="FW562" t="s">
        <v>11262</v>
      </c>
      <c r="FX562">
        <v>1</v>
      </c>
      <c r="FY562" t="s">
        <v>890</v>
      </c>
      <c r="FZ562" t="s">
        <v>11263</v>
      </c>
      <c r="GA562" t="s">
        <v>11258</v>
      </c>
      <c r="GB562">
        <v>1</v>
      </c>
      <c r="GD562">
        <v>0</v>
      </c>
      <c r="GF562">
        <v>0</v>
      </c>
      <c r="GG562">
        <v>1</v>
      </c>
      <c r="GH562" t="s">
        <v>892</v>
      </c>
      <c r="GI562" t="s">
        <v>893</v>
      </c>
      <c r="GJ562" t="s">
        <v>11257</v>
      </c>
      <c r="GM562">
        <v>1</v>
      </c>
      <c r="GN562">
        <v>1</v>
      </c>
      <c r="GO562">
        <v>0</v>
      </c>
      <c r="GP562">
        <v>1</v>
      </c>
      <c r="GQ562">
        <v>1</v>
      </c>
      <c r="GR562">
        <v>0</v>
      </c>
      <c r="GS562">
        <v>1</v>
      </c>
      <c r="GT562">
        <v>0</v>
      </c>
      <c r="GU562">
        <v>1</v>
      </c>
      <c r="GV562">
        <v>0</v>
      </c>
      <c r="GW562">
        <v>1</v>
      </c>
      <c r="GX562">
        <v>0</v>
      </c>
      <c r="GY562">
        <v>1</v>
      </c>
      <c r="GZ562">
        <v>0</v>
      </c>
      <c r="HA562" t="s">
        <v>480</v>
      </c>
      <c r="HB562" t="s">
        <v>894</v>
      </c>
      <c r="HC562" t="s">
        <v>935</v>
      </c>
      <c r="HD562" t="s">
        <v>845</v>
      </c>
      <c r="HE562" t="s">
        <v>900</v>
      </c>
      <c r="HF562" t="s">
        <v>923</v>
      </c>
      <c r="HG562" t="s">
        <v>894</v>
      </c>
      <c r="HH562" t="s">
        <v>935</v>
      </c>
      <c r="HI562" t="s">
        <v>845</v>
      </c>
      <c r="HJ562" t="s">
        <v>900</v>
      </c>
      <c r="HK562" t="s">
        <v>922</v>
      </c>
      <c r="HL562" t="s">
        <v>232</v>
      </c>
      <c r="HM562" t="s">
        <v>854</v>
      </c>
      <c r="HN562">
        <v>36805</v>
      </c>
      <c r="HP562" t="s">
        <v>226</v>
      </c>
      <c r="HQ562" t="s">
        <v>896</v>
      </c>
      <c r="HR562" t="s">
        <v>896</v>
      </c>
      <c r="HS562" t="s">
        <v>896</v>
      </c>
    </row>
    <row r="563" spans="1:227" x14ac:dyDescent="0.2">
      <c r="A563">
        <v>8702</v>
      </c>
      <c r="B563">
        <v>7528603966</v>
      </c>
      <c r="C563">
        <v>36</v>
      </c>
      <c r="D563" t="s">
        <v>1302</v>
      </c>
      <c r="E563" t="s">
        <v>897</v>
      </c>
      <c r="F563">
        <v>0</v>
      </c>
      <c r="G563" t="s">
        <v>11264</v>
      </c>
      <c r="H563" t="s">
        <v>11264</v>
      </c>
      <c r="I563">
        <v>0</v>
      </c>
      <c r="J563" t="s">
        <v>833</v>
      </c>
      <c r="K563" t="s">
        <v>834</v>
      </c>
      <c r="L563">
        <v>152858766</v>
      </c>
      <c r="M563" t="s">
        <v>2571</v>
      </c>
      <c r="N563" t="s">
        <v>900</v>
      </c>
      <c r="O563" t="s">
        <v>837</v>
      </c>
      <c r="P563" t="s">
        <v>1302</v>
      </c>
      <c r="Q563" t="s">
        <v>1517</v>
      </c>
      <c r="R563" t="s">
        <v>11265</v>
      </c>
      <c r="S563" t="s">
        <v>11266</v>
      </c>
      <c r="T563">
        <v>41477093182</v>
      </c>
      <c r="V563" t="s">
        <v>210</v>
      </c>
      <c r="W563" s="41">
        <v>45943</v>
      </c>
      <c r="X563" t="s">
        <v>11267</v>
      </c>
      <c r="Y563" t="s">
        <v>11268</v>
      </c>
      <c r="AA563">
        <v>0</v>
      </c>
      <c r="AB563" t="s">
        <v>845</v>
      </c>
      <c r="AC563" t="s">
        <v>846</v>
      </c>
      <c r="AD563" t="s">
        <v>847</v>
      </c>
      <c r="AE563" t="s">
        <v>848</v>
      </c>
      <c r="AF563">
        <v>1</v>
      </c>
      <c r="AG563">
        <v>452210</v>
      </c>
      <c r="AH563" t="s">
        <v>849</v>
      </c>
      <c r="AI563" t="s">
        <v>850</v>
      </c>
      <c r="AJ563" t="s">
        <v>851</v>
      </c>
      <c r="AK563" t="s">
        <v>283</v>
      </c>
      <c r="AL563" t="s">
        <v>2802</v>
      </c>
      <c r="AM563" t="s">
        <v>1408</v>
      </c>
      <c r="AN563" t="s">
        <v>854</v>
      </c>
      <c r="AO563">
        <v>36805</v>
      </c>
      <c r="AP563">
        <v>648</v>
      </c>
      <c r="AQ563" t="s">
        <v>855</v>
      </c>
      <c r="AR563">
        <v>66156116</v>
      </c>
      <c r="AS563" t="s">
        <v>856</v>
      </c>
      <c r="AU563" t="s">
        <v>11269</v>
      </c>
      <c r="AV563" t="s">
        <v>11270</v>
      </c>
      <c r="AX563" t="s">
        <v>913</v>
      </c>
      <c r="AY563" t="s">
        <v>861</v>
      </c>
      <c r="AZ563" t="s">
        <v>283</v>
      </c>
      <c r="BA563" t="s">
        <v>284</v>
      </c>
      <c r="BB563">
        <v>0</v>
      </c>
      <c r="BC563">
        <v>0</v>
      </c>
      <c r="BD563">
        <v>0</v>
      </c>
      <c r="BE563" t="s">
        <v>2571</v>
      </c>
      <c r="BF563">
        <v>0</v>
      </c>
      <c r="BG563">
        <v>0</v>
      </c>
      <c r="BH563" t="s">
        <v>862</v>
      </c>
      <c r="BI563">
        <v>0</v>
      </c>
      <c r="BJ563" t="s">
        <v>862</v>
      </c>
      <c r="BK563">
        <v>1</v>
      </c>
      <c r="BL563">
        <v>1</v>
      </c>
      <c r="BM563">
        <v>0</v>
      </c>
      <c r="BN563" t="s">
        <v>596</v>
      </c>
      <c r="BO563">
        <v>152858766</v>
      </c>
      <c r="BP563" t="s">
        <v>11264</v>
      </c>
      <c r="BQ563">
        <v>42.249349199999997</v>
      </c>
      <c r="BR563">
        <v>42791781</v>
      </c>
      <c r="BS563">
        <v>-83.659915100000006</v>
      </c>
      <c r="BT563">
        <v>0</v>
      </c>
      <c r="CM563">
        <v>4010</v>
      </c>
      <c r="CO563">
        <v>7360</v>
      </c>
      <c r="CP563">
        <v>0.61670000000000003</v>
      </c>
      <c r="CQ563">
        <v>0.61670000000000003</v>
      </c>
      <c r="CR563">
        <v>0.9667</v>
      </c>
      <c r="CS563">
        <v>6</v>
      </c>
      <c r="CT563" t="s">
        <v>11270</v>
      </c>
      <c r="CU563" t="s">
        <v>11269</v>
      </c>
      <c r="CV563" t="s">
        <v>833</v>
      </c>
      <c r="CW563" t="s">
        <v>834</v>
      </c>
      <c r="CX563" t="s">
        <v>2571</v>
      </c>
      <c r="CY563">
        <v>0</v>
      </c>
      <c r="CZ563">
        <v>0</v>
      </c>
      <c r="DA563" t="s">
        <v>833</v>
      </c>
      <c r="DB563" t="s">
        <v>865</v>
      </c>
      <c r="DC563">
        <v>48197</v>
      </c>
      <c r="DD563">
        <v>7.8833000000000002</v>
      </c>
      <c r="DE563" t="s">
        <v>866</v>
      </c>
      <c r="DG563" t="s">
        <v>867</v>
      </c>
      <c r="DH563" t="s">
        <v>851</v>
      </c>
      <c r="DI563" t="s">
        <v>2105</v>
      </c>
      <c r="DJ563" t="s">
        <v>2576</v>
      </c>
      <c r="DL563" t="s">
        <v>869</v>
      </c>
      <c r="DM563">
        <v>0</v>
      </c>
      <c r="DN563">
        <v>0</v>
      </c>
      <c r="DO563">
        <v>2</v>
      </c>
      <c r="DP563" t="s">
        <v>870</v>
      </c>
      <c r="DQ563">
        <v>16</v>
      </c>
      <c r="DR563">
        <v>473</v>
      </c>
      <c r="DS563">
        <v>473</v>
      </c>
      <c r="DT563">
        <v>7.2667000000000002</v>
      </c>
      <c r="DU563">
        <v>4</v>
      </c>
      <c r="DW563">
        <v>2</v>
      </c>
      <c r="DX563" t="s">
        <v>596</v>
      </c>
      <c r="DY563" t="s">
        <v>2571</v>
      </c>
      <c r="DZ563">
        <v>1</v>
      </c>
      <c r="EA563">
        <v>1</v>
      </c>
      <c r="EB563">
        <v>1</v>
      </c>
      <c r="EC563">
        <v>0</v>
      </c>
      <c r="ED563">
        <v>0</v>
      </c>
      <c r="EE563">
        <v>1</v>
      </c>
      <c r="EF563" t="s">
        <v>920</v>
      </c>
      <c r="EG563" t="s">
        <v>595</v>
      </c>
      <c r="EH563" t="s">
        <v>921</v>
      </c>
      <c r="EI563" t="s">
        <v>921</v>
      </c>
      <c r="EJ563" t="s">
        <v>178</v>
      </c>
      <c r="EK563">
        <v>9090</v>
      </c>
      <c r="EL563">
        <v>0</v>
      </c>
      <c r="EM563" t="s">
        <v>952</v>
      </c>
      <c r="EN563">
        <v>2.4666999999999999</v>
      </c>
      <c r="EO563">
        <v>7.8833333000000003</v>
      </c>
      <c r="EP563">
        <v>99991120</v>
      </c>
      <c r="EQ563" t="s">
        <v>874</v>
      </c>
      <c r="ER563" t="s">
        <v>875</v>
      </c>
      <c r="ES563" t="s">
        <v>876</v>
      </c>
      <c r="ET563" t="s">
        <v>877</v>
      </c>
      <c r="EU563" t="s">
        <v>877</v>
      </c>
      <c r="EV563" t="s">
        <v>920</v>
      </c>
      <c r="EX563" t="s">
        <v>953</v>
      </c>
      <c r="EY563" t="s">
        <v>954</v>
      </c>
      <c r="EZ563" t="s">
        <v>955</v>
      </c>
      <c r="FA563" t="s">
        <v>956</v>
      </c>
      <c r="FB563">
        <v>1</v>
      </c>
      <c r="FC563">
        <v>1</v>
      </c>
      <c r="FD563" s="41">
        <v>45948</v>
      </c>
      <c r="FE563" t="s">
        <v>1039</v>
      </c>
      <c r="FF563">
        <v>4</v>
      </c>
      <c r="FI563">
        <v>0</v>
      </c>
      <c r="FL563">
        <v>0</v>
      </c>
      <c r="FM563" t="s">
        <v>3365</v>
      </c>
      <c r="FN563" t="s">
        <v>11271</v>
      </c>
      <c r="FO563">
        <v>1</v>
      </c>
      <c r="FP563" t="s">
        <v>11272</v>
      </c>
      <c r="FQ563" t="s">
        <v>11273</v>
      </c>
      <c r="FR563">
        <v>1</v>
      </c>
      <c r="FS563" t="s">
        <v>964</v>
      </c>
      <c r="FT563" t="s">
        <v>11274</v>
      </c>
      <c r="FU563">
        <v>1</v>
      </c>
      <c r="FV563" t="s">
        <v>11275</v>
      </c>
      <c r="FW563" t="s">
        <v>11276</v>
      </c>
      <c r="FX563">
        <v>1</v>
      </c>
      <c r="FY563" t="s">
        <v>890</v>
      </c>
      <c r="FZ563" t="s">
        <v>11277</v>
      </c>
      <c r="GA563" t="s">
        <v>11275</v>
      </c>
      <c r="GB563">
        <v>1</v>
      </c>
      <c r="GD563">
        <v>0</v>
      </c>
      <c r="GF563">
        <v>0</v>
      </c>
      <c r="GG563">
        <v>1</v>
      </c>
      <c r="GH563" t="s">
        <v>892</v>
      </c>
      <c r="GI563" t="s">
        <v>893</v>
      </c>
      <c r="GJ563" t="s">
        <v>11276</v>
      </c>
      <c r="GM563">
        <v>1</v>
      </c>
      <c r="GN563">
        <v>1</v>
      </c>
      <c r="GO563">
        <v>0</v>
      </c>
      <c r="GP563">
        <v>1</v>
      </c>
      <c r="GQ563">
        <v>1</v>
      </c>
      <c r="GR563">
        <v>0</v>
      </c>
      <c r="GS563">
        <v>1</v>
      </c>
      <c r="GT563">
        <v>0</v>
      </c>
      <c r="GU563">
        <v>1</v>
      </c>
      <c r="GV563">
        <v>0</v>
      </c>
      <c r="GW563">
        <v>1</v>
      </c>
      <c r="GX563">
        <v>0</v>
      </c>
      <c r="GY563">
        <v>1</v>
      </c>
      <c r="GZ563">
        <v>0</v>
      </c>
      <c r="HA563" t="s">
        <v>283</v>
      </c>
      <c r="HB563" t="s">
        <v>894</v>
      </c>
      <c r="HC563" t="s">
        <v>935</v>
      </c>
      <c r="HD563" t="s">
        <v>845</v>
      </c>
      <c r="HE563" t="s">
        <v>900</v>
      </c>
      <c r="HF563" t="s">
        <v>923</v>
      </c>
      <c r="HG563" t="s">
        <v>894</v>
      </c>
      <c r="HH563" t="s">
        <v>935</v>
      </c>
      <c r="HI563" t="s">
        <v>845</v>
      </c>
      <c r="HJ563" t="s">
        <v>900</v>
      </c>
      <c r="HK563" t="s">
        <v>952</v>
      </c>
      <c r="HL563" t="s">
        <v>210</v>
      </c>
      <c r="HM563" t="s">
        <v>854</v>
      </c>
      <c r="HN563">
        <v>36805</v>
      </c>
      <c r="HP563" t="s">
        <v>178</v>
      </c>
      <c r="HQ563" t="s">
        <v>896</v>
      </c>
      <c r="HR563" t="s">
        <v>896</v>
      </c>
      <c r="HS563" t="s">
        <v>896</v>
      </c>
    </row>
    <row r="564" spans="1:227" x14ac:dyDescent="0.2">
      <c r="A564">
        <v>8702</v>
      </c>
      <c r="B564">
        <v>7533704753</v>
      </c>
      <c r="C564" t="s">
        <v>936</v>
      </c>
      <c r="D564" t="s">
        <v>937</v>
      </c>
      <c r="E564" t="s">
        <v>897</v>
      </c>
      <c r="F564">
        <v>1</v>
      </c>
      <c r="G564" t="s">
        <v>11278</v>
      </c>
      <c r="H564" t="s">
        <v>11278</v>
      </c>
      <c r="I564">
        <v>0</v>
      </c>
      <c r="J564" t="s">
        <v>833</v>
      </c>
      <c r="K564" t="s">
        <v>834</v>
      </c>
      <c r="L564">
        <v>153406467</v>
      </c>
      <c r="M564" t="s">
        <v>1964</v>
      </c>
      <c r="N564" t="s">
        <v>900</v>
      </c>
      <c r="O564" t="s">
        <v>837</v>
      </c>
      <c r="P564" t="s">
        <v>940</v>
      </c>
      <c r="Q564" t="s">
        <v>1080</v>
      </c>
      <c r="R564" t="s">
        <v>11279</v>
      </c>
      <c r="S564" t="s">
        <v>11280</v>
      </c>
      <c r="T564">
        <v>41477054425</v>
      </c>
      <c r="V564" t="s">
        <v>133</v>
      </c>
      <c r="W564" s="41">
        <v>45995</v>
      </c>
      <c r="X564" t="s">
        <v>11281</v>
      </c>
      <c r="Y564" t="s">
        <v>11282</v>
      </c>
      <c r="AA564">
        <v>0</v>
      </c>
      <c r="AB564" t="s">
        <v>845</v>
      </c>
      <c r="AC564" t="s">
        <v>846</v>
      </c>
      <c r="AD564" t="s">
        <v>847</v>
      </c>
      <c r="AE564" t="s">
        <v>848</v>
      </c>
      <c r="AF564">
        <v>1</v>
      </c>
      <c r="AG564">
        <v>452210</v>
      </c>
      <c r="AH564" t="s">
        <v>849</v>
      </c>
      <c r="AI564" t="s">
        <v>850</v>
      </c>
      <c r="AJ564" t="s">
        <v>851</v>
      </c>
      <c r="AK564" t="s">
        <v>309</v>
      </c>
      <c r="AL564" t="s">
        <v>3287</v>
      </c>
      <c r="AM564" t="s">
        <v>1970</v>
      </c>
      <c r="AN564" t="s">
        <v>854</v>
      </c>
      <c r="AO564">
        <v>36805</v>
      </c>
      <c r="AP564">
        <v>532</v>
      </c>
      <c r="AQ564" t="s">
        <v>855</v>
      </c>
      <c r="AR564">
        <v>66230517</v>
      </c>
      <c r="AS564" t="s">
        <v>856</v>
      </c>
      <c r="AU564" t="s">
        <v>11283</v>
      </c>
      <c r="AV564" t="s">
        <v>11284</v>
      </c>
      <c r="AX564" t="s">
        <v>913</v>
      </c>
      <c r="AY564" t="s">
        <v>861</v>
      </c>
      <c r="AZ564" t="s">
        <v>309</v>
      </c>
      <c r="BA564" t="s">
        <v>310</v>
      </c>
      <c r="BB564">
        <v>0</v>
      </c>
      <c r="BC564">
        <v>0</v>
      </c>
      <c r="BD564">
        <v>0</v>
      </c>
      <c r="BE564" t="s">
        <v>1964</v>
      </c>
      <c r="BF564">
        <v>0</v>
      </c>
      <c r="BG564">
        <v>0</v>
      </c>
      <c r="BH564" t="s">
        <v>862</v>
      </c>
      <c r="BI564">
        <v>0</v>
      </c>
      <c r="BJ564" t="s">
        <v>862</v>
      </c>
      <c r="BK564">
        <v>1</v>
      </c>
      <c r="BL564">
        <v>1</v>
      </c>
      <c r="BM564">
        <v>0</v>
      </c>
      <c r="BN564" t="s">
        <v>596</v>
      </c>
      <c r="BO564">
        <v>153406467</v>
      </c>
      <c r="BP564" t="s">
        <v>11278</v>
      </c>
      <c r="BR564">
        <v>42791447</v>
      </c>
      <c r="BT564">
        <v>0</v>
      </c>
      <c r="CM564">
        <v>4010</v>
      </c>
      <c r="CO564">
        <v>7360</v>
      </c>
      <c r="CP564">
        <v>1.1000000000000001</v>
      </c>
      <c r="CQ564">
        <v>1.1000000000000001</v>
      </c>
      <c r="CR564">
        <v>0.95</v>
      </c>
      <c r="CS564">
        <v>2</v>
      </c>
      <c r="CT564" t="s">
        <v>11285</v>
      </c>
      <c r="CU564" t="s">
        <v>11286</v>
      </c>
      <c r="CV564" t="s">
        <v>833</v>
      </c>
      <c r="CW564" t="s">
        <v>834</v>
      </c>
      <c r="CX564" t="s">
        <v>1964</v>
      </c>
      <c r="CY564">
        <v>0</v>
      </c>
      <c r="CZ564">
        <v>0</v>
      </c>
      <c r="DA564" t="s">
        <v>833</v>
      </c>
      <c r="DB564" t="s">
        <v>865</v>
      </c>
      <c r="DC564">
        <v>46234</v>
      </c>
      <c r="DD564">
        <v>9.25</v>
      </c>
      <c r="DE564" t="s">
        <v>866</v>
      </c>
      <c r="DG564" t="s">
        <v>867</v>
      </c>
      <c r="DH564" t="s">
        <v>851</v>
      </c>
      <c r="DJ564" t="s">
        <v>11287</v>
      </c>
      <c r="DL564" t="s">
        <v>869</v>
      </c>
      <c r="DM564">
        <v>0</v>
      </c>
      <c r="DN564">
        <v>0</v>
      </c>
      <c r="DO564">
        <v>1</v>
      </c>
      <c r="DP564" t="s">
        <v>985</v>
      </c>
      <c r="DQ564">
        <v>16</v>
      </c>
      <c r="DR564">
        <v>555</v>
      </c>
      <c r="DS564">
        <v>1275</v>
      </c>
      <c r="DT564">
        <v>8.15</v>
      </c>
      <c r="DU564">
        <v>4</v>
      </c>
      <c r="DW564">
        <v>2</v>
      </c>
      <c r="DX564" t="s">
        <v>596</v>
      </c>
      <c r="DY564" t="s">
        <v>1964</v>
      </c>
      <c r="DZ564">
        <v>1</v>
      </c>
      <c r="EA564">
        <v>1</v>
      </c>
      <c r="EB564">
        <v>1</v>
      </c>
      <c r="EC564">
        <v>0</v>
      </c>
      <c r="ED564">
        <v>0</v>
      </c>
      <c r="EE564">
        <v>1</v>
      </c>
      <c r="EF564" t="s">
        <v>871</v>
      </c>
      <c r="EG564" t="s">
        <v>595</v>
      </c>
      <c r="EH564" t="s">
        <v>921</v>
      </c>
      <c r="EI564" t="s">
        <v>921</v>
      </c>
      <c r="EJ564" t="s">
        <v>134</v>
      </c>
      <c r="EK564">
        <v>9090</v>
      </c>
      <c r="EL564">
        <v>0</v>
      </c>
      <c r="EM564" t="s">
        <v>1011</v>
      </c>
      <c r="EN564">
        <v>0.95</v>
      </c>
      <c r="EO564">
        <v>21.25</v>
      </c>
      <c r="EP564">
        <v>99991120</v>
      </c>
      <c r="EQ564" t="s">
        <v>874</v>
      </c>
      <c r="ER564" t="s">
        <v>875</v>
      </c>
      <c r="ES564" t="s">
        <v>876</v>
      </c>
      <c r="ET564" t="s">
        <v>877</v>
      </c>
      <c r="EU564" t="s">
        <v>877</v>
      </c>
      <c r="EV564" t="s">
        <v>871</v>
      </c>
      <c r="EX564" t="s">
        <v>953</v>
      </c>
      <c r="EY564" t="s">
        <v>1555</v>
      </c>
      <c r="EZ564" t="s">
        <v>1013</v>
      </c>
      <c r="FA564" t="s">
        <v>925</v>
      </c>
      <c r="FB564">
        <v>1</v>
      </c>
      <c r="FC564">
        <v>1</v>
      </c>
      <c r="FD564" s="41">
        <v>45997</v>
      </c>
      <c r="FE564" t="s">
        <v>957</v>
      </c>
      <c r="FF564">
        <v>6</v>
      </c>
      <c r="FG564" t="s">
        <v>1563</v>
      </c>
      <c r="FH564" t="s">
        <v>11288</v>
      </c>
      <c r="FI564">
        <v>1</v>
      </c>
      <c r="FJ564" t="s">
        <v>11289</v>
      </c>
      <c r="FK564" t="s">
        <v>11290</v>
      </c>
      <c r="FL564">
        <v>1</v>
      </c>
      <c r="FM564" t="s">
        <v>1980</v>
      </c>
      <c r="FN564" t="s">
        <v>11291</v>
      </c>
      <c r="FO564">
        <v>1</v>
      </c>
      <c r="FP564" t="s">
        <v>11292</v>
      </c>
      <c r="FQ564" t="s">
        <v>11286</v>
      </c>
      <c r="FR564">
        <v>1</v>
      </c>
      <c r="FS564" t="s">
        <v>1196</v>
      </c>
      <c r="FT564" t="s">
        <v>11293</v>
      </c>
      <c r="FU564">
        <v>1</v>
      </c>
      <c r="FV564" t="s">
        <v>2521</v>
      </c>
      <c r="FW564" t="s">
        <v>11294</v>
      </c>
      <c r="FX564">
        <v>1</v>
      </c>
      <c r="FY564" t="s">
        <v>890</v>
      </c>
      <c r="FZ564" t="s">
        <v>11295</v>
      </c>
      <c r="GA564" t="s">
        <v>11289</v>
      </c>
      <c r="GB564">
        <v>1</v>
      </c>
      <c r="GD564">
        <v>0</v>
      </c>
      <c r="GF564">
        <v>0</v>
      </c>
      <c r="GG564">
        <v>1</v>
      </c>
      <c r="GH564" t="s">
        <v>892</v>
      </c>
      <c r="GI564" t="s">
        <v>893</v>
      </c>
      <c r="GJ564" t="s">
        <v>11290</v>
      </c>
      <c r="GM564">
        <v>1</v>
      </c>
      <c r="GN564">
        <v>1</v>
      </c>
      <c r="GO564">
        <v>0</v>
      </c>
      <c r="GP564">
        <v>1</v>
      </c>
      <c r="GQ564">
        <v>1</v>
      </c>
      <c r="GR564">
        <v>0</v>
      </c>
      <c r="GS564">
        <v>1</v>
      </c>
      <c r="GT564">
        <v>0</v>
      </c>
      <c r="GU564">
        <v>1</v>
      </c>
      <c r="GV564">
        <v>0</v>
      </c>
      <c r="GW564">
        <v>1</v>
      </c>
      <c r="GX564">
        <v>0</v>
      </c>
      <c r="GY564">
        <v>1</v>
      </c>
      <c r="GZ564">
        <v>0</v>
      </c>
      <c r="HA564" t="s">
        <v>309</v>
      </c>
      <c r="HB564" t="s">
        <v>894</v>
      </c>
      <c r="HC564" t="s">
        <v>935</v>
      </c>
      <c r="HD564" t="s">
        <v>845</v>
      </c>
      <c r="HE564" t="s">
        <v>900</v>
      </c>
      <c r="HF564" t="s">
        <v>1012</v>
      </c>
      <c r="HG564" t="s">
        <v>894</v>
      </c>
      <c r="HH564" t="s">
        <v>935</v>
      </c>
      <c r="HI564" t="s">
        <v>845</v>
      </c>
      <c r="HJ564" t="s">
        <v>900</v>
      </c>
      <c r="HK564" t="s">
        <v>1011</v>
      </c>
      <c r="HL564" t="s">
        <v>133</v>
      </c>
      <c r="HM564" t="s">
        <v>854</v>
      </c>
      <c r="HN564">
        <v>36805</v>
      </c>
      <c r="HP564" t="s">
        <v>134</v>
      </c>
      <c r="HQ564" t="s">
        <v>896</v>
      </c>
      <c r="HR564" t="s">
        <v>896</v>
      </c>
      <c r="HS564" t="s">
        <v>896</v>
      </c>
    </row>
    <row r="565" spans="1:227" x14ac:dyDescent="0.2">
      <c r="A565">
        <v>8702</v>
      </c>
      <c r="B565">
        <v>7524711855</v>
      </c>
      <c r="C565">
        <v>36</v>
      </c>
      <c r="D565" t="s">
        <v>1302</v>
      </c>
      <c r="E565" t="s">
        <v>897</v>
      </c>
      <c r="F565">
        <v>2</v>
      </c>
      <c r="G565" t="s">
        <v>11296</v>
      </c>
      <c r="H565" t="s">
        <v>11296</v>
      </c>
      <c r="I565">
        <v>0</v>
      </c>
      <c r="J565" t="s">
        <v>833</v>
      </c>
      <c r="K565" t="s">
        <v>834</v>
      </c>
      <c r="L565">
        <v>152946615</v>
      </c>
      <c r="M565" t="s">
        <v>2314</v>
      </c>
      <c r="N565" t="s">
        <v>900</v>
      </c>
      <c r="O565" t="s">
        <v>837</v>
      </c>
      <c r="P565" t="s">
        <v>1302</v>
      </c>
      <c r="Q565" t="s">
        <v>1517</v>
      </c>
      <c r="R565" t="s">
        <v>11297</v>
      </c>
      <c r="S565" t="s">
        <v>11298</v>
      </c>
      <c r="T565">
        <v>41477054425</v>
      </c>
      <c r="V565" t="s">
        <v>144</v>
      </c>
      <c r="W565" s="41">
        <v>45904</v>
      </c>
      <c r="X565" t="s">
        <v>11299</v>
      </c>
      <c r="Y565" t="s">
        <v>11300</v>
      </c>
      <c r="AA565">
        <v>0</v>
      </c>
      <c r="AB565" t="s">
        <v>845</v>
      </c>
      <c r="AC565" t="s">
        <v>846</v>
      </c>
      <c r="AD565" t="s">
        <v>847</v>
      </c>
      <c r="AE565" t="s">
        <v>848</v>
      </c>
      <c r="AF565">
        <v>1</v>
      </c>
      <c r="AG565">
        <v>452210</v>
      </c>
      <c r="AH565" t="s">
        <v>849</v>
      </c>
      <c r="AI565" t="s">
        <v>850</v>
      </c>
      <c r="AJ565" t="s">
        <v>851</v>
      </c>
      <c r="AK565" t="s">
        <v>309</v>
      </c>
      <c r="AL565" t="s">
        <v>3287</v>
      </c>
      <c r="AM565" t="s">
        <v>1926</v>
      </c>
      <c r="AN565" t="s">
        <v>854</v>
      </c>
      <c r="AO565">
        <v>36805</v>
      </c>
      <c r="AP565">
        <v>528</v>
      </c>
      <c r="AQ565" t="s">
        <v>855</v>
      </c>
      <c r="AR565">
        <v>66099615</v>
      </c>
      <c r="AS565" t="s">
        <v>856</v>
      </c>
      <c r="AU565" t="s">
        <v>11301</v>
      </c>
      <c r="AV565" t="s">
        <v>11302</v>
      </c>
      <c r="AX565" t="s">
        <v>913</v>
      </c>
      <c r="AY565" t="s">
        <v>861</v>
      </c>
      <c r="AZ565" t="s">
        <v>309</v>
      </c>
      <c r="BA565" t="s">
        <v>310</v>
      </c>
      <c r="BB565">
        <v>0</v>
      </c>
      <c r="BC565">
        <v>0</v>
      </c>
      <c r="BD565">
        <v>0</v>
      </c>
      <c r="BE565" t="s">
        <v>2314</v>
      </c>
      <c r="BF565">
        <v>0</v>
      </c>
      <c r="BG565">
        <v>0</v>
      </c>
      <c r="BH565" t="s">
        <v>862</v>
      </c>
      <c r="BI565">
        <v>0</v>
      </c>
      <c r="BJ565" t="s">
        <v>862</v>
      </c>
      <c r="BK565">
        <v>1</v>
      </c>
      <c r="BL565">
        <v>1</v>
      </c>
      <c r="BM565">
        <v>0</v>
      </c>
      <c r="BN565" t="s">
        <v>596</v>
      </c>
      <c r="BO565">
        <v>152946615</v>
      </c>
      <c r="BP565" t="s">
        <v>11296</v>
      </c>
      <c r="BR565">
        <v>42791441</v>
      </c>
      <c r="BT565">
        <v>0</v>
      </c>
      <c r="CM565">
        <v>4010</v>
      </c>
      <c r="CO565">
        <v>7360</v>
      </c>
      <c r="CP565">
        <v>1.4</v>
      </c>
      <c r="CQ565">
        <v>1.4</v>
      </c>
      <c r="CR565">
        <v>0.7167</v>
      </c>
      <c r="CS565">
        <v>26</v>
      </c>
      <c r="CT565" t="s">
        <v>11303</v>
      </c>
      <c r="CU565" t="s">
        <v>11304</v>
      </c>
      <c r="CV565" t="s">
        <v>833</v>
      </c>
      <c r="CW565" t="s">
        <v>834</v>
      </c>
      <c r="CX565" t="s">
        <v>2314</v>
      </c>
      <c r="CY565">
        <v>0</v>
      </c>
      <c r="CZ565">
        <v>0</v>
      </c>
      <c r="DA565" t="s">
        <v>833</v>
      </c>
      <c r="DB565" t="s">
        <v>865</v>
      </c>
      <c r="DC565">
        <v>46033</v>
      </c>
      <c r="DD565">
        <v>2.6</v>
      </c>
      <c r="DE565" t="s">
        <v>866</v>
      </c>
      <c r="DG565" t="s">
        <v>867</v>
      </c>
      <c r="DH565" t="s">
        <v>851</v>
      </c>
      <c r="DI565" t="s">
        <v>2323</v>
      </c>
      <c r="DJ565" t="s">
        <v>2324</v>
      </c>
      <c r="DL565" t="s">
        <v>869</v>
      </c>
      <c r="DM565">
        <v>0</v>
      </c>
      <c r="DN565">
        <v>0</v>
      </c>
      <c r="DO565">
        <v>2</v>
      </c>
      <c r="DP565" t="s">
        <v>870</v>
      </c>
      <c r="DQ565">
        <v>12</v>
      </c>
      <c r="DR565">
        <v>156</v>
      </c>
      <c r="DS565">
        <v>156</v>
      </c>
      <c r="DT565">
        <v>1.2</v>
      </c>
      <c r="DU565">
        <v>4</v>
      </c>
      <c r="DW565">
        <v>1</v>
      </c>
      <c r="DX565" t="s">
        <v>596</v>
      </c>
      <c r="DY565" t="s">
        <v>2314</v>
      </c>
      <c r="DZ565">
        <v>1</v>
      </c>
      <c r="EA565">
        <v>1</v>
      </c>
      <c r="EB565">
        <v>1</v>
      </c>
      <c r="EC565">
        <v>1</v>
      </c>
      <c r="ED565">
        <v>1</v>
      </c>
      <c r="EE565">
        <v>1</v>
      </c>
      <c r="EF565" t="s">
        <v>871</v>
      </c>
      <c r="EG565" t="s">
        <v>595</v>
      </c>
      <c r="EH565" t="s">
        <v>1036</v>
      </c>
      <c r="EI565" t="s">
        <v>1036</v>
      </c>
      <c r="EJ565" t="s">
        <v>134</v>
      </c>
      <c r="EK565">
        <v>9090</v>
      </c>
      <c r="EL565">
        <v>0</v>
      </c>
      <c r="EM565" t="s">
        <v>1011</v>
      </c>
      <c r="EN565">
        <v>0.7167</v>
      </c>
      <c r="EO565">
        <v>2.6</v>
      </c>
      <c r="EP565">
        <v>99991120</v>
      </c>
      <c r="EQ565" t="s">
        <v>874</v>
      </c>
      <c r="ER565" t="s">
        <v>875</v>
      </c>
      <c r="ES565" t="s">
        <v>876</v>
      </c>
      <c r="ET565" t="s">
        <v>877</v>
      </c>
      <c r="EU565" t="s">
        <v>877</v>
      </c>
      <c r="EV565" t="s">
        <v>871</v>
      </c>
      <c r="EX565" t="s">
        <v>953</v>
      </c>
      <c r="EY565" t="s">
        <v>1555</v>
      </c>
      <c r="EZ565" t="s">
        <v>1013</v>
      </c>
      <c r="FA565" t="s">
        <v>925</v>
      </c>
      <c r="FB565">
        <v>1</v>
      </c>
      <c r="FC565">
        <v>1</v>
      </c>
      <c r="FD565" s="41">
        <v>45906</v>
      </c>
      <c r="FE565" t="s">
        <v>880</v>
      </c>
      <c r="FF565">
        <v>4</v>
      </c>
      <c r="FI565">
        <v>0</v>
      </c>
      <c r="FL565">
        <v>0</v>
      </c>
      <c r="FM565" t="s">
        <v>11305</v>
      </c>
      <c r="FN565" t="s">
        <v>11306</v>
      </c>
      <c r="FO565">
        <v>1</v>
      </c>
      <c r="FP565" t="s">
        <v>11307</v>
      </c>
      <c r="FQ565" t="s">
        <v>11308</v>
      </c>
      <c r="FR565">
        <v>1</v>
      </c>
      <c r="FS565" t="s">
        <v>1563</v>
      </c>
      <c r="FT565" t="s">
        <v>11309</v>
      </c>
      <c r="FU565">
        <v>1</v>
      </c>
      <c r="FV565" t="s">
        <v>11310</v>
      </c>
      <c r="FW565" t="s">
        <v>11311</v>
      </c>
      <c r="FX565">
        <v>1</v>
      </c>
      <c r="FY565" t="s">
        <v>890</v>
      </c>
      <c r="FZ565" t="s">
        <v>11312</v>
      </c>
      <c r="GA565" t="s">
        <v>11310</v>
      </c>
      <c r="GB565">
        <v>1</v>
      </c>
      <c r="GD565">
        <v>0</v>
      </c>
      <c r="GF565">
        <v>0</v>
      </c>
      <c r="GG565">
        <v>1</v>
      </c>
      <c r="GH565" t="s">
        <v>892</v>
      </c>
      <c r="GI565" t="s">
        <v>893</v>
      </c>
      <c r="GJ565" t="s">
        <v>11311</v>
      </c>
      <c r="GM565">
        <v>1</v>
      </c>
      <c r="GN565">
        <v>1</v>
      </c>
      <c r="GO565">
        <v>0</v>
      </c>
      <c r="GP565">
        <v>1</v>
      </c>
      <c r="GQ565">
        <v>1</v>
      </c>
      <c r="GR565">
        <v>0</v>
      </c>
      <c r="GS565">
        <v>1</v>
      </c>
      <c r="GT565">
        <v>1</v>
      </c>
      <c r="GU565">
        <v>1</v>
      </c>
      <c r="GV565">
        <v>1</v>
      </c>
      <c r="GW565">
        <v>1</v>
      </c>
      <c r="GX565">
        <v>1</v>
      </c>
      <c r="GY565">
        <v>1</v>
      </c>
      <c r="GZ565">
        <v>1</v>
      </c>
      <c r="HA565" t="s">
        <v>309</v>
      </c>
      <c r="HB565" t="s">
        <v>894</v>
      </c>
      <c r="HC565" t="s">
        <v>935</v>
      </c>
      <c r="HD565" t="s">
        <v>845</v>
      </c>
      <c r="HE565" t="s">
        <v>900</v>
      </c>
      <c r="HF565" t="s">
        <v>1012</v>
      </c>
      <c r="HG565" t="s">
        <v>894</v>
      </c>
      <c r="HH565" t="s">
        <v>935</v>
      </c>
      <c r="HI565" t="s">
        <v>845</v>
      </c>
      <c r="HJ565" t="s">
        <v>900</v>
      </c>
      <c r="HK565" t="s">
        <v>1011</v>
      </c>
      <c r="HL565" t="s">
        <v>144</v>
      </c>
      <c r="HM565" t="s">
        <v>854</v>
      </c>
      <c r="HN565">
        <v>36805</v>
      </c>
      <c r="HP565" t="s">
        <v>134</v>
      </c>
      <c r="HQ565" t="s">
        <v>896</v>
      </c>
      <c r="HR565" t="s">
        <v>896</v>
      </c>
      <c r="HS565" t="s">
        <v>896</v>
      </c>
    </row>
    <row r="566" spans="1:227" x14ac:dyDescent="0.2">
      <c r="A566">
        <v>8702</v>
      </c>
      <c r="B566">
        <v>7530204538</v>
      </c>
      <c r="C566" t="s">
        <v>829</v>
      </c>
      <c r="D566" t="s">
        <v>830</v>
      </c>
      <c r="E566" t="s">
        <v>897</v>
      </c>
      <c r="F566">
        <v>1</v>
      </c>
      <c r="G566" t="s">
        <v>11313</v>
      </c>
      <c r="H566" t="s">
        <v>11313</v>
      </c>
      <c r="I566">
        <v>0</v>
      </c>
      <c r="J566" t="s">
        <v>833</v>
      </c>
      <c r="K566" t="s">
        <v>834</v>
      </c>
      <c r="L566">
        <v>156046195</v>
      </c>
      <c r="M566" t="s">
        <v>4157</v>
      </c>
      <c r="N566" t="s">
        <v>900</v>
      </c>
      <c r="O566" t="s">
        <v>837</v>
      </c>
      <c r="P566" t="s">
        <v>838</v>
      </c>
      <c r="Q566" t="s">
        <v>901</v>
      </c>
      <c r="R566" t="s">
        <v>11314</v>
      </c>
      <c r="S566" t="s">
        <v>11315</v>
      </c>
      <c r="T566">
        <v>30300136758</v>
      </c>
      <c r="V566" t="s">
        <v>206</v>
      </c>
      <c r="W566" s="41">
        <v>45960</v>
      </c>
      <c r="X566" t="s">
        <v>11316</v>
      </c>
      <c r="Y566" t="s">
        <v>11317</v>
      </c>
      <c r="AA566">
        <v>0</v>
      </c>
      <c r="AB566" t="s">
        <v>845</v>
      </c>
      <c r="AC566" t="s">
        <v>846</v>
      </c>
      <c r="AD566" t="s">
        <v>847</v>
      </c>
      <c r="AE566" t="s">
        <v>848</v>
      </c>
      <c r="AF566">
        <v>1</v>
      </c>
      <c r="AG566">
        <v>452210</v>
      </c>
      <c r="AH566" t="s">
        <v>849</v>
      </c>
      <c r="AI566" t="s">
        <v>850</v>
      </c>
      <c r="AJ566" t="s">
        <v>851</v>
      </c>
      <c r="AK566" t="s">
        <v>267</v>
      </c>
      <c r="AL566" t="s">
        <v>3244</v>
      </c>
      <c r="AM566" t="s">
        <v>4162</v>
      </c>
      <c r="AN566" t="s">
        <v>854</v>
      </c>
      <c r="AO566">
        <v>36805</v>
      </c>
      <c r="AP566">
        <v>645</v>
      </c>
      <c r="AQ566" t="s">
        <v>855</v>
      </c>
      <c r="AR566">
        <v>66180097</v>
      </c>
      <c r="AS566" t="s">
        <v>856</v>
      </c>
      <c r="AU566" t="s">
        <v>11318</v>
      </c>
      <c r="AV566" t="s">
        <v>11319</v>
      </c>
      <c r="AX566" t="s">
        <v>913</v>
      </c>
      <c r="AY566" t="s">
        <v>861</v>
      </c>
      <c r="AZ566" t="s">
        <v>267</v>
      </c>
      <c r="BA566" t="s">
        <v>268</v>
      </c>
      <c r="BB566">
        <v>0</v>
      </c>
      <c r="BC566">
        <v>0</v>
      </c>
      <c r="BD566">
        <v>0</v>
      </c>
      <c r="BE566" t="s">
        <v>4157</v>
      </c>
      <c r="BF566">
        <v>0</v>
      </c>
      <c r="BG566">
        <v>0</v>
      </c>
      <c r="BH566" t="s">
        <v>862</v>
      </c>
      <c r="BI566">
        <v>0</v>
      </c>
      <c r="BJ566" t="s">
        <v>862</v>
      </c>
      <c r="BK566">
        <v>1</v>
      </c>
      <c r="BL566">
        <v>1</v>
      </c>
      <c r="BM566">
        <v>0</v>
      </c>
      <c r="BN566" t="s">
        <v>596</v>
      </c>
      <c r="BO566">
        <v>156046195</v>
      </c>
      <c r="BP566" t="s">
        <v>11313</v>
      </c>
      <c r="BR566">
        <v>42791778</v>
      </c>
      <c r="BT566">
        <v>0</v>
      </c>
      <c r="CM566">
        <v>4010</v>
      </c>
      <c r="CO566">
        <v>7360</v>
      </c>
      <c r="CP566">
        <v>0.7167</v>
      </c>
      <c r="CQ566">
        <v>0.7167</v>
      </c>
      <c r="CR566">
        <v>0.65</v>
      </c>
      <c r="CS566">
        <v>5</v>
      </c>
      <c r="CT566" t="s">
        <v>11319</v>
      </c>
      <c r="CU566" t="s">
        <v>11318</v>
      </c>
      <c r="CV566" t="s">
        <v>833</v>
      </c>
      <c r="CW566" t="s">
        <v>834</v>
      </c>
      <c r="CX566" t="s">
        <v>4157</v>
      </c>
      <c r="CY566">
        <v>0</v>
      </c>
      <c r="CZ566">
        <v>0</v>
      </c>
      <c r="DA566" t="s">
        <v>833</v>
      </c>
      <c r="DB566" t="s">
        <v>865</v>
      </c>
      <c r="DC566">
        <v>48336</v>
      </c>
      <c r="DD566">
        <v>7.65</v>
      </c>
      <c r="DE566" t="s">
        <v>866</v>
      </c>
      <c r="DG566" t="s">
        <v>867</v>
      </c>
      <c r="DH566" t="s">
        <v>851</v>
      </c>
      <c r="DI566" t="s">
        <v>984</v>
      </c>
      <c r="DL566" t="s">
        <v>869</v>
      </c>
      <c r="DM566">
        <v>0</v>
      </c>
      <c r="DN566">
        <v>0</v>
      </c>
      <c r="DO566">
        <v>3</v>
      </c>
      <c r="DP566" t="s">
        <v>919</v>
      </c>
      <c r="DQ566">
        <v>16</v>
      </c>
      <c r="DR566">
        <v>459</v>
      </c>
      <c r="DS566">
        <v>1179</v>
      </c>
      <c r="DT566">
        <v>6.9333</v>
      </c>
      <c r="DU566">
        <v>4</v>
      </c>
      <c r="DW566">
        <v>2</v>
      </c>
      <c r="DX566" t="s">
        <v>596</v>
      </c>
      <c r="DY566" t="s">
        <v>4157</v>
      </c>
      <c r="DZ566">
        <v>1</v>
      </c>
      <c r="EA566">
        <v>1</v>
      </c>
      <c r="EB566">
        <v>1</v>
      </c>
      <c r="EC566">
        <v>0</v>
      </c>
      <c r="ED566">
        <v>0</v>
      </c>
      <c r="EE566">
        <v>1</v>
      </c>
      <c r="EF566" t="s">
        <v>920</v>
      </c>
      <c r="EG566" t="s">
        <v>595</v>
      </c>
      <c r="EH566" t="s">
        <v>921</v>
      </c>
      <c r="EI566" t="s">
        <v>921</v>
      </c>
      <c r="EJ566" t="s">
        <v>178</v>
      </c>
      <c r="EK566">
        <v>9090</v>
      </c>
      <c r="EL566">
        <v>0</v>
      </c>
      <c r="EM566" t="s">
        <v>952</v>
      </c>
      <c r="EN566">
        <v>0.65</v>
      </c>
      <c r="EO566">
        <v>19.649999999999999</v>
      </c>
      <c r="EP566">
        <v>99991120</v>
      </c>
      <c r="EQ566" t="s">
        <v>874</v>
      </c>
      <c r="ER566" t="s">
        <v>875</v>
      </c>
      <c r="ES566" t="s">
        <v>876</v>
      </c>
      <c r="ET566" t="s">
        <v>877</v>
      </c>
      <c r="EU566" t="s">
        <v>877</v>
      </c>
      <c r="EV566" t="s">
        <v>920</v>
      </c>
      <c r="EX566" t="s">
        <v>953</v>
      </c>
      <c r="EY566" t="s">
        <v>954</v>
      </c>
      <c r="EZ566" t="s">
        <v>955</v>
      </c>
      <c r="FA566" t="s">
        <v>956</v>
      </c>
      <c r="FB566">
        <v>1</v>
      </c>
      <c r="FC566">
        <v>1</v>
      </c>
      <c r="FD566" s="41">
        <v>45962</v>
      </c>
      <c r="FE566" t="s">
        <v>1039</v>
      </c>
      <c r="FF566">
        <v>4</v>
      </c>
      <c r="FI566">
        <v>0</v>
      </c>
      <c r="FL566">
        <v>0</v>
      </c>
      <c r="FM566" t="s">
        <v>11320</v>
      </c>
      <c r="FN566" t="s">
        <v>11321</v>
      </c>
      <c r="FO566">
        <v>1</v>
      </c>
      <c r="FP566" t="s">
        <v>11322</v>
      </c>
      <c r="FQ566" t="s">
        <v>11318</v>
      </c>
      <c r="FR566">
        <v>1</v>
      </c>
      <c r="FS566" t="s">
        <v>3249</v>
      </c>
      <c r="FT566" t="s">
        <v>11323</v>
      </c>
      <c r="FU566">
        <v>1</v>
      </c>
      <c r="FV566" t="s">
        <v>11324</v>
      </c>
      <c r="FW566" t="s">
        <v>11325</v>
      </c>
      <c r="FX566">
        <v>1</v>
      </c>
      <c r="FY566" t="s">
        <v>890</v>
      </c>
      <c r="FZ566" t="s">
        <v>11326</v>
      </c>
      <c r="GA566" t="s">
        <v>11324</v>
      </c>
      <c r="GB566">
        <v>1</v>
      </c>
      <c r="GD566">
        <v>0</v>
      </c>
      <c r="GF566">
        <v>0</v>
      </c>
      <c r="GG566">
        <v>1</v>
      </c>
      <c r="GH566" t="s">
        <v>892</v>
      </c>
      <c r="GI566" t="s">
        <v>893</v>
      </c>
      <c r="GJ566" t="s">
        <v>11325</v>
      </c>
      <c r="GM566">
        <v>1</v>
      </c>
      <c r="GN566">
        <v>1</v>
      </c>
      <c r="GO566">
        <v>0</v>
      </c>
      <c r="GP566">
        <v>1</v>
      </c>
      <c r="GQ566">
        <v>1</v>
      </c>
      <c r="GR566">
        <v>0</v>
      </c>
      <c r="GS566">
        <v>1</v>
      </c>
      <c r="GT566">
        <v>0</v>
      </c>
      <c r="GU566">
        <v>1</v>
      </c>
      <c r="GV566">
        <v>0</v>
      </c>
      <c r="GW566">
        <v>1</v>
      </c>
      <c r="GX566">
        <v>0</v>
      </c>
      <c r="GY566">
        <v>1</v>
      </c>
      <c r="GZ566">
        <v>0</v>
      </c>
      <c r="HA566" t="s">
        <v>267</v>
      </c>
      <c r="HB566" t="s">
        <v>894</v>
      </c>
      <c r="HC566" t="s">
        <v>935</v>
      </c>
      <c r="HD566" t="s">
        <v>845</v>
      </c>
      <c r="HE566" t="s">
        <v>900</v>
      </c>
      <c r="HF566" t="s">
        <v>923</v>
      </c>
      <c r="HG566" t="s">
        <v>894</v>
      </c>
      <c r="HH566" t="s">
        <v>935</v>
      </c>
      <c r="HI566" t="s">
        <v>845</v>
      </c>
      <c r="HJ566" t="s">
        <v>900</v>
      </c>
      <c r="HK566" t="s">
        <v>952</v>
      </c>
      <c r="HL566" t="s">
        <v>206</v>
      </c>
      <c r="HM566" t="s">
        <v>854</v>
      </c>
      <c r="HN566">
        <v>36805</v>
      </c>
      <c r="HP566" t="s">
        <v>178</v>
      </c>
      <c r="HQ566" t="s">
        <v>896</v>
      </c>
      <c r="HR566" t="s">
        <v>896</v>
      </c>
      <c r="HS566" t="s">
        <v>896</v>
      </c>
    </row>
    <row r="567" spans="1:227" x14ac:dyDescent="0.2">
      <c r="A567">
        <v>8702</v>
      </c>
      <c r="B567">
        <v>7528700800</v>
      </c>
      <c r="C567" t="s">
        <v>829</v>
      </c>
      <c r="D567" t="s">
        <v>830</v>
      </c>
      <c r="E567" t="s">
        <v>897</v>
      </c>
      <c r="F567">
        <v>1</v>
      </c>
      <c r="G567" t="s">
        <v>11327</v>
      </c>
      <c r="H567" t="s">
        <v>11327</v>
      </c>
      <c r="I567">
        <v>0</v>
      </c>
      <c r="J567" t="s">
        <v>833</v>
      </c>
      <c r="K567" t="s">
        <v>834</v>
      </c>
      <c r="L567">
        <v>155403183</v>
      </c>
      <c r="M567" t="s">
        <v>6187</v>
      </c>
      <c r="N567" t="s">
        <v>900</v>
      </c>
      <c r="O567" t="s">
        <v>837</v>
      </c>
      <c r="P567" t="s">
        <v>838</v>
      </c>
      <c r="Q567" t="s">
        <v>1279</v>
      </c>
      <c r="R567" t="s">
        <v>11328</v>
      </c>
      <c r="S567" t="s">
        <v>11329</v>
      </c>
      <c r="T567">
        <v>41477124348</v>
      </c>
      <c r="V567" t="s">
        <v>904</v>
      </c>
      <c r="W567" s="41">
        <v>45944</v>
      </c>
      <c r="X567" t="s">
        <v>11330</v>
      </c>
      <c r="Y567" t="s">
        <v>11331</v>
      </c>
      <c r="AA567">
        <v>0</v>
      </c>
      <c r="AB567" t="s">
        <v>845</v>
      </c>
      <c r="AC567" t="s">
        <v>846</v>
      </c>
      <c r="AD567" t="s">
        <v>847</v>
      </c>
      <c r="AE567" t="s">
        <v>848</v>
      </c>
      <c r="AF567">
        <v>1</v>
      </c>
      <c r="AG567">
        <v>452210</v>
      </c>
      <c r="AH567" t="s">
        <v>849</v>
      </c>
      <c r="AI567" t="s">
        <v>850</v>
      </c>
      <c r="AJ567" t="s">
        <v>851</v>
      </c>
      <c r="AK567" t="s">
        <v>330</v>
      </c>
      <c r="AL567" t="s">
        <v>2748</v>
      </c>
      <c r="AM567" t="s">
        <v>910</v>
      </c>
      <c r="AN567" t="s">
        <v>854</v>
      </c>
      <c r="AO567">
        <v>36805</v>
      </c>
      <c r="AP567">
        <v>606</v>
      </c>
      <c r="AQ567" t="s">
        <v>855</v>
      </c>
      <c r="AR567">
        <v>66157100</v>
      </c>
      <c r="AS567" t="s">
        <v>856</v>
      </c>
      <c r="AU567" t="s">
        <v>11332</v>
      </c>
      <c r="AV567" t="s">
        <v>11333</v>
      </c>
      <c r="AW567" t="s">
        <v>1149</v>
      </c>
      <c r="AX567" t="s">
        <v>1150</v>
      </c>
      <c r="AY567" t="s">
        <v>861</v>
      </c>
      <c r="AZ567" t="s">
        <v>330</v>
      </c>
      <c r="BA567" t="s">
        <v>331</v>
      </c>
      <c r="BB567">
        <v>0</v>
      </c>
      <c r="BC567">
        <v>0</v>
      </c>
      <c r="BD567">
        <v>0</v>
      </c>
      <c r="BE567" t="s">
        <v>6187</v>
      </c>
      <c r="BF567">
        <v>0</v>
      </c>
      <c r="BG567">
        <v>0</v>
      </c>
      <c r="BH567" t="s">
        <v>862</v>
      </c>
      <c r="BI567">
        <v>0</v>
      </c>
      <c r="BJ567" t="s">
        <v>862</v>
      </c>
      <c r="BK567">
        <v>1</v>
      </c>
      <c r="BL567">
        <v>0</v>
      </c>
      <c r="BM567">
        <v>0</v>
      </c>
      <c r="BN567" t="s">
        <v>596</v>
      </c>
      <c r="BO567">
        <v>155403183</v>
      </c>
      <c r="BP567" t="s">
        <v>11327</v>
      </c>
      <c r="BQ567">
        <v>42.926022400000001</v>
      </c>
      <c r="BR567">
        <v>42810759</v>
      </c>
      <c r="BS567">
        <v>-85.606049299999995</v>
      </c>
      <c r="BT567">
        <v>0</v>
      </c>
      <c r="CM567">
        <v>4010</v>
      </c>
      <c r="CO567">
        <v>7360</v>
      </c>
      <c r="CP567">
        <v>1.0667</v>
      </c>
      <c r="CQ567">
        <v>1.0667</v>
      </c>
      <c r="CR567">
        <v>0.9667</v>
      </c>
      <c r="CS567">
        <v>21</v>
      </c>
      <c r="CT567" t="s">
        <v>11334</v>
      </c>
      <c r="CU567" t="s">
        <v>11335</v>
      </c>
      <c r="CV567" t="s">
        <v>833</v>
      </c>
      <c r="CW567" t="s">
        <v>834</v>
      </c>
      <c r="CX567" t="s">
        <v>6187</v>
      </c>
      <c r="CY567">
        <v>0</v>
      </c>
      <c r="CZ567">
        <v>0</v>
      </c>
      <c r="DA567" t="s">
        <v>833</v>
      </c>
      <c r="DB567" t="s">
        <v>865</v>
      </c>
      <c r="DC567">
        <v>49546</v>
      </c>
      <c r="DD567">
        <v>3.4167000000000001</v>
      </c>
      <c r="DE567" t="s">
        <v>866</v>
      </c>
      <c r="DG567" t="s">
        <v>867</v>
      </c>
      <c r="DH567" t="s">
        <v>851</v>
      </c>
      <c r="DI567" t="s">
        <v>6197</v>
      </c>
      <c r="DL567" t="s">
        <v>869</v>
      </c>
      <c r="DM567">
        <v>0</v>
      </c>
      <c r="DN567">
        <v>0</v>
      </c>
      <c r="DO567">
        <v>3</v>
      </c>
      <c r="DP567" t="s">
        <v>919</v>
      </c>
      <c r="DQ567">
        <v>16</v>
      </c>
      <c r="DR567">
        <v>205</v>
      </c>
      <c r="DS567">
        <v>836</v>
      </c>
      <c r="DT567">
        <v>2.35</v>
      </c>
      <c r="DU567">
        <v>4</v>
      </c>
      <c r="DW567">
        <v>2</v>
      </c>
      <c r="DX567" t="s">
        <v>594</v>
      </c>
      <c r="DY567" t="s">
        <v>6187</v>
      </c>
      <c r="DZ567">
        <v>0</v>
      </c>
      <c r="EA567">
        <v>0</v>
      </c>
      <c r="EB567">
        <v>0</v>
      </c>
      <c r="EC567">
        <v>0</v>
      </c>
      <c r="ED567">
        <v>0</v>
      </c>
      <c r="EE567">
        <v>0</v>
      </c>
      <c r="EF567" t="s">
        <v>920</v>
      </c>
      <c r="EG567" t="s">
        <v>595</v>
      </c>
      <c r="EH567" t="s">
        <v>872</v>
      </c>
      <c r="EI567" t="s">
        <v>872</v>
      </c>
      <c r="EJ567" t="s">
        <v>178</v>
      </c>
      <c r="EK567">
        <v>9090</v>
      </c>
      <c r="EL567">
        <v>0</v>
      </c>
      <c r="EM567" t="s">
        <v>922</v>
      </c>
      <c r="EN567">
        <v>0.9667</v>
      </c>
      <c r="EO567">
        <v>13.933333299999999</v>
      </c>
      <c r="EP567">
        <v>99991120</v>
      </c>
      <c r="EQ567" t="s">
        <v>874</v>
      </c>
      <c r="ER567" t="s">
        <v>875</v>
      </c>
      <c r="ES567" t="s">
        <v>876</v>
      </c>
      <c r="ET567" t="s">
        <v>877</v>
      </c>
      <c r="EU567" t="s">
        <v>877</v>
      </c>
      <c r="EV567" t="s">
        <v>920</v>
      </c>
      <c r="EX567" t="s">
        <v>953</v>
      </c>
      <c r="EY567" t="s">
        <v>986</v>
      </c>
      <c r="EZ567" t="s">
        <v>924</v>
      </c>
      <c r="FA567" t="s">
        <v>925</v>
      </c>
      <c r="FB567">
        <v>1</v>
      </c>
      <c r="FC567">
        <v>1</v>
      </c>
      <c r="FD567" s="41">
        <v>45948</v>
      </c>
      <c r="FE567" t="s">
        <v>1039</v>
      </c>
      <c r="FF567">
        <v>7</v>
      </c>
      <c r="FG567" t="s">
        <v>11336</v>
      </c>
      <c r="FH567" t="s">
        <v>11337</v>
      </c>
      <c r="FI567">
        <v>1</v>
      </c>
      <c r="FJ567" t="s">
        <v>11338</v>
      </c>
      <c r="FK567" t="s">
        <v>11337</v>
      </c>
      <c r="FL567">
        <v>1</v>
      </c>
      <c r="FM567" t="s">
        <v>11339</v>
      </c>
      <c r="FN567" t="s">
        <v>11340</v>
      </c>
      <c r="FO567">
        <v>1</v>
      </c>
      <c r="FP567" t="s">
        <v>11341</v>
      </c>
      <c r="FQ567" t="s">
        <v>11342</v>
      </c>
      <c r="FR567">
        <v>1</v>
      </c>
      <c r="FS567" t="s">
        <v>930</v>
      </c>
      <c r="FT567" t="s">
        <v>11343</v>
      </c>
      <c r="FU567">
        <v>1</v>
      </c>
      <c r="FV567" t="s">
        <v>6906</v>
      </c>
      <c r="FW567" t="s">
        <v>11344</v>
      </c>
      <c r="FX567">
        <v>1</v>
      </c>
      <c r="FY567" t="s">
        <v>890</v>
      </c>
      <c r="FZ567" t="s">
        <v>11345</v>
      </c>
      <c r="GA567" t="s">
        <v>11338</v>
      </c>
      <c r="GB567">
        <v>1</v>
      </c>
      <c r="GD567">
        <v>0</v>
      </c>
      <c r="GF567">
        <v>0</v>
      </c>
      <c r="GG567">
        <v>1</v>
      </c>
      <c r="GH567" t="s">
        <v>892</v>
      </c>
      <c r="GI567" t="s">
        <v>893</v>
      </c>
      <c r="GJ567" t="s">
        <v>11337</v>
      </c>
      <c r="GM567">
        <v>1</v>
      </c>
      <c r="GN567">
        <v>1</v>
      </c>
      <c r="GO567">
        <v>0</v>
      </c>
      <c r="GP567">
        <v>1</v>
      </c>
      <c r="GQ567">
        <v>1</v>
      </c>
      <c r="GR567">
        <v>0</v>
      </c>
      <c r="GS567">
        <v>1</v>
      </c>
      <c r="GT567">
        <v>0</v>
      </c>
      <c r="GU567">
        <v>1</v>
      </c>
      <c r="GV567">
        <v>0</v>
      </c>
      <c r="GW567">
        <v>1</v>
      </c>
      <c r="GX567">
        <v>0</v>
      </c>
      <c r="GY567">
        <v>1</v>
      </c>
      <c r="GZ567">
        <v>0</v>
      </c>
      <c r="HA567" t="s">
        <v>330</v>
      </c>
      <c r="HB567" t="s">
        <v>894</v>
      </c>
      <c r="HC567" t="s">
        <v>935</v>
      </c>
      <c r="HD567" t="s">
        <v>845</v>
      </c>
      <c r="HE567" t="s">
        <v>900</v>
      </c>
      <c r="HF567" t="s">
        <v>923</v>
      </c>
      <c r="HG567" t="s">
        <v>894</v>
      </c>
      <c r="HH567" t="s">
        <v>935</v>
      </c>
      <c r="HI567" t="s">
        <v>845</v>
      </c>
      <c r="HJ567" t="s">
        <v>900</v>
      </c>
      <c r="HK567" t="s">
        <v>922</v>
      </c>
      <c r="HL567" t="s">
        <v>904</v>
      </c>
      <c r="HM567" t="s">
        <v>854</v>
      </c>
      <c r="HN567">
        <v>36805</v>
      </c>
      <c r="HP567" t="s">
        <v>178</v>
      </c>
      <c r="HQ567" t="s">
        <v>896</v>
      </c>
      <c r="HR567" t="s">
        <v>896</v>
      </c>
      <c r="HS567" t="s">
        <v>896</v>
      </c>
    </row>
    <row r="568" spans="1:227" x14ac:dyDescent="0.2">
      <c r="A568">
        <v>8702</v>
      </c>
      <c r="B568">
        <v>7619101477</v>
      </c>
      <c r="C568" t="s">
        <v>829</v>
      </c>
      <c r="D568" t="s">
        <v>830</v>
      </c>
      <c r="E568" t="s">
        <v>831</v>
      </c>
      <c r="F568">
        <v>0</v>
      </c>
      <c r="G568" t="s">
        <v>11346</v>
      </c>
      <c r="H568" t="s">
        <v>11346</v>
      </c>
      <c r="I568">
        <v>0</v>
      </c>
      <c r="J568" t="s">
        <v>833</v>
      </c>
      <c r="K568" t="s">
        <v>834</v>
      </c>
      <c r="L568">
        <v>148874702</v>
      </c>
      <c r="M568">
        <v>7619101477</v>
      </c>
      <c r="N568" t="s">
        <v>836</v>
      </c>
      <c r="O568" t="s">
        <v>837</v>
      </c>
      <c r="P568" t="s">
        <v>838</v>
      </c>
      <c r="Q568" t="s">
        <v>839</v>
      </c>
      <c r="R568" t="s">
        <v>11347</v>
      </c>
      <c r="S568" t="s">
        <v>11348</v>
      </c>
      <c r="T568">
        <v>41477044060</v>
      </c>
      <c r="V568" t="s">
        <v>180</v>
      </c>
      <c r="W568" s="41">
        <v>46214</v>
      </c>
      <c r="X568" t="s">
        <v>11349</v>
      </c>
      <c r="Y568" t="s">
        <v>11350</v>
      </c>
      <c r="AA568">
        <v>0</v>
      </c>
      <c r="AB568" t="s">
        <v>845</v>
      </c>
      <c r="AC568" t="s">
        <v>846</v>
      </c>
      <c r="AD568" t="s">
        <v>1335</v>
      </c>
      <c r="AE568" t="s">
        <v>1336</v>
      </c>
      <c r="AF568">
        <v>1</v>
      </c>
      <c r="AG568">
        <v>452210</v>
      </c>
      <c r="AH568" t="s">
        <v>849</v>
      </c>
      <c r="AI568" t="s">
        <v>850</v>
      </c>
      <c r="AJ568" t="s">
        <v>851</v>
      </c>
      <c r="AK568" t="s">
        <v>443</v>
      </c>
      <c r="AL568" t="s">
        <v>1691</v>
      </c>
      <c r="AM568" t="s">
        <v>1033</v>
      </c>
      <c r="AN568" t="s">
        <v>854</v>
      </c>
      <c r="AO568">
        <v>36805</v>
      </c>
      <c r="AP568">
        <v>631</v>
      </c>
      <c r="AQ568" t="s">
        <v>855</v>
      </c>
      <c r="AR568">
        <v>66545944</v>
      </c>
      <c r="AS568" t="s">
        <v>856</v>
      </c>
      <c r="AU568" t="s">
        <v>11351</v>
      </c>
      <c r="AV568" t="s">
        <v>11352</v>
      </c>
      <c r="AX568" t="s">
        <v>913</v>
      </c>
      <c r="AY568" t="s">
        <v>861</v>
      </c>
      <c r="AZ568" t="s">
        <v>443</v>
      </c>
      <c r="BA568" t="s">
        <v>444</v>
      </c>
      <c r="BB568">
        <v>0</v>
      </c>
      <c r="BC568">
        <v>0</v>
      </c>
      <c r="BD568">
        <v>0</v>
      </c>
      <c r="BE568">
        <v>7619101477</v>
      </c>
      <c r="BF568">
        <v>0</v>
      </c>
      <c r="BG568">
        <v>0</v>
      </c>
      <c r="BH568" t="s">
        <v>862</v>
      </c>
      <c r="BI568">
        <v>0</v>
      </c>
      <c r="BJ568" t="s">
        <v>862</v>
      </c>
      <c r="BK568">
        <v>1</v>
      </c>
      <c r="BL568">
        <v>1</v>
      </c>
      <c r="BM568">
        <v>0</v>
      </c>
      <c r="BN568" t="s">
        <v>596</v>
      </c>
      <c r="BP568" t="s">
        <v>11346</v>
      </c>
      <c r="BR568">
        <v>42791743</v>
      </c>
      <c r="BT568">
        <v>2</v>
      </c>
      <c r="BU568" t="s">
        <v>1062</v>
      </c>
      <c r="BY568">
        <v>16</v>
      </c>
      <c r="CA568">
        <v>5</v>
      </c>
      <c r="CE568">
        <v>1</v>
      </c>
      <c r="CI568">
        <v>11</v>
      </c>
      <c r="CJ568" t="s">
        <v>94</v>
      </c>
      <c r="CM568">
        <v>4010</v>
      </c>
      <c r="CO568">
        <v>7360</v>
      </c>
      <c r="CP568">
        <v>0.1</v>
      </c>
      <c r="CQ568">
        <v>0.1</v>
      </c>
      <c r="CR568">
        <v>0.16669999999999999</v>
      </c>
      <c r="CS568">
        <v>45</v>
      </c>
      <c r="CT568" t="s">
        <v>11352</v>
      </c>
      <c r="CU568" t="s">
        <v>11351</v>
      </c>
      <c r="CV568" t="s">
        <v>833</v>
      </c>
      <c r="CW568" t="s">
        <v>834</v>
      </c>
      <c r="CX568" t="s">
        <v>11353</v>
      </c>
      <c r="CY568">
        <v>0</v>
      </c>
      <c r="CZ568">
        <v>0</v>
      </c>
      <c r="DA568" t="s">
        <v>833</v>
      </c>
      <c r="DB568" t="s">
        <v>865</v>
      </c>
      <c r="DC568">
        <v>62208</v>
      </c>
      <c r="DD568">
        <v>4.55</v>
      </c>
      <c r="DE568" t="s">
        <v>866</v>
      </c>
      <c r="DG568" t="s">
        <v>867</v>
      </c>
      <c r="DH568" t="s">
        <v>851</v>
      </c>
      <c r="DK568" t="s">
        <v>918</v>
      </c>
      <c r="DL568" t="s">
        <v>869</v>
      </c>
      <c r="DM568">
        <v>0</v>
      </c>
      <c r="DN568">
        <v>0</v>
      </c>
      <c r="DO568">
        <v>2</v>
      </c>
      <c r="DP568" t="s">
        <v>870</v>
      </c>
      <c r="DQ568">
        <v>16</v>
      </c>
      <c r="DR568">
        <v>273</v>
      </c>
      <c r="DS568">
        <v>993</v>
      </c>
      <c r="DT568">
        <v>4.45</v>
      </c>
      <c r="DU568">
        <v>4</v>
      </c>
      <c r="DV568">
        <v>1</v>
      </c>
      <c r="DW568">
        <v>2</v>
      </c>
      <c r="DX568" t="s">
        <v>596</v>
      </c>
      <c r="DY568">
        <v>7619101477</v>
      </c>
      <c r="DZ568">
        <v>1</v>
      </c>
      <c r="EA568">
        <v>1</v>
      </c>
      <c r="EB568">
        <v>1</v>
      </c>
      <c r="EC568">
        <v>0</v>
      </c>
      <c r="ED568">
        <v>0</v>
      </c>
      <c r="EE568">
        <v>1</v>
      </c>
      <c r="EF568" t="s">
        <v>920</v>
      </c>
      <c r="EG568" t="s">
        <v>595</v>
      </c>
      <c r="EH568" t="s">
        <v>921</v>
      </c>
      <c r="EI568" t="s">
        <v>921</v>
      </c>
      <c r="EJ568" t="s">
        <v>181</v>
      </c>
      <c r="EK568">
        <v>9090</v>
      </c>
      <c r="EL568">
        <v>0</v>
      </c>
      <c r="EM568" t="s">
        <v>1037</v>
      </c>
      <c r="EN568">
        <v>0.16669999999999999</v>
      </c>
      <c r="EO568">
        <v>16.55</v>
      </c>
      <c r="EP568">
        <v>99991120</v>
      </c>
      <c r="EQ568" t="s">
        <v>874</v>
      </c>
      <c r="ER568" t="s">
        <v>875</v>
      </c>
      <c r="ES568" t="s">
        <v>876</v>
      </c>
      <c r="ET568" t="s">
        <v>877</v>
      </c>
      <c r="EU568" t="s">
        <v>877</v>
      </c>
      <c r="EV568" t="s">
        <v>920</v>
      </c>
      <c r="EX568" t="s">
        <v>836</v>
      </c>
      <c r="EY568" t="s">
        <v>1051</v>
      </c>
      <c r="EZ568" t="s">
        <v>1038</v>
      </c>
      <c r="FA568" t="s">
        <v>925</v>
      </c>
      <c r="FB568">
        <v>1</v>
      </c>
      <c r="FC568">
        <v>1</v>
      </c>
      <c r="FD568" s="41">
        <v>46214</v>
      </c>
      <c r="FE568" t="s">
        <v>1066</v>
      </c>
      <c r="FF568">
        <v>4</v>
      </c>
      <c r="FI568">
        <v>0</v>
      </c>
      <c r="FL568">
        <v>0</v>
      </c>
      <c r="FM568" t="s">
        <v>11354</v>
      </c>
      <c r="FN568" t="s">
        <v>11355</v>
      </c>
      <c r="FO568">
        <v>1</v>
      </c>
      <c r="FP568" t="s">
        <v>11356</v>
      </c>
      <c r="FQ568" t="s">
        <v>11351</v>
      </c>
      <c r="FR568">
        <v>1</v>
      </c>
      <c r="FS568" t="s">
        <v>3934</v>
      </c>
      <c r="FT568" t="s">
        <v>11357</v>
      </c>
      <c r="FU568">
        <v>1</v>
      </c>
      <c r="FV568" t="s">
        <v>11358</v>
      </c>
      <c r="FW568" t="s">
        <v>11359</v>
      </c>
      <c r="FX568">
        <v>1</v>
      </c>
      <c r="FY568" t="s">
        <v>890</v>
      </c>
      <c r="FZ568" t="s">
        <v>11360</v>
      </c>
      <c r="GA568" t="s">
        <v>11358</v>
      </c>
      <c r="GB568">
        <v>1</v>
      </c>
      <c r="GD568">
        <v>0</v>
      </c>
      <c r="GF568">
        <v>0</v>
      </c>
      <c r="GG568">
        <v>1</v>
      </c>
      <c r="GH568" t="s">
        <v>892</v>
      </c>
      <c r="GI568" t="s">
        <v>893</v>
      </c>
      <c r="GJ568" t="s">
        <v>11359</v>
      </c>
      <c r="GM568">
        <v>1</v>
      </c>
      <c r="GN568">
        <v>1</v>
      </c>
      <c r="GO568">
        <v>0</v>
      </c>
      <c r="GP568">
        <v>1</v>
      </c>
      <c r="GQ568">
        <v>1</v>
      </c>
      <c r="GR568">
        <v>0</v>
      </c>
      <c r="GS568">
        <v>1</v>
      </c>
      <c r="GT568">
        <v>0</v>
      </c>
      <c r="GU568">
        <v>1</v>
      </c>
      <c r="GV568">
        <v>0</v>
      </c>
      <c r="GW568">
        <v>1</v>
      </c>
      <c r="GX568">
        <v>0</v>
      </c>
      <c r="GY568">
        <v>1</v>
      </c>
      <c r="GZ568">
        <v>0</v>
      </c>
      <c r="HA568" t="s">
        <v>443</v>
      </c>
      <c r="HB568" t="s">
        <v>894</v>
      </c>
      <c r="HC568" t="s">
        <v>895</v>
      </c>
      <c r="HD568" t="s">
        <v>845</v>
      </c>
      <c r="HE568" t="s">
        <v>836</v>
      </c>
      <c r="HF568" t="s">
        <v>1051</v>
      </c>
      <c r="HG568" t="s">
        <v>894</v>
      </c>
      <c r="HH568" t="s">
        <v>895</v>
      </c>
      <c r="HI568" t="s">
        <v>845</v>
      </c>
      <c r="HJ568" t="s">
        <v>836</v>
      </c>
      <c r="HK568" t="s">
        <v>1037</v>
      </c>
      <c r="HL568" t="s">
        <v>180</v>
      </c>
      <c r="HM568" t="s">
        <v>854</v>
      </c>
      <c r="HN568">
        <v>36805</v>
      </c>
      <c r="HP568" t="s">
        <v>181</v>
      </c>
      <c r="HQ568" t="s">
        <v>896</v>
      </c>
      <c r="HR568" t="s">
        <v>896</v>
      </c>
      <c r="HS568" t="s">
        <v>896</v>
      </c>
    </row>
    <row r="569" spans="1:227" x14ac:dyDescent="0.2">
      <c r="A569">
        <v>8702</v>
      </c>
      <c r="B569">
        <v>7533201348</v>
      </c>
      <c r="C569" t="s">
        <v>936</v>
      </c>
      <c r="D569" t="s">
        <v>937</v>
      </c>
      <c r="E569" t="s">
        <v>831</v>
      </c>
      <c r="F569">
        <v>2</v>
      </c>
      <c r="G569" t="s">
        <v>11361</v>
      </c>
      <c r="H569" t="s">
        <v>11361</v>
      </c>
      <c r="I569">
        <v>0</v>
      </c>
      <c r="J569" t="s">
        <v>833</v>
      </c>
      <c r="K569" t="s">
        <v>834</v>
      </c>
      <c r="L569">
        <v>153406551</v>
      </c>
      <c r="M569" t="s">
        <v>5561</v>
      </c>
      <c r="N569" t="s">
        <v>836</v>
      </c>
      <c r="O569" t="s">
        <v>837</v>
      </c>
      <c r="P569" t="s">
        <v>940</v>
      </c>
      <c r="Q569" t="s">
        <v>1473</v>
      </c>
      <c r="R569" t="s">
        <v>11362</v>
      </c>
      <c r="S569" t="s">
        <v>11363</v>
      </c>
      <c r="T569">
        <v>41477076571</v>
      </c>
      <c r="V569" t="s">
        <v>165</v>
      </c>
      <c r="W569" s="41">
        <v>45993</v>
      </c>
      <c r="X569" t="s">
        <v>3558</v>
      </c>
      <c r="Y569" t="s">
        <v>3559</v>
      </c>
      <c r="Z569" t="s">
        <v>11364</v>
      </c>
      <c r="AA569">
        <v>0</v>
      </c>
      <c r="AB569" t="s">
        <v>845</v>
      </c>
      <c r="AC569" t="s">
        <v>846</v>
      </c>
      <c r="AD569" t="s">
        <v>847</v>
      </c>
      <c r="AE569" t="s">
        <v>848</v>
      </c>
      <c r="AF569">
        <v>1</v>
      </c>
      <c r="AG569">
        <v>452210</v>
      </c>
      <c r="AH569" t="s">
        <v>849</v>
      </c>
      <c r="AI569" t="s">
        <v>850</v>
      </c>
      <c r="AJ569" t="s">
        <v>851</v>
      </c>
      <c r="AK569" t="s">
        <v>431</v>
      </c>
      <c r="AL569" t="s">
        <v>7232</v>
      </c>
      <c r="AM569" t="s">
        <v>1499</v>
      </c>
      <c r="AN569" t="s">
        <v>854</v>
      </c>
      <c r="AO569">
        <v>36805</v>
      </c>
      <c r="AP569">
        <v>544</v>
      </c>
      <c r="AQ569" t="s">
        <v>855</v>
      </c>
      <c r="AR569">
        <v>66227649</v>
      </c>
      <c r="AS569" t="s">
        <v>856</v>
      </c>
      <c r="AU569" t="s">
        <v>11365</v>
      </c>
      <c r="AV569" t="s">
        <v>11366</v>
      </c>
      <c r="AX569" t="s">
        <v>913</v>
      </c>
      <c r="AY569" t="s">
        <v>861</v>
      </c>
      <c r="AZ569" t="s">
        <v>431</v>
      </c>
      <c r="BA569" t="s">
        <v>432</v>
      </c>
      <c r="BB569">
        <v>0</v>
      </c>
      <c r="BC569">
        <v>1</v>
      </c>
      <c r="BD569">
        <v>0</v>
      </c>
      <c r="BE569" t="s">
        <v>5561</v>
      </c>
      <c r="BF569">
        <v>0</v>
      </c>
      <c r="BG569">
        <v>0</v>
      </c>
      <c r="BH569" t="s">
        <v>862</v>
      </c>
      <c r="BI569">
        <v>0</v>
      </c>
      <c r="BJ569" t="s">
        <v>862</v>
      </c>
      <c r="BK569">
        <v>1</v>
      </c>
      <c r="BL569">
        <v>1</v>
      </c>
      <c r="BM569">
        <v>0</v>
      </c>
      <c r="BN569" t="s">
        <v>596</v>
      </c>
      <c r="BO569">
        <v>153406551</v>
      </c>
      <c r="BP569" t="s">
        <v>11361</v>
      </c>
      <c r="BR569">
        <v>42791459</v>
      </c>
      <c r="BT569">
        <v>1</v>
      </c>
      <c r="BU569" t="s">
        <v>3226</v>
      </c>
      <c r="CI569">
        <v>11</v>
      </c>
      <c r="CJ569" t="s">
        <v>94</v>
      </c>
      <c r="CM569">
        <v>4010</v>
      </c>
      <c r="CO569">
        <v>7360</v>
      </c>
      <c r="CP569">
        <v>2.4666999999999999</v>
      </c>
      <c r="CQ569">
        <v>2.4666999999999999</v>
      </c>
      <c r="CR569">
        <v>3.5667</v>
      </c>
      <c r="CS569">
        <v>888</v>
      </c>
      <c r="CT569" t="s">
        <v>11366</v>
      </c>
      <c r="CU569" t="s">
        <v>11365</v>
      </c>
      <c r="CV569" t="s">
        <v>833</v>
      </c>
      <c r="CW569" t="s">
        <v>834</v>
      </c>
      <c r="CX569" t="s">
        <v>5561</v>
      </c>
      <c r="CY569">
        <v>1</v>
      </c>
      <c r="CZ569">
        <v>1</v>
      </c>
      <c r="DA569" t="s">
        <v>833</v>
      </c>
      <c r="DB569" t="s">
        <v>865</v>
      </c>
      <c r="DC569">
        <v>55378</v>
      </c>
      <c r="DD569">
        <v>44.716700000000003</v>
      </c>
      <c r="DE569" t="s">
        <v>866</v>
      </c>
      <c r="DG569" t="s">
        <v>867</v>
      </c>
      <c r="DH569" t="s">
        <v>851</v>
      </c>
      <c r="DK569" t="s">
        <v>918</v>
      </c>
      <c r="DL569" t="s">
        <v>869</v>
      </c>
      <c r="DM569">
        <v>0</v>
      </c>
      <c r="DN569">
        <v>0</v>
      </c>
      <c r="DO569">
        <v>4</v>
      </c>
      <c r="DP569" t="s">
        <v>11367</v>
      </c>
      <c r="DQ569">
        <v>16</v>
      </c>
      <c r="DR569">
        <v>2683</v>
      </c>
      <c r="DS569">
        <v>5563</v>
      </c>
      <c r="DT569">
        <v>4.5833000000000004</v>
      </c>
      <c r="DU569">
        <v>4</v>
      </c>
      <c r="DV569">
        <v>1</v>
      </c>
      <c r="DW569">
        <v>2</v>
      </c>
      <c r="DX569" t="s">
        <v>596</v>
      </c>
      <c r="DY569" t="s">
        <v>5561</v>
      </c>
      <c r="DZ569">
        <v>0</v>
      </c>
      <c r="EA569">
        <v>0</v>
      </c>
      <c r="EB569">
        <v>1</v>
      </c>
      <c r="EC569">
        <v>0</v>
      </c>
      <c r="ED569">
        <v>0</v>
      </c>
      <c r="EE569">
        <v>1</v>
      </c>
      <c r="EF569" t="s">
        <v>871</v>
      </c>
      <c r="EG569" t="s">
        <v>595</v>
      </c>
      <c r="EH569" t="s">
        <v>921</v>
      </c>
      <c r="EI569" t="s">
        <v>921</v>
      </c>
      <c r="EJ569" t="s">
        <v>159</v>
      </c>
      <c r="EK569">
        <v>9090</v>
      </c>
      <c r="EL569">
        <v>0</v>
      </c>
      <c r="EM569" t="s">
        <v>1436</v>
      </c>
      <c r="EN569">
        <v>3.5667</v>
      </c>
      <c r="EO569">
        <v>92.716666599999996</v>
      </c>
      <c r="EP569">
        <v>99991120</v>
      </c>
      <c r="EQ569" t="s">
        <v>874</v>
      </c>
      <c r="ER569" t="s">
        <v>875</v>
      </c>
      <c r="ES569" t="s">
        <v>876</v>
      </c>
      <c r="ET569" t="s">
        <v>877</v>
      </c>
      <c r="EU569" t="s">
        <v>877</v>
      </c>
      <c r="EV569" t="s">
        <v>871</v>
      </c>
      <c r="EX569" t="s">
        <v>836</v>
      </c>
      <c r="EY569" t="s">
        <v>1121</v>
      </c>
      <c r="EZ569" t="s">
        <v>1122</v>
      </c>
      <c r="FA569" t="s">
        <v>956</v>
      </c>
      <c r="FB569">
        <v>1</v>
      </c>
      <c r="FC569">
        <v>2</v>
      </c>
      <c r="FD569" s="41">
        <v>45997</v>
      </c>
      <c r="FE569" t="s">
        <v>957</v>
      </c>
      <c r="FF569">
        <v>13</v>
      </c>
      <c r="FG569" t="s">
        <v>11368</v>
      </c>
      <c r="FH569" t="s">
        <v>11369</v>
      </c>
      <c r="FI569">
        <v>1</v>
      </c>
      <c r="FJ569" t="s">
        <v>11370</v>
      </c>
      <c r="FK569" t="s">
        <v>11369</v>
      </c>
      <c r="FL569">
        <v>1</v>
      </c>
      <c r="FM569" t="s">
        <v>11371</v>
      </c>
      <c r="FN569" t="s">
        <v>11372</v>
      </c>
      <c r="FO569">
        <v>1</v>
      </c>
      <c r="FP569" t="s">
        <v>11373</v>
      </c>
      <c r="FQ569" t="s">
        <v>11365</v>
      </c>
      <c r="FR569">
        <v>1</v>
      </c>
      <c r="FS569" t="s">
        <v>3880</v>
      </c>
      <c r="FT569" t="s">
        <v>11374</v>
      </c>
      <c r="FU569">
        <v>1</v>
      </c>
      <c r="FV569" t="s">
        <v>11375</v>
      </c>
      <c r="FW569" t="s">
        <v>11376</v>
      </c>
      <c r="FX569">
        <v>1</v>
      </c>
      <c r="FY569" t="s">
        <v>890</v>
      </c>
      <c r="FZ569" t="s">
        <v>11377</v>
      </c>
      <c r="GA569" t="s">
        <v>11370</v>
      </c>
      <c r="GB569">
        <v>1</v>
      </c>
      <c r="GD569">
        <v>0</v>
      </c>
      <c r="GF569">
        <v>0</v>
      </c>
      <c r="GG569">
        <v>1</v>
      </c>
      <c r="GH569" t="s">
        <v>892</v>
      </c>
      <c r="GI569" t="s">
        <v>893</v>
      </c>
      <c r="GJ569" t="s">
        <v>11369</v>
      </c>
      <c r="GM569">
        <v>1</v>
      </c>
      <c r="GN569">
        <v>0</v>
      </c>
      <c r="GO569">
        <v>0</v>
      </c>
      <c r="GP569">
        <v>1</v>
      </c>
      <c r="GQ569">
        <v>1</v>
      </c>
      <c r="GR569">
        <v>0</v>
      </c>
      <c r="GS569">
        <v>1</v>
      </c>
      <c r="GT569">
        <v>0</v>
      </c>
      <c r="GU569">
        <v>1</v>
      </c>
      <c r="GV569">
        <v>0</v>
      </c>
      <c r="GW569">
        <v>1</v>
      </c>
      <c r="GX569">
        <v>0</v>
      </c>
      <c r="GY569">
        <v>1</v>
      </c>
      <c r="GZ569">
        <v>0</v>
      </c>
      <c r="HA569" t="s">
        <v>431</v>
      </c>
      <c r="HB569" t="s">
        <v>894</v>
      </c>
      <c r="HC569" t="s">
        <v>895</v>
      </c>
      <c r="HD569" t="s">
        <v>845</v>
      </c>
      <c r="HE569" t="s">
        <v>836</v>
      </c>
      <c r="HF569" t="s">
        <v>873</v>
      </c>
      <c r="HG569" t="s">
        <v>894</v>
      </c>
      <c r="HH569" t="s">
        <v>895</v>
      </c>
      <c r="HI569" t="s">
        <v>845</v>
      </c>
      <c r="HJ569" t="s">
        <v>836</v>
      </c>
      <c r="HK569" t="s">
        <v>1436</v>
      </c>
      <c r="HL569" t="s">
        <v>165</v>
      </c>
      <c r="HM569" t="s">
        <v>854</v>
      </c>
      <c r="HN569">
        <v>36805</v>
      </c>
      <c r="HO569">
        <v>1</v>
      </c>
      <c r="HP569" t="s">
        <v>159</v>
      </c>
      <c r="HQ569" t="s">
        <v>896</v>
      </c>
      <c r="HR569" t="s">
        <v>896</v>
      </c>
      <c r="HS569" t="s">
        <v>896</v>
      </c>
    </row>
    <row r="570" spans="1:227" x14ac:dyDescent="0.2">
      <c r="A570">
        <v>8702</v>
      </c>
      <c r="B570">
        <v>7528000240</v>
      </c>
      <c r="C570">
        <v>50</v>
      </c>
      <c r="D570" t="s">
        <v>2052</v>
      </c>
      <c r="E570" t="s">
        <v>831</v>
      </c>
      <c r="F570">
        <v>1</v>
      </c>
      <c r="G570" t="s">
        <v>11378</v>
      </c>
      <c r="H570" t="s">
        <v>11378</v>
      </c>
      <c r="I570">
        <v>0</v>
      </c>
      <c r="J570" t="s">
        <v>833</v>
      </c>
      <c r="K570" t="s">
        <v>834</v>
      </c>
      <c r="L570">
        <v>153294194</v>
      </c>
      <c r="M570" t="s">
        <v>2134</v>
      </c>
      <c r="N570" t="s">
        <v>836</v>
      </c>
      <c r="O570" t="s">
        <v>837</v>
      </c>
      <c r="P570" t="s">
        <v>2052</v>
      </c>
      <c r="Q570" t="s">
        <v>2055</v>
      </c>
      <c r="R570" t="s">
        <v>11379</v>
      </c>
      <c r="S570" t="s">
        <v>11380</v>
      </c>
      <c r="T570">
        <v>41477124943</v>
      </c>
      <c r="V570" t="s">
        <v>214</v>
      </c>
      <c r="W570" s="41">
        <v>45938</v>
      </c>
      <c r="X570" t="s">
        <v>11381</v>
      </c>
      <c r="Y570" t="s">
        <v>11382</v>
      </c>
      <c r="AA570">
        <v>0</v>
      </c>
      <c r="AB570" t="s">
        <v>845</v>
      </c>
      <c r="AC570" t="s">
        <v>846</v>
      </c>
      <c r="AD570" t="s">
        <v>847</v>
      </c>
      <c r="AE570" t="s">
        <v>848</v>
      </c>
      <c r="AF570">
        <v>1</v>
      </c>
      <c r="AG570">
        <v>452210</v>
      </c>
      <c r="AH570" t="s">
        <v>849</v>
      </c>
      <c r="AI570" t="s">
        <v>850</v>
      </c>
      <c r="AJ570" t="s">
        <v>851</v>
      </c>
      <c r="AK570" t="s">
        <v>447</v>
      </c>
      <c r="AL570" t="s">
        <v>6031</v>
      </c>
      <c r="AM570" t="s">
        <v>1902</v>
      </c>
      <c r="AN570" t="s">
        <v>854</v>
      </c>
      <c r="AO570">
        <v>36805</v>
      </c>
      <c r="AP570">
        <v>701</v>
      </c>
      <c r="AQ570" t="s">
        <v>855</v>
      </c>
      <c r="AR570">
        <v>66148715</v>
      </c>
      <c r="AS570" t="s">
        <v>856</v>
      </c>
      <c r="AU570" t="s">
        <v>11383</v>
      </c>
      <c r="AV570" t="s">
        <v>11384</v>
      </c>
      <c r="AX570" t="s">
        <v>913</v>
      </c>
      <c r="AY570" t="s">
        <v>861</v>
      </c>
      <c r="AZ570" t="s">
        <v>447</v>
      </c>
      <c r="BA570" t="s">
        <v>448</v>
      </c>
      <c r="BB570">
        <v>0</v>
      </c>
      <c r="BC570">
        <v>0</v>
      </c>
      <c r="BD570">
        <v>0</v>
      </c>
      <c r="BE570" t="s">
        <v>2134</v>
      </c>
      <c r="BF570">
        <v>0</v>
      </c>
      <c r="BG570">
        <v>0</v>
      </c>
      <c r="BH570" t="s">
        <v>862</v>
      </c>
      <c r="BI570">
        <v>0</v>
      </c>
      <c r="BJ570" t="s">
        <v>862</v>
      </c>
      <c r="BK570">
        <v>1</v>
      </c>
      <c r="BL570">
        <v>1</v>
      </c>
      <c r="BM570">
        <v>0</v>
      </c>
      <c r="BN570" t="s">
        <v>596</v>
      </c>
      <c r="BO570">
        <v>153294194</v>
      </c>
      <c r="BP570" t="s">
        <v>11378</v>
      </c>
      <c r="BR570">
        <v>42791783</v>
      </c>
      <c r="BT570">
        <v>0</v>
      </c>
      <c r="CM570">
        <v>4010</v>
      </c>
      <c r="CO570">
        <v>7360</v>
      </c>
      <c r="CP570">
        <v>0.81669999999999998</v>
      </c>
      <c r="CQ570">
        <v>0.81669999999999998</v>
      </c>
      <c r="CR570">
        <v>0.95</v>
      </c>
      <c r="CS570">
        <v>3</v>
      </c>
      <c r="CT570" t="s">
        <v>11385</v>
      </c>
      <c r="CU570" t="s">
        <v>11386</v>
      </c>
      <c r="CV570" t="s">
        <v>833</v>
      </c>
      <c r="CW570" t="s">
        <v>834</v>
      </c>
      <c r="CX570" t="s">
        <v>2134</v>
      </c>
      <c r="CY570">
        <v>0</v>
      </c>
      <c r="CZ570">
        <v>0</v>
      </c>
      <c r="DA570" t="s">
        <v>833</v>
      </c>
      <c r="DB570" t="s">
        <v>865</v>
      </c>
      <c r="DC570">
        <v>53202</v>
      </c>
      <c r="DD570">
        <v>12.2333</v>
      </c>
      <c r="DE570" t="s">
        <v>866</v>
      </c>
      <c r="DG570" t="s">
        <v>867</v>
      </c>
      <c r="DH570" t="s">
        <v>851</v>
      </c>
      <c r="DI570" t="s">
        <v>2142</v>
      </c>
      <c r="DJ570" t="s">
        <v>2143</v>
      </c>
      <c r="DL570" t="s">
        <v>869</v>
      </c>
      <c r="DM570">
        <v>0</v>
      </c>
      <c r="DN570">
        <v>0</v>
      </c>
      <c r="DO570">
        <v>59</v>
      </c>
      <c r="DP570" t="s">
        <v>2770</v>
      </c>
      <c r="DQ570">
        <v>12</v>
      </c>
      <c r="DR570">
        <v>734</v>
      </c>
      <c r="DS570">
        <v>1454</v>
      </c>
      <c r="DT570">
        <v>11.416700000000001</v>
      </c>
      <c r="DU570">
        <v>4</v>
      </c>
      <c r="DW570">
        <v>1</v>
      </c>
      <c r="DX570" t="s">
        <v>596</v>
      </c>
      <c r="DY570" t="s">
        <v>2134</v>
      </c>
      <c r="DZ570">
        <v>0</v>
      </c>
      <c r="EA570">
        <v>0</v>
      </c>
      <c r="EB570">
        <v>1</v>
      </c>
      <c r="EC570">
        <v>0</v>
      </c>
      <c r="ED570">
        <v>0</v>
      </c>
      <c r="EE570">
        <v>1</v>
      </c>
      <c r="EF570" t="s">
        <v>1526</v>
      </c>
      <c r="EG570" t="s">
        <v>595</v>
      </c>
      <c r="EH570" t="s">
        <v>1036</v>
      </c>
      <c r="EI570" t="s">
        <v>1036</v>
      </c>
      <c r="EJ570" t="s">
        <v>215</v>
      </c>
      <c r="EK570">
        <v>9090</v>
      </c>
      <c r="EL570">
        <v>0</v>
      </c>
      <c r="EM570" t="s">
        <v>873</v>
      </c>
      <c r="EN570">
        <v>0.95</v>
      </c>
      <c r="EO570">
        <v>24.233333300000002</v>
      </c>
      <c r="EP570">
        <v>99991120</v>
      </c>
      <c r="EQ570" t="s">
        <v>874</v>
      </c>
      <c r="ER570" t="s">
        <v>875</v>
      </c>
      <c r="ES570" t="s">
        <v>876</v>
      </c>
      <c r="ET570" t="s">
        <v>877</v>
      </c>
      <c r="EU570" t="s">
        <v>877</v>
      </c>
      <c r="EV570" t="s">
        <v>1526</v>
      </c>
      <c r="EX570" t="s">
        <v>836</v>
      </c>
      <c r="EY570" t="s">
        <v>873</v>
      </c>
      <c r="EZ570" t="s">
        <v>1807</v>
      </c>
      <c r="FA570" t="s">
        <v>925</v>
      </c>
      <c r="FB570">
        <v>1</v>
      </c>
      <c r="FC570">
        <v>1</v>
      </c>
      <c r="FD570" s="41">
        <v>45941</v>
      </c>
      <c r="FE570" t="s">
        <v>1039</v>
      </c>
      <c r="FF570">
        <v>8</v>
      </c>
      <c r="FG570" t="s">
        <v>6034</v>
      </c>
      <c r="FH570" t="s">
        <v>11387</v>
      </c>
      <c r="FI570">
        <v>1</v>
      </c>
      <c r="FJ570" t="s">
        <v>11388</v>
      </c>
      <c r="FK570" t="s">
        <v>11389</v>
      </c>
      <c r="FL570">
        <v>1</v>
      </c>
      <c r="FM570" t="s">
        <v>2148</v>
      </c>
      <c r="FN570" t="s">
        <v>11390</v>
      </c>
      <c r="FO570">
        <v>1</v>
      </c>
      <c r="FP570" t="s">
        <v>11391</v>
      </c>
      <c r="FQ570" t="s">
        <v>11386</v>
      </c>
      <c r="FR570">
        <v>1</v>
      </c>
      <c r="FS570" t="s">
        <v>6034</v>
      </c>
      <c r="FT570" t="s">
        <v>11392</v>
      </c>
      <c r="FU570">
        <v>1</v>
      </c>
      <c r="FV570" t="s">
        <v>11393</v>
      </c>
      <c r="FW570" t="s">
        <v>11394</v>
      </c>
      <c r="FX570">
        <v>1</v>
      </c>
      <c r="FY570" t="s">
        <v>890</v>
      </c>
      <c r="FZ570" t="s">
        <v>11395</v>
      </c>
      <c r="GA570" t="s">
        <v>11388</v>
      </c>
      <c r="GB570">
        <v>1</v>
      </c>
      <c r="GD570">
        <v>0</v>
      </c>
      <c r="GF570">
        <v>0</v>
      </c>
      <c r="GG570">
        <v>1</v>
      </c>
      <c r="GH570" t="s">
        <v>892</v>
      </c>
      <c r="GI570" t="s">
        <v>893</v>
      </c>
      <c r="GJ570" t="s">
        <v>11389</v>
      </c>
      <c r="GM570">
        <v>1</v>
      </c>
      <c r="GN570">
        <v>1</v>
      </c>
      <c r="GO570">
        <v>0</v>
      </c>
      <c r="GP570">
        <v>1</v>
      </c>
      <c r="GQ570">
        <v>1</v>
      </c>
      <c r="GR570">
        <v>0</v>
      </c>
      <c r="GS570">
        <v>1</v>
      </c>
      <c r="GT570">
        <v>0</v>
      </c>
      <c r="GU570">
        <v>1</v>
      </c>
      <c r="GV570">
        <v>0</v>
      </c>
      <c r="GW570">
        <v>1</v>
      </c>
      <c r="GX570">
        <v>0</v>
      </c>
      <c r="GY570">
        <v>1</v>
      </c>
      <c r="GZ570">
        <v>0</v>
      </c>
      <c r="HA570" t="s">
        <v>447</v>
      </c>
      <c r="HB570" t="s">
        <v>894</v>
      </c>
      <c r="HC570" t="s">
        <v>895</v>
      </c>
      <c r="HD570" t="s">
        <v>845</v>
      </c>
      <c r="HE570" t="s">
        <v>836</v>
      </c>
      <c r="HF570" t="s">
        <v>873</v>
      </c>
      <c r="HG570" t="s">
        <v>894</v>
      </c>
      <c r="HH570" t="s">
        <v>895</v>
      </c>
      <c r="HI570" t="s">
        <v>845</v>
      </c>
      <c r="HJ570" t="s">
        <v>836</v>
      </c>
      <c r="HK570" t="s">
        <v>873</v>
      </c>
      <c r="HL570" t="s">
        <v>214</v>
      </c>
      <c r="HM570" t="s">
        <v>854</v>
      </c>
      <c r="HN570">
        <v>36805</v>
      </c>
      <c r="HP570" t="s">
        <v>215</v>
      </c>
      <c r="HQ570" t="s">
        <v>896</v>
      </c>
      <c r="HR570" t="s">
        <v>896</v>
      </c>
      <c r="HS570" t="s">
        <v>896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00_README_METHODOLOGY</vt:lpstr>
      <vt:lpstr>03_EXECUTIVE_DASHBOARD</vt:lpstr>
      <vt:lpstr>04_SLA_TREND</vt:lpstr>
      <vt:lpstr>05_EXCEPTIONS_MITIGATIONS</vt:lpstr>
      <vt:lpstr>06_STORE_ANALYSIS</vt:lpstr>
      <vt:lpstr>07_TECHNICIAN_ANALYSIS</vt:lpstr>
      <vt:lpstr>08_RESOLUTION_ANALYSIS</vt:lpstr>
      <vt:lpstr>09_ADVANCED_INSIGHTS</vt:lpstr>
      <vt:lpstr>02_CLEAN_DATA</vt:lpstr>
      <vt:lpstr>01_RAW_DATA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Uros Peric</cp:lastModifiedBy>
  <cp:revision>1</cp:revision>
  <dcterms:created xsi:type="dcterms:W3CDTF">2026-08-12T14:37:55Z</dcterms:created>
  <dcterms:modified xsi:type="dcterms:W3CDTF">2026-08-12T14:41:06Z</dcterms:modified>
  <dc:language>en-US</dc:language>
</cp:coreProperties>
</file>