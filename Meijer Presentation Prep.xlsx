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uki/Desktop/"/>
    </mc:Choice>
  </mc:AlternateContent>
  <xr:revisionPtr revIDLastSave="0" documentId="13_ncr:1_{C7EADD12-49D4-2C4D-86FF-78FF7BDA00DC}" xr6:coauthVersionLast="47" xr6:coauthVersionMax="47" xr10:uidLastSave="{00000000-0000-0000-0000-000000000000}"/>
  <bookViews>
    <workbookView xWindow="0" yWindow="0" windowWidth="33600" windowHeight="21000" xr2:uid="{C787B326-B3C6-CF43-B387-6C3C9708448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47" i="1" l="1"/>
  <c r="P147" i="1"/>
  <c r="Q131" i="1"/>
  <c r="P131" i="1"/>
  <c r="Q115" i="1"/>
  <c r="P115" i="1"/>
  <c r="Q99" i="1"/>
  <c r="P99" i="1"/>
  <c r="Q83" i="1"/>
  <c r="P83" i="1"/>
  <c r="Q67" i="1"/>
  <c r="P67" i="1"/>
  <c r="Q51" i="1"/>
  <c r="P51" i="1"/>
  <c r="Q3" i="1"/>
  <c r="P3" i="1"/>
  <c r="Q35" i="1"/>
  <c r="Q19" i="1"/>
  <c r="P19" i="1"/>
  <c r="P35" i="1"/>
  <c r="L83" i="1"/>
  <c r="K83" i="1"/>
  <c r="L73" i="1"/>
  <c r="K73" i="1"/>
  <c r="L63" i="1"/>
  <c r="K63" i="1"/>
  <c r="L53" i="1"/>
  <c r="K53" i="1"/>
  <c r="L43" i="1"/>
  <c r="K43" i="1"/>
  <c r="K33" i="1"/>
  <c r="L33" i="1"/>
  <c r="L24" i="1"/>
  <c r="K24" i="1"/>
  <c r="L14" i="1"/>
  <c r="K14" i="1"/>
  <c r="L3" i="1"/>
  <c r="K3" i="1"/>
</calcChain>
</file>

<file path=xl/sharedStrings.xml><?xml version="1.0" encoding="utf-8"?>
<sst xmlns="http://schemas.openxmlformats.org/spreadsheetml/2006/main" count="410" uniqueCount="53">
  <si>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</si>
  <si>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</si>
  <si>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</si>
  <si>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</si>
  <si>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</si>
  <si>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</si>
  <si>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</si>
  <si>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</si>
  <si>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</si>
  <si>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</si>
  <si>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</si>
  <si>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</si>
  <si>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Target</t>
  </si>
  <si>
    <t>SLA</t>
  </si>
  <si>
    <t>Service Request Count</t>
  </si>
  <si>
    <t>top 10 stores</t>
  </si>
  <si>
    <t>Store Number</t>
  </si>
  <si>
    <t>City</t>
  </si>
  <si>
    <t>Traverse City</t>
  </si>
  <si>
    <t>Holland</t>
  </si>
  <si>
    <t>Cascade</t>
  </si>
  <si>
    <t>Jackson</t>
  </si>
  <si>
    <t>Midland</t>
  </si>
  <si>
    <t>Kalamazoo</t>
  </si>
  <si>
    <t>Knapps Corner</t>
  </si>
  <si>
    <t>Caledonia</t>
  </si>
  <si>
    <t>Standale</t>
  </si>
  <si>
    <t>Algoma</t>
  </si>
  <si>
    <t>231-933-1809</t>
  </si>
  <si>
    <t>616-863-3409</t>
  </si>
  <si>
    <t>616-863-6009</t>
  </si>
  <si>
    <t>317-573-8309</t>
  </si>
  <si>
    <t>574-273-3409</t>
  </si>
  <si>
    <t>734-997-3909</t>
  </si>
  <si>
    <t>616-447-1509</t>
  </si>
  <si>
    <t>734-222-0309</t>
  </si>
  <si>
    <t>616-735-2109</t>
  </si>
  <si>
    <t>833-211-611</t>
  </si>
  <si>
    <t>top 10 stores 2025</t>
  </si>
  <si>
    <t>top 10 stores 2026</t>
  </si>
  <si>
    <t>Meijer #033</t>
  </si>
  <si>
    <t>Meijer #108</t>
  </si>
  <si>
    <t>Meijer #056</t>
  </si>
  <si>
    <t>Meijer #050</t>
  </si>
  <si>
    <t>Meijer #047</t>
  </si>
  <si>
    <t>Meijer #119</t>
  </si>
  <si>
    <t>Meijer #158</t>
  </si>
  <si>
    <t>Meijer #199</t>
  </si>
  <si>
    <t>Meijer #216</t>
  </si>
  <si>
    <t>Meijer #226</t>
  </si>
  <si>
    <t>SR Count</t>
  </si>
  <si>
    <t>June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</si>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</sst>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9" fontId="0" fillId="0" borderId="0" xfId="0" applyNumberFormat="1"/>
    <xf numFmtId="9" fontId="0" fillId="0" borderId="0" xfId="0" applyNumberFormat="1" applyAlignment="1">
      <alignment horizontal="center" vertical="center"/>
    </xf>
    <xf numFmtId="0" fontId="0" fillId="0" borderId="0" xfId="0" applyAlignment="1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CC0EEE-29E7-E747-8798-C99E17065518}">
  <dimension ref="A1:R159"/>
  <sheetViews>
    <sheetView tabSelected="1" topLeftCell="A2" zoomScale="178" workbookViewId="0">
      <selection activeCell="J84" sqref="J84"/>
    </sheetView>
  </sheetViews>
  <sheetFormatPr baseColWidth="10" defaultRowHeight="16" x14ac:dyDescent="0.2"/>
  <cols>
    <col min="2" max="2" width="6.5" bestFit="1" customWidth="1"/>
    <col min="3" max="3" width="5.5" customWidth="1"/>
    <col min="4" max="4" width="19.5" bestFit="1" customWidth="1"/>
    <col min="6" max="6" width="12.6640625" bestFit="1" customWidth="1"/>
    <col min="7" max="7" width="12.83203125" bestFit="1" customWidth="1"/>
    <col min="8" max="8" width="12.6640625" bestFit="1" customWidth="1"/>
    <col min="10" max="10" width="19.5" bestFit="1" customWidth="1"/>
    <col min="11" max="11" width="18.83203125" bestFit="1" customWidth="1"/>
    <col min="15" max="15" width="12.6640625" bestFit="1" customWidth="1"/>
    <col min="18" max="18" width="6.5" style="2" bestFit="1" customWidth="1"/>
  </cols>
  <sheetData>
    <row r="1" spans="1:18" x14ac:dyDescent="0.2">
      <c r="A1" s="1">
        <v>2025</v>
      </c>
      <c r="B1" t="s">
        <v>12</v>
      </c>
      <c r="C1" t="s">
        <v>13</v>
      </c>
      <c r="D1" t="s">
        <v>14</v>
      </c>
      <c r="F1" s="5" t="s">
        <v>15</v>
      </c>
      <c r="G1" s="5"/>
      <c r="H1" s="5"/>
      <c r="J1" s="5" t="s">
        <v>39</v>
      </c>
      <c r="K1" s="5"/>
      <c r="L1" s="5"/>
      <c r="M1" s="4"/>
      <c r="O1" s="5" t="s">
        <v>38</v>
      </c>
      <c r="P1" s="5"/>
      <c r="Q1" s="5"/>
      <c r="R1" s="5"/>
    </row>
    <row r="2" spans="1:18" x14ac:dyDescent="0.2">
      <c r="A2" s="1" t="s">
        <v>0</v>
      </c>
      <c r="B2" s="2">
        <v>0.85</v>
      </c>
      <c r="C2" s="2">
        <v>0.86</v>
      </c>
      <c r="D2">
        <v>1243</v>
      </c>
      <c r="F2" s="1" t="s">
        <v>16</v>
      </c>
      <c r="G2" s="1" t="s">
        <v>17</v>
      </c>
      <c r="H2" s="1" t="s">
        <v>16</v>
      </c>
      <c r="J2" s="1" t="s">
        <v>16</v>
      </c>
      <c r="K2" s="1" t="s">
        <v>50</v>
      </c>
      <c r="L2" s="1" t="s">
        <v>13</v>
      </c>
      <c r="M2" s="1" t="s">
        <v>12</v>
      </c>
      <c r="O2" s="1" t="s">
        <v>16</v>
      </c>
      <c r="P2" s="1" t="s">
        <v>50</v>
      </c>
      <c r="Q2" s="1" t="s">
        <v>13</v>
      </c>
      <c r="R2" s="1" t="s">
        <v>12</v>
      </c>
    </row>
    <row r="3" spans="1:18" x14ac:dyDescent="0.2">
      <c r="A3" s="1" t="s">
        <v>1</v>
      </c>
      <c r="B3" s="2">
        <v>0.85</v>
      </c>
      <c r="C3" s="2">
        <v>0.85</v>
      </c>
      <c r="D3">
        <v>1290</v>
      </c>
      <c r="F3" t="s">
        <v>40</v>
      </c>
      <c r="G3" s="1" t="s">
        <v>18</v>
      </c>
      <c r="H3" s="1" t="s">
        <v>28</v>
      </c>
      <c r="J3" t="s">
        <v>40</v>
      </c>
      <c r="K3">
        <f>SUM(K4:K9)</f>
        <v>61</v>
      </c>
      <c r="L3" s="2">
        <f>AVERAGE(L4:L9)</f>
        <v>0.93833333333333335</v>
      </c>
      <c r="M3" s="2">
        <v>0.85</v>
      </c>
      <c r="O3" s="1" t="s">
        <v>40</v>
      </c>
      <c r="P3" s="1">
        <f>SUM(P4:P15)</f>
        <v>38</v>
      </c>
      <c r="Q3" s="3">
        <f>AVERAGE(Q4:Q15)</f>
        <v>0.89800000000000002</v>
      </c>
      <c r="R3" s="3">
        <v>0.85</v>
      </c>
    </row>
    <row r="4" spans="1:18" x14ac:dyDescent="0.2">
      <c r="A4" s="1" t="s">
        <v>2</v>
      </c>
      <c r="B4" s="2">
        <v>0.85</v>
      </c>
      <c r="C4" s="2">
        <v>0.86</v>
      </c>
      <c r="D4">
        <v>1416</v>
      </c>
      <c r="F4" t="s">
        <v>44</v>
      </c>
      <c r="G4" s="1" t="s">
        <v>19</v>
      </c>
      <c r="H4" s="1" t="s">
        <v>29</v>
      </c>
      <c r="J4" t="s">
        <v>0</v>
      </c>
      <c r="K4">
        <v>10</v>
      </c>
      <c r="L4" s="2">
        <v>0.8</v>
      </c>
      <c r="M4" s="2">
        <v>0.85</v>
      </c>
      <c r="O4" s="1" t="s">
        <v>0</v>
      </c>
      <c r="P4" s="1">
        <v>3</v>
      </c>
      <c r="Q4" s="3">
        <v>1</v>
      </c>
      <c r="R4" s="3">
        <v>0.85</v>
      </c>
    </row>
    <row r="5" spans="1:18" x14ac:dyDescent="0.2">
      <c r="A5" s="1" t="s">
        <v>3</v>
      </c>
      <c r="B5" s="2">
        <v>0.85</v>
      </c>
      <c r="C5" s="2">
        <v>0.87</v>
      </c>
      <c r="D5">
        <v>1225</v>
      </c>
      <c r="F5" t="s">
        <v>43</v>
      </c>
      <c r="G5" s="1" t="s">
        <v>20</v>
      </c>
      <c r="H5" s="1" t="s">
        <v>30</v>
      </c>
      <c r="J5" t="s">
        <v>1</v>
      </c>
      <c r="K5">
        <v>6</v>
      </c>
      <c r="L5" s="2">
        <v>1</v>
      </c>
      <c r="M5" s="2">
        <v>0.85</v>
      </c>
      <c r="O5" s="1" t="s">
        <v>1</v>
      </c>
      <c r="P5" s="1">
        <v>8</v>
      </c>
      <c r="Q5" s="3">
        <v>0.25</v>
      </c>
      <c r="R5" s="3">
        <v>0.85</v>
      </c>
    </row>
    <row r="6" spans="1:18" x14ac:dyDescent="0.2">
      <c r="A6" s="1" t="s">
        <v>4</v>
      </c>
      <c r="B6" s="2">
        <v>0.85</v>
      </c>
      <c r="C6" s="2">
        <v>0.93</v>
      </c>
      <c r="D6">
        <v>994</v>
      </c>
      <c r="F6" t="s">
        <v>42</v>
      </c>
      <c r="G6" s="1" t="s">
        <v>21</v>
      </c>
      <c r="H6" s="1" t="s">
        <v>31</v>
      </c>
      <c r="J6" t="s">
        <v>2</v>
      </c>
      <c r="K6">
        <v>36</v>
      </c>
      <c r="L6" s="2">
        <v>0.97</v>
      </c>
      <c r="M6" s="2">
        <v>0.85</v>
      </c>
      <c r="O6" s="1" t="s">
        <v>2</v>
      </c>
      <c r="P6" s="1">
        <v>4</v>
      </c>
      <c r="Q6" s="3">
        <v>1</v>
      </c>
      <c r="R6" s="3">
        <v>0.85</v>
      </c>
    </row>
    <row r="7" spans="1:18" x14ac:dyDescent="0.2">
      <c r="A7" s="1" t="s">
        <v>5</v>
      </c>
      <c r="B7" s="2">
        <v>0.85</v>
      </c>
      <c r="C7" s="2">
        <v>0.91</v>
      </c>
      <c r="D7">
        <v>725</v>
      </c>
      <c r="F7" t="s">
        <v>41</v>
      </c>
      <c r="G7" s="1" t="s">
        <v>22</v>
      </c>
      <c r="H7" s="1" t="s">
        <v>32</v>
      </c>
      <c r="J7" t="s">
        <v>3</v>
      </c>
      <c r="K7">
        <v>7</v>
      </c>
      <c r="L7" s="2">
        <v>0.86</v>
      </c>
      <c r="M7" s="2">
        <v>0.85</v>
      </c>
      <c r="O7" s="1" t="s">
        <v>3</v>
      </c>
      <c r="P7" s="1">
        <v>11</v>
      </c>
      <c r="Q7" s="3">
        <v>0.73</v>
      </c>
      <c r="R7" s="3">
        <v>0.85</v>
      </c>
    </row>
    <row r="8" spans="1:18" x14ac:dyDescent="0.2">
      <c r="A8" s="1" t="s">
        <v>6</v>
      </c>
      <c r="B8" s="2">
        <v>0.85</v>
      </c>
      <c r="C8" s="2">
        <v>0.93</v>
      </c>
      <c r="D8">
        <v>818</v>
      </c>
      <c r="F8" t="s">
        <v>45</v>
      </c>
      <c r="G8" s="1" t="s">
        <v>23</v>
      </c>
      <c r="H8" s="3" t="s">
        <v>33</v>
      </c>
      <c r="J8" t="s">
        <v>4</v>
      </c>
      <c r="K8">
        <v>1</v>
      </c>
      <c r="L8" s="2">
        <v>1</v>
      </c>
      <c r="M8" s="2">
        <v>0.85</v>
      </c>
      <c r="O8" s="1" t="s">
        <v>4</v>
      </c>
      <c r="P8" s="1">
        <v>3</v>
      </c>
      <c r="Q8" s="3">
        <v>1</v>
      </c>
      <c r="R8" s="3">
        <v>0.85</v>
      </c>
    </row>
    <row r="9" spans="1:18" x14ac:dyDescent="0.2">
      <c r="A9" s="1" t="s">
        <v>7</v>
      </c>
      <c r="B9" s="2">
        <v>0.85</v>
      </c>
      <c r="C9" s="2">
        <v>0.92</v>
      </c>
      <c r="D9">
        <v>711</v>
      </c>
      <c r="F9" t="s">
        <v>46</v>
      </c>
      <c r="G9" s="1" t="s">
        <v>24</v>
      </c>
      <c r="H9" s="3" t="s">
        <v>34</v>
      </c>
      <c r="J9" t="s">
        <v>5</v>
      </c>
      <c r="K9">
        <v>1</v>
      </c>
      <c r="L9" s="2">
        <v>1</v>
      </c>
      <c r="M9" s="2">
        <v>0.85</v>
      </c>
      <c r="O9" s="1" t="s">
        <v>5</v>
      </c>
      <c r="P9" s="1">
        <v>1</v>
      </c>
      <c r="Q9" s="3">
        <v>1</v>
      </c>
      <c r="R9" s="3">
        <v>0.85</v>
      </c>
    </row>
    <row r="10" spans="1:18" x14ac:dyDescent="0.2">
      <c r="A10" s="1" t="s">
        <v>8</v>
      </c>
      <c r="B10" s="2">
        <v>0.85</v>
      </c>
      <c r="C10" s="2">
        <v>0.9</v>
      </c>
      <c r="D10">
        <v>828</v>
      </c>
      <c r="F10" t="s">
        <v>47</v>
      </c>
      <c r="G10" s="1" t="s">
        <v>25</v>
      </c>
      <c r="H10" s="3" t="s">
        <v>35</v>
      </c>
      <c r="M10" s="2"/>
      <c r="O10" s="1" t="s">
        <v>6</v>
      </c>
      <c r="P10" s="1" t="s">
        <v>52</v>
      </c>
      <c r="Q10" s="1" t="s">
        <v>52</v>
      </c>
      <c r="R10" s="3">
        <v>0.85</v>
      </c>
    </row>
    <row r="11" spans="1:18" x14ac:dyDescent="0.2">
      <c r="A11" s="1" t="s">
        <v>9</v>
      </c>
      <c r="B11" s="2">
        <v>0.85</v>
      </c>
      <c r="C11" s="2">
        <v>0.92</v>
      </c>
      <c r="D11">
        <v>822</v>
      </c>
      <c r="F11" t="s">
        <v>48</v>
      </c>
      <c r="G11" s="1" t="s">
        <v>26</v>
      </c>
      <c r="H11" s="3" t="s">
        <v>36</v>
      </c>
      <c r="M11" s="2"/>
      <c r="O11" s="1" t="s">
        <v>7</v>
      </c>
      <c r="P11" s="1" t="s">
        <v>52</v>
      </c>
      <c r="Q11" s="1" t="s">
        <v>52</v>
      </c>
      <c r="R11" s="3">
        <v>0.85</v>
      </c>
    </row>
    <row r="12" spans="1:18" x14ac:dyDescent="0.2">
      <c r="A12" s="1" t="s">
        <v>10</v>
      </c>
      <c r="B12" s="2">
        <v>0.85</v>
      </c>
      <c r="C12" s="2">
        <v>0.9</v>
      </c>
      <c r="D12">
        <v>993</v>
      </c>
      <c r="F12" t="s">
        <v>49</v>
      </c>
      <c r="G12" s="1" t="s">
        <v>27</v>
      </c>
      <c r="H12" s="3" t="s">
        <v>37</v>
      </c>
      <c r="J12" s="5" t="s">
        <v>39</v>
      </c>
      <c r="K12" s="5"/>
      <c r="L12" s="5"/>
      <c r="M12" s="4"/>
      <c r="O12" s="1" t="s">
        <v>8</v>
      </c>
      <c r="P12" s="1">
        <v>2</v>
      </c>
      <c r="Q12" s="3">
        <v>1</v>
      </c>
      <c r="R12" s="3">
        <v>0.85</v>
      </c>
    </row>
    <row r="13" spans="1:18" x14ac:dyDescent="0.2">
      <c r="A13" s="1" t="s">
        <v>11</v>
      </c>
      <c r="B13" s="2">
        <v>0.85</v>
      </c>
      <c r="C13" s="2">
        <v>0.89</v>
      </c>
      <c r="D13">
        <v>1006</v>
      </c>
      <c r="G13" s="1"/>
      <c r="H13" s="2"/>
      <c r="J13" s="1" t="s">
        <v>16</v>
      </c>
      <c r="K13" s="1" t="s">
        <v>50</v>
      </c>
      <c r="L13" s="1" t="s">
        <v>13</v>
      </c>
      <c r="M13" s="1" t="s">
        <v>12</v>
      </c>
      <c r="O13" s="1" t="s">
        <v>9</v>
      </c>
      <c r="P13" s="1">
        <v>2</v>
      </c>
      <c r="Q13" s="3">
        <v>1</v>
      </c>
      <c r="R13" s="3">
        <v>0.85</v>
      </c>
    </row>
    <row r="14" spans="1:18" x14ac:dyDescent="0.2">
      <c r="J14" t="s">
        <v>44</v>
      </c>
      <c r="K14">
        <f>SUM(K15:K20)</f>
        <v>34</v>
      </c>
      <c r="L14" s="2">
        <f>AVERAGE(L15:L20)</f>
        <v>1</v>
      </c>
      <c r="M14" s="2">
        <v>0.85</v>
      </c>
      <c r="O14" s="1" t="s">
        <v>10</v>
      </c>
      <c r="P14" s="1">
        <v>2</v>
      </c>
      <c r="Q14" s="3">
        <v>1</v>
      </c>
      <c r="R14" s="3">
        <v>0.85</v>
      </c>
    </row>
    <row r="15" spans="1:18" x14ac:dyDescent="0.2">
      <c r="J15" t="s">
        <v>0</v>
      </c>
      <c r="K15">
        <v>5</v>
      </c>
      <c r="L15" s="2">
        <v>1</v>
      </c>
      <c r="M15" s="2">
        <v>0.85</v>
      </c>
      <c r="O15" s="1" t="s">
        <v>11</v>
      </c>
      <c r="P15" s="1">
        <v>2</v>
      </c>
      <c r="Q15" s="3">
        <v>1</v>
      </c>
      <c r="R15" s="3">
        <v>0.85</v>
      </c>
    </row>
    <row r="16" spans="1:18" x14ac:dyDescent="0.2">
      <c r="A16" s="1">
        <v>2026</v>
      </c>
      <c r="B16" s="1" t="s">
        <v>12</v>
      </c>
      <c r="C16" s="1" t="s">
        <v>13</v>
      </c>
      <c r="D16" s="1" t="s">
        <v>14</v>
      </c>
      <c r="J16" t="s">
        <v>1</v>
      </c>
      <c r="K16">
        <v>10</v>
      </c>
      <c r="L16" s="2">
        <v>1</v>
      </c>
      <c r="M16" s="2">
        <v>0.85</v>
      </c>
    </row>
    <row r="17" spans="1:18" x14ac:dyDescent="0.2">
      <c r="A17" s="1" t="s">
        <v>0</v>
      </c>
      <c r="B17" s="3">
        <v>0.85</v>
      </c>
      <c r="C17" s="3">
        <v>0.93</v>
      </c>
      <c r="D17" s="1">
        <v>1141</v>
      </c>
      <c r="J17" t="s">
        <v>2</v>
      </c>
      <c r="K17">
        <v>6</v>
      </c>
      <c r="L17" s="2">
        <v>1</v>
      </c>
      <c r="M17" s="2">
        <v>0.85</v>
      </c>
      <c r="O17" s="5" t="s">
        <v>38</v>
      </c>
      <c r="P17" s="5"/>
      <c r="Q17" s="5"/>
      <c r="R17" s="5"/>
    </row>
    <row r="18" spans="1:18" x14ac:dyDescent="0.2">
      <c r="A18" s="1" t="s">
        <v>1</v>
      </c>
      <c r="B18" s="3">
        <v>0.85</v>
      </c>
      <c r="C18" s="3">
        <v>0.93</v>
      </c>
      <c r="D18" s="1">
        <v>1084</v>
      </c>
      <c r="J18" t="s">
        <v>3</v>
      </c>
      <c r="K18">
        <v>3</v>
      </c>
      <c r="L18" s="2">
        <v>1</v>
      </c>
      <c r="M18" s="2">
        <v>0.85</v>
      </c>
      <c r="O18" s="1" t="s">
        <v>16</v>
      </c>
      <c r="P18" s="1" t="s">
        <v>50</v>
      </c>
      <c r="Q18" s="1" t="s">
        <v>13</v>
      </c>
      <c r="R18" s="1" t="s">
        <v>12</v>
      </c>
    </row>
    <row r="19" spans="1:18" x14ac:dyDescent="0.2">
      <c r="A19" s="1" t="s">
        <v>2</v>
      </c>
      <c r="B19" s="3">
        <v>0.85</v>
      </c>
      <c r="C19" s="3">
        <v>0.93</v>
      </c>
      <c r="D19" s="1">
        <v>1274</v>
      </c>
      <c r="J19" t="s">
        <v>4</v>
      </c>
      <c r="K19">
        <v>8</v>
      </c>
      <c r="L19" s="2">
        <v>1</v>
      </c>
      <c r="M19" s="2">
        <v>0.85</v>
      </c>
      <c r="O19" s="1" t="s">
        <v>44</v>
      </c>
      <c r="P19" s="1">
        <f>SUM(P20:P31)</f>
        <v>31</v>
      </c>
      <c r="Q19" s="3">
        <f>AVERAGE(Q20:Q31)</f>
        <v>0.97875000000000001</v>
      </c>
      <c r="R19" s="3">
        <v>0.85</v>
      </c>
    </row>
    <row r="20" spans="1:18" x14ac:dyDescent="0.2">
      <c r="A20" s="1" t="s">
        <v>3</v>
      </c>
      <c r="B20" s="3">
        <v>0.85</v>
      </c>
      <c r="C20" s="3">
        <v>0.92</v>
      </c>
      <c r="D20" s="1">
        <v>1259</v>
      </c>
      <c r="J20" t="s">
        <v>5</v>
      </c>
      <c r="K20">
        <v>2</v>
      </c>
      <c r="L20" s="2">
        <v>1</v>
      </c>
      <c r="M20" s="2">
        <v>0.85</v>
      </c>
      <c r="O20" s="1" t="s">
        <v>0</v>
      </c>
      <c r="P20" s="1"/>
      <c r="Q20" s="3">
        <v>1</v>
      </c>
      <c r="R20" s="3">
        <v>0.85</v>
      </c>
    </row>
    <row r="21" spans="1:18" x14ac:dyDescent="0.2">
      <c r="A21" s="1" t="s">
        <v>4</v>
      </c>
      <c r="B21" s="3">
        <v>0.85</v>
      </c>
      <c r="C21" s="3">
        <v>0.94</v>
      </c>
      <c r="D21" s="1">
        <v>1205</v>
      </c>
      <c r="O21" s="1" t="s">
        <v>1</v>
      </c>
      <c r="P21" s="1">
        <v>2</v>
      </c>
      <c r="Q21" s="3">
        <v>1</v>
      </c>
      <c r="R21" s="3">
        <v>0.85</v>
      </c>
    </row>
    <row r="22" spans="1:18" x14ac:dyDescent="0.2">
      <c r="A22" s="1" t="s">
        <v>5</v>
      </c>
      <c r="B22" s="3">
        <v>0.85</v>
      </c>
      <c r="C22" s="3">
        <v>0.92</v>
      </c>
      <c r="D22" s="1">
        <v>1208</v>
      </c>
      <c r="J22" s="5" t="s">
        <v>39</v>
      </c>
      <c r="K22" s="5"/>
      <c r="L22" s="5"/>
      <c r="M22" s="4"/>
      <c r="O22" s="1" t="s">
        <v>2</v>
      </c>
      <c r="P22" s="1">
        <v>9</v>
      </c>
      <c r="Q22" s="3">
        <v>1</v>
      </c>
      <c r="R22" s="3">
        <v>0.85</v>
      </c>
    </row>
    <row r="23" spans="1:18" x14ac:dyDescent="0.2">
      <c r="J23" s="1" t="s">
        <v>16</v>
      </c>
      <c r="K23" s="1" t="s">
        <v>50</v>
      </c>
      <c r="L23" s="1" t="s">
        <v>13</v>
      </c>
      <c r="M23" s="1" t="s">
        <v>12</v>
      </c>
      <c r="O23" s="1" t="s">
        <v>3</v>
      </c>
      <c r="P23" s="1">
        <v>2</v>
      </c>
      <c r="Q23" s="3">
        <v>1</v>
      </c>
      <c r="R23" s="3">
        <v>0.85</v>
      </c>
    </row>
    <row r="24" spans="1:18" x14ac:dyDescent="0.2">
      <c r="J24" t="s">
        <v>43</v>
      </c>
      <c r="K24">
        <f>SUM(K25:K30)</f>
        <v>19</v>
      </c>
      <c r="L24" s="2">
        <f>AVERAGE(L25:L30)</f>
        <v>1</v>
      </c>
      <c r="M24" s="2">
        <v>0.85</v>
      </c>
      <c r="O24" s="1" t="s">
        <v>4</v>
      </c>
      <c r="P24" s="1">
        <v>5</v>
      </c>
      <c r="Q24" s="3">
        <v>1</v>
      </c>
      <c r="R24" s="3">
        <v>0.85</v>
      </c>
    </row>
    <row r="25" spans="1:18" x14ac:dyDescent="0.2">
      <c r="J25" t="s">
        <v>0</v>
      </c>
      <c r="K25">
        <v>5</v>
      </c>
      <c r="L25" s="2">
        <v>1</v>
      </c>
      <c r="M25" s="2">
        <v>0.85</v>
      </c>
      <c r="O25" s="1" t="s">
        <v>5</v>
      </c>
      <c r="P25" s="1">
        <v>6</v>
      </c>
      <c r="Q25" s="3">
        <v>0.83</v>
      </c>
      <c r="R25" s="3">
        <v>0.85</v>
      </c>
    </row>
    <row r="26" spans="1:18" x14ac:dyDescent="0.2">
      <c r="J26" t="s">
        <v>1</v>
      </c>
      <c r="K26">
        <v>2</v>
      </c>
      <c r="L26" s="2">
        <v>1</v>
      </c>
      <c r="M26" s="2">
        <v>0.85</v>
      </c>
      <c r="O26" s="1" t="s">
        <v>6</v>
      </c>
      <c r="P26" s="1" t="s">
        <v>52</v>
      </c>
      <c r="Q26" s="1" t="s">
        <v>52</v>
      </c>
      <c r="R26" s="3">
        <v>0.85</v>
      </c>
    </row>
    <row r="27" spans="1:18" x14ac:dyDescent="0.2">
      <c r="J27" t="s">
        <v>2</v>
      </c>
      <c r="K27">
        <v>5</v>
      </c>
      <c r="L27" s="2">
        <v>1</v>
      </c>
      <c r="M27" s="2">
        <v>0.85</v>
      </c>
      <c r="O27" s="1" t="s">
        <v>7</v>
      </c>
      <c r="P27" s="1">
        <v>2</v>
      </c>
      <c r="Q27" s="1" t="s">
        <v>52</v>
      </c>
      <c r="R27" s="3">
        <v>0.85</v>
      </c>
    </row>
    <row r="28" spans="1:18" x14ac:dyDescent="0.2">
      <c r="J28" t="s">
        <v>3</v>
      </c>
      <c r="K28">
        <v>6</v>
      </c>
      <c r="L28" s="2">
        <v>1</v>
      </c>
      <c r="M28" s="2">
        <v>0.85</v>
      </c>
      <c r="O28" s="1" t="s">
        <v>8</v>
      </c>
      <c r="P28" s="1" t="s">
        <v>52</v>
      </c>
      <c r="Q28" s="1" t="s">
        <v>52</v>
      </c>
      <c r="R28" s="3">
        <v>0.85</v>
      </c>
    </row>
    <row r="29" spans="1:18" x14ac:dyDescent="0.2">
      <c r="J29" t="s">
        <v>4</v>
      </c>
      <c r="K29">
        <v>1</v>
      </c>
      <c r="L29" s="2">
        <v>1</v>
      </c>
      <c r="M29" s="2">
        <v>0.85</v>
      </c>
      <c r="O29" s="1" t="s">
        <v>9</v>
      </c>
      <c r="P29" s="1">
        <v>1</v>
      </c>
      <c r="Q29" s="3">
        <v>1</v>
      </c>
      <c r="R29" s="3">
        <v>0.85</v>
      </c>
    </row>
    <row r="30" spans="1:18" x14ac:dyDescent="0.2">
      <c r="L30" s="2"/>
      <c r="M30" s="2"/>
      <c r="O30" s="1" t="s">
        <v>10</v>
      </c>
      <c r="P30" s="1" t="s">
        <v>52</v>
      </c>
      <c r="Q30" s="1" t="s">
        <v>52</v>
      </c>
      <c r="R30" s="3">
        <v>0.85</v>
      </c>
    </row>
    <row r="31" spans="1:18" x14ac:dyDescent="0.2">
      <c r="J31" s="5" t="s">
        <v>39</v>
      </c>
      <c r="K31" s="5"/>
      <c r="L31" s="5"/>
      <c r="M31" s="4"/>
      <c r="O31" s="1" t="s">
        <v>11</v>
      </c>
      <c r="P31" s="1">
        <v>4</v>
      </c>
      <c r="Q31" s="3">
        <v>1</v>
      </c>
      <c r="R31" s="3">
        <v>0.85</v>
      </c>
    </row>
    <row r="32" spans="1:18" x14ac:dyDescent="0.2">
      <c r="J32" s="1" t="s">
        <v>16</v>
      </c>
      <c r="K32" s="1" t="s">
        <v>50</v>
      </c>
      <c r="L32" s="1" t="s">
        <v>13</v>
      </c>
      <c r="M32" s="1" t="s">
        <v>12</v>
      </c>
    </row>
    <row r="33" spans="10:18" x14ac:dyDescent="0.2">
      <c r="J33" t="s">
        <v>42</v>
      </c>
      <c r="K33">
        <f>SUM(K34:K39)</f>
        <v>39</v>
      </c>
      <c r="L33" s="2">
        <f>AVERAGE(L34:L39)</f>
        <v>1</v>
      </c>
      <c r="M33" s="2">
        <v>0.85</v>
      </c>
      <c r="O33" s="5" t="s">
        <v>38</v>
      </c>
      <c r="P33" s="5"/>
      <c r="Q33" s="5"/>
      <c r="R33" s="5"/>
    </row>
    <row r="34" spans="10:18" x14ac:dyDescent="0.2">
      <c r="J34" t="s">
        <v>0</v>
      </c>
      <c r="K34">
        <v>4</v>
      </c>
      <c r="L34" s="2">
        <v>1</v>
      </c>
      <c r="M34" s="2">
        <v>0.85</v>
      </c>
      <c r="O34" s="1" t="s">
        <v>16</v>
      </c>
      <c r="P34" s="1" t="s">
        <v>50</v>
      </c>
      <c r="Q34" s="1" t="s">
        <v>13</v>
      </c>
      <c r="R34" s="1" t="s">
        <v>12</v>
      </c>
    </row>
    <row r="35" spans="10:18" x14ac:dyDescent="0.2">
      <c r="J35" t="s">
        <v>1</v>
      </c>
      <c r="K35">
        <v>14</v>
      </c>
      <c r="L35" s="2">
        <v>1</v>
      </c>
      <c r="M35" s="2">
        <v>0.85</v>
      </c>
      <c r="O35" s="1" t="s">
        <v>43</v>
      </c>
      <c r="P35" s="1">
        <f>SUM(P36:P47)</f>
        <v>58</v>
      </c>
      <c r="Q35" s="3">
        <f>AVERAGE(Q36:Q47)</f>
        <v>0.93142857142857138</v>
      </c>
      <c r="R35" s="3">
        <v>0.85</v>
      </c>
    </row>
    <row r="36" spans="10:18" x14ac:dyDescent="0.2">
      <c r="J36" t="s">
        <v>2</v>
      </c>
      <c r="K36">
        <v>7</v>
      </c>
      <c r="L36" s="2">
        <v>1</v>
      </c>
      <c r="M36" s="2">
        <v>0.85</v>
      </c>
      <c r="O36" s="1" t="s">
        <v>0</v>
      </c>
      <c r="P36" s="1">
        <v>4</v>
      </c>
      <c r="Q36" s="3">
        <v>1</v>
      </c>
      <c r="R36" s="3">
        <v>0.85</v>
      </c>
    </row>
    <row r="37" spans="10:18" x14ac:dyDescent="0.2">
      <c r="J37" t="s">
        <v>3</v>
      </c>
      <c r="K37">
        <v>10</v>
      </c>
      <c r="L37" s="2">
        <v>1</v>
      </c>
      <c r="M37" s="2">
        <v>0.85</v>
      </c>
      <c r="O37" s="1" t="s">
        <v>1</v>
      </c>
      <c r="P37" s="1">
        <v>22</v>
      </c>
      <c r="Q37" s="3">
        <v>0.86</v>
      </c>
      <c r="R37" s="3">
        <v>0.85</v>
      </c>
    </row>
    <row r="38" spans="10:18" x14ac:dyDescent="0.2">
      <c r="J38" t="s">
        <v>4</v>
      </c>
      <c r="K38">
        <v>1</v>
      </c>
      <c r="L38" s="2">
        <v>1</v>
      </c>
      <c r="M38" s="2">
        <v>0.85</v>
      </c>
      <c r="O38" s="1" t="s">
        <v>2</v>
      </c>
      <c r="P38" s="1">
        <v>12</v>
      </c>
      <c r="Q38" s="3">
        <v>0.83</v>
      </c>
      <c r="R38" s="3">
        <v>0.85</v>
      </c>
    </row>
    <row r="39" spans="10:18" x14ac:dyDescent="0.2">
      <c r="J39" t="s">
        <v>51</v>
      </c>
      <c r="K39">
        <v>3</v>
      </c>
      <c r="L39" s="2">
        <v>1</v>
      </c>
      <c r="M39" s="2">
        <v>0.85</v>
      </c>
      <c r="O39" s="1" t="s">
        <v>3</v>
      </c>
      <c r="P39" s="1">
        <v>5</v>
      </c>
      <c r="Q39" s="3">
        <v>1</v>
      </c>
      <c r="R39" s="3">
        <v>0.85</v>
      </c>
    </row>
    <row r="40" spans="10:18" x14ac:dyDescent="0.2">
      <c r="O40" s="1" t="s">
        <v>4</v>
      </c>
      <c r="P40" s="1">
        <v>9</v>
      </c>
      <c r="Q40" s="3">
        <v>1</v>
      </c>
      <c r="R40" s="3">
        <v>0.85</v>
      </c>
    </row>
    <row r="41" spans="10:18" x14ac:dyDescent="0.2">
      <c r="J41" s="5" t="s">
        <v>39</v>
      </c>
      <c r="K41" s="5"/>
      <c r="L41" s="5"/>
      <c r="M41" s="4"/>
      <c r="O41" s="1" t="s">
        <v>5</v>
      </c>
      <c r="P41" s="1">
        <v>4</v>
      </c>
      <c r="Q41" s="3">
        <v>0.83</v>
      </c>
      <c r="R41" s="3">
        <v>0.85</v>
      </c>
    </row>
    <row r="42" spans="10:18" x14ac:dyDescent="0.2">
      <c r="J42" s="1" t="s">
        <v>16</v>
      </c>
      <c r="K42" s="1" t="s">
        <v>50</v>
      </c>
      <c r="L42" s="1" t="s">
        <v>13</v>
      </c>
      <c r="M42" s="1" t="s">
        <v>12</v>
      </c>
      <c r="O42" s="1" t="s">
        <v>6</v>
      </c>
      <c r="P42" s="1" t="s">
        <v>52</v>
      </c>
      <c r="Q42" s="1" t="s">
        <v>52</v>
      </c>
      <c r="R42" s="3">
        <v>0.85</v>
      </c>
    </row>
    <row r="43" spans="10:18" x14ac:dyDescent="0.2">
      <c r="J43" t="s">
        <v>41</v>
      </c>
      <c r="K43">
        <f>SUM(K44:K49)</f>
        <v>34</v>
      </c>
      <c r="L43" s="2">
        <f>AVERAGE(L44:L49)</f>
        <v>0.96666666666666667</v>
      </c>
      <c r="M43" s="2">
        <v>0.85</v>
      </c>
      <c r="O43" s="1" t="s">
        <v>7</v>
      </c>
      <c r="P43" s="1" t="s">
        <v>52</v>
      </c>
      <c r="Q43" s="1" t="s">
        <v>52</v>
      </c>
      <c r="R43" s="3">
        <v>0.85</v>
      </c>
    </row>
    <row r="44" spans="10:18" x14ac:dyDescent="0.2">
      <c r="J44" t="s">
        <v>0</v>
      </c>
      <c r="K44">
        <v>6</v>
      </c>
      <c r="L44" s="2">
        <v>1</v>
      </c>
      <c r="M44" s="2">
        <v>0.85</v>
      </c>
      <c r="O44" s="1" t="s">
        <v>8</v>
      </c>
      <c r="P44" s="1" t="s">
        <v>52</v>
      </c>
      <c r="Q44" s="1" t="s">
        <v>52</v>
      </c>
      <c r="R44" s="3">
        <v>0.85</v>
      </c>
    </row>
    <row r="45" spans="10:18" x14ac:dyDescent="0.2">
      <c r="J45" t="s">
        <v>1</v>
      </c>
      <c r="K45">
        <v>5</v>
      </c>
      <c r="L45" s="2">
        <v>0.8</v>
      </c>
      <c r="M45" s="2">
        <v>0.85</v>
      </c>
      <c r="O45" s="1" t="s">
        <v>9</v>
      </c>
      <c r="P45" s="1" t="s">
        <v>52</v>
      </c>
      <c r="Q45" s="1" t="s">
        <v>52</v>
      </c>
      <c r="R45" s="3">
        <v>0.85</v>
      </c>
    </row>
    <row r="46" spans="10:18" x14ac:dyDescent="0.2">
      <c r="J46" t="s">
        <v>2</v>
      </c>
      <c r="K46">
        <v>6</v>
      </c>
      <c r="L46" s="2">
        <v>1</v>
      </c>
      <c r="M46" s="2">
        <v>0.85</v>
      </c>
      <c r="O46" s="1" t="s">
        <v>10</v>
      </c>
      <c r="P46" s="1" t="s">
        <v>52</v>
      </c>
      <c r="Q46" s="1" t="s">
        <v>52</v>
      </c>
      <c r="R46" s="3">
        <v>0.85</v>
      </c>
    </row>
    <row r="47" spans="10:18" x14ac:dyDescent="0.2">
      <c r="J47" t="s">
        <v>3</v>
      </c>
      <c r="K47">
        <v>9</v>
      </c>
      <c r="L47" s="2">
        <v>1</v>
      </c>
      <c r="M47" s="2">
        <v>0.85</v>
      </c>
      <c r="O47" s="1" t="s">
        <v>11</v>
      </c>
      <c r="P47" s="1">
        <v>2</v>
      </c>
      <c r="Q47" s="3">
        <v>1</v>
      </c>
      <c r="R47" s="3">
        <v>0.85</v>
      </c>
    </row>
    <row r="48" spans="10:18" x14ac:dyDescent="0.2">
      <c r="J48" t="s">
        <v>4</v>
      </c>
      <c r="K48">
        <v>4</v>
      </c>
      <c r="L48" s="2">
        <v>1</v>
      </c>
      <c r="M48" s="2">
        <v>0.85</v>
      </c>
    </row>
    <row r="49" spans="10:18" x14ac:dyDescent="0.2">
      <c r="J49" t="s">
        <v>51</v>
      </c>
      <c r="K49">
        <v>4</v>
      </c>
      <c r="L49" s="2">
        <v>1</v>
      </c>
      <c r="M49" s="2">
        <v>0.85</v>
      </c>
      <c r="O49" s="5" t="s">
        <v>38</v>
      </c>
      <c r="P49" s="5"/>
      <c r="Q49" s="5"/>
      <c r="R49" s="5"/>
    </row>
    <row r="50" spans="10:18" x14ac:dyDescent="0.2">
      <c r="O50" s="1" t="s">
        <v>16</v>
      </c>
      <c r="P50" s="1" t="s">
        <v>50</v>
      </c>
      <c r="Q50" s="1" t="s">
        <v>13</v>
      </c>
      <c r="R50" s="1" t="s">
        <v>12</v>
      </c>
    </row>
    <row r="51" spans="10:18" x14ac:dyDescent="0.2">
      <c r="J51" s="5" t="s">
        <v>39</v>
      </c>
      <c r="K51" s="5"/>
      <c r="L51" s="5"/>
      <c r="M51" s="4"/>
      <c r="O51" s="1" t="s">
        <v>42</v>
      </c>
      <c r="P51" s="1">
        <f>SUM(P52:P63)</f>
        <v>44</v>
      </c>
      <c r="Q51" s="3">
        <f>AVERAGE(Q52:Q63)</f>
        <v>0.90700000000000003</v>
      </c>
      <c r="R51" s="3">
        <v>0.85</v>
      </c>
    </row>
    <row r="52" spans="10:18" x14ac:dyDescent="0.2">
      <c r="J52" s="1" t="s">
        <v>16</v>
      </c>
      <c r="K52" s="1" t="s">
        <v>50</v>
      </c>
      <c r="L52" s="1" t="s">
        <v>13</v>
      </c>
      <c r="M52" s="1" t="s">
        <v>12</v>
      </c>
      <c r="O52" s="1" t="s">
        <v>0</v>
      </c>
      <c r="P52" s="1">
        <v>2</v>
      </c>
      <c r="Q52" s="3">
        <v>0.5</v>
      </c>
      <c r="R52" s="3">
        <v>0.85</v>
      </c>
    </row>
    <row r="53" spans="10:18" x14ac:dyDescent="0.2">
      <c r="J53" t="s">
        <v>45</v>
      </c>
      <c r="K53">
        <f>SUM(K54:K59)</f>
        <v>66</v>
      </c>
      <c r="L53" s="2">
        <f>AVERAGE(L54:L59)</f>
        <v>0.81333333333333335</v>
      </c>
      <c r="M53" s="2">
        <v>0.85</v>
      </c>
      <c r="O53" s="1" t="s">
        <v>1</v>
      </c>
      <c r="P53" s="1">
        <v>10</v>
      </c>
      <c r="Q53" s="3">
        <v>0.9</v>
      </c>
      <c r="R53" s="3">
        <v>0.85</v>
      </c>
    </row>
    <row r="54" spans="10:18" x14ac:dyDescent="0.2">
      <c r="J54" t="s">
        <v>0</v>
      </c>
      <c r="K54">
        <v>1</v>
      </c>
      <c r="L54" s="2">
        <v>1</v>
      </c>
      <c r="M54" s="2">
        <v>0.85</v>
      </c>
      <c r="O54" s="1" t="s">
        <v>2</v>
      </c>
      <c r="P54" s="1">
        <v>4</v>
      </c>
      <c r="Q54" s="3">
        <v>1</v>
      </c>
      <c r="R54" s="3">
        <v>0.85</v>
      </c>
    </row>
    <row r="55" spans="10:18" x14ac:dyDescent="0.2">
      <c r="J55" t="s">
        <v>1</v>
      </c>
      <c r="K55">
        <v>6</v>
      </c>
      <c r="L55" s="2">
        <v>0.83</v>
      </c>
      <c r="M55" s="2">
        <v>0.85</v>
      </c>
      <c r="O55" s="1" t="s">
        <v>3</v>
      </c>
      <c r="P55" s="1">
        <v>4</v>
      </c>
      <c r="Q55" s="3">
        <v>1</v>
      </c>
      <c r="R55" s="3">
        <v>0.85</v>
      </c>
    </row>
    <row r="56" spans="10:18" x14ac:dyDescent="0.2">
      <c r="J56" t="s">
        <v>2</v>
      </c>
      <c r="K56">
        <v>3</v>
      </c>
      <c r="L56" s="2">
        <v>1</v>
      </c>
      <c r="M56" s="2">
        <v>0.85</v>
      </c>
      <c r="O56" s="1" t="s">
        <v>4</v>
      </c>
      <c r="P56" s="1">
        <v>8</v>
      </c>
      <c r="Q56" s="3">
        <v>1</v>
      </c>
      <c r="R56" s="3">
        <v>0.85</v>
      </c>
    </row>
    <row r="57" spans="10:18" x14ac:dyDescent="0.2">
      <c r="J57" t="s">
        <v>3</v>
      </c>
      <c r="K57">
        <v>27</v>
      </c>
      <c r="L57" s="2">
        <v>0.96</v>
      </c>
      <c r="M57" s="2">
        <v>0.85</v>
      </c>
      <c r="O57" s="1" t="s">
        <v>5</v>
      </c>
      <c r="P57" s="1">
        <v>4</v>
      </c>
      <c r="Q57" s="3">
        <v>1</v>
      </c>
      <c r="R57" s="3">
        <v>0.85</v>
      </c>
    </row>
    <row r="58" spans="10:18" x14ac:dyDescent="0.2">
      <c r="J58" t="s">
        <v>4</v>
      </c>
      <c r="K58">
        <v>13</v>
      </c>
      <c r="L58" s="2">
        <v>0.46</v>
      </c>
      <c r="M58" s="2">
        <v>0.85</v>
      </c>
      <c r="O58" s="1" t="s">
        <v>6</v>
      </c>
      <c r="P58" s="1">
        <v>3</v>
      </c>
      <c r="Q58" s="3">
        <v>0.67</v>
      </c>
      <c r="R58" s="3">
        <v>0.85</v>
      </c>
    </row>
    <row r="59" spans="10:18" x14ac:dyDescent="0.2">
      <c r="J59" t="s">
        <v>51</v>
      </c>
      <c r="K59">
        <v>16</v>
      </c>
      <c r="L59" s="2">
        <v>0.63</v>
      </c>
      <c r="M59" s="2">
        <v>0.85</v>
      </c>
      <c r="O59" s="1" t="s">
        <v>7</v>
      </c>
      <c r="P59" s="1" t="s">
        <v>52</v>
      </c>
      <c r="Q59" s="1" t="s">
        <v>52</v>
      </c>
      <c r="R59" s="3">
        <v>0.85</v>
      </c>
    </row>
    <row r="60" spans="10:18" x14ac:dyDescent="0.2">
      <c r="O60" s="1" t="s">
        <v>8</v>
      </c>
      <c r="P60" s="1" t="s">
        <v>52</v>
      </c>
      <c r="Q60" s="1" t="s">
        <v>52</v>
      </c>
      <c r="R60" s="3">
        <v>0.85</v>
      </c>
    </row>
    <row r="61" spans="10:18" x14ac:dyDescent="0.2">
      <c r="J61" s="5" t="s">
        <v>39</v>
      </c>
      <c r="K61" s="5"/>
      <c r="L61" s="5"/>
      <c r="M61" s="4"/>
      <c r="O61" s="1" t="s">
        <v>9</v>
      </c>
      <c r="P61" s="1">
        <v>1</v>
      </c>
      <c r="Q61" s="3">
        <v>1</v>
      </c>
      <c r="R61" s="3">
        <v>0.85</v>
      </c>
    </row>
    <row r="62" spans="10:18" x14ac:dyDescent="0.2">
      <c r="J62" s="1" t="s">
        <v>16</v>
      </c>
      <c r="K62" s="1" t="s">
        <v>50</v>
      </c>
      <c r="L62" s="1" t="s">
        <v>13</v>
      </c>
      <c r="M62" s="1" t="s">
        <v>12</v>
      </c>
      <c r="O62" s="1" t="s">
        <v>10</v>
      </c>
      <c r="P62" s="1">
        <v>1</v>
      </c>
      <c r="Q62" s="3">
        <v>1</v>
      </c>
      <c r="R62" s="3">
        <v>0.85</v>
      </c>
    </row>
    <row r="63" spans="10:18" x14ac:dyDescent="0.2">
      <c r="J63" t="s">
        <v>46</v>
      </c>
      <c r="K63">
        <f>SUM(K64:K69)</f>
        <v>61</v>
      </c>
      <c r="L63" s="2">
        <f>AVERAGE(L64:L69)</f>
        <v>0.98666666666666669</v>
      </c>
      <c r="M63" s="2">
        <v>0.85</v>
      </c>
      <c r="O63" s="1" t="s">
        <v>11</v>
      </c>
      <c r="P63" s="1">
        <v>7</v>
      </c>
      <c r="Q63" s="3">
        <v>1</v>
      </c>
      <c r="R63" s="3">
        <v>0.85</v>
      </c>
    </row>
    <row r="64" spans="10:18" x14ac:dyDescent="0.2">
      <c r="J64" t="s">
        <v>0</v>
      </c>
      <c r="K64">
        <v>10</v>
      </c>
      <c r="L64" s="2">
        <v>1</v>
      </c>
      <c r="M64" s="2">
        <v>0.85</v>
      </c>
    </row>
    <row r="65" spans="10:18" x14ac:dyDescent="0.2">
      <c r="J65" t="s">
        <v>1</v>
      </c>
      <c r="K65">
        <v>10</v>
      </c>
      <c r="L65" s="2">
        <v>1</v>
      </c>
      <c r="M65" s="2">
        <v>0.85</v>
      </c>
      <c r="O65" s="5" t="s">
        <v>38</v>
      </c>
      <c r="P65" s="5"/>
      <c r="Q65" s="5"/>
      <c r="R65" s="5"/>
    </row>
    <row r="66" spans="10:18" x14ac:dyDescent="0.2">
      <c r="J66" t="s">
        <v>2</v>
      </c>
      <c r="K66">
        <v>4</v>
      </c>
      <c r="L66" s="2">
        <v>1</v>
      </c>
      <c r="M66" s="2">
        <v>0.85</v>
      </c>
      <c r="O66" s="1" t="s">
        <v>16</v>
      </c>
      <c r="P66" s="1" t="s">
        <v>50</v>
      </c>
      <c r="Q66" s="1" t="s">
        <v>13</v>
      </c>
      <c r="R66" s="1" t="s">
        <v>12</v>
      </c>
    </row>
    <row r="67" spans="10:18" x14ac:dyDescent="0.2">
      <c r="J67" t="s">
        <v>3</v>
      </c>
      <c r="K67">
        <v>14</v>
      </c>
      <c r="L67" s="2">
        <v>1</v>
      </c>
      <c r="M67" s="2">
        <v>0.85</v>
      </c>
      <c r="O67" s="1" t="s">
        <v>41</v>
      </c>
      <c r="P67" s="1">
        <f>SUM(P68:P79)</f>
        <v>46</v>
      </c>
      <c r="Q67" s="3">
        <f>AVERAGE(Q68:Q79)</f>
        <v>0.96250000000000002</v>
      </c>
      <c r="R67" s="3">
        <v>0.85</v>
      </c>
    </row>
    <row r="68" spans="10:18" x14ac:dyDescent="0.2">
      <c r="J68" t="s">
        <v>4</v>
      </c>
      <c r="K68">
        <v>10</v>
      </c>
      <c r="L68" s="2">
        <v>1</v>
      </c>
      <c r="M68" s="2">
        <v>0.85</v>
      </c>
      <c r="O68" s="1" t="s">
        <v>0</v>
      </c>
      <c r="P68" s="1" t="s">
        <v>52</v>
      </c>
      <c r="Q68" s="1" t="s">
        <v>52</v>
      </c>
      <c r="R68" s="3">
        <v>0.85</v>
      </c>
    </row>
    <row r="69" spans="10:18" x14ac:dyDescent="0.2">
      <c r="J69" t="s">
        <v>51</v>
      </c>
      <c r="K69">
        <v>13</v>
      </c>
      <c r="L69" s="2">
        <v>0.92</v>
      </c>
      <c r="M69" s="2">
        <v>0.85</v>
      </c>
      <c r="O69" s="1" t="s">
        <v>1</v>
      </c>
      <c r="P69" s="1">
        <v>10</v>
      </c>
      <c r="Q69" s="3">
        <v>0.9</v>
      </c>
      <c r="R69" s="3">
        <v>0.85</v>
      </c>
    </row>
    <row r="70" spans="10:18" x14ac:dyDescent="0.2">
      <c r="O70" s="1" t="s">
        <v>2</v>
      </c>
      <c r="P70" s="1">
        <v>1</v>
      </c>
      <c r="Q70" s="3">
        <v>1</v>
      </c>
      <c r="R70" s="3">
        <v>0.85</v>
      </c>
    </row>
    <row r="71" spans="10:18" x14ac:dyDescent="0.2">
      <c r="J71" s="5" t="s">
        <v>39</v>
      </c>
      <c r="K71" s="5"/>
      <c r="L71" s="5"/>
      <c r="M71" s="4"/>
      <c r="O71" s="1" t="s">
        <v>3</v>
      </c>
      <c r="P71" s="1">
        <v>5</v>
      </c>
      <c r="Q71" s="3">
        <v>0.8</v>
      </c>
      <c r="R71" s="3">
        <v>0.85</v>
      </c>
    </row>
    <row r="72" spans="10:18" x14ac:dyDescent="0.2">
      <c r="J72" s="1" t="s">
        <v>16</v>
      </c>
      <c r="K72" s="1" t="s">
        <v>50</v>
      </c>
      <c r="L72" s="1" t="s">
        <v>13</v>
      </c>
      <c r="M72" s="1" t="s">
        <v>12</v>
      </c>
      <c r="O72" s="1" t="s">
        <v>4</v>
      </c>
      <c r="P72" s="1" t="s">
        <v>52</v>
      </c>
      <c r="Q72" s="1" t="s">
        <v>52</v>
      </c>
      <c r="R72" s="3">
        <v>0.85</v>
      </c>
    </row>
    <row r="73" spans="10:18" x14ac:dyDescent="0.2">
      <c r="J73" t="s">
        <v>46</v>
      </c>
      <c r="K73">
        <f>SUM(K74:K79)</f>
        <v>61</v>
      </c>
      <c r="L73" s="2">
        <f>AVERAGE(L74:L79)</f>
        <v>0.91166666666666663</v>
      </c>
      <c r="M73" s="2">
        <v>0.85</v>
      </c>
      <c r="O73" s="1" t="s">
        <v>5</v>
      </c>
      <c r="P73" s="1">
        <v>5</v>
      </c>
      <c r="Q73" s="3">
        <v>1</v>
      </c>
      <c r="R73" s="3">
        <v>0.85</v>
      </c>
    </row>
    <row r="74" spans="10:18" x14ac:dyDescent="0.2">
      <c r="J74" t="s">
        <v>0</v>
      </c>
      <c r="K74">
        <v>8</v>
      </c>
      <c r="L74" s="2">
        <v>0.85</v>
      </c>
      <c r="M74" s="2">
        <v>0.85</v>
      </c>
      <c r="O74" s="1" t="s">
        <v>6</v>
      </c>
      <c r="P74" s="1">
        <v>5</v>
      </c>
      <c r="Q74" s="3">
        <v>1</v>
      </c>
      <c r="R74" s="3">
        <v>0.85</v>
      </c>
    </row>
    <row r="75" spans="10:18" x14ac:dyDescent="0.2">
      <c r="J75" t="s">
        <v>1</v>
      </c>
      <c r="K75">
        <v>3</v>
      </c>
      <c r="L75" s="2">
        <v>0.67</v>
      </c>
      <c r="M75" s="2">
        <v>0.85</v>
      </c>
      <c r="O75" s="1" t="s">
        <v>7</v>
      </c>
      <c r="P75" s="1">
        <v>2</v>
      </c>
      <c r="Q75" s="1" t="s">
        <v>52</v>
      </c>
      <c r="R75" s="3">
        <v>0.85</v>
      </c>
    </row>
    <row r="76" spans="10:18" x14ac:dyDescent="0.2">
      <c r="J76" t="s">
        <v>2</v>
      </c>
      <c r="K76">
        <v>12</v>
      </c>
      <c r="L76" s="2">
        <v>1</v>
      </c>
      <c r="M76" s="2">
        <v>0.85</v>
      </c>
      <c r="O76" s="1" t="s">
        <v>8</v>
      </c>
      <c r="P76" s="1">
        <v>3</v>
      </c>
      <c r="Q76" s="1" t="s">
        <v>52</v>
      </c>
      <c r="R76" s="3">
        <v>0.85</v>
      </c>
    </row>
    <row r="77" spans="10:18" x14ac:dyDescent="0.2">
      <c r="J77" t="s">
        <v>3</v>
      </c>
      <c r="K77">
        <v>8</v>
      </c>
      <c r="L77" s="2">
        <v>1</v>
      </c>
      <c r="M77" s="2">
        <v>0.85</v>
      </c>
      <c r="O77" s="1" t="s">
        <v>9</v>
      </c>
      <c r="P77" s="1">
        <v>1</v>
      </c>
      <c r="Q77" s="3">
        <v>1</v>
      </c>
      <c r="R77" s="3">
        <v>0.85</v>
      </c>
    </row>
    <row r="78" spans="10:18" x14ac:dyDescent="0.2">
      <c r="J78" t="s">
        <v>4</v>
      </c>
      <c r="K78">
        <v>19</v>
      </c>
      <c r="L78" s="2">
        <v>0.95</v>
      </c>
      <c r="M78" s="2">
        <v>0.85</v>
      </c>
      <c r="O78" s="1" t="s">
        <v>10</v>
      </c>
      <c r="P78" s="1">
        <v>7</v>
      </c>
      <c r="Q78" s="3">
        <v>1</v>
      </c>
      <c r="R78" s="3">
        <v>0.85</v>
      </c>
    </row>
    <row r="79" spans="10:18" x14ac:dyDescent="0.2">
      <c r="J79" t="s">
        <v>51</v>
      </c>
      <c r="K79">
        <v>11</v>
      </c>
      <c r="L79" s="2">
        <v>1</v>
      </c>
      <c r="M79" s="2">
        <v>0.85</v>
      </c>
      <c r="O79" s="1" t="s">
        <v>11</v>
      </c>
      <c r="P79" s="1">
        <v>7</v>
      </c>
      <c r="Q79" s="3">
        <v>1</v>
      </c>
      <c r="R79" s="3">
        <v>0.85</v>
      </c>
    </row>
    <row r="81" spans="10:18" x14ac:dyDescent="0.2">
      <c r="J81" s="5" t="s">
        <v>39</v>
      </c>
      <c r="K81" s="5"/>
      <c r="L81" s="5"/>
      <c r="M81" s="4"/>
      <c r="O81" s="5" t="s">
        <v>38</v>
      </c>
      <c r="P81" s="5"/>
      <c r="Q81" s="5"/>
      <c r="R81" s="5"/>
    </row>
    <row r="82" spans="10:18" x14ac:dyDescent="0.2">
      <c r="J82" s="1" t="s">
        <v>16</v>
      </c>
      <c r="K82" s="1" t="s">
        <v>50</v>
      </c>
      <c r="L82" s="1" t="s">
        <v>13</v>
      </c>
      <c r="M82" s="1" t="s">
        <v>12</v>
      </c>
      <c r="O82" s="1" t="s">
        <v>16</v>
      </c>
      <c r="P82" s="1" t="s">
        <v>50</v>
      </c>
      <c r="Q82" s="1" t="s">
        <v>13</v>
      </c>
      <c r="R82" s="1" t="s">
        <v>12</v>
      </c>
    </row>
    <row r="83" spans="10:18" x14ac:dyDescent="0.2">
      <c r="J83" t="s">
        <v>48</v>
      </c>
      <c r="K83">
        <f>SUM(K84:K89)</f>
        <v>28</v>
      </c>
      <c r="L83" s="2">
        <f>AVERAGE(L84:L89)</f>
        <v>0.98</v>
      </c>
      <c r="M83" s="2">
        <v>0.85</v>
      </c>
      <c r="O83" s="1" t="s">
        <v>45</v>
      </c>
      <c r="P83" s="1">
        <f>SUM(P84:P95)</f>
        <v>57</v>
      </c>
      <c r="Q83" s="3">
        <f>AVERAGE(Q84:Q95)</f>
        <v>0.91200000000000014</v>
      </c>
      <c r="R83" s="3">
        <v>0.85</v>
      </c>
    </row>
    <row r="84" spans="10:18" x14ac:dyDescent="0.2">
      <c r="J84" t="s">
        <v>0</v>
      </c>
      <c r="K84">
        <v>6</v>
      </c>
      <c r="L84" s="2">
        <v>1</v>
      </c>
      <c r="M84" s="2">
        <v>0.85</v>
      </c>
      <c r="O84" s="1" t="s">
        <v>0</v>
      </c>
      <c r="P84" s="1">
        <v>2</v>
      </c>
      <c r="Q84" s="3">
        <v>1</v>
      </c>
      <c r="R84" s="3">
        <v>0.85</v>
      </c>
    </row>
    <row r="85" spans="10:18" x14ac:dyDescent="0.2">
      <c r="J85" t="s">
        <v>1</v>
      </c>
      <c r="K85">
        <v>4</v>
      </c>
      <c r="L85" s="2">
        <v>1</v>
      </c>
      <c r="M85" s="2">
        <v>0.85</v>
      </c>
      <c r="O85" s="1" t="s">
        <v>1</v>
      </c>
      <c r="P85" s="1" t="s">
        <v>52</v>
      </c>
      <c r="Q85" s="1" t="s">
        <v>52</v>
      </c>
      <c r="R85" s="3">
        <v>0.85</v>
      </c>
    </row>
    <row r="86" spans="10:18" x14ac:dyDescent="0.2">
      <c r="J86" t="s">
        <v>2</v>
      </c>
      <c r="K86">
        <v>2</v>
      </c>
      <c r="L86" s="2">
        <v>1</v>
      </c>
      <c r="M86" s="2">
        <v>0.85</v>
      </c>
      <c r="O86" s="1" t="s">
        <v>2</v>
      </c>
      <c r="P86" s="1">
        <v>7</v>
      </c>
      <c r="Q86" s="3">
        <v>0.86</v>
      </c>
      <c r="R86" s="3">
        <v>0.85</v>
      </c>
    </row>
    <row r="87" spans="10:18" x14ac:dyDescent="0.2">
      <c r="J87" t="s">
        <v>3</v>
      </c>
      <c r="K87">
        <v>2</v>
      </c>
      <c r="L87" s="2">
        <v>1</v>
      </c>
      <c r="M87" s="2">
        <v>0.85</v>
      </c>
      <c r="O87" s="1" t="s">
        <v>3</v>
      </c>
      <c r="P87" s="1">
        <v>3</v>
      </c>
      <c r="Q87" s="3">
        <v>1</v>
      </c>
      <c r="R87" s="3">
        <v>0.85</v>
      </c>
    </row>
    <row r="88" spans="10:18" x14ac:dyDescent="0.2">
      <c r="J88" t="s">
        <v>4</v>
      </c>
      <c r="K88">
        <v>8</v>
      </c>
      <c r="L88" s="2">
        <v>0.88</v>
      </c>
      <c r="M88" s="2">
        <v>0.85</v>
      </c>
      <c r="O88" s="1" t="s">
        <v>4</v>
      </c>
      <c r="P88" s="1">
        <v>2</v>
      </c>
      <c r="Q88" s="3">
        <v>1</v>
      </c>
      <c r="R88" s="3">
        <v>0.85</v>
      </c>
    </row>
    <row r="89" spans="10:18" x14ac:dyDescent="0.2">
      <c r="J89" t="s">
        <v>51</v>
      </c>
      <c r="K89">
        <v>6</v>
      </c>
      <c r="L89" s="2">
        <v>1</v>
      </c>
      <c r="M89" s="2">
        <v>0.85</v>
      </c>
      <c r="O89" s="1" t="s">
        <v>5</v>
      </c>
      <c r="P89" s="1" t="s">
        <v>52</v>
      </c>
      <c r="Q89" s="1" t="s">
        <v>52</v>
      </c>
      <c r="R89" s="3">
        <v>0.85</v>
      </c>
    </row>
    <row r="90" spans="10:18" x14ac:dyDescent="0.2">
      <c r="O90" s="1" t="s">
        <v>6</v>
      </c>
      <c r="P90" s="1">
        <v>3</v>
      </c>
      <c r="Q90" s="3">
        <v>1</v>
      </c>
      <c r="R90" s="3">
        <v>0.85</v>
      </c>
    </row>
    <row r="91" spans="10:18" x14ac:dyDescent="0.2">
      <c r="O91" s="1" t="s">
        <v>7</v>
      </c>
      <c r="P91" s="1">
        <v>4</v>
      </c>
      <c r="Q91" s="3">
        <v>1</v>
      </c>
      <c r="R91" s="3">
        <v>0.85</v>
      </c>
    </row>
    <row r="92" spans="10:18" x14ac:dyDescent="0.2">
      <c r="O92" s="1" t="s">
        <v>8</v>
      </c>
      <c r="P92" s="1">
        <v>2</v>
      </c>
      <c r="Q92" s="3">
        <v>1</v>
      </c>
      <c r="R92" s="3">
        <v>0.85</v>
      </c>
    </row>
    <row r="93" spans="10:18" x14ac:dyDescent="0.2">
      <c r="O93" s="1" t="s">
        <v>9</v>
      </c>
      <c r="P93" s="1">
        <v>12</v>
      </c>
      <c r="Q93" s="3">
        <v>0.75</v>
      </c>
      <c r="R93" s="3">
        <v>0.85</v>
      </c>
    </row>
    <row r="94" spans="10:18" x14ac:dyDescent="0.2">
      <c r="O94" s="1" t="s">
        <v>10</v>
      </c>
      <c r="P94" s="1">
        <v>7</v>
      </c>
      <c r="Q94" s="3">
        <v>0.71</v>
      </c>
      <c r="R94" s="3">
        <v>0.85</v>
      </c>
    </row>
    <row r="95" spans="10:18" x14ac:dyDescent="0.2">
      <c r="O95" s="1" t="s">
        <v>11</v>
      </c>
      <c r="P95" s="1">
        <v>15</v>
      </c>
      <c r="Q95" s="3">
        <v>0.8</v>
      </c>
      <c r="R95" s="3">
        <v>0.85</v>
      </c>
    </row>
    <row r="97" spans="15:18" x14ac:dyDescent="0.2">
      <c r="O97" s="5" t="s">
        <v>38</v>
      </c>
      <c r="P97" s="5"/>
      <c r="Q97" s="5"/>
      <c r="R97" s="5"/>
    </row>
    <row r="98" spans="15:18" x14ac:dyDescent="0.2">
      <c r="O98" s="1" t="s">
        <v>16</v>
      </c>
      <c r="P98" s="1" t="s">
        <v>50</v>
      </c>
      <c r="Q98" s="1" t="s">
        <v>13</v>
      </c>
      <c r="R98" s="1" t="s">
        <v>12</v>
      </c>
    </row>
    <row r="99" spans="15:18" x14ac:dyDescent="0.2">
      <c r="O99" s="1" t="s">
        <v>46</v>
      </c>
      <c r="P99" s="1">
        <f>SUM(P100:P111)</f>
        <v>77</v>
      </c>
      <c r="Q99" s="3">
        <f>AVERAGE(Q100:Q111)</f>
        <v>0.97375</v>
      </c>
      <c r="R99" s="3">
        <v>0.85</v>
      </c>
    </row>
    <row r="100" spans="15:18" x14ac:dyDescent="0.2">
      <c r="O100" s="1" t="s">
        <v>0</v>
      </c>
      <c r="P100" s="1">
        <v>7</v>
      </c>
      <c r="Q100" s="3">
        <v>1</v>
      </c>
      <c r="R100" s="3">
        <v>0.85</v>
      </c>
    </row>
    <row r="101" spans="15:18" x14ac:dyDescent="0.2">
      <c r="O101" s="1" t="s">
        <v>1</v>
      </c>
      <c r="P101" s="1">
        <v>16</v>
      </c>
      <c r="Q101" s="3">
        <v>0.94</v>
      </c>
      <c r="R101" s="3">
        <v>0.85</v>
      </c>
    </row>
    <row r="102" spans="15:18" x14ac:dyDescent="0.2">
      <c r="O102" s="1" t="s">
        <v>2</v>
      </c>
      <c r="P102" s="1">
        <v>20</v>
      </c>
      <c r="Q102" s="3">
        <v>0.85</v>
      </c>
      <c r="R102" s="3">
        <v>0.85</v>
      </c>
    </row>
    <row r="103" spans="15:18" x14ac:dyDescent="0.2">
      <c r="O103" s="1" t="s">
        <v>3</v>
      </c>
      <c r="P103" s="1">
        <v>6</v>
      </c>
      <c r="Q103" s="3">
        <v>1</v>
      </c>
      <c r="R103" s="3">
        <v>0.85</v>
      </c>
    </row>
    <row r="104" spans="15:18" x14ac:dyDescent="0.2">
      <c r="O104" s="1" t="s">
        <v>4</v>
      </c>
      <c r="P104" s="1">
        <v>13</v>
      </c>
      <c r="Q104" s="3">
        <v>1</v>
      </c>
      <c r="R104" s="3">
        <v>0.85</v>
      </c>
    </row>
    <row r="105" spans="15:18" x14ac:dyDescent="0.2">
      <c r="O105" s="1" t="s">
        <v>5</v>
      </c>
      <c r="P105" s="1">
        <v>8</v>
      </c>
      <c r="Q105" s="3">
        <v>1</v>
      </c>
      <c r="R105" s="3">
        <v>0.85</v>
      </c>
    </row>
    <row r="106" spans="15:18" x14ac:dyDescent="0.2">
      <c r="O106" s="1" t="s">
        <v>6</v>
      </c>
      <c r="P106" s="1" t="s">
        <v>52</v>
      </c>
      <c r="Q106" s="1" t="s">
        <v>52</v>
      </c>
      <c r="R106" s="3">
        <v>0.85</v>
      </c>
    </row>
    <row r="107" spans="15:18" x14ac:dyDescent="0.2">
      <c r="O107" s="1" t="s">
        <v>7</v>
      </c>
      <c r="P107" s="1" t="s">
        <v>52</v>
      </c>
      <c r="Q107" s="1" t="s">
        <v>52</v>
      </c>
      <c r="R107" s="3">
        <v>0.85</v>
      </c>
    </row>
    <row r="108" spans="15:18" x14ac:dyDescent="0.2">
      <c r="O108" s="1" t="s">
        <v>8</v>
      </c>
      <c r="P108" s="1" t="s">
        <v>52</v>
      </c>
      <c r="Q108" s="1" t="s">
        <v>52</v>
      </c>
      <c r="R108" s="3">
        <v>0.85</v>
      </c>
    </row>
    <row r="109" spans="15:18" x14ac:dyDescent="0.2">
      <c r="O109" s="1" t="s">
        <v>9</v>
      </c>
      <c r="P109" s="1">
        <v>2</v>
      </c>
      <c r="Q109" s="3">
        <v>1</v>
      </c>
      <c r="R109" s="3">
        <v>0.85</v>
      </c>
    </row>
    <row r="110" spans="15:18" x14ac:dyDescent="0.2">
      <c r="O110" s="1" t="s">
        <v>10</v>
      </c>
      <c r="P110" s="1" t="s">
        <v>52</v>
      </c>
      <c r="Q110" s="1" t="s">
        <v>52</v>
      </c>
      <c r="R110" s="3">
        <v>0.85</v>
      </c>
    </row>
    <row r="111" spans="15:18" x14ac:dyDescent="0.2">
      <c r="O111" s="1" t="s">
        <v>11</v>
      </c>
      <c r="P111" s="1">
        <v>5</v>
      </c>
      <c r="Q111" s="3">
        <v>1</v>
      </c>
      <c r="R111" s="3">
        <v>0.85</v>
      </c>
    </row>
    <row r="113" spans="15:18" x14ac:dyDescent="0.2">
      <c r="O113" s="5" t="s">
        <v>38</v>
      </c>
      <c r="P113" s="5"/>
      <c r="Q113" s="5"/>
      <c r="R113" s="5"/>
    </row>
    <row r="114" spans="15:18" x14ac:dyDescent="0.2">
      <c r="O114" s="1" t="s">
        <v>16</v>
      </c>
      <c r="P114" s="1" t="s">
        <v>50</v>
      </c>
      <c r="Q114" s="1" t="s">
        <v>13</v>
      </c>
      <c r="R114" s="1" t="s">
        <v>12</v>
      </c>
    </row>
    <row r="115" spans="15:18" x14ac:dyDescent="0.2">
      <c r="O115" s="1" t="s">
        <v>47</v>
      </c>
      <c r="P115" s="1">
        <f>SUM(P116:P127)</f>
        <v>56</v>
      </c>
      <c r="Q115" s="3">
        <f>AVERAGE(Q116:Q127)</f>
        <v>0.98888888888888893</v>
      </c>
      <c r="R115" s="3">
        <v>0.85</v>
      </c>
    </row>
    <row r="116" spans="15:18" x14ac:dyDescent="0.2">
      <c r="O116" s="1" t="s">
        <v>0</v>
      </c>
      <c r="P116" s="1">
        <v>8</v>
      </c>
      <c r="Q116" s="3">
        <v>1</v>
      </c>
      <c r="R116" s="3">
        <v>0.85</v>
      </c>
    </row>
    <row r="117" spans="15:18" x14ac:dyDescent="0.2">
      <c r="O117" s="1" t="s">
        <v>1</v>
      </c>
      <c r="P117" s="1">
        <v>10</v>
      </c>
      <c r="Q117" s="3">
        <v>0.9</v>
      </c>
      <c r="R117" s="3">
        <v>0.85</v>
      </c>
    </row>
    <row r="118" spans="15:18" x14ac:dyDescent="0.2">
      <c r="O118" s="1" t="s">
        <v>2</v>
      </c>
      <c r="P118" s="1">
        <v>12</v>
      </c>
      <c r="Q118" s="3">
        <v>1</v>
      </c>
      <c r="R118" s="3">
        <v>0.85</v>
      </c>
    </row>
    <row r="119" spans="15:18" x14ac:dyDescent="0.2">
      <c r="O119" s="1" t="s">
        <v>3</v>
      </c>
      <c r="P119" s="1">
        <v>6</v>
      </c>
      <c r="Q119" s="3">
        <v>1</v>
      </c>
      <c r="R119" s="3">
        <v>0.85</v>
      </c>
    </row>
    <row r="120" spans="15:18" x14ac:dyDescent="0.2">
      <c r="O120" s="1" t="s">
        <v>4</v>
      </c>
      <c r="P120" s="1">
        <v>11</v>
      </c>
      <c r="Q120" s="3">
        <v>1</v>
      </c>
      <c r="R120" s="3">
        <v>0.85</v>
      </c>
    </row>
    <row r="121" spans="15:18" x14ac:dyDescent="0.2">
      <c r="O121" s="1" t="s">
        <v>5</v>
      </c>
      <c r="P121" s="1">
        <v>1</v>
      </c>
      <c r="Q121" s="3">
        <v>1</v>
      </c>
      <c r="R121" s="3">
        <v>0.85</v>
      </c>
    </row>
    <row r="122" spans="15:18" x14ac:dyDescent="0.2">
      <c r="O122" s="1" t="s">
        <v>6</v>
      </c>
      <c r="P122" s="1" t="s">
        <v>52</v>
      </c>
      <c r="Q122" s="1" t="s">
        <v>52</v>
      </c>
      <c r="R122" s="3">
        <v>0.85</v>
      </c>
    </row>
    <row r="123" spans="15:18" x14ac:dyDescent="0.2">
      <c r="O123" s="1" t="s">
        <v>7</v>
      </c>
      <c r="P123" s="1" t="s">
        <v>52</v>
      </c>
      <c r="Q123" s="1" t="s">
        <v>52</v>
      </c>
      <c r="R123" s="3">
        <v>0.85</v>
      </c>
    </row>
    <row r="124" spans="15:18" x14ac:dyDescent="0.2">
      <c r="O124" s="1" t="s">
        <v>8</v>
      </c>
      <c r="P124" s="1" t="s">
        <v>52</v>
      </c>
      <c r="Q124" s="1" t="s">
        <v>52</v>
      </c>
      <c r="R124" s="3">
        <v>0.85</v>
      </c>
    </row>
    <row r="125" spans="15:18" x14ac:dyDescent="0.2">
      <c r="O125" s="1" t="s">
        <v>9</v>
      </c>
      <c r="P125" s="1">
        <v>3</v>
      </c>
      <c r="Q125" s="3">
        <v>1</v>
      </c>
      <c r="R125" s="3">
        <v>0.85</v>
      </c>
    </row>
    <row r="126" spans="15:18" x14ac:dyDescent="0.2">
      <c r="O126" s="1" t="s">
        <v>10</v>
      </c>
      <c r="P126" s="1">
        <v>1</v>
      </c>
      <c r="Q126" s="3">
        <v>1</v>
      </c>
      <c r="R126" s="3">
        <v>0.85</v>
      </c>
    </row>
    <row r="127" spans="15:18" x14ac:dyDescent="0.2">
      <c r="O127" s="1" t="s">
        <v>11</v>
      </c>
      <c r="P127" s="1">
        <v>4</v>
      </c>
      <c r="Q127" s="3">
        <v>1</v>
      </c>
      <c r="R127" s="3">
        <v>0.85</v>
      </c>
    </row>
    <row r="129" spans="15:18" x14ac:dyDescent="0.2">
      <c r="O129" s="5" t="s">
        <v>38</v>
      </c>
      <c r="P129" s="5"/>
      <c r="Q129" s="5"/>
      <c r="R129" s="5"/>
    </row>
    <row r="130" spans="15:18" x14ac:dyDescent="0.2">
      <c r="O130" s="1" t="s">
        <v>16</v>
      </c>
      <c r="P130" s="1" t="s">
        <v>50</v>
      </c>
      <c r="Q130" s="1" t="s">
        <v>13</v>
      </c>
      <c r="R130" s="1" t="s">
        <v>12</v>
      </c>
    </row>
    <row r="131" spans="15:18" x14ac:dyDescent="0.2">
      <c r="O131" s="1" t="s">
        <v>48</v>
      </c>
      <c r="P131" s="1">
        <f>SUM(P132:P143)</f>
        <v>73</v>
      </c>
      <c r="Q131" s="3">
        <f>AVERAGE(Q132:Q143)</f>
        <v>11.940000000000001</v>
      </c>
      <c r="R131" s="3">
        <v>0.85</v>
      </c>
    </row>
    <row r="132" spans="15:18" x14ac:dyDescent="0.2">
      <c r="O132" s="1" t="s">
        <v>0</v>
      </c>
      <c r="P132" s="1">
        <v>3</v>
      </c>
      <c r="Q132" s="3">
        <v>0.67</v>
      </c>
      <c r="R132" s="3">
        <v>0.85</v>
      </c>
    </row>
    <row r="133" spans="15:18" x14ac:dyDescent="0.2">
      <c r="O133" s="1" t="s">
        <v>1</v>
      </c>
      <c r="P133" s="1">
        <v>8</v>
      </c>
      <c r="Q133" s="3">
        <v>1</v>
      </c>
      <c r="R133" s="3">
        <v>0.85</v>
      </c>
    </row>
    <row r="134" spans="15:18" x14ac:dyDescent="0.2">
      <c r="O134" s="1" t="s">
        <v>2</v>
      </c>
      <c r="P134" s="1">
        <v>14</v>
      </c>
      <c r="Q134" s="3">
        <v>0.93</v>
      </c>
      <c r="R134" s="3">
        <v>0.85</v>
      </c>
    </row>
    <row r="135" spans="15:18" x14ac:dyDescent="0.2">
      <c r="O135" s="1" t="s">
        <v>3</v>
      </c>
      <c r="P135" s="1">
        <v>4</v>
      </c>
      <c r="Q135" s="3">
        <v>1</v>
      </c>
      <c r="R135" s="3">
        <v>0.85</v>
      </c>
    </row>
    <row r="136" spans="15:18" x14ac:dyDescent="0.2">
      <c r="O136" s="1" t="s">
        <v>4</v>
      </c>
      <c r="P136" s="1">
        <v>6</v>
      </c>
      <c r="Q136" s="3">
        <v>1</v>
      </c>
      <c r="R136" s="3">
        <v>0.85</v>
      </c>
    </row>
    <row r="137" spans="15:18" x14ac:dyDescent="0.2">
      <c r="O137" s="1" t="s">
        <v>5</v>
      </c>
      <c r="P137" s="1">
        <v>11</v>
      </c>
      <c r="Q137" s="3">
        <v>0.91</v>
      </c>
      <c r="R137" s="3">
        <v>0.85</v>
      </c>
    </row>
    <row r="138" spans="15:18" x14ac:dyDescent="0.2">
      <c r="O138" s="1" t="s">
        <v>6</v>
      </c>
      <c r="P138" s="1" t="s">
        <v>52</v>
      </c>
      <c r="Q138" s="1" t="s">
        <v>52</v>
      </c>
      <c r="R138" s="3">
        <v>0.85</v>
      </c>
    </row>
    <row r="139" spans="15:18" x14ac:dyDescent="0.2">
      <c r="O139" s="1" t="s">
        <v>7</v>
      </c>
      <c r="P139" s="1">
        <v>2</v>
      </c>
      <c r="Q139" s="1">
        <v>100</v>
      </c>
      <c r="R139" s="3">
        <v>0.85</v>
      </c>
    </row>
    <row r="140" spans="15:18" x14ac:dyDescent="0.2">
      <c r="O140" s="1" t="s">
        <v>8</v>
      </c>
      <c r="P140" s="1" t="s">
        <v>52</v>
      </c>
      <c r="Q140" s="1" t="s">
        <v>52</v>
      </c>
      <c r="R140" s="3">
        <v>0.85</v>
      </c>
    </row>
    <row r="141" spans="15:18" x14ac:dyDescent="0.2">
      <c r="O141" s="1" t="s">
        <v>9</v>
      </c>
      <c r="P141" s="1">
        <v>4</v>
      </c>
      <c r="Q141" s="3">
        <v>1</v>
      </c>
      <c r="R141" s="3">
        <v>0.85</v>
      </c>
    </row>
    <row r="142" spans="15:18" x14ac:dyDescent="0.2">
      <c r="O142" s="1" t="s">
        <v>10</v>
      </c>
      <c r="P142" s="1" t="s">
        <v>52</v>
      </c>
      <c r="Q142" s="1" t="s">
        <v>52</v>
      </c>
      <c r="R142" s="3">
        <v>0.85</v>
      </c>
    </row>
    <row r="143" spans="15:18" x14ac:dyDescent="0.2">
      <c r="O143" s="1" t="s">
        <v>11</v>
      </c>
      <c r="P143" s="1">
        <v>21</v>
      </c>
      <c r="Q143" s="3">
        <v>0.95</v>
      </c>
      <c r="R143" s="3">
        <v>0.85</v>
      </c>
    </row>
    <row r="145" spans="15:18" x14ac:dyDescent="0.2">
      <c r="O145" s="5" t="s">
        <v>38</v>
      </c>
      <c r="P145" s="5"/>
      <c r="Q145" s="5"/>
      <c r="R145" s="5"/>
    </row>
    <row r="146" spans="15:18" x14ac:dyDescent="0.2">
      <c r="O146" s="1" t="s">
        <v>16</v>
      </c>
      <c r="P146" s="1" t="s">
        <v>50</v>
      </c>
      <c r="Q146" s="1" t="s">
        <v>13</v>
      </c>
      <c r="R146" s="1" t="s">
        <v>12</v>
      </c>
    </row>
    <row r="147" spans="15:18" x14ac:dyDescent="0.2">
      <c r="O147" s="1" t="s">
        <v>48</v>
      </c>
      <c r="P147" s="1">
        <f>SUM(P148:P159)</f>
        <v>34</v>
      </c>
      <c r="Q147" s="3">
        <f>AVERAGE(Q148:Q159)</f>
        <v>0.92714285714285705</v>
      </c>
      <c r="R147" s="3">
        <v>0.85</v>
      </c>
    </row>
    <row r="148" spans="15:18" x14ac:dyDescent="0.2">
      <c r="O148" s="1" t="s">
        <v>0</v>
      </c>
      <c r="P148" s="1">
        <v>7</v>
      </c>
      <c r="Q148" s="3">
        <v>1</v>
      </c>
      <c r="R148" s="3">
        <v>0.85</v>
      </c>
    </row>
    <row r="149" spans="15:18" x14ac:dyDescent="0.2">
      <c r="O149" s="1" t="s">
        <v>1</v>
      </c>
      <c r="P149" s="1">
        <v>10</v>
      </c>
      <c r="Q149" s="3">
        <v>0.9</v>
      </c>
      <c r="R149" s="3">
        <v>0.85</v>
      </c>
    </row>
    <row r="150" spans="15:18" x14ac:dyDescent="0.2">
      <c r="O150" s="1" t="s">
        <v>2</v>
      </c>
      <c r="P150" s="1">
        <v>1</v>
      </c>
      <c r="Q150" s="3">
        <v>0.93</v>
      </c>
      <c r="R150" s="3">
        <v>0.85</v>
      </c>
    </row>
    <row r="151" spans="15:18" x14ac:dyDescent="0.2">
      <c r="O151" s="1" t="s">
        <v>3</v>
      </c>
      <c r="P151" s="1">
        <v>7</v>
      </c>
      <c r="Q151" s="3">
        <v>0.86</v>
      </c>
      <c r="R151" s="3">
        <v>0.85</v>
      </c>
    </row>
    <row r="152" spans="15:18" x14ac:dyDescent="0.2">
      <c r="O152" s="1" t="s">
        <v>4</v>
      </c>
      <c r="P152" s="1" t="s">
        <v>52</v>
      </c>
      <c r="Q152" s="1" t="s">
        <v>52</v>
      </c>
      <c r="R152" s="3">
        <v>0.85</v>
      </c>
    </row>
    <row r="153" spans="15:18" x14ac:dyDescent="0.2">
      <c r="O153" s="1" t="s">
        <v>5</v>
      </c>
      <c r="P153" s="1">
        <v>3</v>
      </c>
      <c r="Q153" s="3">
        <v>1</v>
      </c>
      <c r="R153" s="3">
        <v>0.85</v>
      </c>
    </row>
    <row r="154" spans="15:18" x14ac:dyDescent="0.2">
      <c r="O154" s="1" t="s">
        <v>6</v>
      </c>
      <c r="P154" s="1" t="s">
        <v>52</v>
      </c>
      <c r="Q154" s="1" t="s">
        <v>52</v>
      </c>
      <c r="R154" s="3">
        <v>0.85</v>
      </c>
    </row>
    <row r="155" spans="15:18" x14ac:dyDescent="0.2">
      <c r="O155" s="1" t="s">
        <v>7</v>
      </c>
      <c r="P155" s="1">
        <v>1</v>
      </c>
      <c r="Q155" s="3">
        <v>1</v>
      </c>
      <c r="R155" s="3">
        <v>0.85</v>
      </c>
    </row>
    <row r="156" spans="15:18" x14ac:dyDescent="0.2">
      <c r="O156" s="1" t="s">
        <v>8</v>
      </c>
      <c r="P156" s="1" t="s">
        <v>52</v>
      </c>
      <c r="Q156" s="1" t="s">
        <v>52</v>
      </c>
      <c r="R156" s="3">
        <v>0.85</v>
      </c>
    </row>
    <row r="157" spans="15:18" x14ac:dyDescent="0.2">
      <c r="O157" s="1" t="s">
        <v>9</v>
      </c>
      <c r="P157" s="1" t="s">
        <v>52</v>
      </c>
      <c r="Q157" s="1" t="s">
        <v>52</v>
      </c>
      <c r="R157" s="3">
        <v>0.85</v>
      </c>
    </row>
    <row r="158" spans="15:18" x14ac:dyDescent="0.2">
      <c r="O158" s="1" t="s">
        <v>10</v>
      </c>
      <c r="P158" s="1" t="s">
        <v>52</v>
      </c>
      <c r="Q158" s="1" t="s">
        <v>52</v>
      </c>
      <c r="R158" s="3">
        <v>0.85</v>
      </c>
    </row>
    <row r="159" spans="15:18" x14ac:dyDescent="0.2">
      <c r="O159" s="1" t="s">
        <v>11</v>
      </c>
      <c r="P159" s="1">
        <v>5</v>
      </c>
      <c r="Q159" s="3">
        <v>0.8</v>
      </c>
      <c r="R159" s="3">
        <v>0.85</v>
      </c>
    </row>
  </sheetData>
  <mergeCells count="20">
    <mergeCell ref="O145:R145"/>
    <mergeCell ref="O17:R17"/>
    <mergeCell ref="O49:R49"/>
    <mergeCell ref="O65:R65"/>
    <mergeCell ref="O97:R97"/>
    <mergeCell ref="O113:R113"/>
    <mergeCell ref="O129:R129"/>
    <mergeCell ref="O81:R81"/>
    <mergeCell ref="O33:R33"/>
    <mergeCell ref="O1:R1"/>
    <mergeCell ref="J31:M31"/>
    <mergeCell ref="J41:M41"/>
    <mergeCell ref="J51:M51"/>
    <mergeCell ref="J61:M61"/>
    <mergeCell ref="J71:M71"/>
    <mergeCell ref="J81:M81"/>
    <mergeCell ref="F1:H1"/>
    <mergeCell ref="J1:M1"/>
    <mergeCell ref="J12:M12"/>
    <mergeCell ref="J22:M2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Uros Peric</dc:creator>
  <cp:lastModifiedBy>Uros Peric</cp:lastModifiedBy>
  <dcterms:created xsi:type="dcterms:W3CDTF">2026-07-16T11:02:11Z</dcterms:created>
  <dcterms:modified xsi:type="dcterms:W3CDTF">2026-07-16T11:59:13Z</dcterms:modified>
</cp:coreProperties>
</file>