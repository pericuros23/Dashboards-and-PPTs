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Assumptions" sheetId="1" state="visible" r:id="rId1"/>
    <sheet xmlns:r="http://schemas.openxmlformats.org/officeDocument/2006/relationships" name="FY2025" sheetId="2" state="visible" r:id="rId2"/>
    <sheet xmlns:r="http://schemas.openxmlformats.org/officeDocument/2006/relationships" name="FY2026" sheetId="3" state="visible" r:id="rId3"/>
    <sheet xmlns:r="http://schemas.openxmlformats.org/officeDocument/2006/relationships" name="FY2027 Forecast" sheetId="4" state="visible" r:id="rId4"/>
    <sheet xmlns:r="http://schemas.openxmlformats.org/officeDocument/2006/relationships" name="Trend &amp; 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10"/>
    </font>
    <font>
      <b val="1"/>
      <color rgb="001F3A5F"/>
      <sz val="12"/>
    </font>
    <font>
      <color rgb="00000000"/>
      <sz val="11"/>
    </font>
    <font>
      <b val="1"/>
      <sz val="11"/>
    </font>
    <font>
      <b val="1"/>
      <color rgb="00B7791F"/>
      <sz val="11"/>
    </font>
    <font>
      <b val="1"/>
    </font>
    <font>
      <i val="1"/>
      <color rgb="00595959"/>
      <sz val="9"/>
    </font>
    <font>
      <b val="1"/>
      <color rgb="00FFFFFF"/>
      <sz val="11"/>
    </font>
    <font>
      <b val="1"/>
      <color rgb="00000000"/>
      <sz val="11"/>
    </font>
    <font>
      <name val="Calibri"/>
      <b val="1"/>
      <color rgb="001F3A5F"/>
      <sz val="11"/>
    </font>
    <font>
      <name val="Calibri"/>
      <color rgb="00000000"/>
      <sz val="11"/>
    </font>
    <font>
      <name val="Calibri"/>
      <color rgb="002E7D4F"/>
      <sz val="11"/>
    </font>
    <font>
      <sz val="11"/>
    </font>
    <font>
      <b val="1"/>
      <color rgb="00FFFFFF"/>
      <sz val="13"/>
    </font>
    <font>
      <b val="1"/>
      <color rgb="001F3A5F"/>
      <sz val="11"/>
    </font>
    <font>
      <b val="1"/>
      <color rgb="00FFFFFF"/>
    </font>
    <font>
      <name val="Calibri"/>
      <b val="1"/>
      <color rgb="00FFFFFF"/>
      <sz val="11"/>
    </font>
    <font>
      <b val="1"/>
      <color rgb="001F3A5F"/>
    </font>
    <font>
      <name val="Calibri"/>
      <b val="1"/>
      <color rgb="002E7D4F"/>
      <sz val="11"/>
    </font>
    <font>
      <name val="Calibri"/>
      <b val="1"/>
      <color rgb="00000000"/>
      <sz val="11"/>
    </font>
    <font>
      <i val="1"/>
      <sz val="9"/>
    </font>
    <font>
      <b val="1"/>
      <i val="1"/>
      <sz val="10"/>
    </font>
    <font>
      <b val="1"/>
      <color rgb="001F3A5F"/>
      <sz val="13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FBF1DE"/>
      </patternFill>
    </fill>
    <fill>
      <patternFill patternType="solid">
        <fgColor rgb="002E5A88"/>
      </patternFill>
    </fill>
    <fill>
      <patternFill patternType="solid">
        <fgColor rgb="00EFF4FA"/>
      </patternFill>
    </fill>
    <fill>
      <patternFill patternType="solid">
        <fgColor rgb="00F2F2F2"/>
      </patternFill>
    </fill>
    <fill>
      <patternFill patternType="solid">
        <fgColor rgb="002E7D4F"/>
      </patternFill>
    </fill>
    <fill>
      <patternFill patternType="solid">
        <fgColor rgb="00E3F2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 wrapText="1"/>
    </xf>
    <xf numFmtId="0" fontId="9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4" fontId="11" fillId="6" borderId="1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/>
    </xf>
    <xf numFmtId="4" fontId="12" fillId="0" borderId="1" applyAlignment="1" pivotButton="0" quotePrefix="0" xfId="0">
      <alignment horizontal="right"/>
    </xf>
    <xf numFmtId="0" fontId="0" fillId="0" borderId="1" pivotButton="0" quotePrefix="0" xfId="0"/>
    <xf numFmtId="4" fontId="13" fillId="0" borderId="1" applyAlignment="1" pivotButton="0" quotePrefix="0" xfId="0">
      <alignment horizontal="right"/>
    </xf>
    <xf numFmtId="10" fontId="14" fillId="0" borderId="1" applyAlignment="1" pivotButton="0" quotePrefix="0" xfId="0">
      <alignment horizontal="center"/>
    </xf>
    <xf numFmtId="0" fontId="8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6" fillId="0" borderId="0" pivotButton="0" quotePrefix="0" xfId="0"/>
    <xf numFmtId="0" fontId="4" fillId="7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/>
    </xf>
    <xf numFmtId="4" fontId="12" fillId="7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/>
    </xf>
    <xf numFmtId="0" fontId="17" fillId="2" borderId="1" pivotButton="0" quotePrefix="0" xfId="0"/>
    <xf numFmtId="0" fontId="17" fillId="2" borderId="1" applyAlignment="1" pivotButton="0" quotePrefix="0" xfId="0">
      <alignment horizontal="center"/>
    </xf>
    <xf numFmtId="4" fontId="18" fillId="2" borderId="1" applyAlignment="1" pivotButton="0" quotePrefix="0" xfId="0">
      <alignment horizontal="right"/>
    </xf>
    <xf numFmtId="4" fontId="13" fillId="7" borderId="1" applyAlignment="1" pivotButton="0" quotePrefix="0" xfId="0">
      <alignment horizontal="right"/>
    </xf>
    <xf numFmtId="10" fontId="14" fillId="7" borderId="1" applyAlignment="1" pivotButton="0" quotePrefix="0" xfId="0">
      <alignment horizontal="center"/>
    </xf>
    <xf numFmtId="10" fontId="17" fillId="2" borderId="1" applyAlignment="1" pivotButton="0" quotePrefix="0" xfId="0">
      <alignment horizontal="center"/>
    </xf>
    <xf numFmtId="0" fontId="15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9" fillId="0" borderId="0" pivotButton="0" quotePrefix="0" xfId="0"/>
    <xf numFmtId="4" fontId="20" fillId="9" borderId="1" applyAlignment="1" pivotButton="0" quotePrefix="0" xfId="0">
      <alignment horizontal="right"/>
    </xf>
    <xf numFmtId="4" fontId="21" fillId="9" borderId="1" applyAlignment="1" pivotButton="0" quotePrefix="0" xfId="0">
      <alignment horizontal="right"/>
    </xf>
    <xf numFmtId="0" fontId="22" fillId="0" borderId="0" pivotButton="0" quotePrefix="0" xfId="0"/>
    <xf numFmtId="4" fontId="23" fillId="0" borderId="1" applyAlignment="1" pivotButton="0" quotePrefix="0" xfId="0">
      <alignment horizontal="right"/>
    </xf>
    <xf numFmtId="0" fontId="9" fillId="8" borderId="1" applyAlignment="1" pivotButton="0" quotePrefix="0" xfId="0">
      <alignment horizontal="center" vertical="center" wrapText="1"/>
    </xf>
    <xf numFmtId="0" fontId="0" fillId="7" borderId="1" pivotButton="0" quotePrefix="0" xfId="0"/>
    <xf numFmtId="4" fontId="20" fillId="0" borderId="1" applyAlignment="1" pivotButton="0" quotePrefix="0" xfId="0">
      <alignment horizontal="right"/>
    </xf>
    <xf numFmtId="0" fontId="17" fillId="8" borderId="1" pivotButton="0" quotePrefix="0" xfId="0"/>
    <xf numFmtId="0" fontId="17" fillId="8" borderId="1" applyAlignment="1" pivotButton="0" quotePrefix="0" xfId="0">
      <alignment horizontal="center"/>
    </xf>
    <xf numFmtId="4" fontId="18" fillId="8" borderId="1" applyAlignment="1" pivotButton="0" quotePrefix="0" xfId="0">
      <alignment horizontal="right"/>
    </xf>
    <xf numFmtId="10" fontId="17" fillId="8" borderId="1" applyAlignment="1" pivotButton="0" quotePrefix="0" xfId="0">
      <alignment horizontal="center"/>
    </xf>
    <xf numFmtId="0" fontId="0" fillId="8" borderId="1" pivotButton="0" quotePrefix="0" xfId="0"/>
    <xf numFmtId="0" fontId="24" fillId="0" borderId="0" pivotButton="0" quotePrefix="0" xfId="0"/>
    <xf numFmtId="4" fontId="21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Annual Revenue — FY2025 → FY2027 (Base)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'Trend &amp; Charts'!B3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 &amp; Charts'!$A$4:$A$6</f>
            </numRef>
          </cat>
          <val>
            <numRef>
              <f>'Trend &amp; Charts'!$B$4:$B$6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Service Line — 3-Year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'Trend &amp; Charts'!B10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 &amp; Charts'!$A$11:$A$21</f>
            </numRef>
          </cat>
          <val>
            <numRef>
              <f>'Trend &amp; Charts'!$B$11:$B$21</f>
            </numRef>
          </val>
        </ser>
        <ser>
          <idx val="1"/>
          <order val="1"/>
          <tx>
            <strRef>
              <f>'Trend &amp; Charts'!C10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 &amp; Charts'!$A$11:$A$21</f>
            </numRef>
          </cat>
          <val>
            <numRef>
              <f>'Trend &amp; Charts'!$C$11:$C$21</f>
            </numRef>
          </val>
        </ser>
        <ser>
          <idx val="2"/>
          <order val="2"/>
          <tx>
            <strRef>
              <f>'Trend &amp; Charts'!D10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 &amp; Charts'!$A$11:$A$21</f>
            </numRef>
          </cat>
          <val>
            <numRef>
              <f>'Trend &amp; Charts'!$D$11:$D$21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FY2027 Forecast — Scenario Range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'Trend &amp; Charts'!B29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 &amp; Charts'!$A$30:$A$32</f>
            </numRef>
          </cat>
          <val>
            <numRef>
              <f>'Trend &amp; Charts'!$B$30:$B$32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43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" customWidth="1" min="8" max="8"/>
  </cols>
  <sheetData>
    <row r="2" ht="30" customHeight="1">
      <c r="B2" s="1" t="inlineStr">
        <is>
          <t>FRESH THYME FARMERS MARKET  —  Power Services Revenue Forecast</t>
        </is>
      </c>
      <c r="C2" s="2" t="n"/>
      <c r="D2" s="2" t="n"/>
      <c r="E2" s="2" t="n"/>
      <c r="F2" s="2" t="n"/>
      <c r="G2" s="2" t="n"/>
    </row>
    <row r="3">
      <c r="B3" s="3" t="inlineStr">
        <is>
          <t>Contract 1473438  •  Customer #9299639  •  Billed quarterly (Advance Invoice)  •  Prepared for Account Executive review</t>
        </is>
      </c>
    </row>
    <row r="5">
      <c r="B5" s="4" t="inlineStr">
        <is>
          <t>FORECAST ASSUMPTIONS (edit the yellow cells — everything recalculates)</t>
        </is>
      </c>
    </row>
    <row r="7">
      <c r="B7" s="5" t="inlineStr">
        <is>
          <t>CPI uplift — Base case (CPI + 2, current cycle)</t>
        </is>
      </c>
      <c r="C7" s="6" t="n">
        <v>0.055</v>
      </c>
    </row>
    <row r="8">
      <c r="B8" s="5" t="inlineStr">
        <is>
          <t>CPI uplift — Low scenario</t>
        </is>
      </c>
      <c r="C8" s="6" t="n">
        <v>0.03</v>
      </c>
    </row>
    <row r="9">
      <c r="B9" s="5" t="inlineStr">
        <is>
          <t>CPI uplift — High scenario</t>
        </is>
      </c>
      <c r="C9" s="6" t="n">
        <v>0.07000000000000001</v>
      </c>
    </row>
    <row r="10">
      <c r="B10" s="7" t="inlineStr">
        <is>
          <t>Contract escalation formula</t>
        </is>
      </c>
      <c r="C10" s="8" t="inlineStr">
        <is>
          <t>CPI + 2%</t>
        </is>
      </c>
    </row>
    <row r="11" ht="28" customHeight="1">
      <c r="B11" s="7" t="inlineStr">
        <is>
          <t>Note</t>
        </is>
      </c>
      <c r="C11" s="9" t="inlineStr">
        <is>
          <t>BOC confirmed this cycle: 'CPI 2+' formula resulted in a total 5.5% increase (applied uniformly to every line, 2025→2026). 5.5% is the base case for FY2027.</t>
        </is>
      </c>
    </row>
    <row r="14">
      <c r="B14" s="4" t="inlineStr">
        <is>
          <t>ANNUAL CONTRACT VALUE  —  Actuals &amp; Forecast</t>
        </is>
      </c>
    </row>
    <row r="15" ht="46" customHeight="1">
      <c r="B15" s="10" t="inlineStr"/>
      <c r="C15" s="10" t="inlineStr">
        <is>
          <t>FY2025
(Oct25–Sep26)</t>
        </is>
      </c>
      <c r="D15" s="10" t="inlineStr">
        <is>
          <t>FY2026
(Oct26–Sep27)
APPROVED</t>
        </is>
      </c>
      <c r="E15" s="11" t="inlineStr">
        <is>
          <t>FY2027 Forecast
LOW</t>
        </is>
      </c>
      <c r="F15" s="11" t="inlineStr">
        <is>
          <t>FY2027 Forecast
BASE</t>
        </is>
      </c>
      <c r="G15" s="11" t="inlineStr">
        <is>
          <t>FY2027 Forecast
HIGH</t>
        </is>
      </c>
    </row>
    <row r="16">
      <c r="B16" s="12" t="inlineStr">
        <is>
          <t>Total Annual Revenue</t>
        </is>
      </c>
      <c r="C16" s="13">
        <f>'FY2025'!C3</f>
        <v/>
      </c>
      <c r="D16" s="13">
        <f>'FY2026'!C3</f>
        <v/>
      </c>
      <c r="E16" s="13">
        <f>'FY2027 Forecast'!F3</f>
        <v/>
      </c>
      <c r="F16" s="13">
        <f>'FY2027 Forecast'!G3</f>
        <v/>
      </c>
      <c r="G16" s="13">
        <f>'FY2027 Forecast'!H3</f>
        <v/>
      </c>
    </row>
    <row r="17">
      <c r="B17" s="14" t="inlineStr">
        <is>
          <t>Quarterly Invoice (÷ 4)</t>
        </is>
      </c>
      <c r="C17" s="15">
        <f>C16/4</f>
        <v/>
      </c>
      <c r="D17" s="15">
        <f>D16/4</f>
        <v/>
      </c>
      <c r="E17" s="15">
        <f>E16/4</f>
        <v/>
      </c>
      <c r="F17" s="15">
        <f>F16/4</f>
        <v/>
      </c>
      <c r="G17" s="15">
        <f>G16/4</f>
        <v/>
      </c>
    </row>
    <row r="18">
      <c r="B18" s="14" t="inlineStr">
        <is>
          <t>YoY $ Increase</t>
        </is>
      </c>
      <c r="C18" s="16" t="inlineStr"/>
      <c r="D18" s="17">
        <f>D16-C16</f>
        <v/>
      </c>
      <c r="E18" s="17">
        <f>E16-D16</f>
        <v/>
      </c>
      <c r="F18" s="17">
        <f>F16-D16</f>
        <v/>
      </c>
      <c r="G18" s="17">
        <f>G16-D16</f>
        <v/>
      </c>
    </row>
    <row r="19">
      <c r="B19" s="14" t="inlineStr">
        <is>
          <t>YoY % Increase</t>
        </is>
      </c>
      <c r="C19" s="16" t="inlineStr"/>
      <c r="D19" s="18">
        <f>D16/C16-1</f>
        <v/>
      </c>
      <c r="E19" s="18">
        <f>E16/D16-1</f>
        <v/>
      </c>
      <c r="F19" s="18">
        <f>F16/D16-1</f>
        <v/>
      </c>
      <c r="G19" s="18">
        <f>G16/D16-1</f>
        <v/>
      </c>
    </row>
    <row r="21">
      <c r="B21" s="19" t="inlineStr">
        <is>
          <t>Reading it: FY2026 is the prebill you just approved. FY2027 = FY2026 × (1 + CPI uplift), line by line. Base case uses 5.5%.</t>
        </is>
      </c>
    </row>
  </sheetData>
  <mergeCells count="4">
    <mergeCell ref="B3:G3"/>
    <mergeCell ref="B2:G2"/>
    <mergeCell ref="B21:G21"/>
    <mergeCell ref="C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15" customWidth="1" min="4" max="4"/>
    <col width="15" customWidth="1" min="5" max="5"/>
    <col width="10" customWidth="1" min="6" max="6"/>
    <col width="16" customWidth="1" min="7" max="7"/>
    <col width="16" customWidth="1" min="8" max="8"/>
  </cols>
  <sheetData>
    <row r="1" ht="24" customHeight="1">
      <c r="A1" s="20" t="inlineStr">
        <is>
          <t>FY2025  —  Prebill Detail by Service Line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21" t="inlineStr">
        <is>
          <t>GRAND TOTAL (annual)</t>
        </is>
      </c>
      <c r="C3" s="13">
        <f>C17</f>
        <v/>
      </c>
    </row>
    <row r="5" ht="30" customHeight="1">
      <c r="A5" s="10" t="inlineStr">
        <is>
          <t>Service / Product Line</t>
        </is>
      </c>
      <c r="B5" s="10" t="inlineStr">
        <is>
          <t>Lanes</t>
        </is>
      </c>
      <c r="C5" s="10" t="inlineStr">
        <is>
          <t>Annual $ (this yr)</t>
        </is>
      </c>
      <c r="D5" s="10" t="inlineStr">
        <is>
          <t>Quarterly $</t>
        </is>
      </c>
      <c r="E5" s="10" t="inlineStr">
        <is>
          <t>Per-Lane $</t>
        </is>
      </c>
    </row>
    <row r="6">
      <c r="A6" s="22" t="inlineStr">
        <is>
          <t>Power Transportation Inbound/Outbound w/ Optimization (Large)</t>
        </is>
      </c>
      <c r="B6" s="23" t="n">
        <v>1</v>
      </c>
      <c r="C6" s="24" t="n">
        <v>14105.79</v>
      </c>
      <c r="D6" s="24">
        <f>C6/4</f>
        <v/>
      </c>
      <c r="E6" s="24">
        <f>IF(B6=0,0,C6/B6)</f>
        <v/>
      </c>
    </row>
    <row r="7">
      <c r="A7" s="25" t="inlineStr">
        <is>
          <t>Invoice Reconciliation - Stores (Small)</t>
        </is>
      </c>
      <c r="B7" s="26" t="n">
        <v>1</v>
      </c>
      <c r="C7" s="15" t="n">
        <v>32083.46</v>
      </c>
      <c r="D7" s="15">
        <f>C7/4</f>
        <v/>
      </c>
      <c r="E7" s="15">
        <f>IF(B7=0,0,C7/B7)</f>
        <v/>
      </c>
    </row>
    <row r="8">
      <c r="A8" s="22" t="inlineStr">
        <is>
          <t>Retalix Store/HQ POS/HQ POS EXCHANGE/POS CONNECT</t>
        </is>
      </c>
      <c r="B8" s="23" t="n">
        <v>70</v>
      </c>
      <c r="C8" s="24" t="n">
        <v>40308.8</v>
      </c>
      <c r="D8" s="24">
        <f>C8/4</f>
        <v/>
      </c>
      <c r="E8" s="24">
        <f>IF(B8=0,0,C8/B8)</f>
        <v/>
      </c>
    </row>
    <row r="9">
      <c r="A9" s="25" t="inlineStr">
        <is>
          <t>Power HQ (large format), Per store for retailer with 26 to 100 stores</t>
        </is>
      </c>
      <c r="B9" s="26" t="n">
        <v>70</v>
      </c>
      <c r="C9" s="15" t="n">
        <v>145375.3</v>
      </c>
      <c r="D9" s="15">
        <f>C9/4</f>
        <v/>
      </c>
      <c r="E9" s="15">
        <f>IF(B9=0,0,C9/B9)</f>
        <v/>
      </c>
    </row>
    <row r="10">
      <c r="A10" s="22" t="inlineStr">
        <is>
          <t>Power Webstore (large format), Per store for retailer with 26 to 100 stores</t>
        </is>
      </c>
      <c r="B10" s="23" t="n">
        <v>70</v>
      </c>
      <c r="C10" s="24" t="n">
        <v>40308.8</v>
      </c>
      <c r="D10" s="24">
        <f>C10/4</f>
        <v/>
      </c>
      <c r="E10" s="24">
        <f>IF(B10=0,0,C10/B10)</f>
        <v/>
      </c>
    </row>
    <row r="11">
      <c r="A11" s="25" t="inlineStr">
        <is>
          <t>Power Portal (large format), Per store for retailer with 26 to 100 stores</t>
        </is>
      </c>
      <c r="B11" s="26" t="n">
        <v>70</v>
      </c>
      <c r="C11" s="15" t="n">
        <v>0</v>
      </c>
      <c r="D11" s="15">
        <f>C11/4</f>
        <v/>
      </c>
      <c r="E11" s="15">
        <f>IF(B11=0,0,C11/B11)</f>
        <v/>
      </c>
    </row>
    <row r="12">
      <c r="A12" s="22" t="inlineStr">
        <is>
          <t>Power DAX (large format), Per store for retailer with 26 to 100 stores</t>
        </is>
      </c>
      <c r="B12" s="23" t="n">
        <v>70</v>
      </c>
      <c r="C12" s="24" t="n">
        <v>55463.1</v>
      </c>
      <c r="D12" s="24">
        <f>C12/4</f>
        <v/>
      </c>
      <c r="E12" s="24">
        <f>IF(B12=0,0,C12/B12)</f>
        <v/>
      </c>
    </row>
    <row r="13">
      <c r="A13" s="25" t="inlineStr">
        <is>
          <t>Power Inventory (large format), Per store for retailer with 26 to 100 stores</t>
        </is>
      </c>
      <c r="B13" s="26" t="n">
        <v>70</v>
      </c>
      <c r="C13" s="15" t="n">
        <v>50411.9</v>
      </c>
      <c r="D13" s="15">
        <f>C13/4</f>
        <v/>
      </c>
      <c r="E13" s="15">
        <f>IF(B13=0,0,C13/B13)</f>
        <v/>
      </c>
    </row>
    <row r="14">
      <c r="A14" s="22" t="inlineStr">
        <is>
          <t>Power+ Purchasing (initial site) (Large)</t>
        </is>
      </c>
      <c r="B14" s="23" t="n">
        <v>1</v>
      </c>
      <c r="C14" s="24" t="n">
        <v>40554.14</v>
      </c>
      <c r="D14" s="24">
        <f>C14/4</f>
        <v/>
      </c>
      <c r="E14" s="24">
        <f>IF(B14=0,0,C14/B14)</f>
        <v/>
      </c>
    </row>
    <row r="15">
      <c r="A15" s="25" t="inlineStr">
        <is>
          <t>Power+ WMS (initial site) (Large)</t>
        </is>
      </c>
      <c r="B15" s="26" t="n">
        <v>1</v>
      </c>
      <c r="C15" s="15" t="n">
        <v>28564.2</v>
      </c>
      <c r="D15" s="15">
        <f>C15/4</f>
        <v/>
      </c>
      <c r="E15" s="15">
        <f>IF(B15=0,0,C15/B15)</f>
        <v/>
      </c>
    </row>
    <row r="16">
      <c r="A16" s="22" t="inlineStr">
        <is>
          <t>Power Dock (initial site) (Large)</t>
        </is>
      </c>
      <c r="B16" s="23" t="n">
        <v>1</v>
      </c>
      <c r="C16" s="24" t="n">
        <v>5994.97</v>
      </c>
      <c r="D16" s="24">
        <f>C16/4</f>
        <v/>
      </c>
      <c r="E16" s="24">
        <f>IF(B16=0,0,C16/B16)</f>
        <v/>
      </c>
    </row>
    <row r="17">
      <c r="A17" s="27" t="inlineStr">
        <is>
          <t>TOTAL</t>
        </is>
      </c>
      <c r="B17" s="28">
        <f>SUM(B6:B16)</f>
        <v/>
      </c>
      <c r="C17" s="29">
        <f>SUM(C6:C16)</f>
        <v/>
      </c>
      <c r="D17" s="29">
        <f>SUM(D6:D16)</f>
        <v/>
      </c>
      <c r="E17" s="29">
        <f>SUM(E6:E16)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15" customWidth="1" min="4" max="4"/>
    <col width="15" customWidth="1" min="5" max="5"/>
    <col width="10" customWidth="1" min="6" max="6"/>
    <col width="16" customWidth="1" min="7" max="7"/>
    <col width="16" customWidth="1" min="8" max="8"/>
  </cols>
  <sheetData>
    <row r="1" ht="24" customHeight="1">
      <c r="A1" s="20" t="inlineStr">
        <is>
          <t>FY2026  —  Prebill Detail by Service Line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21" t="inlineStr">
        <is>
          <t>GRAND TOTAL (annual)</t>
        </is>
      </c>
      <c r="C3" s="13">
        <f>C17</f>
        <v/>
      </c>
    </row>
    <row r="5" ht="30" customHeight="1">
      <c r="A5" s="10" t="inlineStr">
        <is>
          <t>Service / Product Line</t>
        </is>
      </c>
      <c r="B5" s="10" t="inlineStr">
        <is>
          <t>Lanes</t>
        </is>
      </c>
      <c r="C5" s="10" t="inlineStr">
        <is>
          <t>Annual $ (this yr)</t>
        </is>
      </c>
      <c r="D5" s="10" t="inlineStr">
        <is>
          <t>Prior Yr $</t>
        </is>
      </c>
      <c r="E5" s="10" t="inlineStr">
        <is>
          <t>YoY $</t>
        </is>
      </c>
      <c r="F5" s="10" t="inlineStr">
        <is>
          <t>YoY %</t>
        </is>
      </c>
      <c r="G5" s="10" t="inlineStr">
        <is>
          <t>Quarterly $</t>
        </is>
      </c>
      <c r="H5" s="10" t="inlineStr">
        <is>
          <t>Per-Lane $</t>
        </is>
      </c>
    </row>
    <row r="6">
      <c r="A6" s="22" t="inlineStr">
        <is>
          <t>Power Transportation Inbound/Outbound w/ Optimization (Large)</t>
        </is>
      </c>
      <c r="B6" s="23" t="n">
        <v>1</v>
      </c>
      <c r="C6" s="24" t="n">
        <v>14881.61</v>
      </c>
      <c r="D6" s="24" t="n">
        <v>14105.79</v>
      </c>
      <c r="E6" s="30">
        <f>C6-D6</f>
        <v/>
      </c>
      <c r="F6" s="31">
        <f>IF(D6=0,0,C6/D6-1)</f>
        <v/>
      </c>
      <c r="G6" s="24">
        <f>C6/4</f>
        <v/>
      </c>
      <c r="H6" s="24">
        <f>IF(B6=0,0,C6/B6)</f>
        <v/>
      </c>
    </row>
    <row r="7">
      <c r="A7" s="25" t="inlineStr">
        <is>
          <t>Invoice Reconciliation - Stores (Small)</t>
        </is>
      </c>
      <c r="B7" s="26" t="n">
        <v>1</v>
      </c>
      <c r="C7" s="15" t="n">
        <v>33848.05</v>
      </c>
      <c r="D7" s="15" t="n">
        <v>32083.46</v>
      </c>
      <c r="E7" s="17">
        <f>C7-D7</f>
        <v/>
      </c>
      <c r="F7" s="18">
        <f>IF(D7=0,0,C7/D7-1)</f>
        <v/>
      </c>
      <c r="G7" s="15">
        <f>C7/4</f>
        <v/>
      </c>
      <c r="H7" s="15">
        <f>IF(B7=0,0,C7/B7)</f>
        <v/>
      </c>
    </row>
    <row r="8">
      <c r="A8" s="22" t="inlineStr">
        <is>
          <t>Retalix Store/HQ POS/HQ POS EXCHANGE/POS CONNECT</t>
        </is>
      </c>
      <c r="B8" s="23" t="n">
        <v>70</v>
      </c>
      <c r="C8" s="24" t="n">
        <v>42525.7</v>
      </c>
      <c r="D8" s="24" t="n">
        <v>40308.8</v>
      </c>
      <c r="E8" s="30">
        <f>C8-D8</f>
        <v/>
      </c>
      <c r="F8" s="31">
        <f>IF(D8=0,0,C8/D8-1)</f>
        <v/>
      </c>
      <c r="G8" s="24">
        <f>C8/4</f>
        <v/>
      </c>
      <c r="H8" s="24">
        <f>IF(B8=0,0,C8/B8)</f>
        <v/>
      </c>
    </row>
    <row r="9">
      <c r="A9" s="25" t="inlineStr">
        <is>
          <t>Power HQ (large format), Per store for retailer with 26 to 100 stores</t>
        </is>
      </c>
      <c r="B9" s="26" t="n">
        <v>70</v>
      </c>
      <c r="C9" s="15" t="n">
        <v>153370.7</v>
      </c>
      <c r="D9" s="15" t="n">
        <v>145375.3</v>
      </c>
      <c r="E9" s="17">
        <f>C9-D9</f>
        <v/>
      </c>
      <c r="F9" s="18">
        <f>IF(D9=0,0,C9/D9-1)</f>
        <v/>
      </c>
      <c r="G9" s="15">
        <f>C9/4</f>
        <v/>
      </c>
      <c r="H9" s="15">
        <f>IF(B9=0,0,C9/B9)</f>
        <v/>
      </c>
    </row>
    <row r="10">
      <c r="A10" s="22" t="inlineStr">
        <is>
          <t>Power Webstore (large format), Per store for retailer with 26 to 100 stores</t>
        </is>
      </c>
      <c r="B10" s="23" t="n">
        <v>70</v>
      </c>
      <c r="C10" s="24" t="n">
        <v>42525.7</v>
      </c>
      <c r="D10" s="24" t="n">
        <v>40308.8</v>
      </c>
      <c r="E10" s="30">
        <f>C10-D10</f>
        <v/>
      </c>
      <c r="F10" s="31">
        <f>IF(D10=0,0,C10/D10-1)</f>
        <v/>
      </c>
      <c r="G10" s="24">
        <f>C10/4</f>
        <v/>
      </c>
      <c r="H10" s="24">
        <f>IF(B10=0,0,C10/B10)</f>
        <v/>
      </c>
    </row>
    <row r="11">
      <c r="A11" s="25" t="inlineStr">
        <is>
          <t>Power Portal (large format), Per store for retailer with 26 to 100 stores</t>
        </is>
      </c>
      <c r="B11" s="26" t="n">
        <v>70</v>
      </c>
      <c r="C11" s="15" t="n">
        <v>0</v>
      </c>
      <c r="D11" s="15" t="n">
        <v>0</v>
      </c>
      <c r="E11" s="17">
        <f>C11-D11</f>
        <v/>
      </c>
      <c r="F11" s="18">
        <f>IF(D11=0,0,C11/D11-1)</f>
        <v/>
      </c>
      <c r="G11" s="15">
        <f>C11/4</f>
        <v/>
      </c>
      <c r="H11" s="15">
        <f>IF(B11=0,0,C11/B11)</f>
        <v/>
      </c>
    </row>
    <row r="12">
      <c r="A12" s="22" t="inlineStr">
        <is>
          <t>Power DAX (large format), Per store for retailer with 26 to 100 stores</t>
        </is>
      </c>
      <c r="B12" s="23" t="n">
        <v>70</v>
      </c>
      <c r="C12" s="24" t="n">
        <v>58513.7</v>
      </c>
      <c r="D12" s="24" t="n">
        <v>55463.1</v>
      </c>
      <c r="E12" s="30">
        <f>C12-D12</f>
        <v/>
      </c>
      <c r="F12" s="31">
        <f>IF(D12=0,0,C12/D12-1)</f>
        <v/>
      </c>
      <c r="G12" s="24">
        <f>C12/4</f>
        <v/>
      </c>
      <c r="H12" s="24">
        <f>IF(B12=0,0,C12/B12)</f>
        <v/>
      </c>
    </row>
    <row r="13">
      <c r="A13" s="25" t="inlineStr">
        <is>
          <t>Power Inventory (large format), Per store for retailer with 26 to 100 stores</t>
        </is>
      </c>
      <c r="B13" s="26" t="n">
        <v>70</v>
      </c>
      <c r="C13" s="15" t="n">
        <v>53184.6</v>
      </c>
      <c r="D13" s="15" t="n">
        <v>50411.9</v>
      </c>
      <c r="E13" s="17">
        <f>C13-D13</f>
        <v/>
      </c>
      <c r="F13" s="18">
        <f>IF(D13=0,0,C13/D13-1)</f>
        <v/>
      </c>
      <c r="G13" s="15">
        <f>C13/4</f>
        <v/>
      </c>
      <c r="H13" s="15">
        <f>IF(B13=0,0,C13/B13)</f>
        <v/>
      </c>
    </row>
    <row r="14">
      <c r="A14" s="22" t="inlineStr">
        <is>
          <t>Power+ Purchasing (initial site) (Large)</t>
        </is>
      </c>
      <c r="B14" s="23" t="n">
        <v>1</v>
      </c>
      <c r="C14" s="24" t="n">
        <v>42784.62</v>
      </c>
      <c r="D14" s="24" t="n">
        <v>40554.14</v>
      </c>
      <c r="E14" s="30">
        <f>C14-D14</f>
        <v/>
      </c>
      <c r="F14" s="31">
        <f>IF(D14=0,0,C14/D14-1)</f>
        <v/>
      </c>
      <c r="G14" s="24">
        <f>C14/4</f>
        <v/>
      </c>
      <c r="H14" s="24">
        <f>IF(B14=0,0,C14/B14)</f>
        <v/>
      </c>
    </row>
    <row r="15">
      <c r="A15" s="25" t="inlineStr">
        <is>
          <t>Power+ WMS (initial site) (Large)</t>
        </is>
      </c>
      <c r="B15" s="26" t="n">
        <v>1</v>
      </c>
      <c r="C15" s="15" t="n">
        <v>30135.23</v>
      </c>
      <c r="D15" s="15" t="n">
        <v>28564.2</v>
      </c>
      <c r="E15" s="17">
        <f>C15-D15</f>
        <v/>
      </c>
      <c r="F15" s="18">
        <f>IF(D15=0,0,C15/D15-1)</f>
        <v/>
      </c>
      <c r="G15" s="15">
        <f>C15/4</f>
        <v/>
      </c>
      <c r="H15" s="15">
        <f>IF(B15=0,0,C15/B15)</f>
        <v/>
      </c>
    </row>
    <row r="16">
      <c r="A16" s="22" t="inlineStr">
        <is>
          <t>Power Dock (initial site) (Large)</t>
        </is>
      </c>
      <c r="B16" s="23" t="n">
        <v>1</v>
      </c>
      <c r="C16" s="24" t="n">
        <v>6324.69</v>
      </c>
      <c r="D16" s="24" t="n">
        <v>5994.97</v>
      </c>
      <c r="E16" s="30">
        <f>C16-D16</f>
        <v/>
      </c>
      <c r="F16" s="31">
        <f>IF(D16=0,0,C16/D16-1)</f>
        <v/>
      </c>
      <c r="G16" s="24">
        <f>C16/4</f>
        <v/>
      </c>
      <c r="H16" s="24">
        <f>IF(B16=0,0,C16/B16)</f>
        <v/>
      </c>
    </row>
    <row r="17">
      <c r="A17" s="27" t="inlineStr">
        <is>
          <t>TOTAL</t>
        </is>
      </c>
      <c r="B17" s="28">
        <f>SUM(B6:B16)</f>
        <v/>
      </c>
      <c r="C17" s="29">
        <f>SUM(C6:C16)</f>
        <v/>
      </c>
      <c r="D17" s="29">
        <f>SUM(D6:D16)</f>
        <v/>
      </c>
      <c r="E17" s="29">
        <f>SUM(E6:E16)</f>
        <v/>
      </c>
      <c r="F17" s="32">
        <f>IF(D17=0,0,C17/D17-1)</f>
        <v/>
      </c>
      <c r="G17" s="29">
        <f>SUM(G6:G16)</f>
        <v/>
      </c>
      <c r="H17" s="29">
        <f>SUM(H6:H16)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13" customWidth="1" min="4" max="4"/>
    <col width="9" customWidth="1" min="5" max="5"/>
    <col width="15" customWidth="1" min="6" max="6"/>
    <col width="15" customWidth="1" min="7" max="7"/>
    <col width="15" customWidth="1" min="8" max="8"/>
  </cols>
  <sheetData>
    <row r="1" ht="24" customHeight="1">
      <c r="A1" s="33" t="inlineStr">
        <is>
          <t>FY2027 FORECAST  (Oct 2027 – Sep 2028)  —  FY2026 × (1 + CPI uplift), by line</t>
        </is>
      </c>
      <c r="B1" s="34" t="n"/>
      <c r="C1" s="34" t="n"/>
      <c r="D1" s="34" t="n"/>
      <c r="E1" s="34" t="n"/>
      <c r="F1" s="34" t="n"/>
      <c r="G1" s="34" t="n"/>
      <c r="H1" s="34" t="n"/>
    </row>
    <row r="3">
      <c r="A3" s="35" t="inlineStr">
        <is>
          <t>GRAND TOTAL (annual)</t>
        </is>
      </c>
      <c r="C3" s="36">
        <f>C17</f>
        <v/>
      </c>
      <c r="F3" s="37">
        <f>F17</f>
        <v/>
      </c>
      <c r="G3" s="36">
        <f>G17</f>
        <v/>
      </c>
      <c r="H3" s="37">
        <f>H17</f>
        <v/>
      </c>
    </row>
    <row r="4">
      <c r="A4" s="38" t="inlineStr">
        <is>
          <t>Quarterly (Base ÷4)</t>
        </is>
      </c>
      <c r="G4" s="39">
        <f>G3/4</f>
        <v/>
      </c>
    </row>
    <row r="5" ht="30" customHeight="1">
      <c r="A5" s="40" t="inlineStr">
        <is>
          <t>Service / Product Line</t>
        </is>
      </c>
      <c r="B5" s="40" t="inlineStr">
        <is>
          <t>Lanes</t>
        </is>
      </c>
      <c r="C5" s="40" t="inlineStr">
        <is>
          <t>FY2026 Base $</t>
        </is>
      </c>
      <c r="D5" s="40" t="inlineStr">
        <is>
          <t>CPI applied</t>
        </is>
      </c>
      <c r="E5" s="40" t="inlineStr"/>
      <c r="F5" s="40" t="inlineStr">
        <is>
          <t>Forecast LOW</t>
        </is>
      </c>
      <c r="G5" s="40" t="inlineStr">
        <is>
          <t>Forecast BASE</t>
        </is>
      </c>
      <c r="H5" s="40" t="inlineStr">
        <is>
          <t>Forecast HIGH</t>
        </is>
      </c>
    </row>
    <row r="6">
      <c r="A6" s="22" t="inlineStr">
        <is>
          <t>Power Transportation Inbound/Outbound w/ Optimization (Large)</t>
        </is>
      </c>
      <c r="B6" s="23" t="n">
        <v>1</v>
      </c>
      <c r="C6" s="24">
        <f>'FY2026'!C6</f>
        <v/>
      </c>
      <c r="D6" s="31">
        <f>'Summary &amp; Assumptions'!$C$7</f>
        <v/>
      </c>
      <c r="E6" s="41" t="inlineStr"/>
      <c r="F6" s="24">
        <f>C6*(1+'Summary &amp; Assumptions'!$C$8)</f>
        <v/>
      </c>
      <c r="G6" s="42">
        <f>C6*(1+'Summary &amp; Assumptions'!$C$7)</f>
        <v/>
      </c>
      <c r="H6" s="24">
        <f>C6*(1+'Summary &amp; Assumptions'!$C$9)</f>
        <v/>
      </c>
    </row>
    <row r="7">
      <c r="A7" s="25" t="inlineStr">
        <is>
          <t>Invoice Reconciliation - Stores (Small)</t>
        </is>
      </c>
      <c r="B7" s="26" t="n">
        <v>1</v>
      </c>
      <c r="C7" s="15">
        <f>'FY2026'!C7</f>
        <v/>
      </c>
      <c r="D7" s="18">
        <f>'Summary &amp; Assumptions'!$C$7</f>
        <v/>
      </c>
      <c r="E7" s="16" t="inlineStr"/>
      <c r="F7" s="15">
        <f>C7*(1+'Summary &amp; Assumptions'!$C$8)</f>
        <v/>
      </c>
      <c r="G7" s="42">
        <f>C7*(1+'Summary &amp; Assumptions'!$C$7)</f>
        <v/>
      </c>
      <c r="H7" s="15">
        <f>C7*(1+'Summary &amp; Assumptions'!$C$9)</f>
        <v/>
      </c>
    </row>
    <row r="8">
      <c r="A8" s="22" t="inlineStr">
        <is>
          <t>Retalix Store/HQ POS/HQ POS EXCHANGE/POS CONNECT</t>
        </is>
      </c>
      <c r="B8" s="23" t="n">
        <v>70</v>
      </c>
      <c r="C8" s="24">
        <f>'FY2026'!C8</f>
        <v/>
      </c>
      <c r="D8" s="31">
        <f>'Summary &amp; Assumptions'!$C$7</f>
        <v/>
      </c>
      <c r="E8" s="41" t="inlineStr"/>
      <c r="F8" s="24">
        <f>C8*(1+'Summary &amp; Assumptions'!$C$8)</f>
        <v/>
      </c>
      <c r="G8" s="42">
        <f>C8*(1+'Summary &amp; Assumptions'!$C$7)</f>
        <v/>
      </c>
      <c r="H8" s="24">
        <f>C8*(1+'Summary &amp; Assumptions'!$C$9)</f>
        <v/>
      </c>
    </row>
    <row r="9">
      <c r="A9" s="25" t="inlineStr">
        <is>
          <t>Power HQ (large format), Per store for retailer with 26 to 100 stores</t>
        </is>
      </c>
      <c r="B9" s="26" t="n">
        <v>70</v>
      </c>
      <c r="C9" s="15">
        <f>'FY2026'!C9</f>
        <v/>
      </c>
      <c r="D9" s="18">
        <f>'Summary &amp; Assumptions'!$C$7</f>
        <v/>
      </c>
      <c r="E9" s="16" t="inlineStr"/>
      <c r="F9" s="15">
        <f>C9*(1+'Summary &amp; Assumptions'!$C$8)</f>
        <v/>
      </c>
      <c r="G9" s="42">
        <f>C9*(1+'Summary &amp; Assumptions'!$C$7)</f>
        <v/>
      </c>
      <c r="H9" s="15">
        <f>C9*(1+'Summary &amp; Assumptions'!$C$9)</f>
        <v/>
      </c>
    </row>
    <row r="10">
      <c r="A10" s="22" t="inlineStr">
        <is>
          <t>Power Webstore (large format), Per store for retailer with 26 to 100 stores</t>
        </is>
      </c>
      <c r="B10" s="23" t="n">
        <v>70</v>
      </c>
      <c r="C10" s="24">
        <f>'FY2026'!C10</f>
        <v/>
      </c>
      <c r="D10" s="31">
        <f>'Summary &amp; Assumptions'!$C$7</f>
        <v/>
      </c>
      <c r="E10" s="41" t="inlineStr"/>
      <c r="F10" s="24">
        <f>C10*(1+'Summary &amp; Assumptions'!$C$8)</f>
        <v/>
      </c>
      <c r="G10" s="42">
        <f>C10*(1+'Summary &amp; Assumptions'!$C$7)</f>
        <v/>
      </c>
      <c r="H10" s="24">
        <f>C10*(1+'Summary &amp; Assumptions'!$C$9)</f>
        <v/>
      </c>
    </row>
    <row r="11">
      <c r="A11" s="25" t="inlineStr">
        <is>
          <t>Power Portal (large format), Per store for retailer with 26 to 100 stores</t>
        </is>
      </c>
      <c r="B11" s="26" t="n">
        <v>70</v>
      </c>
      <c r="C11" s="15">
        <f>'FY2026'!C11</f>
        <v/>
      </c>
      <c r="D11" s="18">
        <f>'Summary &amp; Assumptions'!$C$7</f>
        <v/>
      </c>
      <c r="E11" s="16" t="inlineStr"/>
      <c r="F11" s="15">
        <f>C11*(1+'Summary &amp; Assumptions'!$C$8)</f>
        <v/>
      </c>
      <c r="G11" s="42">
        <f>C11*(1+'Summary &amp; Assumptions'!$C$7)</f>
        <v/>
      </c>
      <c r="H11" s="15">
        <f>C11*(1+'Summary &amp; Assumptions'!$C$9)</f>
        <v/>
      </c>
    </row>
    <row r="12">
      <c r="A12" s="22" t="inlineStr">
        <is>
          <t>Power DAX (large format), Per store for retailer with 26 to 100 stores</t>
        </is>
      </c>
      <c r="B12" s="23" t="n">
        <v>70</v>
      </c>
      <c r="C12" s="24">
        <f>'FY2026'!C12</f>
        <v/>
      </c>
      <c r="D12" s="31">
        <f>'Summary &amp; Assumptions'!$C$7</f>
        <v/>
      </c>
      <c r="E12" s="41" t="inlineStr"/>
      <c r="F12" s="24">
        <f>C12*(1+'Summary &amp; Assumptions'!$C$8)</f>
        <v/>
      </c>
      <c r="G12" s="42">
        <f>C12*(1+'Summary &amp; Assumptions'!$C$7)</f>
        <v/>
      </c>
      <c r="H12" s="24">
        <f>C12*(1+'Summary &amp; Assumptions'!$C$9)</f>
        <v/>
      </c>
    </row>
    <row r="13">
      <c r="A13" s="25" t="inlineStr">
        <is>
          <t>Power Inventory (large format), Per store for retailer with 26 to 100 stores</t>
        </is>
      </c>
      <c r="B13" s="26" t="n">
        <v>70</v>
      </c>
      <c r="C13" s="15">
        <f>'FY2026'!C13</f>
        <v/>
      </c>
      <c r="D13" s="18">
        <f>'Summary &amp; Assumptions'!$C$7</f>
        <v/>
      </c>
      <c r="E13" s="16" t="inlineStr"/>
      <c r="F13" s="15">
        <f>C13*(1+'Summary &amp; Assumptions'!$C$8)</f>
        <v/>
      </c>
      <c r="G13" s="42">
        <f>C13*(1+'Summary &amp; Assumptions'!$C$7)</f>
        <v/>
      </c>
      <c r="H13" s="15">
        <f>C13*(1+'Summary &amp; Assumptions'!$C$9)</f>
        <v/>
      </c>
    </row>
    <row r="14">
      <c r="A14" s="22" t="inlineStr">
        <is>
          <t>Power+ Purchasing (initial site) (Large)</t>
        </is>
      </c>
      <c r="B14" s="23" t="n">
        <v>1</v>
      </c>
      <c r="C14" s="24">
        <f>'FY2026'!C14</f>
        <v/>
      </c>
      <c r="D14" s="31">
        <f>'Summary &amp; Assumptions'!$C$7</f>
        <v/>
      </c>
      <c r="E14" s="41" t="inlineStr"/>
      <c r="F14" s="24">
        <f>C14*(1+'Summary &amp; Assumptions'!$C$8)</f>
        <v/>
      </c>
      <c r="G14" s="42">
        <f>C14*(1+'Summary &amp; Assumptions'!$C$7)</f>
        <v/>
      </c>
      <c r="H14" s="24">
        <f>C14*(1+'Summary &amp; Assumptions'!$C$9)</f>
        <v/>
      </c>
    </row>
    <row r="15">
      <c r="A15" s="25" t="inlineStr">
        <is>
          <t>Power+ WMS (initial site) (Large)</t>
        </is>
      </c>
      <c r="B15" s="26" t="n">
        <v>1</v>
      </c>
      <c r="C15" s="15">
        <f>'FY2026'!C15</f>
        <v/>
      </c>
      <c r="D15" s="18">
        <f>'Summary &amp; Assumptions'!$C$7</f>
        <v/>
      </c>
      <c r="E15" s="16" t="inlineStr"/>
      <c r="F15" s="15">
        <f>C15*(1+'Summary &amp; Assumptions'!$C$8)</f>
        <v/>
      </c>
      <c r="G15" s="42">
        <f>C15*(1+'Summary &amp; Assumptions'!$C$7)</f>
        <v/>
      </c>
      <c r="H15" s="15">
        <f>C15*(1+'Summary &amp; Assumptions'!$C$9)</f>
        <v/>
      </c>
    </row>
    <row r="16">
      <c r="A16" s="22" t="inlineStr">
        <is>
          <t>Power Dock (initial site) (Large)</t>
        </is>
      </c>
      <c r="B16" s="23" t="n">
        <v>1</v>
      </c>
      <c r="C16" s="24">
        <f>'FY2026'!C16</f>
        <v/>
      </c>
      <c r="D16" s="31">
        <f>'Summary &amp; Assumptions'!$C$7</f>
        <v/>
      </c>
      <c r="E16" s="41" t="inlineStr"/>
      <c r="F16" s="24">
        <f>C16*(1+'Summary &amp; Assumptions'!$C$8)</f>
        <v/>
      </c>
      <c r="G16" s="42">
        <f>C16*(1+'Summary &amp; Assumptions'!$C$7)</f>
        <v/>
      </c>
      <c r="H16" s="24">
        <f>C16*(1+'Summary &amp; Assumptions'!$C$9)</f>
        <v/>
      </c>
    </row>
    <row r="17">
      <c r="A17" s="43" t="inlineStr">
        <is>
          <t>TOTAL</t>
        </is>
      </c>
      <c r="B17" s="44">
        <f>SUM(B6:B16)</f>
        <v/>
      </c>
      <c r="C17" s="45">
        <f>SUM(C6:C16)</f>
        <v/>
      </c>
      <c r="D17" s="46">
        <f>'Summary &amp; Assumptions'!$C$7</f>
        <v/>
      </c>
      <c r="E17" s="47" t="inlineStr"/>
      <c r="F17" s="45">
        <f>SUM(F6:F16)</f>
        <v/>
      </c>
      <c r="G17" s="45">
        <f>SUM(G6:G16)</f>
        <v/>
      </c>
      <c r="H17" s="45">
        <f>SUM(H6:H16)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48" t="inlineStr">
        <is>
          <t>3-YEAR REVENUE TREND</t>
        </is>
      </c>
    </row>
    <row r="3">
      <c r="A3" s="10" t="inlineStr">
        <is>
          <t>Fiscal Year</t>
        </is>
      </c>
      <c r="B3" s="10" t="inlineStr">
        <is>
          <t>Annual Revenue (Base)</t>
        </is>
      </c>
    </row>
    <row r="4">
      <c r="A4" s="7" t="inlineStr">
        <is>
          <t>FY2025</t>
        </is>
      </c>
      <c r="B4" s="49">
        <f>'FY2025'!C3</f>
        <v/>
      </c>
    </row>
    <row r="5">
      <c r="A5" s="7" t="inlineStr">
        <is>
          <t>FY2026 (approved)</t>
        </is>
      </c>
      <c r="B5" s="49">
        <f>'FY2026'!C3</f>
        <v/>
      </c>
    </row>
    <row r="6">
      <c r="A6" s="7" t="inlineStr">
        <is>
          <t>FY2027 (base fcst)</t>
        </is>
      </c>
      <c r="B6" s="49">
        <f>'FY2027 Forecast'!G3</f>
        <v/>
      </c>
    </row>
    <row r="9">
      <c r="A9" s="50" t="inlineStr">
        <is>
          <t>By Service Line (annual $)</t>
        </is>
      </c>
    </row>
    <row r="10">
      <c r="A10" s="10" t="inlineStr">
        <is>
          <t>Service / Product Line</t>
        </is>
      </c>
      <c r="B10" s="10" t="inlineStr">
        <is>
          <t>FY2025</t>
        </is>
      </c>
      <c r="C10" s="10" t="inlineStr">
        <is>
          <t>FY2026</t>
        </is>
      </c>
      <c r="D10" s="10" t="inlineStr">
        <is>
          <t>FY2027 Base</t>
        </is>
      </c>
    </row>
    <row r="11">
      <c r="A11" s="25" t="inlineStr">
        <is>
          <t>Power Transportation Inbound/Outbound w/ Optimization (Large)</t>
        </is>
      </c>
      <c r="B11" s="15">
        <f>'FY2025'!C6</f>
        <v/>
      </c>
      <c r="C11" s="15">
        <f>'FY2026'!C6</f>
        <v/>
      </c>
      <c r="D11" s="15">
        <f>'FY2027 Forecast'!G6</f>
        <v/>
      </c>
    </row>
    <row r="12">
      <c r="A12" s="25" t="inlineStr">
        <is>
          <t>Invoice Reconciliation - Stores (Small)</t>
        </is>
      </c>
      <c r="B12" s="15">
        <f>'FY2025'!C7</f>
        <v/>
      </c>
      <c r="C12" s="15">
        <f>'FY2026'!C7</f>
        <v/>
      </c>
      <c r="D12" s="15">
        <f>'FY2027 Forecast'!G7</f>
        <v/>
      </c>
    </row>
    <row r="13">
      <c r="A13" s="25" t="inlineStr">
        <is>
          <t>Retalix Store/HQ POS/HQ POS EXCHANGE/POS CONNECT</t>
        </is>
      </c>
      <c r="B13" s="15">
        <f>'FY2025'!C8</f>
        <v/>
      </c>
      <c r="C13" s="15">
        <f>'FY2026'!C8</f>
        <v/>
      </c>
      <c r="D13" s="15">
        <f>'FY2027 Forecast'!G8</f>
        <v/>
      </c>
    </row>
    <row r="14">
      <c r="A14" s="25" t="inlineStr">
        <is>
          <t>Power HQ (large format), Per store for retailer with 26 to 100 stores</t>
        </is>
      </c>
      <c r="B14" s="15">
        <f>'FY2025'!C9</f>
        <v/>
      </c>
      <c r="C14" s="15">
        <f>'FY2026'!C9</f>
        <v/>
      </c>
      <c r="D14" s="15">
        <f>'FY2027 Forecast'!G9</f>
        <v/>
      </c>
    </row>
    <row r="15">
      <c r="A15" s="25" t="inlineStr">
        <is>
          <t>Power Webstore (large format), Per store for retailer with 26 to 100 stores</t>
        </is>
      </c>
      <c r="B15" s="15">
        <f>'FY2025'!C10</f>
        <v/>
      </c>
      <c r="C15" s="15">
        <f>'FY2026'!C10</f>
        <v/>
      </c>
      <c r="D15" s="15">
        <f>'FY2027 Forecast'!G10</f>
        <v/>
      </c>
    </row>
    <row r="16">
      <c r="A16" s="25" t="inlineStr">
        <is>
          <t>Power Portal (large format), Per store for retailer with 26 to 100 stores</t>
        </is>
      </c>
      <c r="B16" s="15">
        <f>'FY2025'!C11</f>
        <v/>
      </c>
      <c r="C16" s="15">
        <f>'FY2026'!C11</f>
        <v/>
      </c>
      <c r="D16" s="15">
        <f>'FY2027 Forecast'!G11</f>
        <v/>
      </c>
    </row>
    <row r="17">
      <c r="A17" s="25" t="inlineStr">
        <is>
          <t>Power DAX (large format), Per store for retailer with 26 to 100 stores</t>
        </is>
      </c>
      <c r="B17" s="15">
        <f>'FY2025'!C12</f>
        <v/>
      </c>
      <c r="C17" s="15">
        <f>'FY2026'!C12</f>
        <v/>
      </c>
      <c r="D17" s="15">
        <f>'FY2027 Forecast'!G12</f>
        <v/>
      </c>
    </row>
    <row r="18">
      <c r="A18" s="25" t="inlineStr">
        <is>
          <t>Power Inventory (large format), Per store for retailer with 26 to 100 stores</t>
        </is>
      </c>
      <c r="B18" s="15">
        <f>'FY2025'!C13</f>
        <v/>
      </c>
      <c r="C18" s="15">
        <f>'FY2026'!C13</f>
        <v/>
      </c>
      <c r="D18" s="15">
        <f>'FY2027 Forecast'!G13</f>
        <v/>
      </c>
    </row>
    <row r="19">
      <c r="A19" s="25" t="inlineStr">
        <is>
          <t>Power+ Purchasing (initial site) (Large)</t>
        </is>
      </c>
      <c r="B19" s="15">
        <f>'FY2025'!C14</f>
        <v/>
      </c>
      <c r="C19" s="15">
        <f>'FY2026'!C14</f>
        <v/>
      </c>
      <c r="D19" s="15">
        <f>'FY2027 Forecast'!G14</f>
        <v/>
      </c>
    </row>
    <row r="20">
      <c r="A20" s="25" t="inlineStr">
        <is>
          <t>Power+ WMS (initial site) (Large)</t>
        </is>
      </c>
      <c r="B20" s="15">
        <f>'FY2025'!C15</f>
        <v/>
      </c>
      <c r="C20" s="15">
        <f>'FY2026'!C15</f>
        <v/>
      </c>
      <c r="D20" s="15">
        <f>'FY2027 Forecast'!G15</f>
        <v/>
      </c>
    </row>
    <row r="21">
      <c r="A21" s="25" t="inlineStr">
        <is>
          <t>Power Dock (initial site) (Large)</t>
        </is>
      </c>
      <c r="B21" s="15">
        <f>'FY2025'!C16</f>
        <v/>
      </c>
      <c r="C21" s="15">
        <f>'FY2026'!C16</f>
        <v/>
      </c>
      <c r="D21" s="15">
        <f>'FY2027 Forecast'!G16</f>
        <v/>
      </c>
    </row>
    <row r="28">
      <c r="A28" s="50" t="inlineStr">
        <is>
          <t>FY2027 Scenario Range</t>
        </is>
      </c>
    </row>
    <row r="29">
      <c r="A29" s="10" t="inlineStr">
        <is>
          <t>Scenario</t>
        </is>
      </c>
      <c r="B29" s="10" t="inlineStr">
        <is>
          <t>Annual $</t>
        </is>
      </c>
    </row>
    <row r="30">
      <c r="A30" s="7" t="inlineStr">
        <is>
          <t>Low</t>
        </is>
      </c>
      <c r="B30" s="49">
        <f>'FY2027 Forecast'!F3</f>
        <v/>
      </c>
    </row>
    <row r="31">
      <c r="A31" s="7" t="inlineStr">
        <is>
          <t>Base</t>
        </is>
      </c>
      <c r="B31" s="49">
        <f>'FY2027 Forecast'!G3</f>
        <v/>
      </c>
    </row>
    <row r="32">
      <c r="A32" s="7" t="inlineStr">
        <is>
          <t>High</t>
        </is>
      </c>
      <c r="B32" s="49">
        <f>'FY2027 Forecast'!H3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2026-08-24T19:14:22Z</dcterms:created>
  <dcterms:modified xmlns:dcterms="http://purl.org/dc/terms/" xmlns:xsi="http://www.w3.org/2001/XMLSchema-instance" xsi:type="dcterms:W3CDTF">2026-08-24T19:14:22Z</dcterms:modified>
</cp:coreProperties>
</file>