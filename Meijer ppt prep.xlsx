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uki/Desktop/"/>
    </mc:Choice>
  </mc:AlternateContent>
  <xr:revisionPtr revIDLastSave="0" documentId="8_{8AA97E6C-5223-3D44-832F-0DC47171F54C}" xr6:coauthVersionLast="47" xr6:coauthVersionMax="47" xr10:uidLastSave="{00000000-0000-0000-0000-000000000000}"/>
  <bookViews>
    <workbookView xWindow="0" yWindow="0" windowWidth="33600" windowHeight="21000" tabRatio="500" activeTab="4" xr2:uid="{00000000-000D-0000-FFFF-FFFF00000000}"/>
  </bookViews>
  <sheets>
    <sheet name="Dashboard" sheetId="1" r:id="rId1"/>
    <sheet name="Raw_Data" sheetId="2" r:id="rId2"/>
    <sheet name="Monthly_Summary" sheetId="3" r:id="rId3"/>
    <sheet name="VIP_Stores" sheetId="4" r:id="rId4"/>
    <sheet name="Pivot_Tabl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5" l="1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2" i="5"/>
  <c r="A42" i="5"/>
  <c r="B38" i="5"/>
  <c r="A38" i="5"/>
  <c r="B34" i="5"/>
  <c r="A34" i="5"/>
  <c r="B30" i="5"/>
  <c r="A30" i="5"/>
  <c r="A17" i="5"/>
  <c r="B11" i="5"/>
  <c r="A11" i="5"/>
  <c r="C187" i="4"/>
  <c r="C57" i="5" s="1"/>
  <c r="C186" i="4"/>
  <c r="C56" i="5" s="1"/>
  <c r="C185" i="4"/>
  <c r="C55" i="5" s="1"/>
  <c r="C184" i="4"/>
  <c r="C54" i="5" s="1"/>
  <c r="C183" i="4"/>
  <c r="D183" i="4" s="1"/>
  <c r="C182" i="4"/>
  <c r="D182" i="4" s="1"/>
  <c r="C181" i="4"/>
  <c r="D181" i="4" s="1"/>
  <c r="C180" i="4"/>
  <c r="D180" i="4" s="1"/>
  <c r="C179" i="4"/>
  <c r="C49" i="5" s="1"/>
  <c r="C178" i="4"/>
  <c r="C48" i="5" s="1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B30" i="3"/>
  <c r="G20" i="3"/>
  <c r="D20" i="3"/>
  <c r="E20" i="3" s="1"/>
  <c r="C43" i="5" s="1"/>
  <c r="C20" i="3"/>
  <c r="H20" i="3" s="1"/>
  <c r="B20" i="3"/>
  <c r="C22" i="5" s="1"/>
  <c r="A20" i="3"/>
  <c r="A43" i="5" s="1"/>
  <c r="H19" i="3"/>
  <c r="G19" i="3"/>
  <c r="D19" i="3"/>
  <c r="E19" i="3" s="1"/>
  <c r="C19" i="3"/>
  <c r="B21" i="5" s="1"/>
  <c r="B19" i="3"/>
  <c r="C21" i="5" s="1"/>
  <c r="A19" i="3"/>
  <c r="A21" i="5" s="1"/>
  <c r="G18" i="3"/>
  <c r="D18" i="3"/>
  <c r="B41" i="5" s="1"/>
  <c r="C18" i="3"/>
  <c r="B20" i="5" s="1"/>
  <c r="B18" i="3"/>
  <c r="C20" i="5" s="1"/>
  <c r="A18" i="3"/>
  <c r="A41" i="5" s="1"/>
  <c r="H17" i="3"/>
  <c r="G17" i="3"/>
  <c r="D17" i="3"/>
  <c r="E17" i="3" s="1"/>
  <c r="C17" i="3"/>
  <c r="B19" i="5" s="1"/>
  <c r="B17" i="3"/>
  <c r="C19" i="5" s="1"/>
  <c r="A17" i="3"/>
  <c r="A40" i="5" s="1"/>
  <c r="G16" i="3"/>
  <c r="D16" i="3"/>
  <c r="E16" i="3" s="1"/>
  <c r="C39" i="5" s="1"/>
  <c r="C16" i="3"/>
  <c r="H16" i="3" s="1"/>
  <c r="B16" i="3"/>
  <c r="C18" i="5" s="1"/>
  <c r="A16" i="3"/>
  <c r="A18" i="5" s="1"/>
  <c r="H15" i="3"/>
  <c r="G15" i="3"/>
  <c r="D15" i="3"/>
  <c r="E15" i="3" s="1"/>
  <c r="C15" i="3"/>
  <c r="B17" i="5" s="1"/>
  <c r="B15" i="3"/>
  <c r="C17" i="5" s="1"/>
  <c r="A15" i="3"/>
  <c r="G14" i="3"/>
  <c r="D14" i="3"/>
  <c r="B37" i="5" s="1"/>
  <c r="C14" i="3"/>
  <c r="H14" i="3" s="1"/>
  <c r="B14" i="3"/>
  <c r="C16" i="5" s="1"/>
  <c r="A14" i="3"/>
  <c r="A16" i="5" s="1"/>
  <c r="H13" i="3"/>
  <c r="G13" i="3"/>
  <c r="D13" i="3"/>
  <c r="E13" i="3" s="1"/>
  <c r="C13" i="3"/>
  <c r="B15" i="5" s="1"/>
  <c r="B13" i="3"/>
  <c r="C15" i="5" s="1"/>
  <c r="A13" i="3"/>
  <c r="A15" i="5" s="1"/>
  <c r="G12" i="3"/>
  <c r="D12" i="3"/>
  <c r="E12" i="3" s="1"/>
  <c r="C35" i="5" s="1"/>
  <c r="C12" i="3"/>
  <c r="B14" i="5" s="1"/>
  <c r="B12" i="3"/>
  <c r="C14" i="5" s="1"/>
  <c r="A12" i="3"/>
  <c r="A14" i="5" s="1"/>
  <c r="H11" i="3"/>
  <c r="G11" i="3"/>
  <c r="D11" i="3"/>
  <c r="E11" i="3" s="1"/>
  <c r="C11" i="3"/>
  <c r="B13" i="5" s="1"/>
  <c r="B11" i="3"/>
  <c r="C13" i="5" s="1"/>
  <c r="A11" i="3"/>
  <c r="A13" i="5" s="1"/>
  <c r="G10" i="3"/>
  <c r="D10" i="3"/>
  <c r="B33" i="5" s="1"/>
  <c r="C10" i="3"/>
  <c r="H10" i="3" s="1"/>
  <c r="B10" i="3"/>
  <c r="C12" i="5" s="1"/>
  <c r="A10" i="3"/>
  <c r="A33" i="5" s="1"/>
  <c r="H9" i="3"/>
  <c r="G9" i="3"/>
  <c r="D9" i="3"/>
  <c r="E9" i="3" s="1"/>
  <c r="C9" i="3"/>
  <c r="B9" i="3"/>
  <c r="C11" i="5" s="1"/>
  <c r="A9" i="3"/>
  <c r="A32" i="5" s="1"/>
  <c r="G8" i="3"/>
  <c r="D8" i="3"/>
  <c r="E8" i="3" s="1"/>
  <c r="C31" i="5" s="1"/>
  <c r="C8" i="3"/>
  <c r="B10" i="5" s="1"/>
  <c r="B8" i="3"/>
  <c r="C10" i="5" s="1"/>
  <c r="A8" i="3"/>
  <c r="A10" i="5" s="1"/>
  <c r="H7" i="3"/>
  <c r="G7" i="3"/>
  <c r="D7" i="3"/>
  <c r="E7" i="3" s="1"/>
  <c r="C7" i="3"/>
  <c r="B9" i="5" s="1"/>
  <c r="B7" i="3"/>
  <c r="C9" i="5" s="1"/>
  <c r="A7" i="3"/>
  <c r="A9" i="5" s="1"/>
  <c r="G6" i="3"/>
  <c r="D6" i="3"/>
  <c r="B29" i="5" s="1"/>
  <c r="C6" i="3"/>
  <c r="H6" i="3" s="1"/>
  <c r="B6" i="3"/>
  <c r="C8" i="5" s="1"/>
  <c r="A6" i="3"/>
  <c r="A29" i="5" s="1"/>
  <c r="H5" i="3"/>
  <c r="G5" i="3"/>
  <c r="D5" i="3"/>
  <c r="E5" i="3" s="1"/>
  <c r="C5" i="3"/>
  <c r="B7" i="5" s="1"/>
  <c r="B5" i="3"/>
  <c r="C7" i="5" s="1"/>
  <c r="A5" i="3"/>
  <c r="A28" i="5" s="1"/>
  <c r="D4" i="3"/>
  <c r="B26" i="3" s="1"/>
  <c r="E5" i="1" s="1"/>
  <c r="C4" i="3"/>
  <c r="B35" i="3" s="1"/>
  <c r="G10" i="1" s="1"/>
  <c r="B4" i="3"/>
  <c r="C5" i="1" s="1"/>
  <c r="A4" i="3"/>
  <c r="A27" i="5" s="1"/>
  <c r="E10" i="1"/>
  <c r="A10" i="1"/>
  <c r="F19" i="3" l="1"/>
  <c r="D42" i="5" s="1"/>
  <c r="C42" i="5"/>
  <c r="C36" i="5"/>
  <c r="F13" i="3"/>
  <c r="D36" i="5" s="1"/>
  <c r="E180" i="4"/>
  <c r="D50" i="5"/>
  <c r="F7" i="3"/>
  <c r="D30" i="5" s="1"/>
  <c r="C30" i="5"/>
  <c r="F5" i="3"/>
  <c r="D28" i="5" s="1"/>
  <c r="C28" i="5"/>
  <c r="F11" i="3"/>
  <c r="D34" i="5" s="1"/>
  <c r="C34" i="5"/>
  <c r="F17" i="3"/>
  <c r="D40" i="5" s="1"/>
  <c r="C40" i="5"/>
  <c r="E182" i="4"/>
  <c r="D52" i="5"/>
  <c r="E181" i="4"/>
  <c r="D51" i="5"/>
  <c r="D53" i="5"/>
  <c r="E183" i="4"/>
  <c r="F9" i="3"/>
  <c r="D32" i="5" s="1"/>
  <c r="C32" i="5"/>
  <c r="C38" i="5"/>
  <c r="F15" i="3"/>
  <c r="D38" i="5" s="1"/>
  <c r="D178" i="4"/>
  <c r="B16" i="5"/>
  <c r="A6" i="5"/>
  <c r="A22" i="5"/>
  <c r="D184" i="4"/>
  <c r="B6" i="5"/>
  <c r="B22" i="5"/>
  <c r="C50" i="5"/>
  <c r="B32" i="3"/>
  <c r="B33" i="3"/>
  <c r="C10" i="1" s="1"/>
  <c r="B34" i="3"/>
  <c r="D179" i="4"/>
  <c r="C6" i="5"/>
  <c r="A12" i="5"/>
  <c r="A7" i="5"/>
  <c r="B12" i="5"/>
  <c r="A31" i="5"/>
  <c r="A35" i="5"/>
  <c r="A39" i="5"/>
  <c r="D185" i="4"/>
  <c r="B27" i="5"/>
  <c r="B31" i="5"/>
  <c r="B35" i="5"/>
  <c r="B39" i="5"/>
  <c r="B43" i="5"/>
  <c r="F8" i="3"/>
  <c r="D31" i="5" s="1"/>
  <c r="F12" i="3"/>
  <c r="D35" i="5" s="1"/>
  <c r="F14" i="3"/>
  <c r="D37" i="5" s="1"/>
  <c r="F16" i="3"/>
  <c r="D39" i="5" s="1"/>
  <c r="F18" i="3"/>
  <c r="D41" i="5" s="1"/>
  <c r="F20" i="3"/>
  <c r="D43" i="5" s="1"/>
  <c r="B18" i="5"/>
  <c r="C51" i="5"/>
  <c r="A8" i="5"/>
  <c r="D186" i="4"/>
  <c r="B8" i="5"/>
  <c r="A19" i="5"/>
  <c r="A36" i="5"/>
  <c r="E6" i="3"/>
  <c r="C29" i="5" s="1"/>
  <c r="E14" i="3"/>
  <c r="C37" i="5" s="1"/>
  <c r="E18" i="3"/>
  <c r="C41" i="5" s="1"/>
  <c r="E4" i="3"/>
  <c r="H4" i="3"/>
  <c r="H8" i="3"/>
  <c r="H12" i="3"/>
  <c r="H18" i="3"/>
  <c r="B24" i="3"/>
  <c r="A5" i="1" s="1"/>
  <c r="B28" i="5"/>
  <c r="B32" i="5"/>
  <c r="B36" i="5"/>
  <c r="B40" i="5"/>
  <c r="C52" i="5"/>
  <c r="D187" i="4"/>
  <c r="A20" i="5"/>
  <c r="B25" i="3"/>
  <c r="A37" i="5"/>
  <c r="E10" i="3"/>
  <c r="C33" i="5" s="1"/>
  <c r="F4" i="3"/>
  <c r="C53" i="5"/>
  <c r="D57" i="5" l="1"/>
  <c r="E187" i="4"/>
  <c r="D55" i="5"/>
  <c r="E185" i="4"/>
  <c r="D56" i="5"/>
  <c r="E186" i="4"/>
  <c r="B190" i="4"/>
  <c r="C189" i="4"/>
  <c r="B189" i="4"/>
  <c r="D48" i="5"/>
  <c r="E178" i="4"/>
  <c r="C190" i="4"/>
  <c r="D54" i="5"/>
  <c r="E184" i="4"/>
  <c r="B29" i="3"/>
  <c r="G5" i="1" s="1"/>
  <c r="B31" i="3"/>
  <c r="D27" i="5"/>
  <c r="F6" i="3"/>
  <c r="D29" i="5" s="1"/>
  <c r="B27" i="3"/>
  <c r="C27" i="5"/>
  <c r="F10" i="3"/>
  <c r="D33" i="5" s="1"/>
  <c r="D49" i="5"/>
  <c r="E179" i="4"/>
  <c r="B28" i="3" l="1"/>
</calcChain>
</file>

<file path=xl/sharedStrings.xml><?xml version="1.0" encoding="utf-8"?>
<sst xmlns="http://schemas.openxmlformats.org/spreadsheetml/2006/main" count="790" uniqueCount="136">
  <si>
    <t>MEIJER SLA PERFORMANCE DASHBOARD</t>
  </si>
  <si>
    <t>Reporting Period: February 2025 – June 2026</t>
  </si>
  <si>
    <t>AVERAGE SLA %</t>
  </si>
  <si>
    <t>TARGET SLA</t>
  </si>
  <si>
    <t>TOTAL TICKETS</t>
  </si>
  <si>
    <t>MONTHS ABOVE TARGET</t>
  </si>
  <si>
    <t>BEST MONTH</t>
  </si>
  <si>
    <t>BEST MONTH SLA</t>
  </si>
  <si>
    <t>LOWEST MONTH</t>
  </si>
  <si>
    <t>LOWEST MONTH SLA</t>
  </si>
  <si>
    <t>Filters:</t>
  </si>
  <si>
    <t>Month</t>
  </si>
  <si>
    <t>(All)</t>
  </si>
  <si>
    <t>Store</t>
  </si>
  <si>
    <t>Note: dropdown filters shown above. Native Excel Slicers require converting Pivot_Tables data into real PivotTables via Insert &gt; PivotTable, then Insert &gt; Slicer.</t>
  </si>
  <si>
    <t>Meijer SLA Program — Raw Data (Feb 2025–Jun 2026)</t>
  </si>
  <si>
    <t>Source: Meijer_Presentation_Prep.xlsx (client-provided); normalized and data-quality corrected — see notes</t>
  </si>
  <si>
    <t>Overall Monthly SLA Performance</t>
  </si>
  <si>
    <t>Target SLA</t>
  </si>
  <si>
    <t>Actual SLA %</t>
  </si>
  <si>
    <t>Tickets Created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</si>
  <si>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</si>
  <si>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</si>
  <si>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</si>
  <si>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</si>
  <si>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</si>
  <si>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</si>
  <si>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</si>
  <si>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</si>
  <si>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</si>
  <si>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</si>
  <si>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</si>
  <si>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</si>
  <si>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</si>
  <si>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</si>
  <si>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</si>
  <si>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</si>
  <si>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</si>
  <si>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VIP Store Master List</t>
  </si>
  <si>
    <t>Store Number</t>
  </si>
  <si>
    <t>City</t>
  </si>
  <si>
    <t>Meijer #033</t>
  </si>
  <si>
    <t>Traverse City</t>
  </si>
  <si>
    <t>Meijer #047</t>
  </si>
  <si>
    <t>Holland</t>
  </si>
  <si>
    <t>Meijer #050</t>
  </si>
  <si>
    <t>Cascade</t>
  </si>
  <si>
    <t>Meijer #056</t>
  </si>
  <si>
    <t>Jackson</t>
  </si>
  <si>
    <t>Meijer #108</t>
  </si>
  <si>
    <t>Midland</t>
  </si>
  <si>
    <t>Meijer #119</t>
  </si>
  <si>
    <t>Kalamazoo</t>
  </si>
  <si>
    <t>Meijer #158</t>
  </si>
  <si>
    <t>Knapps Corner</t>
  </si>
  <si>
    <t>Meijer #199</t>
  </si>
  <si>
    <t>Caledonia</t>
  </si>
  <si>
    <t>Meijer #216</t>
  </si>
  <si>
    <t>Standale</t>
  </si>
  <si>
    <t>Meijer #226</t>
  </si>
  <si>
    <t>Algoma</t>
  </si>
  <si>
    <t>VIP Store Monthly Detail (Ticket Count / SLA %)</t>
  </si>
  <si>
    <t>Feb-25 Tickets</t>
  </si>
  <si>
    <t>Feb-25 SLA%</t>
  </si>
  <si>
    <t>Mar-25 Tickets</t>
  </si>
  <si>
    <t>Mar-25 SLA%</t>
  </si>
  <si>
    <t>Apr-25 Tickets</t>
  </si>
  <si>
    <t>Apr-25 SLA%</t>
  </si>
  <si>
    <t>May-25 Tickets</t>
  </si>
  <si>
    <t>May-25 SLA%</t>
  </si>
  <si>
    <t>Jun-25 Tickets</t>
  </si>
  <si>
    <t>Jun-25 SLA%</t>
  </si>
  <si>
    <t>Jul-25 Tickets</t>
  </si>
  <si>
    <t>Jul-25 SLA%</t>
  </si>
  <si>
    <t>Aug-25 Tickets</t>
  </si>
  <si>
    <t>Aug-25 SLA%</t>
  </si>
  <si>
    <t>Sep-25 Tickets</t>
  </si>
  <si>
    <t>Sep-25 SLA%</t>
  </si>
  <si>
    <t>Oct-25 Tickets</t>
  </si>
  <si>
    <t>Oct-25 SLA%</t>
  </si>
  <si>
    <t>Nov-25 Tickets</t>
  </si>
  <si>
    <t>Nov-25 SLA%</t>
  </si>
  <si>
    <t>Dec-25 Tickets</t>
  </si>
  <si>
    <t>Dec-25 SLA%</t>
  </si>
  <si>
    <t>Jan-26 Tickets</t>
  </si>
  <si>
    <t>Jan-26 SLA%</t>
  </si>
  <si>
    <t>Feb-26 Tickets</t>
  </si>
  <si>
    <t>Feb-26 SLA%</t>
  </si>
  <si>
    <t>Mar-26 Tickets</t>
  </si>
  <si>
    <t>Mar-26 SLA%</t>
  </si>
  <si>
    <t>Apr-26 Tickets</t>
  </si>
  <si>
    <t>Apr-26 SLA%</t>
  </si>
  <si>
    <t>May-26 Tickets</t>
  </si>
  <si>
    <t>May-26 SLA%</t>
  </si>
  <si>
    <t>Jun-26 Tickets</t>
  </si>
  <si>
    <t>Jun-26 SLA%</t>
  </si>
  <si>
    <t>N/A</t>
  </si>
  <si>
    <t>Data quality notes:</t>
  </si>
  <si>
    <t>- Store numbers normalized to Meijer master format (e.g., '#0158' and '#158' are the same store).</t>
  </si>
  <si>
    <t>- 2026 block originally duplicated under store #158 was reassigned to store #199 based on positional sequence in source file (confirmed with requester).</t>
  </si>
  <si>
    <t>- 2025 block originally duplicated under store #216 was reassigned to store #226 based on positional sequence in source file (confirmed with requester).</t>
  </si>
  <si>
    <t>- Store #226 has no 2026 monthly data reported in the source file (shown as N/A for Jan-Jun 2026).</t>
  </si>
  <si>
    <t>- Store #216's 2025 average SLA (originally 11.94) and August 2025 SLA (originally 100) were corrected as decimal-entry typos to 0.91 (recalculated weighted avg: 94.5%) and 1.00 respectively, per requester confirmation.</t>
  </si>
  <si>
    <t>Meijer SLA — Monthly Summary</t>
  </si>
  <si>
    <t>Tickets Met SLA</t>
  </si>
  <si>
    <t>Tickets Missed SLA</t>
  </si>
  <si>
    <t>MoM SLA Change</t>
  </si>
  <si>
    <t>Above/Below Target</t>
  </si>
  <si>
    <t>Key Metrics</t>
  </si>
  <si>
    <t>Average SLA %</t>
  </si>
  <si>
    <t>Weighted SLA % (ticket-weighted)</t>
  </si>
  <si>
    <t>Total Tickets Created</t>
  </si>
  <si>
    <t>Total Tickets Met SLA</t>
  </si>
  <si>
    <t>Total Tickets Missed SLA</t>
  </si>
  <si>
    <t>Months Above Target</t>
  </si>
  <si>
    <t>Total Months</t>
  </si>
  <si>
    <t>% Months Above Target</t>
  </si>
  <si>
    <t>Best Month (SLA)</t>
  </si>
  <si>
    <t>Best Month SLA %</t>
  </si>
  <si>
    <t>Worst Month (SLA)</t>
  </si>
  <si>
    <t>Worst Month SLA %</t>
  </si>
  <si>
    <t>Meijer VIP Store SLA Detail (Feb 2025–Jun 2026)</t>
  </si>
  <si>
    <t>Ticket Count</t>
  </si>
  <si>
    <t>SLA %</t>
  </si>
  <si>
    <t>Target</t>
  </si>
  <si>
    <t>Status</t>
  </si>
  <si>
    <t>VIP Store Averages (Feb 2025–Jun 2026)</t>
  </si>
  <si>
    <t>Total Tickets</t>
  </si>
  <si>
    <t>Average SLA % (weighted)</t>
  </si>
  <si>
    <t>Highest Performing VIP Store:</t>
  </si>
  <si>
    <t>Lowest Performing VIP Store:</t>
  </si>
  <si>
    <t>Meijer SLA — Pivot Summary Tables</t>
  </si>
  <si>
    <t>Note: Built as live SUMIFS/AVERAGEIFS summary tables (equivalent to PivotTables) so they recalc automatically when Raw_Data changes. To convert to native Excel PivotTables, select Raw_Data and use Insert &gt; PivotTable.</t>
  </si>
  <si>
    <t>Pivot 1: Monthly SLA Trend</t>
  </si>
  <si>
    <t>Pivot 2: Monthly Ticket Volume Trend</t>
  </si>
  <si>
    <t>Pivot 3: VIP Store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</si>
</sst>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20"/>
      <color rgb="FF1E2761"/>
      <name val="Arial"/>
      <family val="2"/>
    </font>
    <font>
      <i/>
      <sz val="11"/>
      <color rgb="FF666666"/>
      <name val="Arial"/>
      <family val="2"/>
    </font>
    <font>
      <b/>
      <sz val="10"/>
      <color rgb="FFFFFFFF"/>
      <name val="Arial"/>
      <family val="2"/>
    </font>
    <font>
      <b/>
      <sz val="22"/>
      <color rgb="FF1E2761"/>
      <name val="Arial"/>
      <family val="2"/>
    </font>
    <font>
      <b/>
      <sz val="22"/>
      <color rgb="FF555555"/>
      <name val="Arial"/>
      <family val="2"/>
    </font>
    <font>
      <b/>
      <sz val="22"/>
      <color rgb="FF2E7D32"/>
      <name val="Arial"/>
      <family val="2"/>
    </font>
    <font>
      <b/>
      <sz val="22"/>
      <color rgb="FFC62828"/>
      <name val="Arial"/>
      <family val="2"/>
    </font>
    <font>
      <b/>
      <sz val="11"/>
      <color rgb="FF1E2761"/>
      <name val="Arial"/>
      <family val="2"/>
    </font>
    <font>
      <b/>
      <sz val="9"/>
      <name val="Arial"/>
      <family val="2"/>
    </font>
    <font>
      <i/>
      <sz val="8"/>
      <color rgb="FF888888"/>
      <name val="Arial"/>
      <family val="2"/>
    </font>
    <font>
      <b/>
      <sz val="16"/>
      <color rgb="FF1E2761"/>
      <name val="Arial"/>
      <family val="2"/>
    </font>
    <font>
      <i/>
      <sz val="9"/>
      <color rgb="FF666666"/>
      <name val="Arial"/>
      <family val="2"/>
    </font>
    <font>
      <b/>
      <sz val="12"/>
      <color rgb="FF1E2761"/>
      <name val="Arial"/>
      <family val="2"/>
    </font>
    <font>
      <b/>
      <sz val="11"/>
      <color rgb="FFFFFFFF"/>
      <name val="Arial"/>
      <family val="2"/>
    </font>
    <font>
      <b/>
      <sz val="9"/>
      <color rgb="FF666666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555555"/>
        <bgColor rgb="FF666666"/>
      </patternFill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  <fill>
      <patternFill patternType="solid">
        <fgColor rgb="FFC62828"/>
        <bgColor rgb="FF99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4">
    <xf numFmtId="0" fontId="0" fillId="0" borderId="0" xfId="0"/>
    <xf numFmtId="9" fontId="7" fillId="5" borderId="0" xfId="0" applyNumberFormat="1" applyFont="1" applyFill="1" applyAlignment="1">
      <alignment horizontal="center" vertical="center"/>
    </xf>
    <xf numFmtId="49" fontId="7" fillId="5" borderId="0" xfId="0" applyNumberFormat="1" applyFont="1" applyFill="1" applyAlignment="1">
      <alignment horizontal="center" vertical="center"/>
    </xf>
    <xf numFmtId="9" fontId="6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5" borderId="0" xfId="0" applyFill="1"/>
    <xf numFmtId="49" fontId="6" fillId="5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9" fontId="5" fillId="5" borderId="0" xfId="0" applyNumberFormat="1" applyFont="1" applyFill="1" applyAlignment="1">
      <alignment horizontal="center" vertical="center"/>
    </xf>
    <xf numFmtId="9" fontId="4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15" fillId="0" borderId="0" xfId="0" applyFont="1"/>
    <xf numFmtId="0" fontId="14" fillId="2" borderId="0" xfId="0" applyFont="1" applyFill="1" applyAlignment="1">
      <alignment horizontal="center" vertical="center" wrapText="1"/>
    </xf>
    <xf numFmtId="0" fontId="16" fillId="0" borderId="1" xfId="0" applyFont="1" applyBorder="1"/>
    <xf numFmtId="3" fontId="0" fillId="0" borderId="1" xfId="0" applyNumberFormat="1" applyBorder="1"/>
    <xf numFmtId="1" fontId="0" fillId="0" borderId="1" xfId="0" applyNumberFormat="1" applyBorder="1"/>
    <xf numFmtId="0" fontId="14" fillId="2" borderId="0" xfId="0" applyFont="1" applyFill="1" applyAlignment="1">
      <alignment horizontal="center"/>
    </xf>
    <xf numFmtId="0" fontId="16" fillId="0" borderId="0" xfId="0" applyFont="1"/>
    <xf numFmtId="9" fontId="0" fillId="0" borderId="0" xfId="0" applyNumberFormat="1"/>
    <xf numFmtId="0" fontId="14" fillId="2" borderId="0" xfId="0" applyFont="1" applyFill="1"/>
    <xf numFmtId="0" fontId="10" fillId="0" borderId="0" xfId="0" applyFont="1"/>
    <xf numFmtId="0" fontId="12" fillId="0" borderId="0" xfId="0" applyFont="1"/>
  </cellXfs>
  <cellStyles count="1">
    <cellStyle name="Normal" xfId="0" builtinId="0"/>
  </cellStyles>
  <dxfs count="7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FFFF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1E2761"/>
      <rgbColor rgb="FF2E7D32"/>
      <rgbColor rgb="FF003300"/>
      <rgbColor rgb="FF333300"/>
      <rgbColor rgb="FFC62828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SLA % Trend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Monthly_Summary!$C$3</c:f>
              <c:strCache>
                <c:ptCount val="1"/>
                <c:pt idx="0">
                  <c:v>Actual SLA %</c:v>
                </c:pt>
              </c:strCache>
            </c:strRef>
          </c:tx>
          <c:spPr>
            <a:ln w="24840">
              <a:solidFill>
                <a:srgbClr val="1E2761"/>
              </a:solidFill>
              <a:round/>
            </a:ln>
          </c:spPr>
          <c:marker>
            <c:symbol val="circle"/>
            <c:size val="6"/>
            <c:spPr>
              <a:solidFill>
                <a:srgbClr val="1E276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R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Monthly_Summary!$C$4:$C$20</c:f>
              <c:numCache>
                <c:formatCode>0%</c:formatCode>
                <c:ptCount val="17"/>
                <c:pt idx="0">
                  <c:v>0.85</c:v>
                </c:pt>
                <c:pt idx="1">
                  <c:v>0.86</c:v>
                </c:pt>
                <c:pt idx="2">
                  <c:v>0.87</c:v>
                </c:pt>
                <c:pt idx="3">
                  <c:v>0.93</c:v>
                </c:pt>
                <c:pt idx="4">
                  <c:v>0.91</c:v>
                </c:pt>
                <c:pt idx="5">
                  <c:v>0.93</c:v>
                </c:pt>
                <c:pt idx="6">
                  <c:v>0.92</c:v>
                </c:pt>
                <c:pt idx="7">
                  <c:v>0.9</c:v>
                </c:pt>
                <c:pt idx="8">
                  <c:v>0.92</c:v>
                </c:pt>
                <c:pt idx="9">
                  <c:v>0.9</c:v>
                </c:pt>
                <c:pt idx="10">
                  <c:v>0.89</c:v>
                </c:pt>
                <c:pt idx="11">
                  <c:v>0.93</c:v>
                </c:pt>
                <c:pt idx="12">
                  <c:v>0.93</c:v>
                </c:pt>
                <c:pt idx="13">
                  <c:v>0.93</c:v>
                </c:pt>
                <c:pt idx="14">
                  <c:v>0.92</c:v>
                </c:pt>
                <c:pt idx="15">
                  <c:v>0.94</c:v>
                </c:pt>
                <c:pt idx="16">
                  <c:v>0.92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56-564A-A30E-E5CFADD9FEBD}"/>
            </c:ext>
          </c:extLst>
        </c:ser>
        <c:ser>
          <c:idx val="1"/>
          <c:order val="1"/>
          <c:tx>
            <c:strRef>
              <c:f>Monthly_Summary!$B$3</c:f>
              <c:strCache>
                <c:ptCount val="1"/>
                <c:pt idx="0">
                  <c:v>Target SLA</c:v>
                </c:pt>
              </c:strCache>
            </c:strRef>
          </c:tx>
          <c:spPr>
            <a:ln w="15120">
              <a:solidFill>
                <a:srgbClr val="C628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R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Monthly_Summary!$B$4:$B$20</c:f>
              <c:numCache>
                <c:formatCode>0%</c:formatCode>
                <c:ptCount val="17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56-564A-A30E-E5CFADD9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1753713"/>
        <c:axId val="83649178"/>
      </c:lineChart>
      <c:catAx>
        <c:axId val="61753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83649178"/>
        <c:crosses val="autoZero"/>
        <c:auto val="1"/>
        <c:lblAlgn val="ctr"/>
        <c:lblOffset val="100"/>
        <c:noMultiLvlLbl val="0"/>
      </c:catAx>
      <c:valAx>
        <c:axId val="83649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61753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Ticket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Monthly_Summary!$D$3</c:f>
              <c:strCache>
                <c:ptCount val="1"/>
                <c:pt idx="0">
                  <c:v>Tickets Created</c:v>
                </c:pt>
              </c:strCache>
            </c:strRef>
          </c:tx>
          <c:spPr>
            <a:solidFill>
              <a:srgbClr val="1E276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R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Monthly_Summary!$D$4:$D$20</c:f>
              <c:numCache>
                <c:formatCode>General</c:formatCode>
                <c:ptCount val="17"/>
                <c:pt idx="0">
                  <c:v>1290</c:v>
                </c:pt>
                <c:pt idx="1">
                  <c:v>1416</c:v>
                </c:pt>
                <c:pt idx="2">
                  <c:v>1225</c:v>
                </c:pt>
                <c:pt idx="3">
                  <c:v>994</c:v>
                </c:pt>
                <c:pt idx="4">
                  <c:v>725</c:v>
                </c:pt>
                <c:pt idx="5">
                  <c:v>818</c:v>
                </c:pt>
                <c:pt idx="6">
                  <c:v>711</c:v>
                </c:pt>
                <c:pt idx="7">
                  <c:v>828</c:v>
                </c:pt>
                <c:pt idx="8">
                  <c:v>822</c:v>
                </c:pt>
                <c:pt idx="9">
                  <c:v>993</c:v>
                </c:pt>
                <c:pt idx="10">
                  <c:v>1006</c:v>
                </c:pt>
                <c:pt idx="11">
                  <c:v>1141</c:v>
                </c:pt>
                <c:pt idx="12">
                  <c:v>1084</c:v>
                </c:pt>
                <c:pt idx="13">
                  <c:v>1274</c:v>
                </c:pt>
                <c:pt idx="14">
                  <c:v>1259</c:v>
                </c:pt>
                <c:pt idx="15">
                  <c:v>1205</c:v>
                </c:pt>
                <c:pt idx="16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2-0B43-94A5-72F47ED08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952"/>
        <c:axId val="44756748"/>
      </c:barChart>
      <c:catAx>
        <c:axId val="4319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44756748"/>
        <c:crosses val="autoZero"/>
        <c:auto val="1"/>
        <c:lblAlgn val="ctr"/>
        <c:lblOffset val="100"/>
        <c:noMultiLvlLbl val="0"/>
      </c:catAx>
      <c:valAx>
        <c:axId val="447567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431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Tickets Met vs Missed SLA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Monthly_Summary!$E$3</c:f>
              <c:strCache>
                <c:ptCount val="1"/>
                <c:pt idx="0">
                  <c:v>Tickets Met SLA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R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Monthly_Summary!$E$4:$E$20</c:f>
              <c:numCache>
                <c:formatCode>General</c:formatCode>
                <c:ptCount val="17"/>
                <c:pt idx="0">
                  <c:v>1097</c:v>
                </c:pt>
                <c:pt idx="1">
                  <c:v>1218</c:v>
                </c:pt>
                <c:pt idx="2">
                  <c:v>1066</c:v>
                </c:pt>
                <c:pt idx="3">
                  <c:v>924</c:v>
                </c:pt>
                <c:pt idx="4">
                  <c:v>660</c:v>
                </c:pt>
                <c:pt idx="5">
                  <c:v>761</c:v>
                </c:pt>
                <c:pt idx="6">
                  <c:v>654</c:v>
                </c:pt>
                <c:pt idx="7">
                  <c:v>745</c:v>
                </c:pt>
                <c:pt idx="8">
                  <c:v>756</c:v>
                </c:pt>
                <c:pt idx="9">
                  <c:v>894</c:v>
                </c:pt>
                <c:pt idx="10">
                  <c:v>895</c:v>
                </c:pt>
                <c:pt idx="11">
                  <c:v>1061</c:v>
                </c:pt>
                <c:pt idx="12">
                  <c:v>1008</c:v>
                </c:pt>
                <c:pt idx="13">
                  <c:v>1185</c:v>
                </c:pt>
                <c:pt idx="14">
                  <c:v>1158</c:v>
                </c:pt>
                <c:pt idx="15">
                  <c:v>1133</c:v>
                </c:pt>
                <c:pt idx="16">
                  <c:v>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D-0C44-8CB8-263262A30AED}"/>
            </c:ext>
          </c:extLst>
        </c:ser>
        <c:ser>
          <c:idx val="1"/>
          <c:order val="1"/>
          <c:tx>
            <c:strRef>
              <c:f>Monthly_Summary!$F$3</c:f>
              <c:strCache>
                <c:ptCount val="1"/>
                <c:pt idx="0">
                  <c:v>Tickets Missed SLA</c:v>
                </c:pt>
              </c:strCache>
            </c:strRef>
          </c:tx>
          <c:spPr>
            <a:solidFill>
              <a:srgbClr val="C628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R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Monthly_Summary!$F$4:$F$20</c:f>
              <c:numCache>
                <c:formatCode>General</c:formatCode>
                <c:ptCount val="17"/>
                <c:pt idx="0">
                  <c:v>193</c:v>
                </c:pt>
                <c:pt idx="1">
                  <c:v>198</c:v>
                </c:pt>
                <c:pt idx="2">
                  <c:v>159</c:v>
                </c:pt>
                <c:pt idx="3">
                  <c:v>70</c:v>
                </c:pt>
                <c:pt idx="4">
                  <c:v>65</c:v>
                </c:pt>
                <c:pt idx="5">
                  <c:v>57</c:v>
                </c:pt>
                <c:pt idx="6">
                  <c:v>57</c:v>
                </c:pt>
                <c:pt idx="7">
                  <c:v>83</c:v>
                </c:pt>
                <c:pt idx="8">
                  <c:v>66</c:v>
                </c:pt>
                <c:pt idx="9">
                  <c:v>99</c:v>
                </c:pt>
                <c:pt idx="10">
                  <c:v>111</c:v>
                </c:pt>
                <c:pt idx="11">
                  <c:v>80</c:v>
                </c:pt>
                <c:pt idx="12">
                  <c:v>76</c:v>
                </c:pt>
                <c:pt idx="13">
                  <c:v>89</c:v>
                </c:pt>
                <c:pt idx="14">
                  <c:v>101</c:v>
                </c:pt>
                <c:pt idx="15">
                  <c:v>72</c:v>
                </c:pt>
                <c:pt idx="1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D-0C44-8CB8-263262A30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248165"/>
        <c:axId val="32773849"/>
      </c:barChart>
      <c:catAx>
        <c:axId val="262481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32773849"/>
        <c:crosses val="autoZero"/>
        <c:auto val="1"/>
        <c:lblAlgn val="ctr"/>
        <c:lblOffset val="100"/>
        <c:noMultiLvlLbl val="0"/>
      </c:catAx>
      <c:valAx>
        <c:axId val="32773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26248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VIP Store SLA Comparison (Avg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Pivot_Tables!$D$47</c:f>
              <c:strCache>
                <c:ptCount val="1"/>
                <c:pt idx="0">
                  <c:v>Average SLA %</c:v>
                </c:pt>
              </c:strCache>
            </c:strRef>
          </c:tx>
          <c:spPr>
            <a:solidFill>
              <a:srgbClr val="1E276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R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Pivot_Tables!$A$48:$A$57</c:f>
              <c:strCache>
                <c:ptCount val="10"/>
                <c:pt idx="0">
                  <c:v>Meijer #033</c:v>
                </c:pt>
                <c:pt idx="1">
                  <c:v>Meijer #047</c:v>
                </c:pt>
                <c:pt idx="2">
                  <c:v>Meijer #050</c:v>
                </c:pt>
                <c:pt idx="3">
                  <c:v>Meijer #056</c:v>
                </c:pt>
                <c:pt idx="4">
                  <c:v>Meijer #108</c:v>
                </c:pt>
                <c:pt idx="5">
                  <c:v>Meijer #119</c:v>
                </c:pt>
                <c:pt idx="6">
                  <c:v>Meijer #158</c:v>
                </c:pt>
                <c:pt idx="7">
                  <c:v>Meijer #199</c:v>
                </c:pt>
                <c:pt idx="8">
                  <c:v>Meijer #216</c:v>
                </c:pt>
                <c:pt idx="9">
                  <c:v>Meijer #226</c:v>
                </c:pt>
              </c:strCache>
            </c:strRef>
          </c:cat>
          <c:val>
            <c:numRef>
              <c:f>Pivot_Tables!$D$48:$D$57</c:f>
              <c:numCache>
                <c:formatCode>0%</c:formatCode>
                <c:ptCount val="10"/>
                <c:pt idx="0">
                  <c:v>0.86427083333333332</c:v>
                </c:pt>
                <c:pt idx="1">
                  <c:v>0.98380952380952391</c:v>
                </c:pt>
                <c:pt idx="2">
                  <c:v>0.92054794520547933</c:v>
                </c:pt>
                <c:pt idx="3">
                  <c:v>0.97543209876543213</c:v>
                </c:pt>
                <c:pt idx="4">
                  <c:v>0.96</c:v>
                </c:pt>
                <c:pt idx="5">
                  <c:v>0.80123966942148761</c:v>
                </c:pt>
                <c:pt idx="6">
                  <c:v>0.96183206106870234</c:v>
                </c:pt>
                <c:pt idx="7">
                  <c:v>0.96201834862385316</c:v>
                </c:pt>
                <c:pt idx="8">
                  <c:v>0.95938775510204088</c:v>
                </c:pt>
                <c:pt idx="9">
                  <c:v>0.88703703703703696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3-914C-9AE0-7824F800F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32901"/>
        <c:axId val="77472037"/>
      </c:barChart>
      <c:catAx>
        <c:axId val="860329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77472037"/>
        <c:crosses val="autoZero"/>
        <c:auto val="1"/>
        <c:lblAlgn val="ctr"/>
        <c:lblOffset val="100"/>
        <c:noMultiLvlLbl val="0"/>
      </c:catAx>
      <c:valAx>
        <c:axId val="77472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86032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70560</xdr:rowOff>
    </xdr:from>
    <xdr:to>
      <xdr:col>6</xdr:col>
      <xdr:colOff>431640</xdr:colOff>
      <xdr:row>33</xdr:row>
      <xdr:rowOff>70200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70560</xdr:rowOff>
    </xdr:from>
    <xdr:to>
      <xdr:col>6</xdr:col>
      <xdr:colOff>431640</xdr:colOff>
      <xdr:row>52</xdr:row>
      <xdr:rowOff>70200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54</xdr:row>
      <xdr:rowOff>70560</xdr:rowOff>
    </xdr:from>
    <xdr:to>
      <xdr:col>6</xdr:col>
      <xdr:colOff>431640</xdr:colOff>
      <xdr:row>71</xdr:row>
      <xdr:rowOff>70200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73</xdr:row>
      <xdr:rowOff>70200</xdr:rowOff>
    </xdr:from>
    <xdr:to>
      <xdr:col>6</xdr:col>
      <xdr:colOff>431640</xdr:colOff>
      <xdr:row>90</xdr:row>
      <xdr:rowOff>70200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zoomScaleNormal="100" workbookViewId="0">
      <selection activeCell="N26" sqref="N26"/>
    </sheetView>
  </sheetViews>
  <sheetFormatPr baseColWidth="10" defaultColWidth="8.6640625" defaultRowHeight="15" x14ac:dyDescent="0.2"/>
  <cols>
    <col min="1" max="8" width="16" customWidth="1"/>
  </cols>
  <sheetData>
    <row r="1" spans="1:8" ht="24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4" spans="1:8" ht="15" customHeight="1" x14ac:dyDescent="0.2">
      <c r="A4" s="12" t="s">
        <v>2</v>
      </c>
      <c r="B4" s="12"/>
      <c r="C4" s="11" t="s">
        <v>3</v>
      </c>
      <c r="D4" s="11"/>
      <c r="E4" s="12" t="s">
        <v>4</v>
      </c>
      <c r="F4" s="12"/>
      <c r="G4" s="10" t="s">
        <v>5</v>
      </c>
      <c r="H4" s="10"/>
    </row>
    <row r="5" spans="1:8" ht="15" customHeight="1" x14ac:dyDescent="0.2">
      <c r="A5" s="9">
        <f>Monthly_Summary!B24</f>
        <v>0.9088235294117647</v>
      </c>
      <c r="B5" s="9"/>
      <c r="C5" s="8">
        <f>Monthly_Summary!B4</f>
        <v>0.85</v>
      </c>
      <c r="D5" s="8"/>
      <c r="E5" s="7">
        <f>Monthly_Summary!B26</f>
        <v>17999</v>
      </c>
      <c r="F5" s="7"/>
      <c r="G5" s="6" t="str">
        <f>Monthly_Summary!B29&amp;" of "&amp;Monthly_Summary!B30</f>
        <v>17 of 17</v>
      </c>
      <c r="H5" s="6"/>
    </row>
    <row r="6" spans="1:8" ht="15" customHeight="1" x14ac:dyDescent="0.2">
      <c r="A6" s="9"/>
      <c r="B6" s="9"/>
      <c r="C6" s="8"/>
      <c r="D6" s="8"/>
      <c r="E6" s="7"/>
      <c r="F6" s="7"/>
      <c r="G6" s="6"/>
      <c r="H6" s="6"/>
    </row>
    <row r="7" spans="1:8" ht="15" customHeight="1" x14ac:dyDescent="0.2">
      <c r="A7" s="5"/>
      <c r="B7" s="5"/>
      <c r="C7" s="5"/>
      <c r="D7" s="5"/>
      <c r="E7" s="5"/>
      <c r="F7" s="5"/>
      <c r="G7" s="5"/>
      <c r="H7" s="5"/>
    </row>
    <row r="9" spans="1:8" ht="15" customHeight="1" x14ac:dyDescent="0.2">
      <c r="A9" s="10" t="s">
        <v>6</v>
      </c>
      <c r="B9" s="10"/>
      <c r="C9" s="10" t="s">
        <v>7</v>
      </c>
      <c r="D9" s="10"/>
      <c r="E9" s="4" t="s">
        <v>8</v>
      </c>
      <c r="F9" s="4"/>
      <c r="G9" s="4" t="s">
        <v>9</v>
      </c>
      <c r="H9" s="4"/>
    </row>
    <row r="10" spans="1:8" ht="15" customHeight="1" x14ac:dyDescent="0.2">
      <c r="A10" s="6" t="str">
        <f>Monthly_Summary!A32</f>
        <v>Best Month (SLA)</v>
      </c>
      <c r="B10" s="6"/>
      <c r="C10" s="3">
        <f>Monthly_Summary!B33</f>
        <v>0.94</v>
      </c>
      <c r="D10" s="3"/>
      <c r="E10" s="2" t="str">
        <f>Monthly_Summary!A34</f>
        <v>Worst Month (SLA)</v>
      </c>
      <c r="F10" s="2"/>
      <c r="G10" s="1">
        <f>Monthly_Summary!B35</f>
        <v>0.85</v>
      </c>
      <c r="H10" s="1"/>
    </row>
    <row r="11" spans="1:8" ht="15" customHeight="1" x14ac:dyDescent="0.2">
      <c r="A11" s="6"/>
      <c r="B11" s="6"/>
      <c r="C11" s="3"/>
      <c r="D11" s="3"/>
      <c r="E11" s="2"/>
      <c r="F11" s="2"/>
      <c r="G11" s="1"/>
      <c r="H11" s="1"/>
    </row>
    <row r="12" spans="1:8" ht="15" customHeight="1" x14ac:dyDescent="0.2">
      <c r="A12" s="5"/>
      <c r="B12" s="5"/>
      <c r="C12" s="5"/>
      <c r="D12" s="5"/>
      <c r="E12" s="5"/>
      <c r="F12" s="5"/>
      <c r="G12" s="5"/>
      <c r="H12" s="5"/>
    </row>
    <row r="14" spans="1:8" ht="15" customHeight="1" x14ac:dyDescent="0.2">
      <c r="A14" s="15" t="s">
        <v>10</v>
      </c>
      <c r="B14" s="16" t="s">
        <v>11</v>
      </c>
      <c r="C14" t="s">
        <v>12</v>
      </c>
      <c r="D14" s="16" t="s">
        <v>13</v>
      </c>
      <c r="E14" t="s">
        <v>12</v>
      </c>
    </row>
    <row r="15" spans="1:8" ht="15" customHeight="1" x14ac:dyDescent="0.2">
      <c r="A15" s="32" t="s">
        <v>14</v>
      </c>
      <c r="B15" s="32"/>
      <c r="C15" s="32"/>
      <c r="D15" s="32"/>
      <c r="E15" s="32"/>
      <c r="F15" s="32"/>
      <c r="G15" s="32"/>
      <c r="H15" s="32"/>
    </row>
  </sheetData>
  <mergeCells count="27">
    <mergeCell ref="A12:B12"/>
    <mergeCell ref="C12:D12"/>
    <mergeCell ref="E12:F12"/>
    <mergeCell ref="G12:H12"/>
    <mergeCell ref="A15:H15"/>
    <mergeCell ref="A9:B9"/>
    <mergeCell ref="C9:D9"/>
    <mergeCell ref="E9:F9"/>
    <mergeCell ref="G9:H9"/>
    <mergeCell ref="A10:B11"/>
    <mergeCell ref="C10:D11"/>
    <mergeCell ref="E10:F11"/>
    <mergeCell ref="G10:H11"/>
    <mergeCell ref="A5:B6"/>
    <mergeCell ref="C5:D6"/>
    <mergeCell ref="E5:F6"/>
    <mergeCell ref="G5:H6"/>
    <mergeCell ref="A7:B7"/>
    <mergeCell ref="C7:D7"/>
    <mergeCell ref="E7:F7"/>
    <mergeCell ref="G7:H7"/>
    <mergeCell ref="A1:H1"/>
    <mergeCell ref="A2:H2"/>
    <mergeCell ref="A4:B4"/>
    <mergeCell ref="C4:D4"/>
    <mergeCell ref="E4:F4"/>
    <mergeCell ref="G4:H4"/>
  </mergeCells>
  <dataValidations count="1">
    <dataValidation type="list" allowBlank="1" sqref="E14" xr:uid="{00000000-0002-0000-0000-000001000000}">
      <formula1>"Meijer #033,Meijer #047,Meijer #050,Meijer #056,Meijer #108,Meijer #119,Meijer #158,Meijer #199,Meijer #216,Meijer #226"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Monthly_Summary!$A$4:$A$20</xm:f>
          </x14:formula1>
          <x14:formula2>
            <xm:f>0</xm:f>
          </x14:formula2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7"/>
  <sheetViews>
    <sheetView zoomScaleNormal="100" workbookViewId="0"/>
  </sheetViews>
  <sheetFormatPr baseColWidth="10" defaultColWidth="8.6640625" defaultRowHeight="15" x14ac:dyDescent="0.2"/>
  <cols>
    <col min="1" max="2" width="16" customWidth="1"/>
    <col min="3" max="36" width="11" customWidth="1"/>
  </cols>
  <sheetData>
    <row r="1" spans="1:4" ht="19.5" customHeight="1" x14ac:dyDescent="0.2">
      <c r="A1" s="17" t="s">
        <v>15</v>
      </c>
    </row>
    <row r="2" spans="1:4" ht="15" customHeight="1" x14ac:dyDescent="0.2">
      <c r="A2" s="18" t="s">
        <v>16</v>
      </c>
    </row>
    <row r="4" spans="1:4" ht="15" customHeight="1" x14ac:dyDescent="0.2">
      <c r="A4" s="19" t="s">
        <v>17</v>
      </c>
    </row>
    <row r="5" spans="1:4" ht="21.75" customHeight="1" x14ac:dyDescent="0.2">
      <c r="A5" s="20" t="s">
        <v>11</v>
      </c>
      <c r="B5" s="20" t="s">
        <v>18</v>
      </c>
      <c r="C5" s="20" t="s">
        <v>19</v>
      </c>
      <c r="D5" s="20" t="s">
        <v>20</v>
      </c>
    </row>
    <row r="6" spans="1:4" ht="15" customHeight="1" x14ac:dyDescent="0.2">
      <c r="A6" s="21" t="s">
        <v>21</v>
      </c>
      <c r="B6" s="22">
        <v>0.85</v>
      </c>
      <c r="C6" s="22">
        <v>0.85</v>
      </c>
      <c r="D6" s="21">
        <v>1290</v>
      </c>
    </row>
    <row r="7" spans="1:4" ht="15" customHeight="1" x14ac:dyDescent="0.2">
      <c r="A7" s="21" t="s">
        <v>22</v>
      </c>
      <c r="B7" s="22">
        <v>0.85</v>
      </c>
      <c r="C7" s="22">
        <v>0.86</v>
      </c>
      <c r="D7" s="21">
        <v>1416</v>
      </c>
    </row>
    <row r="8" spans="1:4" ht="15" customHeight="1" x14ac:dyDescent="0.2">
      <c r="A8" s="21" t="s">
        <v>23</v>
      </c>
      <c r="B8" s="22">
        <v>0.85</v>
      </c>
      <c r="C8" s="22">
        <v>0.87</v>
      </c>
      <c r="D8" s="21">
        <v>1225</v>
      </c>
    </row>
    <row r="9" spans="1:4" ht="15" customHeight="1" x14ac:dyDescent="0.2">
      <c r="A9" s="21" t="s">
        <v>24</v>
      </c>
      <c r="B9" s="22">
        <v>0.85</v>
      </c>
      <c r="C9" s="22">
        <v>0.93</v>
      </c>
      <c r="D9" s="21">
        <v>994</v>
      </c>
    </row>
    <row r="10" spans="1:4" ht="15" customHeight="1" x14ac:dyDescent="0.2">
      <c r="A10" s="21" t="s">
        <v>25</v>
      </c>
      <c r="B10" s="22">
        <v>0.85</v>
      </c>
      <c r="C10" s="22">
        <v>0.91</v>
      </c>
      <c r="D10" s="21">
        <v>725</v>
      </c>
    </row>
    <row r="11" spans="1:4" ht="15" customHeight="1" x14ac:dyDescent="0.2">
      <c r="A11" s="21" t="s">
        <v>26</v>
      </c>
      <c r="B11" s="22">
        <v>0.85</v>
      </c>
      <c r="C11" s="22">
        <v>0.93</v>
      </c>
      <c r="D11" s="21">
        <v>818</v>
      </c>
    </row>
    <row r="12" spans="1:4" ht="15" customHeight="1" x14ac:dyDescent="0.2">
      <c r="A12" s="21" t="s">
        <v>27</v>
      </c>
      <c r="B12" s="22">
        <v>0.85</v>
      </c>
      <c r="C12" s="22">
        <v>0.92</v>
      </c>
      <c r="D12" s="21">
        <v>711</v>
      </c>
    </row>
    <row r="13" spans="1:4" ht="15" customHeight="1" x14ac:dyDescent="0.2">
      <c r="A13" s="21" t="s">
        <v>28</v>
      </c>
      <c r="B13" s="22">
        <v>0.85</v>
      </c>
      <c r="C13" s="22">
        <v>0.9</v>
      </c>
      <c r="D13" s="21">
        <v>828</v>
      </c>
    </row>
    <row r="14" spans="1:4" ht="15" customHeight="1" x14ac:dyDescent="0.2">
      <c r="A14" s="21" t="s">
        <v>29</v>
      </c>
      <c r="B14" s="22">
        <v>0.85</v>
      </c>
      <c r="C14" s="22">
        <v>0.92</v>
      </c>
      <c r="D14" s="21">
        <v>822</v>
      </c>
    </row>
    <row r="15" spans="1:4" ht="15" customHeight="1" x14ac:dyDescent="0.2">
      <c r="A15" s="21" t="s">
        <v>30</v>
      </c>
      <c r="B15" s="22">
        <v>0.85</v>
      </c>
      <c r="C15" s="22">
        <v>0.9</v>
      </c>
      <c r="D15" s="21">
        <v>993</v>
      </c>
    </row>
    <row r="16" spans="1:4" ht="15" customHeight="1" x14ac:dyDescent="0.2">
      <c r="A16" s="21" t="s">
        <v>31</v>
      </c>
      <c r="B16" s="22">
        <v>0.85</v>
      </c>
      <c r="C16" s="22">
        <v>0.89</v>
      </c>
      <c r="D16" s="21">
        <v>1006</v>
      </c>
    </row>
    <row r="17" spans="1:4" ht="15" customHeight="1" x14ac:dyDescent="0.2">
      <c r="A17" s="21" t="s">
        <v>32</v>
      </c>
      <c r="B17" s="22">
        <v>0.85</v>
      </c>
      <c r="C17" s="22">
        <v>0.93</v>
      </c>
      <c r="D17" s="21">
        <v>1141</v>
      </c>
    </row>
    <row r="18" spans="1:4" ht="15" customHeight="1" x14ac:dyDescent="0.2">
      <c r="A18" s="21" t="s">
        <v>33</v>
      </c>
      <c r="B18" s="22">
        <v>0.85</v>
      </c>
      <c r="C18" s="22">
        <v>0.93</v>
      </c>
      <c r="D18" s="21">
        <v>1084</v>
      </c>
    </row>
    <row r="19" spans="1:4" ht="15" customHeight="1" x14ac:dyDescent="0.2">
      <c r="A19" s="21" t="s">
        <v>34</v>
      </c>
      <c r="B19" s="22">
        <v>0.85</v>
      </c>
      <c r="C19" s="22">
        <v>0.93</v>
      </c>
      <c r="D19" s="21">
        <v>1274</v>
      </c>
    </row>
    <row r="20" spans="1:4" ht="15" customHeight="1" x14ac:dyDescent="0.2">
      <c r="A20" s="21" t="s">
        <v>35</v>
      </c>
      <c r="B20" s="22">
        <v>0.85</v>
      </c>
      <c r="C20" s="22">
        <v>0.92</v>
      </c>
      <c r="D20" s="21">
        <v>1259</v>
      </c>
    </row>
    <row r="21" spans="1:4" ht="15" customHeight="1" x14ac:dyDescent="0.2">
      <c r="A21" s="21" t="s">
        <v>36</v>
      </c>
      <c r="B21" s="22">
        <v>0.85</v>
      </c>
      <c r="C21" s="22">
        <v>0.94</v>
      </c>
      <c r="D21" s="21">
        <v>1205</v>
      </c>
    </row>
    <row r="22" spans="1:4" ht="15" customHeight="1" x14ac:dyDescent="0.2">
      <c r="A22" s="21" t="s">
        <v>37</v>
      </c>
      <c r="B22" s="22">
        <v>0.85</v>
      </c>
      <c r="C22" s="22">
        <v>0.92</v>
      </c>
      <c r="D22" s="21">
        <v>1208</v>
      </c>
    </row>
    <row r="25" spans="1:4" ht="15" customHeight="1" x14ac:dyDescent="0.2">
      <c r="A25" s="19" t="s">
        <v>38</v>
      </c>
    </row>
    <row r="26" spans="1:4" ht="21.75" customHeight="1" x14ac:dyDescent="0.2">
      <c r="A26" s="20" t="s">
        <v>39</v>
      </c>
      <c r="B26" s="20" t="s">
        <v>40</v>
      </c>
    </row>
    <row r="27" spans="1:4" ht="15" customHeight="1" x14ac:dyDescent="0.2">
      <c r="A27" s="21" t="s">
        <v>41</v>
      </c>
      <c r="B27" s="21" t="s">
        <v>42</v>
      </c>
    </row>
    <row r="28" spans="1:4" ht="15" customHeight="1" x14ac:dyDescent="0.2">
      <c r="A28" s="21" t="s">
        <v>43</v>
      </c>
      <c r="B28" s="21" t="s">
        <v>44</v>
      </c>
    </row>
    <row r="29" spans="1:4" ht="15" customHeight="1" x14ac:dyDescent="0.2">
      <c r="A29" s="21" t="s">
        <v>45</v>
      </c>
      <c r="B29" s="21" t="s">
        <v>46</v>
      </c>
    </row>
    <row r="30" spans="1:4" ht="15" customHeight="1" x14ac:dyDescent="0.2">
      <c r="A30" s="21" t="s">
        <v>47</v>
      </c>
      <c r="B30" s="21" t="s">
        <v>48</v>
      </c>
    </row>
    <row r="31" spans="1:4" ht="15" customHeight="1" x14ac:dyDescent="0.2">
      <c r="A31" s="21" t="s">
        <v>49</v>
      </c>
      <c r="B31" s="21" t="s">
        <v>50</v>
      </c>
    </row>
    <row r="32" spans="1:4" ht="15" customHeight="1" x14ac:dyDescent="0.2">
      <c r="A32" s="21" t="s">
        <v>51</v>
      </c>
      <c r="B32" s="21" t="s">
        <v>52</v>
      </c>
    </row>
    <row r="33" spans="1:36" ht="15" customHeight="1" x14ac:dyDescent="0.2">
      <c r="A33" s="21" t="s">
        <v>53</v>
      </c>
      <c r="B33" s="21" t="s">
        <v>54</v>
      </c>
    </row>
    <row r="34" spans="1:36" ht="15" customHeight="1" x14ac:dyDescent="0.2">
      <c r="A34" s="21" t="s">
        <v>55</v>
      </c>
      <c r="B34" s="21" t="s">
        <v>56</v>
      </c>
    </row>
    <row r="35" spans="1:36" ht="15" customHeight="1" x14ac:dyDescent="0.2">
      <c r="A35" s="21" t="s">
        <v>57</v>
      </c>
      <c r="B35" s="21" t="s">
        <v>58</v>
      </c>
    </row>
    <row r="36" spans="1:36" ht="15" customHeight="1" x14ac:dyDescent="0.2">
      <c r="A36" s="21" t="s">
        <v>59</v>
      </c>
      <c r="B36" s="21" t="s">
        <v>60</v>
      </c>
    </row>
    <row r="39" spans="1:36" ht="15" customHeight="1" x14ac:dyDescent="0.2">
      <c r="A39" s="19" t="s">
        <v>61</v>
      </c>
    </row>
    <row r="40" spans="1:36" ht="30" customHeight="1" x14ac:dyDescent="0.2">
      <c r="A40" s="20" t="s">
        <v>39</v>
      </c>
      <c r="B40" s="20" t="s">
        <v>40</v>
      </c>
      <c r="C40" s="20" t="s">
        <v>62</v>
      </c>
      <c r="D40" s="20" t="s">
        <v>63</v>
      </c>
      <c r="E40" s="20" t="s">
        <v>64</v>
      </c>
      <c r="F40" s="20" t="s">
        <v>65</v>
      </c>
      <c r="G40" s="20" t="s">
        <v>66</v>
      </c>
      <c r="H40" s="20" t="s">
        <v>67</v>
      </c>
      <c r="I40" s="20" t="s">
        <v>68</v>
      </c>
      <c r="J40" s="20" t="s">
        <v>69</v>
      </c>
      <c r="K40" s="20" t="s">
        <v>70</v>
      </c>
      <c r="L40" s="20" t="s">
        <v>71</v>
      </c>
      <c r="M40" s="20" t="s">
        <v>72</v>
      </c>
      <c r="N40" s="20" t="s">
        <v>73</v>
      </c>
      <c r="O40" s="20" t="s">
        <v>74</v>
      </c>
      <c r="P40" s="20" t="s">
        <v>75</v>
      </c>
      <c r="Q40" s="20" t="s">
        <v>76</v>
      </c>
      <c r="R40" s="20" t="s">
        <v>77</v>
      </c>
      <c r="S40" s="20" t="s">
        <v>78</v>
      </c>
      <c r="T40" s="20" t="s">
        <v>79</v>
      </c>
      <c r="U40" s="20" t="s">
        <v>80</v>
      </c>
      <c r="V40" s="20" t="s">
        <v>81</v>
      </c>
      <c r="W40" s="20" t="s">
        <v>82</v>
      </c>
      <c r="X40" s="20" t="s">
        <v>83</v>
      </c>
      <c r="Y40" s="20" t="s">
        <v>84</v>
      </c>
      <c r="Z40" s="20" t="s">
        <v>85</v>
      </c>
      <c r="AA40" s="20" t="s">
        <v>86</v>
      </c>
      <c r="AB40" s="20" t="s">
        <v>87</v>
      </c>
      <c r="AC40" s="20" t="s">
        <v>88</v>
      </c>
      <c r="AD40" s="20" t="s">
        <v>89</v>
      </c>
      <c r="AE40" s="20" t="s">
        <v>90</v>
      </c>
      <c r="AF40" s="20" t="s">
        <v>91</v>
      </c>
      <c r="AG40" s="20" t="s">
        <v>92</v>
      </c>
      <c r="AH40" s="20" t="s">
        <v>93</v>
      </c>
      <c r="AI40" s="20" t="s">
        <v>94</v>
      </c>
      <c r="AJ40" s="20" t="s">
        <v>95</v>
      </c>
    </row>
    <row r="41" spans="1:36" ht="15" customHeight="1" x14ac:dyDescent="0.2">
      <c r="A41" s="21" t="s">
        <v>41</v>
      </c>
      <c r="B41" s="21" t="s">
        <v>42</v>
      </c>
      <c r="C41" s="21">
        <v>8</v>
      </c>
      <c r="D41" s="22">
        <v>0.25</v>
      </c>
      <c r="E41" s="21">
        <v>4</v>
      </c>
      <c r="F41" s="22">
        <v>1</v>
      </c>
      <c r="G41" s="21">
        <v>11</v>
      </c>
      <c r="H41" s="22">
        <v>0.73</v>
      </c>
      <c r="I41" s="21">
        <v>3</v>
      </c>
      <c r="J41" s="22">
        <v>1</v>
      </c>
      <c r="K41" s="21">
        <v>1</v>
      </c>
      <c r="L41" s="22">
        <v>1</v>
      </c>
      <c r="M41" s="21" t="s">
        <v>96</v>
      </c>
      <c r="N41" s="21" t="s">
        <v>96</v>
      </c>
      <c r="O41" s="21" t="s">
        <v>96</v>
      </c>
      <c r="P41" s="21" t="s">
        <v>96</v>
      </c>
      <c r="Q41" s="21">
        <v>2</v>
      </c>
      <c r="R41" s="22">
        <v>1</v>
      </c>
      <c r="S41" s="21">
        <v>2</v>
      </c>
      <c r="T41" s="22">
        <v>1</v>
      </c>
      <c r="U41" s="21">
        <v>2</v>
      </c>
      <c r="V41" s="22">
        <v>1</v>
      </c>
      <c r="W41" s="21">
        <v>2</v>
      </c>
      <c r="X41" s="22">
        <v>1</v>
      </c>
      <c r="Y41" s="21">
        <v>10</v>
      </c>
      <c r="Z41" s="22">
        <v>0.8</v>
      </c>
      <c r="AA41" s="21">
        <v>6</v>
      </c>
      <c r="AB41" s="22">
        <v>1</v>
      </c>
      <c r="AC41" s="21">
        <v>36</v>
      </c>
      <c r="AD41" s="22">
        <v>0.97</v>
      </c>
      <c r="AE41" s="21">
        <v>7</v>
      </c>
      <c r="AF41" s="22">
        <v>0.86</v>
      </c>
      <c r="AG41" s="21">
        <v>1</v>
      </c>
      <c r="AH41" s="22">
        <v>1</v>
      </c>
      <c r="AI41" s="21">
        <v>1</v>
      </c>
      <c r="AJ41" s="22">
        <v>1</v>
      </c>
    </row>
    <row r="42" spans="1:36" ht="15" customHeight="1" x14ac:dyDescent="0.2">
      <c r="A42" s="21" t="s">
        <v>43</v>
      </c>
      <c r="B42" s="21" t="s">
        <v>44</v>
      </c>
      <c r="C42" s="21">
        <v>2</v>
      </c>
      <c r="D42" s="22">
        <v>1</v>
      </c>
      <c r="E42" s="21">
        <v>9</v>
      </c>
      <c r="F42" s="22">
        <v>1</v>
      </c>
      <c r="G42" s="21">
        <v>2</v>
      </c>
      <c r="H42" s="22">
        <v>1</v>
      </c>
      <c r="I42" s="21">
        <v>5</v>
      </c>
      <c r="J42" s="22">
        <v>1</v>
      </c>
      <c r="K42" s="21">
        <v>6</v>
      </c>
      <c r="L42" s="22">
        <v>0.83</v>
      </c>
      <c r="M42" s="21" t="s">
        <v>96</v>
      </c>
      <c r="N42" s="21" t="s">
        <v>96</v>
      </c>
      <c r="O42" s="21" t="s">
        <v>96</v>
      </c>
      <c r="P42" s="21" t="s">
        <v>96</v>
      </c>
      <c r="Q42" s="21" t="s">
        <v>96</v>
      </c>
      <c r="R42" s="21" t="s">
        <v>96</v>
      </c>
      <c r="S42" s="21">
        <v>1</v>
      </c>
      <c r="T42" s="22">
        <v>1</v>
      </c>
      <c r="U42" s="21" t="s">
        <v>96</v>
      </c>
      <c r="V42" s="21" t="s">
        <v>96</v>
      </c>
      <c r="W42" s="21">
        <v>4</v>
      </c>
      <c r="X42" s="22">
        <v>1</v>
      </c>
      <c r="Y42" s="21">
        <v>5</v>
      </c>
      <c r="Z42" s="22">
        <v>1</v>
      </c>
      <c r="AA42" s="21">
        <v>10</v>
      </c>
      <c r="AB42" s="22">
        <v>1</v>
      </c>
      <c r="AC42" s="21">
        <v>6</v>
      </c>
      <c r="AD42" s="22">
        <v>1</v>
      </c>
      <c r="AE42" s="21">
        <v>3</v>
      </c>
      <c r="AF42" s="22">
        <v>1</v>
      </c>
      <c r="AG42" s="21">
        <v>8</v>
      </c>
      <c r="AH42" s="22">
        <v>1</v>
      </c>
      <c r="AI42" s="21">
        <v>2</v>
      </c>
      <c r="AJ42" s="22">
        <v>1</v>
      </c>
    </row>
    <row r="43" spans="1:36" ht="15" customHeight="1" x14ac:dyDescent="0.2">
      <c r="A43" s="21" t="s">
        <v>45</v>
      </c>
      <c r="B43" s="21" t="s">
        <v>46</v>
      </c>
      <c r="C43" s="21">
        <v>22</v>
      </c>
      <c r="D43" s="22">
        <v>0.86</v>
      </c>
      <c r="E43" s="21">
        <v>12</v>
      </c>
      <c r="F43" s="22">
        <v>0.83</v>
      </c>
      <c r="G43" s="21">
        <v>5</v>
      </c>
      <c r="H43" s="22">
        <v>1</v>
      </c>
      <c r="I43" s="21">
        <v>9</v>
      </c>
      <c r="J43" s="22">
        <v>1</v>
      </c>
      <c r="K43" s="21">
        <v>4</v>
      </c>
      <c r="L43" s="22">
        <v>0.83</v>
      </c>
      <c r="M43" s="21" t="s">
        <v>96</v>
      </c>
      <c r="N43" s="21" t="s">
        <v>96</v>
      </c>
      <c r="O43" s="21" t="s">
        <v>96</v>
      </c>
      <c r="P43" s="21" t="s">
        <v>96</v>
      </c>
      <c r="Q43" s="21" t="s">
        <v>96</v>
      </c>
      <c r="R43" s="21" t="s">
        <v>96</v>
      </c>
      <c r="S43" s="21" t="s">
        <v>96</v>
      </c>
      <c r="T43" s="21" t="s">
        <v>96</v>
      </c>
      <c r="U43" s="21" t="s">
        <v>96</v>
      </c>
      <c r="V43" s="21" t="s">
        <v>96</v>
      </c>
      <c r="W43" s="21">
        <v>2</v>
      </c>
      <c r="X43" s="22">
        <v>1</v>
      </c>
      <c r="Y43" s="21">
        <v>5</v>
      </c>
      <c r="Z43" s="22">
        <v>1</v>
      </c>
      <c r="AA43" s="21">
        <v>2</v>
      </c>
      <c r="AB43" s="22">
        <v>1</v>
      </c>
      <c r="AC43" s="21">
        <v>5</v>
      </c>
      <c r="AD43" s="22">
        <v>1</v>
      </c>
      <c r="AE43" s="21">
        <v>6</v>
      </c>
      <c r="AF43" s="22">
        <v>1</v>
      </c>
      <c r="AG43" s="21">
        <v>1</v>
      </c>
      <c r="AH43" s="22">
        <v>1</v>
      </c>
      <c r="AI43" s="21" t="s">
        <v>96</v>
      </c>
      <c r="AJ43" s="21" t="s">
        <v>96</v>
      </c>
    </row>
    <row r="44" spans="1:36" ht="15" customHeight="1" x14ac:dyDescent="0.2">
      <c r="A44" s="21" t="s">
        <v>47</v>
      </c>
      <c r="B44" s="21" t="s">
        <v>48</v>
      </c>
      <c r="C44" s="21">
        <v>10</v>
      </c>
      <c r="D44" s="22">
        <v>0.9</v>
      </c>
      <c r="E44" s="21">
        <v>4</v>
      </c>
      <c r="F44" s="22">
        <v>1</v>
      </c>
      <c r="G44" s="21">
        <v>4</v>
      </c>
      <c r="H44" s="22">
        <v>1</v>
      </c>
      <c r="I44" s="21">
        <v>8</v>
      </c>
      <c r="J44" s="22">
        <v>1</v>
      </c>
      <c r="K44" s="21">
        <v>4</v>
      </c>
      <c r="L44" s="22">
        <v>1</v>
      </c>
      <c r="M44" s="21">
        <v>3</v>
      </c>
      <c r="N44" s="22">
        <v>0.67</v>
      </c>
      <c r="O44" s="21" t="s">
        <v>96</v>
      </c>
      <c r="P44" s="21" t="s">
        <v>96</v>
      </c>
      <c r="Q44" s="21" t="s">
        <v>96</v>
      </c>
      <c r="R44" s="21" t="s">
        <v>96</v>
      </c>
      <c r="S44" s="21">
        <v>1</v>
      </c>
      <c r="T44" s="22">
        <v>1</v>
      </c>
      <c r="U44" s="21">
        <v>1</v>
      </c>
      <c r="V44" s="22">
        <v>1</v>
      </c>
      <c r="W44" s="21">
        <v>7</v>
      </c>
      <c r="X44" s="22">
        <v>1</v>
      </c>
      <c r="Y44" s="21">
        <v>4</v>
      </c>
      <c r="Z44" s="22">
        <v>1</v>
      </c>
      <c r="AA44" s="21">
        <v>14</v>
      </c>
      <c r="AB44" s="22">
        <v>1</v>
      </c>
      <c r="AC44" s="21">
        <v>7</v>
      </c>
      <c r="AD44" s="22">
        <v>1</v>
      </c>
      <c r="AE44" s="21">
        <v>10</v>
      </c>
      <c r="AF44" s="22">
        <v>1</v>
      </c>
      <c r="AG44" s="21">
        <v>1</v>
      </c>
      <c r="AH44" s="22">
        <v>1</v>
      </c>
      <c r="AI44" s="21">
        <v>3</v>
      </c>
      <c r="AJ44" s="22">
        <v>1</v>
      </c>
    </row>
    <row r="45" spans="1:36" ht="15" customHeight="1" x14ac:dyDescent="0.2">
      <c r="A45" s="21" t="s">
        <v>49</v>
      </c>
      <c r="B45" s="21" t="s">
        <v>50</v>
      </c>
      <c r="C45" s="21">
        <v>10</v>
      </c>
      <c r="D45" s="22">
        <v>0.9</v>
      </c>
      <c r="E45" s="21">
        <v>1</v>
      </c>
      <c r="F45" s="22">
        <v>1</v>
      </c>
      <c r="G45" s="21">
        <v>5</v>
      </c>
      <c r="H45" s="22">
        <v>0.8</v>
      </c>
      <c r="I45" s="21" t="s">
        <v>96</v>
      </c>
      <c r="J45" s="21" t="s">
        <v>96</v>
      </c>
      <c r="K45" s="21">
        <v>5</v>
      </c>
      <c r="L45" s="22">
        <v>1</v>
      </c>
      <c r="M45" s="21">
        <v>5</v>
      </c>
      <c r="N45" s="22">
        <v>1</v>
      </c>
      <c r="O45" s="21" t="s">
        <v>96</v>
      </c>
      <c r="P45" s="21" t="s">
        <v>96</v>
      </c>
      <c r="Q45" s="21" t="s">
        <v>96</v>
      </c>
      <c r="R45" s="21" t="s">
        <v>96</v>
      </c>
      <c r="S45" s="21">
        <v>1</v>
      </c>
      <c r="T45" s="22">
        <v>1</v>
      </c>
      <c r="U45" s="21">
        <v>7</v>
      </c>
      <c r="V45" s="22">
        <v>1</v>
      </c>
      <c r="W45" s="21">
        <v>7</v>
      </c>
      <c r="X45" s="22">
        <v>1</v>
      </c>
      <c r="Y45" s="21">
        <v>6</v>
      </c>
      <c r="Z45" s="22">
        <v>1</v>
      </c>
      <c r="AA45" s="21">
        <v>5</v>
      </c>
      <c r="AB45" s="22">
        <v>0.8</v>
      </c>
      <c r="AC45" s="21">
        <v>6</v>
      </c>
      <c r="AD45" s="22">
        <v>1</v>
      </c>
      <c r="AE45" s="21">
        <v>9</v>
      </c>
      <c r="AF45" s="22">
        <v>1</v>
      </c>
      <c r="AG45" s="21">
        <v>4</v>
      </c>
      <c r="AH45" s="22">
        <v>1</v>
      </c>
      <c r="AI45" s="21">
        <v>4</v>
      </c>
      <c r="AJ45" s="22">
        <v>1</v>
      </c>
    </row>
    <row r="46" spans="1:36" ht="15" customHeight="1" x14ac:dyDescent="0.2">
      <c r="A46" s="21" t="s">
        <v>51</v>
      </c>
      <c r="B46" s="21" t="s">
        <v>52</v>
      </c>
      <c r="C46" s="21" t="s">
        <v>96</v>
      </c>
      <c r="D46" s="21" t="s">
        <v>96</v>
      </c>
      <c r="E46" s="21">
        <v>7</v>
      </c>
      <c r="F46" s="22">
        <v>0.86</v>
      </c>
      <c r="G46" s="21">
        <v>3</v>
      </c>
      <c r="H46" s="22">
        <v>1</v>
      </c>
      <c r="I46" s="21">
        <v>2</v>
      </c>
      <c r="J46" s="22">
        <v>1</v>
      </c>
      <c r="K46" s="21" t="s">
        <v>96</v>
      </c>
      <c r="L46" s="21" t="s">
        <v>96</v>
      </c>
      <c r="M46" s="21">
        <v>3</v>
      </c>
      <c r="N46" s="22">
        <v>1</v>
      </c>
      <c r="O46" s="21">
        <v>4</v>
      </c>
      <c r="P46" s="22">
        <v>1</v>
      </c>
      <c r="Q46" s="21">
        <v>2</v>
      </c>
      <c r="R46" s="22">
        <v>1</v>
      </c>
      <c r="S46" s="21">
        <v>12</v>
      </c>
      <c r="T46" s="22">
        <v>0.75</v>
      </c>
      <c r="U46" s="21">
        <v>7</v>
      </c>
      <c r="V46" s="22">
        <v>0.71</v>
      </c>
      <c r="W46" s="21">
        <v>15</v>
      </c>
      <c r="X46" s="22">
        <v>0.8</v>
      </c>
      <c r="Y46" s="21">
        <v>1</v>
      </c>
      <c r="Z46" s="22">
        <v>1</v>
      </c>
      <c r="AA46" s="21">
        <v>6</v>
      </c>
      <c r="AB46" s="22">
        <v>0.83</v>
      </c>
      <c r="AC46" s="21">
        <v>3</v>
      </c>
      <c r="AD46" s="22">
        <v>1</v>
      </c>
      <c r="AE46" s="21">
        <v>27</v>
      </c>
      <c r="AF46" s="22">
        <v>0.96</v>
      </c>
      <c r="AG46" s="21">
        <v>13</v>
      </c>
      <c r="AH46" s="22">
        <v>0.46</v>
      </c>
      <c r="AI46" s="21">
        <v>16</v>
      </c>
      <c r="AJ46" s="22">
        <v>0.63</v>
      </c>
    </row>
    <row r="47" spans="1:36" ht="15" customHeight="1" x14ac:dyDescent="0.2">
      <c r="A47" s="21" t="s">
        <v>53</v>
      </c>
      <c r="B47" s="21" t="s">
        <v>54</v>
      </c>
      <c r="C47" s="21">
        <v>16</v>
      </c>
      <c r="D47" s="22">
        <v>0.94</v>
      </c>
      <c r="E47" s="21">
        <v>20</v>
      </c>
      <c r="F47" s="22">
        <v>0.85</v>
      </c>
      <c r="G47" s="21">
        <v>6</v>
      </c>
      <c r="H47" s="22">
        <v>1</v>
      </c>
      <c r="I47" s="21">
        <v>13</v>
      </c>
      <c r="J47" s="22">
        <v>1</v>
      </c>
      <c r="K47" s="21">
        <v>8</v>
      </c>
      <c r="L47" s="22">
        <v>1</v>
      </c>
      <c r="M47" s="21" t="s">
        <v>96</v>
      </c>
      <c r="N47" s="21" t="s">
        <v>96</v>
      </c>
      <c r="O47" s="21" t="s">
        <v>96</v>
      </c>
      <c r="P47" s="21" t="s">
        <v>96</v>
      </c>
      <c r="Q47" s="21" t="s">
        <v>96</v>
      </c>
      <c r="R47" s="21" t="s">
        <v>96</v>
      </c>
      <c r="S47" s="21">
        <v>2</v>
      </c>
      <c r="T47" s="22">
        <v>1</v>
      </c>
      <c r="U47" s="21" t="s">
        <v>96</v>
      </c>
      <c r="V47" s="21" t="s">
        <v>96</v>
      </c>
      <c r="W47" s="21">
        <v>5</v>
      </c>
      <c r="X47" s="22">
        <v>1</v>
      </c>
      <c r="Y47" s="21">
        <v>10</v>
      </c>
      <c r="Z47" s="22">
        <v>1</v>
      </c>
      <c r="AA47" s="21">
        <v>10</v>
      </c>
      <c r="AB47" s="22">
        <v>1</v>
      </c>
      <c r="AC47" s="21">
        <v>4</v>
      </c>
      <c r="AD47" s="22">
        <v>1</v>
      </c>
      <c r="AE47" s="21">
        <v>14</v>
      </c>
      <c r="AF47" s="22">
        <v>1</v>
      </c>
      <c r="AG47" s="21">
        <v>10</v>
      </c>
      <c r="AH47" s="22">
        <v>1</v>
      </c>
      <c r="AI47" s="21">
        <v>13</v>
      </c>
      <c r="AJ47" s="22">
        <v>0.92</v>
      </c>
    </row>
    <row r="48" spans="1:36" ht="15" customHeight="1" x14ac:dyDescent="0.2">
      <c r="A48" s="21" t="s">
        <v>55</v>
      </c>
      <c r="B48" s="21" t="s">
        <v>56</v>
      </c>
      <c r="C48" s="21">
        <v>10</v>
      </c>
      <c r="D48" s="22">
        <v>0.9</v>
      </c>
      <c r="E48" s="21">
        <v>12</v>
      </c>
      <c r="F48" s="22">
        <v>1</v>
      </c>
      <c r="G48" s="21">
        <v>6</v>
      </c>
      <c r="H48" s="22">
        <v>1</v>
      </c>
      <c r="I48" s="21">
        <v>11</v>
      </c>
      <c r="J48" s="22">
        <v>1</v>
      </c>
      <c r="K48" s="21">
        <v>1</v>
      </c>
      <c r="L48" s="22">
        <v>1</v>
      </c>
      <c r="M48" s="21" t="s">
        <v>96</v>
      </c>
      <c r="N48" s="21" t="s">
        <v>96</v>
      </c>
      <c r="O48" s="21" t="s">
        <v>96</v>
      </c>
      <c r="P48" s="21" t="s">
        <v>96</v>
      </c>
      <c r="Q48" s="21" t="s">
        <v>96</v>
      </c>
      <c r="R48" s="21" t="s">
        <v>96</v>
      </c>
      <c r="S48" s="21">
        <v>3</v>
      </c>
      <c r="T48" s="22">
        <v>1</v>
      </c>
      <c r="U48" s="21">
        <v>1</v>
      </c>
      <c r="V48" s="22">
        <v>1</v>
      </c>
      <c r="W48" s="21">
        <v>4</v>
      </c>
      <c r="X48" s="22">
        <v>1</v>
      </c>
      <c r="Y48" s="21">
        <v>8</v>
      </c>
      <c r="Z48" s="22">
        <v>0.85</v>
      </c>
      <c r="AA48" s="21">
        <v>3</v>
      </c>
      <c r="AB48" s="22">
        <v>0.67</v>
      </c>
      <c r="AC48" s="21">
        <v>12</v>
      </c>
      <c r="AD48" s="22">
        <v>1</v>
      </c>
      <c r="AE48" s="21">
        <v>8</v>
      </c>
      <c r="AF48" s="22">
        <v>1</v>
      </c>
      <c r="AG48" s="21">
        <v>19</v>
      </c>
      <c r="AH48" s="22">
        <v>0.95</v>
      </c>
      <c r="AI48" s="21">
        <v>11</v>
      </c>
      <c r="AJ48" s="22">
        <v>1</v>
      </c>
    </row>
    <row r="49" spans="1:36" ht="15" customHeight="1" x14ac:dyDescent="0.2">
      <c r="A49" s="21" t="s">
        <v>57</v>
      </c>
      <c r="B49" s="21" t="s">
        <v>58</v>
      </c>
      <c r="C49" s="21">
        <v>8</v>
      </c>
      <c r="D49" s="22">
        <v>1</v>
      </c>
      <c r="E49" s="21">
        <v>14</v>
      </c>
      <c r="F49" s="22">
        <v>0.93</v>
      </c>
      <c r="G49" s="21">
        <v>4</v>
      </c>
      <c r="H49" s="22">
        <v>1</v>
      </c>
      <c r="I49" s="21">
        <v>6</v>
      </c>
      <c r="J49" s="22">
        <v>1</v>
      </c>
      <c r="K49" s="21">
        <v>11</v>
      </c>
      <c r="L49" s="22">
        <v>0.91</v>
      </c>
      <c r="M49" s="21" t="s">
        <v>96</v>
      </c>
      <c r="N49" s="21" t="s">
        <v>96</v>
      </c>
      <c r="O49" s="21">
        <v>2</v>
      </c>
      <c r="P49" s="22">
        <v>1</v>
      </c>
      <c r="Q49" s="21" t="s">
        <v>96</v>
      </c>
      <c r="R49" s="21" t="s">
        <v>96</v>
      </c>
      <c r="S49" s="21">
        <v>4</v>
      </c>
      <c r="T49" s="22">
        <v>1</v>
      </c>
      <c r="U49" s="21" t="s">
        <v>96</v>
      </c>
      <c r="V49" s="21" t="s">
        <v>96</v>
      </c>
      <c r="W49" s="21">
        <v>21</v>
      </c>
      <c r="X49" s="22">
        <v>0.95</v>
      </c>
      <c r="Y49" s="21">
        <v>6</v>
      </c>
      <c r="Z49" s="22">
        <v>1</v>
      </c>
      <c r="AA49" s="21">
        <v>4</v>
      </c>
      <c r="AB49" s="22">
        <v>1</v>
      </c>
      <c r="AC49" s="21">
        <v>2</v>
      </c>
      <c r="AD49" s="22">
        <v>1</v>
      </c>
      <c r="AE49" s="21">
        <v>2</v>
      </c>
      <c r="AF49" s="22">
        <v>1</v>
      </c>
      <c r="AG49" s="21">
        <v>8</v>
      </c>
      <c r="AH49" s="22">
        <v>0.88</v>
      </c>
      <c r="AI49" s="21">
        <v>6</v>
      </c>
      <c r="AJ49" s="22">
        <v>1</v>
      </c>
    </row>
    <row r="50" spans="1:36" ht="15" customHeight="1" x14ac:dyDescent="0.2">
      <c r="A50" s="21" t="s">
        <v>59</v>
      </c>
      <c r="B50" s="21" t="s">
        <v>60</v>
      </c>
      <c r="C50" s="21">
        <v>10</v>
      </c>
      <c r="D50" s="22">
        <v>0.9</v>
      </c>
      <c r="E50" s="21">
        <v>1</v>
      </c>
      <c r="F50" s="22">
        <v>0.93</v>
      </c>
      <c r="G50" s="21">
        <v>7</v>
      </c>
      <c r="H50" s="22">
        <v>0.86</v>
      </c>
      <c r="I50" s="21" t="s">
        <v>96</v>
      </c>
      <c r="J50" s="21" t="s">
        <v>96</v>
      </c>
      <c r="K50" s="21">
        <v>3</v>
      </c>
      <c r="L50" s="22">
        <v>1</v>
      </c>
      <c r="M50" s="21" t="s">
        <v>96</v>
      </c>
      <c r="N50" s="21" t="s">
        <v>96</v>
      </c>
      <c r="O50" s="21">
        <v>1</v>
      </c>
      <c r="P50" s="22">
        <v>1</v>
      </c>
      <c r="Q50" s="21" t="s">
        <v>96</v>
      </c>
      <c r="R50" s="21" t="s">
        <v>96</v>
      </c>
      <c r="S50" s="21" t="s">
        <v>96</v>
      </c>
      <c r="T50" s="21" t="s">
        <v>96</v>
      </c>
      <c r="U50" s="21" t="s">
        <v>96</v>
      </c>
      <c r="V50" s="21" t="s">
        <v>96</v>
      </c>
      <c r="W50" s="21">
        <v>5</v>
      </c>
      <c r="X50" s="22">
        <v>0.8</v>
      </c>
      <c r="Y50" s="21" t="s">
        <v>96</v>
      </c>
      <c r="Z50" s="21" t="s">
        <v>96</v>
      </c>
      <c r="AA50" s="21" t="s">
        <v>96</v>
      </c>
      <c r="AB50" s="21" t="s">
        <v>96</v>
      </c>
      <c r="AC50" s="21" t="s">
        <v>96</v>
      </c>
      <c r="AD50" s="21" t="s">
        <v>96</v>
      </c>
      <c r="AE50" s="21" t="s">
        <v>96</v>
      </c>
      <c r="AF50" s="21" t="s">
        <v>96</v>
      </c>
      <c r="AG50" s="21" t="s">
        <v>96</v>
      </c>
      <c r="AH50" s="21" t="s">
        <v>96</v>
      </c>
      <c r="AI50" s="21" t="s">
        <v>96</v>
      </c>
      <c r="AJ50" s="21" t="s">
        <v>96</v>
      </c>
    </row>
    <row r="52" spans="1:36" ht="15" customHeight="1" x14ac:dyDescent="0.2">
      <c r="A52" s="23" t="s">
        <v>97</v>
      </c>
    </row>
    <row r="53" spans="1:36" ht="15" customHeight="1" x14ac:dyDescent="0.2">
      <c r="A53" s="18" t="s">
        <v>98</v>
      </c>
    </row>
    <row r="54" spans="1:36" ht="15" customHeight="1" x14ac:dyDescent="0.2">
      <c r="A54" s="18" t="s">
        <v>99</v>
      </c>
    </row>
    <row r="55" spans="1:36" ht="15" customHeight="1" x14ac:dyDescent="0.2">
      <c r="A55" s="18" t="s">
        <v>100</v>
      </c>
    </row>
    <row r="56" spans="1:36" ht="15" customHeight="1" x14ac:dyDescent="0.2">
      <c r="A56" s="18" t="s">
        <v>101</v>
      </c>
    </row>
    <row r="57" spans="1:36" ht="15" customHeight="1" x14ac:dyDescent="0.2">
      <c r="A57" s="18" t="s">
        <v>102</v>
      </c>
    </row>
  </sheetData>
  <conditionalFormatting sqref="C6:C22">
    <cfRule type="cellIs" dxfId="6" priority="2" operator="greaterThanOrEqual">
      <formula>$B$6+0.02</formula>
    </cfRule>
    <cfRule type="cellIs" dxfId="5" priority="3" operator="lessThan">
      <formula>$B$6</formula>
    </cfRule>
    <cfRule type="cellIs" dxfId="4" priority="4" operator="between">
      <formula>$B$6</formula>
      <formula>$B$6+0.02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2" width="12" customWidth="1"/>
    <col min="3" max="3" width="13" customWidth="1"/>
    <col min="4" max="4" width="16" customWidth="1"/>
    <col min="5" max="5" width="15" customWidth="1"/>
    <col min="6" max="6" width="17" customWidth="1"/>
    <col min="7" max="7" width="15" customWidth="1"/>
    <col min="8" max="8" width="17" customWidth="1"/>
  </cols>
  <sheetData>
    <row r="1" spans="1:8" ht="19.5" customHeight="1" x14ac:dyDescent="0.2">
      <c r="A1" s="17" t="s">
        <v>103</v>
      </c>
    </row>
    <row r="3" spans="1:8" ht="30" customHeight="1" x14ac:dyDescent="0.2">
      <c r="A3" s="24" t="s">
        <v>11</v>
      </c>
      <c r="B3" s="24" t="s">
        <v>18</v>
      </c>
      <c r="C3" s="24" t="s">
        <v>19</v>
      </c>
      <c r="D3" s="24" t="s">
        <v>20</v>
      </c>
      <c r="E3" s="24" t="s">
        <v>104</v>
      </c>
      <c r="F3" s="24" t="s">
        <v>105</v>
      </c>
      <c r="G3" s="24" t="s">
        <v>106</v>
      </c>
      <c r="H3" s="24" t="s">
        <v>107</v>
      </c>
    </row>
    <row r="4" spans="1:8" ht="15" customHeight="1" x14ac:dyDescent="0.2">
      <c r="A4" s="21" t="str">
        <f>Raw_Data!A6</f>
        <v>Feb-25</v>
      </c>
      <c r="B4" s="22">
        <f>Raw_Data!B6</f>
        <v>0.85</v>
      </c>
      <c r="C4" s="22">
        <f>Raw_Data!C6</f>
        <v>0.85</v>
      </c>
      <c r="D4" s="21">
        <f>Raw_Data!D6</f>
        <v>1290</v>
      </c>
      <c r="E4" s="21">
        <f t="shared" ref="E4:E20" si="0">ROUND(D4*C4,0)</f>
        <v>1097</v>
      </c>
      <c r="F4" s="21">
        <f t="shared" ref="F4:F20" si="1">D4-E4</f>
        <v>193</v>
      </c>
      <c r="G4" s="21"/>
      <c r="H4" s="21" t="str">
        <f t="shared" ref="H4:H20" si="2">IF(C4&gt;=B4,"Above Target","Below Target")</f>
        <v>Above Target</v>
      </c>
    </row>
    <row r="5" spans="1:8" ht="15" customHeight="1" x14ac:dyDescent="0.2">
      <c r="A5" s="21" t="str">
        <f>Raw_Data!A7</f>
        <v>Mar-25</v>
      </c>
      <c r="B5" s="22">
        <f>Raw_Data!B7</f>
        <v>0.85</v>
      </c>
      <c r="C5" s="22">
        <f>Raw_Data!C7</f>
        <v>0.86</v>
      </c>
      <c r="D5" s="21">
        <f>Raw_Data!D7</f>
        <v>1416</v>
      </c>
      <c r="E5" s="21">
        <f t="shared" si="0"/>
        <v>1218</v>
      </c>
      <c r="F5" s="21">
        <f t="shared" si="1"/>
        <v>198</v>
      </c>
      <c r="G5" s="22">
        <f t="shared" ref="G5:G20" si="3">C5-C4</f>
        <v>1.0000000000000009E-2</v>
      </c>
      <c r="H5" s="21" t="str">
        <f t="shared" si="2"/>
        <v>Above Target</v>
      </c>
    </row>
    <row r="6" spans="1:8" ht="15" customHeight="1" x14ac:dyDescent="0.2">
      <c r="A6" s="21" t="str">
        <f>Raw_Data!A8</f>
        <v>Apr-25</v>
      </c>
      <c r="B6" s="22">
        <f>Raw_Data!B8</f>
        <v>0.85</v>
      </c>
      <c r="C6" s="22">
        <f>Raw_Data!C8</f>
        <v>0.87</v>
      </c>
      <c r="D6" s="21">
        <f>Raw_Data!D8</f>
        <v>1225</v>
      </c>
      <c r="E6" s="21">
        <f t="shared" si="0"/>
        <v>1066</v>
      </c>
      <c r="F6" s="21">
        <f t="shared" si="1"/>
        <v>159</v>
      </c>
      <c r="G6" s="22">
        <f t="shared" si="3"/>
        <v>1.0000000000000009E-2</v>
      </c>
      <c r="H6" s="21" t="str">
        <f t="shared" si="2"/>
        <v>Above Target</v>
      </c>
    </row>
    <row r="7" spans="1:8" ht="15" customHeight="1" x14ac:dyDescent="0.2">
      <c r="A7" s="21" t="str">
        <f>Raw_Data!A9</f>
        <v>May-25</v>
      </c>
      <c r="B7" s="22">
        <f>Raw_Data!B9</f>
        <v>0.85</v>
      </c>
      <c r="C7" s="22">
        <f>Raw_Data!C9</f>
        <v>0.93</v>
      </c>
      <c r="D7" s="21">
        <f>Raw_Data!D9</f>
        <v>994</v>
      </c>
      <c r="E7" s="21">
        <f t="shared" si="0"/>
        <v>924</v>
      </c>
      <c r="F7" s="21">
        <f t="shared" si="1"/>
        <v>70</v>
      </c>
      <c r="G7" s="22">
        <f t="shared" si="3"/>
        <v>6.0000000000000053E-2</v>
      </c>
      <c r="H7" s="21" t="str">
        <f t="shared" si="2"/>
        <v>Above Target</v>
      </c>
    </row>
    <row r="8" spans="1:8" ht="15" customHeight="1" x14ac:dyDescent="0.2">
      <c r="A8" s="21" t="str">
        <f>Raw_Data!A10</f>
        <v>Jun-25</v>
      </c>
      <c r="B8" s="22">
        <f>Raw_Data!B10</f>
        <v>0.85</v>
      </c>
      <c r="C8" s="22">
        <f>Raw_Data!C10</f>
        <v>0.91</v>
      </c>
      <c r="D8" s="21">
        <f>Raw_Data!D10</f>
        <v>725</v>
      </c>
      <c r="E8" s="21">
        <f t="shared" si="0"/>
        <v>660</v>
      </c>
      <c r="F8" s="21">
        <f t="shared" si="1"/>
        <v>65</v>
      </c>
      <c r="G8" s="22">
        <f t="shared" si="3"/>
        <v>-2.0000000000000018E-2</v>
      </c>
      <c r="H8" s="21" t="str">
        <f t="shared" si="2"/>
        <v>Above Target</v>
      </c>
    </row>
    <row r="9" spans="1:8" ht="15" customHeight="1" x14ac:dyDescent="0.2">
      <c r="A9" s="21" t="str">
        <f>Raw_Data!A11</f>
        <v>Jul-25</v>
      </c>
      <c r="B9" s="22">
        <f>Raw_Data!B11</f>
        <v>0.85</v>
      </c>
      <c r="C9" s="22">
        <f>Raw_Data!C11</f>
        <v>0.93</v>
      </c>
      <c r="D9" s="21">
        <f>Raw_Data!D11</f>
        <v>818</v>
      </c>
      <c r="E9" s="21">
        <f t="shared" si="0"/>
        <v>761</v>
      </c>
      <c r="F9" s="21">
        <f t="shared" si="1"/>
        <v>57</v>
      </c>
      <c r="G9" s="22">
        <f t="shared" si="3"/>
        <v>2.0000000000000018E-2</v>
      </c>
      <c r="H9" s="21" t="str">
        <f t="shared" si="2"/>
        <v>Above Target</v>
      </c>
    </row>
    <row r="10" spans="1:8" ht="15" customHeight="1" x14ac:dyDescent="0.2">
      <c r="A10" s="21" t="str">
        <f>Raw_Data!A12</f>
        <v>Aug-25</v>
      </c>
      <c r="B10" s="22">
        <f>Raw_Data!B12</f>
        <v>0.85</v>
      </c>
      <c r="C10" s="22">
        <f>Raw_Data!C12</f>
        <v>0.92</v>
      </c>
      <c r="D10" s="21">
        <f>Raw_Data!D12</f>
        <v>711</v>
      </c>
      <c r="E10" s="21">
        <f t="shared" si="0"/>
        <v>654</v>
      </c>
      <c r="F10" s="21">
        <f t="shared" si="1"/>
        <v>57</v>
      </c>
      <c r="G10" s="22">
        <f t="shared" si="3"/>
        <v>-1.0000000000000009E-2</v>
      </c>
      <c r="H10" s="21" t="str">
        <f t="shared" si="2"/>
        <v>Above Target</v>
      </c>
    </row>
    <row r="11" spans="1:8" ht="15" customHeight="1" x14ac:dyDescent="0.2">
      <c r="A11" s="21" t="str">
        <f>Raw_Data!A13</f>
        <v>Sep-25</v>
      </c>
      <c r="B11" s="22">
        <f>Raw_Data!B13</f>
        <v>0.85</v>
      </c>
      <c r="C11" s="22">
        <f>Raw_Data!C13</f>
        <v>0.9</v>
      </c>
      <c r="D11" s="21">
        <f>Raw_Data!D13</f>
        <v>828</v>
      </c>
      <c r="E11" s="21">
        <f t="shared" si="0"/>
        <v>745</v>
      </c>
      <c r="F11" s="21">
        <f t="shared" si="1"/>
        <v>83</v>
      </c>
      <c r="G11" s="22">
        <f t="shared" si="3"/>
        <v>-2.0000000000000018E-2</v>
      </c>
      <c r="H11" s="21" t="str">
        <f t="shared" si="2"/>
        <v>Above Target</v>
      </c>
    </row>
    <row r="12" spans="1:8" ht="15" customHeight="1" x14ac:dyDescent="0.2">
      <c r="A12" s="21" t="str">
        <f>Raw_Data!A14</f>
        <v>Oct-25</v>
      </c>
      <c r="B12" s="22">
        <f>Raw_Data!B14</f>
        <v>0.85</v>
      </c>
      <c r="C12" s="22">
        <f>Raw_Data!C14</f>
        <v>0.92</v>
      </c>
      <c r="D12" s="21">
        <f>Raw_Data!D14</f>
        <v>822</v>
      </c>
      <c r="E12" s="21">
        <f t="shared" si="0"/>
        <v>756</v>
      </c>
      <c r="F12" s="21">
        <f t="shared" si="1"/>
        <v>66</v>
      </c>
      <c r="G12" s="22">
        <f t="shared" si="3"/>
        <v>2.0000000000000018E-2</v>
      </c>
      <c r="H12" s="21" t="str">
        <f t="shared" si="2"/>
        <v>Above Target</v>
      </c>
    </row>
    <row r="13" spans="1:8" ht="15" customHeight="1" x14ac:dyDescent="0.2">
      <c r="A13" s="21" t="str">
        <f>Raw_Data!A15</f>
        <v>Nov-25</v>
      </c>
      <c r="B13" s="22">
        <f>Raw_Data!B15</f>
        <v>0.85</v>
      </c>
      <c r="C13" s="22">
        <f>Raw_Data!C15</f>
        <v>0.9</v>
      </c>
      <c r="D13" s="21">
        <f>Raw_Data!D15</f>
        <v>993</v>
      </c>
      <c r="E13" s="21">
        <f t="shared" si="0"/>
        <v>894</v>
      </c>
      <c r="F13" s="21">
        <f t="shared" si="1"/>
        <v>99</v>
      </c>
      <c r="G13" s="22">
        <f t="shared" si="3"/>
        <v>-2.0000000000000018E-2</v>
      </c>
      <c r="H13" s="21" t="str">
        <f t="shared" si="2"/>
        <v>Above Target</v>
      </c>
    </row>
    <row r="14" spans="1:8" ht="15" customHeight="1" x14ac:dyDescent="0.2">
      <c r="A14" s="21" t="str">
        <f>Raw_Data!A16</f>
        <v>Dec-25</v>
      </c>
      <c r="B14" s="22">
        <f>Raw_Data!B16</f>
        <v>0.85</v>
      </c>
      <c r="C14" s="22">
        <f>Raw_Data!C16</f>
        <v>0.89</v>
      </c>
      <c r="D14" s="21">
        <f>Raw_Data!D16</f>
        <v>1006</v>
      </c>
      <c r="E14" s="21">
        <f t="shared" si="0"/>
        <v>895</v>
      </c>
      <c r="F14" s="21">
        <f t="shared" si="1"/>
        <v>111</v>
      </c>
      <c r="G14" s="22">
        <f t="shared" si="3"/>
        <v>-1.0000000000000009E-2</v>
      </c>
      <c r="H14" s="21" t="str">
        <f t="shared" si="2"/>
        <v>Above Target</v>
      </c>
    </row>
    <row r="15" spans="1:8" ht="15" customHeight="1" x14ac:dyDescent="0.2">
      <c r="A15" s="21" t="str">
        <f>Raw_Data!A17</f>
        <v>Jan-26</v>
      </c>
      <c r="B15" s="22">
        <f>Raw_Data!B17</f>
        <v>0.85</v>
      </c>
      <c r="C15" s="22">
        <f>Raw_Data!C17</f>
        <v>0.93</v>
      </c>
      <c r="D15" s="21">
        <f>Raw_Data!D17</f>
        <v>1141</v>
      </c>
      <c r="E15" s="21">
        <f t="shared" si="0"/>
        <v>1061</v>
      </c>
      <c r="F15" s="21">
        <f t="shared" si="1"/>
        <v>80</v>
      </c>
      <c r="G15" s="22">
        <f t="shared" si="3"/>
        <v>4.0000000000000036E-2</v>
      </c>
      <c r="H15" s="21" t="str">
        <f t="shared" si="2"/>
        <v>Above Target</v>
      </c>
    </row>
    <row r="16" spans="1:8" ht="15" customHeight="1" x14ac:dyDescent="0.2">
      <c r="A16" s="21" t="str">
        <f>Raw_Data!A18</f>
        <v>Feb-26</v>
      </c>
      <c r="B16" s="22">
        <f>Raw_Data!B18</f>
        <v>0.85</v>
      </c>
      <c r="C16" s="22">
        <f>Raw_Data!C18</f>
        <v>0.93</v>
      </c>
      <c r="D16" s="21">
        <f>Raw_Data!D18</f>
        <v>1084</v>
      </c>
      <c r="E16" s="21">
        <f t="shared" si="0"/>
        <v>1008</v>
      </c>
      <c r="F16" s="21">
        <f t="shared" si="1"/>
        <v>76</v>
      </c>
      <c r="G16" s="22">
        <f t="shared" si="3"/>
        <v>0</v>
      </c>
      <c r="H16" s="21" t="str">
        <f t="shared" si="2"/>
        <v>Above Target</v>
      </c>
    </row>
    <row r="17" spans="1:8" ht="15" customHeight="1" x14ac:dyDescent="0.2">
      <c r="A17" s="21" t="str">
        <f>Raw_Data!A19</f>
        <v>Mar-26</v>
      </c>
      <c r="B17" s="22">
        <f>Raw_Data!B19</f>
        <v>0.85</v>
      </c>
      <c r="C17" s="22">
        <f>Raw_Data!C19</f>
        <v>0.93</v>
      </c>
      <c r="D17" s="21">
        <f>Raw_Data!D19</f>
        <v>1274</v>
      </c>
      <c r="E17" s="21">
        <f t="shared" si="0"/>
        <v>1185</v>
      </c>
      <c r="F17" s="21">
        <f t="shared" si="1"/>
        <v>89</v>
      </c>
      <c r="G17" s="22">
        <f t="shared" si="3"/>
        <v>0</v>
      </c>
      <c r="H17" s="21" t="str">
        <f t="shared" si="2"/>
        <v>Above Target</v>
      </c>
    </row>
    <row r="18" spans="1:8" ht="15" customHeight="1" x14ac:dyDescent="0.2">
      <c r="A18" s="21" t="str">
        <f>Raw_Data!A20</f>
        <v>Apr-26</v>
      </c>
      <c r="B18" s="22">
        <f>Raw_Data!B20</f>
        <v>0.85</v>
      </c>
      <c r="C18" s="22">
        <f>Raw_Data!C20</f>
        <v>0.92</v>
      </c>
      <c r="D18" s="21">
        <f>Raw_Data!D20</f>
        <v>1259</v>
      </c>
      <c r="E18" s="21">
        <f t="shared" si="0"/>
        <v>1158</v>
      </c>
      <c r="F18" s="21">
        <f t="shared" si="1"/>
        <v>101</v>
      </c>
      <c r="G18" s="22">
        <f t="shared" si="3"/>
        <v>-1.0000000000000009E-2</v>
      </c>
      <c r="H18" s="21" t="str">
        <f t="shared" si="2"/>
        <v>Above Target</v>
      </c>
    </row>
    <row r="19" spans="1:8" ht="15" customHeight="1" x14ac:dyDescent="0.2">
      <c r="A19" s="21" t="str">
        <f>Raw_Data!A21</f>
        <v>May-26</v>
      </c>
      <c r="B19" s="22">
        <f>Raw_Data!B21</f>
        <v>0.85</v>
      </c>
      <c r="C19" s="22">
        <f>Raw_Data!C21</f>
        <v>0.94</v>
      </c>
      <c r="D19" s="21">
        <f>Raw_Data!D21</f>
        <v>1205</v>
      </c>
      <c r="E19" s="21">
        <f t="shared" si="0"/>
        <v>1133</v>
      </c>
      <c r="F19" s="21">
        <f t="shared" si="1"/>
        <v>72</v>
      </c>
      <c r="G19" s="22">
        <f t="shared" si="3"/>
        <v>1.9999999999999907E-2</v>
      </c>
      <c r="H19" s="21" t="str">
        <f t="shared" si="2"/>
        <v>Above Target</v>
      </c>
    </row>
    <row r="20" spans="1:8" ht="15" customHeight="1" x14ac:dyDescent="0.2">
      <c r="A20" s="21" t="str">
        <f>Raw_Data!A22</f>
        <v>Jun-26</v>
      </c>
      <c r="B20" s="22">
        <f>Raw_Data!B22</f>
        <v>0.85</v>
      </c>
      <c r="C20" s="22">
        <f>Raw_Data!C22</f>
        <v>0.92</v>
      </c>
      <c r="D20" s="21">
        <f>Raw_Data!D22</f>
        <v>1208</v>
      </c>
      <c r="E20" s="21">
        <f t="shared" si="0"/>
        <v>1111</v>
      </c>
      <c r="F20" s="21">
        <f t="shared" si="1"/>
        <v>97</v>
      </c>
      <c r="G20" s="22">
        <f t="shared" si="3"/>
        <v>-1.9999999999999907E-2</v>
      </c>
      <c r="H20" s="21" t="str">
        <f t="shared" si="2"/>
        <v>Above Target</v>
      </c>
    </row>
    <row r="23" spans="1:8" ht="15" customHeight="1" x14ac:dyDescent="0.2">
      <c r="A23" s="19" t="s">
        <v>108</v>
      </c>
    </row>
    <row r="24" spans="1:8" ht="15" customHeight="1" x14ac:dyDescent="0.2">
      <c r="A24" s="25" t="s">
        <v>109</v>
      </c>
      <c r="B24" s="22">
        <f>AVERAGE(C4:C20)</f>
        <v>0.9088235294117647</v>
      </c>
    </row>
    <row r="25" spans="1:8" ht="15" customHeight="1" x14ac:dyDescent="0.2">
      <c r="A25" s="25" t="s">
        <v>110</v>
      </c>
      <c r="B25" s="22">
        <f>SUMPRODUCT(C4:C20,D4:D20)/SUM(D4:D20)</f>
        <v>0.90704650258347708</v>
      </c>
    </row>
    <row r="26" spans="1:8" ht="15" customHeight="1" x14ac:dyDescent="0.2">
      <c r="A26" s="25" t="s">
        <v>111</v>
      </c>
      <c r="B26" s="26">
        <f>SUM(D4:D20)</f>
        <v>17999</v>
      </c>
    </row>
    <row r="27" spans="1:8" ht="15" customHeight="1" x14ac:dyDescent="0.2">
      <c r="A27" s="25" t="s">
        <v>112</v>
      </c>
      <c r="B27" s="26">
        <f>SUM(E4:E20)</f>
        <v>16326</v>
      </c>
    </row>
    <row r="28" spans="1:8" ht="15" customHeight="1" x14ac:dyDescent="0.2">
      <c r="A28" s="25" t="s">
        <v>113</v>
      </c>
      <c r="B28" s="26">
        <f>SUM(F4:F20)</f>
        <v>1673</v>
      </c>
    </row>
    <row r="29" spans="1:8" ht="15" customHeight="1" x14ac:dyDescent="0.2">
      <c r="A29" s="25" t="s">
        <v>114</v>
      </c>
      <c r="B29" s="27">
        <f>COUNTIF(H4:H20,"Above Target")</f>
        <v>17</v>
      </c>
    </row>
    <row r="30" spans="1:8" ht="15" customHeight="1" x14ac:dyDescent="0.2">
      <c r="A30" s="25" t="s">
        <v>115</v>
      </c>
      <c r="B30" s="27">
        <f>COUNTA(A4:A20)</f>
        <v>17</v>
      </c>
    </row>
    <row r="31" spans="1:8" ht="15" customHeight="1" x14ac:dyDescent="0.2">
      <c r="A31" s="25" t="s">
        <v>116</v>
      </c>
      <c r="B31" s="22">
        <f>COUNTIF(H4:H20,"Above Target")/COUNTA(A4:A20)</f>
        <v>1</v>
      </c>
    </row>
    <row r="32" spans="1:8" ht="15" customHeight="1" x14ac:dyDescent="0.2">
      <c r="A32" s="25" t="s">
        <v>117</v>
      </c>
      <c r="B32" s="21" t="str">
        <f>INDEX(A4:A20,MATCH(MAX(C4:C20),C4:C20,0))</f>
        <v>May-26</v>
      </c>
    </row>
    <row r="33" spans="1:2" ht="15" customHeight="1" x14ac:dyDescent="0.2">
      <c r="A33" s="25" t="s">
        <v>118</v>
      </c>
      <c r="B33" s="22">
        <f>MAX(C4:C20)</f>
        <v>0.94</v>
      </c>
    </row>
    <row r="34" spans="1:2" ht="15" customHeight="1" x14ac:dyDescent="0.2">
      <c r="A34" s="25" t="s">
        <v>119</v>
      </c>
      <c r="B34" s="21" t="str">
        <f>INDEX(A4:A20,MATCH(MIN(C4:C20),C4:C20,0))</f>
        <v>Feb-25</v>
      </c>
    </row>
    <row r="35" spans="1:2" ht="15" customHeight="1" x14ac:dyDescent="0.2">
      <c r="A35" s="25" t="s">
        <v>120</v>
      </c>
      <c r="B35" s="22">
        <f>MIN(C4:C20)</f>
        <v>0.85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0"/>
  <sheetViews>
    <sheetView topLeftCell="A54" zoomScaleNormal="100" workbookViewId="0"/>
  </sheetViews>
  <sheetFormatPr baseColWidth="10" defaultColWidth="8.6640625" defaultRowHeight="15" x14ac:dyDescent="0.2"/>
  <cols>
    <col min="1" max="2" width="16" customWidth="1"/>
    <col min="3" max="3" width="13" customWidth="1"/>
    <col min="4" max="4" width="22" customWidth="1"/>
    <col min="5" max="5" width="15" customWidth="1"/>
    <col min="6" max="6" width="10" customWidth="1"/>
  </cols>
  <sheetData>
    <row r="1" spans="1:7" ht="19.5" customHeight="1" x14ac:dyDescent="0.2">
      <c r="A1" s="17" t="s">
        <v>121</v>
      </c>
    </row>
    <row r="3" spans="1:7" ht="19.5" customHeight="1" x14ac:dyDescent="0.2">
      <c r="A3" s="28" t="s">
        <v>39</v>
      </c>
      <c r="B3" s="28" t="s">
        <v>40</v>
      </c>
      <c r="C3" s="28" t="s">
        <v>11</v>
      </c>
      <c r="D3" s="28" t="s">
        <v>122</v>
      </c>
      <c r="E3" s="28" t="s">
        <v>123</v>
      </c>
      <c r="F3" s="28" t="s">
        <v>124</v>
      </c>
      <c r="G3" s="28" t="s">
        <v>125</v>
      </c>
    </row>
    <row r="4" spans="1:7" ht="15" customHeight="1" x14ac:dyDescent="0.2">
      <c r="A4" s="21" t="s">
        <v>41</v>
      </c>
      <c r="B4" s="21" t="s">
        <v>42</v>
      </c>
      <c r="C4" s="21" t="s">
        <v>21</v>
      </c>
      <c r="D4" s="21">
        <v>8</v>
      </c>
      <c r="E4" s="22">
        <v>0.25</v>
      </c>
      <c r="F4" s="22">
        <v>0.85</v>
      </c>
      <c r="G4" s="21" t="str">
        <f t="shared" ref="G4:G35" si="0">IF(ISBLANK(D4),"No data",IF(E4&gt;=F4,"Above","Below"))</f>
        <v>Below</v>
      </c>
    </row>
    <row r="5" spans="1:7" ht="15" customHeight="1" x14ac:dyDescent="0.2">
      <c r="A5" s="21" t="s">
        <v>41</v>
      </c>
      <c r="B5" s="21" t="s">
        <v>42</v>
      </c>
      <c r="C5" s="21" t="s">
        <v>22</v>
      </c>
      <c r="D5" s="21">
        <v>4</v>
      </c>
      <c r="E5" s="22">
        <v>1</v>
      </c>
      <c r="F5" s="22">
        <v>0.85</v>
      </c>
      <c r="G5" s="21" t="str">
        <f t="shared" si="0"/>
        <v>Above</v>
      </c>
    </row>
    <row r="6" spans="1:7" ht="15" customHeight="1" x14ac:dyDescent="0.2">
      <c r="A6" s="21" t="s">
        <v>41</v>
      </c>
      <c r="B6" s="21" t="s">
        <v>42</v>
      </c>
      <c r="C6" s="21" t="s">
        <v>23</v>
      </c>
      <c r="D6" s="21">
        <v>11</v>
      </c>
      <c r="E6" s="22">
        <v>0.73</v>
      </c>
      <c r="F6" s="22">
        <v>0.85</v>
      </c>
      <c r="G6" s="21" t="str">
        <f t="shared" si="0"/>
        <v>Below</v>
      </c>
    </row>
    <row r="7" spans="1:7" ht="15" customHeight="1" x14ac:dyDescent="0.2">
      <c r="A7" s="21" t="s">
        <v>41</v>
      </c>
      <c r="B7" s="21" t="s">
        <v>42</v>
      </c>
      <c r="C7" s="21" t="s">
        <v>24</v>
      </c>
      <c r="D7" s="21">
        <v>3</v>
      </c>
      <c r="E7" s="22">
        <v>1</v>
      </c>
      <c r="F7" s="22">
        <v>0.85</v>
      </c>
      <c r="G7" s="21" t="str">
        <f t="shared" si="0"/>
        <v>Above</v>
      </c>
    </row>
    <row r="8" spans="1:7" ht="15" customHeight="1" x14ac:dyDescent="0.2">
      <c r="A8" s="21" t="s">
        <v>41</v>
      </c>
      <c r="B8" s="21" t="s">
        <v>42</v>
      </c>
      <c r="C8" s="21" t="s">
        <v>25</v>
      </c>
      <c r="D8" s="21">
        <v>1</v>
      </c>
      <c r="E8" s="22">
        <v>1</v>
      </c>
      <c r="F8" s="22">
        <v>0.85</v>
      </c>
      <c r="G8" s="21" t="str">
        <f t="shared" si="0"/>
        <v>Above</v>
      </c>
    </row>
    <row r="9" spans="1:7" ht="15" customHeight="1" x14ac:dyDescent="0.2">
      <c r="A9" s="21" t="s">
        <v>41</v>
      </c>
      <c r="B9" s="21" t="s">
        <v>42</v>
      </c>
      <c r="C9" s="21" t="s">
        <v>26</v>
      </c>
      <c r="D9" s="21"/>
      <c r="E9" s="21"/>
      <c r="F9" s="22">
        <v>0.85</v>
      </c>
      <c r="G9" s="21" t="str">
        <f t="shared" si="0"/>
        <v>No data</v>
      </c>
    </row>
    <row r="10" spans="1:7" ht="15" customHeight="1" x14ac:dyDescent="0.2">
      <c r="A10" s="21" t="s">
        <v>41</v>
      </c>
      <c r="B10" s="21" t="s">
        <v>42</v>
      </c>
      <c r="C10" s="21" t="s">
        <v>27</v>
      </c>
      <c r="D10" s="21"/>
      <c r="E10" s="21"/>
      <c r="F10" s="22">
        <v>0.85</v>
      </c>
      <c r="G10" s="21" t="str">
        <f t="shared" si="0"/>
        <v>No data</v>
      </c>
    </row>
    <row r="11" spans="1:7" ht="15" customHeight="1" x14ac:dyDescent="0.2">
      <c r="A11" s="21" t="s">
        <v>41</v>
      </c>
      <c r="B11" s="21" t="s">
        <v>42</v>
      </c>
      <c r="C11" s="21" t="s">
        <v>28</v>
      </c>
      <c r="D11" s="21">
        <v>2</v>
      </c>
      <c r="E11" s="22">
        <v>1</v>
      </c>
      <c r="F11" s="22">
        <v>0.85</v>
      </c>
      <c r="G11" s="21" t="str">
        <f t="shared" si="0"/>
        <v>Above</v>
      </c>
    </row>
    <row r="12" spans="1:7" ht="15" customHeight="1" x14ac:dyDescent="0.2">
      <c r="A12" s="21" t="s">
        <v>41</v>
      </c>
      <c r="B12" s="21" t="s">
        <v>42</v>
      </c>
      <c r="C12" s="21" t="s">
        <v>29</v>
      </c>
      <c r="D12" s="21">
        <v>2</v>
      </c>
      <c r="E12" s="22">
        <v>1</v>
      </c>
      <c r="F12" s="22">
        <v>0.85</v>
      </c>
      <c r="G12" s="21" t="str">
        <f t="shared" si="0"/>
        <v>Above</v>
      </c>
    </row>
    <row r="13" spans="1:7" ht="15" customHeight="1" x14ac:dyDescent="0.2">
      <c r="A13" s="21" t="s">
        <v>41</v>
      </c>
      <c r="B13" s="21" t="s">
        <v>42</v>
      </c>
      <c r="C13" s="21" t="s">
        <v>30</v>
      </c>
      <c r="D13" s="21">
        <v>2</v>
      </c>
      <c r="E13" s="22">
        <v>1</v>
      </c>
      <c r="F13" s="22">
        <v>0.85</v>
      </c>
      <c r="G13" s="21" t="str">
        <f t="shared" si="0"/>
        <v>Above</v>
      </c>
    </row>
    <row r="14" spans="1:7" ht="15" customHeight="1" x14ac:dyDescent="0.2">
      <c r="A14" s="21" t="s">
        <v>41</v>
      </c>
      <c r="B14" s="21" t="s">
        <v>42</v>
      </c>
      <c r="C14" s="21" t="s">
        <v>31</v>
      </c>
      <c r="D14" s="21">
        <v>2</v>
      </c>
      <c r="E14" s="22">
        <v>1</v>
      </c>
      <c r="F14" s="22">
        <v>0.85</v>
      </c>
      <c r="G14" s="21" t="str">
        <f t="shared" si="0"/>
        <v>Above</v>
      </c>
    </row>
    <row r="15" spans="1:7" ht="15" customHeight="1" x14ac:dyDescent="0.2">
      <c r="A15" s="21" t="s">
        <v>41</v>
      </c>
      <c r="B15" s="21" t="s">
        <v>42</v>
      </c>
      <c r="C15" s="21" t="s">
        <v>32</v>
      </c>
      <c r="D15" s="21">
        <v>10</v>
      </c>
      <c r="E15" s="22">
        <v>0.8</v>
      </c>
      <c r="F15" s="22">
        <v>0.85</v>
      </c>
      <c r="G15" s="21" t="str">
        <f t="shared" si="0"/>
        <v>Below</v>
      </c>
    </row>
    <row r="16" spans="1:7" ht="15" customHeight="1" x14ac:dyDescent="0.2">
      <c r="A16" s="21" t="s">
        <v>41</v>
      </c>
      <c r="B16" s="21" t="s">
        <v>42</v>
      </c>
      <c r="C16" s="21" t="s">
        <v>33</v>
      </c>
      <c r="D16" s="21">
        <v>6</v>
      </c>
      <c r="E16" s="22">
        <v>1</v>
      </c>
      <c r="F16" s="22">
        <v>0.85</v>
      </c>
      <c r="G16" s="21" t="str">
        <f t="shared" si="0"/>
        <v>Above</v>
      </c>
    </row>
    <row r="17" spans="1:7" ht="15" customHeight="1" x14ac:dyDescent="0.2">
      <c r="A17" s="21" t="s">
        <v>41</v>
      </c>
      <c r="B17" s="21" t="s">
        <v>42</v>
      </c>
      <c r="C17" s="21" t="s">
        <v>34</v>
      </c>
      <c r="D17" s="21">
        <v>36</v>
      </c>
      <c r="E17" s="22">
        <v>0.97</v>
      </c>
      <c r="F17" s="22">
        <v>0.85</v>
      </c>
      <c r="G17" s="21" t="str">
        <f t="shared" si="0"/>
        <v>Above</v>
      </c>
    </row>
    <row r="18" spans="1:7" ht="15" customHeight="1" x14ac:dyDescent="0.2">
      <c r="A18" s="21" t="s">
        <v>41</v>
      </c>
      <c r="B18" s="21" t="s">
        <v>42</v>
      </c>
      <c r="C18" s="21" t="s">
        <v>35</v>
      </c>
      <c r="D18" s="21">
        <v>7</v>
      </c>
      <c r="E18" s="22">
        <v>0.86</v>
      </c>
      <c r="F18" s="22">
        <v>0.85</v>
      </c>
      <c r="G18" s="21" t="str">
        <f t="shared" si="0"/>
        <v>Above</v>
      </c>
    </row>
    <row r="19" spans="1:7" ht="15" customHeight="1" x14ac:dyDescent="0.2">
      <c r="A19" s="21" t="s">
        <v>41</v>
      </c>
      <c r="B19" s="21" t="s">
        <v>42</v>
      </c>
      <c r="C19" s="21" t="s">
        <v>36</v>
      </c>
      <c r="D19" s="21">
        <v>1</v>
      </c>
      <c r="E19" s="22">
        <v>1</v>
      </c>
      <c r="F19" s="22">
        <v>0.85</v>
      </c>
      <c r="G19" s="21" t="str">
        <f t="shared" si="0"/>
        <v>Above</v>
      </c>
    </row>
    <row r="20" spans="1:7" ht="15" customHeight="1" x14ac:dyDescent="0.2">
      <c r="A20" s="21" t="s">
        <v>41</v>
      </c>
      <c r="B20" s="21" t="s">
        <v>42</v>
      </c>
      <c r="C20" s="21" t="s">
        <v>37</v>
      </c>
      <c r="D20" s="21">
        <v>1</v>
      </c>
      <c r="E20" s="22">
        <v>1</v>
      </c>
      <c r="F20" s="22">
        <v>0.85</v>
      </c>
      <c r="G20" s="21" t="str">
        <f t="shared" si="0"/>
        <v>Above</v>
      </c>
    </row>
    <row r="21" spans="1:7" ht="15" customHeight="1" x14ac:dyDescent="0.2">
      <c r="A21" s="21" t="s">
        <v>43</v>
      </c>
      <c r="B21" s="21" t="s">
        <v>44</v>
      </c>
      <c r="C21" s="21" t="s">
        <v>21</v>
      </c>
      <c r="D21" s="21">
        <v>2</v>
      </c>
      <c r="E21" s="22">
        <v>1</v>
      </c>
      <c r="F21" s="22">
        <v>0.85</v>
      </c>
      <c r="G21" s="21" t="str">
        <f t="shared" si="0"/>
        <v>Above</v>
      </c>
    </row>
    <row r="22" spans="1:7" ht="15" customHeight="1" x14ac:dyDescent="0.2">
      <c r="A22" s="21" t="s">
        <v>43</v>
      </c>
      <c r="B22" s="21" t="s">
        <v>44</v>
      </c>
      <c r="C22" s="21" t="s">
        <v>22</v>
      </c>
      <c r="D22" s="21">
        <v>9</v>
      </c>
      <c r="E22" s="22">
        <v>1</v>
      </c>
      <c r="F22" s="22">
        <v>0.85</v>
      </c>
      <c r="G22" s="21" t="str">
        <f t="shared" si="0"/>
        <v>Above</v>
      </c>
    </row>
    <row r="23" spans="1:7" ht="15" customHeight="1" x14ac:dyDescent="0.2">
      <c r="A23" s="21" t="s">
        <v>43</v>
      </c>
      <c r="B23" s="21" t="s">
        <v>44</v>
      </c>
      <c r="C23" s="21" t="s">
        <v>23</v>
      </c>
      <c r="D23" s="21">
        <v>2</v>
      </c>
      <c r="E23" s="22">
        <v>1</v>
      </c>
      <c r="F23" s="22">
        <v>0.85</v>
      </c>
      <c r="G23" s="21" t="str">
        <f t="shared" si="0"/>
        <v>Above</v>
      </c>
    </row>
    <row r="24" spans="1:7" ht="15" customHeight="1" x14ac:dyDescent="0.2">
      <c r="A24" s="21" t="s">
        <v>43</v>
      </c>
      <c r="B24" s="21" t="s">
        <v>44</v>
      </c>
      <c r="C24" s="21" t="s">
        <v>24</v>
      </c>
      <c r="D24" s="21">
        <v>5</v>
      </c>
      <c r="E24" s="22">
        <v>1</v>
      </c>
      <c r="F24" s="22">
        <v>0.85</v>
      </c>
      <c r="G24" s="21" t="str">
        <f t="shared" si="0"/>
        <v>Above</v>
      </c>
    </row>
    <row r="25" spans="1:7" ht="15" customHeight="1" x14ac:dyDescent="0.2">
      <c r="A25" s="21" t="s">
        <v>43</v>
      </c>
      <c r="B25" s="21" t="s">
        <v>44</v>
      </c>
      <c r="C25" s="21" t="s">
        <v>25</v>
      </c>
      <c r="D25" s="21">
        <v>6</v>
      </c>
      <c r="E25" s="22">
        <v>0.83</v>
      </c>
      <c r="F25" s="22">
        <v>0.85</v>
      </c>
      <c r="G25" s="21" t="str">
        <f t="shared" si="0"/>
        <v>Below</v>
      </c>
    </row>
    <row r="26" spans="1:7" ht="15" customHeight="1" x14ac:dyDescent="0.2">
      <c r="A26" s="21" t="s">
        <v>43</v>
      </c>
      <c r="B26" s="21" t="s">
        <v>44</v>
      </c>
      <c r="C26" s="21" t="s">
        <v>26</v>
      </c>
      <c r="D26" s="21"/>
      <c r="E26" s="21"/>
      <c r="F26" s="22">
        <v>0.85</v>
      </c>
      <c r="G26" s="21" t="str">
        <f t="shared" si="0"/>
        <v>No data</v>
      </c>
    </row>
    <row r="27" spans="1:7" ht="15" customHeight="1" x14ac:dyDescent="0.2">
      <c r="A27" s="21" t="s">
        <v>43</v>
      </c>
      <c r="B27" s="21" t="s">
        <v>44</v>
      </c>
      <c r="C27" s="21" t="s">
        <v>27</v>
      </c>
      <c r="D27" s="21"/>
      <c r="E27" s="21"/>
      <c r="F27" s="22">
        <v>0.85</v>
      </c>
      <c r="G27" s="21" t="str">
        <f t="shared" si="0"/>
        <v>No data</v>
      </c>
    </row>
    <row r="28" spans="1:7" ht="15" customHeight="1" x14ac:dyDescent="0.2">
      <c r="A28" s="21" t="s">
        <v>43</v>
      </c>
      <c r="B28" s="21" t="s">
        <v>44</v>
      </c>
      <c r="C28" s="21" t="s">
        <v>28</v>
      </c>
      <c r="D28" s="21"/>
      <c r="E28" s="21"/>
      <c r="F28" s="22">
        <v>0.85</v>
      </c>
      <c r="G28" s="21" t="str">
        <f t="shared" si="0"/>
        <v>No data</v>
      </c>
    </row>
    <row r="29" spans="1:7" ht="15" customHeight="1" x14ac:dyDescent="0.2">
      <c r="A29" s="21" t="s">
        <v>43</v>
      </c>
      <c r="B29" s="21" t="s">
        <v>44</v>
      </c>
      <c r="C29" s="21" t="s">
        <v>29</v>
      </c>
      <c r="D29" s="21">
        <v>1</v>
      </c>
      <c r="E29" s="22">
        <v>1</v>
      </c>
      <c r="F29" s="22">
        <v>0.85</v>
      </c>
      <c r="G29" s="21" t="str">
        <f t="shared" si="0"/>
        <v>Above</v>
      </c>
    </row>
    <row r="30" spans="1:7" ht="15" customHeight="1" x14ac:dyDescent="0.2">
      <c r="A30" s="21" t="s">
        <v>43</v>
      </c>
      <c r="B30" s="21" t="s">
        <v>44</v>
      </c>
      <c r="C30" s="21" t="s">
        <v>30</v>
      </c>
      <c r="D30" s="21"/>
      <c r="E30" s="21"/>
      <c r="F30" s="22">
        <v>0.85</v>
      </c>
      <c r="G30" s="21" t="str">
        <f t="shared" si="0"/>
        <v>No data</v>
      </c>
    </row>
    <row r="31" spans="1:7" ht="15" customHeight="1" x14ac:dyDescent="0.2">
      <c r="A31" s="21" t="s">
        <v>43</v>
      </c>
      <c r="B31" s="21" t="s">
        <v>44</v>
      </c>
      <c r="C31" s="21" t="s">
        <v>31</v>
      </c>
      <c r="D31" s="21">
        <v>4</v>
      </c>
      <c r="E31" s="22">
        <v>1</v>
      </c>
      <c r="F31" s="22">
        <v>0.85</v>
      </c>
      <c r="G31" s="21" t="str">
        <f t="shared" si="0"/>
        <v>Above</v>
      </c>
    </row>
    <row r="32" spans="1:7" ht="15" customHeight="1" x14ac:dyDescent="0.2">
      <c r="A32" s="21" t="s">
        <v>43</v>
      </c>
      <c r="B32" s="21" t="s">
        <v>44</v>
      </c>
      <c r="C32" s="21" t="s">
        <v>32</v>
      </c>
      <c r="D32" s="21">
        <v>5</v>
      </c>
      <c r="E32" s="22">
        <v>1</v>
      </c>
      <c r="F32" s="22">
        <v>0.85</v>
      </c>
      <c r="G32" s="21" t="str">
        <f t="shared" si="0"/>
        <v>Above</v>
      </c>
    </row>
    <row r="33" spans="1:7" ht="15" customHeight="1" x14ac:dyDescent="0.2">
      <c r="A33" s="21" t="s">
        <v>43</v>
      </c>
      <c r="B33" s="21" t="s">
        <v>44</v>
      </c>
      <c r="C33" s="21" t="s">
        <v>33</v>
      </c>
      <c r="D33" s="21">
        <v>10</v>
      </c>
      <c r="E33" s="22">
        <v>1</v>
      </c>
      <c r="F33" s="22">
        <v>0.85</v>
      </c>
      <c r="G33" s="21" t="str">
        <f t="shared" si="0"/>
        <v>Above</v>
      </c>
    </row>
    <row r="34" spans="1:7" ht="15" customHeight="1" x14ac:dyDescent="0.2">
      <c r="A34" s="21" t="s">
        <v>43</v>
      </c>
      <c r="B34" s="21" t="s">
        <v>44</v>
      </c>
      <c r="C34" s="21" t="s">
        <v>34</v>
      </c>
      <c r="D34" s="21">
        <v>6</v>
      </c>
      <c r="E34" s="22">
        <v>1</v>
      </c>
      <c r="F34" s="22">
        <v>0.85</v>
      </c>
      <c r="G34" s="21" t="str">
        <f t="shared" si="0"/>
        <v>Above</v>
      </c>
    </row>
    <row r="35" spans="1:7" ht="15" customHeight="1" x14ac:dyDescent="0.2">
      <c r="A35" s="21" t="s">
        <v>43</v>
      </c>
      <c r="B35" s="21" t="s">
        <v>44</v>
      </c>
      <c r="C35" s="21" t="s">
        <v>35</v>
      </c>
      <c r="D35" s="21">
        <v>3</v>
      </c>
      <c r="E35" s="22">
        <v>1</v>
      </c>
      <c r="F35" s="22">
        <v>0.85</v>
      </c>
      <c r="G35" s="21" t="str">
        <f t="shared" si="0"/>
        <v>Above</v>
      </c>
    </row>
    <row r="36" spans="1:7" ht="15" customHeight="1" x14ac:dyDescent="0.2">
      <c r="A36" s="21" t="s">
        <v>43</v>
      </c>
      <c r="B36" s="21" t="s">
        <v>44</v>
      </c>
      <c r="C36" s="21" t="s">
        <v>36</v>
      </c>
      <c r="D36" s="21">
        <v>8</v>
      </c>
      <c r="E36" s="22">
        <v>1</v>
      </c>
      <c r="F36" s="22">
        <v>0.85</v>
      </c>
      <c r="G36" s="21" t="str">
        <f t="shared" ref="G36:G67" si="1">IF(ISBLANK(D36),"No data",IF(E36&gt;=F36,"Above","Below"))</f>
        <v>Above</v>
      </c>
    </row>
    <row r="37" spans="1:7" ht="15" customHeight="1" x14ac:dyDescent="0.2">
      <c r="A37" s="21" t="s">
        <v>43</v>
      </c>
      <c r="B37" s="21" t="s">
        <v>44</v>
      </c>
      <c r="C37" s="21" t="s">
        <v>37</v>
      </c>
      <c r="D37" s="21">
        <v>2</v>
      </c>
      <c r="E37" s="22">
        <v>1</v>
      </c>
      <c r="F37" s="22">
        <v>0.85</v>
      </c>
      <c r="G37" s="21" t="str">
        <f t="shared" si="1"/>
        <v>Above</v>
      </c>
    </row>
    <row r="38" spans="1:7" ht="15" customHeight="1" x14ac:dyDescent="0.2">
      <c r="A38" s="21" t="s">
        <v>45</v>
      </c>
      <c r="B38" s="21" t="s">
        <v>46</v>
      </c>
      <c r="C38" s="21" t="s">
        <v>21</v>
      </c>
      <c r="D38" s="21">
        <v>22</v>
      </c>
      <c r="E38" s="22">
        <v>0.86</v>
      </c>
      <c r="F38" s="22">
        <v>0.85</v>
      </c>
      <c r="G38" s="21" t="str">
        <f t="shared" si="1"/>
        <v>Above</v>
      </c>
    </row>
    <row r="39" spans="1:7" ht="15" customHeight="1" x14ac:dyDescent="0.2">
      <c r="A39" s="21" t="s">
        <v>45</v>
      </c>
      <c r="B39" s="21" t="s">
        <v>46</v>
      </c>
      <c r="C39" s="21" t="s">
        <v>22</v>
      </c>
      <c r="D39" s="21">
        <v>12</v>
      </c>
      <c r="E39" s="22">
        <v>0.83</v>
      </c>
      <c r="F39" s="22">
        <v>0.85</v>
      </c>
      <c r="G39" s="21" t="str">
        <f t="shared" si="1"/>
        <v>Below</v>
      </c>
    </row>
    <row r="40" spans="1:7" ht="15" customHeight="1" x14ac:dyDescent="0.2">
      <c r="A40" s="21" t="s">
        <v>45</v>
      </c>
      <c r="B40" s="21" t="s">
        <v>46</v>
      </c>
      <c r="C40" s="21" t="s">
        <v>23</v>
      </c>
      <c r="D40" s="21">
        <v>5</v>
      </c>
      <c r="E40" s="22">
        <v>1</v>
      </c>
      <c r="F40" s="22">
        <v>0.85</v>
      </c>
      <c r="G40" s="21" t="str">
        <f t="shared" si="1"/>
        <v>Above</v>
      </c>
    </row>
    <row r="41" spans="1:7" ht="15" customHeight="1" x14ac:dyDescent="0.2">
      <c r="A41" s="21" t="s">
        <v>45</v>
      </c>
      <c r="B41" s="21" t="s">
        <v>46</v>
      </c>
      <c r="C41" s="21" t="s">
        <v>24</v>
      </c>
      <c r="D41" s="21">
        <v>9</v>
      </c>
      <c r="E41" s="22">
        <v>1</v>
      </c>
      <c r="F41" s="22">
        <v>0.85</v>
      </c>
      <c r="G41" s="21" t="str">
        <f t="shared" si="1"/>
        <v>Above</v>
      </c>
    </row>
    <row r="42" spans="1:7" ht="15" customHeight="1" x14ac:dyDescent="0.2">
      <c r="A42" s="21" t="s">
        <v>45</v>
      </c>
      <c r="B42" s="21" t="s">
        <v>46</v>
      </c>
      <c r="C42" s="21" t="s">
        <v>25</v>
      </c>
      <c r="D42" s="21">
        <v>4</v>
      </c>
      <c r="E42" s="22">
        <v>0.83</v>
      </c>
      <c r="F42" s="22">
        <v>0.85</v>
      </c>
      <c r="G42" s="21" t="str">
        <f t="shared" si="1"/>
        <v>Below</v>
      </c>
    </row>
    <row r="43" spans="1:7" ht="15" customHeight="1" x14ac:dyDescent="0.2">
      <c r="A43" s="21" t="s">
        <v>45</v>
      </c>
      <c r="B43" s="21" t="s">
        <v>46</v>
      </c>
      <c r="C43" s="21" t="s">
        <v>26</v>
      </c>
      <c r="D43" s="21"/>
      <c r="E43" s="21"/>
      <c r="F43" s="22">
        <v>0.85</v>
      </c>
      <c r="G43" s="21" t="str">
        <f t="shared" si="1"/>
        <v>No data</v>
      </c>
    </row>
    <row r="44" spans="1:7" ht="15" customHeight="1" x14ac:dyDescent="0.2">
      <c r="A44" s="21" t="s">
        <v>45</v>
      </c>
      <c r="B44" s="21" t="s">
        <v>46</v>
      </c>
      <c r="C44" s="21" t="s">
        <v>27</v>
      </c>
      <c r="D44" s="21"/>
      <c r="E44" s="21"/>
      <c r="F44" s="22">
        <v>0.85</v>
      </c>
      <c r="G44" s="21" t="str">
        <f t="shared" si="1"/>
        <v>No data</v>
      </c>
    </row>
    <row r="45" spans="1:7" ht="15" customHeight="1" x14ac:dyDescent="0.2">
      <c r="A45" s="21" t="s">
        <v>45</v>
      </c>
      <c r="B45" s="21" t="s">
        <v>46</v>
      </c>
      <c r="C45" s="21" t="s">
        <v>28</v>
      </c>
      <c r="D45" s="21"/>
      <c r="E45" s="21"/>
      <c r="F45" s="22">
        <v>0.85</v>
      </c>
      <c r="G45" s="21" t="str">
        <f t="shared" si="1"/>
        <v>No data</v>
      </c>
    </row>
    <row r="46" spans="1:7" ht="15" customHeight="1" x14ac:dyDescent="0.2">
      <c r="A46" s="21" t="s">
        <v>45</v>
      </c>
      <c r="B46" s="21" t="s">
        <v>46</v>
      </c>
      <c r="C46" s="21" t="s">
        <v>29</v>
      </c>
      <c r="D46" s="21"/>
      <c r="E46" s="21"/>
      <c r="F46" s="22">
        <v>0.85</v>
      </c>
      <c r="G46" s="21" t="str">
        <f t="shared" si="1"/>
        <v>No data</v>
      </c>
    </row>
    <row r="47" spans="1:7" ht="15" customHeight="1" x14ac:dyDescent="0.2">
      <c r="A47" s="21" t="s">
        <v>45</v>
      </c>
      <c r="B47" s="21" t="s">
        <v>46</v>
      </c>
      <c r="C47" s="21" t="s">
        <v>30</v>
      </c>
      <c r="D47" s="21"/>
      <c r="E47" s="21"/>
      <c r="F47" s="22">
        <v>0.85</v>
      </c>
      <c r="G47" s="21" t="str">
        <f t="shared" si="1"/>
        <v>No data</v>
      </c>
    </row>
    <row r="48" spans="1:7" ht="15" customHeight="1" x14ac:dyDescent="0.2">
      <c r="A48" s="21" t="s">
        <v>45</v>
      </c>
      <c r="B48" s="21" t="s">
        <v>46</v>
      </c>
      <c r="C48" s="21" t="s">
        <v>31</v>
      </c>
      <c r="D48" s="21">
        <v>2</v>
      </c>
      <c r="E48" s="22">
        <v>1</v>
      </c>
      <c r="F48" s="22">
        <v>0.85</v>
      </c>
      <c r="G48" s="21" t="str">
        <f t="shared" si="1"/>
        <v>Above</v>
      </c>
    </row>
    <row r="49" spans="1:7" ht="15" customHeight="1" x14ac:dyDescent="0.2">
      <c r="A49" s="21" t="s">
        <v>45</v>
      </c>
      <c r="B49" s="21" t="s">
        <v>46</v>
      </c>
      <c r="C49" s="21" t="s">
        <v>32</v>
      </c>
      <c r="D49" s="21">
        <v>5</v>
      </c>
      <c r="E49" s="22">
        <v>1</v>
      </c>
      <c r="F49" s="22">
        <v>0.85</v>
      </c>
      <c r="G49" s="21" t="str">
        <f t="shared" si="1"/>
        <v>Above</v>
      </c>
    </row>
    <row r="50" spans="1:7" ht="15" customHeight="1" x14ac:dyDescent="0.2">
      <c r="A50" s="21" t="s">
        <v>45</v>
      </c>
      <c r="B50" s="21" t="s">
        <v>46</v>
      </c>
      <c r="C50" s="21" t="s">
        <v>33</v>
      </c>
      <c r="D50" s="21">
        <v>2</v>
      </c>
      <c r="E50" s="22">
        <v>1</v>
      </c>
      <c r="F50" s="22">
        <v>0.85</v>
      </c>
      <c r="G50" s="21" t="str">
        <f t="shared" si="1"/>
        <v>Above</v>
      </c>
    </row>
    <row r="51" spans="1:7" ht="15" customHeight="1" x14ac:dyDescent="0.2">
      <c r="A51" s="21" t="s">
        <v>45</v>
      </c>
      <c r="B51" s="21" t="s">
        <v>46</v>
      </c>
      <c r="C51" s="21" t="s">
        <v>34</v>
      </c>
      <c r="D51" s="21">
        <v>5</v>
      </c>
      <c r="E51" s="22">
        <v>1</v>
      </c>
      <c r="F51" s="22">
        <v>0.85</v>
      </c>
      <c r="G51" s="21" t="str">
        <f t="shared" si="1"/>
        <v>Above</v>
      </c>
    </row>
    <row r="52" spans="1:7" ht="15" customHeight="1" x14ac:dyDescent="0.2">
      <c r="A52" s="21" t="s">
        <v>45</v>
      </c>
      <c r="B52" s="21" t="s">
        <v>46</v>
      </c>
      <c r="C52" s="21" t="s">
        <v>35</v>
      </c>
      <c r="D52" s="21">
        <v>6</v>
      </c>
      <c r="E52" s="22">
        <v>1</v>
      </c>
      <c r="F52" s="22">
        <v>0.85</v>
      </c>
      <c r="G52" s="21" t="str">
        <f t="shared" si="1"/>
        <v>Above</v>
      </c>
    </row>
    <row r="53" spans="1:7" ht="15" customHeight="1" x14ac:dyDescent="0.2">
      <c r="A53" s="21" t="s">
        <v>45</v>
      </c>
      <c r="B53" s="21" t="s">
        <v>46</v>
      </c>
      <c r="C53" s="21" t="s">
        <v>36</v>
      </c>
      <c r="D53" s="21">
        <v>1</v>
      </c>
      <c r="E53" s="22">
        <v>1</v>
      </c>
      <c r="F53" s="22">
        <v>0.85</v>
      </c>
      <c r="G53" s="21" t="str">
        <f t="shared" si="1"/>
        <v>Above</v>
      </c>
    </row>
    <row r="54" spans="1:7" ht="15" customHeight="1" x14ac:dyDescent="0.2">
      <c r="A54" s="21" t="s">
        <v>45</v>
      </c>
      <c r="B54" s="21" t="s">
        <v>46</v>
      </c>
      <c r="C54" s="21" t="s">
        <v>37</v>
      </c>
      <c r="D54" s="21"/>
      <c r="E54" s="21"/>
      <c r="F54" s="22">
        <v>0.85</v>
      </c>
      <c r="G54" s="21" t="str">
        <f t="shared" si="1"/>
        <v>No data</v>
      </c>
    </row>
    <row r="55" spans="1:7" ht="15" customHeight="1" x14ac:dyDescent="0.2">
      <c r="A55" s="21" t="s">
        <v>47</v>
      </c>
      <c r="B55" s="21" t="s">
        <v>48</v>
      </c>
      <c r="C55" s="21" t="s">
        <v>21</v>
      </c>
      <c r="D55" s="21">
        <v>10</v>
      </c>
      <c r="E55" s="22">
        <v>0.9</v>
      </c>
      <c r="F55" s="22">
        <v>0.85</v>
      </c>
      <c r="G55" s="21" t="str">
        <f t="shared" si="1"/>
        <v>Above</v>
      </c>
    </row>
    <row r="56" spans="1:7" ht="15" customHeight="1" x14ac:dyDescent="0.2">
      <c r="A56" s="21" t="s">
        <v>47</v>
      </c>
      <c r="B56" s="21" t="s">
        <v>48</v>
      </c>
      <c r="C56" s="21" t="s">
        <v>22</v>
      </c>
      <c r="D56" s="21">
        <v>4</v>
      </c>
      <c r="E56" s="22">
        <v>1</v>
      </c>
      <c r="F56" s="22">
        <v>0.85</v>
      </c>
      <c r="G56" s="21" t="str">
        <f t="shared" si="1"/>
        <v>Above</v>
      </c>
    </row>
    <row r="57" spans="1:7" ht="15" customHeight="1" x14ac:dyDescent="0.2">
      <c r="A57" s="21" t="s">
        <v>47</v>
      </c>
      <c r="B57" s="21" t="s">
        <v>48</v>
      </c>
      <c r="C57" s="21" t="s">
        <v>23</v>
      </c>
      <c r="D57" s="21">
        <v>4</v>
      </c>
      <c r="E57" s="22">
        <v>1</v>
      </c>
      <c r="F57" s="22">
        <v>0.85</v>
      </c>
      <c r="G57" s="21" t="str">
        <f t="shared" si="1"/>
        <v>Above</v>
      </c>
    </row>
    <row r="58" spans="1:7" ht="15" customHeight="1" x14ac:dyDescent="0.2">
      <c r="A58" s="21" t="s">
        <v>47</v>
      </c>
      <c r="B58" s="21" t="s">
        <v>48</v>
      </c>
      <c r="C58" s="21" t="s">
        <v>24</v>
      </c>
      <c r="D58" s="21">
        <v>8</v>
      </c>
      <c r="E58" s="22">
        <v>1</v>
      </c>
      <c r="F58" s="22">
        <v>0.85</v>
      </c>
      <c r="G58" s="21" t="str">
        <f t="shared" si="1"/>
        <v>Above</v>
      </c>
    </row>
    <row r="59" spans="1:7" ht="15" customHeight="1" x14ac:dyDescent="0.2">
      <c r="A59" s="21" t="s">
        <v>47</v>
      </c>
      <c r="B59" s="21" t="s">
        <v>48</v>
      </c>
      <c r="C59" s="21" t="s">
        <v>25</v>
      </c>
      <c r="D59" s="21">
        <v>4</v>
      </c>
      <c r="E59" s="22">
        <v>1</v>
      </c>
      <c r="F59" s="22">
        <v>0.85</v>
      </c>
      <c r="G59" s="21" t="str">
        <f t="shared" si="1"/>
        <v>Above</v>
      </c>
    </row>
    <row r="60" spans="1:7" ht="15" customHeight="1" x14ac:dyDescent="0.2">
      <c r="A60" s="21" t="s">
        <v>47</v>
      </c>
      <c r="B60" s="21" t="s">
        <v>48</v>
      </c>
      <c r="C60" s="21" t="s">
        <v>26</v>
      </c>
      <c r="D60" s="21">
        <v>3</v>
      </c>
      <c r="E60" s="22">
        <v>0.67</v>
      </c>
      <c r="F60" s="22">
        <v>0.85</v>
      </c>
      <c r="G60" s="21" t="str">
        <f t="shared" si="1"/>
        <v>Below</v>
      </c>
    </row>
    <row r="61" spans="1:7" ht="15" customHeight="1" x14ac:dyDescent="0.2">
      <c r="A61" s="21" t="s">
        <v>47</v>
      </c>
      <c r="B61" s="21" t="s">
        <v>48</v>
      </c>
      <c r="C61" s="21" t="s">
        <v>27</v>
      </c>
      <c r="D61" s="21"/>
      <c r="E61" s="21"/>
      <c r="F61" s="22">
        <v>0.85</v>
      </c>
      <c r="G61" s="21" t="str">
        <f t="shared" si="1"/>
        <v>No data</v>
      </c>
    </row>
    <row r="62" spans="1:7" ht="15" customHeight="1" x14ac:dyDescent="0.2">
      <c r="A62" s="21" t="s">
        <v>47</v>
      </c>
      <c r="B62" s="21" t="s">
        <v>48</v>
      </c>
      <c r="C62" s="21" t="s">
        <v>28</v>
      </c>
      <c r="D62" s="21"/>
      <c r="E62" s="21"/>
      <c r="F62" s="22">
        <v>0.85</v>
      </c>
      <c r="G62" s="21" t="str">
        <f t="shared" si="1"/>
        <v>No data</v>
      </c>
    </row>
    <row r="63" spans="1:7" ht="15" customHeight="1" x14ac:dyDescent="0.2">
      <c r="A63" s="21" t="s">
        <v>47</v>
      </c>
      <c r="B63" s="21" t="s">
        <v>48</v>
      </c>
      <c r="C63" s="21" t="s">
        <v>29</v>
      </c>
      <c r="D63" s="21">
        <v>1</v>
      </c>
      <c r="E63" s="22">
        <v>1</v>
      </c>
      <c r="F63" s="22">
        <v>0.85</v>
      </c>
      <c r="G63" s="21" t="str">
        <f t="shared" si="1"/>
        <v>Above</v>
      </c>
    </row>
    <row r="64" spans="1:7" ht="15" customHeight="1" x14ac:dyDescent="0.2">
      <c r="A64" s="21" t="s">
        <v>47</v>
      </c>
      <c r="B64" s="21" t="s">
        <v>48</v>
      </c>
      <c r="C64" s="21" t="s">
        <v>30</v>
      </c>
      <c r="D64" s="21">
        <v>1</v>
      </c>
      <c r="E64" s="22">
        <v>1</v>
      </c>
      <c r="F64" s="22">
        <v>0.85</v>
      </c>
      <c r="G64" s="21" t="str">
        <f t="shared" si="1"/>
        <v>Above</v>
      </c>
    </row>
    <row r="65" spans="1:7" ht="15" customHeight="1" x14ac:dyDescent="0.2">
      <c r="A65" s="21" t="s">
        <v>47</v>
      </c>
      <c r="B65" s="21" t="s">
        <v>48</v>
      </c>
      <c r="C65" s="21" t="s">
        <v>31</v>
      </c>
      <c r="D65" s="21">
        <v>7</v>
      </c>
      <c r="E65" s="22">
        <v>1</v>
      </c>
      <c r="F65" s="22">
        <v>0.85</v>
      </c>
      <c r="G65" s="21" t="str">
        <f t="shared" si="1"/>
        <v>Above</v>
      </c>
    </row>
    <row r="66" spans="1:7" ht="15" customHeight="1" x14ac:dyDescent="0.2">
      <c r="A66" s="21" t="s">
        <v>47</v>
      </c>
      <c r="B66" s="21" t="s">
        <v>48</v>
      </c>
      <c r="C66" s="21" t="s">
        <v>32</v>
      </c>
      <c r="D66" s="21">
        <v>4</v>
      </c>
      <c r="E66" s="22">
        <v>1</v>
      </c>
      <c r="F66" s="22">
        <v>0.85</v>
      </c>
      <c r="G66" s="21" t="str">
        <f t="shared" si="1"/>
        <v>Above</v>
      </c>
    </row>
    <row r="67" spans="1:7" ht="15" customHeight="1" x14ac:dyDescent="0.2">
      <c r="A67" s="21" t="s">
        <v>47</v>
      </c>
      <c r="B67" s="21" t="s">
        <v>48</v>
      </c>
      <c r="C67" s="21" t="s">
        <v>33</v>
      </c>
      <c r="D67" s="21">
        <v>14</v>
      </c>
      <c r="E67" s="22">
        <v>1</v>
      </c>
      <c r="F67" s="22">
        <v>0.85</v>
      </c>
      <c r="G67" s="21" t="str">
        <f t="shared" si="1"/>
        <v>Above</v>
      </c>
    </row>
    <row r="68" spans="1:7" ht="15" customHeight="1" x14ac:dyDescent="0.2">
      <c r="A68" s="21" t="s">
        <v>47</v>
      </c>
      <c r="B68" s="21" t="s">
        <v>48</v>
      </c>
      <c r="C68" s="21" t="s">
        <v>34</v>
      </c>
      <c r="D68" s="21">
        <v>7</v>
      </c>
      <c r="E68" s="22">
        <v>1</v>
      </c>
      <c r="F68" s="22">
        <v>0.85</v>
      </c>
      <c r="G68" s="21" t="str">
        <f t="shared" ref="G68:G99" si="2">IF(ISBLANK(D68),"No data",IF(E68&gt;=F68,"Above","Below"))</f>
        <v>Above</v>
      </c>
    </row>
    <row r="69" spans="1:7" ht="15" customHeight="1" x14ac:dyDescent="0.2">
      <c r="A69" s="21" t="s">
        <v>47</v>
      </c>
      <c r="B69" s="21" t="s">
        <v>48</v>
      </c>
      <c r="C69" s="21" t="s">
        <v>35</v>
      </c>
      <c r="D69" s="21">
        <v>10</v>
      </c>
      <c r="E69" s="22">
        <v>1</v>
      </c>
      <c r="F69" s="22">
        <v>0.85</v>
      </c>
      <c r="G69" s="21" t="str">
        <f t="shared" si="2"/>
        <v>Above</v>
      </c>
    </row>
    <row r="70" spans="1:7" ht="15" customHeight="1" x14ac:dyDescent="0.2">
      <c r="A70" s="21" t="s">
        <v>47</v>
      </c>
      <c r="B70" s="21" t="s">
        <v>48</v>
      </c>
      <c r="C70" s="21" t="s">
        <v>36</v>
      </c>
      <c r="D70" s="21">
        <v>1</v>
      </c>
      <c r="E70" s="22">
        <v>1</v>
      </c>
      <c r="F70" s="22">
        <v>0.85</v>
      </c>
      <c r="G70" s="21" t="str">
        <f t="shared" si="2"/>
        <v>Above</v>
      </c>
    </row>
    <row r="71" spans="1:7" ht="15" customHeight="1" x14ac:dyDescent="0.2">
      <c r="A71" s="21" t="s">
        <v>47</v>
      </c>
      <c r="B71" s="21" t="s">
        <v>48</v>
      </c>
      <c r="C71" s="21" t="s">
        <v>37</v>
      </c>
      <c r="D71" s="21">
        <v>3</v>
      </c>
      <c r="E71" s="22">
        <v>1</v>
      </c>
      <c r="F71" s="22">
        <v>0.85</v>
      </c>
      <c r="G71" s="21" t="str">
        <f t="shared" si="2"/>
        <v>Above</v>
      </c>
    </row>
    <row r="72" spans="1:7" ht="15" customHeight="1" x14ac:dyDescent="0.2">
      <c r="A72" s="21" t="s">
        <v>49</v>
      </c>
      <c r="B72" s="21" t="s">
        <v>50</v>
      </c>
      <c r="C72" s="21" t="s">
        <v>21</v>
      </c>
      <c r="D72" s="21">
        <v>10</v>
      </c>
      <c r="E72" s="22">
        <v>0.9</v>
      </c>
      <c r="F72" s="22">
        <v>0.85</v>
      </c>
      <c r="G72" s="21" t="str">
        <f t="shared" si="2"/>
        <v>Above</v>
      </c>
    </row>
    <row r="73" spans="1:7" ht="15" customHeight="1" x14ac:dyDescent="0.2">
      <c r="A73" s="21" t="s">
        <v>49</v>
      </c>
      <c r="B73" s="21" t="s">
        <v>50</v>
      </c>
      <c r="C73" s="21" t="s">
        <v>22</v>
      </c>
      <c r="D73" s="21">
        <v>1</v>
      </c>
      <c r="E73" s="22">
        <v>1</v>
      </c>
      <c r="F73" s="22">
        <v>0.85</v>
      </c>
      <c r="G73" s="21" t="str">
        <f t="shared" si="2"/>
        <v>Above</v>
      </c>
    </row>
    <row r="74" spans="1:7" ht="15" customHeight="1" x14ac:dyDescent="0.2">
      <c r="A74" s="21" t="s">
        <v>49</v>
      </c>
      <c r="B74" s="21" t="s">
        <v>50</v>
      </c>
      <c r="C74" s="21" t="s">
        <v>23</v>
      </c>
      <c r="D74" s="21">
        <v>5</v>
      </c>
      <c r="E74" s="22">
        <v>0.8</v>
      </c>
      <c r="F74" s="22">
        <v>0.85</v>
      </c>
      <c r="G74" s="21" t="str">
        <f t="shared" si="2"/>
        <v>Below</v>
      </c>
    </row>
    <row r="75" spans="1:7" ht="15" customHeight="1" x14ac:dyDescent="0.2">
      <c r="A75" s="21" t="s">
        <v>49</v>
      </c>
      <c r="B75" s="21" t="s">
        <v>50</v>
      </c>
      <c r="C75" s="21" t="s">
        <v>24</v>
      </c>
      <c r="D75" s="21"/>
      <c r="E75" s="21"/>
      <c r="F75" s="22">
        <v>0.85</v>
      </c>
      <c r="G75" s="21" t="str">
        <f t="shared" si="2"/>
        <v>No data</v>
      </c>
    </row>
    <row r="76" spans="1:7" ht="15" customHeight="1" x14ac:dyDescent="0.2">
      <c r="A76" s="21" t="s">
        <v>49</v>
      </c>
      <c r="B76" s="21" t="s">
        <v>50</v>
      </c>
      <c r="C76" s="21" t="s">
        <v>25</v>
      </c>
      <c r="D76" s="21">
        <v>5</v>
      </c>
      <c r="E76" s="22">
        <v>1</v>
      </c>
      <c r="F76" s="22">
        <v>0.85</v>
      </c>
      <c r="G76" s="21" t="str">
        <f t="shared" si="2"/>
        <v>Above</v>
      </c>
    </row>
    <row r="77" spans="1:7" ht="15" customHeight="1" x14ac:dyDescent="0.2">
      <c r="A77" s="21" t="s">
        <v>49</v>
      </c>
      <c r="B77" s="21" t="s">
        <v>50</v>
      </c>
      <c r="C77" s="21" t="s">
        <v>26</v>
      </c>
      <c r="D77" s="21">
        <v>5</v>
      </c>
      <c r="E77" s="22">
        <v>1</v>
      </c>
      <c r="F77" s="22">
        <v>0.85</v>
      </c>
      <c r="G77" s="21" t="str">
        <f t="shared" si="2"/>
        <v>Above</v>
      </c>
    </row>
    <row r="78" spans="1:7" ht="15" customHeight="1" x14ac:dyDescent="0.2">
      <c r="A78" s="21" t="s">
        <v>49</v>
      </c>
      <c r="B78" s="21" t="s">
        <v>50</v>
      </c>
      <c r="C78" s="21" t="s">
        <v>27</v>
      </c>
      <c r="D78" s="21"/>
      <c r="E78" s="21"/>
      <c r="F78" s="22">
        <v>0.85</v>
      </c>
      <c r="G78" s="21" t="str">
        <f t="shared" si="2"/>
        <v>No data</v>
      </c>
    </row>
    <row r="79" spans="1:7" ht="15" customHeight="1" x14ac:dyDescent="0.2">
      <c r="A79" s="21" t="s">
        <v>49</v>
      </c>
      <c r="B79" s="21" t="s">
        <v>50</v>
      </c>
      <c r="C79" s="21" t="s">
        <v>28</v>
      </c>
      <c r="D79" s="21"/>
      <c r="E79" s="21"/>
      <c r="F79" s="22">
        <v>0.85</v>
      </c>
      <c r="G79" s="21" t="str">
        <f t="shared" si="2"/>
        <v>No data</v>
      </c>
    </row>
    <row r="80" spans="1:7" ht="15" customHeight="1" x14ac:dyDescent="0.2">
      <c r="A80" s="21" t="s">
        <v>49</v>
      </c>
      <c r="B80" s="21" t="s">
        <v>50</v>
      </c>
      <c r="C80" s="21" t="s">
        <v>29</v>
      </c>
      <c r="D80" s="21">
        <v>1</v>
      </c>
      <c r="E80" s="22">
        <v>1</v>
      </c>
      <c r="F80" s="22">
        <v>0.85</v>
      </c>
      <c r="G80" s="21" t="str">
        <f t="shared" si="2"/>
        <v>Above</v>
      </c>
    </row>
    <row r="81" spans="1:7" ht="15" customHeight="1" x14ac:dyDescent="0.2">
      <c r="A81" s="21" t="s">
        <v>49</v>
      </c>
      <c r="B81" s="21" t="s">
        <v>50</v>
      </c>
      <c r="C81" s="21" t="s">
        <v>30</v>
      </c>
      <c r="D81" s="21">
        <v>7</v>
      </c>
      <c r="E81" s="22">
        <v>1</v>
      </c>
      <c r="F81" s="22">
        <v>0.85</v>
      </c>
      <c r="G81" s="21" t="str">
        <f t="shared" si="2"/>
        <v>Above</v>
      </c>
    </row>
    <row r="82" spans="1:7" ht="15" customHeight="1" x14ac:dyDescent="0.2">
      <c r="A82" s="21" t="s">
        <v>49</v>
      </c>
      <c r="B82" s="21" t="s">
        <v>50</v>
      </c>
      <c r="C82" s="21" t="s">
        <v>31</v>
      </c>
      <c r="D82" s="21">
        <v>7</v>
      </c>
      <c r="E82" s="22">
        <v>1</v>
      </c>
      <c r="F82" s="22">
        <v>0.85</v>
      </c>
      <c r="G82" s="21" t="str">
        <f t="shared" si="2"/>
        <v>Above</v>
      </c>
    </row>
    <row r="83" spans="1:7" ht="15" customHeight="1" x14ac:dyDescent="0.2">
      <c r="A83" s="21" t="s">
        <v>49</v>
      </c>
      <c r="B83" s="21" t="s">
        <v>50</v>
      </c>
      <c r="C83" s="21" t="s">
        <v>32</v>
      </c>
      <c r="D83" s="21">
        <v>6</v>
      </c>
      <c r="E83" s="22">
        <v>1</v>
      </c>
      <c r="F83" s="22">
        <v>0.85</v>
      </c>
      <c r="G83" s="21" t="str">
        <f t="shared" si="2"/>
        <v>Above</v>
      </c>
    </row>
    <row r="84" spans="1:7" ht="15" customHeight="1" x14ac:dyDescent="0.2">
      <c r="A84" s="21" t="s">
        <v>49</v>
      </c>
      <c r="B84" s="21" t="s">
        <v>50</v>
      </c>
      <c r="C84" s="21" t="s">
        <v>33</v>
      </c>
      <c r="D84" s="21">
        <v>5</v>
      </c>
      <c r="E84" s="22">
        <v>0.8</v>
      </c>
      <c r="F84" s="22">
        <v>0.85</v>
      </c>
      <c r="G84" s="21" t="str">
        <f t="shared" si="2"/>
        <v>Below</v>
      </c>
    </row>
    <row r="85" spans="1:7" ht="15" customHeight="1" x14ac:dyDescent="0.2">
      <c r="A85" s="21" t="s">
        <v>49</v>
      </c>
      <c r="B85" s="21" t="s">
        <v>50</v>
      </c>
      <c r="C85" s="21" t="s">
        <v>34</v>
      </c>
      <c r="D85" s="21">
        <v>6</v>
      </c>
      <c r="E85" s="22">
        <v>1</v>
      </c>
      <c r="F85" s="22">
        <v>0.85</v>
      </c>
      <c r="G85" s="21" t="str">
        <f t="shared" si="2"/>
        <v>Above</v>
      </c>
    </row>
    <row r="86" spans="1:7" ht="15" customHeight="1" x14ac:dyDescent="0.2">
      <c r="A86" s="21" t="s">
        <v>49</v>
      </c>
      <c r="B86" s="21" t="s">
        <v>50</v>
      </c>
      <c r="C86" s="21" t="s">
        <v>35</v>
      </c>
      <c r="D86" s="21">
        <v>9</v>
      </c>
      <c r="E86" s="22">
        <v>1</v>
      </c>
      <c r="F86" s="22">
        <v>0.85</v>
      </c>
      <c r="G86" s="21" t="str">
        <f t="shared" si="2"/>
        <v>Above</v>
      </c>
    </row>
    <row r="87" spans="1:7" ht="15" customHeight="1" x14ac:dyDescent="0.2">
      <c r="A87" s="21" t="s">
        <v>49</v>
      </c>
      <c r="B87" s="21" t="s">
        <v>50</v>
      </c>
      <c r="C87" s="21" t="s">
        <v>36</v>
      </c>
      <c r="D87" s="21">
        <v>4</v>
      </c>
      <c r="E87" s="22">
        <v>1</v>
      </c>
      <c r="F87" s="22">
        <v>0.85</v>
      </c>
      <c r="G87" s="21" t="str">
        <f t="shared" si="2"/>
        <v>Above</v>
      </c>
    </row>
    <row r="88" spans="1:7" ht="15" customHeight="1" x14ac:dyDescent="0.2">
      <c r="A88" s="21" t="s">
        <v>49</v>
      </c>
      <c r="B88" s="21" t="s">
        <v>50</v>
      </c>
      <c r="C88" s="21" t="s">
        <v>37</v>
      </c>
      <c r="D88" s="21">
        <v>4</v>
      </c>
      <c r="E88" s="22">
        <v>1</v>
      </c>
      <c r="F88" s="22">
        <v>0.85</v>
      </c>
      <c r="G88" s="21" t="str">
        <f t="shared" si="2"/>
        <v>Above</v>
      </c>
    </row>
    <row r="89" spans="1:7" ht="15" customHeight="1" x14ac:dyDescent="0.2">
      <c r="A89" s="21" t="s">
        <v>51</v>
      </c>
      <c r="B89" s="21" t="s">
        <v>52</v>
      </c>
      <c r="C89" s="21" t="s">
        <v>21</v>
      </c>
      <c r="D89" s="21"/>
      <c r="E89" s="21"/>
      <c r="F89" s="22">
        <v>0.85</v>
      </c>
      <c r="G89" s="21" t="str">
        <f t="shared" si="2"/>
        <v>No data</v>
      </c>
    </row>
    <row r="90" spans="1:7" ht="15" customHeight="1" x14ac:dyDescent="0.2">
      <c r="A90" s="21" t="s">
        <v>51</v>
      </c>
      <c r="B90" s="21" t="s">
        <v>52</v>
      </c>
      <c r="C90" s="21" t="s">
        <v>22</v>
      </c>
      <c r="D90" s="21">
        <v>7</v>
      </c>
      <c r="E90" s="22">
        <v>0.86</v>
      </c>
      <c r="F90" s="22">
        <v>0.85</v>
      </c>
      <c r="G90" s="21" t="str">
        <f t="shared" si="2"/>
        <v>Above</v>
      </c>
    </row>
    <row r="91" spans="1:7" ht="15" customHeight="1" x14ac:dyDescent="0.2">
      <c r="A91" s="21" t="s">
        <v>51</v>
      </c>
      <c r="B91" s="21" t="s">
        <v>52</v>
      </c>
      <c r="C91" s="21" t="s">
        <v>23</v>
      </c>
      <c r="D91" s="21">
        <v>3</v>
      </c>
      <c r="E91" s="22">
        <v>1</v>
      </c>
      <c r="F91" s="22">
        <v>0.85</v>
      </c>
      <c r="G91" s="21" t="str">
        <f t="shared" si="2"/>
        <v>Above</v>
      </c>
    </row>
    <row r="92" spans="1:7" ht="15" customHeight="1" x14ac:dyDescent="0.2">
      <c r="A92" s="21" t="s">
        <v>51</v>
      </c>
      <c r="B92" s="21" t="s">
        <v>52</v>
      </c>
      <c r="C92" s="21" t="s">
        <v>24</v>
      </c>
      <c r="D92" s="21">
        <v>2</v>
      </c>
      <c r="E92" s="22">
        <v>1</v>
      </c>
      <c r="F92" s="22">
        <v>0.85</v>
      </c>
      <c r="G92" s="21" t="str">
        <f t="shared" si="2"/>
        <v>Above</v>
      </c>
    </row>
    <row r="93" spans="1:7" ht="15" customHeight="1" x14ac:dyDescent="0.2">
      <c r="A93" s="21" t="s">
        <v>51</v>
      </c>
      <c r="B93" s="21" t="s">
        <v>52</v>
      </c>
      <c r="C93" s="21" t="s">
        <v>25</v>
      </c>
      <c r="D93" s="21"/>
      <c r="E93" s="21"/>
      <c r="F93" s="22">
        <v>0.85</v>
      </c>
      <c r="G93" s="21" t="str">
        <f t="shared" si="2"/>
        <v>No data</v>
      </c>
    </row>
    <row r="94" spans="1:7" ht="15" customHeight="1" x14ac:dyDescent="0.2">
      <c r="A94" s="21" t="s">
        <v>51</v>
      </c>
      <c r="B94" s="21" t="s">
        <v>52</v>
      </c>
      <c r="C94" s="21" t="s">
        <v>26</v>
      </c>
      <c r="D94" s="21">
        <v>3</v>
      </c>
      <c r="E94" s="22">
        <v>1</v>
      </c>
      <c r="F94" s="22">
        <v>0.85</v>
      </c>
      <c r="G94" s="21" t="str">
        <f t="shared" si="2"/>
        <v>Above</v>
      </c>
    </row>
    <row r="95" spans="1:7" ht="15" customHeight="1" x14ac:dyDescent="0.2">
      <c r="A95" s="21" t="s">
        <v>51</v>
      </c>
      <c r="B95" s="21" t="s">
        <v>52</v>
      </c>
      <c r="C95" s="21" t="s">
        <v>27</v>
      </c>
      <c r="D95" s="21">
        <v>4</v>
      </c>
      <c r="E95" s="22">
        <v>1</v>
      </c>
      <c r="F95" s="22">
        <v>0.85</v>
      </c>
      <c r="G95" s="21" t="str">
        <f t="shared" si="2"/>
        <v>Above</v>
      </c>
    </row>
    <row r="96" spans="1:7" ht="15" customHeight="1" x14ac:dyDescent="0.2">
      <c r="A96" s="21" t="s">
        <v>51</v>
      </c>
      <c r="B96" s="21" t="s">
        <v>52</v>
      </c>
      <c r="C96" s="21" t="s">
        <v>28</v>
      </c>
      <c r="D96" s="21">
        <v>2</v>
      </c>
      <c r="E96" s="22">
        <v>1</v>
      </c>
      <c r="F96" s="22">
        <v>0.85</v>
      </c>
      <c r="G96" s="21" t="str">
        <f t="shared" si="2"/>
        <v>Above</v>
      </c>
    </row>
    <row r="97" spans="1:7" ht="15" customHeight="1" x14ac:dyDescent="0.2">
      <c r="A97" s="21" t="s">
        <v>51</v>
      </c>
      <c r="B97" s="21" t="s">
        <v>52</v>
      </c>
      <c r="C97" s="21" t="s">
        <v>29</v>
      </c>
      <c r="D97" s="21">
        <v>12</v>
      </c>
      <c r="E97" s="22">
        <v>0.75</v>
      </c>
      <c r="F97" s="22">
        <v>0.85</v>
      </c>
      <c r="G97" s="21" t="str">
        <f t="shared" si="2"/>
        <v>Below</v>
      </c>
    </row>
    <row r="98" spans="1:7" ht="15" customHeight="1" x14ac:dyDescent="0.2">
      <c r="A98" s="21" t="s">
        <v>51</v>
      </c>
      <c r="B98" s="21" t="s">
        <v>52</v>
      </c>
      <c r="C98" s="21" t="s">
        <v>30</v>
      </c>
      <c r="D98" s="21">
        <v>7</v>
      </c>
      <c r="E98" s="22">
        <v>0.71</v>
      </c>
      <c r="F98" s="22">
        <v>0.85</v>
      </c>
      <c r="G98" s="21" t="str">
        <f t="shared" si="2"/>
        <v>Below</v>
      </c>
    </row>
    <row r="99" spans="1:7" ht="15" customHeight="1" x14ac:dyDescent="0.2">
      <c r="A99" s="21" t="s">
        <v>51</v>
      </c>
      <c r="B99" s="21" t="s">
        <v>52</v>
      </c>
      <c r="C99" s="21" t="s">
        <v>31</v>
      </c>
      <c r="D99" s="21">
        <v>15</v>
      </c>
      <c r="E99" s="22">
        <v>0.8</v>
      </c>
      <c r="F99" s="22">
        <v>0.85</v>
      </c>
      <c r="G99" s="21" t="str">
        <f t="shared" si="2"/>
        <v>Below</v>
      </c>
    </row>
    <row r="100" spans="1:7" ht="15" customHeight="1" x14ac:dyDescent="0.2">
      <c r="A100" s="21" t="s">
        <v>51</v>
      </c>
      <c r="B100" s="21" t="s">
        <v>52</v>
      </c>
      <c r="C100" s="21" t="s">
        <v>32</v>
      </c>
      <c r="D100" s="21">
        <v>1</v>
      </c>
      <c r="E100" s="22">
        <v>1</v>
      </c>
      <c r="F100" s="22">
        <v>0.85</v>
      </c>
      <c r="G100" s="21" t="str">
        <f t="shared" ref="G100:G131" si="3">IF(ISBLANK(D100),"No data",IF(E100&gt;=F100,"Above","Below"))</f>
        <v>Above</v>
      </c>
    </row>
    <row r="101" spans="1:7" ht="15" customHeight="1" x14ac:dyDescent="0.2">
      <c r="A101" s="21" t="s">
        <v>51</v>
      </c>
      <c r="B101" s="21" t="s">
        <v>52</v>
      </c>
      <c r="C101" s="21" t="s">
        <v>33</v>
      </c>
      <c r="D101" s="21">
        <v>6</v>
      </c>
      <c r="E101" s="22">
        <v>0.83</v>
      </c>
      <c r="F101" s="22">
        <v>0.85</v>
      </c>
      <c r="G101" s="21" t="str">
        <f t="shared" si="3"/>
        <v>Below</v>
      </c>
    </row>
    <row r="102" spans="1:7" ht="15" customHeight="1" x14ac:dyDescent="0.2">
      <c r="A102" s="21" t="s">
        <v>51</v>
      </c>
      <c r="B102" s="21" t="s">
        <v>52</v>
      </c>
      <c r="C102" s="21" t="s">
        <v>34</v>
      </c>
      <c r="D102" s="21">
        <v>3</v>
      </c>
      <c r="E102" s="22">
        <v>1</v>
      </c>
      <c r="F102" s="22">
        <v>0.85</v>
      </c>
      <c r="G102" s="21" t="str">
        <f t="shared" si="3"/>
        <v>Above</v>
      </c>
    </row>
    <row r="103" spans="1:7" ht="15" customHeight="1" x14ac:dyDescent="0.2">
      <c r="A103" s="21" t="s">
        <v>51</v>
      </c>
      <c r="B103" s="21" t="s">
        <v>52</v>
      </c>
      <c r="C103" s="21" t="s">
        <v>35</v>
      </c>
      <c r="D103" s="21">
        <v>27</v>
      </c>
      <c r="E103" s="22">
        <v>0.96</v>
      </c>
      <c r="F103" s="22">
        <v>0.85</v>
      </c>
      <c r="G103" s="21" t="str">
        <f t="shared" si="3"/>
        <v>Above</v>
      </c>
    </row>
    <row r="104" spans="1:7" ht="15" customHeight="1" x14ac:dyDescent="0.2">
      <c r="A104" s="21" t="s">
        <v>51</v>
      </c>
      <c r="B104" s="21" t="s">
        <v>52</v>
      </c>
      <c r="C104" s="21" t="s">
        <v>36</v>
      </c>
      <c r="D104" s="21">
        <v>13</v>
      </c>
      <c r="E104" s="22">
        <v>0.46</v>
      </c>
      <c r="F104" s="22">
        <v>0.85</v>
      </c>
      <c r="G104" s="21" t="str">
        <f t="shared" si="3"/>
        <v>Below</v>
      </c>
    </row>
    <row r="105" spans="1:7" ht="15" customHeight="1" x14ac:dyDescent="0.2">
      <c r="A105" s="21" t="s">
        <v>51</v>
      </c>
      <c r="B105" s="21" t="s">
        <v>52</v>
      </c>
      <c r="C105" s="21" t="s">
        <v>37</v>
      </c>
      <c r="D105" s="21">
        <v>16</v>
      </c>
      <c r="E105" s="22">
        <v>0.63</v>
      </c>
      <c r="F105" s="22">
        <v>0.85</v>
      </c>
      <c r="G105" s="21" t="str">
        <f t="shared" si="3"/>
        <v>Below</v>
      </c>
    </row>
    <row r="106" spans="1:7" ht="15" customHeight="1" x14ac:dyDescent="0.2">
      <c r="A106" s="21" t="s">
        <v>53</v>
      </c>
      <c r="B106" s="21" t="s">
        <v>54</v>
      </c>
      <c r="C106" s="21" t="s">
        <v>21</v>
      </c>
      <c r="D106" s="21">
        <v>16</v>
      </c>
      <c r="E106" s="22">
        <v>0.94</v>
      </c>
      <c r="F106" s="22">
        <v>0.85</v>
      </c>
      <c r="G106" s="21" t="str">
        <f t="shared" si="3"/>
        <v>Above</v>
      </c>
    </row>
    <row r="107" spans="1:7" ht="15" customHeight="1" x14ac:dyDescent="0.2">
      <c r="A107" s="21" t="s">
        <v>53</v>
      </c>
      <c r="B107" s="21" t="s">
        <v>54</v>
      </c>
      <c r="C107" s="21" t="s">
        <v>22</v>
      </c>
      <c r="D107" s="21">
        <v>20</v>
      </c>
      <c r="E107" s="22">
        <v>0.85</v>
      </c>
      <c r="F107" s="22">
        <v>0.85</v>
      </c>
      <c r="G107" s="21" t="str">
        <f t="shared" si="3"/>
        <v>Above</v>
      </c>
    </row>
    <row r="108" spans="1:7" ht="15" customHeight="1" x14ac:dyDescent="0.2">
      <c r="A108" s="21" t="s">
        <v>53</v>
      </c>
      <c r="B108" s="21" t="s">
        <v>54</v>
      </c>
      <c r="C108" s="21" t="s">
        <v>23</v>
      </c>
      <c r="D108" s="21">
        <v>6</v>
      </c>
      <c r="E108" s="22">
        <v>1</v>
      </c>
      <c r="F108" s="22">
        <v>0.85</v>
      </c>
      <c r="G108" s="21" t="str">
        <f t="shared" si="3"/>
        <v>Above</v>
      </c>
    </row>
    <row r="109" spans="1:7" ht="15" customHeight="1" x14ac:dyDescent="0.2">
      <c r="A109" s="21" t="s">
        <v>53</v>
      </c>
      <c r="B109" s="21" t="s">
        <v>54</v>
      </c>
      <c r="C109" s="21" t="s">
        <v>24</v>
      </c>
      <c r="D109" s="21">
        <v>13</v>
      </c>
      <c r="E109" s="22">
        <v>1</v>
      </c>
      <c r="F109" s="22">
        <v>0.85</v>
      </c>
      <c r="G109" s="21" t="str">
        <f t="shared" si="3"/>
        <v>Above</v>
      </c>
    </row>
    <row r="110" spans="1:7" ht="15" customHeight="1" x14ac:dyDescent="0.2">
      <c r="A110" s="21" t="s">
        <v>53</v>
      </c>
      <c r="B110" s="21" t="s">
        <v>54</v>
      </c>
      <c r="C110" s="21" t="s">
        <v>25</v>
      </c>
      <c r="D110" s="21">
        <v>8</v>
      </c>
      <c r="E110" s="22">
        <v>1</v>
      </c>
      <c r="F110" s="22">
        <v>0.85</v>
      </c>
      <c r="G110" s="21" t="str">
        <f t="shared" si="3"/>
        <v>Above</v>
      </c>
    </row>
    <row r="111" spans="1:7" ht="15" customHeight="1" x14ac:dyDescent="0.2">
      <c r="A111" s="21" t="s">
        <v>53</v>
      </c>
      <c r="B111" s="21" t="s">
        <v>54</v>
      </c>
      <c r="C111" s="21" t="s">
        <v>26</v>
      </c>
      <c r="D111" s="21"/>
      <c r="E111" s="21"/>
      <c r="F111" s="22">
        <v>0.85</v>
      </c>
      <c r="G111" s="21" t="str">
        <f t="shared" si="3"/>
        <v>No data</v>
      </c>
    </row>
    <row r="112" spans="1:7" ht="15" customHeight="1" x14ac:dyDescent="0.2">
      <c r="A112" s="21" t="s">
        <v>53</v>
      </c>
      <c r="B112" s="21" t="s">
        <v>54</v>
      </c>
      <c r="C112" s="21" t="s">
        <v>27</v>
      </c>
      <c r="D112" s="21"/>
      <c r="E112" s="21"/>
      <c r="F112" s="22">
        <v>0.85</v>
      </c>
      <c r="G112" s="21" t="str">
        <f t="shared" si="3"/>
        <v>No data</v>
      </c>
    </row>
    <row r="113" spans="1:7" ht="15" customHeight="1" x14ac:dyDescent="0.2">
      <c r="A113" s="21" t="s">
        <v>53</v>
      </c>
      <c r="B113" s="21" t="s">
        <v>54</v>
      </c>
      <c r="C113" s="21" t="s">
        <v>28</v>
      </c>
      <c r="D113" s="21"/>
      <c r="E113" s="21"/>
      <c r="F113" s="22">
        <v>0.85</v>
      </c>
      <c r="G113" s="21" t="str">
        <f t="shared" si="3"/>
        <v>No data</v>
      </c>
    </row>
    <row r="114" spans="1:7" ht="15" customHeight="1" x14ac:dyDescent="0.2">
      <c r="A114" s="21" t="s">
        <v>53</v>
      </c>
      <c r="B114" s="21" t="s">
        <v>54</v>
      </c>
      <c r="C114" s="21" t="s">
        <v>29</v>
      </c>
      <c r="D114" s="21">
        <v>2</v>
      </c>
      <c r="E114" s="22">
        <v>1</v>
      </c>
      <c r="F114" s="22">
        <v>0.85</v>
      </c>
      <c r="G114" s="21" t="str">
        <f t="shared" si="3"/>
        <v>Above</v>
      </c>
    </row>
    <row r="115" spans="1:7" ht="15" customHeight="1" x14ac:dyDescent="0.2">
      <c r="A115" s="21" t="s">
        <v>53</v>
      </c>
      <c r="B115" s="21" t="s">
        <v>54</v>
      </c>
      <c r="C115" s="21" t="s">
        <v>30</v>
      </c>
      <c r="D115" s="21"/>
      <c r="E115" s="21"/>
      <c r="F115" s="22">
        <v>0.85</v>
      </c>
      <c r="G115" s="21" t="str">
        <f t="shared" si="3"/>
        <v>No data</v>
      </c>
    </row>
    <row r="116" spans="1:7" ht="15" customHeight="1" x14ac:dyDescent="0.2">
      <c r="A116" s="21" t="s">
        <v>53</v>
      </c>
      <c r="B116" s="21" t="s">
        <v>54</v>
      </c>
      <c r="C116" s="21" t="s">
        <v>31</v>
      </c>
      <c r="D116" s="21">
        <v>5</v>
      </c>
      <c r="E116" s="22">
        <v>1</v>
      </c>
      <c r="F116" s="22">
        <v>0.85</v>
      </c>
      <c r="G116" s="21" t="str">
        <f t="shared" si="3"/>
        <v>Above</v>
      </c>
    </row>
    <row r="117" spans="1:7" ht="15" customHeight="1" x14ac:dyDescent="0.2">
      <c r="A117" s="21" t="s">
        <v>53</v>
      </c>
      <c r="B117" s="21" t="s">
        <v>54</v>
      </c>
      <c r="C117" s="21" t="s">
        <v>32</v>
      </c>
      <c r="D117" s="21">
        <v>10</v>
      </c>
      <c r="E117" s="22">
        <v>1</v>
      </c>
      <c r="F117" s="22">
        <v>0.85</v>
      </c>
      <c r="G117" s="21" t="str">
        <f t="shared" si="3"/>
        <v>Above</v>
      </c>
    </row>
    <row r="118" spans="1:7" ht="15" customHeight="1" x14ac:dyDescent="0.2">
      <c r="A118" s="21" t="s">
        <v>53</v>
      </c>
      <c r="B118" s="21" t="s">
        <v>54</v>
      </c>
      <c r="C118" s="21" t="s">
        <v>33</v>
      </c>
      <c r="D118" s="21">
        <v>10</v>
      </c>
      <c r="E118" s="22">
        <v>1</v>
      </c>
      <c r="F118" s="22">
        <v>0.85</v>
      </c>
      <c r="G118" s="21" t="str">
        <f t="shared" si="3"/>
        <v>Above</v>
      </c>
    </row>
    <row r="119" spans="1:7" ht="15" customHeight="1" x14ac:dyDescent="0.2">
      <c r="A119" s="21" t="s">
        <v>53</v>
      </c>
      <c r="B119" s="21" t="s">
        <v>54</v>
      </c>
      <c r="C119" s="21" t="s">
        <v>34</v>
      </c>
      <c r="D119" s="21">
        <v>4</v>
      </c>
      <c r="E119" s="22">
        <v>1</v>
      </c>
      <c r="F119" s="22">
        <v>0.85</v>
      </c>
      <c r="G119" s="21" t="str">
        <f t="shared" si="3"/>
        <v>Above</v>
      </c>
    </row>
    <row r="120" spans="1:7" ht="15" customHeight="1" x14ac:dyDescent="0.2">
      <c r="A120" s="21" t="s">
        <v>53</v>
      </c>
      <c r="B120" s="21" t="s">
        <v>54</v>
      </c>
      <c r="C120" s="21" t="s">
        <v>35</v>
      </c>
      <c r="D120" s="21">
        <v>14</v>
      </c>
      <c r="E120" s="22">
        <v>1</v>
      </c>
      <c r="F120" s="22">
        <v>0.85</v>
      </c>
      <c r="G120" s="21" t="str">
        <f t="shared" si="3"/>
        <v>Above</v>
      </c>
    </row>
    <row r="121" spans="1:7" ht="15" customHeight="1" x14ac:dyDescent="0.2">
      <c r="A121" s="21" t="s">
        <v>53</v>
      </c>
      <c r="B121" s="21" t="s">
        <v>54</v>
      </c>
      <c r="C121" s="21" t="s">
        <v>36</v>
      </c>
      <c r="D121" s="21">
        <v>10</v>
      </c>
      <c r="E121" s="22">
        <v>1</v>
      </c>
      <c r="F121" s="22">
        <v>0.85</v>
      </c>
      <c r="G121" s="21" t="str">
        <f t="shared" si="3"/>
        <v>Above</v>
      </c>
    </row>
    <row r="122" spans="1:7" ht="15" customHeight="1" x14ac:dyDescent="0.2">
      <c r="A122" s="21" t="s">
        <v>53</v>
      </c>
      <c r="B122" s="21" t="s">
        <v>54</v>
      </c>
      <c r="C122" s="21" t="s">
        <v>37</v>
      </c>
      <c r="D122" s="21">
        <v>13</v>
      </c>
      <c r="E122" s="22">
        <v>0.92</v>
      </c>
      <c r="F122" s="22">
        <v>0.85</v>
      </c>
      <c r="G122" s="21" t="str">
        <f t="shared" si="3"/>
        <v>Above</v>
      </c>
    </row>
    <row r="123" spans="1:7" ht="15" customHeight="1" x14ac:dyDescent="0.2">
      <c r="A123" s="21" t="s">
        <v>55</v>
      </c>
      <c r="B123" s="21" t="s">
        <v>56</v>
      </c>
      <c r="C123" s="21" t="s">
        <v>21</v>
      </c>
      <c r="D123" s="21">
        <v>10</v>
      </c>
      <c r="E123" s="22">
        <v>0.9</v>
      </c>
      <c r="F123" s="22">
        <v>0.85</v>
      </c>
      <c r="G123" s="21" t="str">
        <f t="shared" si="3"/>
        <v>Above</v>
      </c>
    </row>
    <row r="124" spans="1:7" ht="15" customHeight="1" x14ac:dyDescent="0.2">
      <c r="A124" s="21" t="s">
        <v>55</v>
      </c>
      <c r="B124" s="21" t="s">
        <v>56</v>
      </c>
      <c r="C124" s="21" t="s">
        <v>22</v>
      </c>
      <c r="D124" s="21">
        <v>12</v>
      </c>
      <c r="E124" s="22">
        <v>1</v>
      </c>
      <c r="F124" s="22">
        <v>0.85</v>
      </c>
      <c r="G124" s="21" t="str">
        <f t="shared" si="3"/>
        <v>Above</v>
      </c>
    </row>
    <row r="125" spans="1:7" ht="15" customHeight="1" x14ac:dyDescent="0.2">
      <c r="A125" s="21" t="s">
        <v>55</v>
      </c>
      <c r="B125" s="21" t="s">
        <v>56</v>
      </c>
      <c r="C125" s="21" t="s">
        <v>23</v>
      </c>
      <c r="D125" s="21">
        <v>6</v>
      </c>
      <c r="E125" s="22">
        <v>1</v>
      </c>
      <c r="F125" s="22">
        <v>0.85</v>
      </c>
      <c r="G125" s="21" t="str">
        <f t="shared" si="3"/>
        <v>Above</v>
      </c>
    </row>
    <row r="126" spans="1:7" ht="15" customHeight="1" x14ac:dyDescent="0.2">
      <c r="A126" s="21" t="s">
        <v>55</v>
      </c>
      <c r="B126" s="21" t="s">
        <v>56</v>
      </c>
      <c r="C126" s="21" t="s">
        <v>24</v>
      </c>
      <c r="D126" s="21">
        <v>11</v>
      </c>
      <c r="E126" s="22">
        <v>1</v>
      </c>
      <c r="F126" s="22">
        <v>0.85</v>
      </c>
      <c r="G126" s="21" t="str">
        <f t="shared" si="3"/>
        <v>Above</v>
      </c>
    </row>
    <row r="127" spans="1:7" ht="15" customHeight="1" x14ac:dyDescent="0.2">
      <c r="A127" s="21" t="s">
        <v>55</v>
      </c>
      <c r="B127" s="21" t="s">
        <v>56</v>
      </c>
      <c r="C127" s="21" t="s">
        <v>25</v>
      </c>
      <c r="D127" s="21">
        <v>1</v>
      </c>
      <c r="E127" s="22">
        <v>1</v>
      </c>
      <c r="F127" s="22">
        <v>0.85</v>
      </c>
      <c r="G127" s="21" t="str">
        <f t="shared" si="3"/>
        <v>Above</v>
      </c>
    </row>
    <row r="128" spans="1:7" ht="15" customHeight="1" x14ac:dyDescent="0.2">
      <c r="A128" s="21" t="s">
        <v>55</v>
      </c>
      <c r="B128" s="21" t="s">
        <v>56</v>
      </c>
      <c r="C128" s="21" t="s">
        <v>26</v>
      </c>
      <c r="D128" s="21"/>
      <c r="E128" s="21"/>
      <c r="F128" s="22">
        <v>0.85</v>
      </c>
      <c r="G128" s="21" t="str">
        <f t="shared" si="3"/>
        <v>No data</v>
      </c>
    </row>
    <row r="129" spans="1:7" ht="15" customHeight="1" x14ac:dyDescent="0.2">
      <c r="A129" s="21" t="s">
        <v>55</v>
      </c>
      <c r="B129" s="21" t="s">
        <v>56</v>
      </c>
      <c r="C129" s="21" t="s">
        <v>27</v>
      </c>
      <c r="D129" s="21"/>
      <c r="E129" s="21"/>
      <c r="F129" s="22">
        <v>0.85</v>
      </c>
      <c r="G129" s="21" t="str">
        <f t="shared" si="3"/>
        <v>No data</v>
      </c>
    </row>
    <row r="130" spans="1:7" ht="15" customHeight="1" x14ac:dyDescent="0.2">
      <c r="A130" s="21" t="s">
        <v>55</v>
      </c>
      <c r="B130" s="21" t="s">
        <v>56</v>
      </c>
      <c r="C130" s="21" t="s">
        <v>28</v>
      </c>
      <c r="D130" s="21"/>
      <c r="E130" s="21"/>
      <c r="F130" s="22">
        <v>0.85</v>
      </c>
      <c r="G130" s="21" t="str">
        <f t="shared" si="3"/>
        <v>No data</v>
      </c>
    </row>
    <row r="131" spans="1:7" ht="15" customHeight="1" x14ac:dyDescent="0.2">
      <c r="A131" s="21" t="s">
        <v>55</v>
      </c>
      <c r="B131" s="21" t="s">
        <v>56</v>
      </c>
      <c r="C131" s="21" t="s">
        <v>29</v>
      </c>
      <c r="D131" s="21">
        <v>3</v>
      </c>
      <c r="E131" s="22">
        <v>1</v>
      </c>
      <c r="F131" s="22">
        <v>0.85</v>
      </c>
      <c r="G131" s="21" t="str">
        <f t="shared" si="3"/>
        <v>Above</v>
      </c>
    </row>
    <row r="132" spans="1:7" ht="15" customHeight="1" x14ac:dyDescent="0.2">
      <c r="A132" s="21" t="s">
        <v>55</v>
      </c>
      <c r="B132" s="21" t="s">
        <v>56</v>
      </c>
      <c r="C132" s="21" t="s">
        <v>30</v>
      </c>
      <c r="D132" s="21">
        <v>1</v>
      </c>
      <c r="E132" s="22">
        <v>1</v>
      </c>
      <c r="F132" s="22">
        <v>0.85</v>
      </c>
      <c r="G132" s="21" t="str">
        <f t="shared" ref="G132:G163" si="4">IF(ISBLANK(D132),"No data",IF(E132&gt;=F132,"Above","Below"))</f>
        <v>Above</v>
      </c>
    </row>
    <row r="133" spans="1:7" ht="15" customHeight="1" x14ac:dyDescent="0.2">
      <c r="A133" s="21" t="s">
        <v>55</v>
      </c>
      <c r="B133" s="21" t="s">
        <v>56</v>
      </c>
      <c r="C133" s="21" t="s">
        <v>31</v>
      </c>
      <c r="D133" s="21">
        <v>4</v>
      </c>
      <c r="E133" s="22">
        <v>1</v>
      </c>
      <c r="F133" s="22">
        <v>0.85</v>
      </c>
      <c r="G133" s="21" t="str">
        <f t="shared" si="4"/>
        <v>Above</v>
      </c>
    </row>
    <row r="134" spans="1:7" ht="15" customHeight="1" x14ac:dyDescent="0.2">
      <c r="A134" s="21" t="s">
        <v>55</v>
      </c>
      <c r="B134" s="21" t="s">
        <v>56</v>
      </c>
      <c r="C134" s="21" t="s">
        <v>32</v>
      </c>
      <c r="D134" s="21">
        <v>8</v>
      </c>
      <c r="E134" s="22">
        <v>0.85</v>
      </c>
      <c r="F134" s="22">
        <v>0.85</v>
      </c>
      <c r="G134" s="21" t="str">
        <f t="shared" si="4"/>
        <v>Above</v>
      </c>
    </row>
    <row r="135" spans="1:7" ht="15" customHeight="1" x14ac:dyDescent="0.2">
      <c r="A135" s="21" t="s">
        <v>55</v>
      </c>
      <c r="B135" s="21" t="s">
        <v>56</v>
      </c>
      <c r="C135" s="21" t="s">
        <v>33</v>
      </c>
      <c r="D135" s="21">
        <v>3</v>
      </c>
      <c r="E135" s="22">
        <v>0.67</v>
      </c>
      <c r="F135" s="22">
        <v>0.85</v>
      </c>
      <c r="G135" s="21" t="str">
        <f t="shared" si="4"/>
        <v>Below</v>
      </c>
    </row>
    <row r="136" spans="1:7" ht="15" customHeight="1" x14ac:dyDescent="0.2">
      <c r="A136" s="21" t="s">
        <v>55</v>
      </c>
      <c r="B136" s="21" t="s">
        <v>56</v>
      </c>
      <c r="C136" s="21" t="s">
        <v>34</v>
      </c>
      <c r="D136" s="21">
        <v>12</v>
      </c>
      <c r="E136" s="22">
        <v>1</v>
      </c>
      <c r="F136" s="22">
        <v>0.85</v>
      </c>
      <c r="G136" s="21" t="str">
        <f t="shared" si="4"/>
        <v>Above</v>
      </c>
    </row>
    <row r="137" spans="1:7" ht="15" customHeight="1" x14ac:dyDescent="0.2">
      <c r="A137" s="21" t="s">
        <v>55</v>
      </c>
      <c r="B137" s="21" t="s">
        <v>56</v>
      </c>
      <c r="C137" s="21" t="s">
        <v>35</v>
      </c>
      <c r="D137" s="21">
        <v>8</v>
      </c>
      <c r="E137" s="22">
        <v>1</v>
      </c>
      <c r="F137" s="22">
        <v>0.85</v>
      </c>
      <c r="G137" s="21" t="str">
        <f t="shared" si="4"/>
        <v>Above</v>
      </c>
    </row>
    <row r="138" spans="1:7" ht="15" customHeight="1" x14ac:dyDescent="0.2">
      <c r="A138" s="21" t="s">
        <v>55</v>
      </c>
      <c r="B138" s="21" t="s">
        <v>56</v>
      </c>
      <c r="C138" s="21" t="s">
        <v>36</v>
      </c>
      <c r="D138" s="21">
        <v>19</v>
      </c>
      <c r="E138" s="22">
        <v>0.95</v>
      </c>
      <c r="F138" s="22">
        <v>0.85</v>
      </c>
      <c r="G138" s="21" t="str">
        <f t="shared" si="4"/>
        <v>Above</v>
      </c>
    </row>
    <row r="139" spans="1:7" ht="15" customHeight="1" x14ac:dyDescent="0.2">
      <c r="A139" s="21" t="s">
        <v>55</v>
      </c>
      <c r="B139" s="21" t="s">
        <v>56</v>
      </c>
      <c r="C139" s="21" t="s">
        <v>37</v>
      </c>
      <c r="D139" s="21">
        <v>11</v>
      </c>
      <c r="E139" s="22">
        <v>1</v>
      </c>
      <c r="F139" s="22">
        <v>0.85</v>
      </c>
      <c r="G139" s="21" t="str">
        <f t="shared" si="4"/>
        <v>Above</v>
      </c>
    </row>
    <row r="140" spans="1:7" ht="15" customHeight="1" x14ac:dyDescent="0.2">
      <c r="A140" s="21" t="s">
        <v>57</v>
      </c>
      <c r="B140" s="21" t="s">
        <v>58</v>
      </c>
      <c r="C140" s="21" t="s">
        <v>21</v>
      </c>
      <c r="D140" s="21">
        <v>8</v>
      </c>
      <c r="E140" s="22">
        <v>1</v>
      </c>
      <c r="F140" s="22">
        <v>0.85</v>
      </c>
      <c r="G140" s="21" t="str">
        <f t="shared" si="4"/>
        <v>Above</v>
      </c>
    </row>
    <row r="141" spans="1:7" ht="15" customHeight="1" x14ac:dyDescent="0.2">
      <c r="A141" s="21" t="s">
        <v>57</v>
      </c>
      <c r="B141" s="21" t="s">
        <v>58</v>
      </c>
      <c r="C141" s="21" t="s">
        <v>22</v>
      </c>
      <c r="D141" s="21">
        <v>14</v>
      </c>
      <c r="E141" s="22">
        <v>0.93</v>
      </c>
      <c r="F141" s="22">
        <v>0.85</v>
      </c>
      <c r="G141" s="21" t="str">
        <f t="shared" si="4"/>
        <v>Above</v>
      </c>
    </row>
    <row r="142" spans="1:7" ht="15" customHeight="1" x14ac:dyDescent="0.2">
      <c r="A142" s="21" t="s">
        <v>57</v>
      </c>
      <c r="B142" s="21" t="s">
        <v>58</v>
      </c>
      <c r="C142" s="21" t="s">
        <v>23</v>
      </c>
      <c r="D142" s="21">
        <v>4</v>
      </c>
      <c r="E142" s="22">
        <v>1</v>
      </c>
      <c r="F142" s="22">
        <v>0.85</v>
      </c>
      <c r="G142" s="21" t="str">
        <f t="shared" si="4"/>
        <v>Above</v>
      </c>
    </row>
    <row r="143" spans="1:7" ht="15" customHeight="1" x14ac:dyDescent="0.2">
      <c r="A143" s="21" t="s">
        <v>57</v>
      </c>
      <c r="B143" s="21" t="s">
        <v>58</v>
      </c>
      <c r="C143" s="21" t="s">
        <v>24</v>
      </c>
      <c r="D143" s="21">
        <v>6</v>
      </c>
      <c r="E143" s="22">
        <v>1</v>
      </c>
      <c r="F143" s="22">
        <v>0.85</v>
      </c>
      <c r="G143" s="21" t="str">
        <f t="shared" si="4"/>
        <v>Above</v>
      </c>
    </row>
    <row r="144" spans="1:7" ht="15" customHeight="1" x14ac:dyDescent="0.2">
      <c r="A144" s="21" t="s">
        <v>57</v>
      </c>
      <c r="B144" s="21" t="s">
        <v>58</v>
      </c>
      <c r="C144" s="21" t="s">
        <v>25</v>
      </c>
      <c r="D144" s="21">
        <v>11</v>
      </c>
      <c r="E144" s="22">
        <v>0.91</v>
      </c>
      <c r="F144" s="22">
        <v>0.85</v>
      </c>
      <c r="G144" s="21" t="str">
        <f t="shared" si="4"/>
        <v>Above</v>
      </c>
    </row>
    <row r="145" spans="1:7" ht="15" customHeight="1" x14ac:dyDescent="0.2">
      <c r="A145" s="21" t="s">
        <v>57</v>
      </c>
      <c r="B145" s="21" t="s">
        <v>58</v>
      </c>
      <c r="C145" s="21" t="s">
        <v>26</v>
      </c>
      <c r="D145" s="21"/>
      <c r="E145" s="21"/>
      <c r="F145" s="22">
        <v>0.85</v>
      </c>
      <c r="G145" s="21" t="str">
        <f t="shared" si="4"/>
        <v>No data</v>
      </c>
    </row>
    <row r="146" spans="1:7" ht="15" customHeight="1" x14ac:dyDescent="0.2">
      <c r="A146" s="21" t="s">
        <v>57</v>
      </c>
      <c r="B146" s="21" t="s">
        <v>58</v>
      </c>
      <c r="C146" s="21" t="s">
        <v>27</v>
      </c>
      <c r="D146" s="21">
        <v>2</v>
      </c>
      <c r="E146" s="22">
        <v>1</v>
      </c>
      <c r="F146" s="22">
        <v>0.85</v>
      </c>
      <c r="G146" s="21" t="str">
        <f t="shared" si="4"/>
        <v>Above</v>
      </c>
    </row>
    <row r="147" spans="1:7" ht="15" customHeight="1" x14ac:dyDescent="0.2">
      <c r="A147" s="21" t="s">
        <v>57</v>
      </c>
      <c r="B147" s="21" t="s">
        <v>58</v>
      </c>
      <c r="C147" s="21" t="s">
        <v>28</v>
      </c>
      <c r="D147" s="21"/>
      <c r="E147" s="21"/>
      <c r="F147" s="22">
        <v>0.85</v>
      </c>
      <c r="G147" s="21" t="str">
        <f t="shared" si="4"/>
        <v>No data</v>
      </c>
    </row>
    <row r="148" spans="1:7" ht="15" customHeight="1" x14ac:dyDescent="0.2">
      <c r="A148" s="21" t="s">
        <v>57</v>
      </c>
      <c r="B148" s="21" t="s">
        <v>58</v>
      </c>
      <c r="C148" s="21" t="s">
        <v>29</v>
      </c>
      <c r="D148" s="21">
        <v>4</v>
      </c>
      <c r="E148" s="22">
        <v>1</v>
      </c>
      <c r="F148" s="22">
        <v>0.85</v>
      </c>
      <c r="G148" s="21" t="str">
        <f t="shared" si="4"/>
        <v>Above</v>
      </c>
    </row>
    <row r="149" spans="1:7" ht="15" customHeight="1" x14ac:dyDescent="0.2">
      <c r="A149" s="21" t="s">
        <v>57</v>
      </c>
      <c r="B149" s="21" t="s">
        <v>58</v>
      </c>
      <c r="C149" s="21" t="s">
        <v>30</v>
      </c>
      <c r="D149" s="21"/>
      <c r="E149" s="21"/>
      <c r="F149" s="22">
        <v>0.85</v>
      </c>
      <c r="G149" s="21" t="str">
        <f t="shared" si="4"/>
        <v>No data</v>
      </c>
    </row>
    <row r="150" spans="1:7" ht="15" customHeight="1" x14ac:dyDescent="0.2">
      <c r="A150" s="21" t="s">
        <v>57</v>
      </c>
      <c r="B150" s="21" t="s">
        <v>58</v>
      </c>
      <c r="C150" s="21" t="s">
        <v>31</v>
      </c>
      <c r="D150" s="21">
        <v>21</v>
      </c>
      <c r="E150" s="22">
        <v>0.95</v>
      </c>
      <c r="F150" s="22">
        <v>0.85</v>
      </c>
      <c r="G150" s="21" t="str">
        <f t="shared" si="4"/>
        <v>Above</v>
      </c>
    </row>
    <row r="151" spans="1:7" ht="15" customHeight="1" x14ac:dyDescent="0.2">
      <c r="A151" s="21" t="s">
        <v>57</v>
      </c>
      <c r="B151" s="21" t="s">
        <v>58</v>
      </c>
      <c r="C151" s="21" t="s">
        <v>32</v>
      </c>
      <c r="D151" s="21">
        <v>6</v>
      </c>
      <c r="E151" s="22">
        <v>1</v>
      </c>
      <c r="F151" s="22">
        <v>0.85</v>
      </c>
      <c r="G151" s="21" t="str">
        <f t="shared" si="4"/>
        <v>Above</v>
      </c>
    </row>
    <row r="152" spans="1:7" ht="15" customHeight="1" x14ac:dyDescent="0.2">
      <c r="A152" s="21" t="s">
        <v>57</v>
      </c>
      <c r="B152" s="21" t="s">
        <v>58</v>
      </c>
      <c r="C152" s="21" t="s">
        <v>33</v>
      </c>
      <c r="D152" s="21">
        <v>4</v>
      </c>
      <c r="E152" s="22">
        <v>1</v>
      </c>
      <c r="F152" s="22">
        <v>0.85</v>
      </c>
      <c r="G152" s="21" t="str">
        <f t="shared" si="4"/>
        <v>Above</v>
      </c>
    </row>
    <row r="153" spans="1:7" ht="15" customHeight="1" x14ac:dyDescent="0.2">
      <c r="A153" s="21" t="s">
        <v>57</v>
      </c>
      <c r="B153" s="21" t="s">
        <v>58</v>
      </c>
      <c r="C153" s="21" t="s">
        <v>34</v>
      </c>
      <c r="D153" s="21">
        <v>2</v>
      </c>
      <c r="E153" s="22">
        <v>1</v>
      </c>
      <c r="F153" s="22">
        <v>0.85</v>
      </c>
      <c r="G153" s="21" t="str">
        <f t="shared" si="4"/>
        <v>Above</v>
      </c>
    </row>
    <row r="154" spans="1:7" ht="15" customHeight="1" x14ac:dyDescent="0.2">
      <c r="A154" s="21" t="s">
        <v>57</v>
      </c>
      <c r="B154" s="21" t="s">
        <v>58</v>
      </c>
      <c r="C154" s="21" t="s">
        <v>35</v>
      </c>
      <c r="D154" s="21">
        <v>2</v>
      </c>
      <c r="E154" s="22">
        <v>1</v>
      </c>
      <c r="F154" s="22">
        <v>0.85</v>
      </c>
      <c r="G154" s="21" t="str">
        <f t="shared" si="4"/>
        <v>Above</v>
      </c>
    </row>
    <row r="155" spans="1:7" ht="15" customHeight="1" x14ac:dyDescent="0.2">
      <c r="A155" s="21" t="s">
        <v>57</v>
      </c>
      <c r="B155" s="21" t="s">
        <v>58</v>
      </c>
      <c r="C155" s="21" t="s">
        <v>36</v>
      </c>
      <c r="D155" s="21">
        <v>8</v>
      </c>
      <c r="E155" s="22">
        <v>0.88</v>
      </c>
      <c r="F155" s="22">
        <v>0.85</v>
      </c>
      <c r="G155" s="21" t="str">
        <f t="shared" si="4"/>
        <v>Above</v>
      </c>
    </row>
    <row r="156" spans="1:7" ht="15" customHeight="1" x14ac:dyDescent="0.2">
      <c r="A156" s="21" t="s">
        <v>57</v>
      </c>
      <c r="B156" s="21" t="s">
        <v>58</v>
      </c>
      <c r="C156" s="21" t="s">
        <v>37</v>
      </c>
      <c r="D156" s="21">
        <v>6</v>
      </c>
      <c r="E156" s="22">
        <v>1</v>
      </c>
      <c r="F156" s="22">
        <v>0.85</v>
      </c>
      <c r="G156" s="21" t="str">
        <f t="shared" si="4"/>
        <v>Above</v>
      </c>
    </row>
    <row r="157" spans="1:7" ht="15" customHeight="1" x14ac:dyDescent="0.2">
      <c r="A157" s="21" t="s">
        <v>59</v>
      </c>
      <c r="B157" s="21" t="s">
        <v>60</v>
      </c>
      <c r="C157" s="21" t="s">
        <v>21</v>
      </c>
      <c r="D157" s="21">
        <v>10</v>
      </c>
      <c r="E157" s="22">
        <v>0.9</v>
      </c>
      <c r="F157" s="22">
        <v>0.85</v>
      </c>
      <c r="G157" s="21" t="str">
        <f t="shared" si="4"/>
        <v>Above</v>
      </c>
    </row>
    <row r="158" spans="1:7" ht="15" customHeight="1" x14ac:dyDescent="0.2">
      <c r="A158" s="21" t="s">
        <v>59</v>
      </c>
      <c r="B158" s="21" t="s">
        <v>60</v>
      </c>
      <c r="C158" s="21" t="s">
        <v>22</v>
      </c>
      <c r="D158" s="21">
        <v>1</v>
      </c>
      <c r="E158" s="22">
        <v>0.93</v>
      </c>
      <c r="F158" s="22">
        <v>0.85</v>
      </c>
      <c r="G158" s="21" t="str">
        <f t="shared" si="4"/>
        <v>Above</v>
      </c>
    </row>
    <row r="159" spans="1:7" ht="15" customHeight="1" x14ac:dyDescent="0.2">
      <c r="A159" s="21" t="s">
        <v>59</v>
      </c>
      <c r="B159" s="21" t="s">
        <v>60</v>
      </c>
      <c r="C159" s="21" t="s">
        <v>23</v>
      </c>
      <c r="D159" s="21">
        <v>7</v>
      </c>
      <c r="E159" s="22">
        <v>0.86</v>
      </c>
      <c r="F159" s="22">
        <v>0.85</v>
      </c>
      <c r="G159" s="21" t="str">
        <f t="shared" si="4"/>
        <v>Above</v>
      </c>
    </row>
    <row r="160" spans="1:7" ht="15" customHeight="1" x14ac:dyDescent="0.2">
      <c r="A160" s="21" t="s">
        <v>59</v>
      </c>
      <c r="B160" s="21" t="s">
        <v>60</v>
      </c>
      <c r="C160" s="21" t="s">
        <v>24</v>
      </c>
      <c r="D160" s="21"/>
      <c r="E160" s="21"/>
      <c r="F160" s="22">
        <v>0.85</v>
      </c>
      <c r="G160" s="21" t="str">
        <f t="shared" si="4"/>
        <v>No data</v>
      </c>
    </row>
    <row r="161" spans="1:7" ht="15" customHeight="1" x14ac:dyDescent="0.2">
      <c r="A161" s="21" t="s">
        <v>59</v>
      </c>
      <c r="B161" s="21" t="s">
        <v>60</v>
      </c>
      <c r="C161" s="21" t="s">
        <v>25</v>
      </c>
      <c r="D161" s="21">
        <v>3</v>
      </c>
      <c r="E161" s="22">
        <v>1</v>
      </c>
      <c r="F161" s="22">
        <v>0.85</v>
      </c>
      <c r="G161" s="21" t="str">
        <f t="shared" si="4"/>
        <v>Above</v>
      </c>
    </row>
    <row r="162" spans="1:7" ht="15" customHeight="1" x14ac:dyDescent="0.2">
      <c r="A162" s="21" t="s">
        <v>59</v>
      </c>
      <c r="B162" s="21" t="s">
        <v>60</v>
      </c>
      <c r="C162" s="21" t="s">
        <v>26</v>
      </c>
      <c r="D162" s="21"/>
      <c r="E162" s="21"/>
      <c r="F162" s="22">
        <v>0.85</v>
      </c>
      <c r="G162" s="21" t="str">
        <f t="shared" si="4"/>
        <v>No data</v>
      </c>
    </row>
    <row r="163" spans="1:7" ht="15" customHeight="1" x14ac:dyDescent="0.2">
      <c r="A163" s="21" t="s">
        <v>59</v>
      </c>
      <c r="B163" s="21" t="s">
        <v>60</v>
      </c>
      <c r="C163" s="21" t="s">
        <v>27</v>
      </c>
      <c r="D163" s="21">
        <v>1</v>
      </c>
      <c r="E163" s="22">
        <v>1</v>
      </c>
      <c r="F163" s="22">
        <v>0.85</v>
      </c>
      <c r="G163" s="21" t="str">
        <f t="shared" si="4"/>
        <v>Above</v>
      </c>
    </row>
    <row r="164" spans="1:7" ht="15" customHeight="1" x14ac:dyDescent="0.2">
      <c r="A164" s="21" t="s">
        <v>59</v>
      </c>
      <c r="B164" s="21" t="s">
        <v>60</v>
      </c>
      <c r="C164" s="21" t="s">
        <v>28</v>
      </c>
      <c r="D164" s="21"/>
      <c r="E164" s="21"/>
      <c r="F164" s="22">
        <v>0.85</v>
      </c>
      <c r="G164" s="21" t="str">
        <f t="shared" ref="G164:G195" si="5">IF(ISBLANK(D164),"No data",IF(E164&gt;=F164,"Above","Below"))</f>
        <v>No data</v>
      </c>
    </row>
    <row r="165" spans="1:7" ht="15" customHeight="1" x14ac:dyDescent="0.2">
      <c r="A165" s="21" t="s">
        <v>59</v>
      </c>
      <c r="B165" s="21" t="s">
        <v>60</v>
      </c>
      <c r="C165" s="21" t="s">
        <v>29</v>
      </c>
      <c r="D165" s="21"/>
      <c r="E165" s="21"/>
      <c r="F165" s="22">
        <v>0.85</v>
      </c>
      <c r="G165" s="21" t="str">
        <f t="shared" si="5"/>
        <v>No data</v>
      </c>
    </row>
    <row r="166" spans="1:7" ht="15" customHeight="1" x14ac:dyDescent="0.2">
      <c r="A166" s="21" t="s">
        <v>59</v>
      </c>
      <c r="B166" s="21" t="s">
        <v>60</v>
      </c>
      <c r="C166" s="21" t="s">
        <v>30</v>
      </c>
      <c r="D166" s="21"/>
      <c r="E166" s="21"/>
      <c r="F166" s="22">
        <v>0.85</v>
      </c>
      <c r="G166" s="21" t="str">
        <f t="shared" si="5"/>
        <v>No data</v>
      </c>
    </row>
    <row r="167" spans="1:7" ht="15" customHeight="1" x14ac:dyDescent="0.2">
      <c r="A167" s="21" t="s">
        <v>59</v>
      </c>
      <c r="B167" s="21" t="s">
        <v>60</v>
      </c>
      <c r="C167" s="21" t="s">
        <v>31</v>
      </c>
      <c r="D167" s="21">
        <v>5</v>
      </c>
      <c r="E167" s="22">
        <v>0.8</v>
      </c>
      <c r="F167" s="22">
        <v>0.85</v>
      </c>
      <c r="G167" s="21" t="str">
        <f t="shared" si="5"/>
        <v>Below</v>
      </c>
    </row>
    <row r="168" spans="1:7" ht="15" customHeight="1" x14ac:dyDescent="0.2">
      <c r="A168" s="21" t="s">
        <v>59</v>
      </c>
      <c r="B168" s="21" t="s">
        <v>60</v>
      </c>
      <c r="C168" s="21" t="s">
        <v>32</v>
      </c>
      <c r="D168" s="21"/>
      <c r="E168" s="21"/>
      <c r="F168" s="22">
        <v>0.85</v>
      </c>
      <c r="G168" s="21" t="str">
        <f t="shared" si="5"/>
        <v>No data</v>
      </c>
    </row>
    <row r="169" spans="1:7" ht="15" customHeight="1" x14ac:dyDescent="0.2">
      <c r="A169" s="21" t="s">
        <v>59</v>
      </c>
      <c r="B169" s="21" t="s">
        <v>60</v>
      </c>
      <c r="C169" s="21" t="s">
        <v>33</v>
      </c>
      <c r="D169" s="21"/>
      <c r="E169" s="21"/>
      <c r="F169" s="22">
        <v>0.85</v>
      </c>
      <c r="G169" s="21" t="str">
        <f t="shared" si="5"/>
        <v>No data</v>
      </c>
    </row>
    <row r="170" spans="1:7" ht="15" customHeight="1" x14ac:dyDescent="0.2">
      <c r="A170" s="21" t="s">
        <v>59</v>
      </c>
      <c r="B170" s="21" t="s">
        <v>60</v>
      </c>
      <c r="C170" s="21" t="s">
        <v>34</v>
      </c>
      <c r="D170" s="21"/>
      <c r="E170" s="21"/>
      <c r="F170" s="22">
        <v>0.85</v>
      </c>
      <c r="G170" s="21" t="str">
        <f t="shared" si="5"/>
        <v>No data</v>
      </c>
    </row>
    <row r="171" spans="1:7" ht="15" customHeight="1" x14ac:dyDescent="0.2">
      <c r="A171" s="21" t="s">
        <v>59</v>
      </c>
      <c r="B171" s="21" t="s">
        <v>60</v>
      </c>
      <c r="C171" s="21" t="s">
        <v>35</v>
      </c>
      <c r="D171" s="21"/>
      <c r="E171" s="21"/>
      <c r="F171" s="22">
        <v>0.85</v>
      </c>
      <c r="G171" s="21" t="str">
        <f t="shared" si="5"/>
        <v>No data</v>
      </c>
    </row>
    <row r="172" spans="1:7" ht="15" customHeight="1" x14ac:dyDescent="0.2">
      <c r="A172" s="21" t="s">
        <v>59</v>
      </c>
      <c r="B172" s="21" t="s">
        <v>60</v>
      </c>
      <c r="C172" s="21" t="s">
        <v>36</v>
      </c>
      <c r="D172" s="21"/>
      <c r="E172" s="21"/>
      <c r="F172" s="22">
        <v>0.85</v>
      </c>
      <c r="G172" s="21" t="str">
        <f t="shared" si="5"/>
        <v>No data</v>
      </c>
    </row>
    <row r="173" spans="1:7" ht="15" customHeight="1" x14ac:dyDescent="0.2">
      <c r="A173" s="21" t="s">
        <v>59</v>
      </c>
      <c r="B173" s="21" t="s">
        <v>60</v>
      </c>
      <c r="C173" s="21" t="s">
        <v>37</v>
      </c>
      <c r="D173" s="21"/>
      <c r="E173" s="21"/>
      <c r="F173" s="22">
        <v>0.85</v>
      </c>
      <c r="G173" s="21" t="str">
        <f t="shared" si="5"/>
        <v>No data</v>
      </c>
    </row>
    <row r="176" spans="1:7" ht="15" customHeight="1" x14ac:dyDescent="0.2">
      <c r="A176" s="19" t="s">
        <v>126</v>
      </c>
    </row>
    <row r="177" spans="1:5" ht="15" customHeight="1" x14ac:dyDescent="0.2">
      <c r="A177" s="28" t="s">
        <v>39</v>
      </c>
      <c r="B177" s="28" t="s">
        <v>40</v>
      </c>
      <c r="C177" s="28" t="s">
        <v>127</v>
      </c>
      <c r="D177" s="28" t="s">
        <v>128</v>
      </c>
      <c r="E177" s="28" t="s">
        <v>125</v>
      </c>
    </row>
    <row r="178" spans="1:5" ht="15" customHeight="1" x14ac:dyDescent="0.2">
      <c r="A178" s="21" t="s">
        <v>41</v>
      </c>
      <c r="B178" s="21" t="s">
        <v>42</v>
      </c>
      <c r="C178" s="21">
        <f t="shared" ref="C178:C187" si="6">SUMIF($A$4:$A$173,A178,$D$4:$D$173)</f>
        <v>96</v>
      </c>
      <c r="D178" s="22">
        <f t="shared" ref="D178:D187" si="7">SUMPRODUCT(($A$4:$A$173=A178)*($D$4:$D$173)*($E$4:$E$173))/C178</f>
        <v>0.86427083333333332</v>
      </c>
      <c r="E178" s="21" t="str">
        <f t="shared" ref="E178:E187" si="8">IF(D178&gt;=$F$4,"Above Target","Below Target")</f>
        <v>Above Target</v>
      </c>
    </row>
    <row r="179" spans="1:5" ht="15" customHeight="1" x14ac:dyDescent="0.2">
      <c r="A179" s="21" t="s">
        <v>43</v>
      </c>
      <c r="B179" s="21" t="s">
        <v>44</v>
      </c>
      <c r="C179" s="21">
        <f t="shared" si="6"/>
        <v>63</v>
      </c>
      <c r="D179" s="22">
        <f t="shared" si="7"/>
        <v>0.98380952380952391</v>
      </c>
      <c r="E179" s="21" t="str">
        <f t="shared" si="8"/>
        <v>Above Target</v>
      </c>
    </row>
    <row r="180" spans="1:5" ht="15" customHeight="1" x14ac:dyDescent="0.2">
      <c r="A180" s="21" t="s">
        <v>45</v>
      </c>
      <c r="B180" s="21" t="s">
        <v>46</v>
      </c>
      <c r="C180" s="21">
        <f t="shared" si="6"/>
        <v>73</v>
      </c>
      <c r="D180" s="22">
        <f t="shared" si="7"/>
        <v>0.92054794520547933</v>
      </c>
      <c r="E180" s="21" t="str">
        <f t="shared" si="8"/>
        <v>Above Target</v>
      </c>
    </row>
    <row r="181" spans="1:5" ht="15" customHeight="1" x14ac:dyDescent="0.2">
      <c r="A181" s="21" t="s">
        <v>47</v>
      </c>
      <c r="B181" s="21" t="s">
        <v>48</v>
      </c>
      <c r="C181" s="21">
        <f t="shared" si="6"/>
        <v>81</v>
      </c>
      <c r="D181" s="22">
        <f t="shared" si="7"/>
        <v>0.97543209876543213</v>
      </c>
      <c r="E181" s="21" t="str">
        <f t="shared" si="8"/>
        <v>Above Target</v>
      </c>
    </row>
    <row r="182" spans="1:5" ht="15" customHeight="1" x14ac:dyDescent="0.2">
      <c r="A182" s="21" t="s">
        <v>49</v>
      </c>
      <c r="B182" s="21" t="s">
        <v>50</v>
      </c>
      <c r="C182" s="21">
        <f t="shared" si="6"/>
        <v>75</v>
      </c>
      <c r="D182" s="22">
        <f t="shared" si="7"/>
        <v>0.96</v>
      </c>
      <c r="E182" s="21" t="str">
        <f t="shared" si="8"/>
        <v>Above Target</v>
      </c>
    </row>
    <row r="183" spans="1:5" ht="15" customHeight="1" x14ac:dyDescent="0.2">
      <c r="A183" s="21" t="s">
        <v>51</v>
      </c>
      <c r="B183" s="21" t="s">
        <v>52</v>
      </c>
      <c r="C183" s="21">
        <f t="shared" si="6"/>
        <v>121</v>
      </c>
      <c r="D183" s="22">
        <f t="shared" si="7"/>
        <v>0.80123966942148761</v>
      </c>
      <c r="E183" s="21" t="str">
        <f t="shared" si="8"/>
        <v>Below Target</v>
      </c>
    </row>
    <row r="184" spans="1:5" ht="15" customHeight="1" x14ac:dyDescent="0.2">
      <c r="A184" s="21" t="s">
        <v>53</v>
      </c>
      <c r="B184" s="21" t="s">
        <v>54</v>
      </c>
      <c r="C184" s="21">
        <f t="shared" si="6"/>
        <v>131</v>
      </c>
      <c r="D184" s="22">
        <f t="shared" si="7"/>
        <v>0.96183206106870234</v>
      </c>
      <c r="E184" s="21" t="str">
        <f t="shared" si="8"/>
        <v>Above Target</v>
      </c>
    </row>
    <row r="185" spans="1:5" ht="15" customHeight="1" x14ac:dyDescent="0.2">
      <c r="A185" s="21" t="s">
        <v>55</v>
      </c>
      <c r="B185" s="21" t="s">
        <v>56</v>
      </c>
      <c r="C185" s="21">
        <f t="shared" si="6"/>
        <v>109</v>
      </c>
      <c r="D185" s="22">
        <f t="shared" si="7"/>
        <v>0.96201834862385316</v>
      </c>
      <c r="E185" s="21" t="str">
        <f t="shared" si="8"/>
        <v>Above Target</v>
      </c>
    </row>
    <row r="186" spans="1:5" ht="15" customHeight="1" x14ac:dyDescent="0.2">
      <c r="A186" s="21" t="s">
        <v>57</v>
      </c>
      <c r="B186" s="21" t="s">
        <v>58</v>
      </c>
      <c r="C186" s="21">
        <f t="shared" si="6"/>
        <v>98</v>
      </c>
      <c r="D186" s="22">
        <f t="shared" si="7"/>
        <v>0.95938775510204088</v>
      </c>
      <c r="E186" s="21" t="str">
        <f t="shared" si="8"/>
        <v>Above Target</v>
      </c>
    </row>
    <row r="187" spans="1:5" ht="15" customHeight="1" x14ac:dyDescent="0.2">
      <c r="A187" s="21" t="s">
        <v>59</v>
      </c>
      <c r="B187" s="21" t="s">
        <v>60</v>
      </c>
      <c r="C187" s="21">
        <f t="shared" si="6"/>
        <v>27</v>
      </c>
      <c r="D187" s="22">
        <f t="shared" si="7"/>
        <v>0.88703703703703696</v>
      </c>
      <c r="E187" s="21" t="str">
        <f t="shared" si="8"/>
        <v>Above Target</v>
      </c>
    </row>
    <row r="189" spans="1:5" ht="15" customHeight="1" x14ac:dyDescent="0.2">
      <c r="A189" s="29" t="s">
        <v>129</v>
      </c>
      <c r="B189" t="str">
        <f>INDEX(A178:A187,MATCH(MAX(D178:D187),D178:D187,0))</f>
        <v>Meijer #047</v>
      </c>
      <c r="C189" s="30">
        <f>MAX(D178:D187)</f>
        <v>0.98380952380952391</v>
      </c>
    </row>
    <row r="190" spans="1:5" ht="15" customHeight="1" x14ac:dyDescent="0.2">
      <c r="A190" s="29" t="s">
        <v>130</v>
      </c>
      <c r="B190" t="str">
        <f>INDEX(A178:A187,MATCH(MIN(D178:D187),D178:D187,0))</f>
        <v>Meijer #119</v>
      </c>
      <c r="C190" s="30">
        <f>MIN(D178:D187)</f>
        <v>0.80123966942148761</v>
      </c>
    </row>
  </sheetData>
  <conditionalFormatting sqref="E4:E173">
    <cfRule type="expression" dxfId="3" priority="2">
      <formula>ISBLANK(E4)</formula>
    </cfRule>
    <cfRule type="cellIs" dxfId="2" priority="3" operator="greaterThanOrEqual">
      <formula>$F$4+0.02</formula>
    </cfRule>
    <cfRule type="cellIs" dxfId="1" priority="4" operator="lessThan">
      <formula>$F$4</formula>
    </cfRule>
    <cfRule type="cellIs" dxfId="0" priority="5" operator="between">
      <formula>$F$4</formula>
      <formula>$F$4+0.02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tabSelected="1" zoomScaleNormal="100" workbookViewId="0"/>
  </sheetViews>
  <sheetFormatPr baseColWidth="10" defaultColWidth="8.6640625" defaultRowHeight="15" x14ac:dyDescent="0.2"/>
  <cols>
    <col min="1" max="4" width="18" customWidth="1"/>
  </cols>
  <sheetData>
    <row r="1" spans="1:8" ht="19.5" customHeight="1" x14ac:dyDescent="0.2">
      <c r="A1" s="17" t="s">
        <v>131</v>
      </c>
    </row>
    <row r="2" spans="1:8" ht="15" customHeight="1" x14ac:dyDescent="0.2">
      <c r="A2" s="33" t="s">
        <v>132</v>
      </c>
      <c r="B2" s="33"/>
      <c r="C2" s="33"/>
      <c r="D2" s="33"/>
      <c r="E2" s="33"/>
      <c r="F2" s="33"/>
      <c r="G2" s="33"/>
      <c r="H2" s="33"/>
    </row>
    <row r="4" spans="1:8" ht="15" customHeight="1" x14ac:dyDescent="0.2">
      <c r="A4" s="19" t="s">
        <v>133</v>
      </c>
    </row>
    <row r="5" spans="1:8" ht="15" customHeight="1" x14ac:dyDescent="0.2">
      <c r="A5" s="31" t="s">
        <v>11</v>
      </c>
      <c r="B5" s="31" t="s">
        <v>19</v>
      </c>
      <c r="C5" s="31" t="s">
        <v>18</v>
      </c>
    </row>
    <row r="6" spans="1:8" ht="15" customHeight="1" x14ac:dyDescent="0.2">
      <c r="A6" t="str">
        <f>Monthly_Summary!A4</f>
        <v>Feb-25</v>
      </c>
      <c r="B6" s="30">
        <f>Monthly_Summary!C4</f>
        <v>0.85</v>
      </c>
      <c r="C6" s="30">
        <f>Monthly_Summary!B4</f>
        <v>0.85</v>
      </c>
    </row>
    <row r="7" spans="1:8" ht="15" customHeight="1" x14ac:dyDescent="0.2">
      <c r="A7" t="str">
        <f>Monthly_Summary!A5</f>
        <v>Mar-25</v>
      </c>
      <c r="B7" s="30">
        <f>Monthly_Summary!C5</f>
        <v>0.86</v>
      </c>
      <c r="C7" s="30">
        <f>Monthly_Summary!B5</f>
        <v>0.85</v>
      </c>
    </row>
    <row r="8" spans="1:8" ht="15" customHeight="1" x14ac:dyDescent="0.2">
      <c r="A8" t="str">
        <f>Monthly_Summary!A6</f>
        <v>Apr-25</v>
      </c>
      <c r="B8" s="30">
        <f>Monthly_Summary!C6</f>
        <v>0.87</v>
      </c>
      <c r="C8" s="30">
        <f>Monthly_Summary!B6</f>
        <v>0.85</v>
      </c>
    </row>
    <row r="9" spans="1:8" ht="15" customHeight="1" x14ac:dyDescent="0.2">
      <c r="A9" t="str">
        <f>Monthly_Summary!A7</f>
        <v>May-25</v>
      </c>
      <c r="B9" s="30">
        <f>Monthly_Summary!C7</f>
        <v>0.93</v>
      </c>
      <c r="C9" s="30">
        <f>Monthly_Summary!B7</f>
        <v>0.85</v>
      </c>
    </row>
    <row r="10" spans="1:8" ht="15" customHeight="1" x14ac:dyDescent="0.2">
      <c r="A10" t="str">
        <f>Monthly_Summary!A8</f>
        <v>Jun-25</v>
      </c>
      <c r="B10" s="30">
        <f>Monthly_Summary!C8</f>
        <v>0.91</v>
      </c>
      <c r="C10" s="30">
        <f>Monthly_Summary!B8</f>
        <v>0.85</v>
      </c>
    </row>
    <row r="11" spans="1:8" ht="15" customHeight="1" x14ac:dyDescent="0.2">
      <c r="A11" t="str">
        <f>Monthly_Summary!A9</f>
        <v>Jul-25</v>
      </c>
      <c r="B11" s="30">
        <f>Monthly_Summary!C9</f>
        <v>0.93</v>
      </c>
      <c r="C11" s="30">
        <f>Monthly_Summary!B9</f>
        <v>0.85</v>
      </c>
    </row>
    <row r="12" spans="1:8" ht="15" customHeight="1" x14ac:dyDescent="0.2">
      <c r="A12" t="str">
        <f>Monthly_Summary!A10</f>
        <v>Aug-25</v>
      </c>
      <c r="B12" s="30">
        <f>Monthly_Summary!C10</f>
        <v>0.92</v>
      </c>
      <c r="C12" s="30">
        <f>Monthly_Summary!B10</f>
        <v>0.85</v>
      </c>
    </row>
    <row r="13" spans="1:8" ht="15" customHeight="1" x14ac:dyDescent="0.2">
      <c r="A13" t="str">
        <f>Monthly_Summary!A11</f>
        <v>Sep-25</v>
      </c>
      <c r="B13" s="30">
        <f>Monthly_Summary!C11</f>
        <v>0.9</v>
      </c>
      <c r="C13" s="30">
        <f>Monthly_Summary!B11</f>
        <v>0.85</v>
      </c>
    </row>
    <row r="14" spans="1:8" ht="15" customHeight="1" x14ac:dyDescent="0.2">
      <c r="A14" t="str">
        <f>Monthly_Summary!A12</f>
        <v>Oct-25</v>
      </c>
      <c r="B14" s="30">
        <f>Monthly_Summary!C12</f>
        <v>0.92</v>
      </c>
      <c r="C14" s="30">
        <f>Monthly_Summary!B12</f>
        <v>0.85</v>
      </c>
    </row>
    <row r="15" spans="1:8" ht="15" customHeight="1" x14ac:dyDescent="0.2">
      <c r="A15" t="str">
        <f>Monthly_Summary!A13</f>
        <v>Nov-25</v>
      </c>
      <c r="B15" s="30">
        <f>Monthly_Summary!C13</f>
        <v>0.9</v>
      </c>
      <c r="C15" s="30">
        <f>Monthly_Summary!B13</f>
        <v>0.85</v>
      </c>
    </row>
    <row r="16" spans="1:8" ht="15" customHeight="1" x14ac:dyDescent="0.2">
      <c r="A16" t="str">
        <f>Monthly_Summary!A14</f>
        <v>Dec-25</v>
      </c>
      <c r="B16" s="30">
        <f>Monthly_Summary!C14</f>
        <v>0.89</v>
      </c>
      <c r="C16" s="30">
        <f>Monthly_Summary!B14</f>
        <v>0.85</v>
      </c>
    </row>
    <row r="17" spans="1:4" ht="15" customHeight="1" x14ac:dyDescent="0.2">
      <c r="A17" t="str">
        <f>Monthly_Summary!A15</f>
        <v>Jan-26</v>
      </c>
      <c r="B17" s="30">
        <f>Monthly_Summary!C15</f>
        <v>0.93</v>
      </c>
      <c r="C17" s="30">
        <f>Monthly_Summary!B15</f>
        <v>0.85</v>
      </c>
    </row>
    <row r="18" spans="1:4" ht="15" customHeight="1" x14ac:dyDescent="0.2">
      <c r="A18" t="str">
        <f>Monthly_Summary!A16</f>
        <v>Feb-26</v>
      </c>
      <c r="B18" s="30">
        <f>Monthly_Summary!C16</f>
        <v>0.93</v>
      </c>
      <c r="C18" s="30">
        <f>Monthly_Summary!B16</f>
        <v>0.85</v>
      </c>
    </row>
    <row r="19" spans="1:4" ht="15" customHeight="1" x14ac:dyDescent="0.2">
      <c r="A19" t="str">
        <f>Monthly_Summary!A17</f>
        <v>Mar-26</v>
      </c>
      <c r="B19" s="30">
        <f>Monthly_Summary!C17</f>
        <v>0.93</v>
      </c>
      <c r="C19" s="30">
        <f>Monthly_Summary!B17</f>
        <v>0.85</v>
      </c>
    </row>
    <row r="20" spans="1:4" ht="15" customHeight="1" x14ac:dyDescent="0.2">
      <c r="A20" t="str">
        <f>Monthly_Summary!A18</f>
        <v>Apr-26</v>
      </c>
      <c r="B20" s="30">
        <f>Monthly_Summary!C18</f>
        <v>0.92</v>
      </c>
      <c r="C20" s="30">
        <f>Monthly_Summary!B18</f>
        <v>0.85</v>
      </c>
    </row>
    <row r="21" spans="1:4" ht="15" customHeight="1" x14ac:dyDescent="0.2">
      <c r="A21" t="str">
        <f>Monthly_Summary!A19</f>
        <v>May-26</v>
      </c>
      <c r="B21" s="30">
        <f>Monthly_Summary!C19</f>
        <v>0.94</v>
      </c>
      <c r="C21" s="30">
        <f>Monthly_Summary!B19</f>
        <v>0.85</v>
      </c>
    </row>
    <row r="22" spans="1:4" ht="15" customHeight="1" x14ac:dyDescent="0.2">
      <c r="A22" t="str">
        <f>Monthly_Summary!A20</f>
        <v>Jun-26</v>
      </c>
      <c r="B22" s="30">
        <f>Monthly_Summary!C20</f>
        <v>0.92</v>
      </c>
      <c r="C22" s="30">
        <f>Monthly_Summary!B20</f>
        <v>0.85</v>
      </c>
    </row>
    <row r="25" spans="1:4" ht="15" customHeight="1" x14ac:dyDescent="0.2">
      <c r="A25" s="19" t="s">
        <v>134</v>
      </c>
    </row>
    <row r="26" spans="1:4" ht="15" customHeight="1" x14ac:dyDescent="0.2">
      <c r="A26" s="31" t="s">
        <v>11</v>
      </c>
      <c r="B26" s="31" t="s">
        <v>20</v>
      </c>
      <c r="C26" s="31" t="s">
        <v>104</v>
      </c>
      <c r="D26" s="31" t="s">
        <v>105</v>
      </c>
    </row>
    <row r="27" spans="1:4" ht="15" customHeight="1" x14ac:dyDescent="0.2">
      <c r="A27" t="str">
        <f>Monthly_Summary!A4</f>
        <v>Feb-25</v>
      </c>
      <c r="B27">
        <f>Monthly_Summary!D4</f>
        <v>1290</v>
      </c>
      <c r="C27">
        <f>Monthly_Summary!E4</f>
        <v>1097</v>
      </c>
      <c r="D27">
        <f>Monthly_Summary!F4</f>
        <v>193</v>
      </c>
    </row>
    <row r="28" spans="1:4" ht="15" customHeight="1" x14ac:dyDescent="0.2">
      <c r="A28" t="str">
        <f>Monthly_Summary!A5</f>
        <v>Mar-25</v>
      </c>
      <c r="B28">
        <f>Monthly_Summary!D5</f>
        <v>1416</v>
      </c>
      <c r="C28">
        <f>Monthly_Summary!E5</f>
        <v>1218</v>
      </c>
      <c r="D28">
        <f>Monthly_Summary!F5</f>
        <v>198</v>
      </c>
    </row>
    <row r="29" spans="1:4" ht="15" customHeight="1" x14ac:dyDescent="0.2">
      <c r="A29" t="str">
        <f>Monthly_Summary!A6</f>
        <v>Apr-25</v>
      </c>
      <c r="B29">
        <f>Monthly_Summary!D6</f>
        <v>1225</v>
      </c>
      <c r="C29">
        <f>Monthly_Summary!E6</f>
        <v>1066</v>
      </c>
      <c r="D29">
        <f>Monthly_Summary!F6</f>
        <v>159</v>
      </c>
    </row>
    <row r="30" spans="1:4" ht="15" customHeight="1" x14ac:dyDescent="0.2">
      <c r="A30" t="str">
        <f>Monthly_Summary!A7</f>
        <v>May-25</v>
      </c>
      <c r="B30">
        <f>Monthly_Summary!D7</f>
        <v>994</v>
      </c>
      <c r="C30">
        <f>Monthly_Summary!E7</f>
        <v>924</v>
      </c>
      <c r="D30">
        <f>Monthly_Summary!F7</f>
        <v>70</v>
      </c>
    </row>
    <row r="31" spans="1:4" ht="15" customHeight="1" x14ac:dyDescent="0.2">
      <c r="A31" t="str">
        <f>Monthly_Summary!A8</f>
        <v>Jun-25</v>
      </c>
      <c r="B31">
        <f>Monthly_Summary!D8</f>
        <v>725</v>
      </c>
      <c r="C31">
        <f>Monthly_Summary!E8</f>
        <v>660</v>
      </c>
      <c r="D31">
        <f>Monthly_Summary!F8</f>
        <v>65</v>
      </c>
    </row>
    <row r="32" spans="1:4" ht="15" customHeight="1" x14ac:dyDescent="0.2">
      <c r="A32" t="str">
        <f>Monthly_Summary!A9</f>
        <v>Jul-25</v>
      </c>
      <c r="B32">
        <f>Monthly_Summary!D9</f>
        <v>818</v>
      </c>
      <c r="C32">
        <f>Monthly_Summary!E9</f>
        <v>761</v>
      </c>
      <c r="D32">
        <f>Monthly_Summary!F9</f>
        <v>57</v>
      </c>
    </row>
    <row r="33" spans="1:4" ht="15" customHeight="1" x14ac:dyDescent="0.2">
      <c r="A33" t="str">
        <f>Monthly_Summary!A10</f>
        <v>Aug-25</v>
      </c>
      <c r="B33">
        <f>Monthly_Summary!D10</f>
        <v>711</v>
      </c>
      <c r="C33">
        <f>Monthly_Summary!E10</f>
        <v>654</v>
      </c>
      <c r="D33">
        <f>Monthly_Summary!F10</f>
        <v>57</v>
      </c>
    </row>
    <row r="34" spans="1:4" ht="15" customHeight="1" x14ac:dyDescent="0.2">
      <c r="A34" t="str">
        <f>Monthly_Summary!A11</f>
        <v>Sep-25</v>
      </c>
      <c r="B34">
        <f>Monthly_Summary!D11</f>
        <v>828</v>
      </c>
      <c r="C34">
        <f>Monthly_Summary!E11</f>
        <v>745</v>
      </c>
      <c r="D34">
        <f>Monthly_Summary!F11</f>
        <v>83</v>
      </c>
    </row>
    <row r="35" spans="1:4" ht="15" customHeight="1" x14ac:dyDescent="0.2">
      <c r="A35" t="str">
        <f>Monthly_Summary!A12</f>
        <v>Oct-25</v>
      </c>
      <c r="B35">
        <f>Monthly_Summary!D12</f>
        <v>822</v>
      </c>
      <c r="C35">
        <f>Monthly_Summary!E12</f>
        <v>756</v>
      </c>
      <c r="D35">
        <f>Monthly_Summary!F12</f>
        <v>66</v>
      </c>
    </row>
    <row r="36" spans="1:4" ht="15" customHeight="1" x14ac:dyDescent="0.2">
      <c r="A36" t="str">
        <f>Monthly_Summary!A13</f>
        <v>Nov-25</v>
      </c>
      <c r="B36">
        <f>Monthly_Summary!D13</f>
        <v>993</v>
      </c>
      <c r="C36">
        <f>Monthly_Summary!E13</f>
        <v>894</v>
      </c>
      <c r="D36">
        <f>Monthly_Summary!F13</f>
        <v>99</v>
      </c>
    </row>
    <row r="37" spans="1:4" ht="15" customHeight="1" x14ac:dyDescent="0.2">
      <c r="A37" t="str">
        <f>Monthly_Summary!A14</f>
        <v>Dec-25</v>
      </c>
      <c r="B37">
        <f>Monthly_Summary!D14</f>
        <v>1006</v>
      </c>
      <c r="C37">
        <f>Monthly_Summary!E14</f>
        <v>895</v>
      </c>
      <c r="D37">
        <f>Monthly_Summary!F14</f>
        <v>111</v>
      </c>
    </row>
    <row r="38" spans="1:4" ht="15" customHeight="1" x14ac:dyDescent="0.2">
      <c r="A38" t="str">
        <f>Monthly_Summary!A15</f>
        <v>Jan-26</v>
      </c>
      <c r="B38">
        <f>Monthly_Summary!D15</f>
        <v>1141</v>
      </c>
      <c r="C38">
        <f>Monthly_Summary!E15</f>
        <v>1061</v>
      </c>
      <c r="D38">
        <f>Monthly_Summary!F15</f>
        <v>80</v>
      </c>
    </row>
    <row r="39" spans="1:4" ht="15" customHeight="1" x14ac:dyDescent="0.2">
      <c r="A39" t="str">
        <f>Monthly_Summary!A16</f>
        <v>Feb-26</v>
      </c>
      <c r="B39">
        <f>Monthly_Summary!D16</f>
        <v>1084</v>
      </c>
      <c r="C39">
        <f>Monthly_Summary!E16</f>
        <v>1008</v>
      </c>
      <c r="D39">
        <f>Monthly_Summary!F16</f>
        <v>76</v>
      </c>
    </row>
    <row r="40" spans="1:4" ht="15" customHeight="1" x14ac:dyDescent="0.2">
      <c r="A40" t="str">
        <f>Monthly_Summary!A17</f>
        <v>Mar-26</v>
      </c>
      <c r="B40">
        <f>Monthly_Summary!D17</f>
        <v>1274</v>
      </c>
      <c r="C40">
        <f>Monthly_Summary!E17</f>
        <v>1185</v>
      </c>
      <c r="D40">
        <f>Monthly_Summary!F17</f>
        <v>89</v>
      </c>
    </row>
    <row r="41" spans="1:4" ht="15" customHeight="1" x14ac:dyDescent="0.2">
      <c r="A41" t="str">
        <f>Monthly_Summary!A18</f>
        <v>Apr-26</v>
      </c>
      <c r="B41">
        <f>Monthly_Summary!D18</f>
        <v>1259</v>
      </c>
      <c r="C41">
        <f>Monthly_Summary!E18</f>
        <v>1158</v>
      </c>
      <c r="D41">
        <f>Monthly_Summary!F18</f>
        <v>101</v>
      </c>
    </row>
    <row r="42" spans="1:4" ht="15" customHeight="1" x14ac:dyDescent="0.2">
      <c r="A42" t="str">
        <f>Monthly_Summary!A19</f>
        <v>May-26</v>
      </c>
      <c r="B42">
        <f>Monthly_Summary!D19</f>
        <v>1205</v>
      </c>
      <c r="C42">
        <f>Monthly_Summary!E19</f>
        <v>1133</v>
      </c>
      <c r="D42">
        <f>Monthly_Summary!F19</f>
        <v>72</v>
      </c>
    </row>
    <row r="43" spans="1:4" ht="15" customHeight="1" x14ac:dyDescent="0.2">
      <c r="A43" t="str">
        <f>Monthly_Summary!A20</f>
        <v>Jun-26</v>
      </c>
      <c r="B43">
        <f>Monthly_Summary!D20</f>
        <v>1208</v>
      </c>
      <c r="C43">
        <f>Monthly_Summary!E20</f>
        <v>1111</v>
      </c>
      <c r="D43">
        <f>Monthly_Summary!F20</f>
        <v>97</v>
      </c>
    </row>
    <row r="46" spans="1:4" ht="15" customHeight="1" x14ac:dyDescent="0.2">
      <c r="A46" s="19" t="s">
        <v>135</v>
      </c>
    </row>
    <row r="47" spans="1:4" ht="15" customHeight="1" x14ac:dyDescent="0.2">
      <c r="A47" s="31" t="s">
        <v>39</v>
      </c>
      <c r="B47" s="31" t="s">
        <v>40</v>
      </c>
      <c r="C47" s="31" t="s">
        <v>127</v>
      </c>
      <c r="D47" s="31" t="s">
        <v>109</v>
      </c>
    </row>
    <row r="48" spans="1:4" ht="15" customHeight="1" x14ac:dyDescent="0.2">
      <c r="A48" t="str">
        <f>VIP_Stores!A178</f>
        <v>Meijer #033</v>
      </c>
      <c r="B48" t="str">
        <f>VIP_Stores!B178</f>
        <v>Traverse City</v>
      </c>
      <c r="C48">
        <f>VIP_Stores!C178</f>
        <v>96</v>
      </c>
      <c r="D48" s="30">
        <f>VIP_Stores!D178</f>
        <v>0.86427083333333332</v>
      </c>
    </row>
    <row r="49" spans="1:4" ht="15" customHeight="1" x14ac:dyDescent="0.2">
      <c r="A49" t="str">
        <f>VIP_Stores!A179</f>
        <v>Meijer #047</v>
      </c>
      <c r="B49" t="str">
        <f>VIP_Stores!B179</f>
        <v>Holland</v>
      </c>
      <c r="C49">
        <f>VIP_Stores!C179</f>
        <v>63</v>
      </c>
      <c r="D49" s="30">
        <f>VIP_Stores!D179</f>
        <v>0.98380952380952391</v>
      </c>
    </row>
    <row r="50" spans="1:4" ht="15" customHeight="1" x14ac:dyDescent="0.2">
      <c r="A50" t="str">
        <f>VIP_Stores!A180</f>
        <v>Meijer #050</v>
      </c>
      <c r="B50" t="str">
        <f>VIP_Stores!B180</f>
        <v>Cascade</v>
      </c>
      <c r="C50">
        <f>VIP_Stores!C180</f>
        <v>73</v>
      </c>
      <c r="D50" s="30">
        <f>VIP_Stores!D180</f>
        <v>0.92054794520547933</v>
      </c>
    </row>
    <row r="51" spans="1:4" ht="15" customHeight="1" x14ac:dyDescent="0.2">
      <c r="A51" t="str">
        <f>VIP_Stores!A181</f>
        <v>Meijer #056</v>
      </c>
      <c r="B51" t="str">
        <f>VIP_Stores!B181</f>
        <v>Jackson</v>
      </c>
      <c r="C51">
        <f>VIP_Stores!C181</f>
        <v>81</v>
      </c>
      <c r="D51" s="30">
        <f>VIP_Stores!D181</f>
        <v>0.97543209876543213</v>
      </c>
    </row>
    <row r="52" spans="1:4" ht="15" customHeight="1" x14ac:dyDescent="0.2">
      <c r="A52" t="str">
        <f>VIP_Stores!A182</f>
        <v>Meijer #108</v>
      </c>
      <c r="B52" t="str">
        <f>VIP_Stores!B182</f>
        <v>Midland</v>
      </c>
      <c r="C52">
        <f>VIP_Stores!C182</f>
        <v>75</v>
      </c>
      <c r="D52" s="30">
        <f>VIP_Stores!D182</f>
        <v>0.96</v>
      </c>
    </row>
    <row r="53" spans="1:4" ht="15" customHeight="1" x14ac:dyDescent="0.2">
      <c r="A53" t="str">
        <f>VIP_Stores!A183</f>
        <v>Meijer #119</v>
      </c>
      <c r="B53" t="str">
        <f>VIP_Stores!B183</f>
        <v>Kalamazoo</v>
      </c>
      <c r="C53">
        <f>VIP_Stores!C183</f>
        <v>121</v>
      </c>
      <c r="D53" s="30">
        <f>VIP_Stores!D183</f>
        <v>0.80123966942148761</v>
      </c>
    </row>
    <row r="54" spans="1:4" ht="15" customHeight="1" x14ac:dyDescent="0.2">
      <c r="A54" t="str">
        <f>VIP_Stores!A184</f>
        <v>Meijer #158</v>
      </c>
      <c r="B54" t="str">
        <f>VIP_Stores!B184</f>
        <v>Knapps Corner</v>
      </c>
      <c r="C54">
        <f>VIP_Stores!C184</f>
        <v>131</v>
      </c>
      <c r="D54" s="30">
        <f>VIP_Stores!D184</f>
        <v>0.96183206106870234</v>
      </c>
    </row>
    <row r="55" spans="1:4" ht="15" customHeight="1" x14ac:dyDescent="0.2">
      <c r="A55" t="str">
        <f>VIP_Stores!A185</f>
        <v>Meijer #199</v>
      </c>
      <c r="B55" t="str">
        <f>VIP_Stores!B185</f>
        <v>Caledonia</v>
      </c>
      <c r="C55">
        <f>VIP_Stores!C185</f>
        <v>109</v>
      </c>
      <c r="D55" s="30">
        <f>VIP_Stores!D185</f>
        <v>0.96201834862385316</v>
      </c>
    </row>
    <row r="56" spans="1:4" ht="15" customHeight="1" x14ac:dyDescent="0.2">
      <c r="A56" t="str">
        <f>VIP_Stores!A186</f>
        <v>Meijer #216</v>
      </c>
      <c r="B56" t="str">
        <f>VIP_Stores!B186</f>
        <v>Standale</v>
      </c>
      <c r="C56">
        <f>VIP_Stores!C186</f>
        <v>98</v>
      </c>
      <c r="D56" s="30">
        <f>VIP_Stores!D186</f>
        <v>0.95938775510204088</v>
      </c>
    </row>
    <row r="57" spans="1:4" ht="15" customHeight="1" x14ac:dyDescent="0.2">
      <c r="A57" t="str">
        <f>VIP_Stores!A187</f>
        <v>Meijer #226</v>
      </c>
      <c r="B57" t="str">
        <f>VIP_Stores!B187</f>
        <v>Algoma</v>
      </c>
      <c r="C57">
        <f>VIP_Stores!C187</f>
        <v>27</v>
      </c>
      <c r="D57" s="30">
        <f>VIP_Stores!D187</f>
        <v>0.88703703703703696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Raw_Data</vt:lpstr>
      <vt:lpstr>Monthly_Summary</vt:lpstr>
      <vt:lpstr>VIP_Stores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Uros Peric</cp:lastModifiedBy>
  <cp:revision>5</cp:revision>
  <dcterms:created xsi:type="dcterms:W3CDTF">2026-07-16T12:01:56Z</dcterms:created>
  <dcterms:modified xsi:type="dcterms:W3CDTF">2026-07-16T14:16:36Z</dcterms:modified>
  <dc:language>en-US</dc:language>
</cp:coreProperties>
</file>